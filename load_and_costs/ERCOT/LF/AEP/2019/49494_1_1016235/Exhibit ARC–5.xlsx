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RegCaseMgmt\2019 AEPTX RATE CASE\TESTIMONY\CARLIN\"/>
    </mc:Choice>
  </mc:AlternateContent>
  <bookViews>
    <workbookView xWindow="0" yWindow="0" windowWidth="19200" windowHeight="11460"/>
  </bookViews>
  <sheets>
    <sheet name="Exempt Non-managerial" sheetId="3" r:id="rId1"/>
    <sheet name="Sheet1" sheetId="4" r:id="rId2"/>
  </sheets>
  <externalReferences>
    <externalReference r:id="rId3"/>
    <externalReference r:id="rId4"/>
  </externalReferences>
  <definedNames>
    <definedName name="_xlnm.Print_Area" localSheetId="0">'Exempt Non-managerial'!$A$1:$K$306</definedName>
    <definedName name="_xlnm.Print_Titles" localSheetId="0">'Exempt Non-managerial'!$3:$4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" i="3" l="1"/>
  <c r="B297" i="3" l="1"/>
  <c r="B296" i="3"/>
  <c r="B299" i="3" s="1"/>
  <c r="B48" i="3"/>
  <c r="K294" i="3"/>
  <c r="J294" i="3"/>
  <c r="K293" i="3"/>
  <c r="J293" i="3"/>
  <c r="K292" i="3"/>
  <c r="J292" i="3"/>
  <c r="K291" i="3"/>
  <c r="J291" i="3"/>
  <c r="K290" i="3"/>
  <c r="J290" i="3"/>
  <c r="K289" i="3"/>
  <c r="J289" i="3"/>
  <c r="K288" i="3"/>
  <c r="J288" i="3"/>
  <c r="K287" i="3"/>
  <c r="J287" i="3"/>
  <c r="K286" i="3"/>
  <c r="J286" i="3"/>
  <c r="K285" i="3"/>
  <c r="J285" i="3"/>
  <c r="K284" i="3"/>
  <c r="J284" i="3"/>
  <c r="K283" i="3"/>
  <c r="J283" i="3"/>
  <c r="K282" i="3"/>
  <c r="J282" i="3"/>
  <c r="K281" i="3"/>
  <c r="J281" i="3"/>
  <c r="K280" i="3"/>
  <c r="J280" i="3"/>
  <c r="K279" i="3"/>
  <c r="J279" i="3"/>
  <c r="K278" i="3"/>
  <c r="J278" i="3"/>
  <c r="K277" i="3"/>
  <c r="J277" i="3"/>
  <c r="K276" i="3"/>
  <c r="J276" i="3"/>
  <c r="K275" i="3"/>
  <c r="J275" i="3"/>
  <c r="K274" i="3"/>
  <c r="J274" i="3"/>
  <c r="K273" i="3"/>
  <c r="J273" i="3"/>
  <c r="K272" i="3"/>
  <c r="J272" i="3"/>
  <c r="K271" i="3"/>
  <c r="J271" i="3"/>
  <c r="K270" i="3"/>
  <c r="J270" i="3"/>
  <c r="K269" i="3"/>
  <c r="J269" i="3"/>
  <c r="K268" i="3"/>
  <c r="J268" i="3"/>
  <c r="K267" i="3"/>
  <c r="J267" i="3"/>
  <c r="K266" i="3"/>
  <c r="J266" i="3"/>
  <c r="K265" i="3"/>
  <c r="J265" i="3"/>
  <c r="K264" i="3"/>
  <c r="J264" i="3"/>
  <c r="K263" i="3"/>
  <c r="J263" i="3"/>
  <c r="K262" i="3"/>
  <c r="J262" i="3"/>
  <c r="K261" i="3"/>
  <c r="J261" i="3"/>
  <c r="K260" i="3"/>
  <c r="J260" i="3"/>
  <c r="K259" i="3"/>
  <c r="J259" i="3"/>
  <c r="K258" i="3"/>
  <c r="J258" i="3"/>
  <c r="K257" i="3"/>
  <c r="J257" i="3"/>
  <c r="K256" i="3"/>
  <c r="J256" i="3"/>
  <c r="K255" i="3"/>
  <c r="J255" i="3"/>
  <c r="K254" i="3"/>
  <c r="J254" i="3"/>
  <c r="K253" i="3"/>
  <c r="J253" i="3"/>
  <c r="K252" i="3"/>
  <c r="J252" i="3"/>
  <c r="K251" i="3"/>
  <c r="J251" i="3"/>
  <c r="K250" i="3"/>
  <c r="J250" i="3"/>
  <c r="K249" i="3"/>
  <c r="J249" i="3"/>
  <c r="K248" i="3"/>
  <c r="J248" i="3"/>
  <c r="K247" i="3"/>
  <c r="J247" i="3"/>
  <c r="K246" i="3"/>
  <c r="J246" i="3"/>
  <c r="K245" i="3"/>
  <c r="J245" i="3"/>
  <c r="K244" i="3"/>
  <c r="J244" i="3"/>
  <c r="K243" i="3"/>
  <c r="J243" i="3"/>
  <c r="K242" i="3"/>
  <c r="J242" i="3"/>
  <c r="K241" i="3"/>
  <c r="J241" i="3"/>
  <c r="K240" i="3"/>
  <c r="J240" i="3"/>
  <c r="K239" i="3"/>
  <c r="J239" i="3"/>
  <c r="K238" i="3"/>
  <c r="J238" i="3"/>
  <c r="K237" i="3"/>
  <c r="J237" i="3"/>
  <c r="K236" i="3"/>
  <c r="J236" i="3"/>
  <c r="K235" i="3"/>
  <c r="J235" i="3"/>
  <c r="K234" i="3"/>
  <c r="J234" i="3"/>
  <c r="K233" i="3"/>
  <c r="J233" i="3"/>
  <c r="K232" i="3"/>
  <c r="J232" i="3"/>
  <c r="K231" i="3"/>
  <c r="J231" i="3"/>
  <c r="K230" i="3"/>
  <c r="J230" i="3"/>
  <c r="K229" i="3"/>
  <c r="J229" i="3"/>
  <c r="K228" i="3"/>
  <c r="J228" i="3"/>
  <c r="K227" i="3"/>
  <c r="J227" i="3"/>
  <c r="K226" i="3"/>
  <c r="J226" i="3"/>
  <c r="K225" i="3"/>
  <c r="J225" i="3"/>
  <c r="K224" i="3"/>
  <c r="J224" i="3"/>
  <c r="K223" i="3"/>
  <c r="J223" i="3"/>
  <c r="K222" i="3"/>
  <c r="J222" i="3"/>
  <c r="K221" i="3"/>
  <c r="J221" i="3"/>
  <c r="K220" i="3"/>
  <c r="J220" i="3"/>
  <c r="K219" i="3"/>
  <c r="J219" i="3"/>
  <c r="K218" i="3"/>
  <c r="J218" i="3"/>
  <c r="K217" i="3"/>
  <c r="J217" i="3"/>
  <c r="K216" i="3"/>
  <c r="J216" i="3"/>
  <c r="K215" i="3"/>
  <c r="J215" i="3"/>
  <c r="K214" i="3"/>
  <c r="J214" i="3"/>
  <c r="K213" i="3"/>
  <c r="J213" i="3"/>
  <c r="K212" i="3"/>
  <c r="J212" i="3"/>
  <c r="K211" i="3"/>
  <c r="J211" i="3"/>
  <c r="K210" i="3"/>
  <c r="J210" i="3"/>
  <c r="K209" i="3"/>
  <c r="J209" i="3"/>
  <c r="K208" i="3"/>
  <c r="J208" i="3"/>
  <c r="K207" i="3"/>
  <c r="J207" i="3"/>
  <c r="K206" i="3"/>
  <c r="J206" i="3"/>
  <c r="K205" i="3"/>
  <c r="J205" i="3"/>
  <c r="K204" i="3"/>
  <c r="J204" i="3"/>
  <c r="K203" i="3"/>
  <c r="J203" i="3"/>
  <c r="K202" i="3"/>
  <c r="J202" i="3"/>
  <c r="K201" i="3"/>
  <c r="J201" i="3"/>
  <c r="K200" i="3"/>
  <c r="J200" i="3"/>
  <c r="K199" i="3"/>
  <c r="J199" i="3"/>
  <c r="K198" i="3"/>
  <c r="J198" i="3"/>
  <c r="K197" i="3"/>
  <c r="J197" i="3"/>
  <c r="K196" i="3"/>
  <c r="J196" i="3"/>
  <c r="K195" i="3"/>
  <c r="J195" i="3"/>
  <c r="K194" i="3"/>
  <c r="J194" i="3"/>
  <c r="K193" i="3"/>
  <c r="J193" i="3"/>
  <c r="K192" i="3"/>
  <c r="J192" i="3"/>
  <c r="K191" i="3"/>
  <c r="J191" i="3"/>
  <c r="K190" i="3"/>
  <c r="J190" i="3"/>
  <c r="K189" i="3"/>
  <c r="J189" i="3"/>
  <c r="K188" i="3"/>
  <c r="J188" i="3"/>
  <c r="K187" i="3"/>
  <c r="J187" i="3"/>
  <c r="K186" i="3"/>
  <c r="J186" i="3"/>
  <c r="K185" i="3"/>
  <c r="J185" i="3"/>
  <c r="K184" i="3"/>
  <c r="J184" i="3"/>
  <c r="K183" i="3"/>
  <c r="J183" i="3"/>
  <c r="K182" i="3"/>
  <c r="J182" i="3"/>
  <c r="K181" i="3"/>
  <c r="J181" i="3"/>
  <c r="K180" i="3"/>
  <c r="J180" i="3"/>
  <c r="K179" i="3"/>
  <c r="J179" i="3"/>
  <c r="K178" i="3"/>
  <c r="J178" i="3"/>
  <c r="K177" i="3"/>
  <c r="J177" i="3"/>
  <c r="K176" i="3"/>
  <c r="J176" i="3"/>
  <c r="K175" i="3"/>
  <c r="J175" i="3"/>
  <c r="K174" i="3"/>
  <c r="J174" i="3"/>
  <c r="K173" i="3"/>
  <c r="J173" i="3"/>
  <c r="K172" i="3"/>
  <c r="J172" i="3"/>
  <c r="K171" i="3"/>
  <c r="J171" i="3"/>
  <c r="K170" i="3"/>
  <c r="J170" i="3"/>
  <c r="K169" i="3"/>
  <c r="J169" i="3"/>
  <c r="K168" i="3"/>
  <c r="J168" i="3"/>
  <c r="K167" i="3"/>
  <c r="J167" i="3"/>
  <c r="K166" i="3"/>
  <c r="J166" i="3"/>
  <c r="K165" i="3"/>
  <c r="J165" i="3"/>
  <c r="K164" i="3"/>
  <c r="J164" i="3"/>
  <c r="K163" i="3"/>
  <c r="J163" i="3"/>
  <c r="K162" i="3"/>
  <c r="J162" i="3"/>
  <c r="K161" i="3"/>
  <c r="J161" i="3"/>
  <c r="K160" i="3"/>
  <c r="J160" i="3"/>
  <c r="K159" i="3"/>
  <c r="J159" i="3"/>
  <c r="K158" i="3"/>
  <c r="J158" i="3"/>
  <c r="K157" i="3"/>
  <c r="J157" i="3"/>
  <c r="K156" i="3"/>
  <c r="J156" i="3"/>
  <c r="K155" i="3"/>
  <c r="J155" i="3"/>
  <c r="K154" i="3"/>
  <c r="J154" i="3"/>
  <c r="K153" i="3"/>
  <c r="J153" i="3"/>
  <c r="K152" i="3"/>
  <c r="J152" i="3"/>
  <c r="K151" i="3"/>
  <c r="J151" i="3"/>
  <c r="K150" i="3"/>
  <c r="J150" i="3"/>
  <c r="K149" i="3"/>
  <c r="J149" i="3"/>
  <c r="K148" i="3"/>
  <c r="J148" i="3"/>
  <c r="K147" i="3"/>
  <c r="J147" i="3"/>
  <c r="K146" i="3"/>
  <c r="J146" i="3"/>
  <c r="K145" i="3"/>
  <c r="J145" i="3"/>
  <c r="K144" i="3"/>
  <c r="J144" i="3"/>
  <c r="K143" i="3"/>
  <c r="J143" i="3"/>
  <c r="K142" i="3"/>
  <c r="J142" i="3"/>
  <c r="K141" i="3"/>
  <c r="J141" i="3"/>
  <c r="K140" i="3"/>
  <c r="J140" i="3"/>
  <c r="K139" i="3"/>
  <c r="J139" i="3"/>
  <c r="K138" i="3"/>
  <c r="J138" i="3"/>
  <c r="K137" i="3"/>
  <c r="J137" i="3"/>
  <c r="K136" i="3"/>
  <c r="J136" i="3"/>
  <c r="K135" i="3"/>
  <c r="J135" i="3"/>
  <c r="K134" i="3"/>
  <c r="J134" i="3"/>
  <c r="K133" i="3"/>
  <c r="J133" i="3"/>
  <c r="K132" i="3"/>
  <c r="J132" i="3"/>
  <c r="K131" i="3"/>
  <c r="J131" i="3"/>
  <c r="K130" i="3"/>
  <c r="J130" i="3"/>
  <c r="K129" i="3"/>
  <c r="J129" i="3"/>
  <c r="K128" i="3"/>
  <c r="J128" i="3"/>
  <c r="K127" i="3"/>
  <c r="J127" i="3"/>
  <c r="K126" i="3"/>
  <c r="J126" i="3"/>
  <c r="K125" i="3"/>
  <c r="J125" i="3"/>
  <c r="K124" i="3"/>
  <c r="J124" i="3"/>
  <c r="K123" i="3"/>
  <c r="J123" i="3"/>
  <c r="K122" i="3"/>
  <c r="J122" i="3"/>
  <c r="K121" i="3"/>
  <c r="J121" i="3"/>
  <c r="K120" i="3"/>
  <c r="J120" i="3"/>
  <c r="K119" i="3"/>
  <c r="J119" i="3"/>
  <c r="K118" i="3"/>
  <c r="J118" i="3"/>
  <c r="K117" i="3"/>
  <c r="J117" i="3"/>
  <c r="K116" i="3"/>
  <c r="J116" i="3"/>
  <c r="K115" i="3"/>
  <c r="J115" i="3"/>
  <c r="K114" i="3"/>
  <c r="J114" i="3"/>
  <c r="K113" i="3"/>
  <c r="J113" i="3"/>
  <c r="K112" i="3"/>
  <c r="J112" i="3"/>
  <c r="K111" i="3"/>
  <c r="J111" i="3"/>
  <c r="K110" i="3"/>
  <c r="J110" i="3"/>
  <c r="K109" i="3"/>
  <c r="J109" i="3"/>
  <c r="K108" i="3"/>
  <c r="J108" i="3"/>
  <c r="K107" i="3"/>
  <c r="J107" i="3"/>
  <c r="K106" i="3"/>
  <c r="J106" i="3"/>
  <c r="K105" i="3"/>
  <c r="J105" i="3"/>
  <c r="K104" i="3"/>
  <c r="J104" i="3"/>
  <c r="K103" i="3"/>
  <c r="J103" i="3"/>
  <c r="K102" i="3"/>
  <c r="J102" i="3"/>
  <c r="K101" i="3"/>
  <c r="J101" i="3"/>
  <c r="K100" i="3"/>
  <c r="J100" i="3"/>
  <c r="K99" i="3"/>
  <c r="J99" i="3"/>
  <c r="K98" i="3"/>
  <c r="J98" i="3"/>
  <c r="K97" i="3"/>
  <c r="J97" i="3"/>
  <c r="K96" i="3"/>
  <c r="J96" i="3"/>
  <c r="K95" i="3"/>
  <c r="J95" i="3"/>
  <c r="K94" i="3"/>
  <c r="J94" i="3"/>
  <c r="K93" i="3"/>
  <c r="J93" i="3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K68" i="3"/>
  <c r="J68" i="3"/>
  <c r="K67" i="3"/>
  <c r="J67" i="3"/>
  <c r="K66" i="3"/>
  <c r="J66" i="3"/>
  <c r="K65" i="3"/>
  <c r="J65" i="3"/>
  <c r="K64" i="3"/>
  <c r="J64" i="3"/>
  <c r="K63" i="3"/>
  <c r="J63" i="3"/>
  <c r="K62" i="3"/>
  <c r="J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H180" i="3"/>
  <c r="H181" i="3"/>
  <c r="H185" i="3"/>
  <c r="H174" i="3"/>
  <c r="H175" i="3"/>
  <c r="H176" i="3"/>
  <c r="H177" i="3"/>
  <c r="H178" i="3"/>
  <c r="H182" i="3"/>
  <c r="H183" i="3"/>
  <c r="H184" i="3"/>
  <c r="H143" i="3"/>
  <c r="H146" i="3"/>
  <c r="H197" i="3"/>
  <c r="H188" i="3"/>
  <c r="H189" i="3"/>
  <c r="H104" i="3"/>
  <c r="H142" i="3"/>
  <c r="H118" i="3"/>
  <c r="H119" i="3"/>
  <c r="H132" i="3"/>
  <c r="H217" i="3"/>
  <c r="H219" i="3"/>
  <c r="H131" i="3"/>
  <c r="H135" i="3"/>
  <c r="H133" i="3"/>
  <c r="H134" i="3"/>
  <c r="H53" i="3"/>
  <c r="H172" i="3"/>
  <c r="H218" i="3"/>
  <c r="H101" i="3"/>
  <c r="H166" i="3"/>
  <c r="H167" i="3"/>
  <c r="H147" i="3"/>
  <c r="H103" i="3"/>
  <c r="H105" i="3"/>
  <c r="H266" i="3"/>
  <c r="H254" i="3"/>
  <c r="H256" i="3"/>
  <c r="H255" i="3"/>
  <c r="H233" i="3"/>
  <c r="H232" i="3"/>
  <c r="H239" i="3"/>
  <c r="H238" i="3"/>
  <c r="H241" i="3"/>
  <c r="H240" i="3"/>
  <c r="H234" i="3"/>
  <c r="H237" i="3"/>
  <c r="H236" i="3"/>
  <c r="H235" i="3"/>
  <c r="H224" i="3"/>
  <c r="H225" i="3"/>
  <c r="H122" i="3"/>
  <c r="H121" i="3"/>
  <c r="H123" i="3"/>
  <c r="H257" i="3"/>
  <c r="H155" i="3"/>
  <c r="H77" i="3"/>
  <c r="H69" i="3"/>
  <c r="H64" i="3"/>
  <c r="H62" i="3"/>
  <c r="H68" i="3"/>
  <c r="H168" i="3"/>
  <c r="H86" i="3"/>
  <c r="H85" i="3"/>
  <c r="H87" i="3"/>
  <c r="H58" i="3"/>
  <c r="H56" i="3"/>
  <c r="H57" i="3"/>
  <c r="H59" i="3"/>
  <c r="H61" i="3"/>
  <c r="H165" i="3"/>
  <c r="H113" i="3"/>
  <c r="H55" i="3"/>
  <c r="H54" i="3"/>
  <c r="H51" i="3"/>
  <c r="H52" i="3"/>
  <c r="H63" i="3"/>
  <c r="H71" i="3"/>
  <c r="H72" i="3"/>
  <c r="H70" i="3"/>
  <c r="H73" i="3"/>
  <c r="H79" i="3"/>
  <c r="H164" i="3"/>
  <c r="H158" i="3"/>
  <c r="H106" i="3"/>
  <c r="H252" i="3"/>
  <c r="H66" i="3"/>
  <c r="H163" i="3"/>
  <c r="H191" i="3"/>
  <c r="H192" i="3"/>
  <c r="H78" i="3"/>
  <c r="H76" i="3"/>
  <c r="H75" i="3"/>
  <c r="H193" i="3"/>
  <c r="H226" i="3"/>
  <c r="H228" i="3"/>
  <c r="H67" i="3"/>
  <c r="H65" i="3"/>
  <c r="H294" i="3"/>
  <c r="H157" i="3"/>
  <c r="H97" i="3"/>
  <c r="H107" i="3"/>
  <c r="H200" i="3"/>
  <c r="H102" i="3"/>
  <c r="H111" i="3"/>
  <c r="H187" i="3"/>
  <c r="H186" i="3"/>
  <c r="H227" i="3"/>
  <c r="H137" i="3"/>
  <c r="H138" i="3"/>
  <c r="H145" i="3"/>
  <c r="H201" i="3"/>
  <c r="H202" i="3"/>
  <c r="H153" i="3"/>
  <c r="H206" i="3"/>
  <c r="H207" i="3"/>
  <c r="H204" i="3"/>
  <c r="H205" i="3"/>
  <c r="H210" i="3"/>
  <c r="H211" i="3"/>
  <c r="H208" i="3"/>
  <c r="H136" i="3"/>
  <c r="H203" i="3"/>
  <c r="H144" i="3"/>
  <c r="H140" i="3"/>
  <c r="H139" i="3"/>
  <c r="H141" i="3"/>
  <c r="H149" i="3"/>
  <c r="H148" i="3"/>
  <c r="H209" i="3"/>
  <c r="H154" i="3"/>
  <c r="H151" i="3"/>
  <c r="H152" i="3"/>
  <c r="H150" i="3"/>
  <c r="H279" i="3"/>
  <c r="H221" i="3"/>
  <c r="H161" i="3"/>
  <c r="H156" i="3"/>
  <c r="H162" i="3"/>
  <c r="H159" i="3"/>
  <c r="H160" i="3"/>
  <c r="H83" i="3"/>
  <c r="H80" i="3"/>
  <c r="H84" i="3"/>
  <c r="H81" i="3"/>
  <c r="H82" i="3"/>
  <c r="H94" i="3"/>
  <c r="H90" i="3"/>
  <c r="H93" i="3"/>
  <c r="H213" i="3"/>
  <c r="H212" i="3"/>
  <c r="H190" i="3"/>
  <c r="H223" i="3"/>
  <c r="H98" i="3"/>
  <c r="H260" i="3"/>
  <c r="H247" i="3"/>
  <c r="H95" i="3"/>
  <c r="H100" i="3"/>
  <c r="H245" i="3"/>
  <c r="H124" i="3"/>
  <c r="H127" i="3"/>
  <c r="H125" i="3"/>
  <c r="H120" i="3"/>
  <c r="H130" i="3"/>
  <c r="H129" i="3"/>
  <c r="H128" i="3"/>
  <c r="H126" i="3"/>
  <c r="H112" i="3"/>
  <c r="H99" i="3"/>
  <c r="H109" i="3"/>
  <c r="H110" i="3"/>
  <c r="H114" i="3"/>
  <c r="H108" i="3"/>
  <c r="H253" i="3"/>
  <c r="H74" i="3"/>
  <c r="H244" i="3"/>
  <c r="H169" i="3"/>
  <c r="H171" i="3"/>
  <c r="H170" i="3"/>
  <c r="H242" i="3"/>
  <c r="H249" i="3"/>
  <c r="H250" i="3"/>
  <c r="H243" i="3"/>
  <c r="H251" i="3"/>
  <c r="H246" i="3"/>
  <c r="H248" i="3"/>
  <c r="H115" i="3"/>
  <c r="H220" i="3"/>
  <c r="H215" i="3"/>
  <c r="H92" i="3"/>
  <c r="H91" i="3"/>
  <c r="H222" i="3"/>
  <c r="H291" i="3"/>
  <c r="H214" i="3"/>
  <c r="H230" i="3"/>
  <c r="H117" i="3"/>
  <c r="H116" i="3"/>
  <c r="H216" i="3"/>
  <c r="H229" i="3"/>
  <c r="H231" i="3"/>
  <c r="H277" i="3"/>
  <c r="H284" i="3"/>
  <c r="H173" i="3"/>
  <c r="H268" i="3"/>
  <c r="H89" i="3"/>
  <c r="H88" i="3"/>
  <c r="H269" i="3"/>
  <c r="H270" i="3"/>
  <c r="H271" i="3"/>
  <c r="H258" i="3"/>
  <c r="H290" i="3"/>
  <c r="H198" i="3"/>
  <c r="H199" i="3"/>
  <c r="H196" i="3"/>
  <c r="H194" i="3"/>
  <c r="H195" i="3"/>
  <c r="H285" i="3"/>
  <c r="H96" i="3"/>
  <c r="H287" i="3"/>
  <c r="H288" i="3"/>
  <c r="H263" i="3"/>
  <c r="H282" i="3"/>
  <c r="H289" i="3"/>
  <c r="H286" i="3"/>
  <c r="H265" i="3"/>
  <c r="H264" i="3"/>
  <c r="H283" i="3"/>
  <c r="H267" i="3"/>
  <c r="H275" i="3"/>
  <c r="H276" i="3"/>
  <c r="H273" i="3"/>
  <c r="H274" i="3"/>
  <c r="H262" i="3"/>
  <c r="H261" i="3"/>
  <c r="H278" i="3"/>
  <c r="H292" i="3"/>
  <c r="H272" i="3"/>
  <c r="H259" i="3"/>
  <c r="H280" i="3"/>
  <c r="H281" i="3"/>
  <c r="H293" i="3"/>
  <c r="H60" i="3"/>
  <c r="H179" i="3"/>
  <c r="D180" i="3"/>
  <c r="D181" i="3"/>
  <c r="D185" i="3"/>
  <c r="D174" i="3"/>
  <c r="D175" i="3"/>
  <c r="D176" i="3"/>
  <c r="D177" i="3"/>
  <c r="D178" i="3"/>
  <c r="D182" i="3"/>
  <c r="D183" i="3"/>
  <c r="D184" i="3"/>
  <c r="D143" i="3"/>
  <c r="D146" i="3"/>
  <c r="D197" i="3"/>
  <c r="D188" i="3"/>
  <c r="D189" i="3"/>
  <c r="D104" i="3"/>
  <c r="D142" i="3"/>
  <c r="D118" i="3"/>
  <c r="D119" i="3"/>
  <c r="D132" i="3"/>
  <c r="D217" i="3"/>
  <c r="D219" i="3"/>
  <c r="D131" i="3"/>
  <c r="D135" i="3"/>
  <c r="D133" i="3"/>
  <c r="D134" i="3"/>
  <c r="D53" i="3"/>
  <c r="D172" i="3"/>
  <c r="D218" i="3"/>
  <c r="D101" i="3"/>
  <c r="D166" i="3"/>
  <c r="D167" i="3"/>
  <c r="D147" i="3"/>
  <c r="D103" i="3"/>
  <c r="D105" i="3"/>
  <c r="D266" i="3"/>
  <c r="D254" i="3"/>
  <c r="D256" i="3"/>
  <c r="D255" i="3"/>
  <c r="D233" i="3"/>
  <c r="D232" i="3"/>
  <c r="D239" i="3"/>
  <c r="D238" i="3"/>
  <c r="D241" i="3"/>
  <c r="D240" i="3"/>
  <c r="D234" i="3"/>
  <c r="D237" i="3"/>
  <c r="D236" i="3"/>
  <c r="D235" i="3"/>
  <c r="D224" i="3"/>
  <c r="D225" i="3"/>
  <c r="D122" i="3"/>
  <c r="D121" i="3"/>
  <c r="D123" i="3"/>
  <c r="D257" i="3"/>
  <c r="D155" i="3"/>
  <c r="D77" i="3"/>
  <c r="D69" i="3"/>
  <c r="D64" i="3"/>
  <c r="D62" i="3"/>
  <c r="D68" i="3"/>
  <c r="D168" i="3"/>
  <c r="D86" i="3"/>
  <c r="D85" i="3"/>
  <c r="D87" i="3"/>
  <c r="D58" i="3"/>
  <c r="D56" i="3"/>
  <c r="D57" i="3"/>
  <c r="D59" i="3"/>
  <c r="D61" i="3"/>
  <c r="D165" i="3"/>
  <c r="D113" i="3"/>
  <c r="D55" i="3"/>
  <c r="D54" i="3"/>
  <c r="D51" i="3"/>
  <c r="D52" i="3"/>
  <c r="D63" i="3"/>
  <c r="D71" i="3"/>
  <c r="D72" i="3"/>
  <c r="D70" i="3"/>
  <c r="D73" i="3"/>
  <c r="D79" i="3"/>
  <c r="D164" i="3"/>
  <c r="D158" i="3"/>
  <c r="D106" i="3"/>
  <c r="D252" i="3"/>
  <c r="D66" i="3"/>
  <c r="D163" i="3"/>
  <c r="D191" i="3"/>
  <c r="D192" i="3"/>
  <c r="D78" i="3"/>
  <c r="D76" i="3"/>
  <c r="D75" i="3"/>
  <c r="D193" i="3"/>
  <c r="D226" i="3"/>
  <c r="D228" i="3"/>
  <c r="D67" i="3"/>
  <c r="D65" i="3"/>
  <c r="D294" i="3"/>
  <c r="D157" i="3"/>
  <c r="D97" i="3"/>
  <c r="D107" i="3"/>
  <c r="D200" i="3"/>
  <c r="D102" i="3"/>
  <c r="D111" i="3"/>
  <c r="D187" i="3"/>
  <c r="D186" i="3"/>
  <c r="D227" i="3"/>
  <c r="D137" i="3"/>
  <c r="D138" i="3"/>
  <c r="D145" i="3"/>
  <c r="D201" i="3"/>
  <c r="D202" i="3"/>
  <c r="D153" i="3"/>
  <c r="D206" i="3"/>
  <c r="D207" i="3"/>
  <c r="D204" i="3"/>
  <c r="D205" i="3"/>
  <c r="D210" i="3"/>
  <c r="D211" i="3"/>
  <c r="D208" i="3"/>
  <c r="D136" i="3"/>
  <c r="D203" i="3"/>
  <c r="D144" i="3"/>
  <c r="D140" i="3"/>
  <c r="D139" i="3"/>
  <c r="D141" i="3"/>
  <c r="D149" i="3"/>
  <c r="D148" i="3"/>
  <c r="D209" i="3"/>
  <c r="D154" i="3"/>
  <c r="D151" i="3"/>
  <c r="D152" i="3"/>
  <c r="D150" i="3"/>
  <c r="D279" i="3"/>
  <c r="D221" i="3"/>
  <c r="D161" i="3"/>
  <c r="D156" i="3"/>
  <c r="D162" i="3"/>
  <c r="D159" i="3"/>
  <c r="D160" i="3"/>
  <c r="D83" i="3"/>
  <c r="D80" i="3"/>
  <c r="D84" i="3"/>
  <c r="D81" i="3"/>
  <c r="D82" i="3"/>
  <c r="D94" i="3"/>
  <c r="D90" i="3"/>
  <c r="D93" i="3"/>
  <c r="D213" i="3"/>
  <c r="D212" i="3"/>
  <c r="D190" i="3"/>
  <c r="D223" i="3"/>
  <c r="D98" i="3"/>
  <c r="D260" i="3"/>
  <c r="D247" i="3"/>
  <c r="D95" i="3"/>
  <c r="D100" i="3"/>
  <c r="D245" i="3"/>
  <c r="D124" i="3"/>
  <c r="D127" i="3"/>
  <c r="D125" i="3"/>
  <c r="D120" i="3"/>
  <c r="D130" i="3"/>
  <c r="D129" i="3"/>
  <c r="D128" i="3"/>
  <c r="D126" i="3"/>
  <c r="D112" i="3"/>
  <c r="D99" i="3"/>
  <c r="D109" i="3"/>
  <c r="D110" i="3"/>
  <c r="D114" i="3"/>
  <c r="D108" i="3"/>
  <c r="D253" i="3"/>
  <c r="D74" i="3"/>
  <c r="D244" i="3"/>
  <c r="D169" i="3"/>
  <c r="D171" i="3"/>
  <c r="D170" i="3"/>
  <c r="D242" i="3"/>
  <c r="D249" i="3"/>
  <c r="D250" i="3"/>
  <c r="D243" i="3"/>
  <c r="D251" i="3"/>
  <c r="D246" i="3"/>
  <c r="D248" i="3"/>
  <c r="D115" i="3"/>
  <c r="D220" i="3"/>
  <c r="D215" i="3"/>
  <c r="D92" i="3"/>
  <c r="D91" i="3"/>
  <c r="D222" i="3"/>
  <c r="D291" i="3"/>
  <c r="D214" i="3"/>
  <c r="D230" i="3"/>
  <c r="D117" i="3"/>
  <c r="D116" i="3"/>
  <c r="D216" i="3"/>
  <c r="D229" i="3"/>
  <c r="D231" i="3"/>
  <c r="D277" i="3"/>
  <c r="D284" i="3"/>
  <c r="D173" i="3"/>
  <c r="D268" i="3"/>
  <c r="D89" i="3"/>
  <c r="D88" i="3"/>
  <c r="D269" i="3"/>
  <c r="D270" i="3"/>
  <c r="D271" i="3"/>
  <c r="D258" i="3"/>
  <c r="D290" i="3"/>
  <c r="D198" i="3"/>
  <c r="D199" i="3"/>
  <c r="D196" i="3"/>
  <c r="D194" i="3"/>
  <c r="D195" i="3"/>
  <c r="D285" i="3"/>
  <c r="D96" i="3"/>
  <c r="D287" i="3"/>
  <c r="D288" i="3"/>
  <c r="D263" i="3"/>
  <c r="D282" i="3"/>
  <c r="D289" i="3"/>
  <c r="D286" i="3"/>
  <c r="D265" i="3"/>
  <c r="D264" i="3"/>
  <c r="D283" i="3"/>
  <c r="D267" i="3"/>
  <c r="D275" i="3"/>
  <c r="D276" i="3"/>
  <c r="D273" i="3"/>
  <c r="D274" i="3"/>
  <c r="D262" i="3"/>
  <c r="D261" i="3"/>
  <c r="D278" i="3"/>
  <c r="D292" i="3"/>
  <c r="D272" i="3"/>
  <c r="D259" i="3"/>
  <c r="D280" i="3"/>
  <c r="D281" i="3"/>
  <c r="D293" i="3"/>
  <c r="D60" i="3"/>
  <c r="D179" i="3"/>
  <c r="H17" i="3"/>
  <c r="H18" i="3"/>
  <c r="H9" i="3"/>
  <c r="H8" i="3"/>
  <c r="H10" i="3"/>
  <c r="H11" i="3"/>
  <c r="H7" i="3"/>
  <c r="H13" i="3"/>
  <c r="H12" i="3"/>
  <c r="H33" i="3"/>
  <c r="H37" i="3"/>
  <c r="H32" i="3"/>
  <c r="H39" i="3"/>
  <c r="H20" i="3"/>
  <c r="H38" i="3"/>
  <c r="H21" i="3"/>
  <c r="H6" i="3"/>
  <c r="H31" i="3"/>
  <c r="H26" i="3"/>
  <c r="H27" i="3"/>
  <c r="H24" i="3"/>
  <c r="H25" i="3"/>
  <c r="H23" i="3"/>
  <c r="H35" i="3"/>
  <c r="H14" i="3"/>
  <c r="H15" i="3"/>
  <c r="H19" i="3"/>
  <c r="H29" i="3"/>
  <c r="H28" i="3"/>
  <c r="H30" i="3"/>
  <c r="H34" i="3"/>
  <c r="H36" i="3"/>
  <c r="H42" i="3"/>
  <c r="H41" i="3"/>
  <c r="H45" i="3"/>
  <c r="H43" i="3"/>
  <c r="H40" i="3"/>
  <c r="H44" i="3"/>
  <c r="H22" i="3"/>
  <c r="H16" i="3"/>
  <c r="B300" i="3" l="1"/>
  <c r="A2" i="4" s="1"/>
  <c r="J300" i="3"/>
  <c r="K296" i="3"/>
  <c r="K299" i="3"/>
  <c r="J296" i="3"/>
  <c r="K300" i="3" l="1"/>
  <c r="A1" i="4"/>
  <c r="J299" i="3"/>
</calcChain>
</file>

<file path=xl/sharedStrings.xml><?xml version="1.0" encoding="utf-8"?>
<sst xmlns="http://schemas.openxmlformats.org/spreadsheetml/2006/main" count="313" uniqueCount="312">
  <si>
    <t>Target TCC</t>
  </si>
  <si>
    <t>Base</t>
  </si>
  <si>
    <t>Notes:</t>
  </si>
  <si>
    <t>AEP Incumbent Data</t>
  </si>
  <si>
    <r>
      <t>Survey Results</t>
    </r>
    <r>
      <rPr>
        <b/>
        <vertAlign val="superscript"/>
        <sz val="10"/>
        <rFont val="Arial"/>
        <family val="2"/>
      </rPr>
      <t>1</t>
    </r>
  </si>
  <si>
    <t xml:space="preserve">% Difference </t>
  </si>
  <si>
    <t>Employee Count</t>
  </si>
  <si>
    <t>Avg Base</t>
  </si>
  <si>
    <r>
      <t xml:space="preserve">Target Incentive </t>
    </r>
    <r>
      <rPr>
        <b/>
        <vertAlign val="superscript"/>
        <sz val="10"/>
        <rFont val="Arial"/>
        <family val="2"/>
      </rPr>
      <t>(2)</t>
    </r>
  </si>
  <si>
    <t>Target Incentive</t>
  </si>
  <si>
    <t>Target TCC vs Survey Target TCC</t>
  </si>
  <si>
    <t>Base vs Survey Target TCC</t>
  </si>
  <si>
    <t>AEP TEXAS</t>
  </si>
  <si>
    <t>AEP SERVICE CORP</t>
  </si>
  <si>
    <r>
      <t>% of Jobs Above Market Competitive Range</t>
    </r>
    <r>
      <rPr>
        <vertAlign val="superscript"/>
        <sz val="10"/>
        <color theme="1"/>
        <rFont val="Arial"/>
        <family val="2"/>
      </rPr>
      <t>4</t>
    </r>
  </si>
  <si>
    <r>
      <t>% of Jobs Below Market Competitive Range</t>
    </r>
    <r>
      <rPr>
        <vertAlign val="superscript"/>
        <sz val="10"/>
        <color theme="1"/>
        <rFont val="Arial"/>
        <family val="2"/>
      </rPr>
      <t>4</t>
    </r>
  </si>
  <si>
    <t>(2) Reflects annual target incentive payout for job</t>
  </si>
  <si>
    <t>(1) All survey data aged to November 1, 2018 at 3% annual rate</t>
  </si>
  <si>
    <t>AEP Texas Count</t>
  </si>
  <si>
    <t>AEP Texas Incumbents</t>
  </si>
  <si>
    <t>AVERAGE</t>
  </si>
  <si>
    <t>(3) Survey Data from  April 2018 Towers Watson Energy Services Middle Management &amp; Professional Survey and Towers Watson General Industry Middle Management &amp; Professional Survey</t>
  </si>
  <si>
    <t>(4) A market competitive range of +/- 15 percent has been used for all exempt positions</t>
  </si>
  <si>
    <t>AEPSC Job Count</t>
  </si>
  <si>
    <t>AEPSC Incumbent Count</t>
  </si>
  <si>
    <t>TOTAL JOB COUNT</t>
  </si>
  <si>
    <t>TOTAL INCUMBENT Count</t>
  </si>
  <si>
    <t>TX_E1</t>
  </si>
  <si>
    <t>TX_E2</t>
  </si>
  <si>
    <t>TX_E3</t>
  </si>
  <si>
    <t>TX_E4</t>
  </si>
  <si>
    <t>TX_E5</t>
  </si>
  <si>
    <t>TX_E6</t>
  </si>
  <si>
    <t>TX_E7</t>
  </si>
  <si>
    <t>TX_E8</t>
  </si>
  <si>
    <t>TX_E9</t>
  </si>
  <si>
    <t>TX_E10</t>
  </si>
  <si>
    <t>TX_E11</t>
  </si>
  <si>
    <t>TX_E12</t>
  </si>
  <si>
    <t>TX_E13</t>
  </si>
  <si>
    <t>TX_E14</t>
  </si>
  <si>
    <t>TX_E15</t>
  </si>
  <si>
    <t>TX_E16</t>
  </si>
  <si>
    <t>TX_E17</t>
  </si>
  <si>
    <t>TX_E18</t>
  </si>
  <si>
    <t>TX_E19</t>
  </si>
  <si>
    <t>TX_E20</t>
  </si>
  <si>
    <t>TX_E21</t>
  </si>
  <si>
    <t>TX_E22</t>
  </si>
  <si>
    <t>TX_E23</t>
  </si>
  <si>
    <t>TX_E24</t>
  </si>
  <si>
    <t>TX_E25</t>
  </si>
  <si>
    <t>TX_E26</t>
  </si>
  <si>
    <t>TX_E27</t>
  </si>
  <si>
    <t>TX_E28</t>
  </si>
  <si>
    <t>TX_E29</t>
  </si>
  <si>
    <t>TX_E30</t>
  </si>
  <si>
    <t>TX_E31</t>
  </si>
  <si>
    <t>TX_E32</t>
  </si>
  <si>
    <t>TX_E33</t>
  </si>
  <si>
    <t>TX_E34</t>
  </si>
  <si>
    <t>TX_E35</t>
  </si>
  <si>
    <t>TX_E36</t>
  </si>
  <si>
    <t>TX_E37</t>
  </si>
  <si>
    <t>TX_E38</t>
  </si>
  <si>
    <t>TX_E39</t>
  </si>
  <si>
    <t>TX_E40</t>
  </si>
  <si>
    <t>SVC_E1</t>
  </si>
  <si>
    <t>SVC_E2</t>
  </si>
  <si>
    <t>SVC_E3</t>
  </si>
  <si>
    <t>SVC_E4</t>
  </si>
  <si>
    <t>SVC_E5</t>
  </si>
  <si>
    <t>SVC_E6</t>
  </si>
  <si>
    <t>SVC_E7</t>
  </si>
  <si>
    <t>SVC_E8</t>
  </si>
  <si>
    <t>SVC_E9</t>
  </si>
  <si>
    <t>SVC_E10</t>
  </si>
  <si>
    <t>SVC_E11</t>
  </si>
  <si>
    <t>SVC_E12</t>
  </si>
  <si>
    <t>SVC_E13</t>
  </si>
  <si>
    <t>SVC_E14</t>
  </si>
  <si>
    <t>SVC_E15</t>
  </si>
  <si>
    <t>SVC_E16</t>
  </si>
  <si>
    <t>SVC_E17</t>
  </si>
  <si>
    <t>SVC_E18</t>
  </si>
  <si>
    <t>SVC_E19</t>
  </si>
  <si>
    <t>SVC_E20</t>
  </si>
  <si>
    <t>SVC_E21</t>
  </si>
  <si>
    <t>SVC_E22</t>
  </si>
  <si>
    <t>SVC_E23</t>
  </si>
  <si>
    <t>SVC_E24</t>
  </si>
  <si>
    <t>SVC_E25</t>
  </si>
  <si>
    <t>SVC_E26</t>
  </si>
  <si>
    <t>SVC_E27</t>
  </si>
  <si>
    <t>SVC_E28</t>
  </si>
  <si>
    <t>SVC_E29</t>
  </si>
  <si>
    <t>SVC_E30</t>
  </si>
  <si>
    <t>SVC_E31</t>
  </si>
  <si>
    <t>SVC_E32</t>
  </si>
  <si>
    <t>SVC_E33</t>
  </si>
  <si>
    <t>SVC_E34</t>
  </si>
  <si>
    <t>SVC_E35</t>
  </si>
  <si>
    <t>SVC_E36</t>
  </si>
  <si>
    <t>SVC_E37</t>
  </si>
  <si>
    <t>SVC_E38</t>
  </si>
  <si>
    <t>SVC_E39</t>
  </si>
  <si>
    <t>SVC_E40</t>
  </si>
  <si>
    <t>SVC_E41</t>
  </si>
  <si>
    <t>SVC_E42</t>
  </si>
  <si>
    <t>SVC_E43</t>
  </si>
  <si>
    <t>SVC_E44</t>
  </si>
  <si>
    <t>SVC_E45</t>
  </si>
  <si>
    <t>SVC_E46</t>
  </si>
  <si>
    <t>SVC_E47</t>
  </si>
  <si>
    <t>SVC_E48</t>
  </si>
  <si>
    <t>SVC_E49</t>
  </si>
  <si>
    <t>SVC_E50</t>
  </si>
  <si>
    <t>SVC_E51</t>
  </si>
  <si>
    <t>SVC_E52</t>
  </si>
  <si>
    <t>SVC_E53</t>
  </si>
  <si>
    <t>SVC_E54</t>
  </si>
  <si>
    <t>SVC_E55</t>
  </si>
  <si>
    <t>SVC_E56</t>
  </si>
  <si>
    <t>SVC_E57</t>
  </si>
  <si>
    <t>SVC_E58</t>
  </si>
  <si>
    <t>SVC_E59</t>
  </si>
  <si>
    <t>SVC_E60</t>
  </si>
  <si>
    <t>SVC_E61</t>
  </si>
  <si>
    <t>SVC_E62</t>
  </si>
  <si>
    <t>SVC_E63</t>
  </si>
  <si>
    <t>SVC_E64</t>
  </si>
  <si>
    <t>SVC_E65</t>
  </si>
  <si>
    <t>SVC_E66</t>
  </si>
  <si>
    <t>SVC_E67</t>
  </si>
  <si>
    <t>SVC_E68</t>
  </si>
  <si>
    <t>SVC_E69</t>
  </si>
  <si>
    <t>SVC_E70</t>
  </si>
  <si>
    <t>SVC_E71</t>
  </si>
  <si>
    <t>SVC_E72</t>
  </si>
  <si>
    <t>SVC_E73</t>
  </si>
  <si>
    <t>SVC_E74</t>
  </si>
  <si>
    <t>SVC_E75</t>
  </si>
  <si>
    <t>SVC_E76</t>
  </si>
  <si>
    <t>SVC_E77</t>
  </si>
  <si>
    <t>SVC_E78</t>
  </si>
  <si>
    <t>SVC_E79</t>
  </si>
  <si>
    <t>SVC_E80</t>
  </si>
  <si>
    <t>SVC_E81</t>
  </si>
  <si>
    <t>SVC_E82</t>
  </si>
  <si>
    <t>SVC_E83</t>
  </si>
  <si>
    <t>SVC_E84</t>
  </si>
  <si>
    <t>SVC_E85</t>
  </si>
  <si>
    <t>SVC_E86</t>
  </si>
  <si>
    <t>SVC_E87</t>
  </si>
  <si>
    <t>SVC_E88</t>
  </si>
  <si>
    <t>SVC_E89</t>
  </si>
  <si>
    <t>SVC_E90</t>
  </si>
  <si>
    <t>SVC_E91</t>
  </si>
  <si>
    <t>SVC_E92</t>
  </si>
  <si>
    <t>SVC_E93</t>
  </si>
  <si>
    <t>SVC_E94</t>
  </si>
  <si>
    <t>SVC_E95</t>
  </si>
  <si>
    <t>SVC_E96</t>
  </si>
  <si>
    <t>SVC_E97</t>
  </si>
  <si>
    <t>SVC_E98</t>
  </si>
  <si>
    <t>SVC_E99</t>
  </si>
  <si>
    <t>SVC_E100</t>
  </si>
  <si>
    <t>SVC_E101</t>
  </si>
  <si>
    <t>SVC_E102</t>
  </si>
  <si>
    <t>SVC_E103</t>
  </si>
  <si>
    <t>SVC_E104</t>
  </si>
  <si>
    <t>SVC_E105</t>
  </si>
  <si>
    <t>SVC_E106</t>
  </si>
  <si>
    <t>SVC_E107</t>
  </si>
  <si>
    <t>SVC_E108</t>
  </si>
  <si>
    <t>SVC_E109</t>
  </si>
  <si>
    <t>SVC_E110</t>
  </si>
  <si>
    <t>SVC_E111</t>
  </si>
  <si>
    <t>SVC_E112</t>
  </si>
  <si>
    <t>SVC_E113</t>
  </si>
  <si>
    <t>SVC_E114</t>
  </si>
  <si>
    <t>SVC_E115</t>
  </si>
  <si>
    <t>SVC_E116</t>
  </si>
  <si>
    <t>SVC_E117</t>
  </si>
  <si>
    <t>SVC_E118</t>
  </si>
  <si>
    <t>SVC_E119</t>
  </si>
  <si>
    <t>SVC_E120</t>
  </si>
  <si>
    <t>SVC_E121</t>
  </si>
  <si>
    <t>SVC_E122</t>
  </si>
  <si>
    <t>SVC_E123</t>
  </si>
  <si>
    <t>SVC_E124</t>
  </si>
  <si>
    <t>SVC_E125</t>
  </si>
  <si>
    <t>SVC_E126</t>
  </si>
  <si>
    <t>SVC_E127</t>
  </si>
  <si>
    <t>SVC_E128</t>
  </si>
  <si>
    <t>SVC_E129</t>
  </si>
  <si>
    <t>SVC_E130</t>
  </si>
  <si>
    <t>SVC_E131</t>
  </si>
  <si>
    <t>SVC_E132</t>
  </si>
  <si>
    <t>SVC_E133</t>
  </si>
  <si>
    <t>SVC_E134</t>
  </si>
  <si>
    <t>SVC_E135</t>
  </si>
  <si>
    <t>SVC_E136</t>
  </si>
  <si>
    <t>SVC_E137</t>
  </si>
  <si>
    <t>SVC_E138</t>
  </si>
  <si>
    <t>SVC_E139</t>
  </si>
  <si>
    <t>SVC_E140</t>
  </si>
  <si>
    <t>SVC_E141</t>
  </si>
  <si>
    <t>SVC_E142</t>
  </si>
  <si>
    <t>SVC_E143</t>
  </si>
  <si>
    <t>SVC_E144</t>
  </si>
  <si>
    <t>SVC_E145</t>
  </si>
  <si>
    <t>SVC_E146</t>
  </si>
  <si>
    <t>SVC_E147</t>
  </si>
  <si>
    <t>SVC_E148</t>
  </si>
  <si>
    <t>SVC_E149</t>
  </si>
  <si>
    <t>SVC_E150</t>
  </si>
  <si>
    <t>SVC_E151</t>
  </si>
  <si>
    <t>SVC_E152</t>
  </si>
  <si>
    <t>SVC_E153</t>
  </si>
  <si>
    <t>SVC_E154</t>
  </si>
  <si>
    <t>SVC_E155</t>
  </si>
  <si>
    <t>SVC_E156</t>
  </si>
  <si>
    <t>SVC_E157</t>
  </si>
  <si>
    <t>SVC_E158</t>
  </si>
  <si>
    <t>SVC_E159</t>
  </si>
  <si>
    <t>SVC_E160</t>
  </si>
  <si>
    <t>SVC_E161</t>
  </si>
  <si>
    <t>SVC_E162</t>
  </si>
  <si>
    <t>SVC_E163</t>
  </si>
  <si>
    <t>SVC_E164</t>
  </si>
  <si>
    <t>SVC_E165</t>
  </si>
  <si>
    <t>SVC_E166</t>
  </si>
  <si>
    <t>SVC_E167</t>
  </si>
  <si>
    <t>SVC_E168</t>
  </si>
  <si>
    <t>SVC_E169</t>
  </si>
  <si>
    <t>SVC_E170</t>
  </si>
  <si>
    <t>SVC_E171</t>
  </si>
  <si>
    <t>SVC_E172</t>
  </si>
  <si>
    <t>SVC_E173</t>
  </si>
  <si>
    <t>SVC_E174</t>
  </si>
  <si>
    <t>SVC_E175</t>
  </si>
  <si>
    <t>SVC_E176</t>
  </si>
  <si>
    <t>SVC_E177</t>
  </si>
  <si>
    <t>SVC_E178</t>
  </si>
  <si>
    <t>SVC_E179</t>
  </si>
  <si>
    <t>SVC_E180</t>
  </si>
  <si>
    <t>SVC_E181</t>
  </si>
  <si>
    <t>SVC_E182</t>
  </si>
  <si>
    <t>SVC_E183</t>
  </si>
  <si>
    <t>SVC_E184</t>
  </si>
  <si>
    <t>SVC_E185</t>
  </si>
  <si>
    <t>SVC_E186</t>
  </si>
  <si>
    <t>SVC_E187</t>
  </si>
  <si>
    <t>SVC_E188</t>
  </si>
  <si>
    <t>SVC_E189</t>
  </si>
  <si>
    <t>SVC_E190</t>
  </si>
  <si>
    <t>SVC_E191</t>
  </si>
  <si>
    <t>SVC_E192</t>
  </si>
  <si>
    <t>SVC_E193</t>
  </si>
  <si>
    <t>SVC_E194</t>
  </si>
  <si>
    <t>SVC_E195</t>
  </si>
  <si>
    <t>SVC_E196</t>
  </si>
  <si>
    <t>SVC_E197</t>
  </si>
  <si>
    <t>SVC_E198</t>
  </si>
  <si>
    <t>SVC_E199</t>
  </si>
  <si>
    <t>SVC_E200</t>
  </si>
  <si>
    <t>SVC_E201</t>
  </si>
  <si>
    <t>SVC_E202</t>
  </si>
  <si>
    <t>SVC_E203</t>
  </si>
  <si>
    <t>SVC_E204</t>
  </si>
  <si>
    <t>SVC_E205</t>
  </si>
  <si>
    <t>SVC_E206</t>
  </si>
  <si>
    <t>SVC_E207</t>
  </si>
  <si>
    <t>SVC_E208</t>
  </si>
  <si>
    <t>SVC_E209</t>
  </si>
  <si>
    <t>SVC_E210</t>
  </si>
  <si>
    <t>SVC_E211</t>
  </si>
  <si>
    <t>SVC_E212</t>
  </si>
  <si>
    <t>SVC_E213</t>
  </si>
  <si>
    <t>SVC_E214</t>
  </si>
  <si>
    <t>SVC_E215</t>
  </si>
  <si>
    <t>SVC_E216</t>
  </si>
  <si>
    <t>SVC_E217</t>
  </si>
  <si>
    <t>SVC_E218</t>
  </si>
  <si>
    <t>SVC_E219</t>
  </si>
  <si>
    <t>SVC_E220</t>
  </si>
  <si>
    <t>SVC_E221</t>
  </si>
  <si>
    <t>SVC_E222</t>
  </si>
  <si>
    <t>SVC_E223</t>
  </si>
  <si>
    <t>SVC_E224</t>
  </si>
  <si>
    <t>SVC_E225</t>
  </si>
  <si>
    <t>SVC_E226</t>
  </si>
  <si>
    <t>SVC_E227</t>
  </si>
  <si>
    <t>SVC_E228</t>
  </si>
  <si>
    <t>SVC_E229</t>
  </si>
  <si>
    <t>SVC_E230</t>
  </si>
  <si>
    <t>SVC_E231</t>
  </si>
  <si>
    <t>SVC_E232</t>
  </si>
  <si>
    <t>SVC_E233</t>
  </si>
  <si>
    <t>SVC_E234</t>
  </si>
  <si>
    <t>SVC_E235</t>
  </si>
  <si>
    <t>SVC_E236</t>
  </si>
  <si>
    <t>SVC_E237</t>
  </si>
  <si>
    <t>SVC_E238</t>
  </si>
  <si>
    <t>SVC_E239</t>
  </si>
  <si>
    <t>SVC_E240</t>
  </si>
  <si>
    <t>SVC_E241</t>
  </si>
  <si>
    <t>SVC_E242</t>
  </si>
  <si>
    <t>SVC_E243</t>
  </si>
  <si>
    <t>SVC_E244</t>
  </si>
  <si>
    <t>AEP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</si>
</sst>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&quot;$&quot;#,##0"/>
    <numFmt numFmtId="165" formatCode="0.0%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5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2" fillId="2" borderId="0" xfId="0" applyFont="1" applyFill="1"/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2" fillId="0" borderId="0" xfId="1" applyNumberFormat="1" applyFont="1"/>
    <xf numFmtId="10" fontId="2" fillId="0" borderId="0" xfId="1" applyNumberFormat="1" applyFont="1"/>
    <xf numFmtId="164" fontId="9" fillId="0" borderId="0" xfId="0" applyNumberFormat="1" applyFont="1"/>
    <xf numFmtId="0" fontId="9" fillId="0" borderId="0" xfId="0" applyFont="1"/>
    <xf numFmtId="0" fontId="8" fillId="0" borderId="0" xfId="0" applyFont="1"/>
    <xf numFmtId="165" fontId="10" fillId="0" borderId="0" xfId="1" applyNumberFormat="1" applyFont="1"/>
    <xf numFmtId="165" fontId="7" fillId="0" borderId="0" xfId="1" applyNumberFormat="1" applyFont="1"/>
    <xf numFmtId="165" fontId="9" fillId="0" borderId="0" xfId="0" applyNumberFormat="1" applyFont="1"/>
    <xf numFmtId="166" fontId="2" fillId="0" borderId="0" xfId="2" applyNumberFormat="1" applyFont="1"/>
    <xf numFmtId="166" fontId="9" fillId="0" borderId="0" xfId="2" applyNumberFormat="1" applyFont="1"/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Fill="1"/>
    <xf numFmtId="164" fontId="2" fillId="0" borderId="0" xfId="0" applyNumberFormat="1" applyFont="1" applyFill="1"/>
    <xf numFmtId="10" fontId="2" fillId="0" borderId="0" xfId="1" applyNumberFormat="1" applyFont="1" applyFill="1"/>
    <xf numFmtId="0" fontId="2" fillId="0" borderId="0" xfId="0" applyFont="1" applyAlignment="1">
      <alignment horizontal="left"/>
    </xf>
    <xf numFmtId="164" fontId="3" fillId="2" borderId="1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wrapText="1"/>
    </xf>
    <xf numFmtId="0" fontId="5" fillId="0" borderId="0" xfId="0" applyFont="1" applyAlignment="1">
      <alignment horizontal="left" wrapText="1"/>
    </xf>
  </cellXfs>
  <cellStyles count="3">
    <cellStyle name="Comma" xfId="2" builtinId="3"/>
    <cellStyle name="Normal" xfId="0" builtinId="0"/>
    <cellStyle name="Percent" xfId="1" builtinId="5"/>
  </cellStyles>
  <dxfs count="2">
    <dxf>
      <font>
        <color rgb="FFFF000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ate%20Cases/AEP%20Texas/2019%20Base%20Rate%20Case/2019%20TX%20Base%20KK-ARC/Exhibit%20ARC&#8211;D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te%20Cases/AEP%20Texas/2019%20Base%20Rate%20Case/2019%20TX%20Base%20KK-ARC/Exhibit%20ARC&#8211;D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n exemp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y &amp; craft"/>
    </sheetNames>
    <sheetDataSet>
      <sheetData sheetId="0">
        <row r="18">
          <cell r="E18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06"/>
  <sheetViews>
    <sheetView tabSelected="1" view="pageBreakPreview" zoomScale="60" zoomScaleNormal="100" workbookViewId="0">
      <pane ySplit="4" topLeftCell="A250" activePane="bottomLeft" state="frozen"/>
      <selection pane="bottomLeft" activeCell="Q283" sqref="Q283"/>
    </sheetView>
  </sheetViews>
  <sheetFormatPr defaultRowHeight="12.75" x14ac:dyDescent="0.2"/>
  <cols>
    <col min="1" max="1" width="27.85546875" style="1" customWidth="1"/>
    <col min="2" max="2" width="10.42578125" style="1" customWidth="1"/>
    <col min="3" max="3" width="11.28515625" style="2" bestFit="1" customWidth="1"/>
    <col min="4" max="4" width="11.140625" style="2" bestFit="1" customWidth="1"/>
    <col min="5" max="5" width="11.28515625" style="2" bestFit="1" customWidth="1"/>
    <col min="6" max="6" width="6" style="1" customWidth="1"/>
    <col min="7" max="7" width="11.140625" style="2" bestFit="1" customWidth="1"/>
    <col min="8" max="8" width="10.140625" style="2" bestFit="1" customWidth="1"/>
    <col min="9" max="9" width="11.140625" style="2" bestFit="1" customWidth="1"/>
    <col min="10" max="10" width="11.42578125" style="1" customWidth="1"/>
    <col min="11" max="11" width="7.85546875" style="1" bestFit="1" customWidth="1"/>
    <col min="12" max="16384" width="9.140625" style="1"/>
  </cols>
  <sheetData>
    <row r="3" spans="1:11" s="5" customFormat="1" ht="26.25" customHeight="1" x14ac:dyDescent="0.2">
      <c r="B3" s="6"/>
      <c r="C3" s="27" t="s">
        <v>3</v>
      </c>
      <c r="D3" s="28"/>
      <c r="E3" s="29"/>
      <c r="G3" s="27" t="s">
        <v>4</v>
      </c>
      <c r="H3" s="28"/>
      <c r="I3" s="29"/>
      <c r="J3" s="30" t="s">
        <v>5</v>
      </c>
      <c r="K3" s="30"/>
    </row>
    <row r="4" spans="1:11" s="7" customFormat="1" ht="51" customHeight="1" x14ac:dyDescent="0.25">
      <c r="A4" s="22" t="s">
        <v>311</v>
      </c>
      <c r="B4" s="4" t="s">
        <v>6</v>
      </c>
      <c r="C4" s="9" t="s">
        <v>7</v>
      </c>
      <c r="D4" s="9" t="s">
        <v>8</v>
      </c>
      <c r="E4" s="9" t="s">
        <v>0</v>
      </c>
      <c r="G4" s="9" t="s">
        <v>1</v>
      </c>
      <c r="H4" s="9" t="s">
        <v>9</v>
      </c>
      <c r="I4" s="9" t="s">
        <v>0</v>
      </c>
      <c r="J4" s="4" t="s">
        <v>10</v>
      </c>
      <c r="K4" s="4" t="s">
        <v>11</v>
      </c>
    </row>
    <row r="5" spans="1:11" s="7" customFormat="1" x14ac:dyDescent="0.2">
      <c r="A5" s="11" t="s">
        <v>12</v>
      </c>
      <c r="B5" s="8"/>
      <c r="C5" s="10"/>
      <c r="D5" s="10"/>
      <c r="E5" s="10"/>
      <c r="G5" s="10"/>
      <c r="H5" s="10"/>
      <c r="I5" s="10"/>
      <c r="J5" s="8"/>
      <c r="K5" s="8"/>
    </row>
    <row r="6" spans="1:11" x14ac:dyDescent="0.2">
      <c r="A6" s="1" t="s">
        <v>27</v>
      </c>
      <c r="B6" s="1">
        <v>3</v>
      </c>
      <c r="C6" s="2">
        <v>99034.79</v>
      </c>
      <c r="D6" s="12">
        <v>9903.4789999999994</v>
      </c>
      <c r="E6" s="2">
        <v>108938.269</v>
      </c>
      <c r="G6" s="2">
        <v>109387</v>
      </c>
      <c r="H6" s="2">
        <f t="shared" ref="H6:H45" si="0">I6-G6</f>
        <v>3938</v>
      </c>
      <c r="I6" s="2">
        <v>113325</v>
      </c>
      <c r="J6" s="13">
        <f>(E6-I6)/I6</f>
        <v>-3.8709296271784689E-2</v>
      </c>
      <c r="K6" s="13">
        <f>(C6-I6)/I6</f>
        <v>-0.12609936024707705</v>
      </c>
    </row>
    <row r="7" spans="1:11" x14ac:dyDescent="0.2">
      <c r="A7" s="1" t="s">
        <v>28</v>
      </c>
      <c r="B7" s="1">
        <v>3</v>
      </c>
      <c r="C7" s="2">
        <v>126565.08</v>
      </c>
      <c r="D7" s="12">
        <v>25313.016000000003</v>
      </c>
      <c r="E7" s="2">
        <v>151878.09600000002</v>
      </c>
      <c r="G7" s="2">
        <v>158169</v>
      </c>
      <c r="H7" s="2">
        <f t="shared" si="0"/>
        <v>23576</v>
      </c>
      <c r="I7" s="2">
        <v>181745</v>
      </c>
      <c r="J7" s="13">
        <f t="shared" ref="J7:J73" si="1">(E7-I7)/I7</f>
        <v>-0.16433411648188384</v>
      </c>
      <c r="K7" s="13">
        <f t="shared" ref="K7:K73" si="2">(C7-I7)/I7</f>
        <v>-0.30361176373490328</v>
      </c>
    </row>
    <row r="8" spans="1:11" x14ac:dyDescent="0.2">
      <c r="A8" s="1" t="s">
        <v>29</v>
      </c>
      <c r="B8" s="1">
        <v>5</v>
      </c>
      <c r="C8" s="2">
        <v>80311.607999999993</v>
      </c>
      <c r="D8" s="12">
        <v>8031.1607999999997</v>
      </c>
      <c r="E8" s="2">
        <v>88342.768799999991</v>
      </c>
      <c r="G8" s="2">
        <v>79869</v>
      </c>
      <c r="H8" s="2">
        <f t="shared" si="0"/>
        <v>1304</v>
      </c>
      <c r="I8" s="2">
        <v>81173</v>
      </c>
      <c r="J8" s="13">
        <f t="shared" si="1"/>
        <v>8.8327015140502271E-2</v>
      </c>
      <c r="K8" s="13">
        <f t="shared" si="2"/>
        <v>-1.0611804417725194E-2</v>
      </c>
    </row>
    <row r="9" spans="1:11" x14ac:dyDescent="0.2">
      <c r="A9" s="1" t="s">
        <v>30</v>
      </c>
      <c r="B9" s="1">
        <v>3</v>
      </c>
      <c r="C9" s="2">
        <v>94779.849999999991</v>
      </c>
      <c r="D9" s="12">
        <v>9477.9849999999988</v>
      </c>
      <c r="E9" s="2">
        <v>104257.83499999999</v>
      </c>
      <c r="G9" s="2">
        <v>103495</v>
      </c>
      <c r="H9" s="2">
        <f t="shared" si="0"/>
        <v>4696</v>
      </c>
      <c r="I9" s="2">
        <v>108191</v>
      </c>
      <c r="J9" s="13">
        <f t="shared" si="1"/>
        <v>-3.6353901895721533E-2</v>
      </c>
      <c r="K9" s="13">
        <f t="shared" si="2"/>
        <v>-0.12395809263247413</v>
      </c>
    </row>
    <row r="10" spans="1:11" x14ac:dyDescent="0.2">
      <c r="A10" s="1" t="s">
        <v>31</v>
      </c>
      <c r="B10" s="1">
        <v>4</v>
      </c>
      <c r="C10" s="2">
        <v>86842.022499999992</v>
      </c>
      <c r="D10" s="12">
        <v>8684.2022500000003</v>
      </c>
      <c r="E10" s="2">
        <v>95526.224749999994</v>
      </c>
      <c r="G10" s="2">
        <v>86448</v>
      </c>
      <c r="H10" s="2">
        <f t="shared" si="0"/>
        <v>3344</v>
      </c>
      <c r="I10" s="2">
        <v>89792</v>
      </c>
      <c r="J10" s="13">
        <f t="shared" si="1"/>
        <v>6.3861198659123236E-2</v>
      </c>
      <c r="K10" s="13">
        <f t="shared" si="2"/>
        <v>-3.2853455764433451E-2</v>
      </c>
    </row>
    <row r="11" spans="1:11" x14ac:dyDescent="0.2">
      <c r="A11" s="1" t="s">
        <v>32</v>
      </c>
      <c r="B11" s="1">
        <v>3</v>
      </c>
      <c r="C11" s="2">
        <v>96947.496666666659</v>
      </c>
      <c r="D11" s="12">
        <v>9694.7496666666666</v>
      </c>
      <c r="E11" s="2">
        <v>106642.24633333333</v>
      </c>
      <c r="G11" s="2">
        <v>106490</v>
      </c>
      <c r="H11" s="2">
        <f t="shared" si="0"/>
        <v>10102</v>
      </c>
      <c r="I11" s="2">
        <v>116592</v>
      </c>
      <c r="J11" s="13">
        <f t="shared" si="1"/>
        <v>-8.5338219317506098E-2</v>
      </c>
      <c r="K11" s="13">
        <f t="shared" si="2"/>
        <v>-0.16848929028864193</v>
      </c>
    </row>
    <row r="12" spans="1:11" x14ac:dyDescent="0.2">
      <c r="A12" s="1" t="s">
        <v>33</v>
      </c>
      <c r="B12" s="1">
        <v>9</v>
      </c>
      <c r="C12" s="2">
        <v>90965.451111111121</v>
      </c>
      <c r="D12" s="12">
        <v>9096.5451111111124</v>
      </c>
      <c r="E12" s="2">
        <v>100061.99622222224</v>
      </c>
      <c r="G12" s="2">
        <v>110461</v>
      </c>
      <c r="H12" s="2">
        <f t="shared" si="0"/>
        <v>12876</v>
      </c>
      <c r="I12" s="2">
        <v>123337</v>
      </c>
      <c r="J12" s="13">
        <f t="shared" si="1"/>
        <v>-0.18871063653062553</v>
      </c>
      <c r="K12" s="13">
        <f t="shared" si="2"/>
        <v>-0.26246421502784145</v>
      </c>
    </row>
    <row r="13" spans="1:11" x14ac:dyDescent="0.2">
      <c r="A13" s="1" t="s">
        <v>34</v>
      </c>
      <c r="B13" s="1">
        <v>6</v>
      </c>
      <c r="C13" s="2">
        <v>81691.476666666669</v>
      </c>
      <c r="D13" s="12">
        <v>7352.2329</v>
      </c>
      <c r="E13" s="2">
        <v>89043.709566666672</v>
      </c>
      <c r="G13" s="2">
        <v>69124</v>
      </c>
      <c r="H13" s="2">
        <f t="shared" si="0"/>
        <v>4359</v>
      </c>
      <c r="I13" s="2">
        <v>73483</v>
      </c>
      <c r="J13" s="13">
        <f t="shared" si="1"/>
        <v>0.21175931258477024</v>
      </c>
      <c r="K13" s="13">
        <f t="shared" si="2"/>
        <v>0.11170579136217451</v>
      </c>
    </row>
    <row r="14" spans="1:11" x14ac:dyDescent="0.2">
      <c r="A14" s="1" t="s">
        <v>35</v>
      </c>
      <c r="B14" s="1">
        <v>3</v>
      </c>
      <c r="C14" s="2">
        <v>114081.16333333333</v>
      </c>
      <c r="D14" s="12">
        <v>11408.116333333333</v>
      </c>
      <c r="E14" s="2">
        <v>125489.27966666667</v>
      </c>
      <c r="G14" s="2">
        <v>110091</v>
      </c>
      <c r="H14" s="2">
        <f t="shared" si="0"/>
        <v>13000</v>
      </c>
      <c r="I14" s="2">
        <v>123091</v>
      </c>
      <c r="J14" s="13">
        <f t="shared" si="1"/>
        <v>1.9483793832747065E-2</v>
      </c>
      <c r="K14" s="13">
        <f t="shared" si="2"/>
        <v>-7.3196551061139078E-2</v>
      </c>
    </row>
    <row r="15" spans="1:11" x14ac:dyDescent="0.2">
      <c r="A15" s="1" t="s">
        <v>36</v>
      </c>
      <c r="B15" s="1">
        <v>3</v>
      </c>
      <c r="C15" s="2">
        <v>97516.703333333324</v>
      </c>
      <c r="D15" s="12">
        <v>9751.6703333333335</v>
      </c>
      <c r="E15" s="2">
        <v>107268.37366666665</v>
      </c>
      <c r="G15" s="2">
        <v>94975</v>
      </c>
      <c r="H15" s="2">
        <f t="shared" si="0"/>
        <v>10102</v>
      </c>
      <c r="I15" s="2">
        <v>105077</v>
      </c>
      <c r="J15" s="13">
        <f t="shared" si="1"/>
        <v>2.0854931780186454E-2</v>
      </c>
      <c r="K15" s="13">
        <f t="shared" si="2"/>
        <v>-7.1950062018012281E-2</v>
      </c>
    </row>
    <row r="16" spans="1:11" x14ac:dyDescent="0.2">
      <c r="A16" s="1" t="s">
        <v>37</v>
      </c>
      <c r="B16" s="1">
        <v>17</v>
      </c>
      <c r="C16" s="2">
        <v>71062.773529411788</v>
      </c>
      <c r="D16" s="12">
        <v>6395.6496176470609</v>
      </c>
      <c r="E16" s="2">
        <v>77458.423147058842</v>
      </c>
      <c r="G16" s="2">
        <v>77520</v>
      </c>
      <c r="H16" s="2">
        <f t="shared" si="0"/>
        <v>4120</v>
      </c>
      <c r="I16" s="2">
        <v>81640</v>
      </c>
      <c r="J16" s="13">
        <f t="shared" si="1"/>
        <v>-5.1219706674928443E-2</v>
      </c>
      <c r="K16" s="13">
        <f t="shared" si="2"/>
        <v>-0.12955936392195261</v>
      </c>
    </row>
    <row r="17" spans="1:11" x14ac:dyDescent="0.2">
      <c r="A17" s="1" t="s">
        <v>38</v>
      </c>
      <c r="B17" s="1">
        <v>21</v>
      </c>
      <c r="C17" s="2">
        <v>64355.698952380946</v>
      </c>
      <c r="D17" s="12">
        <v>5148.4559161904754</v>
      </c>
      <c r="E17" s="2">
        <v>69504.154868571422</v>
      </c>
      <c r="G17" s="2">
        <v>70011</v>
      </c>
      <c r="H17" s="2">
        <f t="shared" si="0"/>
        <v>4505</v>
      </c>
      <c r="I17" s="2">
        <v>74516</v>
      </c>
      <c r="J17" s="13">
        <f t="shared" si="1"/>
        <v>-6.7258644202970869E-2</v>
      </c>
      <c r="K17" s="13">
        <f t="shared" si="2"/>
        <v>-0.13635059648423228</v>
      </c>
    </row>
    <row r="18" spans="1:11" x14ac:dyDescent="0.2">
      <c r="A18" s="1" t="s">
        <v>39</v>
      </c>
      <c r="B18" s="1">
        <v>8</v>
      </c>
      <c r="C18" s="2">
        <v>92849.54</v>
      </c>
      <c r="D18" s="12">
        <v>9284.9539999999997</v>
      </c>
      <c r="E18" s="2">
        <v>102134.49399999999</v>
      </c>
      <c r="G18" s="2">
        <v>96798</v>
      </c>
      <c r="H18" s="2">
        <f t="shared" si="0"/>
        <v>4690</v>
      </c>
      <c r="I18" s="2">
        <v>101488</v>
      </c>
      <c r="J18" s="13">
        <f t="shared" si="1"/>
        <v>6.3701521362130647E-3</v>
      </c>
      <c r="K18" s="13">
        <f t="shared" si="2"/>
        <v>-8.5118043512533562E-2</v>
      </c>
    </row>
    <row r="19" spans="1:11" x14ac:dyDescent="0.2">
      <c r="A19" s="1" t="s">
        <v>40</v>
      </c>
      <c r="B19" s="1">
        <v>4</v>
      </c>
      <c r="C19" s="2">
        <v>79253.539999999994</v>
      </c>
      <c r="D19" s="12">
        <v>7132.8185999999996</v>
      </c>
      <c r="E19" s="2">
        <v>86386.358599999992</v>
      </c>
      <c r="G19" s="2">
        <v>74102</v>
      </c>
      <c r="H19" s="2">
        <f t="shared" si="0"/>
        <v>1997</v>
      </c>
      <c r="I19" s="2">
        <v>76099</v>
      </c>
      <c r="J19" s="13">
        <f t="shared" si="1"/>
        <v>0.13518388677906401</v>
      </c>
      <c r="K19" s="13">
        <f t="shared" si="2"/>
        <v>4.1453107136755984E-2</v>
      </c>
    </row>
    <row r="20" spans="1:11" x14ac:dyDescent="0.2">
      <c r="A20" s="1" t="s">
        <v>41</v>
      </c>
      <c r="B20" s="1">
        <v>4</v>
      </c>
      <c r="C20" s="2">
        <v>113822.19</v>
      </c>
      <c r="D20" s="12">
        <v>11382.219000000001</v>
      </c>
      <c r="E20" s="2">
        <v>125204.409</v>
      </c>
      <c r="G20" s="2">
        <v>116261</v>
      </c>
      <c r="H20" s="2">
        <f t="shared" si="0"/>
        <v>16314</v>
      </c>
      <c r="I20" s="2">
        <v>132575</v>
      </c>
      <c r="J20" s="13">
        <f t="shared" si="1"/>
        <v>-5.5595632660758065E-2</v>
      </c>
      <c r="K20" s="13">
        <f t="shared" si="2"/>
        <v>-0.14145057514614368</v>
      </c>
    </row>
    <row r="21" spans="1:11" x14ac:dyDescent="0.2">
      <c r="A21" s="1" t="s">
        <v>42</v>
      </c>
      <c r="B21" s="1">
        <v>3</v>
      </c>
      <c r="C21" s="2">
        <v>59381.323333333334</v>
      </c>
      <c r="D21" s="12">
        <v>4750.5058666666664</v>
      </c>
      <c r="E21" s="2">
        <v>64131.8292</v>
      </c>
      <c r="G21" s="2">
        <v>70520</v>
      </c>
      <c r="H21" s="2">
        <f t="shared" si="0"/>
        <v>5768</v>
      </c>
      <c r="I21" s="2">
        <v>76288</v>
      </c>
      <c r="J21" s="13">
        <f t="shared" si="1"/>
        <v>-0.15934577915268455</v>
      </c>
      <c r="K21" s="13">
        <f t="shared" si="2"/>
        <v>-0.22161646217841163</v>
      </c>
    </row>
    <row r="22" spans="1:11" x14ac:dyDescent="0.2">
      <c r="A22" s="1" t="s">
        <v>43</v>
      </c>
      <c r="B22" s="1">
        <v>4</v>
      </c>
      <c r="C22" s="2">
        <v>102809.845</v>
      </c>
      <c r="D22" s="2">
        <v>10280.9845</v>
      </c>
      <c r="E22" s="2">
        <v>113090.82950000001</v>
      </c>
      <c r="G22" s="2">
        <v>108706</v>
      </c>
      <c r="H22" s="2">
        <f t="shared" si="0"/>
        <v>12179</v>
      </c>
      <c r="I22" s="2">
        <v>120885</v>
      </c>
      <c r="J22" s="13">
        <f t="shared" si="1"/>
        <v>-6.4475910989783614E-2</v>
      </c>
      <c r="K22" s="13">
        <f t="shared" si="2"/>
        <v>-0.14952355544525789</v>
      </c>
    </row>
    <row r="23" spans="1:11" x14ac:dyDescent="0.2">
      <c r="A23" s="1" t="s">
        <v>44</v>
      </c>
      <c r="B23" s="1">
        <v>7</v>
      </c>
      <c r="C23" s="2">
        <v>113820.09142857142</v>
      </c>
      <c r="D23" s="12">
        <v>17073.013714285713</v>
      </c>
      <c r="E23" s="2">
        <v>130893.10514285714</v>
      </c>
      <c r="G23" s="2">
        <v>127106</v>
      </c>
      <c r="H23" s="2">
        <f t="shared" si="0"/>
        <v>17257</v>
      </c>
      <c r="I23" s="2">
        <v>144363</v>
      </c>
      <c r="J23" s="13">
        <f t="shared" si="1"/>
        <v>-9.3305728317802081E-2</v>
      </c>
      <c r="K23" s="13">
        <f t="shared" si="2"/>
        <v>-0.2115701985372192</v>
      </c>
    </row>
    <row r="24" spans="1:11" x14ac:dyDescent="0.2">
      <c r="A24" s="1" t="s">
        <v>45</v>
      </c>
      <c r="B24" s="1">
        <v>7</v>
      </c>
      <c r="C24" s="2">
        <v>70815.104857142869</v>
      </c>
      <c r="D24" s="12">
        <v>6373.359437142858</v>
      </c>
      <c r="E24" s="2">
        <v>77188.464294285732</v>
      </c>
      <c r="G24" s="2">
        <v>82199</v>
      </c>
      <c r="H24" s="2">
        <f t="shared" si="0"/>
        <v>8099</v>
      </c>
      <c r="I24" s="2">
        <v>90298</v>
      </c>
      <c r="J24" s="13">
        <f t="shared" si="1"/>
        <v>-0.14518079808760181</v>
      </c>
      <c r="K24" s="13">
        <f t="shared" si="2"/>
        <v>-0.21576220008036867</v>
      </c>
    </row>
    <row r="25" spans="1:11" x14ac:dyDescent="0.2">
      <c r="A25" s="1" t="s">
        <v>46</v>
      </c>
      <c r="B25" s="1">
        <v>8</v>
      </c>
      <c r="C25" s="2">
        <v>58108.71125</v>
      </c>
      <c r="D25" s="12">
        <v>4648.6968999999999</v>
      </c>
      <c r="E25" s="2">
        <v>62757.408150000003</v>
      </c>
      <c r="G25" s="2">
        <v>67008</v>
      </c>
      <c r="H25" s="2">
        <f t="shared" si="0"/>
        <v>6152</v>
      </c>
      <c r="I25" s="2">
        <v>73160</v>
      </c>
      <c r="J25" s="13">
        <f t="shared" si="1"/>
        <v>-0.14218960975943135</v>
      </c>
      <c r="K25" s="13">
        <f t="shared" si="2"/>
        <v>-0.20573112014762165</v>
      </c>
    </row>
    <row r="26" spans="1:11" x14ac:dyDescent="0.2">
      <c r="A26" s="1" t="s">
        <v>47</v>
      </c>
      <c r="B26" s="1">
        <v>3</v>
      </c>
      <c r="C26" s="2">
        <v>85610.16</v>
      </c>
      <c r="D26" s="12">
        <v>8561.0160000000014</v>
      </c>
      <c r="E26" s="2">
        <v>94171.176000000007</v>
      </c>
      <c r="G26" s="2">
        <v>92645</v>
      </c>
      <c r="H26" s="2">
        <f t="shared" si="0"/>
        <v>8342</v>
      </c>
      <c r="I26" s="2">
        <v>100987</v>
      </c>
      <c r="J26" s="13">
        <f t="shared" si="1"/>
        <v>-6.7492093041678566E-2</v>
      </c>
      <c r="K26" s="13">
        <f t="shared" si="2"/>
        <v>-0.15226553912879873</v>
      </c>
    </row>
    <row r="27" spans="1:11" x14ac:dyDescent="0.2">
      <c r="A27" s="1" t="s">
        <v>48</v>
      </c>
      <c r="B27" s="1">
        <v>5</v>
      </c>
      <c r="C27" s="2">
        <v>81991.486000000004</v>
      </c>
      <c r="D27" s="12">
        <v>8199.1486000000004</v>
      </c>
      <c r="E27" s="2">
        <v>90190.634600000005</v>
      </c>
      <c r="G27" s="2">
        <v>92645</v>
      </c>
      <c r="H27" s="2">
        <f t="shared" si="0"/>
        <v>8342</v>
      </c>
      <c r="I27" s="2">
        <v>100987</v>
      </c>
      <c r="J27" s="13">
        <f t="shared" si="1"/>
        <v>-0.1069084674265004</v>
      </c>
      <c r="K27" s="13">
        <f t="shared" si="2"/>
        <v>-0.188098606751364</v>
      </c>
    </row>
    <row r="28" spans="1:11" x14ac:dyDescent="0.2">
      <c r="A28" s="1" t="s">
        <v>49</v>
      </c>
      <c r="B28" s="1">
        <v>4</v>
      </c>
      <c r="C28" s="2">
        <v>84664.192999999999</v>
      </c>
      <c r="D28" s="12">
        <v>7619.7773699999998</v>
      </c>
      <c r="E28" s="2">
        <v>92283.970369999995</v>
      </c>
      <c r="G28" s="2">
        <v>75694</v>
      </c>
      <c r="H28" s="2">
        <f t="shared" si="0"/>
        <v>7392</v>
      </c>
      <c r="I28" s="2">
        <v>83086</v>
      </c>
      <c r="J28" s="13">
        <f t="shared" si="1"/>
        <v>0.11070421454878072</v>
      </c>
      <c r="K28" s="13">
        <f t="shared" si="2"/>
        <v>1.8994692246587865E-2</v>
      </c>
    </row>
    <row r="29" spans="1:11" x14ac:dyDescent="0.2">
      <c r="A29" s="1" t="s">
        <v>50</v>
      </c>
      <c r="B29" s="1">
        <v>16</v>
      </c>
      <c r="C29" s="2">
        <v>92711.879875000013</v>
      </c>
      <c r="D29" s="12">
        <v>9271.1879875000013</v>
      </c>
      <c r="E29" s="2">
        <v>101983.06786250001</v>
      </c>
      <c r="G29" s="2">
        <v>91438</v>
      </c>
      <c r="H29" s="2">
        <f t="shared" si="0"/>
        <v>10811</v>
      </c>
      <c r="I29" s="2">
        <v>102249</v>
      </c>
      <c r="J29" s="13">
        <f t="shared" si="1"/>
        <v>-2.6008287367112188E-3</v>
      </c>
      <c r="K29" s="13">
        <f t="shared" si="2"/>
        <v>-9.3273480669737466E-2</v>
      </c>
    </row>
    <row r="30" spans="1:11" x14ac:dyDescent="0.2">
      <c r="A30" s="1" t="s">
        <v>51</v>
      </c>
      <c r="B30" s="1">
        <v>33</v>
      </c>
      <c r="C30" s="2">
        <v>110638.2378787879</v>
      </c>
      <c r="D30" s="12">
        <v>11063.823787878791</v>
      </c>
      <c r="E30" s="2">
        <v>121702.06166666669</v>
      </c>
      <c r="G30" s="2">
        <v>101604</v>
      </c>
      <c r="H30" s="2">
        <f t="shared" si="0"/>
        <v>9842</v>
      </c>
      <c r="I30" s="2">
        <v>111446</v>
      </c>
      <c r="J30" s="13">
        <f t="shared" si="1"/>
        <v>9.2027185064216657E-2</v>
      </c>
      <c r="K30" s="13">
        <f t="shared" si="2"/>
        <v>-7.2480135779848642E-3</v>
      </c>
    </row>
    <row r="31" spans="1:11" x14ac:dyDescent="0.2">
      <c r="A31" s="1" t="s">
        <v>52</v>
      </c>
      <c r="B31" s="1">
        <v>6</v>
      </c>
      <c r="C31" s="2">
        <v>93323.196666666656</v>
      </c>
      <c r="D31" s="12">
        <v>9332.3196666666663</v>
      </c>
      <c r="E31" s="2">
        <v>102655.51633333332</v>
      </c>
      <c r="G31" s="2">
        <v>105318</v>
      </c>
      <c r="H31" s="2">
        <f t="shared" si="0"/>
        <v>8102</v>
      </c>
      <c r="I31" s="2">
        <v>113420</v>
      </c>
      <c r="J31" s="13">
        <f t="shared" si="1"/>
        <v>-9.4908161405983793E-2</v>
      </c>
      <c r="K31" s="13">
        <f t="shared" si="2"/>
        <v>-0.17718923764180342</v>
      </c>
    </row>
    <row r="32" spans="1:11" x14ac:dyDescent="0.2">
      <c r="A32" s="1" t="s">
        <v>53</v>
      </c>
      <c r="B32" s="1">
        <v>6</v>
      </c>
      <c r="C32" s="2">
        <v>114673.04833333334</v>
      </c>
      <c r="D32" s="12">
        <v>17200.957249999999</v>
      </c>
      <c r="E32" s="2">
        <v>131874.00558333335</v>
      </c>
      <c r="G32" s="2">
        <v>116425</v>
      </c>
      <c r="H32" s="2">
        <f t="shared" si="0"/>
        <v>8833</v>
      </c>
      <c r="I32" s="2">
        <v>125258</v>
      </c>
      <c r="J32" s="13">
        <f t="shared" si="1"/>
        <v>5.2819026196596994E-2</v>
      </c>
      <c r="K32" s="13">
        <f t="shared" si="2"/>
        <v>-8.450519461165483E-2</v>
      </c>
    </row>
    <row r="33" spans="1:11" x14ac:dyDescent="0.2">
      <c r="A33" s="1" t="s">
        <v>54</v>
      </c>
      <c r="B33" s="1">
        <v>3</v>
      </c>
      <c r="C33" s="2">
        <v>62542.363333333335</v>
      </c>
      <c r="D33" s="12">
        <v>5003.3890666666666</v>
      </c>
      <c r="E33" s="2">
        <v>67545.752399999998</v>
      </c>
      <c r="G33" s="2">
        <v>75371</v>
      </c>
      <c r="H33" s="2">
        <f t="shared" si="0"/>
        <v>3200</v>
      </c>
      <c r="I33" s="2">
        <v>78571</v>
      </c>
      <c r="J33" s="13">
        <f t="shared" si="1"/>
        <v>-0.14032209848417357</v>
      </c>
      <c r="K33" s="13">
        <f t="shared" si="2"/>
        <v>-0.20400194304090141</v>
      </c>
    </row>
    <row r="34" spans="1:11" x14ac:dyDescent="0.2">
      <c r="A34" s="1" t="s">
        <v>55</v>
      </c>
      <c r="B34" s="1">
        <v>6</v>
      </c>
      <c r="C34" s="2">
        <v>110028.25</v>
      </c>
      <c r="D34" s="12">
        <v>11002.825000000001</v>
      </c>
      <c r="E34" s="2">
        <v>121031.075</v>
      </c>
      <c r="G34" s="2">
        <v>101175</v>
      </c>
      <c r="H34" s="2">
        <f t="shared" si="0"/>
        <v>10994</v>
      </c>
      <c r="I34" s="2">
        <v>112169</v>
      </c>
      <c r="J34" s="13">
        <f t="shared" si="1"/>
        <v>7.9006454546264981E-2</v>
      </c>
      <c r="K34" s="13">
        <f t="shared" si="2"/>
        <v>-1.9085041321577262E-2</v>
      </c>
    </row>
    <row r="35" spans="1:11" x14ac:dyDescent="0.2">
      <c r="A35" s="1" t="s">
        <v>56</v>
      </c>
      <c r="B35" s="1">
        <v>5</v>
      </c>
      <c r="C35" s="2">
        <v>150990.37400000001</v>
      </c>
      <c r="D35" s="12">
        <v>30198.074800000002</v>
      </c>
      <c r="E35" s="2">
        <v>181188.44880000001</v>
      </c>
      <c r="G35" s="2">
        <v>144568</v>
      </c>
      <c r="H35" s="2">
        <f t="shared" si="0"/>
        <v>30450</v>
      </c>
      <c r="I35" s="2">
        <v>175018</v>
      </c>
      <c r="J35" s="13">
        <f t="shared" si="1"/>
        <v>3.525608108880237E-2</v>
      </c>
      <c r="K35" s="13">
        <f t="shared" si="2"/>
        <v>-0.13728659909266469</v>
      </c>
    </row>
    <row r="36" spans="1:11" x14ac:dyDescent="0.2">
      <c r="A36" s="1" t="s">
        <v>57</v>
      </c>
      <c r="B36" s="1">
        <v>7</v>
      </c>
      <c r="C36" s="2">
        <v>98638.325714285718</v>
      </c>
      <c r="D36" s="12">
        <v>9863.8325714285729</v>
      </c>
      <c r="E36" s="2">
        <v>108502.15828571429</v>
      </c>
      <c r="G36" s="2">
        <v>84034</v>
      </c>
      <c r="H36" s="2">
        <f t="shared" si="0"/>
        <v>1564</v>
      </c>
      <c r="I36" s="2">
        <v>85598</v>
      </c>
      <c r="J36" s="13">
        <f t="shared" si="1"/>
        <v>0.26757819441709263</v>
      </c>
      <c r="K36" s="13">
        <f t="shared" si="2"/>
        <v>0.15234381310644779</v>
      </c>
    </row>
    <row r="37" spans="1:11" x14ac:dyDescent="0.2">
      <c r="A37" s="1" t="s">
        <v>58</v>
      </c>
      <c r="B37" s="1">
        <v>7</v>
      </c>
      <c r="C37" s="2">
        <v>79441.902857142864</v>
      </c>
      <c r="D37" s="12">
        <v>7149.7712571428574</v>
      </c>
      <c r="E37" s="2">
        <v>86591.674114285721</v>
      </c>
      <c r="G37" s="2">
        <v>84985</v>
      </c>
      <c r="H37" s="2">
        <f t="shared" si="0"/>
        <v>7501</v>
      </c>
      <c r="I37" s="2">
        <v>92486</v>
      </c>
      <c r="J37" s="13">
        <f t="shared" si="1"/>
        <v>-6.3732087945356911E-2</v>
      </c>
      <c r="K37" s="13">
        <f t="shared" si="2"/>
        <v>-0.14103861279390542</v>
      </c>
    </row>
    <row r="38" spans="1:11" x14ac:dyDescent="0.2">
      <c r="A38" s="1" t="s">
        <v>59</v>
      </c>
      <c r="B38" s="1">
        <v>3</v>
      </c>
      <c r="C38" s="2">
        <v>70769.166666666672</v>
      </c>
      <c r="D38" s="12">
        <v>5661.5333333333338</v>
      </c>
      <c r="E38" s="2">
        <v>76430.700000000012</v>
      </c>
      <c r="G38" s="2">
        <v>60879</v>
      </c>
      <c r="H38" s="2">
        <f t="shared" si="0"/>
        <v>4980</v>
      </c>
      <c r="I38" s="2">
        <v>65859</v>
      </c>
      <c r="J38" s="13">
        <f t="shared" si="1"/>
        <v>0.16052020225026209</v>
      </c>
      <c r="K38" s="13">
        <f t="shared" si="2"/>
        <v>7.4555742824316665E-2</v>
      </c>
    </row>
    <row r="39" spans="1:11" x14ac:dyDescent="0.2">
      <c r="A39" s="1" t="s">
        <v>60</v>
      </c>
      <c r="B39" s="1">
        <v>6</v>
      </c>
      <c r="C39" s="2">
        <v>85124.013333333336</v>
      </c>
      <c r="D39" s="12">
        <v>8512.4013333333332</v>
      </c>
      <c r="E39" s="2">
        <v>93636.414666666664</v>
      </c>
      <c r="G39" s="2">
        <v>63353</v>
      </c>
      <c r="H39" s="2">
        <f t="shared" si="0"/>
        <v>5600</v>
      </c>
      <c r="I39" s="2">
        <v>68953</v>
      </c>
      <c r="J39" s="13">
        <f t="shared" si="1"/>
        <v>0.35797448503570062</v>
      </c>
      <c r="K39" s="13">
        <f t="shared" si="2"/>
        <v>0.23452225912336427</v>
      </c>
    </row>
    <row r="40" spans="1:11" x14ac:dyDescent="0.2">
      <c r="A40" s="1" t="s">
        <v>61</v>
      </c>
      <c r="B40" s="1">
        <v>7</v>
      </c>
      <c r="C40" s="2">
        <v>114414.53857142858</v>
      </c>
      <c r="D40" s="12">
        <v>17162.180785714285</v>
      </c>
      <c r="E40" s="2">
        <v>131576.71935714287</v>
      </c>
      <c r="G40" s="2">
        <v>133733</v>
      </c>
      <c r="H40" s="2">
        <f t="shared" si="0"/>
        <v>10378</v>
      </c>
      <c r="I40" s="2">
        <v>144111</v>
      </c>
      <c r="J40" s="13">
        <f t="shared" si="1"/>
        <v>-8.6976571135146757E-2</v>
      </c>
      <c r="K40" s="13">
        <f t="shared" si="2"/>
        <v>-0.20606658359577978</v>
      </c>
    </row>
    <row r="41" spans="1:11" x14ac:dyDescent="0.2">
      <c r="A41" s="1" t="s">
        <v>62</v>
      </c>
      <c r="B41" s="1">
        <v>3</v>
      </c>
      <c r="C41" s="2">
        <v>139390.00666666668</v>
      </c>
      <c r="D41" s="12">
        <v>27878.001333333337</v>
      </c>
      <c r="E41" s="2">
        <v>167268.00800000003</v>
      </c>
      <c r="G41" s="2">
        <v>157779</v>
      </c>
      <c r="H41" s="2">
        <f t="shared" si="0"/>
        <v>23472</v>
      </c>
      <c r="I41" s="2">
        <v>181251</v>
      </c>
      <c r="J41" s="13">
        <f t="shared" si="1"/>
        <v>-7.7147116429702289E-2</v>
      </c>
      <c r="K41" s="13">
        <f t="shared" si="2"/>
        <v>-0.23095593035808529</v>
      </c>
    </row>
    <row r="42" spans="1:11" x14ac:dyDescent="0.2">
      <c r="A42" s="1" t="s">
        <v>63</v>
      </c>
      <c r="B42" s="1">
        <v>7</v>
      </c>
      <c r="C42" s="2">
        <v>104576.47571428573</v>
      </c>
      <c r="D42" s="12">
        <v>10457.647571428573</v>
      </c>
      <c r="E42" s="2">
        <v>115034.1232857143</v>
      </c>
      <c r="G42" s="2">
        <v>110061</v>
      </c>
      <c r="H42" s="2">
        <f t="shared" si="0"/>
        <v>10264</v>
      </c>
      <c r="I42" s="2">
        <v>120325</v>
      </c>
      <c r="J42" s="13">
        <f t="shared" si="1"/>
        <v>-4.3971549672019078E-2</v>
      </c>
      <c r="K42" s="13">
        <f t="shared" si="2"/>
        <v>-0.13088322697456284</v>
      </c>
    </row>
    <row r="43" spans="1:11" x14ac:dyDescent="0.2">
      <c r="A43" s="1" t="s">
        <v>64</v>
      </c>
      <c r="B43" s="1">
        <v>7</v>
      </c>
      <c r="C43" s="2">
        <v>93066.802999999985</v>
      </c>
      <c r="D43" s="12">
        <v>9306.6802999999982</v>
      </c>
      <c r="E43" s="2">
        <v>102373.48329999998</v>
      </c>
      <c r="G43" s="2">
        <v>95491</v>
      </c>
      <c r="H43" s="2">
        <f t="shared" si="0"/>
        <v>8849</v>
      </c>
      <c r="I43" s="2">
        <v>104340</v>
      </c>
      <c r="J43" s="13">
        <f t="shared" si="1"/>
        <v>-1.8847198581560493E-2</v>
      </c>
      <c r="K43" s="13">
        <f t="shared" si="2"/>
        <v>-0.10804290780141858</v>
      </c>
    </row>
    <row r="44" spans="1:11" x14ac:dyDescent="0.2">
      <c r="A44" s="1" t="s">
        <v>65</v>
      </c>
      <c r="B44" s="1">
        <v>5</v>
      </c>
      <c r="C44" s="2">
        <v>88757.319999999992</v>
      </c>
      <c r="D44" s="12">
        <v>8875.732</v>
      </c>
      <c r="E44" s="2">
        <v>97633.051999999996</v>
      </c>
      <c r="G44" s="2">
        <v>95491</v>
      </c>
      <c r="H44" s="2">
        <f t="shared" si="0"/>
        <v>8849</v>
      </c>
      <c r="I44" s="2">
        <v>104340</v>
      </c>
      <c r="J44" s="13">
        <f t="shared" si="1"/>
        <v>-6.4279739313781906E-2</v>
      </c>
      <c r="K44" s="13">
        <f t="shared" si="2"/>
        <v>-0.14934521755798358</v>
      </c>
    </row>
    <row r="45" spans="1:11" x14ac:dyDescent="0.2">
      <c r="A45" s="1" t="s">
        <v>66</v>
      </c>
      <c r="B45" s="1">
        <v>3</v>
      </c>
      <c r="C45" s="2">
        <v>101313.45333333332</v>
      </c>
      <c r="D45" s="12">
        <v>10131.345333333333</v>
      </c>
      <c r="E45" s="2">
        <v>111444.79866666665</v>
      </c>
      <c r="G45" s="2">
        <v>112594</v>
      </c>
      <c r="H45" s="2">
        <f t="shared" si="0"/>
        <v>15266</v>
      </c>
      <c r="I45" s="2">
        <v>127860</v>
      </c>
      <c r="J45" s="13">
        <f t="shared" si="1"/>
        <v>-0.12838418061421356</v>
      </c>
      <c r="K45" s="13">
        <f t="shared" si="2"/>
        <v>-0.20762198237655777</v>
      </c>
    </row>
    <row r="46" spans="1:11" x14ac:dyDescent="0.2">
      <c r="D46" s="12"/>
      <c r="J46" s="13"/>
      <c r="K46" s="13"/>
    </row>
    <row r="47" spans="1:11" x14ac:dyDescent="0.2">
      <c r="A47" s="26" t="s">
        <v>18</v>
      </c>
      <c r="B47" s="1">
        <f>COUNT(B6:B45)</f>
        <v>40</v>
      </c>
      <c r="J47" s="13"/>
      <c r="K47" s="13"/>
    </row>
    <row r="48" spans="1:11" x14ac:dyDescent="0.2">
      <c r="A48" s="26" t="s">
        <v>19</v>
      </c>
      <c r="B48" s="1">
        <f>SUM(B6:B47)</f>
        <v>307</v>
      </c>
      <c r="J48" s="13"/>
      <c r="K48" s="13"/>
    </row>
    <row r="49" spans="1:11" x14ac:dyDescent="0.2">
      <c r="J49" s="13"/>
      <c r="K49" s="13"/>
    </row>
    <row r="50" spans="1:11" x14ac:dyDescent="0.2">
      <c r="A50" s="11" t="s">
        <v>13</v>
      </c>
      <c r="J50" s="13"/>
      <c r="K50" s="13"/>
    </row>
    <row r="51" spans="1:11" x14ac:dyDescent="0.2">
      <c r="A51" s="1" t="s">
        <v>67</v>
      </c>
      <c r="B51" s="1">
        <v>11</v>
      </c>
      <c r="C51" s="2">
        <v>72900</v>
      </c>
      <c r="D51" s="2">
        <f t="shared" ref="D51:D112" si="3">E51-C51</f>
        <v>6561</v>
      </c>
      <c r="E51" s="2">
        <v>79461</v>
      </c>
      <c r="G51" s="2">
        <v>70286</v>
      </c>
      <c r="H51" s="2">
        <f t="shared" ref="H51:H112" si="4">I51-G51</f>
        <v>3581</v>
      </c>
      <c r="I51" s="2">
        <v>73867</v>
      </c>
      <c r="J51" s="13">
        <f t="shared" si="1"/>
        <v>7.5730705186348432E-2</v>
      </c>
      <c r="K51" s="13">
        <f t="shared" si="2"/>
        <v>-1.3091096159313361E-2</v>
      </c>
    </row>
    <row r="52" spans="1:11" x14ac:dyDescent="0.2">
      <c r="A52" s="1" t="s">
        <v>68</v>
      </c>
      <c r="B52" s="1">
        <v>5</v>
      </c>
      <c r="C52" s="2">
        <v>88060</v>
      </c>
      <c r="D52" s="2">
        <f t="shared" si="3"/>
        <v>8806</v>
      </c>
      <c r="E52" s="2">
        <v>96866</v>
      </c>
      <c r="G52" s="2">
        <v>86246</v>
      </c>
      <c r="H52" s="2">
        <f t="shared" si="4"/>
        <v>4059</v>
      </c>
      <c r="I52" s="2">
        <v>90305</v>
      </c>
      <c r="J52" s="13">
        <f t="shared" si="1"/>
        <v>7.265378439732019E-2</v>
      </c>
      <c r="K52" s="13">
        <f t="shared" si="2"/>
        <v>-2.4860196002436188E-2</v>
      </c>
    </row>
    <row r="53" spans="1:11" x14ac:dyDescent="0.2">
      <c r="A53" s="1" t="s">
        <v>69</v>
      </c>
      <c r="B53" s="1">
        <v>3</v>
      </c>
      <c r="C53" s="2">
        <v>141733.33333333334</v>
      </c>
      <c r="D53" s="2">
        <f t="shared" si="3"/>
        <v>28346.666666666657</v>
      </c>
      <c r="E53" s="2">
        <v>170080</v>
      </c>
      <c r="G53" s="2">
        <v>126445</v>
      </c>
      <c r="H53" s="2">
        <f t="shared" si="4"/>
        <v>21933</v>
      </c>
      <c r="I53" s="2">
        <v>148378</v>
      </c>
      <c r="J53" s="13">
        <f t="shared" si="1"/>
        <v>0.14626157516612975</v>
      </c>
      <c r="K53" s="13">
        <f t="shared" si="2"/>
        <v>-4.478202069489181E-2</v>
      </c>
    </row>
    <row r="54" spans="1:11" x14ac:dyDescent="0.2">
      <c r="A54" s="1" t="s">
        <v>70</v>
      </c>
      <c r="B54" s="1">
        <v>13</v>
      </c>
      <c r="C54" s="2">
        <v>115053.84615384616</v>
      </c>
      <c r="D54" s="2">
        <f t="shared" si="3"/>
        <v>17258.076923076907</v>
      </c>
      <c r="E54" s="2">
        <v>132311.92307692306</v>
      </c>
      <c r="G54" s="2">
        <v>110921</v>
      </c>
      <c r="H54" s="2">
        <f t="shared" si="4"/>
        <v>13902</v>
      </c>
      <c r="I54" s="2">
        <v>124823</v>
      </c>
      <c r="J54" s="13">
        <f t="shared" si="1"/>
        <v>5.9996339432020249E-2</v>
      </c>
      <c r="K54" s="13">
        <f t="shared" si="2"/>
        <v>-7.8264052667808365E-2</v>
      </c>
    </row>
    <row r="55" spans="1:11" x14ac:dyDescent="0.2">
      <c r="A55" s="1" t="s">
        <v>71</v>
      </c>
      <c r="B55" s="1">
        <v>5</v>
      </c>
      <c r="C55" s="2">
        <v>178380</v>
      </c>
      <c r="D55" s="2">
        <f t="shared" si="3"/>
        <v>44595</v>
      </c>
      <c r="E55" s="2">
        <v>222975</v>
      </c>
      <c r="G55" s="2">
        <v>147125</v>
      </c>
      <c r="H55" s="2">
        <f t="shared" si="4"/>
        <v>26132</v>
      </c>
      <c r="I55" s="2">
        <v>173257</v>
      </c>
      <c r="J55" s="13">
        <f t="shared" si="1"/>
        <v>0.28696098858920566</v>
      </c>
      <c r="K55" s="13">
        <f t="shared" si="2"/>
        <v>2.9568790871364506E-2</v>
      </c>
    </row>
    <row r="56" spans="1:11" x14ac:dyDescent="0.2">
      <c r="A56" s="1" t="s">
        <v>72</v>
      </c>
      <c r="B56" s="1">
        <v>23</v>
      </c>
      <c r="C56" s="2">
        <v>63374.760869565216</v>
      </c>
      <c r="D56" s="2">
        <f t="shared" si="3"/>
        <v>5069.9808695652173</v>
      </c>
      <c r="E56" s="2">
        <v>68444.741739130433</v>
      </c>
      <c r="G56" s="2">
        <v>68147</v>
      </c>
      <c r="H56" s="2">
        <f t="shared" si="4"/>
        <v>4148</v>
      </c>
      <c r="I56" s="2">
        <v>72295</v>
      </c>
      <c r="J56" s="13">
        <f t="shared" si="1"/>
        <v>-5.3257600952618667E-2</v>
      </c>
      <c r="K56" s="13">
        <f t="shared" si="2"/>
        <v>-0.12338666754872099</v>
      </c>
    </row>
    <row r="57" spans="1:11" x14ac:dyDescent="0.2">
      <c r="A57" s="1" t="s">
        <v>73</v>
      </c>
      <c r="B57" s="1">
        <v>5</v>
      </c>
      <c r="C57" s="2">
        <v>60210</v>
      </c>
      <c r="D57" s="2">
        <f t="shared" si="3"/>
        <v>3612.5999999999985</v>
      </c>
      <c r="E57" s="2">
        <v>63822.6</v>
      </c>
      <c r="G57" s="2">
        <v>54895</v>
      </c>
      <c r="H57" s="2">
        <f t="shared" si="4"/>
        <v>3487</v>
      </c>
      <c r="I57" s="2">
        <v>58382</v>
      </c>
      <c r="J57" s="13">
        <f t="shared" si="1"/>
        <v>9.3189681751224662E-2</v>
      </c>
      <c r="K57" s="13">
        <f t="shared" si="2"/>
        <v>3.1311020520023297E-2</v>
      </c>
    </row>
    <row r="58" spans="1:11" x14ac:dyDescent="0.2">
      <c r="A58" s="1" t="s">
        <v>74</v>
      </c>
      <c r="B58" s="1">
        <v>7</v>
      </c>
      <c r="C58" s="2">
        <v>91564.28571428571</v>
      </c>
      <c r="D58" s="2">
        <f t="shared" si="3"/>
        <v>9156.4285714285652</v>
      </c>
      <c r="E58" s="2">
        <v>100720.71428571428</v>
      </c>
      <c r="G58" s="2">
        <v>98004</v>
      </c>
      <c r="H58" s="2">
        <f t="shared" si="4"/>
        <v>10047</v>
      </c>
      <c r="I58" s="2">
        <v>108051</v>
      </c>
      <c r="J58" s="13">
        <f t="shared" si="1"/>
        <v>-6.7840979854751224E-2</v>
      </c>
      <c r="K58" s="13">
        <f t="shared" si="2"/>
        <v>-0.15258270895886469</v>
      </c>
    </row>
    <row r="59" spans="1:11" x14ac:dyDescent="0.2">
      <c r="A59" s="1" t="s">
        <v>75</v>
      </c>
      <c r="B59" s="1">
        <v>12</v>
      </c>
      <c r="C59" s="2">
        <v>74989.583333333328</v>
      </c>
      <c r="D59" s="2">
        <f t="shared" si="3"/>
        <v>6749.0625</v>
      </c>
      <c r="E59" s="2">
        <v>81738.645833333328</v>
      </c>
      <c r="G59" s="2">
        <v>86424</v>
      </c>
      <c r="H59" s="2">
        <f t="shared" si="4"/>
        <v>7472</v>
      </c>
      <c r="I59" s="2">
        <v>93896</v>
      </c>
      <c r="J59" s="13">
        <f t="shared" si="1"/>
        <v>-0.12947680589872487</v>
      </c>
      <c r="K59" s="13">
        <f t="shared" si="2"/>
        <v>-0.2013548677969953</v>
      </c>
    </row>
    <row r="60" spans="1:11" x14ac:dyDescent="0.2">
      <c r="A60" s="1" t="s">
        <v>76</v>
      </c>
      <c r="B60" s="1">
        <v>5</v>
      </c>
      <c r="C60" s="2">
        <v>101314.68000000001</v>
      </c>
      <c r="D60" s="2">
        <f t="shared" si="3"/>
        <v>10131.468000000008</v>
      </c>
      <c r="E60" s="2">
        <v>111446.14800000002</v>
      </c>
      <c r="G60" s="2">
        <v>114705</v>
      </c>
      <c r="H60" s="2">
        <f t="shared" si="4"/>
        <v>14703</v>
      </c>
      <c r="I60" s="2">
        <v>129408</v>
      </c>
      <c r="J60" s="13">
        <f t="shared" si="1"/>
        <v>-0.13880016691394648</v>
      </c>
      <c r="K60" s="13">
        <f t="shared" si="2"/>
        <v>-0.21709106083086047</v>
      </c>
    </row>
    <row r="61" spans="1:11" x14ac:dyDescent="0.2">
      <c r="A61" s="1" t="s">
        <v>77</v>
      </c>
      <c r="B61" s="1">
        <v>3</v>
      </c>
      <c r="C61" s="2">
        <v>112000</v>
      </c>
      <c r="D61" s="2">
        <f t="shared" si="3"/>
        <v>11200</v>
      </c>
      <c r="E61" s="2">
        <v>123200</v>
      </c>
      <c r="G61" s="2">
        <v>102109</v>
      </c>
      <c r="H61" s="2">
        <f t="shared" si="4"/>
        <v>12312</v>
      </c>
      <c r="I61" s="2">
        <v>114421</v>
      </c>
      <c r="J61" s="13">
        <f t="shared" si="1"/>
        <v>7.6725426276645026E-2</v>
      </c>
      <c r="K61" s="13">
        <f t="shared" si="2"/>
        <v>-2.1158703384868163E-2</v>
      </c>
    </row>
    <row r="62" spans="1:11" x14ac:dyDescent="0.2">
      <c r="A62" s="1" t="s">
        <v>78</v>
      </c>
      <c r="B62" s="1">
        <v>3</v>
      </c>
      <c r="C62" s="2">
        <v>117400</v>
      </c>
      <c r="D62" s="2">
        <f t="shared" si="3"/>
        <v>11740</v>
      </c>
      <c r="E62" s="2">
        <v>129140</v>
      </c>
      <c r="G62" s="2">
        <v>118282</v>
      </c>
      <c r="H62" s="2">
        <f t="shared" si="4"/>
        <v>11968</v>
      </c>
      <c r="I62" s="2">
        <v>130250</v>
      </c>
      <c r="J62" s="13">
        <f t="shared" si="1"/>
        <v>-8.5220729366602688E-3</v>
      </c>
      <c r="K62" s="13">
        <f t="shared" si="2"/>
        <v>-9.8656429942418425E-2</v>
      </c>
    </row>
    <row r="63" spans="1:11" x14ac:dyDescent="0.2">
      <c r="A63" s="1" t="s">
        <v>79</v>
      </c>
      <c r="B63" s="1">
        <v>4</v>
      </c>
      <c r="C63" s="2">
        <v>111172.83</v>
      </c>
      <c r="D63" s="2">
        <f t="shared" si="3"/>
        <v>11117.282999999996</v>
      </c>
      <c r="E63" s="2">
        <v>122290.113</v>
      </c>
      <c r="G63" s="2">
        <v>102109</v>
      </c>
      <c r="H63" s="2">
        <f t="shared" si="4"/>
        <v>12312</v>
      </c>
      <c r="I63" s="2">
        <v>114421</v>
      </c>
      <c r="J63" s="13">
        <f t="shared" si="1"/>
        <v>6.877332832259811E-2</v>
      </c>
      <c r="K63" s="13">
        <f t="shared" si="2"/>
        <v>-2.8387883343092599E-2</v>
      </c>
    </row>
    <row r="64" spans="1:11" x14ac:dyDescent="0.2">
      <c r="A64" s="1" t="s">
        <v>80</v>
      </c>
      <c r="B64" s="1">
        <v>4</v>
      </c>
      <c r="C64" s="2">
        <v>204215.70499999999</v>
      </c>
      <c r="D64" s="2">
        <f t="shared" si="3"/>
        <v>61264.711500000005</v>
      </c>
      <c r="E64" s="2">
        <v>265480.41649999999</v>
      </c>
      <c r="G64" s="2">
        <v>202959</v>
      </c>
      <c r="H64" s="2">
        <f t="shared" si="4"/>
        <v>57058</v>
      </c>
      <c r="I64" s="2">
        <v>260017</v>
      </c>
      <c r="J64" s="13">
        <f t="shared" si="1"/>
        <v>2.1011766538341692E-2</v>
      </c>
      <c r="K64" s="13">
        <f t="shared" si="2"/>
        <v>-0.21460633343204488</v>
      </c>
    </row>
    <row r="65" spans="1:11" x14ac:dyDescent="0.2">
      <c r="A65" s="1" t="s">
        <v>81</v>
      </c>
      <c r="B65" s="1">
        <v>3</v>
      </c>
      <c r="C65" s="2">
        <v>99450</v>
      </c>
      <c r="D65" s="2">
        <f t="shared" si="3"/>
        <v>9945</v>
      </c>
      <c r="E65" s="2">
        <v>109395</v>
      </c>
      <c r="G65" s="2">
        <v>105013</v>
      </c>
      <c r="H65" s="2">
        <f t="shared" si="4"/>
        <v>11145</v>
      </c>
      <c r="I65" s="2">
        <v>116158</v>
      </c>
      <c r="J65" s="13">
        <f t="shared" si="1"/>
        <v>-5.8222421184937756E-2</v>
      </c>
      <c r="K65" s="13">
        <f t="shared" si="2"/>
        <v>-0.14383856471357978</v>
      </c>
    </row>
    <row r="66" spans="1:11" x14ac:dyDescent="0.2">
      <c r="A66" s="1" t="s">
        <v>82</v>
      </c>
      <c r="B66" s="1">
        <v>5</v>
      </c>
      <c r="C66" s="2">
        <v>82210</v>
      </c>
      <c r="D66" s="2">
        <f t="shared" si="3"/>
        <v>8221</v>
      </c>
      <c r="E66" s="2">
        <v>90431</v>
      </c>
      <c r="G66" s="2">
        <v>85722</v>
      </c>
      <c r="H66" s="2">
        <f t="shared" si="4"/>
        <v>7170</v>
      </c>
      <c r="I66" s="2">
        <v>92892</v>
      </c>
      <c r="J66" s="13">
        <f t="shared" si="1"/>
        <v>-2.6493131808982474E-2</v>
      </c>
      <c r="K66" s="13">
        <f t="shared" si="2"/>
        <v>-0.11499375618998407</v>
      </c>
    </row>
    <row r="67" spans="1:11" x14ac:dyDescent="0.2">
      <c r="A67" s="1" t="s">
        <v>83</v>
      </c>
      <c r="B67" s="1">
        <v>4</v>
      </c>
      <c r="C67" s="2">
        <v>135250</v>
      </c>
      <c r="D67" s="2">
        <f t="shared" si="3"/>
        <v>27050</v>
      </c>
      <c r="E67" s="2">
        <v>162300</v>
      </c>
      <c r="G67" s="2">
        <v>127073</v>
      </c>
      <c r="H67" s="2">
        <f t="shared" si="4"/>
        <v>19696</v>
      </c>
      <c r="I67" s="2">
        <v>146769</v>
      </c>
      <c r="J67" s="13">
        <f t="shared" si="1"/>
        <v>0.10581934877256097</v>
      </c>
      <c r="K67" s="13">
        <f t="shared" si="2"/>
        <v>-7.848387602286587E-2</v>
      </c>
    </row>
    <row r="68" spans="1:11" x14ac:dyDescent="0.2">
      <c r="A68" s="1" t="s">
        <v>84</v>
      </c>
      <c r="B68" s="1">
        <v>4</v>
      </c>
      <c r="C68" s="2">
        <v>143075</v>
      </c>
      <c r="D68" s="2">
        <f t="shared" si="3"/>
        <v>21461.25</v>
      </c>
      <c r="E68" s="2">
        <v>164536.25</v>
      </c>
      <c r="G68" s="2">
        <v>123774</v>
      </c>
      <c r="H68" s="2">
        <f t="shared" si="4"/>
        <v>16358</v>
      </c>
      <c r="I68" s="2">
        <v>140132</v>
      </c>
      <c r="J68" s="13">
        <f t="shared" si="1"/>
        <v>0.17415187109296948</v>
      </c>
      <c r="K68" s="13">
        <f t="shared" si="2"/>
        <v>2.1001627037364769E-2</v>
      </c>
    </row>
    <row r="69" spans="1:11" x14ac:dyDescent="0.2">
      <c r="A69" s="1" t="s">
        <v>85</v>
      </c>
      <c r="B69" s="1">
        <v>6</v>
      </c>
      <c r="C69" s="2">
        <v>136080.44500000001</v>
      </c>
      <c r="D69" s="2">
        <f t="shared" si="3"/>
        <v>20412.066749999998</v>
      </c>
      <c r="E69" s="2">
        <v>156492.51175000001</v>
      </c>
      <c r="G69" s="2">
        <v>123774</v>
      </c>
      <c r="H69" s="2">
        <f t="shared" si="4"/>
        <v>16358</v>
      </c>
      <c r="I69" s="2">
        <v>140132</v>
      </c>
      <c r="J69" s="13">
        <f t="shared" si="1"/>
        <v>0.11675071896497592</v>
      </c>
      <c r="K69" s="13">
        <f t="shared" si="2"/>
        <v>-2.8912418291325272E-2</v>
      </c>
    </row>
    <row r="70" spans="1:11" x14ac:dyDescent="0.2">
      <c r="A70" s="1" t="s">
        <v>86</v>
      </c>
      <c r="B70" s="1">
        <v>3</v>
      </c>
      <c r="C70" s="2">
        <v>68033.333333333328</v>
      </c>
      <c r="D70" s="2">
        <f t="shared" si="3"/>
        <v>5442.6666666666715</v>
      </c>
      <c r="E70" s="2">
        <v>73476</v>
      </c>
      <c r="G70" s="2">
        <v>69301</v>
      </c>
      <c r="H70" s="2">
        <f t="shared" si="4"/>
        <v>91</v>
      </c>
      <c r="I70" s="2">
        <v>69392</v>
      </c>
      <c r="J70" s="13">
        <f t="shared" si="1"/>
        <v>5.8854046575974178E-2</v>
      </c>
      <c r="K70" s="13">
        <f t="shared" si="2"/>
        <v>-1.9579586503727684E-2</v>
      </c>
    </row>
    <row r="71" spans="1:11" x14ac:dyDescent="0.2">
      <c r="A71" s="1" t="s">
        <v>87</v>
      </c>
      <c r="B71" s="1">
        <v>6</v>
      </c>
      <c r="C71" s="2">
        <v>94092.083333333328</v>
      </c>
      <c r="D71" s="2">
        <f t="shared" si="3"/>
        <v>9409.2083333333285</v>
      </c>
      <c r="E71" s="2">
        <v>103501.29166666666</v>
      </c>
      <c r="G71" s="2">
        <v>109177</v>
      </c>
      <c r="H71" s="2">
        <f t="shared" si="4"/>
        <v>4775</v>
      </c>
      <c r="I71" s="2">
        <v>113952</v>
      </c>
      <c r="J71" s="13">
        <f t="shared" si="1"/>
        <v>-9.1711495483478511E-2</v>
      </c>
      <c r="K71" s="13">
        <f t="shared" si="2"/>
        <v>-0.17428317771225316</v>
      </c>
    </row>
    <row r="72" spans="1:11" x14ac:dyDescent="0.2">
      <c r="A72" s="1" t="s">
        <v>88</v>
      </c>
      <c r="B72" s="1">
        <v>8</v>
      </c>
      <c r="C72" s="2">
        <v>82795.625</v>
      </c>
      <c r="D72" s="2">
        <f t="shared" si="3"/>
        <v>8279.5625</v>
      </c>
      <c r="E72" s="2">
        <v>91075.1875</v>
      </c>
      <c r="G72" s="2">
        <v>83100</v>
      </c>
      <c r="H72" s="2">
        <f t="shared" si="4"/>
        <v>1130</v>
      </c>
      <c r="I72" s="2">
        <v>84230</v>
      </c>
      <c r="J72" s="13">
        <f t="shared" si="1"/>
        <v>8.1267808381811704E-2</v>
      </c>
      <c r="K72" s="13">
        <f t="shared" si="2"/>
        <v>-1.7029265107443903E-2</v>
      </c>
    </row>
    <row r="73" spans="1:11" x14ac:dyDescent="0.2">
      <c r="A73" s="1" t="s">
        <v>89</v>
      </c>
      <c r="B73" s="1">
        <v>6</v>
      </c>
      <c r="C73" s="2">
        <v>121791.01666666666</v>
      </c>
      <c r="D73" s="2">
        <f t="shared" si="3"/>
        <v>18268.652499999997</v>
      </c>
      <c r="E73" s="2">
        <v>140059.66916666666</v>
      </c>
      <c r="G73" s="2">
        <v>123508</v>
      </c>
      <c r="H73" s="2">
        <f t="shared" si="4"/>
        <v>14981</v>
      </c>
      <c r="I73" s="2">
        <v>138489</v>
      </c>
      <c r="J73" s="13">
        <f t="shared" si="1"/>
        <v>1.1341472367239704E-2</v>
      </c>
      <c r="K73" s="13">
        <f t="shared" si="2"/>
        <v>-0.12057263272413937</v>
      </c>
    </row>
    <row r="74" spans="1:11" x14ac:dyDescent="0.2">
      <c r="A74" s="1" t="s">
        <v>90</v>
      </c>
      <c r="B74" s="1">
        <v>3</v>
      </c>
      <c r="C74" s="2">
        <v>98692.970000000016</v>
      </c>
      <c r="D74" s="2">
        <f t="shared" si="3"/>
        <v>9869.2970000000059</v>
      </c>
      <c r="E74" s="2">
        <v>108562.26700000002</v>
      </c>
      <c r="G74" s="2">
        <v>98160</v>
      </c>
      <c r="H74" s="2">
        <f t="shared" si="4"/>
        <v>5858</v>
      </c>
      <c r="I74" s="2">
        <v>104018</v>
      </c>
      <c r="J74" s="13">
        <f t="shared" ref="J74:J135" si="5">(E74-I74)/I74</f>
        <v>4.3687313734161605E-2</v>
      </c>
      <c r="K74" s="13">
        <f t="shared" ref="K74:K135" si="6">(C74-I74)/I74</f>
        <v>-5.119335115076222E-2</v>
      </c>
    </row>
    <row r="75" spans="1:11" x14ac:dyDescent="0.2">
      <c r="A75" s="1" t="s">
        <v>91</v>
      </c>
      <c r="B75" s="1">
        <v>3</v>
      </c>
      <c r="C75" s="2">
        <v>105666.66666666667</v>
      </c>
      <c r="D75" s="2">
        <f t="shared" si="3"/>
        <v>10566.666666666672</v>
      </c>
      <c r="E75" s="2">
        <v>116233.33333333334</v>
      </c>
      <c r="G75" s="2">
        <v>117919</v>
      </c>
      <c r="H75" s="2">
        <f t="shared" si="4"/>
        <v>12158</v>
      </c>
      <c r="I75" s="2">
        <v>130077</v>
      </c>
      <c r="J75" s="13">
        <f t="shared" si="5"/>
        <v>-0.10642670623297475</v>
      </c>
      <c r="K75" s="13">
        <f t="shared" si="6"/>
        <v>-0.18766064202997707</v>
      </c>
    </row>
    <row r="76" spans="1:11" x14ac:dyDescent="0.2">
      <c r="A76" s="1" t="s">
        <v>92</v>
      </c>
      <c r="B76" s="1">
        <v>3</v>
      </c>
      <c r="C76" s="2">
        <v>88250</v>
      </c>
      <c r="D76" s="2">
        <f t="shared" si="3"/>
        <v>8825</v>
      </c>
      <c r="E76" s="2">
        <v>97075</v>
      </c>
      <c r="G76" s="2">
        <v>98972</v>
      </c>
      <c r="H76" s="2">
        <f t="shared" si="4"/>
        <v>9522</v>
      </c>
      <c r="I76" s="2">
        <v>108494</v>
      </c>
      <c r="J76" s="13">
        <f t="shared" si="5"/>
        <v>-0.10525005991114716</v>
      </c>
      <c r="K76" s="13">
        <f t="shared" si="6"/>
        <v>-0.18659096355558832</v>
      </c>
    </row>
    <row r="77" spans="1:11" x14ac:dyDescent="0.2">
      <c r="A77" s="1" t="s">
        <v>93</v>
      </c>
      <c r="B77" s="1">
        <v>3</v>
      </c>
      <c r="C77" s="2">
        <v>121400</v>
      </c>
      <c r="D77" s="2">
        <f t="shared" si="3"/>
        <v>18210</v>
      </c>
      <c r="E77" s="2">
        <v>139610</v>
      </c>
      <c r="G77" s="2">
        <v>134291</v>
      </c>
      <c r="H77" s="2">
        <f t="shared" si="4"/>
        <v>19547</v>
      </c>
      <c r="I77" s="2">
        <v>153838</v>
      </c>
      <c r="J77" s="13">
        <f t="shared" si="5"/>
        <v>-9.2486901805795704E-2</v>
      </c>
      <c r="K77" s="13">
        <f t="shared" si="6"/>
        <v>-0.2108581754833006</v>
      </c>
    </row>
    <row r="78" spans="1:11" x14ac:dyDescent="0.2">
      <c r="A78" s="1" t="s">
        <v>94</v>
      </c>
      <c r="B78" s="1">
        <v>3</v>
      </c>
      <c r="C78" s="2">
        <v>165866.66666666666</v>
      </c>
      <c r="D78" s="2">
        <f t="shared" si="3"/>
        <v>33173.333333333343</v>
      </c>
      <c r="E78" s="2">
        <v>199040</v>
      </c>
      <c r="G78" s="2">
        <v>138846</v>
      </c>
      <c r="H78" s="2">
        <f t="shared" si="4"/>
        <v>20827</v>
      </c>
      <c r="I78" s="2">
        <v>159673</v>
      </c>
      <c r="J78" s="13">
        <f t="shared" si="5"/>
        <v>0.24654763172233252</v>
      </c>
      <c r="K78" s="13">
        <f t="shared" si="6"/>
        <v>3.8789693101943704E-2</v>
      </c>
    </row>
    <row r="79" spans="1:11" x14ac:dyDescent="0.2">
      <c r="A79" s="1" t="s">
        <v>95</v>
      </c>
      <c r="B79" s="1">
        <v>5</v>
      </c>
      <c r="C79" s="2">
        <v>58276.864000000001</v>
      </c>
      <c r="D79" s="2">
        <f t="shared" si="3"/>
        <v>4662.1491200000019</v>
      </c>
      <c r="E79" s="2">
        <v>62939.013120000003</v>
      </c>
      <c r="G79" s="2">
        <v>64846</v>
      </c>
      <c r="H79" s="2">
        <f t="shared" si="4"/>
        <v>375</v>
      </c>
      <c r="I79" s="2">
        <v>65221</v>
      </c>
      <c r="J79" s="13">
        <f t="shared" si="5"/>
        <v>-3.4988529461369752E-2</v>
      </c>
      <c r="K79" s="13">
        <f t="shared" si="6"/>
        <v>-0.10647086061237943</v>
      </c>
    </row>
    <row r="80" spans="1:11" x14ac:dyDescent="0.2">
      <c r="A80" s="1" t="s">
        <v>96</v>
      </c>
      <c r="B80" s="1">
        <v>3</v>
      </c>
      <c r="C80" s="2">
        <v>87833.333333333328</v>
      </c>
      <c r="D80" s="2">
        <f t="shared" si="3"/>
        <v>8783.3333333333285</v>
      </c>
      <c r="E80" s="2">
        <v>96616.666666666657</v>
      </c>
      <c r="G80" s="2">
        <v>93958</v>
      </c>
      <c r="H80" s="2">
        <f t="shared" si="4"/>
        <v>3426</v>
      </c>
      <c r="I80" s="2">
        <v>97384</v>
      </c>
      <c r="J80" s="13">
        <f t="shared" si="5"/>
        <v>-7.8794600071196812E-3</v>
      </c>
      <c r="K80" s="13">
        <f t="shared" si="6"/>
        <v>-9.8072236370108756E-2</v>
      </c>
    </row>
    <row r="81" spans="1:11" x14ac:dyDescent="0.2">
      <c r="A81" s="1" t="s">
        <v>97</v>
      </c>
      <c r="B81" s="1">
        <v>4</v>
      </c>
      <c r="C81" s="2">
        <v>98020.5</v>
      </c>
      <c r="D81" s="2">
        <f t="shared" si="3"/>
        <v>9802.0500000000029</v>
      </c>
      <c r="E81" s="2">
        <v>107822.55</v>
      </c>
      <c r="G81" s="2">
        <v>73584</v>
      </c>
      <c r="H81" s="2">
        <f t="shared" si="4"/>
        <v>5495</v>
      </c>
      <c r="I81" s="2">
        <v>79079</v>
      </c>
      <c r="J81" s="13">
        <f t="shared" si="5"/>
        <v>0.36347892613715405</v>
      </c>
      <c r="K81" s="13">
        <f t="shared" si="6"/>
        <v>0.2395262964883218</v>
      </c>
    </row>
    <row r="82" spans="1:11" x14ac:dyDescent="0.2">
      <c r="A82" s="1" t="s">
        <v>98</v>
      </c>
      <c r="B82" s="1">
        <v>3</v>
      </c>
      <c r="C82" s="2">
        <v>50533.333333333336</v>
      </c>
      <c r="D82" s="2">
        <f t="shared" si="3"/>
        <v>3032</v>
      </c>
      <c r="E82" s="2">
        <v>53565.333333333336</v>
      </c>
      <c r="G82" s="2">
        <v>46853</v>
      </c>
      <c r="H82" s="2">
        <f t="shared" si="4"/>
        <v>84</v>
      </c>
      <c r="I82" s="2">
        <v>46937</v>
      </c>
      <c r="J82" s="13">
        <f t="shared" si="5"/>
        <v>0.14121766055208759</v>
      </c>
      <c r="K82" s="13">
        <f t="shared" si="6"/>
        <v>7.6620434483101518E-2</v>
      </c>
    </row>
    <row r="83" spans="1:11" x14ac:dyDescent="0.2">
      <c r="A83" s="1" t="s">
        <v>99</v>
      </c>
      <c r="B83" s="1">
        <v>10</v>
      </c>
      <c r="C83" s="2">
        <v>68890</v>
      </c>
      <c r="D83" s="2">
        <f t="shared" si="3"/>
        <v>6200.1000000000058</v>
      </c>
      <c r="E83" s="2">
        <v>75090.100000000006</v>
      </c>
      <c r="G83" s="2">
        <v>59218</v>
      </c>
      <c r="H83" s="2">
        <f t="shared" si="4"/>
        <v>3088</v>
      </c>
      <c r="I83" s="2">
        <v>62306</v>
      </c>
      <c r="J83" s="13">
        <f t="shared" si="5"/>
        <v>0.20518248643790335</v>
      </c>
      <c r="K83" s="13">
        <f t="shared" si="6"/>
        <v>0.10567200590633326</v>
      </c>
    </row>
    <row r="84" spans="1:11" x14ac:dyDescent="0.2">
      <c r="A84" s="1" t="s">
        <v>100</v>
      </c>
      <c r="B84" s="1">
        <v>17</v>
      </c>
      <c r="C84" s="2">
        <v>91926.588235294112</v>
      </c>
      <c r="D84" s="2">
        <f t="shared" si="3"/>
        <v>9192.6588235294184</v>
      </c>
      <c r="E84" s="2">
        <v>101119.24705882353</v>
      </c>
      <c r="G84" s="2">
        <v>81483</v>
      </c>
      <c r="H84" s="2">
        <f t="shared" si="4"/>
        <v>7556</v>
      </c>
      <c r="I84" s="2">
        <v>89039</v>
      </c>
      <c r="J84" s="13">
        <f t="shared" si="5"/>
        <v>0.13567366051756569</v>
      </c>
      <c r="K84" s="13">
        <f t="shared" si="6"/>
        <v>3.2430600470514173E-2</v>
      </c>
    </row>
    <row r="85" spans="1:11" s="23" customFormat="1" x14ac:dyDescent="0.2">
      <c r="A85" s="1" t="s">
        <v>101</v>
      </c>
      <c r="B85" s="23">
        <v>4</v>
      </c>
      <c r="C85" s="24">
        <v>76955.737500000003</v>
      </c>
      <c r="D85" s="24">
        <f t="shared" si="3"/>
        <v>7695.5737499999959</v>
      </c>
      <c r="E85" s="24">
        <v>84651.311249999999</v>
      </c>
      <c r="G85" s="24">
        <v>82252</v>
      </c>
      <c r="H85" s="24">
        <f t="shared" si="4"/>
        <v>5339</v>
      </c>
      <c r="I85" s="24">
        <v>87591</v>
      </c>
      <c r="J85" s="25">
        <f t="shared" si="5"/>
        <v>-3.3561538856731868E-2</v>
      </c>
      <c r="K85" s="25">
        <f t="shared" si="6"/>
        <v>-0.12141958077884711</v>
      </c>
    </row>
    <row r="86" spans="1:11" s="23" customFormat="1" x14ac:dyDescent="0.2">
      <c r="A86" s="1" t="s">
        <v>102</v>
      </c>
      <c r="B86" s="23">
        <v>6</v>
      </c>
      <c r="C86" s="24">
        <v>66966.266666666663</v>
      </c>
      <c r="D86" s="24">
        <f t="shared" si="3"/>
        <v>6026.9639999999927</v>
      </c>
      <c r="E86" s="24">
        <v>72993.230666666655</v>
      </c>
      <c r="G86" s="24">
        <v>66681</v>
      </c>
      <c r="H86" s="24">
        <f t="shared" si="4"/>
        <v>904</v>
      </c>
      <c r="I86" s="24">
        <v>67585</v>
      </c>
      <c r="J86" s="25">
        <f t="shared" si="5"/>
        <v>8.002116840521796E-2</v>
      </c>
      <c r="K86" s="25">
        <f t="shared" si="6"/>
        <v>-9.1548913713595803E-3</v>
      </c>
    </row>
    <row r="87" spans="1:11" s="23" customFormat="1" x14ac:dyDescent="0.2">
      <c r="A87" s="1" t="s">
        <v>103</v>
      </c>
      <c r="B87" s="23">
        <v>3</v>
      </c>
      <c r="C87" s="24">
        <v>110485.25</v>
      </c>
      <c r="D87" s="24">
        <f t="shared" si="3"/>
        <v>16572.787500000006</v>
      </c>
      <c r="E87" s="24">
        <v>127058.03750000001</v>
      </c>
      <c r="G87" s="24">
        <v>121856</v>
      </c>
      <c r="H87" s="24">
        <f t="shared" si="4"/>
        <v>11105</v>
      </c>
      <c r="I87" s="24">
        <v>132961</v>
      </c>
      <c r="J87" s="25">
        <f t="shared" si="5"/>
        <v>-4.4396195124886198E-2</v>
      </c>
      <c r="K87" s="25">
        <f t="shared" si="6"/>
        <v>-0.16904016967381413</v>
      </c>
    </row>
    <row r="88" spans="1:11" x14ac:dyDescent="0.2">
      <c r="A88" s="1" t="s">
        <v>104</v>
      </c>
      <c r="B88" s="1">
        <v>3</v>
      </c>
      <c r="C88" s="2">
        <v>87826.186666666661</v>
      </c>
      <c r="D88" s="2">
        <f t="shared" si="3"/>
        <v>8782.6186666666617</v>
      </c>
      <c r="E88" s="2">
        <v>96608.805333333323</v>
      </c>
      <c r="G88" s="2">
        <v>93958</v>
      </c>
      <c r="H88" s="2">
        <f t="shared" si="4"/>
        <v>3426</v>
      </c>
      <c r="I88" s="2">
        <v>97384</v>
      </c>
      <c r="J88" s="13">
        <f t="shared" si="5"/>
        <v>-7.9601851091213871E-3</v>
      </c>
      <c r="K88" s="13">
        <f t="shared" si="6"/>
        <v>-9.8145622826473947E-2</v>
      </c>
    </row>
    <row r="89" spans="1:11" x14ac:dyDescent="0.2">
      <c r="A89" s="1" t="s">
        <v>105</v>
      </c>
      <c r="B89" s="1">
        <v>3</v>
      </c>
      <c r="C89" s="2">
        <v>135459.74333333332</v>
      </c>
      <c r="D89" s="2">
        <f t="shared" si="3"/>
        <v>20318.961500000005</v>
      </c>
      <c r="E89" s="2">
        <v>155778.70483333332</v>
      </c>
      <c r="G89" s="2">
        <v>127756</v>
      </c>
      <c r="H89" s="2">
        <f t="shared" si="4"/>
        <v>18303</v>
      </c>
      <c r="I89" s="2">
        <v>146059</v>
      </c>
      <c r="J89" s="13">
        <f t="shared" si="5"/>
        <v>6.6546428726290893E-2</v>
      </c>
      <c r="K89" s="13">
        <f t="shared" si="6"/>
        <v>-7.2568322846703615E-2</v>
      </c>
    </row>
    <row r="90" spans="1:11" x14ac:dyDescent="0.2">
      <c r="A90" s="1" t="s">
        <v>106</v>
      </c>
      <c r="B90" s="1">
        <v>3</v>
      </c>
      <c r="C90" s="2">
        <v>96100.506666666668</v>
      </c>
      <c r="D90" s="2">
        <f t="shared" si="3"/>
        <v>9610.0506666666624</v>
      </c>
      <c r="E90" s="2">
        <v>105710.55733333333</v>
      </c>
      <c r="G90" s="2">
        <v>97948</v>
      </c>
      <c r="H90" s="2">
        <f t="shared" si="4"/>
        <v>12733</v>
      </c>
      <c r="I90" s="2">
        <v>110681</v>
      </c>
      <c r="J90" s="13">
        <f t="shared" si="5"/>
        <v>-4.4907822179657483E-2</v>
      </c>
      <c r="K90" s="13">
        <f t="shared" si="6"/>
        <v>-0.13173438379968858</v>
      </c>
    </row>
    <row r="91" spans="1:11" x14ac:dyDescent="0.2">
      <c r="A91" s="1" t="s">
        <v>107</v>
      </c>
      <c r="B91" s="1">
        <v>4</v>
      </c>
      <c r="C91" s="2">
        <v>75102.207500000004</v>
      </c>
      <c r="D91" s="2">
        <f t="shared" si="3"/>
        <v>6759.1986750000069</v>
      </c>
      <c r="E91" s="2">
        <v>81861.406175000011</v>
      </c>
      <c r="G91" s="2">
        <v>74102</v>
      </c>
      <c r="H91" s="2">
        <f t="shared" si="4"/>
        <v>1997</v>
      </c>
      <c r="I91" s="2">
        <v>76099</v>
      </c>
      <c r="J91" s="13">
        <f t="shared" si="5"/>
        <v>7.5722495367876202E-2</v>
      </c>
      <c r="K91" s="13">
        <f t="shared" si="6"/>
        <v>-1.3098628102865949E-2</v>
      </c>
    </row>
    <row r="92" spans="1:11" x14ac:dyDescent="0.2">
      <c r="A92" s="1" t="s">
        <v>108</v>
      </c>
      <c r="B92" s="1">
        <v>4</v>
      </c>
      <c r="C92" s="2">
        <v>105684.3875</v>
      </c>
      <c r="D92" s="2">
        <f t="shared" si="3"/>
        <v>10568.438750000001</v>
      </c>
      <c r="E92" s="2">
        <v>116252.82625</v>
      </c>
      <c r="G92" s="2">
        <v>119019</v>
      </c>
      <c r="H92" s="2">
        <f t="shared" si="4"/>
        <v>6016</v>
      </c>
      <c r="I92" s="2">
        <v>125035</v>
      </c>
      <c r="J92" s="13">
        <f t="shared" si="5"/>
        <v>-7.0237723437437533E-2</v>
      </c>
      <c r="K92" s="13">
        <f t="shared" si="6"/>
        <v>-0.15476156676130687</v>
      </c>
    </row>
    <row r="93" spans="1:11" x14ac:dyDescent="0.2">
      <c r="A93" s="1" t="s">
        <v>109</v>
      </c>
      <c r="B93" s="1">
        <v>4</v>
      </c>
      <c r="C93" s="2">
        <v>122911.01750000002</v>
      </c>
      <c r="D93" s="2">
        <f t="shared" si="3"/>
        <v>18436.652624999988</v>
      </c>
      <c r="E93" s="2">
        <v>141347.670125</v>
      </c>
      <c r="G93" s="2">
        <v>117335</v>
      </c>
      <c r="H93" s="2">
        <f t="shared" si="4"/>
        <v>13302</v>
      </c>
      <c r="I93" s="2">
        <v>130637</v>
      </c>
      <c r="J93" s="13">
        <f t="shared" si="5"/>
        <v>8.198802885093813E-2</v>
      </c>
      <c r="K93" s="13">
        <f t="shared" si="6"/>
        <v>-5.9140844477445012E-2</v>
      </c>
    </row>
    <row r="94" spans="1:11" x14ac:dyDescent="0.2">
      <c r="A94" s="1" t="s">
        <v>110</v>
      </c>
      <c r="B94" s="1">
        <v>3</v>
      </c>
      <c r="C94" s="2">
        <v>89239.94666666667</v>
      </c>
      <c r="D94" s="2">
        <f t="shared" si="3"/>
        <v>8923.9946666666656</v>
      </c>
      <c r="E94" s="2">
        <v>98163.941333333336</v>
      </c>
      <c r="G94" s="2">
        <v>93958</v>
      </c>
      <c r="H94" s="2">
        <f t="shared" si="4"/>
        <v>3426</v>
      </c>
      <c r="I94" s="2">
        <v>97384</v>
      </c>
      <c r="J94" s="13">
        <f t="shared" si="5"/>
        <v>8.0089268599907171E-3</v>
      </c>
      <c r="K94" s="13">
        <f t="shared" si="6"/>
        <v>-8.3628248309099332E-2</v>
      </c>
    </row>
    <row r="95" spans="1:11" x14ac:dyDescent="0.2">
      <c r="A95" s="1" t="s">
        <v>111</v>
      </c>
      <c r="B95" s="1">
        <v>12</v>
      </c>
      <c r="C95" s="2">
        <v>120036.83916666667</v>
      </c>
      <c r="D95" s="2">
        <f t="shared" si="3"/>
        <v>18005.525874999992</v>
      </c>
      <c r="E95" s="2">
        <v>138042.36504166666</v>
      </c>
      <c r="G95" s="2">
        <v>132054</v>
      </c>
      <c r="H95" s="2">
        <f t="shared" si="4"/>
        <v>6349</v>
      </c>
      <c r="I95" s="2">
        <v>138403</v>
      </c>
      <c r="J95" s="13">
        <f t="shared" si="5"/>
        <v>-2.6056874369293718E-3</v>
      </c>
      <c r="K95" s="13">
        <f t="shared" si="6"/>
        <v>-0.13270059777124288</v>
      </c>
    </row>
    <row r="96" spans="1:11" x14ac:dyDescent="0.2">
      <c r="A96" s="1" t="s">
        <v>112</v>
      </c>
      <c r="B96" s="1">
        <v>3</v>
      </c>
      <c r="C96" s="2">
        <v>269852.93333333335</v>
      </c>
      <c r="D96" s="2">
        <f t="shared" si="3"/>
        <v>107941.17333333334</v>
      </c>
      <c r="E96" s="2">
        <v>377794.10666666669</v>
      </c>
      <c r="G96" s="2">
        <v>231993</v>
      </c>
      <c r="H96" s="2">
        <f t="shared" si="4"/>
        <v>77803</v>
      </c>
      <c r="I96" s="2">
        <v>309796</v>
      </c>
      <c r="J96" s="13">
        <f t="shared" si="5"/>
        <v>0.21949317185072334</v>
      </c>
      <c r="K96" s="13">
        <f t="shared" si="6"/>
        <v>-0.12893344867805476</v>
      </c>
    </row>
    <row r="97" spans="1:11" x14ac:dyDescent="0.2">
      <c r="A97" s="1" t="s">
        <v>113</v>
      </c>
      <c r="B97" s="1">
        <v>4</v>
      </c>
      <c r="C97" s="2">
        <v>177875</v>
      </c>
      <c r="D97" s="2">
        <f t="shared" si="3"/>
        <v>44468.75</v>
      </c>
      <c r="E97" s="2">
        <v>222343.75</v>
      </c>
      <c r="G97" s="2">
        <v>170015</v>
      </c>
      <c r="H97" s="2">
        <f t="shared" si="4"/>
        <v>38008</v>
      </c>
      <c r="I97" s="2">
        <v>208023</v>
      </c>
      <c r="J97" s="13">
        <f t="shared" si="5"/>
        <v>6.8842147262562312E-2</v>
      </c>
      <c r="K97" s="13">
        <f t="shared" si="6"/>
        <v>-0.14492628218995016</v>
      </c>
    </row>
    <row r="98" spans="1:11" x14ac:dyDescent="0.2">
      <c r="A98" s="1" t="s">
        <v>114</v>
      </c>
      <c r="B98" s="1">
        <v>4</v>
      </c>
      <c r="C98" s="2">
        <v>48225.919999999998</v>
      </c>
      <c r="D98" s="2">
        <f t="shared" si="3"/>
        <v>2893.5552000000025</v>
      </c>
      <c r="E98" s="2">
        <v>51119.475200000001</v>
      </c>
      <c r="G98" s="2">
        <v>55714</v>
      </c>
      <c r="H98" s="2">
        <f t="shared" si="4"/>
        <v>1453</v>
      </c>
      <c r="I98" s="2">
        <v>57167</v>
      </c>
      <c r="J98" s="13">
        <f t="shared" si="5"/>
        <v>-0.1057869889971487</v>
      </c>
      <c r="K98" s="13">
        <f t="shared" si="6"/>
        <v>-0.15640281980863088</v>
      </c>
    </row>
    <row r="99" spans="1:11" x14ac:dyDescent="0.2">
      <c r="A99" s="1" t="s">
        <v>115</v>
      </c>
      <c r="B99" s="1">
        <v>3</v>
      </c>
      <c r="C99" s="2">
        <v>122048.75333333334</v>
      </c>
      <c r="D99" s="2">
        <f t="shared" si="3"/>
        <v>18307.313000000009</v>
      </c>
      <c r="E99" s="2">
        <v>140356.06633333335</v>
      </c>
      <c r="G99" s="2">
        <v>129129</v>
      </c>
      <c r="H99" s="2">
        <f t="shared" si="4"/>
        <v>21585</v>
      </c>
      <c r="I99" s="2">
        <v>150714</v>
      </c>
      <c r="J99" s="13">
        <f t="shared" si="5"/>
        <v>-6.8725756510122818E-2</v>
      </c>
      <c r="K99" s="13">
        <f t="shared" si="6"/>
        <v>-0.19019631000880249</v>
      </c>
    </row>
    <row r="100" spans="1:11" x14ac:dyDescent="0.2">
      <c r="A100" s="1" t="s">
        <v>116</v>
      </c>
      <c r="B100" s="1">
        <v>3</v>
      </c>
      <c r="C100" s="2">
        <v>99300</v>
      </c>
      <c r="D100" s="2">
        <f t="shared" si="3"/>
        <v>9930</v>
      </c>
      <c r="E100" s="2">
        <v>109230</v>
      </c>
      <c r="G100" s="2">
        <v>117919</v>
      </c>
      <c r="H100" s="2">
        <f t="shared" si="4"/>
        <v>12158</v>
      </c>
      <c r="I100" s="2">
        <v>130077</v>
      </c>
      <c r="J100" s="13">
        <f t="shared" si="5"/>
        <v>-0.1602666113148366</v>
      </c>
      <c r="K100" s="13">
        <f t="shared" si="6"/>
        <v>-0.23660601028621508</v>
      </c>
    </row>
    <row r="101" spans="1:11" x14ac:dyDescent="0.2">
      <c r="A101" s="1" t="s">
        <v>117</v>
      </c>
      <c r="B101" s="1">
        <v>4</v>
      </c>
      <c r="C101" s="2">
        <v>92625</v>
      </c>
      <c r="D101" s="2">
        <f t="shared" si="3"/>
        <v>9262.5</v>
      </c>
      <c r="E101" s="2">
        <v>101887.5</v>
      </c>
      <c r="G101" s="2">
        <v>99488</v>
      </c>
      <c r="H101" s="2">
        <f t="shared" si="4"/>
        <v>9240</v>
      </c>
      <c r="I101" s="2">
        <v>108728</v>
      </c>
      <c r="J101" s="13">
        <f t="shared" si="5"/>
        <v>-6.2913876830255316E-2</v>
      </c>
      <c r="K101" s="13">
        <f t="shared" si="6"/>
        <v>-0.14810352439114119</v>
      </c>
    </row>
    <row r="102" spans="1:11" x14ac:dyDescent="0.2">
      <c r="A102" s="1" t="s">
        <v>118</v>
      </c>
      <c r="B102" s="1">
        <v>13</v>
      </c>
      <c r="C102" s="2">
        <v>102553.78230769231</v>
      </c>
      <c r="D102" s="2">
        <f t="shared" si="3"/>
        <v>10255.378230769231</v>
      </c>
      <c r="E102" s="2">
        <v>112809.16053846154</v>
      </c>
      <c r="G102" s="2">
        <v>102125</v>
      </c>
      <c r="H102" s="2">
        <f t="shared" si="4"/>
        <v>10370</v>
      </c>
      <c r="I102" s="2">
        <v>112495</v>
      </c>
      <c r="J102" s="13">
        <f t="shared" si="5"/>
        <v>2.7926622379798173E-3</v>
      </c>
      <c r="K102" s="13">
        <f t="shared" si="6"/>
        <v>-8.8370307056381978E-2</v>
      </c>
    </row>
    <row r="103" spans="1:11" x14ac:dyDescent="0.2">
      <c r="A103" s="1" t="s">
        <v>119</v>
      </c>
      <c r="B103" s="1">
        <v>3</v>
      </c>
      <c r="C103" s="2">
        <v>70684.806666666656</v>
      </c>
      <c r="D103" s="2">
        <f t="shared" si="3"/>
        <v>6361.6325999999972</v>
      </c>
      <c r="E103" s="2">
        <v>77046.439266666654</v>
      </c>
      <c r="G103" s="2">
        <v>88985</v>
      </c>
      <c r="H103" s="2">
        <f t="shared" si="4"/>
        <v>4454</v>
      </c>
      <c r="I103" s="2">
        <v>93439</v>
      </c>
      <c r="J103" s="13">
        <f t="shared" si="5"/>
        <v>-0.17543596071590392</v>
      </c>
      <c r="K103" s="13">
        <f t="shared" si="6"/>
        <v>-0.24351923001459072</v>
      </c>
    </row>
    <row r="104" spans="1:11" x14ac:dyDescent="0.2">
      <c r="A104" s="1" t="s">
        <v>120</v>
      </c>
      <c r="B104" s="1">
        <v>5</v>
      </c>
      <c r="C104" s="2">
        <v>96830.286000000007</v>
      </c>
      <c r="D104" s="2">
        <f t="shared" si="3"/>
        <v>9683.0286000000051</v>
      </c>
      <c r="E104" s="2">
        <v>106513.31460000001</v>
      </c>
      <c r="G104" s="2">
        <v>120696</v>
      </c>
      <c r="H104" s="2">
        <f t="shared" si="4"/>
        <v>20423</v>
      </c>
      <c r="I104" s="2">
        <v>141119</v>
      </c>
      <c r="J104" s="13">
        <f t="shared" si="5"/>
        <v>-0.24522343128848692</v>
      </c>
      <c r="K104" s="13">
        <f t="shared" si="6"/>
        <v>-0.31383948298953362</v>
      </c>
    </row>
    <row r="105" spans="1:11" x14ac:dyDescent="0.2">
      <c r="A105" s="1" t="s">
        <v>121</v>
      </c>
      <c r="B105" s="1">
        <v>8</v>
      </c>
      <c r="C105" s="2">
        <v>85860.348750000005</v>
      </c>
      <c r="D105" s="2">
        <f t="shared" si="3"/>
        <v>8586.0348749999976</v>
      </c>
      <c r="E105" s="2">
        <v>94446.383625000002</v>
      </c>
      <c r="G105" s="2">
        <v>100518</v>
      </c>
      <c r="H105" s="2">
        <f t="shared" si="4"/>
        <v>6651</v>
      </c>
      <c r="I105" s="2">
        <v>107169</v>
      </c>
      <c r="J105" s="13">
        <f t="shared" si="5"/>
        <v>-0.11871545292948518</v>
      </c>
      <c r="K105" s="13">
        <f t="shared" si="6"/>
        <v>-0.19883222993589561</v>
      </c>
    </row>
    <row r="106" spans="1:11" x14ac:dyDescent="0.2">
      <c r="A106" s="1" t="s">
        <v>122</v>
      </c>
      <c r="B106" s="1">
        <v>3</v>
      </c>
      <c r="C106" s="2">
        <v>133249.10333333333</v>
      </c>
      <c r="D106" s="2">
        <f t="shared" si="3"/>
        <v>26649.820666666667</v>
      </c>
      <c r="E106" s="2">
        <v>159898.924</v>
      </c>
      <c r="G106" s="2">
        <v>140030</v>
      </c>
      <c r="H106" s="2">
        <f t="shared" si="4"/>
        <v>17523</v>
      </c>
      <c r="I106" s="2">
        <v>157553</v>
      </c>
      <c r="J106" s="13">
        <f t="shared" si="5"/>
        <v>1.4889745038177624E-2</v>
      </c>
      <c r="K106" s="13">
        <f t="shared" si="6"/>
        <v>-0.15425854580151865</v>
      </c>
    </row>
    <row r="107" spans="1:11" x14ac:dyDescent="0.2">
      <c r="A107" s="1" t="s">
        <v>123</v>
      </c>
      <c r="B107" s="1">
        <v>4</v>
      </c>
      <c r="C107" s="2">
        <v>141778.91500000001</v>
      </c>
      <c r="D107" s="2">
        <f t="shared" si="3"/>
        <v>28355.782999999996</v>
      </c>
      <c r="E107" s="2">
        <v>170134.698</v>
      </c>
      <c r="G107" s="2">
        <v>143853</v>
      </c>
      <c r="H107" s="2">
        <f t="shared" si="4"/>
        <v>25174</v>
      </c>
      <c r="I107" s="2">
        <v>169027</v>
      </c>
      <c r="J107" s="13">
        <f t="shared" si="5"/>
        <v>6.5533790459512617E-3</v>
      </c>
      <c r="K107" s="13">
        <f t="shared" si="6"/>
        <v>-0.16120551746170725</v>
      </c>
    </row>
    <row r="108" spans="1:11" x14ac:dyDescent="0.2">
      <c r="A108" s="1" t="s">
        <v>124</v>
      </c>
      <c r="B108" s="1">
        <v>3</v>
      </c>
      <c r="C108" s="2">
        <v>106531.04666666668</v>
      </c>
      <c r="D108" s="2">
        <f t="shared" si="3"/>
        <v>10653.104666666666</v>
      </c>
      <c r="E108" s="2">
        <v>117184.15133333334</v>
      </c>
      <c r="G108" s="2">
        <v>106580</v>
      </c>
      <c r="H108" s="2">
        <f t="shared" si="4"/>
        <v>12895</v>
      </c>
      <c r="I108" s="2">
        <v>119475</v>
      </c>
      <c r="J108" s="13">
        <f t="shared" si="5"/>
        <v>-1.9174293087814671E-2</v>
      </c>
      <c r="K108" s="13">
        <f t="shared" si="6"/>
        <v>-0.10834026644346786</v>
      </c>
    </row>
    <row r="109" spans="1:11" x14ac:dyDescent="0.2">
      <c r="A109" s="1" t="s">
        <v>125</v>
      </c>
      <c r="B109" s="1">
        <v>5</v>
      </c>
      <c r="C109" s="2">
        <v>106534.87</v>
      </c>
      <c r="D109" s="2">
        <f t="shared" si="3"/>
        <v>10653.486999999994</v>
      </c>
      <c r="E109" s="2">
        <v>117188.35699999999</v>
      </c>
      <c r="G109" s="2">
        <v>106104</v>
      </c>
      <c r="H109" s="2">
        <f t="shared" si="4"/>
        <v>13416</v>
      </c>
      <c r="I109" s="2">
        <v>119520</v>
      </c>
      <c r="J109" s="13">
        <f t="shared" si="5"/>
        <v>-1.9508391900937172E-2</v>
      </c>
      <c r="K109" s="13">
        <f t="shared" si="6"/>
        <v>-0.10864399263721557</v>
      </c>
    </row>
    <row r="110" spans="1:11" x14ac:dyDescent="0.2">
      <c r="A110" s="1" t="s">
        <v>126</v>
      </c>
      <c r="B110" s="1">
        <v>5</v>
      </c>
      <c r="C110" s="2">
        <v>91423.254000000001</v>
      </c>
      <c r="D110" s="2">
        <f t="shared" si="3"/>
        <v>9142.3254000000015</v>
      </c>
      <c r="E110" s="2">
        <v>100565.5794</v>
      </c>
      <c r="G110" s="2">
        <v>96183</v>
      </c>
      <c r="H110" s="2">
        <f t="shared" si="4"/>
        <v>8956</v>
      </c>
      <c r="I110" s="2">
        <v>105139</v>
      </c>
      <c r="J110" s="13">
        <f t="shared" si="5"/>
        <v>-4.349880253759307E-2</v>
      </c>
      <c r="K110" s="13">
        <f t="shared" si="6"/>
        <v>-0.13045345685235735</v>
      </c>
    </row>
    <row r="111" spans="1:11" x14ac:dyDescent="0.2">
      <c r="A111" s="1" t="s">
        <v>127</v>
      </c>
      <c r="B111" s="1">
        <v>3</v>
      </c>
      <c r="C111" s="2">
        <v>89282.73</v>
      </c>
      <c r="D111" s="2">
        <f t="shared" si="3"/>
        <v>8928.273000000001</v>
      </c>
      <c r="E111" s="2">
        <v>98211.002999999997</v>
      </c>
      <c r="G111" s="2">
        <v>97813</v>
      </c>
      <c r="H111" s="2">
        <f t="shared" si="4"/>
        <v>5942</v>
      </c>
      <c r="I111" s="2">
        <v>103755</v>
      </c>
      <c r="J111" s="13">
        <f t="shared" si="5"/>
        <v>-5.3433540552262571E-2</v>
      </c>
      <c r="K111" s="13">
        <f t="shared" si="6"/>
        <v>-0.13948503686569325</v>
      </c>
    </row>
    <row r="112" spans="1:11" x14ac:dyDescent="0.2">
      <c r="A112" s="1" t="s">
        <v>128</v>
      </c>
      <c r="B112" s="1">
        <v>4</v>
      </c>
      <c r="C112" s="2">
        <v>87061.554999999993</v>
      </c>
      <c r="D112" s="2">
        <f t="shared" si="3"/>
        <v>8706.1554999999935</v>
      </c>
      <c r="E112" s="2">
        <v>95767.710499999986</v>
      </c>
      <c r="G112" s="2">
        <v>91905</v>
      </c>
      <c r="H112" s="2">
        <f t="shared" si="4"/>
        <v>9851</v>
      </c>
      <c r="I112" s="2">
        <v>101756</v>
      </c>
      <c r="J112" s="13">
        <f t="shared" si="5"/>
        <v>-5.88494978183106E-2</v>
      </c>
      <c r="K112" s="13">
        <f t="shared" si="6"/>
        <v>-0.14440863438028231</v>
      </c>
    </row>
    <row r="113" spans="1:11" x14ac:dyDescent="0.2">
      <c r="A113" s="1" t="s">
        <v>129</v>
      </c>
      <c r="B113" s="1">
        <v>4</v>
      </c>
      <c r="C113" s="2">
        <v>82537.353749999995</v>
      </c>
      <c r="D113" s="2">
        <f t="shared" ref="D113:D176" si="7">E113-C113</f>
        <v>8253.7353750000038</v>
      </c>
      <c r="E113" s="2">
        <v>90791.089124999999</v>
      </c>
      <c r="G113" s="2">
        <v>79709</v>
      </c>
      <c r="H113" s="2">
        <f t="shared" ref="H113:H176" si="8">I113-G113</f>
        <v>4935</v>
      </c>
      <c r="I113" s="2">
        <v>84644</v>
      </c>
      <c r="J113" s="13">
        <f t="shared" si="5"/>
        <v>7.2622857201928057E-2</v>
      </c>
      <c r="K113" s="13">
        <f t="shared" si="6"/>
        <v>-2.4888311634610902E-2</v>
      </c>
    </row>
    <row r="114" spans="1:11" x14ac:dyDescent="0.2">
      <c r="A114" s="1" t="s">
        <v>130</v>
      </c>
      <c r="B114" s="1">
        <v>3</v>
      </c>
      <c r="C114" s="2">
        <v>150184.22333333333</v>
      </c>
      <c r="D114" s="2">
        <f t="shared" si="7"/>
        <v>30036.844666666671</v>
      </c>
      <c r="E114" s="2">
        <v>180221.068</v>
      </c>
      <c r="G114" s="2">
        <v>139090</v>
      </c>
      <c r="H114" s="2">
        <f t="shared" si="8"/>
        <v>6468</v>
      </c>
      <c r="I114" s="2">
        <v>145558</v>
      </c>
      <c r="J114" s="13">
        <f t="shared" si="5"/>
        <v>0.23813921598263235</v>
      </c>
      <c r="K114" s="13">
        <f t="shared" si="6"/>
        <v>3.1782679985526925E-2</v>
      </c>
    </row>
    <row r="115" spans="1:11" x14ac:dyDescent="0.2">
      <c r="A115" s="1" t="s">
        <v>131</v>
      </c>
      <c r="B115" s="1">
        <v>8</v>
      </c>
      <c r="C115" s="2">
        <v>89804.387749999994</v>
      </c>
      <c r="D115" s="2">
        <f t="shared" si="7"/>
        <v>8980.4387750000024</v>
      </c>
      <c r="E115" s="2">
        <v>98784.826524999997</v>
      </c>
      <c r="G115" s="2">
        <v>94823</v>
      </c>
      <c r="H115" s="2">
        <f t="shared" si="8"/>
        <v>8449</v>
      </c>
      <c r="I115" s="2">
        <v>103272</v>
      </c>
      <c r="J115" s="13">
        <f t="shared" si="5"/>
        <v>-4.3450049142071456E-2</v>
      </c>
      <c r="K115" s="13">
        <f t="shared" si="6"/>
        <v>-0.13040913558370135</v>
      </c>
    </row>
    <row r="116" spans="1:11" x14ac:dyDescent="0.2">
      <c r="A116" s="1" t="s">
        <v>132</v>
      </c>
      <c r="B116" s="1">
        <v>10</v>
      </c>
      <c r="C116" s="2">
        <v>98322.849000000002</v>
      </c>
      <c r="D116" s="2">
        <f t="shared" si="7"/>
        <v>9832.2848999999987</v>
      </c>
      <c r="E116" s="2">
        <v>108155.1339</v>
      </c>
      <c r="G116" s="2">
        <v>109387</v>
      </c>
      <c r="H116" s="2">
        <f t="shared" si="8"/>
        <v>3938</v>
      </c>
      <c r="I116" s="2">
        <v>113325</v>
      </c>
      <c r="J116" s="13">
        <f t="shared" si="5"/>
        <v>-4.5619819986763725E-2</v>
      </c>
      <c r="K116" s="13">
        <f t="shared" si="6"/>
        <v>-0.13238165453342154</v>
      </c>
    </row>
    <row r="117" spans="1:11" x14ac:dyDescent="0.2">
      <c r="A117" s="1" t="s">
        <v>133</v>
      </c>
      <c r="B117" s="1">
        <v>10</v>
      </c>
      <c r="C117" s="2">
        <v>92904.815000000017</v>
      </c>
      <c r="D117" s="2">
        <f t="shared" si="7"/>
        <v>9290.481500000009</v>
      </c>
      <c r="E117" s="2">
        <v>102195.29650000003</v>
      </c>
      <c r="G117" s="2">
        <v>89317</v>
      </c>
      <c r="H117" s="2">
        <f t="shared" si="8"/>
        <v>3955</v>
      </c>
      <c r="I117" s="2">
        <v>93272</v>
      </c>
      <c r="J117" s="13">
        <f t="shared" si="5"/>
        <v>9.5669616819624603E-2</v>
      </c>
      <c r="K117" s="13">
        <f t="shared" si="6"/>
        <v>-3.9367119821595237E-3</v>
      </c>
    </row>
    <row r="118" spans="1:11" x14ac:dyDescent="0.2">
      <c r="A118" s="1" t="s">
        <v>134</v>
      </c>
      <c r="B118" s="1">
        <v>3</v>
      </c>
      <c r="C118" s="2">
        <v>63233.333333333336</v>
      </c>
      <c r="D118" s="2">
        <f t="shared" si="7"/>
        <v>5691.0000000000073</v>
      </c>
      <c r="E118" s="2">
        <v>68924.333333333343</v>
      </c>
      <c r="G118" s="2">
        <v>71736</v>
      </c>
      <c r="H118" s="2">
        <f t="shared" si="8"/>
        <v>3044</v>
      </c>
      <c r="I118" s="2">
        <v>74780</v>
      </c>
      <c r="J118" s="13">
        <f t="shared" si="5"/>
        <v>-7.8305250958366629E-2</v>
      </c>
      <c r="K118" s="13">
        <f t="shared" si="6"/>
        <v>-0.15440848711776764</v>
      </c>
    </row>
    <row r="119" spans="1:11" x14ac:dyDescent="0.2">
      <c r="A119" s="1" t="s">
        <v>135</v>
      </c>
      <c r="B119" s="1">
        <v>6</v>
      </c>
      <c r="C119" s="2">
        <v>86416.666666666672</v>
      </c>
      <c r="D119" s="2">
        <f t="shared" si="7"/>
        <v>8641.6666666666715</v>
      </c>
      <c r="E119" s="2">
        <v>95058.333333333343</v>
      </c>
      <c r="G119" s="2">
        <v>87565</v>
      </c>
      <c r="H119" s="2">
        <f t="shared" si="8"/>
        <v>10147</v>
      </c>
      <c r="I119" s="2">
        <v>97712</v>
      </c>
      <c r="J119" s="13">
        <f t="shared" si="5"/>
        <v>-2.7158042683259546E-2</v>
      </c>
      <c r="K119" s="13">
        <f t="shared" si="6"/>
        <v>-0.11559822062114508</v>
      </c>
    </row>
    <row r="120" spans="1:11" x14ac:dyDescent="0.2">
      <c r="A120" s="1" t="s">
        <v>136</v>
      </c>
      <c r="B120" s="1">
        <v>4</v>
      </c>
      <c r="C120" s="2">
        <v>89316.74</v>
      </c>
      <c r="D120" s="2">
        <f t="shared" si="7"/>
        <v>8931.6739999999991</v>
      </c>
      <c r="E120" s="2">
        <v>98248.414000000004</v>
      </c>
      <c r="G120" s="2">
        <v>84176</v>
      </c>
      <c r="H120" s="2">
        <f t="shared" si="8"/>
        <v>3466</v>
      </c>
      <c r="I120" s="2">
        <v>87642</v>
      </c>
      <c r="J120" s="13">
        <f t="shared" si="5"/>
        <v>0.12101976221446344</v>
      </c>
      <c r="K120" s="13">
        <f t="shared" si="6"/>
        <v>1.9108874740421319E-2</v>
      </c>
    </row>
    <row r="121" spans="1:11" x14ac:dyDescent="0.2">
      <c r="A121" s="1" t="s">
        <v>137</v>
      </c>
      <c r="B121" s="1">
        <v>16</v>
      </c>
      <c r="C121" s="2">
        <v>85876.445000000007</v>
      </c>
      <c r="D121" s="2">
        <f t="shared" si="7"/>
        <v>8587.6444999999949</v>
      </c>
      <c r="E121" s="2">
        <v>94464.089500000002</v>
      </c>
      <c r="G121" s="2">
        <v>84044</v>
      </c>
      <c r="H121" s="2">
        <f t="shared" si="8"/>
        <v>2202</v>
      </c>
      <c r="I121" s="2">
        <v>86246</v>
      </c>
      <c r="J121" s="13">
        <f t="shared" si="5"/>
        <v>9.5286616190895831E-2</v>
      </c>
      <c r="K121" s="13">
        <f t="shared" si="6"/>
        <v>-4.2848943719128191E-3</v>
      </c>
    </row>
    <row r="122" spans="1:11" x14ac:dyDescent="0.2">
      <c r="A122" s="1" t="s">
        <v>138</v>
      </c>
      <c r="B122" s="1">
        <v>5</v>
      </c>
      <c r="C122" s="2">
        <v>62296.766000000003</v>
      </c>
      <c r="D122" s="2">
        <f t="shared" si="7"/>
        <v>4983.741280000002</v>
      </c>
      <c r="E122" s="2">
        <v>67280.507280000005</v>
      </c>
      <c r="G122" s="2">
        <v>66562</v>
      </c>
      <c r="H122" s="2">
        <f t="shared" si="8"/>
        <v>1927</v>
      </c>
      <c r="I122" s="2">
        <v>68489</v>
      </c>
      <c r="J122" s="13">
        <f t="shared" si="5"/>
        <v>-1.7645063002817894E-2</v>
      </c>
      <c r="K122" s="13">
        <f t="shared" si="6"/>
        <v>-9.0412095372979562E-2</v>
      </c>
    </row>
    <row r="123" spans="1:11" x14ac:dyDescent="0.2">
      <c r="A123" s="1" t="s">
        <v>139</v>
      </c>
      <c r="B123" s="1">
        <v>7</v>
      </c>
      <c r="C123" s="2">
        <v>103939.68285714286</v>
      </c>
      <c r="D123" s="2">
        <f t="shared" si="7"/>
        <v>10393.968285714291</v>
      </c>
      <c r="E123" s="2">
        <v>114333.65114285715</v>
      </c>
      <c r="G123" s="2">
        <v>109735</v>
      </c>
      <c r="H123" s="2">
        <f t="shared" si="8"/>
        <v>7376</v>
      </c>
      <c r="I123" s="2">
        <v>117111</v>
      </c>
      <c r="J123" s="13">
        <f t="shared" si="5"/>
        <v>-2.3715525075721718E-2</v>
      </c>
      <c r="K123" s="13">
        <f t="shared" si="6"/>
        <v>-0.11246865915974705</v>
      </c>
    </row>
    <row r="124" spans="1:11" x14ac:dyDescent="0.2">
      <c r="A124" s="1" t="s">
        <v>140</v>
      </c>
      <c r="B124" s="1">
        <v>6</v>
      </c>
      <c r="C124" s="2">
        <v>146771.08499999999</v>
      </c>
      <c r="D124" s="2">
        <f t="shared" si="7"/>
        <v>29354.217000000004</v>
      </c>
      <c r="E124" s="2">
        <v>176125.302</v>
      </c>
      <c r="G124" s="2">
        <v>140682</v>
      </c>
      <c r="H124" s="2">
        <f t="shared" si="8"/>
        <v>16846</v>
      </c>
      <c r="I124" s="2">
        <v>157528</v>
      </c>
      <c r="J124" s="13">
        <f t="shared" si="5"/>
        <v>0.11805712000406274</v>
      </c>
      <c r="K124" s="13">
        <f t="shared" si="6"/>
        <v>-6.8285733329947737E-2</v>
      </c>
    </row>
    <row r="125" spans="1:11" x14ac:dyDescent="0.2">
      <c r="A125" s="1" t="s">
        <v>141</v>
      </c>
      <c r="B125" s="1">
        <v>3</v>
      </c>
      <c r="C125" s="2">
        <v>80485.447</v>
      </c>
      <c r="D125" s="2">
        <f t="shared" si="7"/>
        <v>8048.5446999999986</v>
      </c>
      <c r="E125" s="2">
        <v>88533.991699999999</v>
      </c>
      <c r="G125" s="2">
        <v>89291</v>
      </c>
      <c r="H125" s="2">
        <f t="shared" si="8"/>
        <v>3043</v>
      </c>
      <c r="I125" s="2">
        <v>92334</v>
      </c>
      <c r="J125" s="13">
        <f t="shared" si="5"/>
        <v>-4.1155027400524201E-2</v>
      </c>
      <c r="K125" s="13">
        <f t="shared" si="6"/>
        <v>-0.12832275218229472</v>
      </c>
    </row>
    <row r="126" spans="1:11" x14ac:dyDescent="0.2">
      <c r="A126" s="1" t="s">
        <v>142</v>
      </c>
      <c r="B126" s="1">
        <v>4</v>
      </c>
      <c r="C126" s="2">
        <v>116666.61750000001</v>
      </c>
      <c r="D126" s="2">
        <f t="shared" si="7"/>
        <v>11666.661749999999</v>
      </c>
      <c r="E126" s="2">
        <v>128333.27925000001</v>
      </c>
      <c r="G126" s="2">
        <v>107424</v>
      </c>
      <c r="H126" s="2">
        <f t="shared" si="8"/>
        <v>7369</v>
      </c>
      <c r="I126" s="2">
        <v>114793</v>
      </c>
      <c r="J126" s="13">
        <f t="shared" si="5"/>
        <v>0.11795387567186158</v>
      </c>
      <c r="K126" s="13">
        <f t="shared" si="6"/>
        <v>1.6321705156237817E-2</v>
      </c>
    </row>
    <row r="127" spans="1:11" x14ac:dyDescent="0.2">
      <c r="A127" s="1" t="s">
        <v>143</v>
      </c>
      <c r="B127" s="1">
        <v>4</v>
      </c>
      <c r="C127" s="2">
        <v>148315</v>
      </c>
      <c r="D127" s="2">
        <f t="shared" si="7"/>
        <v>29663</v>
      </c>
      <c r="E127" s="2">
        <v>177978</v>
      </c>
      <c r="G127" s="2">
        <v>135761</v>
      </c>
      <c r="H127" s="2">
        <f t="shared" si="8"/>
        <v>14784</v>
      </c>
      <c r="I127" s="2">
        <v>150545</v>
      </c>
      <c r="J127" s="13">
        <f t="shared" si="5"/>
        <v>0.18222458401142516</v>
      </c>
      <c r="K127" s="13">
        <f t="shared" si="6"/>
        <v>-1.4812846657145703E-2</v>
      </c>
    </row>
    <row r="128" spans="1:11" x14ac:dyDescent="0.2">
      <c r="A128" s="1" t="s">
        <v>144</v>
      </c>
      <c r="B128" s="1">
        <v>6</v>
      </c>
      <c r="C128" s="2">
        <v>112058.67166666668</v>
      </c>
      <c r="D128" s="2">
        <f t="shared" si="7"/>
        <v>11205.867166666663</v>
      </c>
      <c r="E128" s="2">
        <v>123264.53883333334</v>
      </c>
      <c r="G128" s="2">
        <v>107307</v>
      </c>
      <c r="H128" s="2">
        <f t="shared" si="8"/>
        <v>6725</v>
      </c>
      <c r="I128" s="2">
        <v>114032</v>
      </c>
      <c r="J128" s="13">
        <f t="shared" si="5"/>
        <v>8.0964455883728595E-2</v>
      </c>
      <c r="K128" s="13">
        <f t="shared" si="6"/>
        <v>-1.730504010570124E-2</v>
      </c>
    </row>
    <row r="129" spans="1:11" x14ac:dyDescent="0.2">
      <c r="A129" s="1" t="s">
        <v>145</v>
      </c>
      <c r="B129" s="1">
        <v>6</v>
      </c>
      <c r="C129" s="2">
        <v>66400.333333333328</v>
      </c>
      <c r="D129" s="2">
        <f t="shared" si="7"/>
        <v>5312.0266666666721</v>
      </c>
      <c r="E129" s="2">
        <v>71712.36</v>
      </c>
      <c r="G129" s="2">
        <v>65915</v>
      </c>
      <c r="H129" s="2">
        <f t="shared" si="8"/>
        <v>952</v>
      </c>
      <c r="I129" s="2">
        <v>66867</v>
      </c>
      <c r="J129" s="13">
        <f t="shared" si="5"/>
        <v>7.2462649737538701E-2</v>
      </c>
      <c r="K129" s="13">
        <f t="shared" si="6"/>
        <v>-6.9790280207975763E-3</v>
      </c>
    </row>
    <row r="130" spans="1:11" x14ac:dyDescent="0.2">
      <c r="A130" s="1" t="s">
        <v>146</v>
      </c>
      <c r="B130" s="1">
        <v>3</v>
      </c>
      <c r="C130" s="2">
        <v>85795.36</v>
      </c>
      <c r="D130" s="2">
        <f t="shared" si="7"/>
        <v>8579.5360000000073</v>
      </c>
      <c r="E130" s="2">
        <v>94374.896000000008</v>
      </c>
      <c r="G130" s="2">
        <v>86543</v>
      </c>
      <c r="H130" s="2">
        <f t="shared" si="8"/>
        <v>3261</v>
      </c>
      <c r="I130" s="2">
        <v>89804</v>
      </c>
      <c r="J130" s="13">
        <f t="shared" si="5"/>
        <v>5.0898579127878582E-2</v>
      </c>
      <c r="K130" s="13">
        <f t="shared" si="6"/>
        <v>-4.4637655338292274E-2</v>
      </c>
    </row>
    <row r="131" spans="1:11" x14ac:dyDescent="0.2">
      <c r="A131" s="1" t="s">
        <v>147</v>
      </c>
      <c r="B131" s="1">
        <v>4</v>
      </c>
      <c r="C131" s="2">
        <v>71350</v>
      </c>
      <c r="D131" s="2">
        <f t="shared" si="7"/>
        <v>6421.5</v>
      </c>
      <c r="E131" s="2">
        <v>77771.5</v>
      </c>
      <c r="G131" s="2">
        <v>74102</v>
      </c>
      <c r="H131" s="2">
        <f t="shared" si="8"/>
        <v>1997</v>
      </c>
      <c r="I131" s="2">
        <v>76099</v>
      </c>
      <c r="J131" s="13">
        <f t="shared" si="5"/>
        <v>2.1977949775949749E-2</v>
      </c>
      <c r="K131" s="13">
        <f t="shared" si="6"/>
        <v>-6.2405550664266285E-2</v>
      </c>
    </row>
    <row r="132" spans="1:11" x14ac:dyDescent="0.2">
      <c r="A132" s="1" t="s">
        <v>148</v>
      </c>
      <c r="B132" s="1">
        <v>9</v>
      </c>
      <c r="C132" s="2">
        <v>61438.888888888891</v>
      </c>
      <c r="D132" s="2">
        <f t="shared" si="7"/>
        <v>4915.1111111111095</v>
      </c>
      <c r="E132" s="2">
        <v>66354</v>
      </c>
      <c r="G132" s="2">
        <v>61793</v>
      </c>
      <c r="H132" s="2">
        <f t="shared" si="8"/>
        <v>822</v>
      </c>
      <c r="I132" s="2">
        <v>62615</v>
      </c>
      <c r="J132" s="13">
        <f t="shared" si="5"/>
        <v>5.9714126008145012E-2</v>
      </c>
      <c r="K132" s="13">
        <f t="shared" si="6"/>
        <v>-1.8783216659124961E-2</v>
      </c>
    </row>
    <row r="133" spans="1:11" x14ac:dyDescent="0.2">
      <c r="A133" s="1" t="s">
        <v>149</v>
      </c>
      <c r="B133" s="1">
        <v>25</v>
      </c>
      <c r="C133" s="2">
        <v>107904.6048</v>
      </c>
      <c r="D133" s="2">
        <f t="shared" si="7"/>
        <v>10790.460480000009</v>
      </c>
      <c r="E133" s="2">
        <v>118695.06528000001</v>
      </c>
      <c r="G133" s="2">
        <v>119019</v>
      </c>
      <c r="H133" s="2">
        <f t="shared" si="8"/>
        <v>6016</v>
      </c>
      <c r="I133" s="2">
        <v>125035</v>
      </c>
      <c r="J133" s="13">
        <f t="shared" si="5"/>
        <v>-5.0705280281521097E-2</v>
      </c>
      <c r="K133" s="13">
        <f t="shared" si="6"/>
        <v>-0.13700480025592834</v>
      </c>
    </row>
    <row r="134" spans="1:11" x14ac:dyDescent="0.2">
      <c r="A134" s="1" t="s">
        <v>150</v>
      </c>
      <c r="B134" s="1">
        <v>16</v>
      </c>
      <c r="C134" s="2">
        <v>127508.87437500001</v>
      </c>
      <c r="D134" s="2">
        <f t="shared" si="7"/>
        <v>19126.331156250002</v>
      </c>
      <c r="E134" s="2">
        <v>146635.20553125002</v>
      </c>
      <c r="G134" s="2">
        <v>140919</v>
      </c>
      <c r="H134" s="2">
        <f t="shared" si="8"/>
        <v>9849</v>
      </c>
      <c r="I134" s="2">
        <v>150768</v>
      </c>
      <c r="J134" s="13">
        <f t="shared" si="5"/>
        <v>-2.7411615652857265E-2</v>
      </c>
      <c r="K134" s="13">
        <f t="shared" si="6"/>
        <v>-0.15427097013291935</v>
      </c>
    </row>
    <row r="135" spans="1:11" x14ac:dyDescent="0.2">
      <c r="A135" s="1" t="s">
        <v>151</v>
      </c>
      <c r="B135" s="1">
        <v>10</v>
      </c>
      <c r="C135" s="2">
        <v>96098.372999999992</v>
      </c>
      <c r="D135" s="2">
        <f t="shared" si="7"/>
        <v>9609.8372999999992</v>
      </c>
      <c r="E135" s="2">
        <v>105708.21029999999</v>
      </c>
      <c r="G135" s="2">
        <v>93958</v>
      </c>
      <c r="H135" s="2">
        <f t="shared" si="8"/>
        <v>3426</v>
      </c>
      <c r="I135" s="2">
        <v>97384</v>
      </c>
      <c r="J135" s="13">
        <f t="shared" si="5"/>
        <v>8.5478213053478927E-2</v>
      </c>
      <c r="K135" s="13">
        <f t="shared" si="6"/>
        <v>-1.3201624496837342E-2</v>
      </c>
    </row>
    <row r="136" spans="1:11" x14ac:dyDescent="0.2">
      <c r="A136" s="1" t="s">
        <v>152</v>
      </c>
      <c r="B136" s="1">
        <v>12</v>
      </c>
      <c r="C136" s="2">
        <v>124393.82083333332</v>
      </c>
      <c r="D136" s="2">
        <f t="shared" si="7"/>
        <v>18659.073124999981</v>
      </c>
      <c r="E136" s="2">
        <v>143052.8939583333</v>
      </c>
      <c r="G136" s="2">
        <v>126509</v>
      </c>
      <c r="H136" s="2">
        <f t="shared" si="8"/>
        <v>7626</v>
      </c>
      <c r="I136" s="2">
        <v>134135</v>
      </c>
      <c r="J136" s="13">
        <f t="shared" ref="J136:J199" si="9">(E136-I136)/I136</f>
        <v>6.6484466830680267E-2</v>
      </c>
      <c r="K136" s="13">
        <f t="shared" ref="K136:K199" si="10">(C136-I136)/I136</f>
        <v>-7.2622202755930093E-2</v>
      </c>
    </row>
    <row r="137" spans="1:11" x14ac:dyDescent="0.2">
      <c r="A137" s="1" t="s">
        <v>153</v>
      </c>
      <c r="B137" s="1">
        <v>44</v>
      </c>
      <c r="C137" s="2">
        <v>141112.3431818182</v>
      </c>
      <c r="D137" s="2">
        <f t="shared" si="7"/>
        <v>28222.468636363628</v>
      </c>
      <c r="E137" s="2">
        <v>169334.81181818183</v>
      </c>
      <c r="G137" s="2">
        <v>158169</v>
      </c>
      <c r="H137" s="2">
        <f t="shared" si="8"/>
        <v>23576</v>
      </c>
      <c r="I137" s="2">
        <v>181745</v>
      </c>
      <c r="J137" s="13">
        <f t="shared" si="9"/>
        <v>-6.8283519116444313E-2</v>
      </c>
      <c r="K137" s="13">
        <f t="shared" si="10"/>
        <v>-0.22356959926370354</v>
      </c>
    </row>
    <row r="138" spans="1:11" x14ac:dyDescent="0.2">
      <c r="A138" s="1" t="s">
        <v>154</v>
      </c>
      <c r="B138" s="1">
        <v>25</v>
      </c>
      <c r="C138" s="2">
        <v>120352.00079999998</v>
      </c>
      <c r="D138" s="2">
        <f t="shared" si="7"/>
        <v>18052.80012</v>
      </c>
      <c r="E138" s="2">
        <v>138404.80091999998</v>
      </c>
      <c r="G138" s="2">
        <v>128576</v>
      </c>
      <c r="H138" s="2">
        <f t="shared" si="8"/>
        <v>14882</v>
      </c>
      <c r="I138" s="2">
        <v>143458</v>
      </c>
      <c r="J138" s="13">
        <f t="shared" si="9"/>
        <v>-3.5224240404857311E-2</v>
      </c>
      <c r="K138" s="13">
        <f t="shared" si="10"/>
        <v>-0.16106455687378898</v>
      </c>
    </row>
    <row r="139" spans="1:11" x14ac:dyDescent="0.2">
      <c r="A139" s="1" t="s">
        <v>155</v>
      </c>
      <c r="B139" s="1">
        <v>3</v>
      </c>
      <c r="C139" s="2">
        <v>71514.66333333333</v>
      </c>
      <c r="D139" s="2">
        <f t="shared" si="7"/>
        <v>6436.3196999999927</v>
      </c>
      <c r="E139" s="2">
        <v>77950.983033333323</v>
      </c>
      <c r="G139" s="2">
        <v>74771</v>
      </c>
      <c r="H139" s="2">
        <f t="shared" si="8"/>
        <v>3678</v>
      </c>
      <c r="I139" s="2">
        <v>78449</v>
      </c>
      <c r="J139" s="13">
        <f t="shared" si="9"/>
        <v>-6.3482895469244606E-3</v>
      </c>
      <c r="K139" s="13">
        <f t="shared" si="10"/>
        <v>-8.8392926189838877E-2</v>
      </c>
    </row>
    <row r="140" spans="1:11" x14ac:dyDescent="0.2">
      <c r="A140" s="1" t="s">
        <v>156</v>
      </c>
      <c r="B140" s="1">
        <v>3</v>
      </c>
      <c r="C140" s="2">
        <v>55828.68</v>
      </c>
      <c r="D140" s="2">
        <f t="shared" si="7"/>
        <v>3349.7208000000028</v>
      </c>
      <c r="E140" s="2">
        <v>59178.400800000003</v>
      </c>
      <c r="G140" s="2">
        <v>58368</v>
      </c>
      <c r="H140" s="2">
        <f t="shared" si="8"/>
        <v>3013</v>
      </c>
      <c r="I140" s="2">
        <v>61381</v>
      </c>
      <c r="J140" s="13">
        <f t="shared" si="9"/>
        <v>-3.5884055326566799E-2</v>
      </c>
      <c r="K140" s="13">
        <f t="shared" si="10"/>
        <v>-9.0456655968459296E-2</v>
      </c>
    </row>
    <row r="141" spans="1:11" x14ac:dyDescent="0.2">
      <c r="A141" s="1" t="s">
        <v>157</v>
      </c>
      <c r="B141" s="1">
        <v>5</v>
      </c>
      <c r="C141" s="2">
        <v>88266.322</v>
      </c>
      <c r="D141" s="2">
        <f t="shared" si="7"/>
        <v>8826.6322000000073</v>
      </c>
      <c r="E141" s="2">
        <v>97092.954200000007</v>
      </c>
      <c r="G141" s="2">
        <v>92048</v>
      </c>
      <c r="H141" s="2">
        <f t="shared" si="8"/>
        <v>4248</v>
      </c>
      <c r="I141" s="2">
        <v>96296</v>
      </c>
      <c r="J141" s="13">
        <f t="shared" si="9"/>
        <v>8.2760883110410341E-3</v>
      </c>
      <c r="K141" s="13">
        <f t="shared" si="10"/>
        <v>-8.3385374262690035E-2</v>
      </c>
    </row>
    <row r="142" spans="1:11" x14ac:dyDescent="0.2">
      <c r="A142" s="1" t="s">
        <v>158</v>
      </c>
      <c r="B142" s="1">
        <v>33</v>
      </c>
      <c r="C142" s="2">
        <v>81744.606969696993</v>
      </c>
      <c r="D142" s="2">
        <f t="shared" si="7"/>
        <v>8174.4606969697052</v>
      </c>
      <c r="E142" s="2">
        <v>89919.067666666699</v>
      </c>
      <c r="G142" s="2">
        <v>79869</v>
      </c>
      <c r="H142" s="2">
        <f t="shared" si="8"/>
        <v>1304</v>
      </c>
      <c r="I142" s="2">
        <v>81173</v>
      </c>
      <c r="J142" s="13">
        <f t="shared" si="9"/>
        <v>0.10774601981775589</v>
      </c>
      <c r="K142" s="13">
        <f t="shared" si="10"/>
        <v>7.0418361979598327E-3</v>
      </c>
    </row>
    <row r="143" spans="1:11" x14ac:dyDescent="0.2">
      <c r="A143" s="1" t="s">
        <v>159</v>
      </c>
      <c r="B143" s="1">
        <v>9</v>
      </c>
      <c r="C143" s="2">
        <v>66170.686666666661</v>
      </c>
      <c r="D143" s="2">
        <f t="shared" si="7"/>
        <v>5293.6549333333387</v>
      </c>
      <c r="E143" s="2">
        <v>71464.3416</v>
      </c>
      <c r="G143" s="2">
        <v>69350</v>
      </c>
      <c r="H143" s="2">
        <f t="shared" si="8"/>
        <v>-3601</v>
      </c>
      <c r="I143" s="2">
        <v>65749</v>
      </c>
      <c r="J143" s="13">
        <f t="shared" si="9"/>
        <v>8.6926669607142307E-2</v>
      </c>
      <c r="K143" s="13">
        <f t="shared" si="10"/>
        <v>6.4135829695761313E-3</v>
      </c>
    </row>
    <row r="144" spans="1:11" x14ac:dyDescent="0.2">
      <c r="A144" s="1" t="s">
        <v>160</v>
      </c>
      <c r="B144" s="1">
        <v>5</v>
      </c>
      <c r="C144" s="2">
        <v>149433.34599999999</v>
      </c>
      <c r="D144" s="2">
        <f t="shared" si="7"/>
        <v>29886.669200000004</v>
      </c>
      <c r="E144" s="2">
        <v>179320.01519999999</v>
      </c>
      <c r="G144" s="2">
        <v>153924</v>
      </c>
      <c r="H144" s="2">
        <f t="shared" si="8"/>
        <v>8584</v>
      </c>
      <c r="I144" s="2">
        <v>162508</v>
      </c>
      <c r="J144" s="13">
        <f t="shared" si="9"/>
        <v>0.10345346198341002</v>
      </c>
      <c r="K144" s="13">
        <f t="shared" si="10"/>
        <v>-8.0455448347158356E-2</v>
      </c>
    </row>
    <row r="145" spans="1:11" x14ac:dyDescent="0.2">
      <c r="A145" s="1" t="s">
        <v>161</v>
      </c>
      <c r="B145" s="1">
        <v>23</v>
      </c>
      <c r="C145" s="2">
        <v>118621.507</v>
      </c>
      <c r="D145" s="2">
        <f t="shared" si="7"/>
        <v>17793.226049999983</v>
      </c>
      <c r="E145" s="2">
        <v>136414.73304999998</v>
      </c>
      <c r="G145" s="2">
        <v>124164</v>
      </c>
      <c r="H145" s="2">
        <f t="shared" si="8"/>
        <v>6134</v>
      </c>
      <c r="I145" s="2">
        <v>130298</v>
      </c>
      <c r="J145" s="13">
        <f t="shared" si="9"/>
        <v>4.6944182182381777E-2</v>
      </c>
      <c r="K145" s="13">
        <f t="shared" si="10"/>
        <v>-8.9613754624015732E-2</v>
      </c>
    </row>
    <row r="146" spans="1:11" x14ac:dyDescent="0.2">
      <c r="A146" s="1" t="s">
        <v>162</v>
      </c>
      <c r="B146" s="1">
        <v>32</v>
      </c>
      <c r="C146" s="2">
        <v>97619.986249999987</v>
      </c>
      <c r="D146" s="2">
        <f t="shared" si="7"/>
        <v>9761.9986249999929</v>
      </c>
      <c r="E146" s="2">
        <v>107381.98487499998</v>
      </c>
      <c r="G146" s="2">
        <v>103495</v>
      </c>
      <c r="H146" s="2">
        <f t="shared" si="8"/>
        <v>4696</v>
      </c>
      <c r="I146" s="2">
        <v>108191</v>
      </c>
      <c r="J146" s="13">
        <f t="shared" si="9"/>
        <v>-7.4776564131953669E-3</v>
      </c>
      <c r="K146" s="13">
        <f t="shared" si="10"/>
        <v>-9.7706960375632104E-2</v>
      </c>
    </row>
    <row r="147" spans="1:11" x14ac:dyDescent="0.2">
      <c r="A147" s="1" t="s">
        <v>163</v>
      </c>
      <c r="B147" s="1">
        <v>8</v>
      </c>
      <c r="C147" s="2">
        <v>72344.582500000004</v>
      </c>
      <c r="D147" s="2">
        <f t="shared" si="7"/>
        <v>6511.0124249999935</v>
      </c>
      <c r="E147" s="2">
        <v>78855.594924999998</v>
      </c>
      <c r="G147" s="2">
        <v>70301</v>
      </c>
      <c r="H147" s="2">
        <f t="shared" si="8"/>
        <v>2247</v>
      </c>
      <c r="I147" s="2">
        <v>72548</v>
      </c>
      <c r="J147" s="13">
        <f t="shared" si="9"/>
        <v>8.6943746554005594E-2</v>
      </c>
      <c r="K147" s="13">
        <f t="shared" si="10"/>
        <v>-2.8039022440314817E-3</v>
      </c>
    </row>
    <row r="148" spans="1:11" x14ac:dyDescent="0.2">
      <c r="A148" s="1" t="s">
        <v>164</v>
      </c>
      <c r="B148" s="1">
        <v>21</v>
      </c>
      <c r="C148" s="2">
        <v>129747.21761904762</v>
      </c>
      <c r="D148" s="2">
        <f t="shared" si="7"/>
        <v>19462.082642857131</v>
      </c>
      <c r="E148" s="2">
        <v>149209.30026190475</v>
      </c>
      <c r="G148" s="2">
        <v>125111</v>
      </c>
      <c r="H148" s="2">
        <f t="shared" si="8"/>
        <v>13845</v>
      </c>
      <c r="I148" s="2">
        <v>138956</v>
      </c>
      <c r="J148" s="13">
        <f t="shared" si="9"/>
        <v>7.3788107472183617E-2</v>
      </c>
      <c r="K148" s="13">
        <f t="shared" si="10"/>
        <v>-6.6271210893753305E-2</v>
      </c>
    </row>
    <row r="149" spans="1:11" x14ac:dyDescent="0.2">
      <c r="A149" s="1" t="s">
        <v>165</v>
      </c>
      <c r="B149" s="1">
        <v>19</v>
      </c>
      <c r="C149" s="2">
        <v>104312.10210526315</v>
      </c>
      <c r="D149" s="2">
        <f t="shared" si="7"/>
        <v>10431.210210526318</v>
      </c>
      <c r="E149" s="2">
        <v>114743.31231578947</v>
      </c>
      <c r="G149" s="2">
        <v>106395</v>
      </c>
      <c r="H149" s="2">
        <f t="shared" si="8"/>
        <v>7373</v>
      </c>
      <c r="I149" s="2">
        <v>113768</v>
      </c>
      <c r="J149" s="13">
        <f t="shared" si="9"/>
        <v>8.5728176270082387E-3</v>
      </c>
      <c r="K149" s="13">
        <f t="shared" si="10"/>
        <v>-8.3115620339083443E-2</v>
      </c>
    </row>
    <row r="150" spans="1:11" x14ac:dyDescent="0.2">
      <c r="A150" s="1" t="s">
        <v>166</v>
      </c>
      <c r="B150" s="1">
        <v>3</v>
      </c>
      <c r="C150" s="2">
        <v>95000</v>
      </c>
      <c r="D150" s="2">
        <f t="shared" si="7"/>
        <v>9500</v>
      </c>
      <c r="E150" s="2">
        <v>104500</v>
      </c>
      <c r="G150" s="2">
        <v>96190</v>
      </c>
      <c r="H150" s="2">
        <f t="shared" si="8"/>
        <v>5289</v>
      </c>
      <c r="I150" s="2">
        <v>101479</v>
      </c>
      <c r="J150" s="13">
        <f t="shared" si="9"/>
        <v>2.9769706047556636E-2</v>
      </c>
      <c r="K150" s="13">
        <f t="shared" si="10"/>
        <v>-6.3845721774948516E-2</v>
      </c>
    </row>
    <row r="151" spans="1:11" x14ac:dyDescent="0.2">
      <c r="A151" s="1" t="s">
        <v>167</v>
      </c>
      <c r="B151" s="1">
        <v>8</v>
      </c>
      <c r="C151" s="2">
        <v>76968.75</v>
      </c>
      <c r="D151" s="2">
        <f t="shared" si="7"/>
        <v>6927.1875</v>
      </c>
      <c r="E151" s="2">
        <v>83895.9375</v>
      </c>
      <c r="G151" s="2">
        <v>77165</v>
      </c>
      <c r="H151" s="2">
        <f t="shared" si="8"/>
        <v>3632</v>
      </c>
      <c r="I151" s="2">
        <v>80797</v>
      </c>
      <c r="J151" s="13">
        <f t="shared" si="9"/>
        <v>3.8354610938524943E-2</v>
      </c>
      <c r="K151" s="13">
        <f t="shared" si="10"/>
        <v>-4.738109088208721E-2</v>
      </c>
    </row>
    <row r="152" spans="1:11" x14ac:dyDescent="0.2">
      <c r="A152" s="1" t="s">
        <v>168</v>
      </c>
      <c r="B152" s="1">
        <v>12</v>
      </c>
      <c r="C152" s="2">
        <v>60307.499916666675</v>
      </c>
      <c r="D152" s="2">
        <f t="shared" si="7"/>
        <v>4824.5999933333369</v>
      </c>
      <c r="E152" s="2">
        <v>65132.099910000012</v>
      </c>
      <c r="G152" s="2">
        <v>63923</v>
      </c>
      <c r="H152" s="2">
        <f t="shared" si="8"/>
        <v>2093</v>
      </c>
      <c r="I152" s="2">
        <v>66016</v>
      </c>
      <c r="J152" s="13">
        <f t="shared" si="9"/>
        <v>-1.3389179744304234E-2</v>
      </c>
      <c r="K152" s="13">
        <f t="shared" si="10"/>
        <v>-8.6471462726207662E-2</v>
      </c>
    </row>
    <row r="153" spans="1:11" x14ac:dyDescent="0.2">
      <c r="A153" s="1" t="s">
        <v>169</v>
      </c>
      <c r="B153" s="1">
        <v>45</v>
      </c>
      <c r="C153" s="2">
        <v>112781.25</v>
      </c>
      <c r="D153" s="2">
        <f t="shared" si="7"/>
        <v>11278.125</v>
      </c>
      <c r="E153" s="2">
        <v>124059.375</v>
      </c>
      <c r="G153" s="2">
        <v>110987</v>
      </c>
      <c r="H153" s="2">
        <f t="shared" si="8"/>
        <v>8928</v>
      </c>
      <c r="I153" s="2">
        <v>119915</v>
      </c>
      <c r="J153" s="13">
        <f t="shared" si="9"/>
        <v>3.456093899845724E-2</v>
      </c>
      <c r="K153" s="13">
        <f t="shared" si="10"/>
        <v>-5.949005545594796E-2</v>
      </c>
    </row>
    <row r="154" spans="1:11" x14ac:dyDescent="0.2">
      <c r="A154" s="1" t="s">
        <v>170</v>
      </c>
      <c r="B154" s="1">
        <v>35</v>
      </c>
      <c r="C154" s="2">
        <v>98845.107171428579</v>
      </c>
      <c r="D154" s="2">
        <f t="shared" si="7"/>
        <v>9884.5107171428535</v>
      </c>
      <c r="E154" s="2">
        <v>108729.61788857143</v>
      </c>
      <c r="G154" s="2">
        <v>96632</v>
      </c>
      <c r="H154" s="2">
        <f t="shared" si="8"/>
        <v>4742</v>
      </c>
      <c r="I154" s="2">
        <v>101374</v>
      </c>
      <c r="J154" s="13">
        <f t="shared" si="9"/>
        <v>7.2559215267932922E-2</v>
      </c>
      <c r="K154" s="13">
        <f t="shared" si="10"/>
        <v>-2.4946167938242756E-2</v>
      </c>
    </row>
    <row r="155" spans="1:11" x14ac:dyDescent="0.2">
      <c r="A155" s="1" t="s">
        <v>171</v>
      </c>
      <c r="B155" s="1">
        <v>3</v>
      </c>
      <c r="C155" s="2">
        <v>100724.46333333333</v>
      </c>
      <c r="D155" s="2">
        <f t="shared" si="7"/>
        <v>10072.446333333341</v>
      </c>
      <c r="E155" s="2">
        <v>110796.90966666667</v>
      </c>
      <c r="G155" s="2">
        <v>112057</v>
      </c>
      <c r="H155" s="2">
        <f t="shared" si="8"/>
        <v>11205</v>
      </c>
      <c r="I155" s="2">
        <v>123262</v>
      </c>
      <c r="J155" s="13">
        <f t="shared" si="9"/>
        <v>-0.10112678954854964</v>
      </c>
      <c r="K155" s="13">
        <f t="shared" si="10"/>
        <v>-0.182842535953227</v>
      </c>
    </row>
    <row r="156" spans="1:11" x14ac:dyDescent="0.2">
      <c r="A156" s="1" t="s">
        <v>172</v>
      </c>
      <c r="B156" s="1">
        <v>5</v>
      </c>
      <c r="C156" s="2">
        <v>91439.812000000005</v>
      </c>
      <c r="D156" s="2">
        <f t="shared" si="7"/>
        <v>9143.9811999999947</v>
      </c>
      <c r="E156" s="2">
        <v>100583.7932</v>
      </c>
      <c r="G156" s="2">
        <v>78941</v>
      </c>
      <c r="H156" s="2">
        <f t="shared" si="8"/>
        <v>9819</v>
      </c>
      <c r="I156" s="2">
        <v>88760</v>
      </c>
      <c r="J156" s="13">
        <f t="shared" si="9"/>
        <v>0.13321082920234339</v>
      </c>
      <c r="K156" s="13">
        <f t="shared" si="10"/>
        <v>3.0191662911221332E-2</v>
      </c>
    </row>
    <row r="157" spans="1:11" x14ac:dyDescent="0.2">
      <c r="A157" s="1" t="s">
        <v>173</v>
      </c>
      <c r="B157" s="1">
        <v>3</v>
      </c>
      <c r="C157" s="2">
        <v>86329.61</v>
      </c>
      <c r="D157" s="2">
        <f t="shared" si="7"/>
        <v>8632.9609999999957</v>
      </c>
      <c r="E157" s="2">
        <v>94962.570999999996</v>
      </c>
      <c r="G157" s="2">
        <v>81167</v>
      </c>
      <c r="H157" s="2">
        <f t="shared" si="8"/>
        <v>5617</v>
      </c>
      <c r="I157" s="2">
        <v>86784</v>
      </c>
      <c r="J157" s="13">
        <f t="shared" si="9"/>
        <v>9.4240539730825912E-2</v>
      </c>
      <c r="K157" s="13">
        <f t="shared" si="10"/>
        <v>-5.2358729719763943E-3</v>
      </c>
    </row>
    <row r="158" spans="1:11" x14ac:dyDescent="0.2">
      <c r="A158" s="1" t="s">
        <v>174</v>
      </c>
      <c r="B158" s="1">
        <v>11</v>
      </c>
      <c r="C158" s="2">
        <v>137008.52063636365</v>
      </c>
      <c r="D158" s="2">
        <f t="shared" si="7"/>
        <v>27401.704127272737</v>
      </c>
      <c r="E158" s="2">
        <v>164410.22476363639</v>
      </c>
      <c r="G158" s="2">
        <v>140030</v>
      </c>
      <c r="H158" s="2">
        <f t="shared" si="8"/>
        <v>17523</v>
      </c>
      <c r="I158" s="2">
        <v>157553</v>
      </c>
      <c r="J158" s="13">
        <f t="shared" si="9"/>
        <v>4.3523289075018505E-2</v>
      </c>
      <c r="K158" s="13">
        <f t="shared" si="10"/>
        <v>-0.13039725910415129</v>
      </c>
    </row>
    <row r="159" spans="1:11" x14ac:dyDescent="0.2">
      <c r="A159" s="1" t="s">
        <v>175</v>
      </c>
      <c r="B159" s="1">
        <v>3</v>
      </c>
      <c r="C159" s="2">
        <v>59488.126666666671</v>
      </c>
      <c r="D159" s="2">
        <f t="shared" si="7"/>
        <v>4759.0501333333305</v>
      </c>
      <c r="E159" s="2">
        <v>64247.176800000001</v>
      </c>
      <c r="G159" s="2">
        <v>68886</v>
      </c>
      <c r="H159" s="2">
        <f t="shared" si="8"/>
        <v>2241</v>
      </c>
      <c r="I159" s="2">
        <v>71127</v>
      </c>
      <c r="J159" s="13">
        <f t="shared" si="9"/>
        <v>-9.672590155637098E-2</v>
      </c>
      <c r="K159" s="13">
        <f t="shared" si="10"/>
        <v>-0.16363509403367679</v>
      </c>
    </row>
    <row r="160" spans="1:11" x14ac:dyDescent="0.2">
      <c r="A160" s="1" t="s">
        <v>176</v>
      </c>
      <c r="B160" s="1">
        <v>4</v>
      </c>
      <c r="C160" s="2">
        <v>66500.22</v>
      </c>
      <c r="D160" s="2">
        <f t="shared" si="7"/>
        <v>5985.0197999999946</v>
      </c>
      <c r="E160" s="2">
        <v>72485.239799999996</v>
      </c>
      <c r="G160" s="2">
        <v>86094</v>
      </c>
      <c r="H160" s="2">
        <f t="shared" si="8"/>
        <v>3803</v>
      </c>
      <c r="I160" s="2">
        <v>89897</v>
      </c>
      <c r="J160" s="13">
        <f t="shared" si="9"/>
        <v>-0.19368566470516263</v>
      </c>
      <c r="K160" s="13">
        <f t="shared" si="10"/>
        <v>-0.26026207771115834</v>
      </c>
    </row>
    <row r="161" spans="1:11" x14ac:dyDescent="0.2">
      <c r="A161" s="1" t="s">
        <v>177</v>
      </c>
      <c r="B161" s="1">
        <v>6</v>
      </c>
      <c r="C161" s="2">
        <v>139459.58333333334</v>
      </c>
      <c r="D161" s="2">
        <f t="shared" si="7"/>
        <v>27891.916666666657</v>
      </c>
      <c r="E161" s="2">
        <v>167351.5</v>
      </c>
      <c r="G161" s="2">
        <v>135817</v>
      </c>
      <c r="H161" s="2">
        <f t="shared" si="8"/>
        <v>14629</v>
      </c>
      <c r="I161" s="2">
        <v>150446</v>
      </c>
      <c r="J161" s="13">
        <f t="shared" si="9"/>
        <v>0.11236922217938662</v>
      </c>
      <c r="K161" s="13">
        <f t="shared" si="10"/>
        <v>-7.302564818384441E-2</v>
      </c>
    </row>
    <row r="162" spans="1:11" x14ac:dyDescent="0.2">
      <c r="A162" s="1" t="s">
        <v>178</v>
      </c>
      <c r="B162" s="1">
        <v>6</v>
      </c>
      <c r="C162" s="2">
        <v>211106.37833333333</v>
      </c>
      <c r="D162" s="2">
        <f t="shared" si="7"/>
        <v>63331.913499999995</v>
      </c>
      <c r="E162" s="2">
        <v>274438.29183333332</v>
      </c>
      <c r="G162" s="2">
        <v>198472</v>
      </c>
      <c r="H162" s="2">
        <f t="shared" si="8"/>
        <v>52628</v>
      </c>
      <c r="I162" s="2">
        <v>251100</v>
      </c>
      <c r="J162" s="13">
        <f t="shared" si="9"/>
        <v>9.2944212797026374E-2</v>
      </c>
      <c r="K162" s="13">
        <f t="shared" si="10"/>
        <v>-0.15927368246382587</v>
      </c>
    </row>
    <row r="163" spans="1:11" x14ac:dyDescent="0.2">
      <c r="A163" s="1" t="s">
        <v>179</v>
      </c>
      <c r="B163" s="1">
        <v>3</v>
      </c>
      <c r="C163" s="2">
        <v>70166.166666666672</v>
      </c>
      <c r="D163" s="2">
        <f t="shared" si="7"/>
        <v>6314.9550000000017</v>
      </c>
      <c r="E163" s="2">
        <v>76481.121666666673</v>
      </c>
      <c r="G163" s="2">
        <v>63644</v>
      </c>
      <c r="H163" s="2">
        <f t="shared" si="8"/>
        <v>279</v>
      </c>
      <c r="I163" s="2">
        <v>63923</v>
      </c>
      <c r="J163" s="13">
        <f t="shared" si="9"/>
        <v>0.19645701338589669</v>
      </c>
      <c r="K163" s="13">
        <f t="shared" si="10"/>
        <v>9.7666984757703357E-2</v>
      </c>
    </row>
    <row r="164" spans="1:11" x14ac:dyDescent="0.2">
      <c r="A164" s="1" t="s">
        <v>180</v>
      </c>
      <c r="B164" s="1">
        <v>6</v>
      </c>
      <c r="C164" s="2">
        <v>105737.3</v>
      </c>
      <c r="D164" s="2">
        <f t="shared" si="7"/>
        <v>10573.729999999996</v>
      </c>
      <c r="E164" s="2">
        <v>116311.03</v>
      </c>
      <c r="G164" s="2">
        <v>100460</v>
      </c>
      <c r="H164" s="2">
        <f t="shared" si="8"/>
        <v>4766</v>
      </c>
      <c r="I164" s="2">
        <v>105226</v>
      </c>
      <c r="J164" s="13">
        <f t="shared" si="9"/>
        <v>0.10534497177503657</v>
      </c>
      <c r="K164" s="13">
        <f t="shared" si="10"/>
        <v>4.8590652500332893E-3</v>
      </c>
    </row>
    <row r="165" spans="1:11" x14ac:dyDescent="0.2">
      <c r="A165" s="1" t="s">
        <v>181</v>
      </c>
      <c r="B165" s="1">
        <v>4</v>
      </c>
      <c r="C165" s="2">
        <v>87881.425000000003</v>
      </c>
      <c r="D165" s="2">
        <f t="shared" si="7"/>
        <v>8788.1425000000017</v>
      </c>
      <c r="E165" s="2">
        <v>96669.567500000005</v>
      </c>
      <c r="G165" s="2">
        <v>84034</v>
      </c>
      <c r="H165" s="2">
        <f t="shared" si="8"/>
        <v>1564</v>
      </c>
      <c r="I165" s="2">
        <v>85598</v>
      </c>
      <c r="J165" s="13">
        <f t="shared" si="9"/>
        <v>0.12934376387298774</v>
      </c>
      <c r="K165" s="13">
        <f t="shared" si="10"/>
        <v>2.6676148975443386E-2</v>
      </c>
    </row>
    <row r="166" spans="1:11" x14ac:dyDescent="0.2">
      <c r="A166" s="1" t="s">
        <v>182</v>
      </c>
      <c r="B166" s="1">
        <v>3</v>
      </c>
      <c r="C166" s="2">
        <v>113833.12666666666</v>
      </c>
      <c r="D166" s="2">
        <f t="shared" si="7"/>
        <v>11383.312666666665</v>
      </c>
      <c r="E166" s="2">
        <v>125216.43933333333</v>
      </c>
      <c r="G166" s="2">
        <v>111612</v>
      </c>
      <c r="H166" s="2">
        <f t="shared" si="8"/>
        <v>2268</v>
      </c>
      <c r="I166" s="2">
        <v>113880</v>
      </c>
      <c r="J166" s="13">
        <f t="shared" si="9"/>
        <v>9.9547236857510782E-2</v>
      </c>
      <c r="K166" s="13">
        <f t="shared" si="10"/>
        <v>-4.116028568083652E-4</v>
      </c>
    </row>
    <row r="167" spans="1:11" x14ac:dyDescent="0.2">
      <c r="A167" s="1" t="s">
        <v>183</v>
      </c>
      <c r="B167" s="1">
        <v>4</v>
      </c>
      <c r="C167" s="2">
        <v>83181.84</v>
      </c>
      <c r="D167" s="2">
        <f t="shared" si="7"/>
        <v>8318.1839999999938</v>
      </c>
      <c r="E167" s="2">
        <v>91500.02399999999</v>
      </c>
      <c r="G167" s="2">
        <v>83202</v>
      </c>
      <c r="H167" s="2">
        <f t="shared" si="8"/>
        <v>2029</v>
      </c>
      <c r="I167" s="2">
        <v>85231</v>
      </c>
      <c r="J167" s="13">
        <f t="shared" si="9"/>
        <v>7.3553331534300784E-2</v>
      </c>
      <c r="K167" s="13">
        <f t="shared" si="10"/>
        <v>-2.4042425877908315E-2</v>
      </c>
    </row>
    <row r="168" spans="1:11" x14ac:dyDescent="0.2">
      <c r="A168" s="1" t="s">
        <v>184</v>
      </c>
      <c r="B168" s="1">
        <v>3</v>
      </c>
      <c r="C168" s="2">
        <v>103886.84000000001</v>
      </c>
      <c r="D168" s="2">
        <f t="shared" si="7"/>
        <v>10388.683999999994</v>
      </c>
      <c r="E168" s="2">
        <v>114275.524</v>
      </c>
      <c r="G168" s="2">
        <v>106490</v>
      </c>
      <c r="H168" s="2">
        <f t="shared" si="8"/>
        <v>10102</v>
      </c>
      <c r="I168" s="2">
        <v>116592</v>
      </c>
      <c r="J168" s="13">
        <f t="shared" si="9"/>
        <v>-1.9868224234938892E-2</v>
      </c>
      <c r="K168" s="13">
        <f t="shared" si="10"/>
        <v>-0.10897111294085347</v>
      </c>
    </row>
    <row r="169" spans="1:11" x14ac:dyDescent="0.2">
      <c r="A169" s="1" t="s">
        <v>185</v>
      </c>
      <c r="B169" s="1">
        <v>5</v>
      </c>
      <c r="C169" s="2">
        <v>65188.98</v>
      </c>
      <c r="D169" s="2">
        <f t="shared" si="7"/>
        <v>5215.1183999999994</v>
      </c>
      <c r="E169" s="2">
        <v>70404.098400000003</v>
      </c>
      <c r="G169" s="2">
        <v>70417</v>
      </c>
      <c r="H169" s="2">
        <f t="shared" si="8"/>
        <v>2426</v>
      </c>
      <c r="I169" s="2">
        <v>72843</v>
      </c>
      <c r="J169" s="13">
        <f t="shared" si="9"/>
        <v>-3.3481619373172407E-2</v>
      </c>
      <c r="K169" s="13">
        <f t="shared" si="10"/>
        <v>-0.10507557349367815</v>
      </c>
    </row>
    <row r="170" spans="1:11" x14ac:dyDescent="0.2">
      <c r="A170" s="1" t="s">
        <v>186</v>
      </c>
      <c r="B170" s="1">
        <v>26</v>
      </c>
      <c r="C170" s="2">
        <v>104785.90430769231</v>
      </c>
      <c r="D170" s="2">
        <f t="shared" si="7"/>
        <v>10478.590430769225</v>
      </c>
      <c r="E170" s="2">
        <v>115264.49473846154</v>
      </c>
      <c r="G170" s="2">
        <v>107215</v>
      </c>
      <c r="H170" s="2">
        <f t="shared" si="8"/>
        <v>7373</v>
      </c>
      <c r="I170" s="2">
        <v>114588</v>
      </c>
      <c r="J170" s="13">
        <f t="shared" si="9"/>
        <v>5.9037136389633914E-3</v>
      </c>
      <c r="K170" s="13">
        <f t="shared" si="10"/>
        <v>-8.5542078510033231E-2</v>
      </c>
    </row>
    <row r="171" spans="1:11" x14ac:dyDescent="0.2">
      <c r="A171" s="1" t="s">
        <v>187</v>
      </c>
      <c r="B171" s="1">
        <v>18</v>
      </c>
      <c r="C171" s="2">
        <v>84048.647777777776</v>
      </c>
      <c r="D171" s="2">
        <f t="shared" si="7"/>
        <v>8404.8647777777805</v>
      </c>
      <c r="E171" s="2">
        <v>92453.512555555557</v>
      </c>
      <c r="G171" s="2">
        <v>83961</v>
      </c>
      <c r="H171" s="2">
        <f t="shared" si="8"/>
        <v>3925</v>
      </c>
      <c r="I171" s="2">
        <v>87886</v>
      </c>
      <c r="J171" s="13">
        <f t="shared" si="9"/>
        <v>5.1970877677395229E-2</v>
      </c>
      <c r="K171" s="13">
        <f t="shared" si="10"/>
        <v>-4.3662838475095278E-2</v>
      </c>
    </row>
    <row r="172" spans="1:11" x14ac:dyDescent="0.2">
      <c r="A172" s="1" t="s">
        <v>188</v>
      </c>
      <c r="B172" s="1">
        <v>5</v>
      </c>
      <c r="C172" s="2">
        <v>176568.90600000002</v>
      </c>
      <c r="D172" s="2">
        <f t="shared" si="7"/>
        <v>44142.22649999999</v>
      </c>
      <c r="E172" s="2">
        <v>220711.13250000001</v>
      </c>
      <c r="G172" s="2">
        <v>177465</v>
      </c>
      <c r="H172" s="2">
        <f t="shared" si="8"/>
        <v>14073</v>
      </c>
      <c r="I172" s="2">
        <v>191538</v>
      </c>
      <c r="J172" s="13">
        <f t="shared" si="9"/>
        <v>0.15230989412022683</v>
      </c>
      <c r="K172" s="13">
        <f t="shared" si="10"/>
        <v>-7.8152084703818472E-2</v>
      </c>
    </row>
    <row r="173" spans="1:11" x14ac:dyDescent="0.2">
      <c r="A173" s="1" t="s">
        <v>189</v>
      </c>
      <c r="B173" s="1">
        <v>7</v>
      </c>
      <c r="C173" s="2">
        <v>116920.75</v>
      </c>
      <c r="D173" s="2">
        <f t="shared" si="7"/>
        <v>17538.112499999988</v>
      </c>
      <c r="E173" s="2">
        <v>134458.86249999999</v>
      </c>
      <c r="G173" s="2">
        <v>125203</v>
      </c>
      <c r="H173" s="2">
        <f t="shared" si="8"/>
        <v>17452</v>
      </c>
      <c r="I173" s="2">
        <v>142655</v>
      </c>
      <c r="J173" s="13">
        <f t="shared" si="9"/>
        <v>-5.7454260278293867E-2</v>
      </c>
      <c r="K173" s="13">
        <f t="shared" si="10"/>
        <v>-0.18039500893764676</v>
      </c>
    </row>
    <row r="174" spans="1:11" x14ac:dyDescent="0.2">
      <c r="A174" s="1" t="s">
        <v>190</v>
      </c>
      <c r="B174" s="1">
        <v>155</v>
      </c>
      <c r="C174" s="2">
        <v>75423.228645161304</v>
      </c>
      <c r="D174" s="2">
        <f t="shared" si="7"/>
        <v>6788.0905780645116</v>
      </c>
      <c r="E174" s="2">
        <v>82211.319223225815</v>
      </c>
      <c r="G174" s="2">
        <v>77520</v>
      </c>
      <c r="H174" s="2">
        <f t="shared" si="8"/>
        <v>4120</v>
      </c>
      <c r="I174" s="2">
        <v>81640</v>
      </c>
      <c r="J174" s="13">
        <f t="shared" si="9"/>
        <v>6.9980306617566787E-3</v>
      </c>
      <c r="K174" s="13">
        <f t="shared" si="10"/>
        <v>-7.6148595723158949E-2</v>
      </c>
    </row>
    <row r="175" spans="1:11" x14ac:dyDescent="0.2">
      <c r="A175" s="1" t="s">
        <v>191</v>
      </c>
      <c r="B175" s="1">
        <v>93</v>
      </c>
      <c r="C175" s="2">
        <v>68786.034946236556</v>
      </c>
      <c r="D175" s="2">
        <f t="shared" si="7"/>
        <v>5502.8827956989262</v>
      </c>
      <c r="E175" s="2">
        <v>74288.917741935482</v>
      </c>
      <c r="G175" s="2">
        <v>70011</v>
      </c>
      <c r="H175" s="2">
        <f t="shared" si="8"/>
        <v>4505</v>
      </c>
      <c r="I175" s="2">
        <v>74516</v>
      </c>
      <c r="J175" s="13">
        <f t="shared" si="9"/>
        <v>-3.0474295193585015E-3</v>
      </c>
      <c r="K175" s="13">
        <f t="shared" si="10"/>
        <v>-7.6895768073480114E-2</v>
      </c>
    </row>
    <row r="176" spans="1:11" x14ac:dyDescent="0.2">
      <c r="A176" s="1" t="s">
        <v>192</v>
      </c>
      <c r="B176" s="1">
        <v>131</v>
      </c>
      <c r="C176" s="2">
        <v>121719.02664122138</v>
      </c>
      <c r="D176" s="2">
        <f t="shared" si="7"/>
        <v>18257.853996183214</v>
      </c>
      <c r="E176" s="2">
        <v>139976.8806374046</v>
      </c>
      <c r="G176" s="2">
        <v>120224</v>
      </c>
      <c r="H176" s="2">
        <f t="shared" si="8"/>
        <v>8154</v>
      </c>
      <c r="I176" s="2">
        <v>128378</v>
      </c>
      <c r="J176" s="13">
        <f t="shared" si="9"/>
        <v>9.0349441784453699E-2</v>
      </c>
      <c r="K176" s="13">
        <f t="shared" si="10"/>
        <v>-5.1870050622214225E-2</v>
      </c>
    </row>
    <row r="177" spans="1:11" x14ac:dyDescent="0.2">
      <c r="A177" s="1" t="s">
        <v>193</v>
      </c>
      <c r="B177" s="1">
        <v>200</v>
      </c>
      <c r="C177" s="2">
        <v>98332.44187499996</v>
      </c>
      <c r="D177" s="2">
        <f t="shared" ref="D177:D240" si="11">E177-C177</f>
        <v>9833.2441874999931</v>
      </c>
      <c r="E177" s="2">
        <v>108165.68606249995</v>
      </c>
      <c r="G177" s="2">
        <v>96798</v>
      </c>
      <c r="H177" s="2">
        <f t="shared" ref="H177:H240" si="12">I177-G177</f>
        <v>4690</v>
      </c>
      <c r="I177" s="2">
        <v>101488</v>
      </c>
      <c r="J177" s="13">
        <f t="shared" si="9"/>
        <v>6.5797789516986768E-2</v>
      </c>
      <c r="K177" s="13">
        <f t="shared" si="10"/>
        <v>-3.1092918620921089E-2</v>
      </c>
    </row>
    <row r="178" spans="1:11" x14ac:dyDescent="0.2">
      <c r="A178" s="1" t="s">
        <v>194</v>
      </c>
      <c r="B178" s="1">
        <v>42</v>
      </c>
      <c r="C178" s="2">
        <v>145150.25190476194</v>
      </c>
      <c r="D178" s="2">
        <f t="shared" si="11"/>
        <v>29030.050380952394</v>
      </c>
      <c r="E178" s="2">
        <v>174180.30228571434</v>
      </c>
      <c r="G178" s="2">
        <v>150868</v>
      </c>
      <c r="H178" s="2">
        <f t="shared" si="12"/>
        <v>10463</v>
      </c>
      <c r="I178" s="2">
        <v>161331</v>
      </c>
      <c r="J178" s="13">
        <f t="shared" si="9"/>
        <v>7.9645587554247707E-2</v>
      </c>
      <c r="K178" s="13">
        <f t="shared" si="10"/>
        <v>-0.10029534370479361</v>
      </c>
    </row>
    <row r="179" spans="1:11" x14ac:dyDescent="0.2">
      <c r="A179" s="1" t="s">
        <v>195</v>
      </c>
      <c r="B179" s="1">
        <v>19</v>
      </c>
      <c r="C179" s="2">
        <v>76404.201578947366</v>
      </c>
      <c r="D179" s="2">
        <f t="shared" si="11"/>
        <v>6876.3781421052699</v>
      </c>
      <c r="E179" s="2">
        <v>83280.579721052636</v>
      </c>
      <c r="G179" s="2">
        <v>77520</v>
      </c>
      <c r="H179" s="2">
        <f t="shared" si="12"/>
        <v>4120</v>
      </c>
      <c r="I179" s="2">
        <v>81640</v>
      </c>
      <c r="J179" s="13">
        <f t="shared" si="9"/>
        <v>2.0095293006524205E-2</v>
      </c>
      <c r="K179" s="13">
        <f t="shared" si="10"/>
        <v>-6.4132758709610896E-2</v>
      </c>
    </row>
    <row r="180" spans="1:11" x14ac:dyDescent="0.2">
      <c r="A180" s="1" t="s">
        <v>196</v>
      </c>
      <c r="B180" s="1">
        <v>10</v>
      </c>
      <c r="C180" s="2">
        <v>69809.287500000006</v>
      </c>
      <c r="D180" s="2">
        <f t="shared" si="11"/>
        <v>5584.7430000000022</v>
      </c>
      <c r="E180" s="2">
        <v>75394.030500000008</v>
      </c>
      <c r="G180" s="2">
        <v>68489</v>
      </c>
      <c r="H180" s="2">
        <f t="shared" si="12"/>
        <v>1899</v>
      </c>
      <c r="I180" s="2">
        <v>70388</v>
      </c>
      <c r="J180" s="13">
        <f t="shared" si="9"/>
        <v>7.1120510598397566E-2</v>
      </c>
      <c r="K180" s="13">
        <f t="shared" si="10"/>
        <v>-8.221749445928201E-3</v>
      </c>
    </row>
    <row r="181" spans="1:11" x14ac:dyDescent="0.2">
      <c r="A181" s="1" t="s">
        <v>197</v>
      </c>
      <c r="B181" s="1">
        <v>39</v>
      </c>
      <c r="C181" s="2">
        <v>96820.972307692311</v>
      </c>
      <c r="D181" s="2">
        <f t="shared" si="11"/>
        <v>9682.0972307692282</v>
      </c>
      <c r="E181" s="2">
        <v>106503.06953846154</v>
      </c>
      <c r="G181" s="2">
        <v>96798</v>
      </c>
      <c r="H181" s="2">
        <f t="shared" si="12"/>
        <v>4690</v>
      </c>
      <c r="I181" s="2">
        <v>101488</v>
      </c>
      <c r="J181" s="13">
        <f t="shared" si="9"/>
        <v>4.9415394317175815E-2</v>
      </c>
      <c r="K181" s="13">
        <f t="shared" si="10"/>
        <v>-4.5986005166203776E-2</v>
      </c>
    </row>
    <row r="182" spans="1:11" x14ac:dyDescent="0.2">
      <c r="A182" s="1" t="s">
        <v>198</v>
      </c>
      <c r="B182" s="1">
        <v>3</v>
      </c>
      <c r="C182" s="2">
        <v>73078.486666666679</v>
      </c>
      <c r="D182" s="2">
        <f t="shared" si="11"/>
        <v>6577.0638000000035</v>
      </c>
      <c r="E182" s="2">
        <v>79655.550466666682</v>
      </c>
      <c r="G182" s="2">
        <v>80206</v>
      </c>
      <c r="H182" s="2">
        <f t="shared" si="12"/>
        <v>1981</v>
      </c>
      <c r="I182" s="2">
        <v>82187</v>
      </c>
      <c r="J182" s="13">
        <f t="shared" si="9"/>
        <v>-3.0801094252537724E-2</v>
      </c>
      <c r="K182" s="13">
        <f t="shared" si="10"/>
        <v>-0.11082669197480528</v>
      </c>
    </row>
    <row r="183" spans="1:11" x14ac:dyDescent="0.2">
      <c r="A183" s="1" t="s">
        <v>199</v>
      </c>
      <c r="B183" s="1">
        <v>8</v>
      </c>
      <c r="C183" s="2">
        <v>118783.10374999999</v>
      </c>
      <c r="D183" s="2">
        <f t="shared" si="11"/>
        <v>17817.465562499987</v>
      </c>
      <c r="E183" s="2">
        <v>136600.56931249998</v>
      </c>
      <c r="G183" s="2">
        <v>111476</v>
      </c>
      <c r="H183" s="2">
        <f t="shared" si="12"/>
        <v>3310</v>
      </c>
      <c r="I183" s="2">
        <v>114786</v>
      </c>
      <c r="J183" s="13">
        <f t="shared" si="9"/>
        <v>0.19004555705835191</v>
      </c>
      <c r="K183" s="13">
        <f t="shared" si="10"/>
        <v>3.4822223529001751E-2</v>
      </c>
    </row>
    <row r="184" spans="1:11" x14ac:dyDescent="0.2">
      <c r="A184" s="1" t="s">
        <v>200</v>
      </c>
      <c r="B184" s="1">
        <v>9</v>
      </c>
      <c r="C184" s="2">
        <v>89920.088888888888</v>
      </c>
      <c r="D184" s="2">
        <f t="shared" si="11"/>
        <v>8992.0088888888858</v>
      </c>
      <c r="E184" s="2">
        <v>98912.097777777773</v>
      </c>
      <c r="G184" s="2">
        <v>94214</v>
      </c>
      <c r="H184" s="2">
        <f t="shared" si="12"/>
        <v>4329</v>
      </c>
      <c r="I184" s="2">
        <v>98543</v>
      </c>
      <c r="J184" s="13">
        <f t="shared" si="9"/>
        <v>3.7455504478022127E-3</v>
      </c>
      <c r="K184" s="13">
        <f t="shared" si="10"/>
        <v>-8.7504045047452503E-2</v>
      </c>
    </row>
    <row r="185" spans="1:11" x14ac:dyDescent="0.2">
      <c r="A185" s="1" t="s">
        <v>201</v>
      </c>
      <c r="B185" s="1">
        <v>3</v>
      </c>
      <c r="C185" s="2">
        <v>137579.84666666668</v>
      </c>
      <c r="D185" s="2">
        <f t="shared" si="11"/>
        <v>27515.969333333342</v>
      </c>
      <c r="E185" s="2">
        <v>165095.81600000002</v>
      </c>
      <c r="G185" s="2">
        <v>136061</v>
      </c>
      <c r="H185" s="2">
        <f t="shared" si="12"/>
        <v>-3400</v>
      </c>
      <c r="I185" s="2">
        <v>132661</v>
      </c>
      <c r="J185" s="13">
        <f t="shared" si="9"/>
        <v>0.24449398089868177</v>
      </c>
      <c r="K185" s="13">
        <f t="shared" si="10"/>
        <v>3.7078317415568093E-2</v>
      </c>
    </row>
    <row r="186" spans="1:11" x14ac:dyDescent="0.2">
      <c r="A186" s="1" t="s">
        <v>202</v>
      </c>
      <c r="B186" s="1">
        <v>8</v>
      </c>
      <c r="C186" s="2">
        <v>93223.955000000016</v>
      </c>
      <c r="D186" s="2">
        <f t="shared" si="11"/>
        <v>9322.3954999999987</v>
      </c>
      <c r="E186" s="2">
        <v>102546.35050000002</v>
      </c>
      <c r="G186" s="2">
        <v>112378</v>
      </c>
      <c r="H186" s="2">
        <f t="shared" si="12"/>
        <v>9342</v>
      </c>
      <c r="I186" s="2">
        <v>121720</v>
      </c>
      <c r="J186" s="13">
        <f t="shared" si="9"/>
        <v>-0.15752258872822861</v>
      </c>
      <c r="K186" s="13">
        <f t="shared" si="10"/>
        <v>-0.23411144429838962</v>
      </c>
    </row>
    <row r="187" spans="1:11" x14ac:dyDescent="0.2">
      <c r="A187" s="1" t="s">
        <v>203</v>
      </c>
      <c r="B187" s="1">
        <v>7</v>
      </c>
      <c r="C187" s="2">
        <v>83944.054285714286</v>
      </c>
      <c r="D187" s="2">
        <f t="shared" si="11"/>
        <v>8394.4054285714228</v>
      </c>
      <c r="E187" s="2">
        <v>92338.459714285709</v>
      </c>
      <c r="G187" s="2">
        <v>97813</v>
      </c>
      <c r="H187" s="2">
        <f t="shared" si="12"/>
        <v>5942</v>
      </c>
      <c r="I187" s="2">
        <v>103755</v>
      </c>
      <c r="J187" s="13">
        <f t="shared" si="9"/>
        <v>-0.11003363968689982</v>
      </c>
      <c r="K187" s="13">
        <f t="shared" si="10"/>
        <v>-0.19093967244263615</v>
      </c>
    </row>
    <row r="188" spans="1:11" x14ac:dyDescent="0.2">
      <c r="A188" s="1" t="s">
        <v>204</v>
      </c>
      <c r="B188" s="1">
        <v>14</v>
      </c>
      <c r="C188" s="2">
        <v>67429.564285714281</v>
      </c>
      <c r="D188" s="2">
        <f t="shared" si="11"/>
        <v>5394.3651428571466</v>
      </c>
      <c r="E188" s="2">
        <v>72823.929428571428</v>
      </c>
      <c r="G188" s="2">
        <v>57956</v>
      </c>
      <c r="H188" s="2">
        <f t="shared" si="12"/>
        <v>1008</v>
      </c>
      <c r="I188" s="2">
        <v>58964</v>
      </c>
      <c r="J188" s="13">
        <f t="shared" si="9"/>
        <v>0.23505748301627141</v>
      </c>
      <c r="K188" s="13">
        <f t="shared" si="10"/>
        <v>0.14357174353358457</v>
      </c>
    </row>
    <row r="189" spans="1:11" x14ac:dyDescent="0.2">
      <c r="A189" s="1" t="s">
        <v>205</v>
      </c>
      <c r="B189" s="1">
        <v>5</v>
      </c>
      <c r="C189" s="2">
        <v>80290</v>
      </c>
      <c r="D189" s="2">
        <f t="shared" si="11"/>
        <v>7226.1000000000058</v>
      </c>
      <c r="E189" s="2">
        <v>87516.1</v>
      </c>
      <c r="G189" s="2">
        <v>63297</v>
      </c>
      <c r="H189" s="2">
        <f t="shared" si="12"/>
        <v>868</v>
      </c>
      <c r="I189" s="2">
        <v>64165</v>
      </c>
      <c r="J189" s="13">
        <f t="shared" si="9"/>
        <v>0.36392269929089077</v>
      </c>
      <c r="K189" s="13">
        <f t="shared" si="10"/>
        <v>0.25130522870723915</v>
      </c>
    </row>
    <row r="190" spans="1:11" x14ac:dyDescent="0.2">
      <c r="A190" s="1" t="s">
        <v>206</v>
      </c>
      <c r="B190" s="1">
        <v>3</v>
      </c>
      <c r="C190" s="2">
        <v>68333.333333333328</v>
      </c>
      <c r="D190" s="2">
        <f t="shared" si="11"/>
        <v>6150</v>
      </c>
      <c r="E190" s="2">
        <v>74483.333333333328</v>
      </c>
      <c r="G190" s="2">
        <v>67485</v>
      </c>
      <c r="H190" s="2">
        <f t="shared" si="12"/>
        <v>2133</v>
      </c>
      <c r="I190" s="2">
        <v>69618</v>
      </c>
      <c r="J190" s="13">
        <f t="shared" si="9"/>
        <v>6.9886140557518586E-2</v>
      </c>
      <c r="K190" s="13">
        <f t="shared" si="10"/>
        <v>-1.845308205732241E-2</v>
      </c>
    </row>
    <row r="191" spans="1:11" x14ac:dyDescent="0.2">
      <c r="A191" s="1" t="s">
        <v>207</v>
      </c>
      <c r="B191" s="1">
        <v>9</v>
      </c>
      <c r="C191" s="2">
        <v>103071.25666666667</v>
      </c>
      <c r="D191" s="2">
        <f t="shared" si="11"/>
        <v>10307.125666666674</v>
      </c>
      <c r="E191" s="2">
        <v>113378.38233333334</v>
      </c>
      <c r="G191" s="2">
        <v>105750</v>
      </c>
      <c r="H191" s="2">
        <f t="shared" si="12"/>
        <v>6723</v>
      </c>
      <c r="I191" s="2">
        <v>112473</v>
      </c>
      <c r="J191" s="13">
        <f t="shared" si="9"/>
        <v>8.0497749089411871E-3</v>
      </c>
      <c r="K191" s="13">
        <f t="shared" si="10"/>
        <v>-8.3591113719144433E-2</v>
      </c>
    </row>
    <row r="192" spans="1:11" x14ac:dyDescent="0.2">
      <c r="A192" s="1" t="s">
        <v>208</v>
      </c>
      <c r="B192" s="1">
        <v>8</v>
      </c>
      <c r="C192" s="2">
        <v>84238.996249999997</v>
      </c>
      <c r="D192" s="2">
        <f t="shared" si="11"/>
        <v>8423.8996250000055</v>
      </c>
      <c r="E192" s="2">
        <v>92662.895875000002</v>
      </c>
      <c r="G192" s="2">
        <v>85728</v>
      </c>
      <c r="H192" s="2">
        <f t="shared" si="12"/>
        <v>3562</v>
      </c>
      <c r="I192" s="2">
        <v>89290</v>
      </c>
      <c r="J192" s="13">
        <f t="shared" si="9"/>
        <v>3.7774620618210346E-2</v>
      </c>
      <c r="K192" s="13">
        <f t="shared" si="10"/>
        <v>-5.6568526710717923E-2</v>
      </c>
    </row>
    <row r="193" spans="1:11" x14ac:dyDescent="0.2">
      <c r="A193" s="1" t="s">
        <v>209</v>
      </c>
      <c r="B193" s="1">
        <v>5</v>
      </c>
      <c r="C193" s="2">
        <v>132632.28200000001</v>
      </c>
      <c r="D193" s="2">
        <f t="shared" si="11"/>
        <v>19894.842299999989</v>
      </c>
      <c r="E193" s="2">
        <v>152527.1243</v>
      </c>
      <c r="G193" s="2">
        <v>130573</v>
      </c>
      <c r="H193" s="2">
        <f t="shared" si="12"/>
        <v>8260</v>
      </c>
      <c r="I193" s="2">
        <v>138833</v>
      </c>
      <c r="J193" s="13">
        <f t="shared" si="9"/>
        <v>9.8637386644385677E-2</v>
      </c>
      <c r="K193" s="13">
        <f t="shared" si="10"/>
        <v>-4.4663142048360215E-2</v>
      </c>
    </row>
    <row r="194" spans="1:11" x14ac:dyDescent="0.2">
      <c r="A194" s="1" t="s">
        <v>210</v>
      </c>
      <c r="B194" s="1">
        <v>5</v>
      </c>
      <c r="C194" s="2">
        <v>73471.333999999988</v>
      </c>
      <c r="D194" s="2">
        <f t="shared" si="11"/>
        <v>6612.420060000004</v>
      </c>
      <c r="E194" s="2">
        <v>80083.754059999992</v>
      </c>
      <c r="G194" s="2">
        <v>74102</v>
      </c>
      <c r="H194" s="2">
        <f t="shared" si="12"/>
        <v>1997</v>
      </c>
      <c r="I194" s="2">
        <v>76099</v>
      </c>
      <c r="J194" s="13">
        <f t="shared" si="9"/>
        <v>5.2362765082326866E-2</v>
      </c>
      <c r="K194" s="13">
        <f t="shared" si="10"/>
        <v>-3.4529573318966243E-2</v>
      </c>
    </row>
    <row r="195" spans="1:11" x14ac:dyDescent="0.2">
      <c r="A195" s="1" t="s">
        <v>211</v>
      </c>
      <c r="B195" s="1">
        <v>8</v>
      </c>
      <c r="C195" s="2">
        <v>62064.533750000002</v>
      </c>
      <c r="D195" s="2">
        <f t="shared" si="11"/>
        <v>4965.1627000000008</v>
      </c>
      <c r="E195" s="2">
        <v>67029.696450000003</v>
      </c>
      <c r="G195" s="2">
        <v>61793</v>
      </c>
      <c r="H195" s="2">
        <f t="shared" si="12"/>
        <v>822</v>
      </c>
      <c r="I195" s="2">
        <v>62615</v>
      </c>
      <c r="J195" s="13">
        <f t="shared" si="9"/>
        <v>7.0505413239639117E-2</v>
      </c>
      <c r="K195" s="13">
        <f t="shared" si="10"/>
        <v>-8.7912840373711998E-3</v>
      </c>
    </row>
    <row r="196" spans="1:11" x14ac:dyDescent="0.2">
      <c r="A196" s="1" t="s">
        <v>212</v>
      </c>
      <c r="B196" s="1">
        <v>10</v>
      </c>
      <c r="C196" s="2">
        <v>87658.78300000001</v>
      </c>
      <c r="D196" s="2">
        <f t="shared" si="11"/>
        <v>8765.8782999999967</v>
      </c>
      <c r="E196" s="2">
        <v>96424.661300000007</v>
      </c>
      <c r="G196" s="2">
        <v>93958</v>
      </c>
      <c r="H196" s="2">
        <f t="shared" si="12"/>
        <v>3426</v>
      </c>
      <c r="I196" s="2">
        <v>97384</v>
      </c>
      <c r="J196" s="13">
        <f t="shared" si="9"/>
        <v>-9.8510915550808452E-3</v>
      </c>
      <c r="K196" s="13">
        <f t="shared" si="10"/>
        <v>-9.9864628686437085E-2</v>
      </c>
    </row>
    <row r="197" spans="1:11" x14ac:dyDescent="0.2">
      <c r="A197" s="1" t="s">
        <v>213</v>
      </c>
      <c r="B197" s="1">
        <v>3</v>
      </c>
      <c r="C197" s="2">
        <v>70046.736666666679</v>
      </c>
      <c r="D197" s="2">
        <f t="shared" si="11"/>
        <v>6304.2063000000053</v>
      </c>
      <c r="E197" s="2">
        <v>76350.942966666684</v>
      </c>
      <c r="G197" s="2">
        <v>74102</v>
      </c>
      <c r="H197" s="2">
        <f t="shared" si="12"/>
        <v>1997</v>
      </c>
      <c r="I197" s="2">
        <v>76099</v>
      </c>
      <c r="J197" s="13">
        <f t="shared" si="9"/>
        <v>3.310726378358241E-3</v>
      </c>
      <c r="K197" s="13">
        <f t="shared" si="10"/>
        <v>-7.9531443689579651E-2</v>
      </c>
    </row>
    <row r="198" spans="1:11" x14ac:dyDescent="0.2">
      <c r="A198" s="1" t="s">
        <v>214</v>
      </c>
      <c r="B198" s="1">
        <v>13</v>
      </c>
      <c r="C198" s="2">
        <v>106694.89692307691</v>
      </c>
      <c r="D198" s="2">
        <f t="shared" si="11"/>
        <v>10669.489692307689</v>
      </c>
      <c r="E198" s="2">
        <v>117364.3866153846</v>
      </c>
      <c r="G198" s="2">
        <v>119019</v>
      </c>
      <c r="H198" s="2">
        <f t="shared" si="12"/>
        <v>6016</v>
      </c>
      <c r="I198" s="2">
        <v>125035</v>
      </c>
      <c r="J198" s="13">
        <f t="shared" si="9"/>
        <v>-6.1347729712603646E-2</v>
      </c>
      <c r="K198" s="13">
        <f t="shared" si="10"/>
        <v>-0.14667975428418512</v>
      </c>
    </row>
    <row r="199" spans="1:11" x14ac:dyDescent="0.2">
      <c r="A199" s="1" t="s">
        <v>215</v>
      </c>
      <c r="B199" s="1">
        <v>9</v>
      </c>
      <c r="C199" s="2">
        <v>88765.887777777782</v>
      </c>
      <c r="D199" s="2">
        <f t="shared" si="11"/>
        <v>8876.5887777777825</v>
      </c>
      <c r="E199" s="2">
        <v>97642.476555555564</v>
      </c>
      <c r="G199" s="2">
        <v>87760</v>
      </c>
      <c r="H199" s="2">
        <f t="shared" si="12"/>
        <v>5838</v>
      </c>
      <c r="I199" s="2">
        <v>93598</v>
      </c>
      <c r="J199" s="13">
        <f t="shared" si="9"/>
        <v>4.321114292565615E-2</v>
      </c>
      <c r="K199" s="13">
        <f t="shared" si="10"/>
        <v>-5.1626233703948997E-2</v>
      </c>
    </row>
    <row r="200" spans="1:11" x14ac:dyDescent="0.2">
      <c r="A200" s="1" t="s">
        <v>216</v>
      </c>
      <c r="B200" s="1">
        <v>8</v>
      </c>
      <c r="C200" s="2">
        <v>117291.9375</v>
      </c>
      <c r="D200" s="2">
        <f t="shared" si="11"/>
        <v>17593.790624999994</v>
      </c>
      <c r="E200" s="2">
        <v>134885.72812499999</v>
      </c>
      <c r="G200" s="2">
        <v>124526</v>
      </c>
      <c r="H200" s="2">
        <f t="shared" si="12"/>
        <v>16212</v>
      </c>
      <c r="I200" s="2">
        <v>140738</v>
      </c>
      <c r="J200" s="13">
        <f t="shared" ref="J200:J263" si="13">(E200-I200)/I200</f>
        <v>-4.1582741512597915E-2</v>
      </c>
      <c r="K200" s="13">
        <f t="shared" ref="K200:K263" si="14">(C200-I200)/I200</f>
        <v>-0.16659368827182425</v>
      </c>
    </row>
    <row r="201" spans="1:11" x14ac:dyDescent="0.2">
      <c r="A201" s="1" t="s">
        <v>217</v>
      </c>
      <c r="B201" s="1">
        <v>19</v>
      </c>
      <c r="C201" s="2">
        <v>127924.97473684211</v>
      </c>
      <c r="D201" s="2">
        <f t="shared" si="11"/>
        <v>19188.746210526311</v>
      </c>
      <c r="E201" s="2">
        <v>147113.72094736842</v>
      </c>
      <c r="G201" s="2">
        <v>132078</v>
      </c>
      <c r="H201" s="2">
        <f t="shared" si="12"/>
        <v>13817</v>
      </c>
      <c r="I201" s="2">
        <v>145895</v>
      </c>
      <c r="J201" s="13">
        <f t="shared" si="13"/>
        <v>8.3534113394456277E-3</v>
      </c>
      <c r="K201" s="13">
        <f t="shared" si="14"/>
        <v>-0.1231709466613516</v>
      </c>
    </row>
    <row r="202" spans="1:11" x14ac:dyDescent="0.2">
      <c r="A202" s="1" t="s">
        <v>218</v>
      </c>
      <c r="B202" s="1">
        <v>20</v>
      </c>
      <c r="C202" s="2">
        <v>109913.3475</v>
      </c>
      <c r="D202" s="2">
        <f t="shared" si="11"/>
        <v>10991.334750000009</v>
      </c>
      <c r="E202" s="2">
        <v>120904.68225000001</v>
      </c>
      <c r="G202" s="2">
        <v>107539</v>
      </c>
      <c r="H202" s="2">
        <f t="shared" si="12"/>
        <v>6767</v>
      </c>
      <c r="I202" s="2">
        <v>114306</v>
      </c>
      <c r="J202" s="13">
        <f t="shared" si="13"/>
        <v>5.7728222927930402E-2</v>
      </c>
      <c r="K202" s="13">
        <f t="shared" si="14"/>
        <v>-3.842888824733607E-2</v>
      </c>
    </row>
    <row r="203" spans="1:11" x14ac:dyDescent="0.2">
      <c r="A203" s="1" t="s">
        <v>219</v>
      </c>
      <c r="B203" s="1">
        <v>16</v>
      </c>
      <c r="C203" s="2">
        <v>129034.57187499999</v>
      </c>
      <c r="D203" s="2">
        <f t="shared" si="11"/>
        <v>19355.185781250009</v>
      </c>
      <c r="E203" s="2">
        <v>148389.75765625</v>
      </c>
      <c r="G203" s="2">
        <v>137251</v>
      </c>
      <c r="H203" s="2">
        <f t="shared" si="12"/>
        <v>6134</v>
      </c>
      <c r="I203" s="2">
        <v>143385</v>
      </c>
      <c r="J203" s="13">
        <f t="shared" si="13"/>
        <v>3.4904332086689707E-2</v>
      </c>
      <c r="K203" s="13">
        <f t="shared" si="14"/>
        <v>-0.10008318948983511</v>
      </c>
    </row>
    <row r="204" spans="1:11" x14ac:dyDescent="0.2">
      <c r="A204" s="1" t="s">
        <v>220</v>
      </c>
      <c r="B204" s="1">
        <v>20</v>
      </c>
      <c r="C204" s="2">
        <v>75024.68495000001</v>
      </c>
      <c r="D204" s="2">
        <f t="shared" si="11"/>
        <v>6752.2216455000016</v>
      </c>
      <c r="E204" s="2">
        <v>81776.906595500011</v>
      </c>
      <c r="G204" s="2">
        <v>76099</v>
      </c>
      <c r="H204" s="2">
        <f t="shared" si="12"/>
        <v>2537</v>
      </c>
      <c r="I204" s="2">
        <v>78636</v>
      </c>
      <c r="J204" s="13">
        <f t="shared" si="13"/>
        <v>3.9942349502772416E-2</v>
      </c>
      <c r="K204" s="13">
        <f t="shared" si="14"/>
        <v>-4.5924449997456512E-2</v>
      </c>
    </row>
    <row r="205" spans="1:11" x14ac:dyDescent="0.2">
      <c r="A205" s="1" t="s">
        <v>221</v>
      </c>
      <c r="B205" s="1">
        <v>7</v>
      </c>
      <c r="C205" s="2">
        <v>59277.285714285717</v>
      </c>
      <c r="D205" s="2">
        <f t="shared" si="11"/>
        <v>4742.1828571428559</v>
      </c>
      <c r="E205" s="2">
        <v>64019.468571428573</v>
      </c>
      <c r="G205" s="2">
        <v>59873</v>
      </c>
      <c r="H205" s="2">
        <f t="shared" si="12"/>
        <v>547</v>
      </c>
      <c r="I205" s="2">
        <v>60420</v>
      </c>
      <c r="J205" s="13">
        <f t="shared" si="13"/>
        <v>5.957412398921836E-2</v>
      </c>
      <c r="K205" s="13">
        <f t="shared" si="14"/>
        <v>-1.8912848158131126E-2</v>
      </c>
    </row>
    <row r="206" spans="1:11" x14ac:dyDescent="0.2">
      <c r="A206" s="1" t="s">
        <v>222</v>
      </c>
      <c r="B206" s="1">
        <v>22</v>
      </c>
      <c r="C206" s="2">
        <v>109047.9068181818</v>
      </c>
      <c r="D206" s="2">
        <f t="shared" si="11"/>
        <v>10904.79068181818</v>
      </c>
      <c r="E206" s="2">
        <v>119952.69749999998</v>
      </c>
      <c r="G206" s="2">
        <v>116126</v>
      </c>
      <c r="H206" s="2">
        <f t="shared" si="12"/>
        <v>6589</v>
      </c>
      <c r="I206" s="2">
        <v>122715</v>
      </c>
      <c r="J206" s="13">
        <f t="shared" si="13"/>
        <v>-2.2509900990099172E-2</v>
      </c>
      <c r="K206" s="13">
        <f t="shared" si="14"/>
        <v>-0.11137263726372652</v>
      </c>
    </row>
    <row r="207" spans="1:11" x14ac:dyDescent="0.2">
      <c r="A207" s="1" t="s">
        <v>223</v>
      </c>
      <c r="B207" s="1">
        <v>26</v>
      </c>
      <c r="C207" s="2">
        <v>92621.274230769224</v>
      </c>
      <c r="D207" s="2">
        <f t="shared" si="11"/>
        <v>9262.1274230769195</v>
      </c>
      <c r="E207" s="2">
        <v>101883.40165384614</v>
      </c>
      <c r="G207" s="2">
        <v>95457</v>
      </c>
      <c r="H207" s="2">
        <f t="shared" si="12"/>
        <v>3047</v>
      </c>
      <c r="I207" s="2">
        <v>98504</v>
      </c>
      <c r="J207" s="13">
        <f t="shared" si="13"/>
        <v>3.4307253043999675E-2</v>
      </c>
      <c r="K207" s="13">
        <f t="shared" si="14"/>
        <v>-5.9720679050909359E-2</v>
      </c>
    </row>
    <row r="208" spans="1:11" x14ac:dyDescent="0.2">
      <c r="A208" s="1" t="s">
        <v>224</v>
      </c>
      <c r="B208" s="1">
        <v>3</v>
      </c>
      <c r="C208" s="2">
        <v>65650</v>
      </c>
      <c r="D208" s="2">
        <f t="shared" si="11"/>
        <v>5908.5</v>
      </c>
      <c r="E208" s="2">
        <v>71558.5</v>
      </c>
      <c r="G208" s="2">
        <v>80891</v>
      </c>
      <c r="H208" s="2">
        <f t="shared" si="12"/>
        <v>1924</v>
      </c>
      <c r="I208" s="2">
        <v>82815</v>
      </c>
      <c r="J208" s="13">
        <f t="shared" si="13"/>
        <v>-0.1359234438205639</v>
      </c>
      <c r="K208" s="13">
        <f t="shared" si="14"/>
        <v>-0.20726921451427882</v>
      </c>
    </row>
    <row r="209" spans="1:11" x14ac:dyDescent="0.2">
      <c r="A209" s="1" t="s">
        <v>225</v>
      </c>
      <c r="B209" s="1">
        <v>4</v>
      </c>
      <c r="C209" s="2">
        <v>56300</v>
      </c>
      <c r="D209" s="2">
        <f t="shared" si="11"/>
        <v>4504</v>
      </c>
      <c r="E209" s="2">
        <v>60804</v>
      </c>
      <c r="G209" s="2">
        <v>65554</v>
      </c>
      <c r="H209" s="2">
        <f t="shared" si="12"/>
        <v>985</v>
      </c>
      <c r="I209" s="2">
        <v>66539</v>
      </c>
      <c r="J209" s="13">
        <f t="shared" si="13"/>
        <v>-8.6190053953320606E-2</v>
      </c>
      <c r="K209" s="13">
        <f t="shared" si="14"/>
        <v>-0.15387967958640797</v>
      </c>
    </row>
    <row r="210" spans="1:11" x14ac:dyDescent="0.2">
      <c r="A210" s="1" t="s">
        <v>226</v>
      </c>
      <c r="B210" s="1">
        <v>27</v>
      </c>
      <c r="C210" s="2">
        <v>109660.7407037037</v>
      </c>
      <c r="D210" s="2">
        <f t="shared" si="11"/>
        <v>10966.074070370363</v>
      </c>
      <c r="E210" s="2">
        <v>120626.81477407407</v>
      </c>
      <c r="G210" s="2">
        <v>116114</v>
      </c>
      <c r="H210" s="2">
        <f t="shared" si="12"/>
        <v>14158</v>
      </c>
      <c r="I210" s="2">
        <v>130272</v>
      </c>
      <c r="J210" s="13">
        <f t="shared" si="13"/>
        <v>-7.4038820513432912E-2</v>
      </c>
      <c r="K210" s="13">
        <f t="shared" si="14"/>
        <v>-0.15821710955766624</v>
      </c>
    </row>
    <row r="211" spans="1:11" x14ac:dyDescent="0.2">
      <c r="A211" s="1" t="s">
        <v>227</v>
      </c>
      <c r="B211" s="1">
        <v>11</v>
      </c>
      <c r="C211" s="2">
        <v>91898.704545454544</v>
      </c>
      <c r="D211" s="2">
        <f t="shared" si="11"/>
        <v>9189.870454545453</v>
      </c>
      <c r="E211" s="2">
        <v>101088.575</v>
      </c>
      <c r="G211" s="2">
        <v>99598</v>
      </c>
      <c r="H211" s="2">
        <f t="shared" si="12"/>
        <v>1609</v>
      </c>
      <c r="I211" s="2">
        <v>101207</v>
      </c>
      <c r="J211" s="13">
        <f t="shared" si="13"/>
        <v>-1.1701265722726976E-3</v>
      </c>
      <c r="K211" s="13">
        <f t="shared" si="14"/>
        <v>-9.1972842338429714E-2</v>
      </c>
    </row>
    <row r="212" spans="1:11" x14ac:dyDescent="0.2">
      <c r="A212" s="1" t="s">
        <v>228</v>
      </c>
      <c r="B212" s="1">
        <v>3</v>
      </c>
      <c r="C212" s="2">
        <v>107108.60666666667</v>
      </c>
      <c r="D212" s="2">
        <f t="shared" si="11"/>
        <v>10710.86066666666</v>
      </c>
      <c r="E212" s="2">
        <v>117819.46733333333</v>
      </c>
      <c r="G212" s="2">
        <v>111865</v>
      </c>
      <c r="H212" s="2">
        <f t="shared" si="12"/>
        <v>11689</v>
      </c>
      <c r="I212" s="2">
        <v>123554</v>
      </c>
      <c r="J212" s="13">
        <f t="shared" si="13"/>
        <v>-4.6413168870831099E-2</v>
      </c>
      <c r="K212" s="13">
        <f t="shared" si="14"/>
        <v>-0.13310288079166457</v>
      </c>
    </row>
    <row r="213" spans="1:11" x14ac:dyDescent="0.2">
      <c r="A213" s="1" t="s">
        <v>229</v>
      </c>
      <c r="B213" s="1">
        <v>3</v>
      </c>
      <c r="C213" s="2">
        <v>93342.590000000011</v>
      </c>
      <c r="D213" s="2">
        <f t="shared" si="11"/>
        <v>9334.2590000000055</v>
      </c>
      <c r="E213" s="2">
        <v>102676.84900000002</v>
      </c>
      <c r="G213" s="2">
        <v>84286</v>
      </c>
      <c r="H213" s="2">
        <f t="shared" si="12"/>
        <v>7972</v>
      </c>
      <c r="I213" s="2">
        <v>92258</v>
      </c>
      <c r="J213" s="13">
        <f t="shared" si="13"/>
        <v>0.11293165904311839</v>
      </c>
      <c r="K213" s="13">
        <f t="shared" si="14"/>
        <v>1.1756053675562131E-2</v>
      </c>
    </row>
    <row r="214" spans="1:11" x14ac:dyDescent="0.2">
      <c r="A214" s="1" t="s">
        <v>230</v>
      </c>
      <c r="B214" s="1">
        <v>3</v>
      </c>
      <c r="C214" s="2">
        <v>101558.17666666665</v>
      </c>
      <c r="D214" s="2">
        <f t="shared" si="11"/>
        <v>10155.81766666667</v>
      </c>
      <c r="E214" s="2">
        <v>111713.99433333332</v>
      </c>
      <c r="G214" s="2">
        <v>97314</v>
      </c>
      <c r="H214" s="2">
        <f t="shared" si="12"/>
        <v>10024</v>
      </c>
      <c r="I214" s="2">
        <v>107338</v>
      </c>
      <c r="J214" s="13">
        <f t="shared" si="13"/>
        <v>4.0768361002937646E-2</v>
      </c>
      <c r="K214" s="13">
        <f t="shared" si="14"/>
        <v>-5.3846944542783992E-2</v>
      </c>
    </row>
    <row r="215" spans="1:11" x14ac:dyDescent="0.2">
      <c r="A215" s="1" t="s">
        <v>231</v>
      </c>
      <c r="B215" s="1">
        <v>9</v>
      </c>
      <c r="C215" s="2">
        <v>102295.33333333333</v>
      </c>
      <c r="D215" s="2">
        <f t="shared" si="11"/>
        <v>10229.53333333334</v>
      </c>
      <c r="E215" s="2">
        <v>112524.86666666667</v>
      </c>
      <c r="G215" s="2">
        <v>116261</v>
      </c>
      <c r="H215" s="2">
        <f t="shared" si="12"/>
        <v>16314</v>
      </c>
      <c r="I215" s="2">
        <v>132575</v>
      </c>
      <c r="J215" s="13">
        <f t="shared" si="13"/>
        <v>-0.15123615563517503</v>
      </c>
      <c r="K215" s="13">
        <f t="shared" si="14"/>
        <v>-0.22839650512288645</v>
      </c>
    </row>
    <row r="216" spans="1:11" x14ac:dyDescent="0.2">
      <c r="A216" s="1" t="s">
        <v>232</v>
      </c>
      <c r="B216" s="1">
        <v>6</v>
      </c>
      <c r="C216" s="2">
        <v>75532.286666666667</v>
      </c>
      <c r="D216" s="2">
        <f t="shared" si="11"/>
        <v>6797.9057999999932</v>
      </c>
      <c r="E216" s="2">
        <v>82330.19246666666</v>
      </c>
      <c r="G216" s="2">
        <v>71548</v>
      </c>
      <c r="H216" s="2">
        <f t="shared" si="12"/>
        <v>3108</v>
      </c>
      <c r="I216" s="2">
        <v>74656</v>
      </c>
      <c r="J216" s="13">
        <f t="shared" si="13"/>
        <v>0.10279404825689376</v>
      </c>
      <c r="K216" s="13">
        <f t="shared" si="14"/>
        <v>1.1737658951278757E-2</v>
      </c>
    </row>
    <row r="217" spans="1:11" x14ac:dyDescent="0.2">
      <c r="A217" s="1" t="s">
        <v>233</v>
      </c>
      <c r="B217" s="1">
        <v>4</v>
      </c>
      <c r="C217" s="2">
        <v>74991.360000000001</v>
      </c>
      <c r="D217" s="2">
        <f t="shared" si="11"/>
        <v>6749.2223999999987</v>
      </c>
      <c r="E217" s="2">
        <v>81740.582399999999</v>
      </c>
      <c r="G217" s="2">
        <v>67757</v>
      </c>
      <c r="H217" s="2">
        <f t="shared" si="12"/>
        <v>7179</v>
      </c>
      <c r="I217" s="2">
        <v>74936</v>
      </c>
      <c r="J217" s="13">
        <f t="shared" si="13"/>
        <v>9.0805252482118071E-2</v>
      </c>
      <c r="K217" s="13">
        <f t="shared" si="14"/>
        <v>7.3876374506246108E-4</v>
      </c>
    </row>
    <row r="218" spans="1:11" x14ac:dyDescent="0.2">
      <c r="A218" s="1" t="s">
        <v>234</v>
      </c>
      <c r="B218" s="1">
        <v>8</v>
      </c>
      <c r="C218" s="2">
        <v>106392.23499999999</v>
      </c>
      <c r="D218" s="2">
        <f t="shared" si="11"/>
        <v>10639.223499999993</v>
      </c>
      <c r="E218" s="2">
        <v>117031.45849999998</v>
      </c>
      <c r="G218" s="2">
        <v>105524</v>
      </c>
      <c r="H218" s="2">
        <f t="shared" si="12"/>
        <v>9735</v>
      </c>
      <c r="I218" s="2">
        <v>115259</v>
      </c>
      <c r="J218" s="13">
        <f t="shared" si="13"/>
        <v>1.5378048568875131E-2</v>
      </c>
      <c r="K218" s="13">
        <f t="shared" si="14"/>
        <v>-7.6929046755568012E-2</v>
      </c>
    </row>
    <row r="219" spans="1:11" x14ac:dyDescent="0.2">
      <c r="A219" s="1" t="s">
        <v>235</v>
      </c>
      <c r="B219" s="1">
        <v>7</v>
      </c>
      <c r="C219" s="2">
        <v>90769.225714285712</v>
      </c>
      <c r="D219" s="2">
        <f t="shared" si="11"/>
        <v>9076.9225714285712</v>
      </c>
      <c r="E219" s="2">
        <v>99846.148285714284</v>
      </c>
      <c r="G219" s="2">
        <v>80752</v>
      </c>
      <c r="H219" s="2">
        <f t="shared" si="12"/>
        <v>3804</v>
      </c>
      <c r="I219" s="2">
        <v>84556</v>
      </c>
      <c r="J219" s="13">
        <f t="shared" si="13"/>
        <v>0.18082866130983352</v>
      </c>
      <c r="K219" s="13">
        <f t="shared" si="14"/>
        <v>7.3480601190757749E-2</v>
      </c>
    </row>
    <row r="220" spans="1:11" x14ac:dyDescent="0.2">
      <c r="A220" s="1" t="s">
        <v>236</v>
      </c>
      <c r="B220" s="1">
        <v>6</v>
      </c>
      <c r="C220" s="2">
        <v>71051.425000000003</v>
      </c>
      <c r="D220" s="2">
        <f t="shared" si="11"/>
        <v>6394.6282499999943</v>
      </c>
      <c r="E220" s="2">
        <v>77446.053249999997</v>
      </c>
      <c r="G220" s="2">
        <v>75346</v>
      </c>
      <c r="H220" s="2">
        <f t="shared" si="12"/>
        <v>6403</v>
      </c>
      <c r="I220" s="2">
        <v>81749</v>
      </c>
      <c r="J220" s="13">
        <f t="shared" si="13"/>
        <v>-5.2636078117163546E-2</v>
      </c>
      <c r="K220" s="13">
        <f t="shared" si="14"/>
        <v>-0.13085878726345274</v>
      </c>
    </row>
    <row r="221" spans="1:11" x14ac:dyDescent="0.2">
      <c r="A221" s="1" t="s">
        <v>237</v>
      </c>
      <c r="B221" s="1">
        <v>7</v>
      </c>
      <c r="C221" s="2">
        <v>73776.472857142842</v>
      </c>
      <c r="D221" s="2">
        <f t="shared" si="11"/>
        <v>6639.8825571428606</v>
      </c>
      <c r="E221" s="2">
        <v>80416.355414285703</v>
      </c>
      <c r="G221" s="2">
        <v>72114</v>
      </c>
      <c r="H221" s="2">
        <f t="shared" si="12"/>
        <v>4787</v>
      </c>
      <c r="I221" s="2">
        <v>76901</v>
      </c>
      <c r="J221" s="13">
        <f t="shared" si="13"/>
        <v>4.5712739942077515E-2</v>
      </c>
      <c r="K221" s="13">
        <f t="shared" si="14"/>
        <v>-4.0630513814607847E-2</v>
      </c>
    </row>
    <row r="222" spans="1:11" x14ac:dyDescent="0.2">
      <c r="A222" s="1" t="s">
        <v>238</v>
      </c>
      <c r="B222" s="1">
        <v>4</v>
      </c>
      <c r="C222" s="2">
        <v>68329.827499999999</v>
      </c>
      <c r="D222" s="2">
        <f t="shared" si="11"/>
        <v>6149.6844750000018</v>
      </c>
      <c r="E222" s="2">
        <v>74479.511975000001</v>
      </c>
      <c r="G222" s="2">
        <v>65953</v>
      </c>
      <c r="H222" s="2">
        <f t="shared" si="12"/>
        <v>2919</v>
      </c>
      <c r="I222" s="2">
        <v>68872</v>
      </c>
      <c r="J222" s="13">
        <f t="shared" si="13"/>
        <v>8.1419328246602404E-2</v>
      </c>
      <c r="K222" s="13">
        <f t="shared" si="14"/>
        <v>-7.8721759205482716E-3</v>
      </c>
    </row>
    <row r="223" spans="1:11" x14ac:dyDescent="0.2">
      <c r="A223" s="1" t="s">
        <v>239</v>
      </c>
      <c r="B223" s="1">
        <v>3</v>
      </c>
      <c r="C223" s="2">
        <v>152541.18666666665</v>
      </c>
      <c r="D223" s="2">
        <f t="shared" si="11"/>
        <v>30508.237333333323</v>
      </c>
      <c r="E223" s="2">
        <v>183049.42399999997</v>
      </c>
      <c r="G223" s="2">
        <v>155344</v>
      </c>
      <c r="H223" s="2">
        <f t="shared" si="12"/>
        <v>25380</v>
      </c>
      <c r="I223" s="2">
        <v>180724</v>
      </c>
      <c r="J223" s="13">
        <f t="shared" si="13"/>
        <v>1.2867267214094254E-2</v>
      </c>
      <c r="K223" s="13">
        <f t="shared" si="14"/>
        <v>-0.15594394398825476</v>
      </c>
    </row>
    <row r="224" spans="1:11" x14ac:dyDescent="0.2">
      <c r="A224" s="1" t="s">
        <v>240</v>
      </c>
      <c r="B224" s="1">
        <v>4</v>
      </c>
      <c r="C224" s="2">
        <v>95516.142499999987</v>
      </c>
      <c r="D224" s="2">
        <f t="shared" si="11"/>
        <v>9551.6142499999987</v>
      </c>
      <c r="E224" s="2">
        <v>105067.75674999999</v>
      </c>
      <c r="G224" s="2">
        <v>97097</v>
      </c>
      <c r="H224" s="2">
        <f t="shared" si="12"/>
        <v>7980</v>
      </c>
      <c r="I224" s="2">
        <v>105077</v>
      </c>
      <c r="J224" s="13">
        <f t="shared" si="13"/>
        <v>-8.7966443655738996E-5</v>
      </c>
      <c r="K224" s="13">
        <f t="shared" si="14"/>
        <v>-9.0989060403323399E-2</v>
      </c>
    </row>
    <row r="225" spans="1:11" x14ac:dyDescent="0.2">
      <c r="A225" s="1" t="s">
        <v>241</v>
      </c>
      <c r="B225" s="1">
        <v>6</v>
      </c>
      <c r="C225" s="2">
        <v>131758.495</v>
      </c>
      <c r="D225" s="2">
        <f t="shared" si="11"/>
        <v>26351.698999999993</v>
      </c>
      <c r="E225" s="2">
        <v>158110.19399999999</v>
      </c>
      <c r="G225" s="2">
        <v>137716</v>
      </c>
      <c r="H225" s="2">
        <f t="shared" si="12"/>
        <v>21334</v>
      </c>
      <c r="I225" s="2">
        <v>159050</v>
      </c>
      <c r="J225" s="13">
        <f t="shared" si="13"/>
        <v>-5.9088714240805498E-3</v>
      </c>
      <c r="K225" s="13">
        <f t="shared" si="14"/>
        <v>-0.17159072618673377</v>
      </c>
    </row>
    <row r="226" spans="1:11" x14ac:dyDescent="0.2">
      <c r="A226" s="1" t="s">
        <v>242</v>
      </c>
      <c r="B226" s="1">
        <v>8</v>
      </c>
      <c r="C226" s="2">
        <v>69314.58</v>
      </c>
      <c r="D226" s="2">
        <f t="shared" si="11"/>
        <v>5545.1664000000019</v>
      </c>
      <c r="E226" s="2">
        <v>74859.746400000004</v>
      </c>
      <c r="G226" s="2">
        <v>56821</v>
      </c>
      <c r="H226" s="2">
        <f t="shared" si="12"/>
        <v>3460</v>
      </c>
      <c r="I226" s="2">
        <v>60281</v>
      </c>
      <c r="J226" s="13">
        <f t="shared" si="13"/>
        <v>0.2418464590832933</v>
      </c>
      <c r="K226" s="13">
        <f t="shared" si="14"/>
        <v>0.1498578324845308</v>
      </c>
    </row>
    <row r="227" spans="1:11" x14ac:dyDescent="0.2">
      <c r="A227" s="1" t="s">
        <v>243</v>
      </c>
      <c r="B227" s="1">
        <v>3</v>
      </c>
      <c r="C227" s="2">
        <v>97205.189999999988</v>
      </c>
      <c r="D227" s="2">
        <f t="shared" si="11"/>
        <v>9720.5190000000002</v>
      </c>
      <c r="E227" s="2">
        <v>106925.70899999999</v>
      </c>
      <c r="G227" s="2">
        <v>95983</v>
      </c>
      <c r="H227" s="2">
        <f t="shared" si="12"/>
        <v>8583</v>
      </c>
      <c r="I227" s="2">
        <v>104566</v>
      </c>
      <c r="J227" s="13">
        <f t="shared" si="13"/>
        <v>2.2566694719124647E-2</v>
      </c>
      <c r="K227" s="13">
        <f t="shared" si="14"/>
        <v>-7.0393913891704879E-2</v>
      </c>
    </row>
    <row r="228" spans="1:11" x14ac:dyDescent="0.2">
      <c r="A228" s="1" t="s">
        <v>244</v>
      </c>
      <c r="B228" s="1">
        <v>4</v>
      </c>
      <c r="C228" s="2">
        <v>77637.362500000003</v>
      </c>
      <c r="D228" s="2">
        <f t="shared" si="11"/>
        <v>6987.3626249999943</v>
      </c>
      <c r="E228" s="2">
        <v>84624.725124999997</v>
      </c>
      <c r="G228" s="2">
        <v>86489</v>
      </c>
      <c r="H228" s="2">
        <f t="shared" si="12"/>
        <v>7640</v>
      </c>
      <c r="I228" s="2">
        <v>94129</v>
      </c>
      <c r="J228" s="13">
        <f t="shared" si="13"/>
        <v>-0.10097074095124779</v>
      </c>
      <c r="K228" s="13">
        <f t="shared" si="14"/>
        <v>-0.17520251463417222</v>
      </c>
    </row>
    <row r="229" spans="1:11" x14ac:dyDescent="0.2">
      <c r="A229" s="1" t="s">
        <v>245</v>
      </c>
      <c r="B229" s="1">
        <v>3</v>
      </c>
      <c r="C229" s="2">
        <v>114484.33666666667</v>
      </c>
      <c r="D229" s="2">
        <f t="shared" si="11"/>
        <v>11448.433666666664</v>
      </c>
      <c r="E229" s="2">
        <v>125932.77033333333</v>
      </c>
      <c r="G229" s="2">
        <v>105349</v>
      </c>
      <c r="H229" s="2">
        <f t="shared" si="12"/>
        <v>1775</v>
      </c>
      <c r="I229" s="2">
        <v>107124</v>
      </c>
      <c r="J229" s="13">
        <f t="shared" si="13"/>
        <v>0.17557942508992694</v>
      </c>
      <c r="K229" s="13">
        <f t="shared" si="14"/>
        <v>6.8708568263569969E-2</v>
      </c>
    </row>
    <row r="230" spans="1:11" x14ac:dyDescent="0.2">
      <c r="A230" s="1" t="s">
        <v>246</v>
      </c>
      <c r="B230" s="1">
        <v>9</v>
      </c>
      <c r="C230" s="2">
        <v>121946.19999999998</v>
      </c>
      <c r="D230" s="2">
        <f t="shared" si="11"/>
        <v>18291.929999999993</v>
      </c>
      <c r="E230" s="2">
        <v>140238.12999999998</v>
      </c>
      <c r="G230" s="2">
        <v>130783</v>
      </c>
      <c r="H230" s="2">
        <f t="shared" si="12"/>
        <v>3043</v>
      </c>
      <c r="I230" s="2">
        <v>133826</v>
      </c>
      <c r="J230" s="13">
        <f t="shared" si="13"/>
        <v>4.7913933017500153E-2</v>
      </c>
      <c r="K230" s="13">
        <f t="shared" si="14"/>
        <v>-8.8770493028260705E-2</v>
      </c>
    </row>
    <row r="231" spans="1:11" x14ac:dyDescent="0.2">
      <c r="A231" s="1" t="s">
        <v>247</v>
      </c>
      <c r="B231" s="1">
        <v>8</v>
      </c>
      <c r="C231" s="2">
        <v>83645.908750000002</v>
      </c>
      <c r="D231" s="2">
        <f t="shared" si="11"/>
        <v>8364.5908749999944</v>
      </c>
      <c r="E231" s="2">
        <v>92010.499624999997</v>
      </c>
      <c r="G231" s="2">
        <v>84217</v>
      </c>
      <c r="H231" s="2">
        <f t="shared" si="12"/>
        <v>784</v>
      </c>
      <c r="I231" s="2">
        <v>85001</v>
      </c>
      <c r="J231" s="13">
        <f t="shared" si="13"/>
        <v>8.2463731309043387E-2</v>
      </c>
      <c r="K231" s="13">
        <f t="shared" si="14"/>
        <v>-1.5942062446324134E-2</v>
      </c>
    </row>
    <row r="232" spans="1:11" x14ac:dyDescent="0.2">
      <c r="A232" s="1" t="s">
        <v>248</v>
      </c>
      <c r="B232" s="1">
        <v>4</v>
      </c>
      <c r="C232" s="2">
        <v>127907.64499999999</v>
      </c>
      <c r="D232" s="2">
        <f t="shared" si="11"/>
        <v>19186.146749999985</v>
      </c>
      <c r="E232" s="2">
        <v>147093.79174999997</v>
      </c>
      <c r="G232" s="2">
        <v>132078</v>
      </c>
      <c r="H232" s="2">
        <f t="shared" si="12"/>
        <v>13817</v>
      </c>
      <c r="I232" s="2">
        <v>145895</v>
      </c>
      <c r="J232" s="13">
        <f t="shared" si="13"/>
        <v>8.2168117481748858E-3</v>
      </c>
      <c r="K232" s="13">
        <f t="shared" si="14"/>
        <v>-0.12328972891463046</v>
      </c>
    </row>
    <row r="233" spans="1:11" x14ac:dyDescent="0.2">
      <c r="A233" s="1" t="s">
        <v>249</v>
      </c>
      <c r="B233" s="1">
        <v>3</v>
      </c>
      <c r="C233" s="2">
        <v>82481.710000000006</v>
      </c>
      <c r="D233" s="2">
        <f t="shared" si="11"/>
        <v>8248.1710000000021</v>
      </c>
      <c r="E233" s="2">
        <v>90729.881000000008</v>
      </c>
      <c r="G233" s="2">
        <v>86448</v>
      </c>
      <c r="H233" s="2">
        <f t="shared" si="12"/>
        <v>3344</v>
      </c>
      <c r="I233" s="2">
        <v>89792</v>
      </c>
      <c r="J233" s="13">
        <f t="shared" si="13"/>
        <v>1.04450396471847E-2</v>
      </c>
      <c r="K233" s="13">
        <f t="shared" si="14"/>
        <v>-8.14136003207412E-2</v>
      </c>
    </row>
    <row r="234" spans="1:11" x14ac:dyDescent="0.2">
      <c r="A234" s="1" t="s">
        <v>250</v>
      </c>
      <c r="B234" s="1">
        <v>9</v>
      </c>
      <c r="C234" s="2">
        <v>72782.178888888884</v>
      </c>
      <c r="D234" s="2">
        <f t="shared" si="11"/>
        <v>6550.3960999999981</v>
      </c>
      <c r="E234" s="2">
        <v>79332.574988888882</v>
      </c>
      <c r="G234" s="2">
        <v>79966</v>
      </c>
      <c r="H234" s="2">
        <f t="shared" si="12"/>
        <v>5975</v>
      </c>
      <c r="I234" s="2">
        <v>85941</v>
      </c>
      <c r="J234" s="13">
        <f t="shared" si="13"/>
        <v>-7.6894904773171333E-2</v>
      </c>
      <c r="K234" s="13">
        <f t="shared" si="14"/>
        <v>-0.15311459153501955</v>
      </c>
    </row>
    <row r="235" spans="1:11" x14ac:dyDescent="0.2">
      <c r="A235" s="1" t="s">
        <v>251</v>
      </c>
      <c r="B235" s="1">
        <v>6</v>
      </c>
      <c r="C235" s="2">
        <v>112142.77500000001</v>
      </c>
      <c r="D235" s="2">
        <f t="shared" si="11"/>
        <v>16821.416249999995</v>
      </c>
      <c r="E235" s="2">
        <v>128964.19125</v>
      </c>
      <c r="G235" s="2">
        <v>148305</v>
      </c>
      <c r="H235" s="2">
        <f t="shared" si="12"/>
        <v>19603</v>
      </c>
      <c r="I235" s="2">
        <v>167908</v>
      </c>
      <c r="J235" s="13">
        <f t="shared" si="13"/>
        <v>-0.23193539765824139</v>
      </c>
      <c r="K235" s="13">
        <f t="shared" si="14"/>
        <v>-0.3321177370941229</v>
      </c>
    </row>
    <row r="236" spans="1:11" x14ac:dyDescent="0.2">
      <c r="A236" s="1" t="s">
        <v>252</v>
      </c>
      <c r="B236" s="1">
        <v>10</v>
      </c>
      <c r="C236" s="2">
        <v>107232.21400000001</v>
      </c>
      <c r="D236" s="2">
        <f t="shared" si="11"/>
        <v>10723.221400000009</v>
      </c>
      <c r="E236" s="2">
        <v>117955.43540000002</v>
      </c>
      <c r="G236" s="2">
        <v>118454</v>
      </c>
      <c r="H236" s="2">
        <f t="shared" si="12"/>
        <v>13821</v>
      </c>
      <c r="I236" s="2">
        <v>132275</v>
      </c>
      <c r="J236" s="13">
        <f t="shared" si="13"/>
        <v>-0.10825601663201651</v>
      </c>
      <c r="K236" s="13">
        <f t="shared" si="14"/>
        <v>-0.18932365148365143</v>
      </c>
    </row>
    <row r="237" spans="1:11" x14ac:dyDescent="0.2">
      <c r="A237" s="1" t="s">
        <v>253</v>
      </c>
      <c r="B237" s="1">
        <v>9</v>
      </c>
      <c r="C237" s="2">
        <v>93431.818888888884</v>
      </c>
      <c r="D237" s="2">
        <f t="shared" si="11"/>
        <v>9343.1818888888956</v>
      </c>
      <c r="E237" s="2">
        <v>102775.00077777778</v>
      </c>
      <c r="G237" s="2">
        <v>104510</v>
      </c>
      <c r="H237" s="2">
        <f t="shared" si="12"/>
        <v>8687</v>
      </c>
      <c r="I237" s="2">
        <v>113197</v>
      </c>
      <c r="J237" s="13">
        <f t="shared" si="13"/>
        <v>-9.2069570944655968E-2</v>
      </c>
      <c r="K237" s="13">
        <f t="shared" si="14"/>
        <v>-0.17460870085877819</v>
      </c>
    </row>
    <row r="238" spans="1:11" x14ac:dyDescent="0.2">
      <c r="A238" s="1" t="s">
        <v>254</v>
      </c>
      <c r="B238" s="1">
        <v>12</v>
      </c>
      <c r="C238" s="2">
        <v>70101.736916666676</v>
      </c>
      <c r="D238" s="2">
        <f t="shared" si="11"/>
        <v>6309.1563224999991</v>
      </c>
      <c r="E238" s="2">
        <v>76410.893239166675</v>
      </c>
      <c r="G238" s="2">
        <v>76012</v>
      </c>
      <c r="H238" s="2">
        <f t="shared" si="12"/>
        <v>3068</v>
      </c>
      <c r="I238" s="2">
        <v>79080</v>
      </c>
      <c r="J238" s="13">
        <f t="shared" si="13"/>
        <v>-3.3751982306946447E-2</v>
      </c>
      <c r="K238" s="13">
        <f t="shared" si="14"/>
        <v>-0.1135339287219692</v>
      </c>
    </row>
    <row r="239" spans="1:11" x14ac:dyDescent="0.2">
      <c r="A239" s="1" t="s">
        <v>255</v>
      </c>
      <c r="B239" s="1">
        <v>9</v>
      </c>
      <c r="C239" s="2">
        <v>57214.844444444439</v>
      </c>
      <c r="D239" s="2">
        <f t="shared" si="11"/>
        <v>4577.1875555555525</v>
      </c>
      <c r="E239" s="2">
        <v>61792.031999999992</v>
      </c>
      <c r="G239" s="2">
        <v>64435</v>
      </c>
      <c r="H239" s="2">
        <f t="shared" si="12"/>
        <v>4198</v>
      </c>
      <c r="I239" s="2">
        <v>68633</v>
      </c>
      <c r="J239" s="13">
        <f t="shared" si="13"/>
        <v>-9.9674617166669213E-2</v>
      </c>
      <c r="K239" s="13">
        <f t="shared" si="14"/>
        <v>-0.16636538626543443</v>
      </c>
    </row>
    <row r="240" spans="1:11" x14ac:dyDescent="0.2">
      <c r="A240" s="1" t="s">
        <v>256</v>
      </c>
      <c r="B240" s="1">
        <v>12</v>
      </c>
      <c r="C240" s="2">
        <v>121947.56916666667</v>
      </c>
      <c r="D240" s="2">
        <f t="shared" si="11"/>
        <v>18292.135374999998</v>
      </c>
      <c r="E240" s="2">
        <v>140239.70454166667</v>
      </c>
      <c r="G240" s="2">
        <v>121194</v>
      </c>
      <c r="H240" s="2">
        <f t="shared" si="12"/>
        <v>13301</v>
      </c>
      <c r="I240" s="2">
        <v>134495</v>
      </c>
      <c r="J240" s="13">
        <f t="shared" si="13"/>
        <v>4.2713145779892679E-2</v>
      </c>
      <c r="K240" s="13">
        <f t="shared" si="14"/>
        <v>-9.3292916713136789E-2</v>
      </c>
    </row>
    <row r="241" spans="1:11" x14ac:dyDescent="0.2">
      <c r="A241" s="1" t="s">
        <v>257</v>
      </c>
      <c r="B241" s="1">
        <v>25</v>
      </c>
      <c r="C241" s="2">
        <v>96371.981599999985</v>
      </c>
      <c r="D241" s="2">
        <f t="shared" ref="D241:D294" si="15">E241-C241</f>
        <v>9637.1981599999999</v>
      </c>
      <c r="E241" s="2">
        <v>106009.17975999998</v>
      </c>
      <c r="G241" s="2">
        <v>105866</v>
      </c>
      <c r="H241" s="2">
        <f t="shared" ref="H241:H294" si="16">I241-G241</f>
        <v>9343</v>
      </c>
      <c r="I241" s="2">
        <v>115209</v>
      </c>
      <c r="J241" s="13">
        <f t="shared" si="13"/>
        <v>-7.9853312154432518E-2</v>
      </c>
      <c r="K241" s="13">
        <f t="shared" si="14"/>
        <v>-0.16350301104948411</v>
      </c>
    </row>
    <row r="242" spans="1:11" x14ac:dyDescent="0.2">
      <c r="A242" s="1" t="s">
        <v>258</v>
      </c>
      <c r="B242" s="1">
        <v>3</v>
      </c>
      <c r="C242" s="2">
        <v>63285.186666666668</v>
      </c>
      <c r="D242" s="2">
        <f t="shared" si="15"/>
        <v>5062.8149333333349</v>
      </c>
      <c r="E242" s="2">
        <v>68348.001600000003</v>
      </c>
      <c r="G242" s="2">
        <v>67272</v>
      </c>
      <c r="H242" s="2">
        <f t="shared" si="16"/>
        <v>3640</v>
      </c>
      <c r="I242" s="2">
        <v>70912</v>
      </c>
      <c r="J242" s="13">
        <f t="shared" si="13"/>
        <v>-3.6157468411552304E-2</v>
      </c>
      <c r="K242" s="13">
        <f t="shared" si="14"/>
        <v>-0.10755321149217807</v>
      </c>
    </row>
    <row r="243" spans="1:11" x14ac:dyDescent="0.2">
      <c r="A243" s="1" t="s">
        <v>259</v>
      </c>
      <c r="B243" s="1">
        <v>3</v>
      </c>
      <c r="C243" s="2">
        <v>54915</v>
      </c>
      <c r="D243" s="2">
        <f t="shared" si="15"/>
        <v>3294.9000000000015</v>
      </c>
      <c r="E243" s="2">
        <v>58209.9</v>
      </c>
      <c r="G243" s="2">
        <v>56643</v>
      </c>
      <c r="H243" s="2">
        <f t="shared" si="16"/>
        <v>1545</v>
      </c>
      <c r="I243" s="2">
        <v>58188</v>
      </c>
      <c r="J243" s="13">
        <f t="shared" si="13"/>
        <v>3.7636626108478475E-4</v>
      </c>
      <c r="K243" s="13">
        <f t="shared" si="14"/>
        <v>-5.6248711074448343E-2</v>
      </c>
    </row>
    <row r="244" spans="1:11" x14ac:dyDescent="0.2">
      <c r="A244" s="1" t="s">
        <v>260</v>
      </c>
      <c r="B244" s="1">
        <v>6</v>
      </c>
      <c r="C244" s="2">
        <v>93529.096666666665</v>
      </c>
      <c r="D244" s="2">
        <f t="shared" si="15"/>
        <v>9352.9096666666592</v>
      </c>
      <c r="E244" s="2">
        <v>102882.00633333332</v>
      </c>
      <c r="G244" s="2">
        <v>84572</v>
      </c>
      <c r="H244" s="2">
        <f t="shared" si="16"/>
        <v>5733</v>
      </c>
      <c r="I244" s="2">
        <v>90305</v>
      </c>
      <c r="J244" s="13">
        <f t="shared" si="13"/>
        <v>0.13927253566616826</v>
      </c>
      <c r="K244" s="13">
        <f t="shared" si="14"/>
        <v>3.5702305151062118E-2</v>
      </c>
    </row>
    <row r="245" spans="1:11" x14ac:dyDescent="0.2">
      <c r="A245" s="1" t="s">
        <v>261</v>
      </c>
      <c r="B245" s="1">
        <v>5</v>
      </c>
      <c r="C245" s="2">
        <v>98313.603999999992</v>
      </c>
      <c r="D245" s="2">
        <f t="shared" si="15"/>
        <v>9831.360400000005</v>
      </c>
      <c r="E245" s="2">
        <v>108144.9644</v>
      </c>
      <c r="G245" s="2">
        <v>104967</v>
      </c>
      <c r="H245" s="2">
        <f t="shared" si="16"/>
        <v>8176</v>
      </c>
      <c r="I245" s="2">
        <v>113143</v>
      </c>
      <c r="J245" s="13">
        <f t="shared" si="13"/>
        <v>-4.4174501294821623E-2</v>
      </c>
      <c r="K245" s="13">
        <f t="shared" si="14"/>
        <v>-0.13106772844983788</v>
      </c>
    </row>
    <row r="246" spans="1:11" x14ac:dyDescent="0.2">
      <c r="A246" s="1" t="s">
        <v>262</v>
      </c>
      <c r="B246" s="1">
        <v>5</v>
      </c>
      <c r="C246" s="2">
        <v>62886.391999999993</v>
      </c>
      <c r="D246" s="2">
        <f t="shared" si="15"/>
        <v>5030.9113599999982</v>
      </c>
      <c r="E246" s="2">
        <v>67917.303359999991</v>
      </c>
      <c r="G246" s="2">
        <v>63779</v>
      </c>
      <c r="H246" s="2">
        <f t="shared" si="16"/>
        <v>2173</v>
      </c>
      <c r="I246" s="2">
        <v>65952</v>
      </c>
      <c r="J246" s="13">
        <f t="shared" si="13"/>
        <v>2.9798995633187633E-2</v>
      </c>
      <c r="K246" s="13">
        <f t="shared" si="14"/>
        <v>-4.6482411450752173E-2</v>
      </c>
    </row>
    <row r="247" spans="1:11" x14ac:dyDescent="0.2">
      <c r="A247" s="1" t="s">
        <v>263</v>
      </c>
      <c r="B247" s="1">
        <v>3</v>
      </c>
      <c r="C247" s="2">
        <v>119194.43666666666</v>
      </c>
      <c r="D247" s="2">
        <f t="shared" si="15"/>
        <v>17879.165499999988</v>
      </c>
      <c r="E247" s="2">
        <v>137073.60216666665</v>
      </c>
      <c r="G247" s="2">
        <v>97968</v>
      </c>
      <c r="H247" s="2">
        <f t="shared" si="16"/>
        <v>10349</v>
      </c>
      <c r="I247" s="2">
        <v>108317</v>
      </c>
      <c r="J247" s="13">
        <f t="shared" si="13"/>
        <v>0.26548558551904733</v>
      </c>
      <c r="K247" s="13">
        <f t="shared" si="14"/>
        <v>0.10042224827743254</v>
      </c>
    </row>
    <row r="248" spans="1:11" x14ac:dyDescent="0.2">
      <c r="A248" s="1" t="s">
        <v>264</v>
      </c>
      <c r="B248" s="1">
        <v>6</v>
      </c>
      <c r="C248" s="2">
        <v>88276.06</v>
      </c>
      <c r="D248" s="2">
        <f t="shared" si="15"/>
        <v>8827.6059999999998</v>
      </c>
      <c r="E248" s="2">
        <v>97103.665999999997</v>
      </c>
      <c r="G248" s="2">
        <v>63353</v>
      </c>
      <c r="H248" s="2">
        <f t="shared" si="16"/>
        <v>5600</v>
      </c>
      <c r="I248" s="2">
        <v>68953</v>
      </c>
      <c r="J248" s="13">
        <f t="shared" si="13"/>
        <v>0.40825875596420746</v>
      </c>
      <c r="K248" s="13">
        <f t="shared" si="14"/>
        <v>0.28023523269473405</v>
      </c>
    </row>
    <row r="249" spans="1:11" x14ac:dyDescent="0.2">
      <c r="A249" s="1" t="s">
        <v>265</v>
      </c>
      <c r="B249" s="1">
        <v>9</v>
      </c>
      <c r="C249" s="2">
        <v>99986.299888888898</v>
      </c>
      <c r="D249" s="2">
        <f t="shared" si="15"/>
        <v>9998.6299888888898</v>
      </c>
      <c r="E249" s="2">
        <v>109984.92987777779</v>
      </c>
      <c r="G249" s="2">
        <v>104967</v>
      </c>
      <c r="H249" s="2">
        <f t="shared" si="16"/>
        <v>8176</v>
      </c>
      <c r="I249" s="2">
        <v>113143</v>
      </c>
      <c r="J249" s="13">
        <f t="shared" si="13"/>
        <v>-2.7912200686054042E-2</v>
      </c>
      <c r="K249" s="13">
        <f t="shared" si="14"/>
        <v>-0.11628381880550367</v>
      </c>
    </row>
    <row r="250" spans="1:11" x14ac:dyDescent="0.2">
      <c r="A250" s="1" t="s">
        <v>266</v>
      </c>
      <c r="B250" s="1">
        <v>5</v>
      </c>
      <c r="C250" s="2">
        <v>78718.013999999996</v>
      </c>
      <c r="D250" s="2">
        <f t="shared" si="15"/>
        <v>7871.8013999999966</v>
      </c>
      <c r="E250" s="2">
        <v>86589.815399999992</v>
      </c>
      <c r="G250" s="2">
        <v>84572</v>
      </c>
      <c r="H250" s="2">
        <f t="shared" si="16"/>
        <v>5733</v>
      </c>
      <c r="I250" s="2">
        <v>90305</v>
      </c>
      <c r="J250" s="13">
        <f t="shared" si="13"/>
        <v>-4.1140408615248411E-2</v>
      </c>
      <c r="K250" s="13">
        <f t="shared" si="14"/>
        <v>-0.12830946237749852</v>
      </c>
    </row>
    <row r="251" spans="1:11" x14ac:dyDescent="0.2">
      <c r="A251" s="1" t="s">
        <v>267</v>
      </c>
      <c r="B251" s="1">
        <v>3</v>
      </c>
      <c r="C251" s="2">
        <v>143544.78666666665</v>
      </c>
      <c r="D251" s="2">
        <f t="shared" si="15"/>
        <v>28708.957333333325</v>
      </c>
      <c r="E251" s="2">
        <v>172253.74399999998</v>
      </c>
      <c r="G251" s="2">
        <v>148475</v>
      </c>
      <c r="H251" s="2">
        <f t="shared" si="16"/>
        <v>30535</v>
      </c>
      <c r="I251" s="2">
        <v>179010</v>
      </c>
      <c r="J251" s="13">
        <f t="shared" si="13"/>
        <v>-3.7742338416848348E-2</v>
      </c>
      <c r="K251" s="13">
        <f t="shared" si="14"/>
        <v>-0.1981186153473736</v>
      </c>
    </row>
    <row r="252" spans="1:11" x14ac:dyDescent="0.2">
      <c r="A252" s="1" t="s">
        <v>268</v>
      </c>
      <c r="B252" s="1">
        <v>5</v>
      </c>
      <c r="C252" s="2">
        <v>181440</v>
      </c>
      <c r="D252" s="2">
        <f t="shared" si="15"/>
        <v>54432</v>
      </c>
      <c r="E252" s="2">
        <v>235872</v>
      </c>
      <c r="G252" s="2">
        <v>203834</v>
      </c>
      <c r="H252" s="2">
        <f t="shared" si="16"/>
        <v>43899</v>
      </c>
      <c r="I252" s="2">
        <v>247733</v>
      </c>
      <c r="J252" s="13">
        <f t="shared" si="13"/>
        <v>-4.7878159147146319E-2</v>
      </c>
      <c r="K252" s="13">
        <f t="shared" si="14"/>
        <v>-0.26759858395934333</v>
      </c>
    </row>
    <row r="253" spans="1:11" x14ac:dyDescent="0.2">
      <c r="A253" s="1" t="s">
        <v>269</v>
      </c>
      <c r="B253" s="1">
        <v>5</v>
      </c>
      <c r="C253" s="2">
        <v>174673.42600000001</v>
      </c>
      <c r="D253" s="2">
        <f t="shared" si="15"/>
        <v>43668.356499999994</v>
      </c>
      <c r="E253" s="2">
        <v>218341.7825</v>
      </c>
      <c r="G253" s="2">
        <v>170371</v>
      </c>
      <c r="H253" s="2">
        <f t="shared" si="16"/>
        <v>36736</v>
      </c>
      <c r="I253" s="2">
        <v>207107</v>
      </c>
      <c r="J253" s="13">
        <f t="shared" si="13"/>
        <v>5.4246271251092437E-2</v>
      </c>
      <c r="K253" s="13">
        <f t="shared" si="14"/>
        <v>-0.15660298299912603</v>
      </c>
    </row>
    <row r="254" spans="1:11" x14ac:dyDescent="0.2">
      <c r="A254" s="1" t="s">
        <v>270</v>
      </c>
      <c r="B254" s="1">
        <v>11</v>
      </c>
      <c r="C254" s="2">
        <v>59642.344545454551</v>
      </c>
      <c r="D254" s="2">
        <f t="shared" si="15"/>
        <v>4771.3875636363664</v>
      </c>
      <c r="E254" s="2">
        <v>64413.732109090917</v>
      </c>
      <c r="G254" s="2">
        <v>66364</v>
      </c>
      <c r="H254" s="2">
        <f t="shared" si="16"/>
        <v>4834</v>
      </c>
      <c r="I254" s="2">
        <v>71198</v>
      </c>
      <c r="J254" s="13">
        <f t="shared" si="13"/>
        <v>-9.5287337999790486E-2</v>
      </c>
      <c r="K254" s="13">
        <f t="shared" si="14"/>
        <v>-0.16230309074054677</v>
      </c>
    </row>
    <row r="255" spans="1:11" x14ac:dyDescent="0.2">
      <c r="A255" s="1" t="s">
        <v>271</v>
      </c>
      <c r="B255" s="1">
        <v>4</v>
      </c>
      <c r="C255" s="2">
        <v>98826.352499999994</v>
      </c>
      <c r="D255" s="2">
        <f t="shared" si="15"/>
        <v>9882.6352500000066</v>
      </c>
      <c r="E255" s="2">
        <v>108708.98775</v>
      </c>
      <c r="G255" s="2">
        <v>111865</v>
      </c>
      <c r="H255" s="2">
        <f t="shared" si="16"/>
        <v>11689</v>
      </c>
      <c r="I255" s="2">
        <v>123554</v>
      </c>
      <c r="J255" s="13">
        <f t="shared" si="13"/>
        <v>-0.12014999312041698</v>
      </c>
      <c r="K255" s="13">
        <f t="shared" si="14"/>
        <v>-0.20013635738219732</v>
      </c>
    </row>
    <row r="256" spans="1:11" x14ac:dyDescent="0.2">
      <c r="A256" s="1" t="s">
        <v>272</v>
      </c>
      <c r="B256" s="1">
        <v>8</v>
      </c>
      <c r="C256" s="2">
        <v>80253.696250000008</v>
      </c>
      <c r="D256" s="2">
        <f t="shared" si="15"/>
        <v>8025.3696250000066</v>
      </c>
      <c r="E256" s="2">
        <v>88279.065875000015</v>
      </c>
      <c r="G256" s="2">
        <v>84286</v>
      </c>
      <c r="H256" s="2">
        <f t="shared" si="16"/>
        <v>7972</v>
      </c>
      <c r="I256" s="2">
        <v>92258</v>
      </c>
      <c r="J256" s="13">
        <f t="shared" si="13"/>
        <v>-4.3128337108976837E-2</v>
      </c>
      <c r="K256" s="13">
        <f t="shared" si="14"/>
        <v>-0.13011667009906991</v>
      </c>
    </row>
    <row r="257" spans="1:11" x14ac:dyDescent="0.2">
      <c r="A257" s="1" t="s">
        <v>273</v>
      </c>
      <c r="B257" s="1">
        <v>12</v>
      </c>
      <c r="C257" s="2">
        <v>132876.61333333334</v>
      </c>
      <c r="D257" s="2">
        <f t="shared" si="15"/>
        <v>26575.322666666674</v>
      </c>
      <c r="E257" s="2">
        <v>159451.93600000002</v>
      </c>
      <c r="G257" s="2">
        <v>136613</v>
      </c>
      <c r="H257" s="2">
        <f t="shared" si="16"/>
        <v>25454</v>
      </c>
      <c r="I257" s="2">
        <v>162067</v>
      </c>
      <c r="J257" s="13">
        <f t="shared" si="13"/>
        <v>-1.6135696964835432E-2</v>
      </c>
      <c r="K257" s="13">
        <f t="shared" si="14"/>
        <v>-0.18011308080402955</v>
      </c>
    </row>
    <row r="258" spans="1:11" x14ac:dyDescent="0.2">
      <c r="A258" s="1" t="s">
        <v>274</v>
      </c>
      <c r="B258" s="1">
        <v>5</v>
      </c>
      <c r="C258" s="2">
        <v>78179.832000000009</v>
      </c>
      <c r="D258" s="2">
        <f t="shared" si="15"/>
        <v>7817.9832000000024</v>
      </c>
      <c r="E258" s="2">
        <v>85997.815200000012</v>
      </c>
      <c r="G258" s="2">
        <v>92008</v>
      </c>
      <c r="H258" s="2">
        <f t="shared" si="16"/>
        <v>7316</v>
      </c>
      <c r="I258" s="2">
        <v>99324</v>
      </c>
      <c r="J258" s="13">
        <f t="shared" si="13"/>
        <v>-0.13416882928597307</v>
      </c>
      <c r="K258" s="13">
        <f t="shared" si="14"/>
        <v>-0.21288075389633915</v>
      </c>
    </row>
    <row r="259" spans="1:11" x14ac:dyDescent="0.2">
      <c r="A259" s="1" t="s">
        <v>275</v>
      </c>
      <c r="B259" s="1">
        <v>20</v>
      </c>
      <c r="C259" s="2">
        <v>113797.226</v>
      </c>
      <c r="D259" s="2">
        <f t="shared" si="15"/>
        <v>17069.583899999998</v>
      </c>
      <c r="E259" s="2">
        <v>130866.80989999999</v>
      </c>
      <c r="G259" s="2">
        <v>133733</v>
      </c>
      <c r="H259" s="2">
        <f t="shared" si="16"/>
        <v>10378</v>
      </c>
      <c r="I259" s="2">
        <v>144111</v>
      </c>
      <c r="J259" s="13">
        <f t="shared" si="13"/>
        <v>-9.1902700695991338E-2</v>
      </c>
      <c r="K259" s="13">
        <f t="shared" si="14"/>
        <v>-0.21035017451825333</v>
      </c>
    </row>
    <row r="260" spans="1:11" x14ac:dyDescent="0.2">
      <c r="A260" s="1" t="s">
        <v>276</v>
      </c>
      <c r="B260" s="1">
        <v>3</v>
      </c>
      <c r="C260" s="2">
        <v>62553.71333333334</v>
      </c>
      <c r="D260" s="2">
        <f t="shared" si="15"/>
        <v>5004.2970666666733</v>
      </c>
      <c r="E260" s="2">
        <v>67558.010400000014</v>
      </c>
      <c r="G260" s="2">
        <v>60879</v>
      </c>
      <c r="H260" s="2">
        <f t="shared" si="16"/>
        <v>4980</v>
      </c>
      <c r="I260" s="2">
        <v>65859</v>
      </c>
      <c r="J260" s="13">
        <f t="shared" si="13"/>
        <v>2.5797695075844056E-2</v>
      </c>
      <c r="K260" s="13">
        <f t="shared" si="14"/>
        <v>-5.0187319374218553E-2</v>
      </c>
    </row>
    <row r="261" spans="1:11" x14ac:dyDescent="0.2">
      <c r="A261" s="1" t="s">
        <v>277</v>
      </c>
      <c r="B261" s="1">
        <v>3</v>
      </c>
      <c r="C261" s="2">
        <v>81812.416666666672</v>
      </c>
      <c r="D261" s="2">
        <f t="shared" si="15"/>
        <v>8181.2416666666686</v>
      </c>
      <c r="E261" s="2">
        <v>89993.65833333334</v>
      </c>
      <c r="G261" s="2">
        <v>91812</v>
      </c>
      <c r="H261" s="2">
        <f t="shared" si="16"/>
        <v>6972</v>
      </c>
      <c r="I261" s="2">
        <v>98784</v>
      </c>
      <c r="J261" s="13">
        <f t="shared" si="13"/>
        <v>-8.8985480104740236E-2</v>
      </c>
      <c r="K261" s="13">
        <f t="shared" si="14"/>
        <v>-0.17180498191340024</v>
      </c>
    </row>
    <row r="262" spans="1:11" x14ac:dyDescent="0.2">
      <c r="A262" s="1" t="s">
        <v>278</v>
      </c>
      <c r="B262" s="1">
        <v>10</v>
      </c>
      <c r="C262" s="2">
        <v>98955.873999999996</v>
      </c>
      <c r="D262" s="2">
        <f t="shared" si="15"/>
        <v>9895.587400000004</v>
      </c>
      <c r="E262" s="2">
        <v>108851.4614</v>
      </c>
      <c r="G262" s="2">
        <v>109479</v>
      </c>
      <c r="H262" s="2">
        <f t="shared" si="16"/>
        <v>9347</v>
      </c>
      <c r="I262" s="2">
        <v>118826</v>
      </c>
      <c r="J262" s="13">
        <f t="shared" si="13"/>
        <v>-8.3942391395822463E-2</v>
      </c>
      <c r="K262" s="13">
        <f t="shared" si="14"/>
        <v>-0.1672203558143841</v>
      </c>
    </row>
    <row r="263" spans="1:11" x14ac:dyDescent="0.2">
      <c r="A263" s="1" t="s">
        <v>279</v>
      </c>
      <c r="B263" s="1">
        <v>5</v>
      </c>
      <c r="C263" s="2">
        <v>152169.31599999996</v>
      </c>
      <c r="D263" s="2">
        <f t="shared" si="15"/>
        <v>30433.863199999993</v>
      </c>
      <c r="E263" s="2">
        <v>182603.17919999996</v>
      </c>
      <c r="G263" s="2">
        <v>162345</v>
      </c>
      <c r="H263" s="2">
        <f t="shared" si="16"/>
        <v>29598</v>
      </c>
      <c r="I263" s="2">
        <v>191943</v>
      </c>
      <c r="J263" s="13">
        <f t="shared" si="13"/>
        <v>-4.8659345743267766E-2</v>
      </c>
      <c r="K263" s="13">
        <f t="shared" si="14"/>
        <v>-0.20721612145272314</v>
      </c>
    </row>
    <row r="264" spans="1:11" x14ac:dyDescent="0.2">
      <c r="A264" s="1" t="s">
        <v>280</v>
      </c>
      <c r="B264" s="1">
        <v>8</v>
      </c>
      <c r="C264" s="2">
        <v>147046.52750000003</v>
      </c>
      <c r="D264" s="2">
        <f t="shared" si="15"/>
        <v>29409.305500000017</v>
      </c>
      <c r="E264" s="2">
        <v>176455.83300000004</v>
      </c>
      <c r="G264" s="2">
        <v>157779</v>
      </c>
      <c r="H264" s="2">
        <f t="shared" si="16"/>
        <v>23472</v>
      </c>
      <c r="I264" s="2">
        <v>181251</v>
      </c>
      <c r="J264" s="13">
        <f t="shared" ref="J264:J294" si="17">(E264-I264)/I264</f>
        <v>-2.6455947829253122E-2</v>
      </c>
      <c r="K264" s="13">
        <f t="shared" ref="K264:K294" si="18">(C264-I264)/I264</f>
        <v>-0.18871328985771099</v>
      </c>
    </row>
    <row r="265" spans="1:11" x14ac:dyDescent="0.2">
      <c r="A265" s="1" t="s">
        <v>281</v>
      </c>
      <c r="B265" s="1">
        <v>15</v>
      </c>
      <c r="C265" s="2">
        <v>105102.86426666666</v>
      </c>
      <c r="D265" s="2">
        <f t="shared" si="15"/>
        <v>10510.286426666673</v>
      </c>
      <c r="E265" s="2">
        <v>115613.15069333333</v>
      </c>
      <c r="G265" s="2">
        <v>110061</v>
      </c>
      <c r="H265" s="2">
        <f t="shared" si="16"/>
        <v>10264</v>
      </c>
      <c r="I265" s="2">
        <v>120325</v>
      </c>
      <c r="J265" s="13">
        <f t="shared" si="17"/>
        <v>-3.9159354304314734E-2</v>
      </c>
      <c r="K265" s="13">
        <f t="shared" si="18"/>
        <v>-0.12650850391301346</v>
      </c>
    </row>
    <row r="266" spans="1:11" x14ac:dyDescent="0.2">
      <c r="A266" s="1" t="s">
        <v>282</v>
      </c>
      <c r="B266" s="1">
        <v>4</v>
      </c>
      <c r="C266" s="2">
        <v>75975</v>
      </c>
      <c r="D266" s="2">
        <f t="shared" si="15"/>
        <v>7597.5</v>
      </c>
      <c r="E266" s="2">
        <v>83572.5</v>
      </c>
      <c r="G266" s="2">
        <v>80348</v>
      </c>
      <c r="H266" s="2">
        <f t="shared" si="16"/>
        <v>6041</v>
      </c>
      <c r="I266" s="2">
        <v>86389</v>
      </c>
      <c r="J266" s="13">
        <f t="shared" si="17"/>
        <v>-3.2602530414751876E-2</v>
      </c>
      <c r="K266" s="13">
        <f t="shared" si="18"/>
        <v>-0.12054775492250171</v>
      </c>
    </row>
    <row r="267" spans="1:11" x14ac:dyDescent="0.2">
      <c r="A267" s="1" t="s">
        <v>283</v>
      </c>
      <c r="B267" s="1">
        <v>8</v>
      </c>
      <c r="C267" s="2">
        <v>111975.145</v>
      </c>
      <c r="D267" s="2">
        <f t="shared" si="15"/>
        <v>16796.27175</v>
      </c>
      <c r="E267" s="2">
        <v>128771.41675</v>
      </c>
      <c r="G267" s="2">
        <v>111536</v>
      </c>
      <c r="H267" s="2">
        <f t="shared" si="16"/>
        <v>8228</v>
      </c>
      <c r="I267" s="2">
        <v>119764</v>
      </c>
      <c r="J267" s="13">
        <f t="shared" si="17"/>
        <v>7.5209718696770345E-2</v>
      </c>
      <c r="K267" s="13">
        <f t="shared" si="18"/>
        <v>-6.5035027220199687E-2</v>
      </c>
    </row>
    <row r="268" spans="1:11" x14ac:dyDescent="0.2">
      <c r="A268" s="1" t="s">
        <v>284</v>
      </c>
      <c r="B268" s="1">
        <v>3</v>
      </c>
      <c r="C268" s="2">
        <v>126758.48</v>
      </c>
      <c r="D268" s="2">
        <f t="shared" si="15"/>
        <v>25351.696000000011</v>
      </c>
      <c r="E268" s="2">
        <v>152110.17600000001</v>
      </c>
      <c r="G268" s="2">
        <v>130547</v>
      </c>
      <c r="H268" s="2">
        <f t="shared" si="16"/>
        <v>22697</v>
      </c>
      <c r="I268" s="2">
        <v>153244</v>
      </c>
      <c r="J268" s="13">
        <f t="shared" si="17"/>
        <v>-7.3988149617602861E-3</v>
      </c>
      <c r="K268" s="13">
        <f t="shared" si="18"/>
        <v>-0.17283234580146697</v>
      </c>
    </row>
    <row r="269" spans="1:11" x14ac:dyDescent="0.2">
      <c r="A269" s="1" t="s">
        <v>285</v>
      </c>
      <c r="B269" s="1">
        <v>5</v>
      </c>
      <c r="C269" s="2">
        <v>67568.08</v>
      </c>
      <c r="D269" s="2">
        <f t="shared" si="15"/>
        <v>6081.1272000000026</v>
      </c>
      <c r="E269" s="2">
        <v>73649.207200000004</v>
      </c>
      <c r="G269" s="2">
        <v>63644</v>
      </c>
      <c r="H269" s="2">
        <f t="shared" si="16"/>
        <v>279</v>
      </c>
      <c r="I269" s="2">
        <v>63923</v>
      </c>
      <c r="J269" s="13">
        <f t="shared" si="17"/>
        <v>0.1521550490433804</v>
      </c>
      <c r="K269" s="13">
        <f t="shared" si="18"/>
        <v>5.7022980773743438E-2</v>
      </c>
    </row>
    <row r="270" spans="1:11" x14ac:dyDescent="0.2">
      <c r="A270" s="1" t="s">
        <v>286</v>
      </c>
      <c r="B270" s="1">
        <v>12</v>
      </c>
      <c r="C270" s="2">
        <v>84933.210999999996</v>
      </c>
      <c r="D270" s="2">
        <f t="shared" si="15"/>
        <v>8493.321100000001</v>
      </c>
      <c r="E270" s="2">
        <v>93426.532099999997</v>
      </c>
      <c r="G270" s="2">
        <v>84034</v>
      </c>
      <c r="H270" s="2">
        <f t="shared" si="16"/>
        <v>1564</v>
      </c>
      <c r="I270" s="2">
        <v>85598</v>
      </c>
      <c r="J270" s="13">
        <f t="shared" si="17"/>
        <v>9.1456951096988204E-2</v>
      </c>
      <c r="K270" s="13">
        <f t="shared" si="18"/>
        <v>-7.7664080936470986E-3</v>
      </c>
    </row>
    <row r="271" spans="1:11" x14ac:dyDescent="0.2">
      <c r="A271" s="1" t="s">
        <v>287</v>
      </c>
      <c r="B271" s="1">
        <v>3</v>
      </c>
      <c r="C271" s="2">
        <v>104354.12333333334</v>
      </c>
      <c r="D271" s="2">
        <f t="shared" si="15"/>
        <v>10435.412333333326</v>
      </c>
      <c r="E271" s="2">
        <v>114789.53566666666</v>
      </c>
      <c r="G271" s="2">
        <v>100460</v>
      </c>
      <c r="H271" s="2">
        <f t="shared" si="16"/>
        <v>4766</v>
      </c>
      <c r="I271" s="2">
        <v>105226</v>
      </c>
      <c r="J271" s="13">
        <f t="shared" si="17"/>
        <v>9.0885671475364097E-2</v>
      </c>
      <c r="K271" s="13">
        <f t="shared" si="18"/>
        <v>-8.2857532042143901E-3</v>
      </c>
    </row>
    <row r="272" spans="1:11" x14ac:dyDescent="0.2">
      <c r="A272" s="1" t="s">
        <v>288</v>
      </c>
      <c r="B272" s="1">
        <v>22</v>
      </c>
      <c r="C272" s="2">
        <v>89959.884545454537</v>
      </c>
      <c r="D272" s="2">
        <f t="shared" si="15"/>
        <v>8995.9884545454552</v>
      </c>
      <c r="E272" s="2">
        <v>98955.872999999992</v>
      </c>
      <c r="G272" s="2">
        <v>95491</v>
      </c>
      <c r="H272" s="2">
        <f t="shared" si="16"/>
        <v>8849</v>
      </c>
      <c r="I272" s="2">
        <v>104340</v>
      </c>
      <c r="J272" s="13">
        <f t="shared" si="17"/>
        <v>-5.1601753881541187E-2</v>
      </c>
      <c r="K272" s="13">
        <f t="shared" si="18"/>
        <v>-0.13781977625594655</v>
      </c>
    </row>
    <row r="273" spans="1:11" x14ac:dyDescent="0.2">
      <c r="A273" s="1" t="s">
        <v>289</v>
      </c>
      <c r="B273" s="1">
        <v>8</v>
      </c>
      <c r="C273" s="2">
        <v>83378.9375</v>
      </c>
      <c r="D273" s="2">
        <f t="shared" si="15"/>
        <v>8337.8937500000029</v>
      </c>
      <c r="E273" s="2">
        <v>91716.831250000003</v>
      </c>
      <c r="G273" s="2">
        <v>96250</v>
      </c>
      <c r="H273" s="2">
        <f t="shared" si="16"/>
        <v>7408</v>
      </c>
      <c r="I273" s="2">
        <v>103658</v>
      </c>
      <c r="J273" s="13">
        <f t="shared" si="17"/>
        <v>-0.11519775367072485</v>
      </c>
      <c r="K273" s="13">
        <f t="shared" si="18"/>
        <v>-0.1956343215188408</v>
      </c>
    </row>
    <row r="274" spans="1:11" x14ac:dyDescent="0.2">
      <c r="A274" s="1" t="s">
        <v>290</v>
      </c>
      <c r="B274" s="1">
        <v>17</v>
      </c>
      <c r="C274" s="2">
        <v>70156.569882352953</v>
      </c>
      <c r="D274" s="2">
        <f t="shared" si="15"/>
        <v>6314.0912894117646</v>
      </c>
      <c r="E274" s="2">
        <v>76470.661171764717</v>
      </c>
      <c r="G274" s="2">
        <v>80156</v>
      </c>
      <c r="H274" s="2">
        <f t="shared" si="16"/>
        <v>1879</v>
      </c>
      <c r="I274" s="2">
        <v>82035</v>
      </c>
      <c r="J274" s="13">
        <f t="shared" si="17"/>
        <v>-6.7828839254407053E-2</v>
      </c>
      <c r="K274" s="13">
        <f t="shared" si="18"/>
        <v>-0.14479710023340095</v>
      </c>
    </row>
    <row r="275" spans="1:11" x14ac:dyDescent="0.2">
      <c r="A275" s="1" t="s">
        <v>291</v>
      </c>
      <c r="B275" s="1">
        <v>13</v>
      </c>
      <c r="C275" s="2">
        <v>111622.86384615385</v>
      </c>
      <c r="D275" s="2">
        <f t="shared" si="15"/>
        <v>16743.429576923081</v>
      </c>
      <c r="E275" s="2">
        <v>128366.29342307693</v>
      </c>
      <c r="G275" s="2">
        <v>125355</v>
      </c>
      <c r="H275" s="2">
        <f t="shared" si="16"/>
        <v>14830</v>
      </c>
      <c r="I275" s="2">
        <v>140185</v>
      </c>
      <c r="J275" s="13">
        <f t="shared" si="17"/>
        <v>-8.4307925790370358E-2</v>
      </c>
      <c r="K275" s="13">
        <f t="shared" si="18"/>
        <v>-0.20374602242640902</v>
      </c>
    </row>
    <row r="276" spans="1:11" x14ac:dyDescent="0.2">
      <c r="A276" s="1" t="s">
        <v>292</v>
      </c>
      <c r="B276" s="1">
        <v>34</v>
      </c>
      <c r="C276" s="2">
        <v>98231.246470588216</v>
      </c>
      <c r="D276" s="2">
        <f t="shared" si="15"/>
        <v>9823.124647058823</v>
      </c>
      <c r="E276" s="2">
        <v>108054.37111764704</v>
      </c>
      <c r="G276" s="2">
        <v>110546</v>
      </c>
      <c r="H276" s="2">
        <f t="shared" si="16"/>
        <v>9213</v>
      </c>
      <c r="I276" s="2">
        <v>119759</v>
      </c>
      <c r="J276" s="13">
        <f t="shared" si="17"/>
        <v>-9.773485819314591E-2</v>
      </c>
      <c r="K276" s="13">
        <f t="shared" si="18"/>
        <v>-0.17975896199376903</v>
      </c>
    </row>
    <row r="277" spans="1:11" x14ac:dyDescent="0.2">
      <c r="A277" s="1" t="s">
        <v>293</v>
      </c>
      <c r="B277" s="1">
        <v>4</v>
      </c>
      <c r="C277" s="2">
        <v>168347.5625</v>
      </c>
      <c r="D277" s="2">
        <f t="shared" si="15"/>
        <v>42086.890625</v>
      </c>
      <c r="E277" s="2">
        <v>210434.453125</v>
      </c>
      <c r="G277" s="2">
        <v>168360</v>
      </c>
      <c r="H277" s="2">
        <f t="shared" si="16"/>
        <v>39148</v>
      </c>
      <c r="I277" s="2">
        <v>207508</v>
      </c>
      <c r="J277" s="13">
        <f t="shared" si="17"/>
        <v>1.4102844830078841E-2</v>
      </c>
      <c r="K277" s="13">
        <f t="shared" si="18"/>
        <v>-0.18871772413593693</v>
      </c>
    </row>
    <row r="278" spans="1:11" x14ac:dyDescent="0.2">
      <c r="A278" s="1" t="s">
        <v>294</v>
      </c>
      <c r="B278" s="1">
        <v>7</v>
      </c>
      <c r="C278" s="2">
        <v>136623.46428571429</v>
      </c>
      <c r="D278" s="2">
        <f t="shared" si="15"/>
        <v>27324.692857142858</v>
      </c>
      <c r="E278" s="2">
        <v>163948.15714285715</v>
      </c>
      <c r="G278" s="2">
        <v>141007</v>
      </c>
      <c r="H278" s="2">
        <f t="shared" si="16"/>
        <v>25241</v>
      </c>
      <c r="I278" s="2">
        <v>166248</v>
      </c>
      <c r="J278" s="13">
        <f t="shared" si="17"/>
        <v>-1.3833807667718422E-2</v>
      </c>
      <c r="K278" s="13">
        <f t="shared" si="18"/>
        <v>-0.17819483972309869</v>
      </c>
    </row>
    <row r="279" spans="1:11" x14ac:dyDescent="0.2">
      <c r="A279" s="1" t="s">
        <v>295</v>
      </c>
      <c r="B279" s="1">
        <v>3</v>
      </c>
      <c r="C279" s="2">
        <v>72090.666666666672</v>
      </c>
      <c r="D279" s="2">
        <f t="shared" si="15"/>
        <v>6488.1600000000035</v>
      </c>
      <c r="E279" s="2">
        <v>78578.826666666675</v>
      </c>
      <c r="G279" s="2">
        <v>76099</v>
      </c>
      <c r="H279" s="2">
        <f t="shared" si="16"/>
        <v>2537</v>
      </c>
      <c r="I279" s="2">
        <v>78636</v>
      </c>
      <c r="J279" s="13">
        <f t="shared" si="17"/>
        <v>-7.2706309239184332E-4</v>
      </c>
      <c r="K279" s="13">
        <f t="shared" si="18"/>
        <v>-8.3235837699442095E-2</v>
      </c>
    </row>
    <row r="280" spans="1:11" x14ac:dyDescent="0.2">
      <c r="A280" s="1" t="s">
        <v>296</v>
      </c>
      <c r="B280" s="1">
        <v>21</v>
      </c>
      <c r="C280" s="2">
        <v>90215.364285714284</v>
      </c>
      <c r="D280" s="2">
        <f t="shared" si="15"/>
        <v>9021.5364285714313</v>
      </c>
      <c r="E280" s="2">
        <v>99236.900714285715</v>
      </c>
      <c r="G280" s="2">
        <v>95491</v>
      </c>
      <c r="H280" s="2">
        <f t="shared" si="16"/>
        <v>8849</v>
      </c>
      <c r="I280" s="2">
        <v>104340</v>
      </c>
      <c r="J280" s="13">
        <f t="shared" si="17"/>
        <v>-4.8908369615816412E-2</v>
      </c>
      <c r="K280" s="13">
        <f t="shared" si="18"/>
        <v>-0.13537124510528767</v>
      </c>
    </row>
    <row r="281" spans="1:11" x14ac:dyDescent="0.2">
      <c r="A281" s="1" t="s">
        <v>297</v>
      </c>
      <c r="B281" s="1">
        <v>8</v>
      </c>
      <c r="C281" s="2">
        <v>102593.71875</v>
      </c>
      <c r="D281" s="2">
        <f t="shared" si="15"/>
        <v>10259.371874999997</v>
      </c>
      <c r="E281" s="2">
        <v>112853.090625</v>
      </c>
      <c r="G281" s="2">
        <v>110061</v>
      </c>
      <c r="H281" s="2">
        <f t="shared" si="16"/>
        <v>10264</v>
      </c>
      <c r="I281" s="2">
        <v>120325</v>
      </c>
      <c r="J281" s="13">
        <f t="shared" si="17"/>
        <v>-6.2097730105963041E-2</v>
      </c>
      <c r="K281" s="13">
        <f t="shared" si="18"/>
        <v>-0.14736157282360274</v>
      </c>
    </row>
    <row r="282" spans="1:11" x14ac:dyDescent="0.2">
      <c r="A282" s="1" t="s">
        <v>298</v>
      </c>
      <c r="B282" s="1">
        <v>5</v>
      </c>
      <c r="C282" s="2">
        <v>146510.50599999999</v>
      </c>
      <c r="D282" s="2">
        <f t="shared" si="15"/>
        <v>29302.101200000005</v>
      </c>
      <c r="E282" s="2">
        <v>175812.6072</v>
      </c>
      <c r="G282" s="2">
        <v>132712</v>
      </c>
      <c r="H282" s="2">
        <f t="shared" si="16"/>
        <v>2312</v>
      </c>
      <c r="I282" s="2">
        <v>135024</v>
      </c>
      <c r="J282" s="13">
        <f t="shared" si="17"/>
        <v>0.30208412726626377</v>
      </c>
      <c r="K282" s="13">
        <f t="shared" si="18"/>
        <v>8.5070106055219766E-2</v>
      </c>
    </row>
    <row r="283" spans="1:11" x14ac:dyDescent="0.2">
      <c r="A283" s="1" t="s">
        <v>299</v>
      </c>
      <c r="B283" s="1">
        <v>7</v>
      </c>
      <c r="C283" s="2">
        <v>139040.48428571428</v>
      </c>
      <c r="D283" s="2">
        <f t="shared" si="15"/>
        <v>27808.096857142868</v>
      </c>
      <c r="E283" s="2">
        <v>166848.58114285715</v>
      </c>
      <c r="G283" s="2">
        <v>157779</v>
      </c>
      <c r="H283" s="2">
        <f t="shared" si="16"/>
        <v>23472</v>
      </c>
      <c r="I283" s="2">
        <v>181251</v>
      </c>
      <c r="J283" s="13">
        <f t="shared" si="17"/>
        <v>-7.9461182874261946E-2</v>
      </c>
      <c r="K283" s="13">
        <f t="shared" si="18"/>
        <v>-0.232884319061885</v>
      </c>
    </row>
    <row r="284" spans="1:11" x14ac:dyDescent="0.2">
      <c r="A284" s="1" t="s">
        <v>300</v>
      </c>
      <c r="B284" s="1">
        <v>4</v>
      </c>
      <c r="C284" s="2">
        <v>138539.745</v>
      </c>
      <c r="D284" s="2">
        <f t="shared" si="15"/>
        <v>27707.948999999993</v>
      </c>
      <c r="E284" s="2">
        <v>166247.69399999999</v>
      </c>
      <c r="G284" s="2">
        <v>138658</v>
      </c>
      <c r="H284" s="2">
        <f t="shared" si="16"/>
        <v>20606</v>
      </c>
      <c r="I284" s="2">
        <v>159264</v>
      </c>
      <c r="J284" s="13">
        <f t="shared" si="17"/>
        <v>4.3849796564195229E-2</v>
      </c>
      <c r="K284" s="13">
        <f t="shared" si="18"/>
        <v>-0.13012516952983727</v>
      </c>
    </row>
    <row r="285" spans="1:11" x14ac:dyDescent="0.2">
      <c r="A285" s="1" t="s">
        <v>301</v>
      </c>
      <c r="B285" s="1">
        <v>7</v>
      </c>
      <c r="C285" s="2">
        <v>142721.04571428572</v>
      </c>
      <c r="D285" s="2">
        <f t="shared" si="15"/>
        <v>28544.209142857144</v>
      </c>
      <c r="E285" s="2">
        <v>171265.25485714286</v>
      </c>
      <c r="G285" s="2">
        <v>162345</v>
      </c>
      <c r="H285" s="2">
        <f t="shared" si="16"/>
        <v>29598</v>
      </c>
      <c r="I285" s="2">
        <v>191943</v>
      </c>
      <c r="J285" s="13">
        <f t="shared" si="17"/>
        <v>-0.10772857120529082</v>
      </c>
      <c r="K285" s="13">
        <f t="shared" si="18"/>
        <v>-0.256440476004409</v>
      </c>
    </row>
    <row r="286" spans="1:11" x14ac:dyDescent="0.2">
      <c r="A286" s="1" t="s">
        <v>302</v>
      </c>
      <c r="B286" s="1">
        <v>11</v>
      </c>
      <c r="C286" s="2">
        <v>81630.900909090909</v>
      </c>
      <c r="D286" s="2">
        <f t="shared" si="15"/>
        <v>8163.0900909090851</v>
      </c>
      <c r="E286" s="2">
        <v>89793.990999999995</v>
      </c>
      <c r="G286" s="2">
        <v>86560</v>
      </c>
      <c r="H286" s="2">
        <f t="shared" si="16"/>
        <v>8260</v>
      </c>
      <c r="I286" s="2">
        <v>94820</v>
      </c>
      <c r="J286" s="13">
        <f t="shared" si="17"/>
        <v>-5.3005789917738931E-2</v>
      </c>
      <c r="K286" s="13">
        <f t="shared" si="18"/>
        <v>-0.13909617265248989</v>
      </c>
    </row>
    <row r="287" spans="1:11" x14ac:dyDescent="0.2">
      <c r="A287" s="1" t="s">
        <v>303</v>
      </c>
      <c r="B287" s="1">
        <v>30</v>
      </c>
      <c r="C287" s="2">
        <v>121571.14133333335</v>
      </c>
      <c r="D287" s="2">
        <f t="shared" si="15"/>
        <v>18235.671199999997</v>
      </c>
      <c r="E287" s="2">
        <v>139806.81253333334</v>
      </c>
      <c r="G287" s="2">
        <v>119527</v>
      </c>
      <c r="H287" s="2">
        <f t="shared" si="16"/>
        <v>16653</v>
      </c>
      <c r="I287" s="2">
        <v>136180</v>
      </c>
      <c r="J287" s="13">
        <f t="shared" si="17"/>
        <v>2.6632490331424178E-2</v>
      </c>
      <c r="K287" s="13">
        <f t="shared" si="18"/>
        <v>-0.10727609536397895</v>
      </c>
    </row>
    <row r="288" spans="1:11" x14ac:dyDescent="0.2">
      <c r="A288" s="1" t="s">
        <v>304</v>
      </c>
      <c r="B288" s="1">
        <v>28</v>
      </c>
      <c r="C288" s="2">
        <v>100045.45571428571</v>
      </c>
      <c r="D288" s="2">
        <f t="shared" si="15"/>
        <v>10004.545571428564</v>
      </c>
      <c r="E288" s="2">
        <v>110050.00128571427</v>
      </c>
      <c r="G288" s="2">
        <v>106162</v>
      </c>
      <c r="H288" s="2">
        <f t="shared" si="16"/>
        <v>12368</v>
      </c>
      <c r="I288" s="2">
        <v>118530</v>
      </c>
      <c r="J288" s="13">
        <f t="shared" si="17"/>
        <v>-7.1543058418001584E-2</v>
      </c>
      <c r="K288" s="13">
        <f t="shared" si="18"/>
        <v>-0.15594823492545593</v>
      </c>
    </row>
    <row r="289" spans="1:11" x14ac:dyDescent="0.2">
      <c r="A289" s="1" t="s">
        <v>305</v>
      </c>
      <c r="B289" s="1">
        <v>4</v>
      </c>
      <c r="C289" s="2">
        <v>137177.51999999999</v>
      </c>
      <c r="D289" s="2">
        <f t="shared" si="15"/>
        <v>27435.503999999986</v>
      </c>
      <c r="E289" s="2">
        <v>164613.02399999998</v>
      </c>
      <c r="G289" s="2">
        <v>136613</v>
      </c>
      <c r="H289" s="2">
        <f t="shared" si="16"/>
        <v>25454</v>
      </c>
      <c r="I289" s="2">
        <v>162067</v>
      </c>
      <c r="J289" s="13">
        <f t="shared" si="17"/>
        <v>1.5709700309131259E-2</v>
      </c>
      <c r="K289" s="13">
        <f t="shared" si="18"/>
        <v>-0.15357524974239056</v>
      </c>
    </row>
    <row r="290" spans="1:11" x14ac:dyDescent="0.2">
      <c r="A290" s="1" t="s">
        <v>306</v>
      </c>
      <c r="B290" s="1">
        <v>4</v>
      </c>
      <c r="C290" s="2">
        <v>121559.0025</v>
      </c>
      <c r="D290" s="2">
        <f t="shared" si="15"/>
        <v>18233.850375000009</v>
      </c>
      <c r="E290" s="2">
        <v>139792.85287500001</v>
      </c>
      <c r="G290" s="2">
        <v>130685</v>
      </c>
      <c r="H290" s="2">
        <f t="shared" si="16"/>
        <v>19602</v>
      </c>
      <c r="I290" s="2">
        <v>150287</v>
      </c>
      <c r="J290" s="13">
        <f t="shared" si="17"/>
        <v>-6.9827377783840183E-2</v>
      </c>
      <c r="K290" s="13">
        <f t="shared" si="18"/>
        <v>-0.19115424155116542</v>
      </c>
    </row>
    <row r="291" spans="1:11" x14ac:dyDescent="0.2">
      <c r="A291" s="1" t="s">
        <v>307</v>
      </c>
      <c r="B291" s="1">
        <v>14</v>
      </c>
      <c r="C291" s="2">
        <v>69611.091428571424</v>
      </c>
      <c r="D291" s="2">
        <f t="shared" si="15"/>
        <v>6264.9982285714214</v>
      </c>
      <c r="E291" s="2">
        <v>75876.089657142846</v>
      </c>
      <c r="G291" s="2">
        <v>75357</v>
      </c>
      <c r="H291" s="2">
        <f t="shared" si="16"/>
        <v>5980</v>
      </c>
      <c r="I291" s="2">
        <v>81337</v>
      </c>
      <c r="J291" s="13">
        <f t="shared" si="17"/>
        <v>-6.7139313508700282E-2</v>
      </c>
      <c r="K291" s="13">
        <f t="shared" si="18"/>
        <v>-0.14416450780614695</v>
      </c>
    </row>
    <row r="292" spans="1:11" x14ac:dyDescent="0.2">
      <c r="A292" s="1" t="s">
        <v>308</v>
      </c>
      <c r="B292" s="1">
        <v>4</v>
      </c>
      <c r="C292" s="2">
        <v>104662.965</v>
      </c>
      <c r="D292" s="2">
        <f t="shared" si="15"/>
        <v>10466.296499999997</v>
      </c>
      <c r="E292" s="2">
        <v>115129.26149999999</v>
      </c>
      <c r="G292" s="2">
        <v>112594</v>
      </c>
      <c r="H292" s="2">
        <f t="shared" si="16"/>
        <v>15266</v>
      </c>
      <c r="I292" s="2">
        <v>127860</v>
      </c>
      <c r="J292" s="13">
        <f t="shared" si="17"/>
        <v>-9.9567796809009901E-2</v>
      </c>
      <c r="K292" s="13">
        <f t="shared" si="18"/>
        <v>-0.18142526982637261</v>
      </c>
    </row>
    <row r="293" spans="1:11" x14ac:dyDescent="0.2">
      <c r="A293" s="1" t="s">
        <v>309</v>
      </c>
      <c r="B293" s="1">
        <v>3</v>
      </c>
      <c r="C293" s="2">
        <v>109304.58</v>
      </c>
      <c r="D293" s="2">
        <f t="shared" si="15"/>
        <v>16395.686999999991</v>
      </c>
      <c r="E293" s="2">
        <v>125700.26699999999</v>
      </c>
      <c r="G293" s="2">
        <v>127731</v>
      </c>
      <c r="H293" s="2">
        <f t="shared" si="16"/>
        <v>17862</v>
      </c>
      <c r="I293" s="2">
        <v>145593</v>
      </c>
      <c r="J293" s="13">
        <f t="shared" si="17"/>
        <v>-0.13663248233088135</v>
      </c>
      <c r="K293" s="13">
        <f t="shared" si="18"/>
        <v>-0.24924563680946199</v>
      </c>
    </row>
    <row r="294" spans="1:11" x14ac:dyDescent="0.2">
      <c r="A294" s="1" t="s">
        <v>310</v>
      </c>
      <c r="B294" s="1">
        <v>3</v>
      </c>
      <c r="C294" s="2">
        <v>85594.41</v>
      </c>
      <c r="D294" s="2">
        <f t="shared" si="15"/>
        <v>8559.4410000000062</v>
      </c>
      <c r="E294" s="2">
        <v>94153.85100000001</v>
      </c>
      <c r="G294" s="2">
        <v>83598</v>
      </c>
      <c r="H294" s="2">
        <f t="shared" si="16"/>
        <v>4215</v>
      </c>
      <c r="I294" s="2">
        <v>87813</v>
      </c>
      <c r="J294" s="13">
        <f t="shared" si="17"/>
        <v>7.2208568207440926E-2</v>
      </c>
      <c r="K294" s="13">
        <f t="shared" si="18"/>
        <v>-2.5264937993235585E-2</v>
      </c>
    </row>
    <row r="296" spans="1:11" x14ac:dyDescent="0.2">
      <c r="A296" s="1" t="s">
        <v>23</v>
      </c>
      <c r="B296" s="20">
        <f>COUNT(B51:B294)</f>
        <v>244</v>
      </c>
      <c r="F296" s="15"/>
      <c r="G296" s="14"/>
      <c r="H296" s="14"/>
      <c r="I296" s="14" t="s">
        <v>20</v>
      </c>
      <c r="J296" s="19">
        <f>AVERAGE(J6:J294)</f>
        <v>1.3976591189014551E-2</v>
      </c>
      <c r="K296" s="19">
        <f>AVERAGE(K6:K294)</f>
        <v>-9.2722447436938041E-2</v>
      </c>
    </row>
    <row r="297" spans="1:11" x14ac:dyDescent="0.2">
      <c r="A297" s="1" t="s">
        <v>24</v>
      </c>
      <c r="B297" s="20">
        <f>SUM(B51:B295)</f>
        <v>2640</v>
      </c>
    </row>
    <row r="298" spans="1:11" x14ac:dyDescent="0.2">
      <c r="B298" s="20"/>
    </row>
    <row r="299" spans="1:11" s="15" customFormat="1" ht="14.25" x14ac:dyDescent="0.2">
      <c r="A299" s="15" t="s">
        <v>25</v>
      </c>
      <c r="B299" s="21">
        <f>B296+B47</f>
        <v>284</v>
      </c>
      <c r="C299" s="14"/>
      <c r="D299" s="14"/>
      <c r="E299" s="14"/>
      <c r="F299" s="2" t="s">
        <v>14</v>
      </c>
      <c r="G299" s="2"/>
      <c r="H299" s="2"/>
      <c r="I299" s="2"/>
      <c r="J299" s="17">
        <f>COUNTIF(J6:J294,"&gt;.15")/$B$299</f>
        <v>8.8028169014084501E-2</v>
      </c>
      <c r="K299" s="17">
        <f>COUNTIF(K6:K294,"&gt;.15")/$B$299</f>
        <v>1.7605633802816902E-2</v>
      </c>
    </row>
    <row r="300" spans="1:11" ht="14.25" x14ac:dyDescent="0.2">
      <c r="A300" s="15" t="s">
        <v>26</v>
      </c>
      <c r="B300" s="21">
        <f>B297+B48</f>
        <v>2947</v>
      </c>
      <c r="F300" s="2" t="s">
        <v>15</v>
      </c>
      <c r="J300" s="18">
        <f>COUNTIF(J6:J294,"&lt;-.15")/$B$299</f>
        <v>3.5211267605633804E-2</v>
      </c>
      <c r="K300" s="18">
        <f>COUNTIF(K6:K294,"&lt;-.15")/$B$299</f>
        <v>0.28873239436619719</v>
      </c>
    </row>
    <row r="302" spans="1:11" x14ac:dyDescent="0.2">
      <c r="A302" s="16" t="s">
        <v>2</v>
      </c>
    </row>
    <row r="303" spans="1:11" x14ac:dyDescent="0.2">
      <c r="A303" s="3" t="s">
        <v>17</v>
      </c>
    </row>
    <row r="304" spans="1:11" x14ac:dyDescent="0.2">
      <c r="A304" s="1" t="s">
        <v>16</v>
      </c>
    </row>
    <row r="305" spans="1:11" s="3" customFormat="1" ht="27" customHeight="1" x14ac:dyDescent="0.2">
      <c r="A305" s="31" t="s">
        <v>21</v>
      </c>
      <c r="B305" s="31"/>
      <c r="C305" s="31"/>
      <c r="D305" s="31"/>
      <c r="E305" s="31"/>
      <c r="F305" s="31"/>
      <c r="G305" s="31"/>
      <c r="H305" s="31"/>
      <c r="I305" s="31"/>
      <c r="J305" s="31"/>
      <c r="K305" s="31"/>
    </row>
    <row r="306" spans="1:11" x14ac:dyDescent="0.2">
      <c r="A306" s="1" t="s">
        <v>22</v>
      </c>
    </row>
  </sheetData>
  <mergeCells count="4">
    <mergeCell ref="C3:E3"/>
    <mergeCell ref="G3:I3"/>
    <mergeCell ref="J3:K3"/>
    <mergeCell ref="A305:K305"/>
  </mergeCells>
  <conditionalFormatting sqref="J5:K295">
    <cfRule type="cellIs" dxfId="1" priority="1" operator="greaterThan">
      <formula>0.15</formula>
    </cfRule>
    <cfRule type="cellIs" dxfId="0" priority="2" operator="lessThan">
      <formula>-0.15</formula>
    </cfRule>
  </conditionalFormatting>
  <pageMargins left="0.72" right="0.49" top="0.75" bottom="0.75" header="0.3" footer="0.3"/>
  <pageSetup scale="72" fitToHeight="0" orientation="portrait" r:id="rId1"/>
  <headerFooter>
    <oddHeader>&amp;R&amp;"Times New Roman,Regular"&amp;12EXHIBIT ARC-5
Page &amp;P of &amp;N</oddHeader>
  </headerFooter>
  <rowBreaks count="4" manualBreakCount="4">
    <brk id="67" max="10" man="1"/>
    <brk id="132" max="10" man="1"/>
    <brk id="197" max="10" man="1"/>
    <brk id="262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>
        <f>'Exempt Non-managerial'!B299+26+'[1]non exempt'!$G$55+'[2]Phy &amp; craft'!$E$18</f>
        <v>310</v>
      </c>
    </row>
    <row r="2" spans="1:1" x14ac:dyDescent="0.25">
      <c r="A2">
        <f>'Exempt Non-managerial'!B300+26+'[1]non exempt'!$G$56+'[2]Phy &amp; craft'!$E$19</f>
        <v>2973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c5f8eb12-5b27-439d-aaa6-3402af626fa3" value=""/>
  <element uid="c64218ab-b8d1-40b6-a478-cb8be1e10ecc" value=""/>
</sisl>
</file>

<file path=customXml/itemProps1.xml><?xml version="1.0" encoding="utf-8"?>
<ds:datastoreItem xmlns:ds="http://schemas.openxmlformats.org/officeDocument/2006/customXml" ds:itemID="{0CA93B0C-CAEC-412E-9BC0-FA261A75E7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0BE9BB-0DD5-4DF2-AA2F-D0DBF480689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D3B14D4-2141-42F4-ABDF-2D57523D5C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648E0052-8D79-4F01-88FD-5C2A8D2B3CE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Exempt Non-managerial</vt:lpstr>
      <vt:lpstr>Sheet1</vt:lpstr>
      <vt:lpstr>'Exempt Non-managerial'!Print_Area</vt:lpstr>
      <vt:lpstr>'Exempt Non-managerial'!Print_Titles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s291679</dc:creator>
  <cp:keywords>AEP Public</cp:keywords>
  <cp:lastModifiedBy>d000298</cp:lastModifiedBy>
  <cp:lastPrinted>2019-04-18T13:01:17Z</cp:lastPrinted>
  <dcterms:created xsi:type="dcterms:W3CDTF">2018-12-19T20:55:02Z</dcterms:created>
  <dcterms:modified xsi:type="dcterms:W3CDTF">2019-04-18T13:01:46Z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1fcc4417-72e5-4577-8801-5069adb54b05</vt:lpwstr>
  </property>
  <property fmtid="{D5CDD505-2E9C-101B-9397-08002B2CF9AE}" pid="3" name="bjSaver">
    <vt:lpwstr>ymOzOy9TozdO3fPkFt/NYaxMcqEF9d4G</vt:lpwstr>
  </property>
  <property fmtid="{D5CDD505-2E9C-101B-9397-08002B2CF9AE}" pid="4" name="bjDocumentSecurityLabel">
    <vt:lpwstr>AEP Public</vt:lpwstr>
  </property>
  <property fmtid="{D5CDD505-2E9C-101B-9397-08002B2CF9AE}" pid="5" name="ContentTypeId">
    <vt:lpwstr>0x01010068D7645638A6BA4A903C04B5C9F7EDEE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7" name="bjDocumentLabelXML-0">
    <vt:lpwstr>ww.boldonjames.com/2008/01/sie/internal/label"&gt;&lt;element uid="c5f8eb12-5b27-439d-aaa6-3402af626fa3" value="" /&gt;&lt;element uid="c64218ab-b8d1-40b6-a478-cb8be1e10ecc" value="" /&gt;&lt;/sisl&gt;</vt:lpwstr>
  </property>
  <property fmtid="{D5CDD505-2E9C-101B-9397-08002B2CF9AE}" pid="8" name="Visual Markings Removed">
    <vt:lpwstr>No</vt:lpwstr>
  </property>
</Properties>
</file>