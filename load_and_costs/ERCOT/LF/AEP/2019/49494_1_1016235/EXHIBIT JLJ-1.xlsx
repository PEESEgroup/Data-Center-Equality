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EP Texas\Rate Cases\AEP Texas 2019\Testimony\2019 Case\"/>
    </mc:Choice>
  </mc:AlternateContent>
  <bookViews>
    <workbookView xWindow="0" yWindow="0" windowWidth="28800" windowHeight="12000"/>
  </bookViews>
  <sheets>
    <sheet name="EXHIBIT JLJ-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P42" i="1" s="1"/>
  <c r="F42" i="1"/>
  <c r="J42" i="1" s="1"/>
  <c r="E42" i="1"/>
  <c r="I42" i="1" s="1"/>
  <c r="D42" i="1"/>
  <c r="C42" i="1"/>
  <c r="L41" i="1"/>
  <c r="G41" i="1"/>
  <c r="O41" i="1" s="1"/>
  <c r="F41" i="1"/>
  <c r="P41" i="1" s="1"/>
  <c r="E41" i="1"/>
  <c r="I41" i="1" s="1"/>
  <c r="D41" i="1"/>
  <c r="C41" i="1"/>
  <c r="P40" i="1"/>
  <c r="J40" i="1"/>
  <c r="G40" i="1"/>
  <c r="M40" i="1" s="1"/>
  <c r="F40" i="1"/>
  <c r="E40" i="1"/>
  <c r="O40" i="1" s="1"/>
  <c r="D40" i="1"/>
  <c r="C40" i="1"/>
  <c r="L40" i="1" s="1"/>
  <c r="O39" i="1"/>
  <c r="I39" i="1"/>
  <c r="G39" i="1"/>
  <c r="L39" i="1" s="1"/>
  <c r="F39" i="1"/>
  <c r="E39" i="1"/>
  <c r="D39" i="1"/>
  <c r="J39" i="1" s="1"/>
  <c r="C39" i="1"/>
  <c r="G36" i="1"/>
  <c r="P36" i="1" s="1"/>
  <c r="F36" i="1"/>
  <c r="J36" i="1" s="1"/>
  <c r="E36" i="1"/>
  <c r="I36" i="1" s="1"/>
  <c r="D36" i="1"/>
  <c r="C36" i="1"/>
  <c r="L35" i="1"/>
  <c r="G35" i="1"/>
  <c r="O35" i="1" s="1"/>
  <c r="F35" i="1"/>
  <c r="J35" i="1" s="1"/>
  <c r="E35" i="1"/>
  <c r="I35" i="1" s="1"/>
  <c r="D35" i="1"/>
  <c r="C35" i="1"/>
  <c r="P34" i="1"/>
  <c r="J34" i="1"/>
  <c r="G34" i="1"/>
  <c r="M34" i="1" s="1"/>
  <c r="F34" i="1"/>
  <c r="E34" i="1"/>
  <c r="I34" i="1" s="1"/>
  <c r="D34" i="1"/>
  <c r="C34" i="1"/>
  <c r="O33" i="1"/>
  <c r="I33" i="1"/>
  <c r="G33" i="1"/>
  <c r="L33" i="1" s="1"/>
  <c r="F33" i="1"/>
  <c r="J33" i="1" s="1"/>
  <c r="E33" i="1"/>
  <c r="D33" i="1"/>
  <c r="C33" i="1"/>
  <c r="G30" i="1"/>
  <c r="P30" i="1" s="1"/>
  <c r="F30" i="1"/>
  <c r="J30" i="1" s="1"/>
  <c r="E30" i="1"/>
  <c r="I30" i="1" s="1"/>
  <c r="D30" i="1"/>
  <c r="C30" i="1"/>
  <c r="L29" i="1"/>
  <c r="I29" i="1"/>
  <c r="G29" i="1"/>
  <c r="M29" i="1" s="1"/>
  <c r="F29" i="1"/>
  <c r="J29" i="1" s="1"/>
  <c r="E29" i="1"/>
  <c r="O29" i="1" s="1"/>
  <c r="D29" i="1"/>
  <c r="C29" i="1"/>
  <c r="P28" i="1"/>
  <c r="J28" i="1"/>
  <c r="G28" i="1"/>
  <c r="M28" i="1" s="1"/>
  <c r="F28" i="1"/>
  <c r="E28" i="1"/>
  <c r="I28" i="1" s="1"/>
  <c r="D28" i="1"/>
  <c r="C28" i="1"/>
  <c r="O27" i="1"/>
  <c r="L27" i="1"/>
  <c r="I27" i="1"/>
  <c r="G27" i="1"/>
  <c r="P27" i="1" s="1"/>
  <c r="F27" i="1"/>
  <c r="J27" i="1" s="1"/>
  <c r="E27" i="1"/>
  <c r="D27" i="1"/>
  <c r="C27" i="1"/>
  <c r="J24" i="1"/>
  <c r="G24" i="1"/>
  <c r="P24" i="1" s="1"/>
  <c r="F24" i="1"/>
  <c r="E24" i="1"/>
  <c r="I24" i="1" s="1"/>
  <c r="D24" i="1"/>
  <c r="C24" i="1"/>
  <c r="O23" i="1"/>
  <c r="L23" i="1"/>
  <c r="I23" i="1"/>
  <c r="G23" i="1"/>
  <c r="M23" i="1" s="1"/>
  <c r="F23" i="1"/>
  <c r="J23" i="1" s="1"/>
  <c r="E23" i="1"/>
  <c r="D23" i="1"/>
  <c r="C23" i="1"/>
  <c r="P22" i="1"/>
  <c r="J22" i="1"/>
  <c r="G22" i="1"/>
  <c r="M22" i="1" s="1"/>
  <c r="F22" i="1"/>
  <c r="E22" i="1"/>
  <c r="I22" i="1" s="1"/>
  <c r="D22" i="1"/>
  <c r="C22" i="1"/>
  <c r="O21" i="1"/>
  <c r="L21" i="1"/>
  <c r="I21" i="1"/>
  <c r="G21" i="1"/>
  <c r="P21" i="1" s="1"/>
  <c r="F21" i="1"/>
  <c r="J21" i="1" s="1"/>
  <c r="E21" i="1"/>
  <c r="D21" i="1"/>
  <c r="C21" i="1"/>
  <c r="J18" i="1"/>
  <c r="G18" i="1"/>
  <c r="P18" i="1" s="1"/>
  <c r="F18" i="1"/>
  <c r="E18" i="1"/>
  <c r="I18" i="1" s="1"/>
  <c r="D18" i="1"/>
  <c r="C18" i="1"/>
  <c r="O17" i="1"/>
  <c r="L17" i="1"/>
  <c r="I17" i="1"/>
  <c r="G17" i="1"/>
  <c r="M17" i="1" s="1"/>
  <c r="F17" i="1"/>
  <c r="J17" i="1" s="1"/>
  <c r="E17" i="1"/>
  <c r="D17" i="1"/>
  <c r="C17" i="1"/>
  <c r="P16" i="1"/>
  <c r="J16" i="1"/>
  <c r="G16" i="1"/>
  <c r="M16" i="1" s="1"/>
  <c r="F16" i="1"/>
  <c r="E16" i="1"/>
  <c r="I16" i="1" s="1"/>
  <c r="D16" i="1"/>
  <c r="C16" i="1"/>
  <c r="O15" i="1"/>
  <c r="L15" i="1"/>
  <c r="I15" i="1"/>
  <c r="G15" i="1"/>
  <c r="P15" i="1" s="1"/>
  <c r="F15" i="1"/>
  <c r="J15" i="1" s="1"/>
  <c r="E15" i="1"/>
  <c r="D15" i="1"/>
  <c r="C15" i="1"/>
  <c r="J12" i="1"/>
  <c r="G12" i="1"/>
  <c r="P12" i="1" s="1"/>
  <c r="F12" i="1"/>
  <c r="E12" i="1"/>
  <c r="I12" i="1" s="1"/>
  <c r="D12" i="1"/>
  <c r="C12" i="1"/>
  <c r="O11" i="1"/>
  <c r="L11" i="1"/>
  <c r="I11" i="1"/>
  <c r="G11" i="1"/>
  <c r="M11" i="1" s="1"/>
  <c r="F11" i="1"/>
  <c r="J11" i="1" s="1"/>
  <c r="E11" i="1"/>
  <c r="D11" i="1"/>
  <c r="C11" i="1"/>
  <c r="P10" i="1"/>
  <c r="J10" i="1"/>
  <c r="G10" i="1"/>
  <c r="M10" i="1" s="1"/>
  <c r="F10" i="1"/>
  <c r="E10" i="1"/>
  <c r="I10" i="1" s="1"/>
  <c r="D10" i="1"/>
  <c r="C10" i="1"/>
  <c r="O9" i="1"/>
  <c r="L9" i="1"/>
  <c r="I9" i="1"/>
  <c r="G9" i="1"/>
  <c r="P9" i="1" s="1"/>
  <c r="F9" i="1"/>
  <c r="J9" i="1" s="1"/>
  <c r="E9" i="1"/>
  <c r="D9" i="1"/>
  <c r="C9" i="1"/>
  <c r="J6" i="1"/>
  <c r="G6" i="1"/>
  <c r="P6" i="1" s="1"/>
  <c r="F6" i="1"/>
  <c r="E6" i="1"/>
  <c r="I6" i="1" s="1"/>
  <c r="D6" i="1"/>
  <c r="C6" i="1"/>
  <c r="O5" i="1"/>
  <c r="L5" i="1"/>
  <c r="I5" i="1"/>
  <c r="G5" i="1"/>
  <c r="M5" i="1" s="1"/>
  <c r="F5" i="1"/>
  <c r="J5" i="1" s="1"/>
  <c r="E5" i="1"/>
  <c r="D5" i="1"/>
  <c r="C5" i="1"/>
  <c r="P4" i="1"/>
  <c r="J4" i="1"/>
  <c r="G4" i="1"/>
  <c r="M4" i="1" s="1"/>
  <c r="F4" i="1"/>
  <c r="E4" i="1"/>
  <c r="I4" i="1" s="1"/>
  <c r="D4" i="1"/>
  <c r="C4" i="1"/>
  <c r="O3" i="1"/>
  <c r="L3" i="1"/>
  <c r="I3" i="1"/>
  <c r="G3" i="1"/>
  <c r="P3" i="1" s="1"/>
  <c r="F3" i="1"/>
  <c r="J3" i="1" s="1"/>
  <c r="E3" i="1"/>
  <c r="D3" i="1"/>
  <c r="C3" i="1"/>
  <c r="M30" i="1" l="1"/>
  <c r="M36" i="1"/>
  <c r="M3" i="1"/>
  <c r="O4" i="1"/>
  <c r="P5" i="1"/>
  <c r="L6" i="1"/>
  <c r="M9" i="1"/>
  <c r="O10" i="1"/>
  <c r="P11" i="1"/>
  <c r="L12" i="1"/>
  <c r="M15" i="1"/>
  <c r="O16" i="1"/>
  <c r="P17" i="1"/>
  <c r="L18" i="1"/>
  <c r="M21" i="1"/>
  <c r="O22" i="1"/>
  <c r="P23" i="1"/>
  <c r="L24" i="1"/>
  <c r="M27" i="1"/>
  <c r="O28" i="1"/>
  <c r="P29" i="1"/>
  <c r="L30" i="1"/>
  <c r="M33" i="1"/>
  <c r="O34" i="1"/>
  <c r="P35" i="1"/>
  <c r="L36" i="1"/>
  <c r="M39" i="1"/>
  <c r="I40" i="1"/>
  <c r="J41" i="1"/>
  <c r="L42" i="1"/>
  <c r="M6" i="1"/>
  <c r="M12" i="1"/>
  <c r="M18" i="1"/>
  <c r="M42" i="1"/>
  <c r="L4" i="1"/>
  <c r="O6" i="1"/>
  <c r="L10" i="1"/>
  <c r="O12" i="1"/>
  <c r="L16" i="1"/>
  <c r="O18" i="1"/>
  <c r="L22" i="1"/>
  <c r="O24" i="1"/>
  <c r="L28" i="1"/>
  <c r="O30" i="1"/>
  <c r="P33" i="1"/>
  <c r="L34" i="1"/>
  <c r="M35" i="1"/>
  <c r="O36" i="1"/>
  <c r="P39" i="1"/>
  <c r="M41" i="1"/>
  <c r="O42" i="1"/>
  <c r="M24" i="1"/>
</calcChain>
</file>

<file path=xl/sharedStrings.xml><?xml version="1.0" encoding="utf-8"?>
<sst xmlns="http://schemas.openxmlformats.org/spreadsheetml/2006/main" count="91" uniqueCount="28">
  <si>
    <t>Current (MARCH 2018)</t>
  </si>
  <si>
    <t>Divisional</t>
  </si>
  <si>
    <t>System-Wide</t>
  </si>
  <si>
    <t>Current vs Divisional</t>
  </si>
  <si>
    <t>Current vs System-Wide</t>
  </si>
  <si>
    <t>Divisional vs System-Wide</t>
  </si>
  <si>
    <t xml:space="preserve">RESIDENTIAL </t>
  </si>
  <si>
    <t>BILLING UNIT</t>
  </si>
  <si>
    <t>CENTRAL DIV</t>
  </si>
  <si>
    <t>NORTH DIV</t>
  </si>
  <si>
    <t xml:space="preserve"> </t>
  </si>
  <si>
    <t>Customer Charge</t>
  </si>
  <si>
    <t>per account</t>
  </si>
  <si>
    <t>Metering Charge</t>
  </si>
  <si>
    <t>per meter</t>
  </si>
  <si>
    <t xml:space="preserve">Transmission System Charge    </t>
  </si>
  <si>
    <t>per kWh</t>
  </si>
  <si>
    <t>Distribution System Charge</t>
  </si>
  <si>
    <t>SECONDARY SERVICE &lt;= 10kW</t>
  </si>
  <si>
    <t>SECONDARY SERVICE &gt; THAN 10kW - NCP</t>
  </si>
  <si>
    <t>per NCP kW</t>
  </si>
  <si>
    <t>per Billed kW</t>
  </si>
  <si>
    <t>SECONDARY SERVICE &gt; THAN 10kW - 4CP</t>
  </si>
  <si>
    <t>per 4CP</t>
  </si>
  <si>
    <t>PRIMARY SERVICE BILLS - NCP</t>
  </si>
  <si>
    <t>per NCP</t>
  </si>
  <si>
    <t>PRIMARY SERVICE BILLS - 4CP</t>
  </si>
  <si>
    <t xml:space="preserve">TRANSMISSION 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</si>
</sst>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00_);_(&quot;$&quot;* \(#,##0.000000\);_(&quot;$&quot;* &quot;-&quot;??_);_(@_)"/>
    <numFmt numFmtId="165" formatCode="_(&quot;$&quot;* #,##0.00000_);_(&quot;$&quot;* \(#,##0.00000\);_(&quot;$&quot;* &quot;-&quot;??_);_(@_)"/>
    <numFmt numFmtId="166" formatCode="_(&quot;$&quot;* #,##0.0000_);_(&quot;$&quot;* \(#,##0.0000\);_(&quot;$&quot;* &quot;-&quot;??_);_(@_)"/>
    <numFmt numFmtId="167" formatCode="0.0%"/>
    <numFmt numFmtId="168" formatCode="_(&quot;$&quot;* #,##0.000_);_(&quot;$&quot;* \(#,##0.000\);_(&quot;$&quot;* &quot;-&quot;??_);_(@_)"/>
    <numFmt numFmtId="169" formatCode="_(* #,##0.000000_);_(* \(#,##0.000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2" fillId="5" borderId="5" xfId="0" applyFont="1" applyFill="1" applyBorder="1" applyAlignment="1" applyProtection="1">
      <alignment horizontal="center"/>
    </xf>
    <xf numFmtId="0" fontId="2" fillId="3" borderId="6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  <xf numFmtId="0" fontId="2" fillId="6" borderId="3" xfId="0" applyFont="1" applyFill="1" applyBorder="1" applyAlignment="1" applyProtection="1">
      <alignment horizontal="center"/>
    </xf>
    <xf numFmtId="0" fontId="2" fillId="6" borderId="4" xfId="0" applyFont="1" applyFill="1" applyBorder="1" applyAlignment="1" applyProtection="1">
      <alignment horizontal="center"/>
    </xf>
    <xf numFmtId="0" fontId="2" fillId="7" borderId="3" xfId="0" applyFont="1" applyFill="1" applyBorder="1" applyAlignment="1" applyProtection="1">
      <alignment horizontal="center"/>
    </xf>
    <xf numFmtId="0" fontId="2" fillId="7" borderId="4" xfId="0" applyFont="1" applyFill="1" applyBorder="1" applyAlignment="1" applyProtection="1">
      <alignment horizontal="center"/>
    </xf>
    <xf numFmtId="0" fontId="2" fillId="0" borderId="0" xfId="0" applyFont="1" applyBorder="1"/>
    <xf numFmtId="0" fontId="3" fillId="8" borderId="7" xfId="0" applyFont="1" applyFill="1" applyBorder="1" applyAlignment="1">
      <alignment horizontal="center"/>
    </xf>
    <xf numFmtId="0" fontId="2" fillId="0" borderId="8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5" borderId="0" xfId="0" applyFont="1" applyFill="1" applyBorder="1" applyAlignment="1" applyProtection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4" fontId="2" fillId="0" borderId="9" xfId="1" applyFont="1" applyFill="1" applyBorder="1" applyAlignment="1">
      <alignment horizontal="right"/>
    </xf>
    <xf numFmtId="44" fontId="2" fillId="0" borderId="9" xfId="1" applyFont="1" applyBorder="1"/>
    <xf numFmtId="44" fontId="2" fillId="0" borderId="9" xfId="1" applyFont="1" applyFill="1" applyBorder="1"/>
    <xf numFmtId="44" fontId="2" fillId="5" borderId="11" xfId="0" applyNumberFormat="1" applyFont="1" applyFill="1" applyBorder="1"/>
    <xf numFmtId="44" fontId="2" fillId="0" borderId="9" xfId="0" applyNumberFormat="1" applyFont="1" applyBorder="1"/>
    <xf numFmtId="44" fontId="2" fillId="0" borderId="10" xfId="1" applyFont="1" applyFill="1" applyBorder="1" applyAlignment="1">
      <alignment horizontal="right"/>
    </xf>
    <xf numFmtId="44" fontId="2" fillId="0" borderId="10" xfId="1" applyFont="1" applyBorder="1"/>
    <xf numFmtId="44" fontId="2" fillId="0" borderId="10" xfId="1" applyFont="1" applyFill="1" applyBorder="1"/>
    <xf numFmtId="44" fontId="2" fillId="0" borderId="12" xfId="1" applyFont="1" applyFill="1" applyBorder="1"/>
    <xf numFmtId="44" fontId="2" fillId="0" borderId="13" xfId="0" applyNumberFormat="1" applyFont="1" applyBorder="1"/>
    <xf numFmtId="44" fontId="2" fillId="0" borderId="10" xfId="0" applyNumberFormat="1" applyFont="1" applyBorder="1"/>
    <xf numFmtId="164" fontId="2" fillId="0" borderId="10" xfId="1" applyNumberFormat="1" applyFont="1" applyFill="1" applyBorder="1" applyAlignment="1">
      <alignment horizontal="right"/>
    </xf>
    <xf numFmtId="164" fontId="2" fillId="0" borderId="10" xfId="1" applyNumberFormat="1" applyFont="1" applyBorder="1"/>
    <xf numFmtId="164" fontId="2" fillId="0" borderId="10" xfId="1" applyNumberFormat="1" applyFont="1" applyFill="1" applyBorder="1"/>
    <xf numFmtId="164" fontId="2" fillId="0" borderId="12" xfId="1" applyNumberFormat="1" applyFont="1" applyFill="1" applyBorder="1"/>
    <xf numFmtId="165" fontId="2" fillId="0" borderId="13" xfId="0" applyNumberFormat="1" applyFont="1" applyBorder="1"/>
    <xf numFmtId="166" fontId="2" fillId="0" borderId="10" xfId="0" applyNumberFormat="1" applyFont="1" applyBorder="1"/>
    <xf numFmtId="165" fontId="2" fillId="0" borderId="10" xfId="0" applyNumberFormat="1" applyFont="1" applyBorder="1"/>
    <xf numFmtId="164" fontId="2" fillId="0" borderId="10" xfId="0" applyNumberFormat="1" applyFont="1" applyBorder="1"/>
    <xf numFmtId="0" fontId="2" fillId="0" borderId="0" xfId="0" applyFont="1" applyBorder="1" applyAlignment="1" applyProtection="1">
      <alignment horizontal="center"/>
    </xf>
    <xf numFmtId="167" fontId="2" fillId="0" borderId="0" xfId="2" applyNumberFormat="1" applyFont="1" applyBorder="1"/>
    <xf numFmtId="167" fontId="2" fillId="0" borderId="0" xfId="2" applyNumberFormat="1" applyFont="1" applyFill="1" applyBorder="1"/>
    <xf numFmtId="167" fontId="2" fillId="5" borderId="11" xfId="2" applyNumberFormat="1" applyFont="1" applyFill="1" applyBorder="1"/>
    <xf numFmtId="0" fontId="3" fillId="8" borderId="14" xfId="0" applyFont="1" applyFill="1" applyBorder="1" applyAlignment="1">
      <alignment horizontal="center"/>
    </xf>
    <xf numFmtId="0" fontId="2" fillId="0" borderId="0" xfId="0" applyFont="1" applyFill="1" applyBorder="1"/>
    <xf numFmtId="0" fontId="2" fillId="5" borderId="11" xfId="0" applyFont="1" applyFill="1" applyBorder="1"/>
    <xf numFmtId="44" fontId="2" fillId="0" borderId="12" xfId="1" applyFont="1" applyBorder="1" applyAlignment="1">
      <alignment horizontal="right"/>
    </xf>
    <xf numFmtId="44" fontId="2" fillId="5" borderId="11" xfId="0" applyNumberFormat="1" applyFont="1" applyFill="1" applyBorder="1" applyAlignment="1">
      <alignment horizontal="center"/>
    </xf>
    <xf numFmtId="164" fontId="2" fillId="0" borderId="12" xfId="1" applyNumberFormat="1" applyFont="1" applyBorder="1" applyAlignment="1">
      <alignment horizontal="right"/>
    </xf>
    <xf numFmtId="164" fontId="2" fillId="0" borderId="13" xfId="0" applyNumberFormat="1" applyFont="1" applyBorder="1"/>
    <xf numFmtId="164" fontId="2" fillId="0" borderId="12" xfId="1" applyNumberFormat="1" applyFont="1" applyBorder="1"/>
    <xf numFmtId="10" fontId="2" fillId="0" borderId="0" xfId="0" applyNumberFormat="1" applyFont="1" applyFill="1" applyBorder="1"/>
    <xf numFmtId="44" fontId="2" fillId="0" borderId="10" xfId="0" applyNumberFormat="1" applyFont="1" applyBorder="1" applyAlignment="1">
      <alignment horizontal="center"/>
    </xf>
    <xf numFmtId="44" fontId="2" fillId="0" borderId="12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6" fontId="2" fillId="0" borderId="13" xfId="0" applyNumberFormat="1" applyFont="1" applyBorder="1" applyAlignment="1">
      <alignment horizontal="left" indent="3"/>
    </xf>
    <xf numFmtId="166" fontId="2" fillId="0" borderId="10" xfId="0" applyNumberFormat="1" applyFont="1" applyBorder="1" applyAlignment="1">
      <alignment horizontal="left" indent="3"/>
    </xf>
    <xf numFmtId="168" fontId="2" fillId="0" borderId="10" xfId="0" applyNumberFormat="1" applyFont="1" applyBorder="1"/>
    <xf numFmtId="0" fontId="2" fillId="0" borderId="10" xfId="3" applyFont="1" applyFill="1" applyBorder="1" applyAlignment="1">
      <alignment horizontal="center"/>
    </xf>
    <xf numFmtId="168" fontId="2" fillId="0" borderId="12" xfId="0" applyNumberFormat="1" applyFont="1" applyBorder="1" applyAlignment="1">
      <alignment horizontal="center"/>
    </xf>
    <xf numFmtId="168" fontId="2" fillId="0" borderId="13" xfId="0" applyNumberFormat="1" applyFont="1" applyBorder="1"/>
    <xf numFmtId="44" fontId="2" fillId="0" borderId="0" xfId="0" applyNumberFormat="1" applyFont="1" applyBorder="1" applyAlignment="1">
      <alignment horizontal="center"/>
    </xf>
    <xf numFmtId="44" fontId="2" fillId="0" borderId="0" xfId="0" applyNumberFormat="1" applyFont="1" applyFill="1" applyBorder="1"/>
    <xf numFmtId="44" fontId="2" fillId="0" borderId="0" xfId="0" applyNumberFormat="1" applyFont="1" applyBorder="1"/>
    <xf numFmtId="44" fontId="2" fillId="0" borderId="13" xfId="0" applyNumberFormat="1" applyFont="1" applyFill="1" applyBorder="1"/>
    <xf numFmtId="44" fontId="2" fillId="0" borderId="10" xfId="0" applyNumberFormat="1" applyFont="1" applyFill="1" applyBorder="1"/>
    <xf numFmtId="168" fontId="2" fillId="5" borderId="11" xfId="0" applyNumberFormat="1" applyFont="1" applyFill="1" applyBorder="1" applyAlignment="1">
      <alignment horizontal="center"/>
    </xf>
    <xf numFmtId="168" fontId="2" fillId="0" borderId="10" xfId="0" applyNumberFormat="1" applyFont="1" applyBorder="1" applyAlignment="1">
      <alignment horizontal="center"/>
    </xf>
    <xf numFmtId="168" fontId="2" fillId="0" borderId="13" xfId="0" applyNumberFormat="1" applyFont="1" applyFill="1" applyBorder="1"/>
    <xf numFmtId="168" fontId="2" fillId="0" borderId="10" xfId="0" applyNumberFormat="1" applyFont="1" applyFill="1" applyBorder="1"/>
    <xf numFmtId="44" fontId="2" fillId="5" borderId="9" xfId="0" applyNumberFormat="1" applyFont="1" applyFill="1" applyBorder="1" applyAlignment="1">
      <alignment horizontal="center"/>
    </xf>
    <xf numFmtId="168" fontId="2" fillId="5" borderId="9" xfId="0" applyNumberFormat="1" applyFont="1" applyFill="1" applyBorder="1" applyAlignment="1">
      <alignment horizontal="center"/>
    </xf>
    <xf numFmtId="43" fontId="2" fillId="0" borderId="0" xfId="4" applyFont="1" applyFill="1" applyBorder="1" applyAlignment="1">
      <alignment horizontal="center"/>
    </xf>
    <xf numFmtId="0" fontId="2" fillId="0" borderId="0" xfId="3" applyFont="1" applyBorder="1"/>
    <xf numFmtId="169" fontId="2" fillId="0" borderId="0" xfId="4" applyNumberFormat="1" applyFont="1" applyFill="1" applyBorder="1" applyAlignment="1">
      <alignment horizontal="center"/>
    </xf>
    <xf numFmtId="43" fontId="2" fillId="0" borderId="0" xfId="4" applyNumberFormat="1" applyFont="1" applyBorder="1"/>
  </cellXfs>
  <cellStyles count="5">
    <cellStyle name="Comma 2" xfId="4"/>
    <cellStyle name="Currency" xfId="1" builtin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EP%20Texas/Rate%20Cases/AEP%20Texas%202019/Combined/Rate%20Design/AEP%20Texas%20Billing%20Impacts%20%20Divisional%20vs%20System-Wide%20Base%20Rate%20Filing%20May%202019%20David%20update%204.25.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ENTRAL DIVISION Factor"/>
      <sheetName val="CURRENT NORTH DIVISION Factors"/>
      <sheetName val="DIVISIONAL Factors for CENTRAL"/>
      <sheetName val="DIVISIONAL Factors for NORTH"/>
      <sheetName val="SYSTEM-WIDE Factors"/>
      <sheetName val="SUMMARY"/>
      <sheetName val="SUMMARY wo TC2"/>
      <sheetName val="EXHIBIT 1"/>
      <sheetName val="ALLOCATOR CHANGES"/>
      <sheetName val="Summary of Step Changes"/>
      <sheetName val="Residential 500 kWh"/>
      <sheetName val="Residential 1000 kWh"/>
      <sheetName val="Residential 2000 kWh"/>
      <sheetName val="Sec&lt;10KW"/>
      <sheetName val="Sec&gt;10 - NCP"/>
      <sheetName val="Sec&gt;10 - 4CP"/>
      <sheetName val="Primary - NCP"/>
      <sheetName val="Primary - 4CP"/>
      <sheetName val="Transmission"/>
      <sheetName val="ERCOT MATRIX"/>
    </sheetNames>
    <sheetDataSet>
      <sheetData sheetId="0">
        <row r="4">
          <cell r="B4">
            <v>3.19</v>
          </cell>
          <cell r="F4">
            <v>3.2</v>
          </cell>
        </row>
        <row r="5">
          <cell r="B5">
            <v>3.55</v>
          </cell>
          <cell r="F5">
            <v>3.68</v>
          </cell>
        </row>
        <row r="6">
          <cell r="B6">
            <v>5.1900000000000002E-3</v>
          </cell>
          <cell r="F6">
            <v>2.5119999999999999E-3</v>
          </cell>
        </row>
        <row r="7">
          <cell r="B7">
            <v>1.3915E-2</v>
          </cell>
          <cell r="F7">
            <v>1.5488999999999999E-2</v>
          </cell>
        </row>
        <row r="10">
          <cell r="B10">
            <v>3.26</v>
          </cell>
          <cell r="F10">
            <v>3.8</v>
          </cell>
        </row>
        <row r="11">
          <cell r="B11">
            <v>26.52</v>
          </cell>
          <cell r="F11">
            <v>28.41</v>
          </cell>
        </row>
        <row r="12">
          <cell r="B12">
            <v>15.81</v>
          </cell>
          <cell r="F12">
            <v>154.62</v>
          </cell>
        </row>
        <row r="13">
          <cell r="B13">
            <v>1.286</v>
          </cell>
          <cell r="F13">
            <v>1.6279999999999999</v>
          </cell>
        </row>
        <row r="14">
          <cell r="B14">
            <v>1.7929999999999999</v>
          </cell>
          <cell r="F14">
            <v>1.925</v>
          </cell>
        </row>
        <row r="15">
          <cell r="B15">
            <v>3.3140000000000001</v>
          </cell>
          <cell r="F15">
            <v>2.9449999999999998</v>
          </cell>
        </row>
        <row r="18">
          <cell r="B18">
            <v>38.840000000000003</v>
          </cell>
        </row>
        <row r="19">
          <cell r="B19">
            <v>1869.15</v>
          </cell>
        </row>
        <row r="20">
          <cell r="B20">
            <v>1.718</v>
          </cell>
        </row>
        <row r="21">
          <cell r="B21">
            <v>0.19900000000000001</v>
          </cell>
        </row>
        <row r="32">
          <cell r="B32">
            <v>6.3249999999999999E-3</v>
          </cell>
        </row>
        <row r="33">
          <cell r="B33">
            <v>4.0870000000000004E-3</v>
          </cell>
        </row>
        <row r="35">
          <cell r="B35">
            <v>2.01959</v>
          </cell>
        </row>
        <row r="36">
          <cell r="B36">
            <v>3.8636590000000002</v>
          </cell>
        </row>
        <row r="37">
          <cell r="B37">
            <v>3.5735730000000001</v>
          </cell>
        </row>
        <row r="38">
          <cell r="B38">
            <v>2.4408150000000002</v>
          </cell>
        </row>
        <row r="43">
          <cell r="B43">
            <v>2.1580000000000002E-3</v>
          </cell>
        </row>
        <row r="44">
          <cell r="B44">
            <v>5.7959999999999999E-3</v>
          </cell>
        </row>
        <row r="45">
          <cell r="B45">
            <v>0.45944000000000002</v>
          </cell>
        </row>
        <row r="46">
          <cell r="B46">
            <v>0.45944000000000002</v>
          </cell>
        </row>
        <row r="47">
          <cell r="B47">
            <v>0.36461900000000003</v>
          </cell>
        </row>
        <row r="48">
          <cell r="B48">
            <v>0.36461900000000003</v>
          </cell>
        </row>
        <row r="49">
          <cell r="B49">
            <v>6.7489999999999998E-3</v>
          </cell>
        </row>
      </sheetData>
      <sheetData sheetId="1">
        <row r="4">
          <cell r="B4">
            <v>2.94</v>
          </cell>
          <cell r="F4">
            <v>4.25</v>
          </cell>
        </row>
        <row r="5">
          <cell r="B5">
            <v>5.24</v>
          </cell>
          <cell r="F5">
            <v>7.5</v>
          </cell>
        </row>
        <row r="6">
          <cell r="B6">
            <v>5.803E-3</v>
          </cell>
          <cell r="F6">
            <v>3.1480000000000002E-3</v>
          </cell>
        </row>
        <row r="7">
          <cell r="B7">
            <v>1.9007E-2</v>
          </cell>
          <cell r="F7">
            <v>3.1947999999999997E-2</v>
          </cell>
        </row>
        <row r="10">
          <cell r="B10">
            <v>4.25</v>
          </cell>
          <cell r="F10">
            <v>4.25</v>
          </cell>
        </row>
        <row r="11">
          <cell r="B11">
            <v>26</v>
          </cell>
          <cell r="F11">
            <v>26</v>
          </cell>
        </row>
        <row r="12">
          <cell r="B12">
            <v>18.68</v>
          </cell>
          <cell r="F12">
            <v>151.75</v>
          </cell>
        </row>
        <row r="13">
          <cell r="B13">
            <v>35</v>
          </cell>
          <cell r="F13">
            <v>168.65</v>
          </cell>
        </row>
        <row r="14">
          <cell r="B14">
            <v>1.2450000000000001</v>
          </cell>
          <cell r="F14">
            <v>1.1890000000000001</v>
          </cell>
        </row>
        <row r="15">
          <cell r="B15">
            <v>1.9530000000000001</v>
          </cell>
          <cell r="F15">
            <v>1.9630000000000001</v>
          </cell>
        </row>
        <row r="16">
          <cell r="B16">
            <v>3.21</v>
          </cell>
          <cell r="F16">
            <v>1.88</v>
          </cell>
        </row>
        <row r="19">
          <cell r="B19">
            <v>24.8</v>
          </cell>
        </row>
        <row r="20">
          <cell r="B20">
            <v>850</v>
          </cell>
        </row>
        <row r="21">
          <cell r="B21">
            <v>1.3560000000000001</v>
          </cell>
        </row>
        <row r="22">
          <cell r="B22">
            <v>1.8200000000000001E-2</v>
          </cell>
        </row>
        <row r="27">
          <cell r="B27">
            <v>7.1890000000000001E-3</v>
          </cell>
        </row>
        <row r="28">
          <cell r="B28">
            <v>5.287E-3</v>
          </cell>
        </row>
        <row r="29">
          <cell r="B29">
            <v>3.0320179999999999</v>
          </cell>
        </row>
        <row r="30">
          <cell r="B30">
            <v>1.9648559999999999</v>
          </cell>
        </row>
        <row r="31">
          <cell r="B31">
            <v>1.949929</v>
          </cell>
        </row>
        <row r="32">
          <cell r="B32">
            <v>0.59321100000000004</v>
          </cell>
        </row>
        <row r="33">
          <cell r="B33">
            <v>0.92489299999999997</v>
          </cell>
        </row>
        <row r="38">
          <cell r="B38">
            <v>3.8539999999999998E-3</v>
          </cell>
        </row>
        <row r="39">
          <cell r="B39">
            <v>1.0585000000000001E-2</v>
          </cell>
        </row>
        <row r="40">
          <cell r="B40">
            <v>0.679589</v>
          </cell>
        </row>
        <row r="41">
          <cell r="B41">
            <v>0.679589</v>
          </cell>
        </row>
        <row r="42">
          <cell r="B42">
            <v>0.30518800000000001</v>
          </cell>
        </row>
        <row r="43">
          <cell r="B43">
            <v>0.30518800000000001</v>
          </cell>
        </row>
        <row r="44">
          <cell r="B44">
            <v>2.4541E-2</v>
          </cell>
        </row>
      </sheetData>
      <sheetData sheetId="2">
        <row r="4">
          <cell r="B4">
            <v>1.6</v>
          </cell>
          <cell r="F4">
            <v>1.6</v>
          </cell>
        </row>
        <row r="5">
          <cell r="B5">
            <v>4.1399999999999997</v>
          </cell>
          <cell r="F5">
            <v>5.56</v>
          </cell>
        </row>
        <row r="6">
          <cell r="B6">
            <v>0</v>
          </cell>
          <cell r="F6">
            <v>0</v>
          </cell>
        </row>
        <row r="7">
          <cell r="B7">
            <v>2.2585999999999998E-2</v>
          </cell>
          <cell r="F7">
            <v>2.2100999999999999E-2</v>
          </cell>
        </row>
        <row r="10">
          <cell r="B10">
            <v>1.61</v>
          </cell>
          <cell r="F10">
            <v>1.82</v>
          </cell>
        </row>
        <row r="11">
          <cell r="B11">
            <v>1.61</v>
          </cell>
          <cell r="F11">
            <v>1.82</v>
          </cell>
        </row>
        <row r="12">
          <cell r="B12">
            <v>15.27</v>
          </cell>
          <cell r="F12">
            <v>167.12</v>
          </cell>
        </row>
        <row r="13">
          <cell r="B13">
            <v>0</v>
          </cell>
          <cell r="F13">
            <v>0</v>
          </cell>
        </row>
        <row r="14">
          <cell r="B14">
            <v>0</v>
          </cell>
          <cell r="F14">
            <v>0</v>
          </cell>
        </row>
        <row r="15">
          <cell r="B15">
            <v>5.27</v>
          </cell>
          <cell r="F15">
            <v>3.71</v>
          </cell>
        </row>
        <row r="18">
          <cell r="B18">
            <v>2.75</v>
          </cell>
        </row>
        <row r="19">
          <cell r="B19">
            <v>1157.44</v>
          </cell>
        </row>
        <row r="20">
          <cell r="B20">
            <v>0</v>
          </cell>
        </row>
        <row r="21">
          <cell r="B21">
            <v>0.28299999999999997</v>
          </cell>
        </row>
        <row r="32">
          <cell r="B32">
            <v>1.2614999999999999E-2</v>
          </cell>
        </row>
        <row r="33">
          <cell r="B33">
            <v>7.1789999999999996E-3</v>
          </cell>
        </row>
        <row r="34">
          <cell r="B34">
            <v>4.3890000000000002</v>
          </cell>
        </row>
        <row r="35">
          <cell r="B35">
            <v>3.113</v>
          </cell>
        </row>
        <row r="36">
          <cell r="B36">
            <v>4.5830000000000002</v>
          </cell>
        </row>
        <row r="37">
          <cell r="B37">
            <v>3.411</v>
          </cell>
        </row>
        <row r="38">
          <cell r="B38">
            <v>4.6680000000000001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</sheetData>
      <sheetData sheetId="3">
        <row r="4">
          <cell r="B4">
            <v>1.26</v>
          </cell>
          <cell r="F4">
            <v>1.28</v>
          </cell>
        </row>
        <row r="5">
          <cell r="B5">
            <v>5.52</v>
          </cell>
          <cell r="F5">
            <v>7.22</v>
          </cell>
        </row>
        <row r="6">
          <cell r="B6">
            <v>0</v>
          </cell>
          <cell r="F6">
            <v>0</v>
          </cell>
        </row>
        <row r="7">
          <cell r="B7">
            <v>2.5531999999999999E-2</v>
          </cell>
          <cell r="F7">
            <v>3.2562000000000001E-2</v>
          </cell>
        </row>
        <row r="10">
          <cell r="B10">
            <v>1.29</v>
          </cell>
          <cell r="F10">
            <v>1.49</v>
          </cell>
        </row>
        <row r="11">
          <cell r="B11">
            <v>1.29</v>
          </cell>
          <cell r="F11">
            <v>1.49</v>
          </cell>
        </row>
        <row r="12">
          <cell r="B12">
            <v>21.07</v>
          </cell>
          <cell r="F12">
            <v>176.54</v>
          </cell>
        </row>
        <row r="13">
          <cell r="B13">
            <v>21.07</v>
          </cell>
          <cell r="F13">
            <v>176.54</v>
          </cell>
        </row>
        <row r="14">
          <cell r="B14">
            <v>0</v>
          </cell>
          <cell r="F14">
            <v>0</v>
          </cell>
        </row>
        <row r="15">
          <cell r="B15">
            <v>0</v>
          </cell>
          <cell r="F15">
            <v>0</v>
          </cell>
        </row>
        <row r="16">
          <cell r="B16">
            <v>5.47</v>
          </cell>
          <cell r="F16">
            <v>3.96</v>
          </cell>
        </row>
        <row r="19">
          <cell r="B19">
            <v>1.55</v>
          </cell>
        </row>
        <row r="20">
          <cell r="B20">
            <v>561.95000000000005</v>
          </cell>
        </row>
        <row r="21">
          <cell r="B21">
            <v>0</v>
          </cell>
        </row>
        <row r="22">
          <cell r="B22">
            <v>3.0000000000000001E-3</v>
          </cell>
        </row>
        <row r="27">
          <cell r="B27">
            <v>1.4777E-2</v>
          </cell>
        </row>
        <row r="28">
          <cell r="B28">
            <v>9.0799999999999995E-3</v>
          </cell>
        </row>
        <row r="29">
          <cell r="B29">
            <v>4.9210000000000003</v>
          </cell>
        </row>
        <row r="30">
          <cell r="B30">
            <v>3.0510000000000002</v>
          </cell>
        </row>
        <row r="31">
          <cell r="B31">
            <v>4.8490000000000002</v>
          </cell>
        </row>
        <row r="32">
          <cell r="B32">
            <v>2.6579999999999999</v>
          </cell>
        </row>
        <row r="33">
          <cell r="B33">
            <v>5.08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</sheetData>
      <sheetData sheetId="4">
        <row r="4">
          <cell r="C4">
            <v>2.3109999999999999E-2</v>
          </cell>
        </row>
        <row r="5">
          <cell r="C5">
            <v>2.4218E-2</v>
          </cell>
        </row>
        <row r="6">
          <cell r="C6">
            <v>5.33</v>
          </cell>
        </row>
        <row r="7">
          <cell r="C7">
            <v>3.6960000000000002</v>
          </cell>
        </row>
        <row r="8">
          <cell r="C8">
            <v>0.249</v>
          </cell>
        </row>
        <row r="35">
          <cell r="C35">
            <v>1.294E-2</v>
          </cell>
        </row>
        <row r="36">
          <cell r="C36">
            <v>7.6010000000000001E-3</v>
          </cell>
        </row>
        <row r="38">
          <cell r="C38">
            <v>4.5679999999999996</v>
          </cell>
        </row>
        <row r="39">
          <cell r="C39">
            <v>3.1019999999999999</v>
          </cell>
        </row>
        <row r="41">
          <cell r="C41">
            <v>4.7160000000000002</v>
          </cell>
        </row>
        <row r="42">
          <cell r="C42">
            <v>3.1280000000000001</v>
          </cell>
        </row>
        <row r="43">
          <cell r="C43">
            <v>4.657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65">
          <cell r="C65">
            <v>4.4000000000000004</v>
          </cell>
        </row>
        <row r="66">
          <cell r="C66">
            <v>5.88</v>
          </cell>
        </row>
        <row r="67">
          <cell r="C67">
            <v>16.38</v>
          </cell>
        </row>
        <row r="68">
          <cell r="C68">
            <v>162.81</v>
          </cell>
        </row>
        <row r="69">
          <cell r="C69">
            <v>999.51</v>
          </cell>
        </row>
        <row r="74">
          <cell r="C74">
            <v>1.54</v>
          </cell>
        </row>
        <row r="75">
          <cell r="C75">
            <v>1.54</v>
          </cell>
        </row>
        <row r="76">
          <cell r="C76">
            <v>1.54</v>
          </cell>
        </row>
        <row r="77">
          <cell r="C77">
            <v>1.61</v>
          </cell>
        </row>
        <row r="78">
          <cell r="C78">
            <v>1.74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tabSelected="1" workbookViewId="0">
      <selection activeCell="C33" sqref="C33"/>
    </sheetView>
  </sheetViews>
  <sheetFormatPr defaultRowHeight="12.75" x14ac:dyDescent="0.2"/>
  <cols>
    <col min="1" max="1" width="36.28515625" style="1" customWidth="1"/>
    <col min="2" max="2" width="15.7109375" style="1" customWidth="1"/>
    <col min="3" max="4" width="17" style="1" customWidth="1"/>
    <col min="5" max="5" width="16.7109375" style="14" customWidth="1"/>
    <col min="6" max="6" width="14.42578125" style="14" customWidth="1"/>
    <col min="7" max="7" width="17.5703125" style="14" customWidth="1"/>
    <col min="8" max="8" width="1.42578125" style="14" customWidth="1"/>
    <col min="9" max="9" width="17.28515625" style="14" customWidth="1"/>
    <col min="10" max="10" width="17.140625" style="14" customWidth="1"/>
    <col min="11" max="11" width="1.42578125" style="14" customWidth="1"/>
    <col min="12" max="12" width="17.7109375" style="14" customWidth="1"/>
    <col min="13" max="13" width="19.42578125" style="14" customWidth="1"/>
    <col min="14" max="14" width="1.42578125" style="14" customWidth="1"/>
    <col min="15" max="15" width="17" style="14" customWidth="1"/>
    <col min="16" max="16" width="19.5703125" style="14" customWidth="1"/>
    <col min="17" max="256" width="9.140625" style="14"/>
    <col min="257" max="257" width="36.28515625" style="14" customWidth="1"/>
    <col min="258" max="258" width="15.7109375" style="14" customWidth="1"/>
    <col min="259" max="260" width="17" style="14" customWidth="1"/>
    <col min="261" max="261" width="16.7109375" style="14" customWidth="1"/>
    <col min="262" max="262" width="14.42578125" style="14" customWidth="1"/>
    <col min="263" max="263" width="17.5703125" style="14" customWidth="1"/>
    <col min="264" max="264" width="1.42578125" style="14" customWidth="1"/>
    <col min="265" max="265" width="17.28515625" style="14" customWidth="1"/>
    <col min="266" max="266" width="17.140625" style="14" customWidth="1"/>
    <col min="267" max="267" width="1.42578125" style="14" customWidth="1"/>
    <col min="268" max="268" width="17.7109375" style="14" customWidth="1"/>
    <col min="269" max="269" width="19.42578125" style="14" customWidth="1"/>
    <col min="270" max="270" width="1.42578125" style="14" customWidth="1"/>
    <col min="271" max="271" width="17" style="14" customWidth="1"/>
    <col min="272" max="272" width="19.5703125" style="14" customWidth="1"/>
    <col min="273" max="512" width="9.140625" style="14"/>
    <col min="513" max="513" width="36.28515625" style="14" customWidth="1"/>
    <col min="514" max="514" width="15.7109375" style="14" customWidth="1"/>
    <col min="515" max="516" width="17" style="14" customWidth="1"/>
    <col min="517" max="517" width="16.7109375" style="14" customWidth="1"/>
    <col min="518" max="518" width="14.42578125" style="14" customWidth="1"/>
    <col min="519" max="519" width="17.5703125" style="14" customWidth="1"/>
    <col min="520" max="520" width="1.42578125" style="14" customWidth="1"/>
    <col min="521" max="521" width="17.28515625" style="14" customWidth="1"/>
    <col min="522" max="522" width="17.140625" style="14" customWidth="1"/>
    <col min="523" max="523" width="1.42578125" style="14" customWidth="1"/>
    <col min="524" max="524" width="17.7109375" style="14" customWidth="1"/>
    <col min="525" max="525" width="19.42578125" style="14" customWidth="1"/>
    <col min="526" max="526" width="1.42578125" style="14" customWidth="1"/>
    <col min="527" max="527" width="17" style="14" customWidth="1"/>
    <col min="528" max="528" width="19.5703125" style="14" customWidth="1"/>
    <col min="529" max="768" width="9.140625" style="14"/>
    <col min="769" max="769" width="36.28515625" style="14" customWidth="1"/>
    <col min="770" max="770" width="15.7109375" style="14" customWidth="1"/>
    <col min="771" max="772" width="17" style="14" customWidth="1"/>
    <col min="773" max="773" width="16.7109375" style="14" customWidth="1"/>
    <col min="774" max="774" width="14.42578125" style="14" customWidth="1"/>
    <col min="775" max="775" width="17.5703125" style="14" customWidth="1"/>
    <col min="776" max="776" width="1.42578125" style="14" customWidth="1"/>
    <col min="777" max="777" width="17.28515625" style="14" customWidth="1"/>
    <col min="778" max="778" width="17.140625" style="14" customWidth="1"/>
    <col min="779" max="779" width="1.42578125" style="14" customWidth="1"/>
    <col min="780" max="780" width="17.7109375" style="14" customWidth="1"/>
    <col min="781" max="781" width="19.42578125" style="14" customWidth="1"/>
    <col min="782" max="782" width="1.42578125" style="14" customWidth="1"/>
    <col min="783" max="783" width="17" style="14" customWidth="1"/>
    <col min="784" max="784" width="19.5703125" style="14" customWidth="1"/>
    <col min="785" max="1024" width="9.140625" style="14"/>
    <col min="1025" max="1025" width="36.28515625" style="14" customWidth="1"/>
    <col min="1026" max="1026" width="15.7109375" style="14" customWidth="1"/>
    <col min="1027" max="1028" width="17" style="14" customWidth="1"/>
    <col min="1029" max="1029" width="16.7109375" style="14" customWidth="1"/>
    <col min="1030" max="1030" width="14.42578125" style="14" customWidth="1"/>
    <col min="1031" max="1031" width="17.5703125" style="14" customWidth="1"/>
    <col min="1032" max="1032" width="1.42578125" style="14" customWidth="1"/>
    <col min="1033" max="1033" width="17.28515625" style="14" customWidth="1"/>
    <col min="1034" max="1034" width="17.140625" style="14" customWidth="1"/>
    <col min="1035" max="1035" width="1.42578125" style="14" customWidth="1"/>
    <col min="1036" max="1036" width="17.7109375" style="14" customWidth="1"/>
    <col min="1037" max="1037" width="19.42578125" style="14" customWidth="1"/>
    <col min="1038" max="1038" width="1.42578125" style="14" customWidth="1"/>
    <col min="1039" max="1039" width="17" style="14" customWidth="1"/>
    <col min="1040" max="1040" width="19.5703125" style="14" customWidth="1"/>
    <col min="1041" max="1280" width="9.140625" style="14"/>
    <col min="1281" max="1281" width="36.28515625" style="14" customWidth="1"/>
    <col min="1282" max="1282" width="15.7109375" style="14" customWidth="1"/>
    <col min="1283" max="1284" width="17" style="14" customWidth="1"/>
    <col min="1285" max="1285" width="16.7109375" style="14" customWidth="1"/>
    <col min="1286" max="1286" width="14.42578125" style="14" customWidth="1"/>
    <col min="1287" max="1287" width="17.5703125" style="14" customWidth="1"/>
    <col min="1288" max="1288" width="1.42578125" style="14" customWidth="1"/>
    <col min="1289" max="1289" width="17.28515625" style="14" customWidth="1"/>
    <col min="1290" max="1290" width="17.140625" style="14" customWidth="1"/>
    <col min="1291" max="1291" width="1.42578125" style="14" customWidth="1"/>
    <col min="1292" max="1292" width="17.7109375" style="14" customWidth="1"/>
    <col min="1293" max="1293" width="19.42578125" style="14" customWidth="1"/>
    <col min="1294" max="1294" width="1.42578125" style="14" customWidth="1"/>
    <col min="1295" max="1295" width="17" style="14" customWidth="1"/>
    <col min="1296" max="1296" width="19.5703125" style="14" customWidth="1"/>
    <col min="1297" max="1536" width="9.140625" style="14"/>
    <col min="1537" max="1537" width="36.28515625" style="14" customWidth="1"/>
    <col min="1538" max="1538" width="15.7109375" style="14" customWidth="1"/>
    <col min="1539" max="1540" width="17" style="14" customWidth="1"/>
    <col min="1541" max="1541" width="16.7109375" style="14" customWidth="1"/>
    <col min="1542" max="1542" width="14.42578125" style="14" customWidth="1"/>
    <col min="1543" max="1543" width="17.5703125" style="14" customWidth="1"/>
    <col min="1544" max="1544" width="1.42578125" style="14" customWidth="1"/>
    <col min="1545" max="1545" width="17.28515625" style="14" customWidth="1"/>
    <col min="1546" max="1546" width="17.140625" style="14" customWidth="1"/>
    <col min="1547" max="1547" width="1.42578125" style="14" customWidth="1"/>
    <col min="1548" max="1548" width="17.7109375" style="14" customWidth="1"/>
    <col min="1549" max="1549" width="19.42578125" style="14" customWidth="1"/>
    <col min="1550" max="1550" width="1.42578125" style="14" customWidth="1"/>
    <col min="1551" max="1551" width="17" style="14" customWidth="1"/>
    <col min="1552" max="1552" width="19.5703125" style="14" customWidth="1"/>
    <col min="1553" max="1792" width="9.140625" style="14"/>
    <col min="1793" max="1793" width="36.28515625" style="14" customWidth="1"/>
    <col min="1794" max="1794" width="15.7109375" style="14" customWidth="1"/>
    <col min="1795" max="1796" width="17" style="14" customWidth="1"/>
    <col min="1797" max="1797" width="16.7109375" style="14" customWidth="1"/>
    <col min="1798" max="1798" width="14.42578125" style="14" customWidth="1"/>
    <col min="1799" max="1799" width="17.5703125" style="14" customWidth="1"/>
    <col min="1800" max="1800" width="1.42578125" style="14" customWidth="1"/>
    <col min="1801" max="1801" width="17.28515625" style="14" customWidth="1"/>
    <col min="1802" max="1802" width="17.140625" style="14" customWidth="1"/>
    <col min="1803" max="1803" width="1.42578125" style="14" customWidth="1"/>
    <col min="1804" max="1804" width="17.7109375" style="14" customWidth="1"/>
    <col min="1805" max="1805" width="19.42578125" style="14" customWidth="1"/>
    <col min="1806" max="1806" width="1.42578125" style="14" customWidth="1"/>
    <col min="1807" max="1807" width="17" style="14" customWidth="1"/>
    <col min="1808" max="1808" width="19.5703125" style="14" customWidth="1"/>
    <col min="1809" max="2048" width="9.140625" style="14"/>
    <col min="2049" max="2049" width="36.28515625" style="14" customWidth="1"/>
    <col min="2050" max="2050" width="15.7109375" style="14" customWidth="1"/>
    <col min="2051" max="2052" width="17" style="14" customWidth="1"/>
    <col min="2053" max="2053" width="16.7109375" style="14" customWidth="1"/>
    <col min="2054" max="2054" width="14.42578125" style="14" customWidth="1"/>
    <col min="2055" max="2055" width="17.5703125" style="14" customWidth="1"/>
    <col min="2056" max="2056" width="1.42578125" style="14" customWidth="1"/>
    <col min="2057" max="2057" width="17.28515625" style="14" customWidth="1"/>
    <col min="2058" max="2058" width="17.140625" style="14" customWidth="1"/>
    <col min="2059" max="2059" width="1.42578125" style="14" customWidth="1"/>
    <col min="2060" max="2060" width="17.7109375" style="14" customWidth="1"/>
    <col min="2061" max="2061" width="19.42578125" style="14" customWidth="1"/>
    <col min="2062" max="2062" width="1.42578125" style="14" customWidth="1"/>
    <col min="2063" max="2063" width="17" style="14" customWidth="1"/>
    <col min="2064" max="2064" width="19.5703125" style="14" customWidth="1"/>
    <col min="2065" max="2304" width="9.140625" style="14"/>
    <col min="2305" max="2305" width="36.28515625" style="14" customWidth="1"/>
    <col min="2306" max="2306" width="15.7109375" style="14" customWidth="1"/>
    <col min="2307" max="2308" width="17" style="14" customWidth="1"/>
    <col min="2309" max="2309" width="16.7109375" style="14" customWidth="1"/>
    <col min="2310" max="2310" width="14.42578125" style="14" customWidth="1"/>
    <col min="2311" max="2311" width="17.5703125" style="14" customWidth="1"/>
    <col min="2312" max="2312" width="1.42578125" style="14" customWidth="1"/>
    <col min="2313" max="2313" width="17.28515625" style="14" customWidth="1"/>
    <col min="2314" max="2314" width="17.140625" style="14" customWidth="1"/>
    <col min="2315" max="2315" width="1.42578125" style="14" customWidth="1"/>
    <col min="2316" max="2316" width="17.7109375" style="14" customWidth="1"/>
    <col min="2317" max="2317" width="19.42578125" style="14" customWidth="1"/>
    <col min="2318" max="2318" width="1.42578125" style="14" customWidth="1"/>
    <col min="2319" max="2319" width="17" style="14" customWidth="1"/>
    <col min="2320" max="2320" width="19.5703125" style="14" customWidth="1"/>
    <col min="2321" max="2560" width="9.140625" style="14"/>
    <col min="2561" max="2561" width="36.28515625" style="14" customWidth="1"/>
    <col min="2562" max="2562" width="15.7109375" style="14" customWidth="1"/>
    <col min="2563" max="2564" width="17" style="14" customWidth="1"/>
    <col min="2565" max="2565" width="16.7109375" style="14" customWidth="1"/>
    <col min="2566" max="2566" width="14.42578125" style="14" customWidth="1"/>
    <col min="2567" max="2567" width="17.5703125" style="14" customWidth="1"/>
    <col min="2568" max="2568" width="1.42578125" style="14" customWidth="1"/>
    <col min="2569" max="2569" width="17.28515625" style="14" customWidth="1"/>
    <col min="2570" max="2570" width="17.140625" style="14" customWidth="1"/>
    <col min="2571" max="2571" width="1.42578125" style="14" customWidth="1"/>
    <col min="2572" max="2572" width="17.7109375" style="14" customWidth="1"/>
    <col min="2573" max="2573" width="19.42578125" style="14" customWidth="1"/>
    <col min="2574" max="2574" width="1.42578125" style="14" customWidth="1"/>
    <col min="2575" max="2575" width="17" style="14" customWidth="1"/>
    <col min="2576" max="2576" width="19.5703125" style="14" customWidth="1"/>
    <col min="2577" max="2816" width="9.140625" style="14"/>
    <col min="2817" max="2817" width="36.28515625" style="14" customWidth="1"/>
    <col min="2818" max="2818" width="15.7109375" style="14" customWidth="1"/>
    <col min="2819" max="2820" width="17" style="14" customWidth="1"/>
    <col min="2821" max="2821" width="16.7109375" style="14" customWidth="1"/>
    <col min="2822" max="2822" width="14.42578125" style="14" customWidth="1"/>
    <col min="2823" max="2823" width="17.5703125" style="14" customWidth="1"/>
    <col min="2824" max="2824" width="1.42578125" style="14" customWidth="1"/>
    <col min="2825" max="2825" width="17.28515625" style="14" customWidth="1"/>
    <col min="2826" max="2826" width="17.140625" style="14" customWidth="1"/>
    <col min="2827" max="2827" width="1.42578125" style="14" customWidth="1"/>
    <col min="2828" max="2828" width="17.7109375" style="14" customWidth="1"/>
    <col min="2829" max="2829" width="19.42578125" style="14" customWidth="1"/>
    <col min="2830" max="2830" width="1.42578125" style="14" customWidth="1"/>
    <col min="2831" max="2831" width="17" style="14" customWidth="1"/>
    <col min="2832" max="2832" width="19.5703125" style="14" customWidth="1"/>
    <col min="2833" max="3072" width="9.140625" style="14"/>
    <col min="3073" max="3073" width="36.28515625" style="14" customWidth="1"/>
    <col min="3074" max="3074" width="15.7109375" style="14" customWidth="1"/>
    <col min="3075" max="3076" width="17" style="14" customWidth="1"/>
    <col min="3077" max="3077" width="16.7109375" style="14" customWidth="1"/>
    <col min="3078" max="3078" width="14.42578125" style="14" customWidth="1"/>
    <col min="3079" max="3079" width="17.5703125" style="14" customWidth="1"/>
    <col min="3080" max="3080" width="1.42578125" style="14" customWidth="1"/>
    <col min="3081" max="3081" width="17.28515625" style="14" customWidth="1"/>
    <col min="3082" max="3082" width="17.140625" style="14" customWidth="1"/>
    <col min="3083" max="3083" width="1.42578125" style="14" customWidth="1"/>
    <col min="3084" max="3084" width="17.7109375" style="14" customWidth="1"/>
    <col min="3085" max="3085" width="19.42578125" style="14" customWidth="1"/>
    <col min="3086" max="3086" width="1.42578125" style="14" customWidth="1"/>
    <col min="3087" max="3087" width="17" style="14" customWidth="1"/>
    <col min="3088" max="3088" width="19.5703125" style="14" customWidth="1"/>
    <col min="3089" max="3328" width="9.140625" style="14"/>
    <col min="3329" max="3329" width="36.28515625" style="14" customWidth="1"/>
    <col min="3330" max="3330" width="15.7109375" style="14" customWidth="1"/>
    <col min="3331" max="3332" width="17" style="14" customWidth="1"/>
    <col min="3333" max="3333" width="16.7109375" style="14" customWidth="1"/>
    <col min="3334" max="3334" width="14.42578125" style="14" customWidth="1"/>
    <col min="3335" max="3335" width="17.5703125" style="14" customWidth="1"/>
    <col min="3336" max="3336" width="1.42578125" style="14" customWidth="1"/>
    <col min="3337" max="3337" width="17.28515625" style="14" customWidth="1"/>
    <col min="3338" max="3338" width="17.140625" style="14" customWidth="1"/>
    <col min="3339" max="3339" width="1.42578125" style="14" customWidth="1"/>
    <col min="3340" max="3340" width="17.7109375" style="14" customWidth="1"/>
    <col min="3341" max="3341" width="19.42578125" style="14" customWidth="1"/>
    <col min="3342" max="3342" width="1.42578125" style="14" customWidth="1"/>
    <col min="3343" max="3343" width="17" style="14" customWidth="1"/>
    <col min="3344" max="3344" width="19.5703125" style="14" customWidth="1"/>
    <col min="3345" max="3584" width="9.140625" style="14"/>
    <col min="3585" max="3585" width="36.28515625" style="14" customWidth="1"/>
    <col min="3586" max="3586" width="15.7109375" style="14" customWidth="1"/>
    <col min="3587" max="3588" width="17" style="14" customWidth="1"/>
    <col min="3589" max="3589" width="16.7109375" style="14" customWidth="1"/>
    <col min="3590" max="3590" width="14.42578125" style="14" customWidth="1"/>
    <col min="3591" max="3591" width="17.5703125" style="14" customWidth="1"/>
    <col min="3592" max="3592" width="1.42578125" style="14" customWidth="1"/>
    <col min="3593" max="3593" width="17.28515625" style="14" customWidth="1"/>
    <col min="3594" max="3594" width="17.140625" style="14" customWidth="1"/>
    <col min="3595" max="3595" width="1.42578125" style="14" customWidth="1"/>
    <col min="3596" max="3596" width="17.7109375" style="14" customWidth="1"/>
    <col min="3597" max="3597" width="19.42578125" style="14" customWidth="1"/>
    <col min="3598" max="3598" width="1.42578125" style="14" customWidth="1"/>
    <col min="3599" max="3599" width="17" style="14" customWidth="1"/>
    <col min="3600" max="3600" width="19.5703125" style="14" customWidth="1"/>
    <col min="3601" max="3840" width="9.140625" style="14"/>
    <col min="3841" max="3841" width="36.28515625" style="14" customWidth="1"/>
    <col min="3842" max="3842" width="15.7109375" style="14" customWidth="1"/>
    <col min="3843" max="3844" width="17" style="14" customWidth="1"/>
    <col min="3845" max="3845" width="16.7109375" style="14" customWidth="1"/>
    <col min="3846" max="3846" width="14.42578125" style="14" customWidth="1"/>
    <col min="3847" max="3847" width="17.5703125" style="14" customWidth="1"/>
    <col min="3848" max="3848" width="1.42578125" style="14" customWidth="1"/>
    <col min="3849" max="3849" width="17.28515625" style="14" customWidth="1"/>
    <col min="3850" max="3850" width="17.140625" style="14" customWidth="1"/>
    <col min="3851" max="3851" width="1.42578125" style="14" customWidth="1"/>
    <col min="3852" max="3852" width="17.7109375" style="14" customWidth="1"/>
    <col min="3853" max="3853" width="19.42578125" style="14" customWidth="1"/>
    <col min="3854" max="3854" width="1.42578125" style="14" customWidth="1"/>
    <col min="3855" max="3855" width="17" style="14" customWidth="1"/>
    <col min="3856" max="3856" width="19.5703125" style="14" customWidth="1"/>
    <col min="3857" max="4096" width="9.140625" style="14"/>
    <col min="4097" max="4097" width="36.28515625" style="14" customWidth="1"/>
    <col min="4098" max="4098" width="15.7109375" style="14" customWidth="1"/>
    <col min="4099" max="4100" width="17" style="14" customWidth="1"/>
    <col min="4101" max="4101" width="16.7109375" style="14" customWidth="1"/>
    <col min="4102" max="4102" width="14.42578125" style="14" customWidth="1"/>
    <col min="4103" max="4103" width="17.5703125" style="14" customWidth="1"/>
    <col min="4104" max="4104" width="1.42578125" style="14" customWidth="1"/>
    <col min="4105" max="4105" width="17.28515625" style="14" customWidth="1"/>
    <col min="4106" max="4106" width="17.140625" style="14" customWidth="1"/>
    <col min="4107" max="4107" width="1.42578125" style="14" customWidth="1"/>
    <col min="4108" max="4108" width="17.7109375" style="14" customWidth="1"/>
    <col min="4109" max="4109" width="19.42578125" style="14" customWidth="1"/>
    <col min="4110" max="4110" width="1.42578125" style="14" customWidth="1"/>
    <col min="4111" max="4111" width="17" style="14" customWidth="1"/>
    <col min="4112" max="4112" width="19.5703125" style="14" customWidth="1"/>
    <col min="4113" max="4352" width="9.140625" style="14"/>
    <col min="4353" max="4353" width="36.28515625" style="14" customWidth="1"/>
    <col min="4354" max="4354" width="15.7109375" style="14" customWidth="1"/>
    <col min="4355" max="4356" width="17" style="14" customWidth="1"/>
    <col min="4357" max="4357" width="16.7109375" style="14" customWidth="1"/>
    <col min="4358" max="4358" width="14.42578125" style="14" customWidth="1"/>
    <col min="4359" max="4359" width="17.5703125" style="14" customWidth="1"/>
    <col min="4360" max="4360" width="1.42578125" style="14" customWidth="1"/>
    <col min="4361" max="4361" width="17.28515625" style="14" customWidth="1"/>
    <col min="4362" max="4362" width="17.140625" style="14" customWidth="1"/>
    <col min="4363" max="4363" width="1.42578125" style="14" customWidth="1"/>
    <col min="4364" max="4364" width="17.7109375" style="14" customWidth="1"/>
    <col min="4365" max="4365" width="19.42578125" style="14" customWidth="1"/>
    <col min="4366" max="4366" width="1.42578125" style="14" customWidth="1"/>
    <col min="4367" max="4367" width="17" style="14" customWidth="1"/>
    <col min="4368" max="4368" width="19.5703125" style="14" customWidth="1"/>
    <col min="4369" max="4608" width="9.140625" style="14"/>
    <col min="4609" max="4609" width="36.28515625" style="14" customWidth="1"/>
    <col min="4610" max="4610" width="15.7109375" style="14" customWidth="1"/>
    <col min="4611" max="4612" width="17" style="14" customWidth="1"/>
    <col min="4613" max="4613" width="16.7109375" style="14" customWidth="1"/>
    <col min="4614" max="4614" width="14.42578125" style="14" customWidth="1"/>
    <col min="4615" max="4615" width="17.5703125" style="14" customWidth="1"/>
    <col min="4616" max="4616" width="1.42578125" style="14" customWidth="1"/>
    <col min="4617" max="4617" width="17.28515625" style="14" customWidth="1"/>
    <col min="4618" max="4618" width="17.140625" style="14" customWidth="1"/>
    <col min="4619" max="4619" width="1.42578125" style="14" customWidth="1"/>
    <col min="4620" max="4620" width="17.7109375" style="14" customWidth="1"/>
    <col min="4621" max="4621" width="19.42578125" style="14" customWidth="1"/>
    <col min="4622" max="4622" width="1.42578125" style="14" customWidth="1"/>
    <col min="4623" max="4623" width="17" style="14" customWidth="1"/>
    <col min="4624" max="4624" width="19.5703125" style="14" customWidth="1"/>
    <col min="4625" max="4864" width="9.140625" style="14"/>
    <col min="4865" max="4865" width="36.28515625" style="14" customWidth="1"/>
    <col min="4866" max="4866" width="15.7109375" style="14" customWidth="1"/>
    <col min="4867" max="4868" width="17" style="14" customWidth="1"/>
    <col min="4869" max="4869" width="16.7109375" style="14" customWidth="1"/>
    <col min="4870" max="4870" width="14.42578125" style="14" customWidth="1"/>
    <col min="4871" max="4871" width="17.5703125" style="14" customWidth="1"/>
    <col min="4872" max="4872" width="1.42578125" style="14" customWidth="1"/>
    <col min="4873" max="4873" width="17.28515625" style="14" customWidth="1"/>
    <col min="4874" max="4874" width="17.140625" style="14" customWidth="1"/>
    <col min="4875" max="4875" width="1.42578125" style="14" customWidth="1"/>
    <col min="4876" max="4876" width="17.7109375" style="14" customWidth="1"/>
    <col min="4877" max="4877" width="19.42578125" style="14" customWidth="1"/>
    <col min="4878" max="4878" width="1.42578125" style="14" customWidth="1"/>
    <col min="4879" max="4879" width="17" style="14" customWidth="1"/>
    <col min="4880" max="4880" width="19.5703125" style="14" customWidth="1"/>
    <col min="4881" max="5120" width="9.140625" style="14"/>
    <col min="5121" max="5121" width="36.28515625" style="14" customWidth="1"/>
    <col min="5122" max="5122" width="15.7109375" style="14" customWidth="1"/>
    <col min="5123" max="5124" width="17" style="14" customWidth="1"/>
    <col min="5125" max="5125" width="16.7109375" style="14" customWidth="1"/>
    <col min="5126" max="5126" width="14.42578125" style="14" customWidth="1"/>
    <col min="5127" max="5127" width="17.5703125" style="14" customWidth="1"/>
    <col min="5128" max="5128" width="1.42578125" style="14" customWidth="1"/>
    <col min="5129" max="5129" width="17.28515625" style="14" customWidth="1"/>
    <col min="5130" max="5130" width="17.140625" style="14" customWidth="1"/>
    <col min="5131" max="5131" width="1.42578125" style="14" customWidth="1"/>
    <col min="5132" max="5132" width="17.7109375" style="14" customWidth="1"/>
    <col min="5133" max="5133" width="19.42578125" style="14" customWidth="1"/>
    <col min="5134" max="5134" width="1.42578125" style="14" customWidth="1"/>
    <col min="5135" max="5135" width="17" style="14" customWidth="1"/>
    <col min="5136" max="5136" width="19.5703125" style="14" customWidth="1"/>
    <col min="5137" max="5376" width="9.140625" style="14"/>
    <col min="5377" max="5377" width="36.28515625" style="14" customWidth="1"/>
    <col min="5378" max="5378" width="15.7109375" style="14" customWidth="1"/>
    <col min="5379" max="5380" width="17" style="14" customWidth="1"/>
    <col min="5381" max="5381" width="16.7109375" style="14" customWidth="1"/>
    <col min="5382" max="5382" width="14.42578125" style="14" customWidth="1"/>
    <col min="5383" max="5383" width="17.5703125" style="14" customWidth="1"/>
    <col min="5384" max="5384" width="1.42578125" style="14" customWidth="1"/>
    <col min="5385" max="5385" width="17.28515625" style="14" customWidth="1"/>
    <col min="5386" max="5386" width="17.140625" style="14" customWidth="1"/>
    <col min="5387" max="5387" width="1.42578125" style="14" customWidth="1"/>
    <col min="5388" max="5388" width="17.7109375" style="14" customWidth="1"/>
    <col min="5389" max="5389" width="19.42578125" style="14" customWidth="1"/>
    <col min="5390" max="5390" width="1.42578125" style="14" customWidth="1"/>
    <col min="5391" max="5391" width="17" style="14" customWidth="1"/>
    <col min="5392" max="5392" width="19.5703125" style="14" customWidth="1"/>
    <col min="5393" max="5632" width="9.140625" style="14"/>
    <col min="5633" max="5633" width="36.28515625" style="14" customWidth="1"/>
    <col min="5634" max="5634" width="15.7109375" style="14" customWidth="1"/>
    <col min="5635" max="5636" width="17" style="14" customWidth="1"/>
    <col min="5637" max="5637" width="16.7109375" style="14" customWidth="1"/>
    <col min="5638" max="5638" width="14.42578125" style="14" customWidth="1"/>
    <col min="5639" max="5639" width="17.5703125" style="14" customWidth="1"/>
    <col min="5640" max="5640" width="1.42578125" style="14" customWidth="1"/>
    <col min="5641" max="5641" width="17.28515625" style="14" customWidth="1"/>
    <col min="5642" max="5642" width="17.140625" style="14" customWidth="1"/>
    <col min="5643" max="5643" width="1.42578125" style="14" customWidth="1"/>
    <col min="5644" max="5644" width="17.7109375" style="14" customWidth="1"/>
    <col min="5645" max="5645" width="19.42578125" style="14" customWidth="1"/>
    <col min="5646" max="5646" width="1.42578125" style="14" customWidth="1"/>
    <col min="5647" max="5647" width="17" style="14" customWidth="1"/>
    <col min="5648" max="5648" width="19.5703125" style="14" customWidth="1"/>
    <col min="5649" max="5888" width="9.140625" style="14"/>
    <col min="5889" max="5889" width="36.28515625" style="14" customWidth="1"/>
    <col min="5890" max="5890" width="15.7109375" style="14" customWidth="1"/>
    <col min="5891" max="5892" width="17" style="14" customWidth="1"/>
    <col min="5893" max="5893" width="16.7109375" style="14" customWidth="1"/>
    <col min="5894" max="5894" width="14.42578125" style="14" customWidth="1"/>
    <col min="5895" max="5895" width="17.5703125" style="14" customWidth="1"/>
    <col min="5896" max="5896" width="1.42578125" style="14" customWidth="1"/>
    <col min="5897" max="5897" width="17.28515625" style="14" customWidth="1"/>
    <col min="5898" max="5898" width="17.140625" style="14" customWidth="1"/>
    <col min="5899" max="5899" width="1.42578125" style="14" customWidth="1"/>
    <col min="5900" max="5900" width="17.7109375" style="14" customWidth="1"/>
    <col min="5901" max="5901" width="19.42578125" style="14" customWidth="1"/>
    <col min="5902" max="5902" width="1.42578125" style="14" customWidth="1"/>
    <col min="5903" max="5903" width="17" style="14" customWidth="1"/>
    <col min="5904" max="5904" width="19.5703125" style="14" customWidth="1"/>
    <col min="5905" max="6144" width="9.140625" style="14"/>
    <col min="6145" max="6145" width="36.28515625" style="14" customWidth="1"/>
    <col min="6146" max="6146" width="15.7109375" style="14" customWidth="1"/>
    <col min="6147" max="6148" width="17" style="14" customWidth="1"/>
    <col min="6149" max="6149" width="16.7109375" style="14" customWidth="1"/>
    <col min="6150" max="6150" width="14.42578125" style="14" customWidth="1"/>
    <col min="6151" max="6151" width="17.5703125" style="14" customWidth="1"/>
    <col min="6152" max="6152" width="1.42578125" style="14" customWidth="1"/>
    <col min="6153" max="6153" width="17.28515625" style="14" customWidth="1"/>
    <col min="6154" max="6154" width="17.140625" style="14" customWidth="1"/>
    <col min="6155" max="6155" width="1.42578125" style="14" customWidth="1"/>
    <col min="6156" max="6156" width="17.7109375" style="14" customWidth="1"/>
    <col min="6157" max="6157" width="19.42578125" style="14" customWidth="1"/>
    <col min="6158" max="6158" width="1.42578125" style="14" customWidth="1"/>
    <col min="6159" max="6159" width="17" style="14" customWidth="1"/>
    <col min="6160" max="6160" width="19.5703125" style="14" customWidth="1"/>
    <col min="6161" max="6400" width="9.140625" style="14"/>
    <col min="6401" max="6401" width="36.28515625" style="14" customWidth="1"/>
    <col min="6402" max="6402" width="15.7109375" style="14" customWidth="1"/>
    <col min="6403" max="6404" width="17" style="14" customWidth="1"/>
    <col min="6405" max="6405" width="16.7109375" style="14" customWidth="1"/>
    <col min="6406" max="6406" width="14.42578125" style="14" customWidth="1"/>
    <col min="6407" max="6407" width="17.5703125" style="14" customWidth="1"/>
    <col min="6408" max="6408" width="1.42578125" style="14" customWidth="1"/>
    <col min="6409" max="6409" width="17.28515625" style="14" customWidth="1"/>
    <col min="6410" max="6410" width="17.140625" style="14" customWidth="1"/>
    <col min="6411" max="6411" width="1.42578125" style="14" customWidth="1"/>
    <col min="6412" max="6412" width="17.7109375" style="14" customWidth="1"/>
    <col min="6413" max="6413" width="19.42578125" style="14" customWidth="1"/>
    <col min="6414" max="6414" width="1.42578125" style="14" customWidth="1"/>
    <col min="6415" max="6415" width="17" style="14" customWidth="1"/>
    <col min="6416" max="6416" width="19.5703125" style="14" customWidth="1"/>
    <col min="6417" max="6656" width="9.140625" style="14"/>
    <col min="6657" max="6657" width="36.28515625" style="14" customWidth="1"/>
    <col min="6658" max="6658" width="15.7109375" style="14" customWidth="1"/>
    <col min="6659" max="6660" width="17" style="14" customWidth="1"/>
    <col min="6661" max="6661" width="16.7109375" style="14" customWidth="1"/>
    <col min="6662" max="6662" width="14.42578125" style="14" customWidth="1"/>
    <col min="6663" max="6663" width="17.5703125" style="14" customWidth="1"/>
    <col min="6664" max="6664" width="1.42578125" style="14" customWidth="1"/>
    <col min="6665" max="6665" width="17.28515625" style="14" customWidth="1"/>
    <col min="6666" max="6666" width="17.140625" style="14" customWidth="1"/>
    <col min="6667" max="6667" width="1.42578125" style="14" customWidth="1"/>
    <col min="6668" max="6668" width="17.7109375" style="14" customWidth="1"/>
    <col min="6669" max="6669" width="19.42578125" style="14" customWidth="1"/>
    <col min="6670" max="6670" width="1.42578125" style="14" customWidth="1"/>
    <col min="6671" max="6671" width="17" style="14" customWidth="1"/>
    <col min="6672" max="6672" width="19.5703125" style="14" customWidth="1"/>
    <col min="6673" max="6912" width="9.140625" style="14"/>
    <col min="6913" max="6913" width="36.28515625" style="14" customWidth="1"/>
    <col min="6914" max="6914" width="15.7109375" style="14" customWidth="1"/>
    <col min="6915" max="6916" width="17" style="14" customWidth="1"/>
    <col min="6917" max="6917" width="16.7109375" style="14" customWidth="1"/>
    <col min="6918" max="6918" width="14.42578125" style="14" customWidth="1"/>
    <col min="6919" max="6919" width="17.5703125" style="14" customWidth="1"/>
    <col min="6920" max="6920" width="1.42578125" style="14" customWidth="1"/>
    <col min="6921" max="6921" width="17.28515625" style="14" customWidth="1"/>
    <col min="6922" max="6922" width="17.140625" style="14" customWidth="1"/>
    <col min="6923" max="6923" width="1.42578125" style="14" customWidth="1"/>
    <col min="6924" max="6924" width="17.7109375" style="14" customWidth="1"/>
    <col min="6925" max="6925" width="19.42578125" style="14" customWidth="1"/>
    <col min="6926" max="6926" width="1.42578125" style="14" customWidth="1"/>
    <col min="6927" max="6927" width="17" style="14" customWidth="1"/>
    <col min="6928" max="6928" width="19.5703125" style="14" customWidth="1"/>
    <col min="6929" max="7168" width="9.140625" style="14"/>
    <col min="7169" max="7169" width="36.28515625" style="14" customWidth="1"/>
    <col min="7170" max="7170" width="15.7109375" style="14" customWidth="1"/>
    <col min="7171" max="7172" width="17" style="14" customWidth="1"/>
    <col min="7173" max="7173" width="16.7109375" style="14" customWidth="1"/>
    <col min="7174" max="7174" width="14.42578125" style="14" customWidth="1"/>
    <col min="7175" max="7175" width="17.5703125" style="14" customWidth="1"/>
    <col min="7176" max="7176" width="1.42578125" style="14" customWidth="1"/>
    <col min="7177" max="7177" width="17.28515625" style="14" customWidth="1"/>
    <col min="7178" max="7178" width="17.140625" style="14" customWidth="1"/>
    <col min="7179" max="7179" width="1.42578125" style="14" customWidth="1"/>
    <col min="7180" max="7180" width="17.7109375" style="14" customWidth="1"/>
    <col min="7181" max="7181" width="19.42578125" style="14" customWidth="1"/>
    <col min="7182" max="7182" width="1.42578125" style="14" customWidth="1"/>
    <col min="7183" max="7183" width="17" style="14" customWidth="1"/>
    <col min="7184" max="7184" width="19.5703125" style="14" customWidth="1"/>
    <col min="7185" max="7424" width="9.140625" style="14"/>
    <col min="7425" max="7425" width="36.28515625" style="14" customWidth="1"/>
    <col min="7426" max="7426" width="15.7109375" style="14" customWidth="1"/>
    <col min="7427" max="7428" width="17" style="14" customWidth="1"/>
    <col min="7429" max="7429" width="16.7109375" style="14" customWidth="1"/>
    <col min="7430" max="7430" width="14.42578125" style="14" customWidth="1"/>
    <col min="7431" max="7431" width="17.5703125" style="14" customWidth="1"/>
    <col min="7432" max="7432" width="1.42578125" style="14" customWidth="1"/>
    <col min="7433" max="7433" width="17.28515625" style="14" customWidth="1"/>
    <col min="7434" max="7434" width="17.140625" style="14" customWidth="1"/>
    <col min="7435" max="7435" width="1.42578125" style="14" customWidth="1"/>
    <col min="7436" max="7436" width="17.7109375" style="14" customWidth="1"/>
    <col min="7437" max="7437" width="19.42578125" style="14" customWidth="1"/>
    <col min="7438" max="7438" width="1.42578125" style="14" customWidth="1"/>
    <col min="7439" max="7439" width="17" style="14" customWidth="1"/>
    <col min="7440" max="7440" width="19.5703125" style="14" customWidth="1"/>
    <col min="7441" max="7680" width="9.140625" style="14"/>
    <col min="7681" max="7681" width="36.28515625" style="14" customWidth="1"/>
    <col min="7682" max="7682" width="15.7109375" style="14" customWidth="1"/>
    <col min="7683" max="7684" width="17" style="14" customWidth="1"/>
    <col min="7685" max="7685" width="16.7109375" style="14" customWidth="1"/>
    <col min="7686" max="7686" width="14.42578125" style="14" customWidth="1"/>
    <col min="7687" max="7687" width="17.5703125" style="14" customWidth="1"/>
    <col min="7688" max="7688" width="1.42578125" style="14" customWidth="1"/>
    <col min="7689" max="7689" width="17.28515625" style="14" customWidth="1"/>
    <col min="7690" max="7690" width="17.140625" style="14" customWidth="1"/>
    <col min="7691" max="7691" width="1.42578125" style="14" customWidth="1"/>
    <col min="7692" max="7692" width="17.7109375" style="14" customWidth="1"/>
    <col min="7693" max="7693" width="19.42578125" style="14" customWidth="1"/>
    <col min="7694" max="7694" width="1.42578125" style="14" customWidth="1"/>
    <col min="7695" max="7695" width="17" style="14" customWidth="1"/>
    <col min="7696" max="7696" width="19.5703125" style="14" customWidth="1"/>
    <col min="7697" max="7936" width="9.140625" style="14"/>
    <col min="7937" max="7937" width="36.28515625" style="14" customWidth="1"/>
    <col min="7938" max="7938" width="15.7109375" style="14" customWidth="1"/>
    <col min="7939" max="7940" width="17" style="14" customWidth="1"/>
    <col min="7941" max="7941" width="16.7109375" style="14" customWidth="1"/>
    <col min="7942" max="7942" width="14.42578125" style="14" customWidth="1"/>
    <col min="7943" max="7943" width="17.5703125" style="14" customWidth="1"/>
    <col min="7944" max="7944" width="1.42578125" style="14" customWidth="1"/>
    <col min="7945" max="7945" width="17.28515625" style="14" customWidth="1"/>
    <col min="7946" max="7946" width="17.140625" style="14" customWidth="1"/>
    <col min="7947" max="7947" width="1.42578125" style="14" customWidth="1"/>
    <col min="7948" max="7948" width="17.7109375" style="14" customWidth="1"/>
    <col min="7949" max="7949" width="19.42578125" style="14" customWidth="1"/>
    <col min="7950" max="7950" width="1.42578125" style="14" customWidth="1"/>
    <col min="7951" max="7951" width="17" style="14" customWidth="1"/>
    <col min="7952" max="7952" width="19.5703125" style="14" customWidth="1"/>
    <col min="7953" max="8192" width="9.140625" style="14"/>
    <col min="8193" max="8193" width="36.28515625" style="14" customWidth="1"/>
    <col min="8194" max="8194" width="15.7109375" style="14" customWidth="1"/>
    <col min="8195" max="8196" width="17" style="14" customWidth="1"/>
    <col min="8197" max="8197" width="16.7109375" style="14" customWidth="1"/>
    <col min="8198" max="8198" width="14.42578125" style="14" customWidth="1"/>
    <col min="8199" max="8199" width="17.5703125" style="14" customWidth="1"/>
    <col min="8200" max="8200" width="1.42578125" style="14" customWidth="1"/>
    <col min="8201" max="8201" width="17.28515625" style="14" customWidth="1"/>
    <col min="8202" max="8202" width="17.140625" style="14" customWidth="1"/>
    <col min="8203" max="8203" width="1.42578125" style="14" customWidth="1"/>
    <col min="8204" max="8204" width="17.7109375" style="14" customWidth="1"/>
    <col min="8205" max="8205" width="19.42578125" style="14" customWidth="1"/>
    <col min="8206" max="8206" width="1.42578125" style="14" customWidth="1"/>
    <col min="8207" max="8207" width="17" style="14" customWidth="1"/>
    <col min="8208" max="8208" width="19.5703125" style="14" customWidth="1"/>
    <col min="8209" max="8448" width="9.140625" style="14"/>
    <col min="8449" max="8449" width="36.28515625" style="14" customWidth="1"/>
    <col min="8450" max="8450" width="15.7109375" style="14" customWidth="1"/>
    <col min="8451" max="8452" width="17" style="14" customWidth="1"/>
    <col min="8453" max="8453" width="16.7109375" style="14" customWidth="1"/>
    <col min="8454" max="8454" width="14.42578125" style="14" customWidth="1"/>
    <col min="8455" max="8455" width="17.5703125" style="14" customWidth="1"/>
    <col min="8456" max="8456" width="1.42578125" style="14" customWidth="1"/>
    <col min="8457" max="8457" width="17.28515625" style="14" customWidth="1"/>
    <col min="8458" max="8458" width="17.140625" style="14" customWidth="1"/>
    <col min="8459" max="8459" width="1.42578125" style="14" customWidth="1"/>
    <col min="8460" max="8460" width="17.7109375" style="14" customWidth="1"/>
    <col min="8461" max="8461" width="19.42578125" style="14" customWidth="1"/>
    <col min="8462" max="8462" width="1.42578125" style="14" customWidth="1"/>
    <col min="8463" max="8463" width="17" style="14" customWidth="1"/>
    <col min="8464" max="8464" width="19.5703125" style="14" customWidth="1"/>
    <col min="8465" max="8704" width="9.140625" style="14"/>
    <col min="8705" max="8705" width="36.28515625" style="14" customWidth="1"/>
    <col min="8706" max="8706" width="15.7109375" style="14" customWidth="1"/>
    <col min="8707" max="8708" width="17" style="14" customWidth="1"/>
    <col min="8709" max="8709" width="16.7109375" style="14" customWidth="1"/>
    <col min="8710" max="8710" width="14.42578125" style="14" customWidth="1"/>
    <col min="8711" max="8711" width="17.5703125" style="14" customWidth="1"/>
    <col min="8712" max="8712" width="1.42578125" style="14" customWidth="1"/>
    <col min="8713" max="8713" width="17.28515625" style="14" customWidth="1"/>
    <col min="8714" max="8714" width="17.140625" style="14" customWidth="1"/>
    <col min="8715" max="8715" width="1.42578125" style="14" customWidth="1"/>
    <col min="8716" max="8716" width="17.7109375" style="14" customWidth="1"/>
    <col min="8717" max="8717" width="19.42578125" style="14" customWidth="1"/>
    <col min="8718" max="8718" width="1.42578125" style="14" customWidth="1"/>
    <col min="8719" max="8719" width="17" style="14" customWidth="1"/>
    <col min="8720" max="8720" width="19.5703125" style="14" customWidth="1"/>
    <col min="8721" max="8960" width="9.140625" style="14"/>
    <col min="8961" max="8961" width="36.28515625" style="14" customWidth="1"/>
    <col min="8962" max="8962" width="15.7109375" style="14" customWidth="1"/>
    <col min="8963" max="8964" width="17" style="14" customWidth="1"/>
    <col min="8965" max="8965" width="16.7109375" style="14" customWidth="1"/>
    <col min="8966" max="8966" width="14.42578125" style="14" customWidth="1"/>
    <col min="8967" max="8967" width="17.5703125" style="14" customWidth="1"/>
    <col min="8968" max="8968" width="1.42578125" style="14" customWidth="1"/>
    <col min="8969" max="8969" width="17.28515625" style="14" customWidth="1"/>
    <col min="8970" max="8970" width="17.140625" style="14" customWidth="1"/>
    <col min="8971" max="8971" width="1.42578125" style="14" customWidth="1"/>
    <col min="8972" max="8972" width="17.7109375" style="14" customWidth="1"/>
    <col min="8973" max="8973" width="19.42578125" style="14" customWidth="1"/>
    <col min="8974" max="8974" width="1.42578125" style="14" customWidth="1"/>
    <col min="8975" max="8975" width="17" style="14" customWidth="1"/>
    <col min="8976" max="8976" width="19.5703125" style="14" customWidth="1"/>
    <col min="8977" max="9216" width="9.140625" style="14"/>
    <col min="9217" max="9217" width="36.28515625" style="14" customWidth="1"/>
    <col min="9218" max="9218" width="15.7109375" style="14" customWidth="1"/>
    <col min="9219" max="9220" width="17" style="14" customWidth="1"/>
    <col min="9221" max="9221" width="16.7109375" style="14" customWidth="1"/>
    <col min="9222" max="9222" width="14.42578125" style="14" customWidth="1"/>
    <col min="9223" max="9223" width="17.5703125" style="14" customWidth="1"/>
    <col min="9224" max="9224" width="1.42578125" style="14" customWidth="1"/>
    <col min="9225" max="9225" width="17.28515625" style="14" customWidth="1"/>
    <col min="9226" max="9226" width="17.140625" style="14" customWidth="1"/>
    <col min="9227" max="9227" width="1.42578125" style="14" customWidth="1"/>
    <col min="9228" max="9228" width="17.7109375" style="14" customWidth="1"/>
    <col min="9229" max="9229" width="19.42578125" style="14" customWidth="1"/>
    <col min="9230" max="9230" width="1.42578125" style="14" customWidth="1"/>
    <col min="9231" max="9231" width="17" style="14" customWidth="1"/>
    <col min="9232" max="9232" width="19.5703125" style="14" customWidth="1"/>
    <col min="9233" max="9472" width="9.140625" style="14"/>
    <col min="9473" max="9473" width="36.28515625" style="14" customWidth="1"/>
    <col min="9474" max="9474" width="15.7109375" style="14" customWidth="1"/>
    <col min="9475" max="9476" width="17" style="14" customWidth="1"/>
    <col min="9477" max="9477" width="16.7109375" style="14" customWidth="1"/>
    <col min="9478" max="9478" width="14.42578125" style="14" customWidth="1"/>
    <col min="9479" max="9479" width="17.5703125" style="14" customWidth="1"/>
    <col min="9480" max="9480" width="1.42578125" style="14" customWidth="1"/>
    <col min="9481" max="9481" width="17.28515625" style="14" customWidth="1"/>
    <col min="9482" max="9482" width="17.140625" style="14" customWidth="1"/>
    <col min="9483" max="9483" width="1.42578125" style="14" customWidth="1"/>
    <col min="9484" max="9484" width="17.7109375" style="14" customWidth="1"/>
    <col min="9485" max="9485" width="19.42578125" style="14" customWidth="1"/>
    <col min="9486" max="9486" width="1.42578125" style="14" customWidth="1"/>
    <col min="9487" max="9487" width="17" style="14" customWidth="1"/>
    <col min="9488" max="9488" width="19.5703125" style="14" customWidth="1"/>
    <col min="9489" max="9728" width="9.140625" style="14"/>
    <col min="9729" max="9729" width="36.28515625" style="14" customWidth="1"/>
    <col min="9730" max="9730" width="15.7109375" style="14" customWidth="1"/>
    <col min="9731" max="9732" width="17" style="14" customWidth="1"/>
    <col min="9733" max="9733" width="16.7109375" style="14" customWidth="1"/>
    <col min="9734" max="9734" width="14.42578125" style="14" customWidth="1"/>
    <col min="9735" max="9735" width="17.5703125" style="14" customWidth="1"/>
    <col min="9736" max="9736" width="1.42578125" style="14" customWidth="1"/>
    <col min="9737" max="9737" width="17.28515625" style="14" customWidth="1"/>
    <col min="9738" max="9738" width="17.140625" style="14" customWidth="1"/>
    <col min="9739" max="9739" width="1.42578125" style="14" customWidth="1"/>
    <col min="9740" max="9740" width="17.7109375" style="14" customWidth="1"/>
    <col min="9741" max="9741" width="19.42578125" style="14" customWidth="1"/>
    <col min="9742" max="9742" width="1.42578125" style="14" customWidth="1"/>
    <col min="9743" max="9743" width="17" style="14" customWidth="1"/>
    <col min="9744" max="9744" width="19.5703125" style="14" customWidth="1"/>
    <col min="9745" max="9984" width="9.140625" style="14"/>
    <col min="9985" max="9985" width="36.28515625" style="14" customWidth="1"/>
    <col min="9986" max="9986" width="15.7109375" style="14" customWidth="1"/>
    <col min="9987" max="9988" width="17" style="14" customWidth="1"/>
    <col min="9989" max="9989" width="16.7109375" style="14" customWidth="1"/>
    <col min="9990" max="9990" width="14.42578125" style="14" customWidth="1"/>
    <col min="9991" max="9991" width="17.5703125" style="14" customWidth="1"/>
    <col min="9992" max="9992" width="1.42578125" style="14" customWidth="1"/>
    <col min="9993" max="9993" width="17.28515625" style="14" customWidth="1"/>
    <col min="9994" max="9994" width="17.140625" style="14" customWidth="1"/>
    <col min="9995" max="9995" width="1.42578125" style="14" customWidth="1"/>
    <col min="9996" max="9996" width="17.7109375" style="14" customWidth="1"/>
    <col min="9997" max="9997" width="19.42578125" style="14" customWidth="1"/>
    <col min="9998" max="9998" width="1.42578125" style="14" customWidth="1"/>
    <col min="9999" max="9999" width="17" style="14" customWidth="1"/>
    <col min="10000" max="10000" width="19.5703125" style="14" customWidth="1"/>
    <col min="10001" max="10240" width="9.140625" style="14"/>
    <col min="10241" max="10241" width="36.28515625" style="14" customWidth="1"/>
    <col min="10242" max="10242" width="15.7109375" style="14" customWidth="1"/>
    <col min="10243" max="10244" width="17" style="14" customWidth="1"/>
    <col min="10245" max="10245" width="16.7109375" style="14" customWidth="1"/>
    <col min="10246" max="10246" width="14.42578125" style="14" customWidth="1"/>
    <col min="10247" max="10247" width="17.5703125" style="14" customWidth="1"/>
    <col min="10248" max="10248" width="1.42578125" style="14" customWidth="1"/>
    <col min="10249" max="10249" width="17.28515625" style="14" customWidth="1"/>
    <col min="10250" max="10250" width="17.140625" style="14" customWidth="1"/>
    <col min="10251" max="10251" width="1.42578125" style="14" customWidth="1"/>
    <col min="10252" max="10252" width="17.7109375" style="14" customWidth="1"/>
    <col min="10253" max="10253" width="19.42578125" style="14" customWidth="1"/>
    <col min="10254" max="10254" width="1.42578125" style="14" customWidth="1"/>
    <col min="10255" max="10255" width="17" style="14" customWidth="1"/>
    <col min="10256" max="10256" width="19.5703125" style="14" customWidth="1"/>
    <col min="10257" max="10496" width="9.140625" style="14"/>
    <col min="10497" max="10497" width="36.28515625" style="14" customWidth="1"/>
    <col min="10498" max="10498" width="15.7109375" style="14" customWidth="1"/>
    <col min="10499" max="10500" width="17" style="14" customWidth="1"/>
    <col min="10501" max="10501" width="16.7109375" style="14" customWidth="1"/>
    <col min="10502" max="10502" width="14.42578125" style="14" customWidth="1"/>
    <col min="10503" max="10503" width="17.5703125" style="14" customWidth="1"/>
    <col min="10504" max="10504" width="1.42578125" style="14" customWidth="1"/>
    <col min="10505" max="10505" width="17.28515625" style="14" customWidth="1"/>
    <col min="10506" max="10506" width="17.140625" style="14" customWidth="1"/>
    <col min="10507" max="10507" width="1.42578125" style="14" customWidth="1"/>
    <col min="10508" max="10508" width="17.7109375" style="14" customWidth="1"/>
    <col min="10509" max="10509" width="19.42578125" style="14" customWidth="1"/>
    <col min="10510" max="10510" width="1.42578125" style="14" customWidth="1"/>
    <col min="10511" max="10511" width="17" style="14" customWidth="1"/>
    <col min="10512" max="10512" width="19.5703125" style="14" customWidth="1"/>
    <col min="10513" max="10752" width="9.140625" style="14"/>
    <col min="10753" max="10753" width="36.28515625" style="14" customWidth="1"/>
    <col min="10754" max="10754" width="15.7109375" style="14" customWidth="1"/>
    <col min="10755" max="10756" width="17" style="14" customWidth="1"/>
    <col min="10757" max="10757" width="16.7109375" style="14" customWidth="1"/>
    <col min="10758" max="10758" width="14.42578125" style="14" customWidth="1"/>
    <col min="10759" max="10759" width="17.5703125" style="14" customWidth="1"/>
    <col min="10760" max="10760" width="1.42578125" style="14" customWidth="1"/>
    <col min="10761" max="10761" width="17.28515625" style="14" customWidth="1"/>
    <col min="10762" max="10762" width="17.140625" style="14" customWidth="1"/>
    <col min="10763" max="10763" width="1.42578125" style="14" customWidth="1"/>
    <col min="10764" max="10764" width="17.7109375" style="14" customWidth="1"/>
    <col min="10765" max="10765" width="19.42578125" style="14" customWidth="1"/>
    <col min="10766" max="10766" width="1.42578125" style="14" customWidth="1"/>
    <col min="10767" max="10767" width="17" style="14" customWidth="1"/>
    <col min="10768" max="10768" width="19.5703125" style="14" customWidth="1"/>
    <col min="10769" max="11008" width="9.140625" style="14"/>
    <col min="11009" max="11009" width="36.28515625" style="14" customWidth="1"/>
    <col min="11010" max="11010" width="15.7109375" style="14" customWidth="1"/>
    <col min="11011" max="11012" width="17" style="14" customWidth="1"/>
    <col min="11013" max="11013" width="16.7109375" style="14" customWidth="1"/>
    <col min="11014" max="11014" width="14.42578125" style="14" customWidth="1"/>
    <col min="11015" max="11015" width="17.5703125" style="14" customWidth="1"/>
    <col min="11016" max="11016" width="1.42578125" style="14" customWidth="1"/>
    <col min="11017" max="11017" width="17.28515625" style="14" customWidth="1"/>
    <col min="11018" max="11018" width="17.140625" style="14" customWidth="1"/>
    <col min="11019" max="11019" width="1.42578125" style="14" customWidth="1"/>
    <col min="11020" max="11020" width="17.7109375" style="14" customWidth="1"/>
    <col min="11021" max="11021" width="19.42578125" style="14" customWidth="1"/>
    <col min="11022" max="11022" width="1.42578125" style="14" customWidth="1"/>
    <col min="11023" max="11023" width="17" style="14" customWidth="1"/>
    <col min="11024" max="11024" width="19.5703125" style="14" customWidth="1"/>
    <col min="11025" max="11264" width="9.140625" style="14"/>
    <col min="11265" max="11265" width="36.28515625" style="14" customWidth="1"/>
    <col min="11266" max="11266" width="15.7109375" style="14" customWidth="1"/>
    <col min="11267" max="11268" width="17" style="14" customWidth="1"/>
    <col min="11269" max="11269" width="16.7109375" style="14" customWidth="1"/>
    <col min="11270" max="11270" width="14.42578125" style="14" customWidth="1"/>
    <col min="11271" max="11271" width="17.5703125" style="14" customWidth="1"/>
    <col min="11272" max="11272" width="1.42578125" style="14" customWidth="1"/>
    <col min="11273" max="11273" width="17.28515625" style="14" customWidth="1"/>
    <col min="11274" max="11274" width="17.140625" style="14" customWidth="1"/>
    <col min="11275" max="11275" width="1.42578125" style="14" customWidth="1"/>
    <col min="11276" max="11276" width="17.7109375" style="14" customWidth="1"/>
    <col min="11277" max="11277" width="19.42578125" style="14" customWidth="1"/>
    <col min="11278" max="11278" width="1.42578125" style="14" customWidth="1"/>
    <col min="11279" max="11279" width="17" style="14" customWidth="1"/>
    <col min="11280" max="11280" width="19.5703125" style="14" customWidth="1"/>
    <col min="11281" max="11520" width="9.140625" style="14"/>
    <col min="11521" max="11521" width="36.28515625" style="14" customWidth="1"/>
    <col min="11522" max="11522" width="15.7109375" style="14" customWidth="1"/>
    <col min="11523" max="11524" width="17" style="14" customWidth="1"/>
    <col min="11525" max="11525" width="16.7109375" style="14" customWidth="1"/>
    <col min="11526" max="11526" width="14.42578125" style="14" customWidth="1"/>
    <col min="11527" max="11527" width="17.5703125" style="14" customWidth="1"/>
    <col min="11528" max="11528" width="1.42578125" style="14" customWidth="1"/>
    <col min="11529" max="11529" width="17.28515625" style="14" customWidth="1"/>
    <col min="11530" max="11530" width="17.140625" style="14" customWidth="1"/>
    <col min="11531" max="11531" width="1.42578125" style="14" customWidth="1"/>
    <col min="11532" max="11532" width="17.7109375" style="14" customWidth="1"/>
    <col min="11533" max="11533" width="19.42578125" style="14" customWidth="1"/>
    <col min="11534" max="11534" width="1.42578125" style="14" customWidth="1"/>
    <col min="11535" max="11535" width="17" style="14" customWidth="1"/>
    <col min="11536" max="11536" width="19.5703125" style="14" customWidth="1"/>
    <col min="11537" max="11776" width="9.140625" style="14"/>
    <col min="11777" max="11777" width="36.28515625" style="14" customWidth="1"/>
    <col min="11778" max="11778" width="15.7109375" style="14" customWidth="1"/>
    <col min="11779" max="11780" width="17" style="14" customWidth="1"/>
    <col min="11781" max="11781" width="16.7109375" style="14" customWidth="1"/>
    <col min="11782" max="11782" width="14.42578125" style="14" customWidth="1"/>
    <col min="11783" max="11783" width="17.5703125" style="14" customWidth="1"/>
    <col min="11784" max="11784" width="1.42578125" style="14" customWidth="1"/>
    <col min="11785" max="11785" width="17.28515625" style="14" customWidth="1"/>
    <col min="11786" max="11786" width="17.140625" style="14" customWidth="1"/>
    <col min="11787" max="11787" width="1.42578125" style="14" customWidth="1"/>
    <col min="11788" max="11788" width="17.7109375" style="14" customWidth="1"/>
    <col min="11789" max="11789" width="19.42578125" style="14" customWidth="1"/>
    <col min="11790" max="11790" width="1.42578125" style="14" customWidth="1"/>
    <col min="11791" max="11791" width="17" style="14" customWidth="1"/>
    <col min="11792" max="11792" width="19.5703125" style="14" customWidth="1"/>
    <col min="11793" max="12032" width="9.140625" style="14"/>
    <col min="12033" max="12033" width="36.28515625" style="14" customWidth="1"/>
    <col min="12034" max="12034" width="15.7109375" style="14" customWidth="1"/>
    <col min="12035" max="12036" width="17" style="14" customWidth="1"/>
    <col min="12037" max="12037" width="16.7109375" style="14" customWidth="1"/>
    <col min="12038" max="12038" width="14.42578125" style="14" customWidth="1"/>
    <col min="12039" max="12039" width="17.5703125" style="14" customWidth="1"/>
    <col min="12040" max="12040" width="1.42578125" style="14" customWidth="1"/>
    <col min="12041" max="12041" width="17.28515625" style="14" customWidth="1"/>
    <col min="12042" max="12042" width="17.140625" style="14" customWidth="1"/>
    <col min="12043" max="12043" width="1.42578125" style="14" customWidth="1"/>
    <col min="12044" max="12044" width="17.7109375" style="14" customWidth="1"/>
    <col min="12045" max="12045" width="19.42578125" style="14" customWidth="1"/>
    <col min="12046" max="12046" width="1.42578125" style="14" customWidth="1"/>
    <col min="12047" max="12047" width="17" style="14" customWidth="1"/>
    <col min="12048" max="12048" width="19.5703125" style="14" customWidth="1"/>
    <col min="12049" max="12288" width="9.140625" style="14"/>
    <col min="12289" max="12289" width="36.28515625" style="14" customWidth="1"/>
    <col min="12290" max="12290" width="15.7109375" style="14" customWidth="1"/>
    <col min="12291" max="12292" width="17" style="14" customWidth="1"/>
    <col min="12293" max="12293" width="16.7109375" style="14" customWidth="1"/>
    <col min="12294" max="12294" width="14.42578125" style="14" customWidth="1"/>
    <col min="12295" max="12295" width="17.5703125" style="14" customWidth="1"/>
    <col min="12296" max="12296" width="1.42578125" style="14" customWidth="1"/>
    <col min="12297" max="12297" width="17.28515625" style="14" customWidth="1"/>
    <col min="12298" max="12298" width="17.140625" style="14" customWidth="1"/>
    <col min="12299" max="12299" width="1.42578125" style="14" customWidth="1"/>
    <col min="12300" max="12300" width="17.7109375" style="14" customWidth="1"/>
    <col min="12301" max="12301" width="19.42578125" style="14" customWidth="1"/>
    <col min="12302" max="12302" width="1.42578125" style="14" customWidth="1"/>
    <col min="12303" max="12303" width="17" style="14" customWidth="1"/>
    <col min="12304" max="12304" width="19.5703125" style="14" customWidth="1"/>
    <col min="12305" max="12544" width="9.140625" style="14"/>
    <col min="12545" max="12545" width="36.28515625" style="14" customWidth="1"/>
    <col min="12546" max="12546" width="15.7109375" style="14" customWidth="1"/>
    <col min="12547" max="12548" width="17" style="14" customWidth="1"/>
    <col min="12549" max="12549" width="16.7109375" style="14" customWidth="1"/>
    <col min="12550" max="12550" width="14.42578125" style="14" customWidth="1"/>
    <col min="12551" max="12551" width="17.5703125" style="14" customWidth="1"/>
    <col min="12552" max="12552" width="1.42578125" style="14" customWidth="1"/>
    <col min="12553" max="12553" width="17.28515625" style="14" customWidth="1"/>
    <col min="12554" max="12554" width="17.140625" style="14" customWidth="1"/>
    <col min="12555" max="12555" width="1.42578125" style="14" customWidth="1"/>
    <col min="12556" max="12556" width="17.7109375" style="14" customWidth="1"/>
    <col min="12557" max="12557" width="19.42578125" style="14" customWidth="1"/>
    <col min="12558" max="12558" width="1.42578125" style="14" customWidth="1"/>
    <col min="12559" max="12559" width="17" style="14" customWidth="1"/>
    <col min="12560" max="12560" width="19.5703125" style="14" customWidth="1"/>
    <col min="12561" max="12800" width="9.140625" style="14"/>
    <col min="12801" max="12801" width="36.28515625" style="14" customWidth="1"/>
    <col min="12802" max="12802" width="15.7109375" style="14" customWidth="1"/>
    <col min="12803" max="12804" width="17" style="14" customWidth="1"/>
    <col min="12805" max="12805" width="16.7109375" style="14" customWidth="1"/>
    <col min="12806" max="12806" width="14.42578125" style="14" customWidth="1"/>
    <col min="12807" max="12807" width="17.5703125" style="14" customWidth="1"/>
    <col min="12808" max="12808" width="1.42578125" style="14" customWidth="1"/>
    <col min="12809" max="12809" width="17.28515625" style="14" customWidth="1"/>
    <col min="12810" max="12810" width="17.140625" style="14" customWidth="1"/>
    <col min="12811" max="12811" width="1.42578125" style="14" customWidth="1"/>
    <col min="12812" max="12812" width="17.7109375" style="14" customWidth="1"/>
    <col min="12813" max="12813" width="19.42578125" style="14" customWidth="1"/>
    <col min="12814" max="12814" width="1.42578125" style="14" customWidth="1"/>
    <col min="12815" max="12815" width="17" style="14" customWidth="1"/>
    <col min="12816" max="12816" width="19.5703125" style="14" customWidth="1"/>
    <col min="12817" max="13056" width="9.140625" style="14"/>
    <col min="13057" max="13057" width="36.28515625" style="14" customWidth="1"/>
    <col min="13058" max="13058" width="15.7109375" style="14" customWidth="1"/>
    <col min="13059" max="13060" width="17" style="14" customWidth="1"/>
    <col min="13061" max="13061" width="16.7109375" style="14" customWidth="1"/>
    <col min="13062" max="13062" width="14.42578125" style="14" customWidth="1"/>
    <col min="13063" max="13063" width="17.5703125" style="14" customWidth="1"/>
    <col min="13064" max="13064" width="1.42578125" style="14" customWidth="1"/>
    <col min="13065" max="13065" width="17.28515625" style="14" customWidth="1"/>
    <col min="13066" max="13066" width="17.140625" style="14" customWidth="1"/>
    <col min="13067" max="13067" width="1.42578125" style="14" customWidth="1"/>
    <col min="13068" max="13068" width="17.7109375" style="14" customWidth="1"/>
    <col min="13069" max="13069" width="19.42578125" style="14" customWidth="1"/>
    <col min="13070" max="13070" width="1.42578125" style="14" customWidth="1"/>
    <col min="13071" max="13071" width="17" style="14" customWidth="1"/>
    <col min="13072" max="13072" width="19.5703125" style="14" customWidth="1"/>
    <col min="13073" max="13312" width="9.140625" style="14"/>
    <col min="13313" max="13313" width="36.28515625" style="14" customWidth="1"/>
    <col min="13314" max="13314" width="15.7109375" style="14" customWidth="1"/>
    <col min="13315" max="13316" width="17" style="14" customWidth="1"/>
    <col min="13317" max="13317" width="16.7109375" style="14" customWidth="1"/>
    <col min="13318" max="13318" width="14.42578125" style="14" customWidth="1"/>
    <col min="13319" max="13319" width="17.5703125" style="14" customWidth="1"/>
    <col min="13320" max="13320" width="1.42578125" style="14" customWidth="1"/>
    <col min="13321" max="13321" width="17.28515625" style="14" customWidth="1"/>
    <col min="13322" max="13322" width="17.140625" style="14" customWidth="1"/>
    <col min="13323" max="13323" width="1.42578125" style="14" customWidth="1"/>
    <col min="13324" max="13324" width="17.7109375" style="14" customWidth="1"/>
    <col min="13325" max="13325" width="19.42578125" style="14" customWidth="1"/>
    <col min="13326" max="13326" width="1.42578125" style="14" customWidth="1"/>
    <col min="13327" max="13327" width="17" style="14" customWidth="1"/>
    <col min="13328" max="13328" width="19.5703125" style="14" customWidth="1"/>
    <col min="13329" max="13568" width="9.140625" style="14"/>
    <col min="13569" max="13569" width="36.28515625" style="14" customWidth="1"/>
    <col min="13570" max="13570" width="15.7109375" style="14" customWidth="1"/>
    <col min="13571" max="13572" width="17" style="14" customWidth="1"/>
    <col min="13573" max="13573" width="16.7109375" style="14" customWidth="1"/>
    <col min="13574" max="13574" width="14.42578125" style="14" customWidth="1"/>
    <col min="13575" max="13575" width="17.5703125" style="14" customWidth="1"/>
    <col min="13576" max="13576" width="1.42578125" style="14" customWidth="1"/>
    <col min="13577" max="13577" width="17.28515625" style="14" customWidth="1"/>
    <col min="13578" max="13578" width="17.140625" style="14" customWidth="1"/>
    <col min="13579" max="13579" width="1.42578125" style="14" customWidth="1"/>
    <col min="13580" max="13580" width="17.7109375" style="14" customWidth="1"/>
    <col min="13581" max="13581" width="19.42578125" style="14" customWidth="1"/>
    <col min="13582" max="13582" width="1.42578125" style="14" customWidth="1"/>
    <col min="13583" max="13583" width="17" style="14" customWidth="1"/>
    <col min="13584" max="13584" width="19.5703125" style="14" customWidth="1"/>
    <col min="13585" max="13824" width="9.140625" style="14"/>
    <col min="13825" max="13825" width="36.28515625" style="14" customWidth="1"/>
    <col min="13826" max="13826" width="15.7109375" style="14" customWidth="1"/>
    <col min="13827" max="13828" width="17" style="14" customWidth="1"/>
    <col min="13829" max="13829" width="16.7109375" style="14" customWidth="1"/>
    <col min="13830" max="13830" width="14.42578125" style="14" customWidth="1"/>
    <col min="13831" max="13831" width="17.5703125" style="14" customWidth="1"/>
    <col min="13832" max="13832" width="1.42578125" style="14" customWidth="1"/>
    <col min="13833" max="13833" width="17.28515625" style="14" customWidth="1"/>
    <col min="13834" max="13834" width="17.140625" style="14" customWidth="1"/>
    <col min="13835" max="13835" width="1.42578125" style="14" customWidth="1"/>
    <col min="13836" max="13836" width="17.7109375" style="14" customWidth="1"/>
    <col min="13837" max="13837" width="19.42578125" style="14" customWidth="1"/>
    <col min="13838" max="13838" width="1.42578125" style="14" customWidth="1"/>
    <col min="13839" max="13839" width="17" style="14" customWidth="1"/>
    <col min="13840" max="13840" width="19.5703125" style="14" customWidth="1"/>
    <col min="13841" max="14080" width="9.140625" style="14"/>
    <col min="14081" max="14081" width="36.28515625" style="14" customWidth="1"/>
    <col min="14082" max="14082" width="15.7109375" style="14" customWidth="1"/>
    <col min="14083" max="14084" width="17" style="14" customWidth="1"/>
    <col min="14085" max="14085" width="16.7109375" style="14" customWidth="1"/>
    <col min="14086" max="14086" width="14.42578125" style="14" customWidth="1"/>
    <col min="14087" max="14087" width="17.5703125" style="14" customWidth="1"/>
    <col min="14088" max="14088" width="1.42578125" style="14" customWidth="1"/>
    <col min="14089" max="14089" width="17.28515625" style="14" customWidth="1"/>
    <col min="14090" max="14090" width="17.140625" style="14" customWidth="1"/>
    <col min="14091" max="14091" width="1.42578125" style="14" customWidth="1"/>
    <col min="14092" max="14092" width="17.7109375" style="14" customWidth="1"/>
    <col min="14093" max="14093" width="19.42578125" style="14" customWidth="1"/>
    <col min="14094" max="14094" width="1.42578125" style="14" customWidth="1"/>
    <col min="14095" max="14095" width="17" style="14" customWidth="1"/>
    <col min="14096" max="14096" width="19.5703125" style="14" customWidth="1"/>
    <col min="14097" max="14336" width="9.140625" style="14"/>
    <col min="14337" max="14337" width="36.28515625" style="14" customWidth="1"/>
    <col min="14338" max="14338" width="15.7109375" style="14" customWidth="1"/>
    <col min="14339" max="14340" width="17" style="14" customWidth="1"/>
    <col min="14341" max="14341" width="16.7109375" style="14" customWidth="1"/>
    <col min="14342" max="14342" width="14.42578125" style="14" customWidth="1"/>
    <col min="14343" max="14343" width="17.5703125" style="14" customWidth="1"/>
    <col min="14344" max="14344" width="1.42578125" style="14" customWidth="1"/>
    <col min="14345" max="14345" width="17.28515625" style="14" customWidth="1"/>
    <col min="14346" max="14346" width="17.140625" style="14" customWidth="1"/>
    <col min="14347" max="14347" width="1.42578125" style="14" customWidth="1"/>
    <col min="14348" max="14348" width="17.7109375" style="14" customWidth="1"/>
    <col min="14349" max="14349" width="19.42578125" style="14" customWidth="1"/>
    <col min="14350" max="14350" width="1.42578125" style="14" customWidth="1"/>
    <col min="14351" max="14351" width="17" style="14" customWidth="1"/>
    <col min="14352" max="14352" width="19.5703125" style="14" customWidth="1"/>
    <col min="14353" max="14592" width="9.140625" style="14"/>
    <col min="14593" max="14593" width="36.28515625" style="14" customWidth="1"/>
    <col min="14594" max="14594" width="15.7109375" style="14" customWidth="1"/>
    <col min="14595" max="14596" width="17" style="14" customWidth="1"/>
    <col min="14597" max="14597" width="16.7109375" style="14" customWidth="1"/>
    <col min="14598" max="14598" width="14.42578125" style="14" customWidth="1"/>
    <col min="14599" max="14599" width="17.5703125" style="14" customWidth="1"/>
    <col min="14600" max="14600" width="1.42578125" style="14" customWidth="1"/>
    <col min="14601" max="14601" width="17.28515625" style="14" customWidth="1"/>
    <col min="14602" max="14602" width="17.140625" style="14" customWidth="1"/>
    <col min="14603" max="14603" width="1.42578125" style="14" customWidth="1"/>
    <col min="14604" max="14604" width="17.7109375" style="14" customWidth="1"/>
    <col min="14605" max="14605" width="19.42578125" style="14" customWidth="1"/>
    <col min="14606" max="14606" width="1.42578125" style="14" customWidth="1"/>
    <col min="14607" max="14607" width="17" style="14" customWidth="1"/>
    <col min="14608" max="14608" width="19.5703125" style="14" customWidth="1"/>
    <col min="14609" max="14848" width="9.140625" style="14"/>
    <col min="14849" max="14849" width="36.28515625" style="14" customWidth="1"/>
    <col min="14850" max="14850" width="15.7109375" style="14" customWidth="1"/>
    <col min="14851" max="14852" width="17" style="14" customWidth="1"/>
    <col min="14853" max="14853" width="16.7109375" style="14" customWidth="1"/>
    <col min="14854" max="14854" width="14.42578125" style="14" customWidth="1"/>
    <col min="14855" max="14855" width="17.5703125" style="14" customWidth="1"/>
    <col min="14856" max="14856" width="1.42578125" style="14" customWidth="1"/>
    <col min="14857" max="14857" width="17.28515625" style="14" customWidth="1"/>
    <col min="14858" max="14858" width="17.140625" style="14" customWidth="1"/>
    <col min="14859" max="14859" width="1.42578125" style="14" customWidth="1"/>
    <col min="14860" max="14860" width="17.7109375" style="14" customWidth="1"/>
    <col min="14861" max="14861" width="19.42578125" style="14" customWidth="1"/>
    <col min="14862" max="14862" width="1.42578125" style="14" customWidth="1"/>
    <col min="14863" max="14863" width="17" style="14" customWidth="1"/>
    <col min="14864" max="14864" width="19.5703125" style="14" customWidth="1"/>
    <col min="14865" max="15104" width="9.140625" style="14"/>
    <col min="15105" max="15105" width="36.28515625" style="14" customWidth="1"/>
    <col min="15106" max="15106" width="15.7109375" style="14" customWidth="1"/>
    <col min="15107" max="15108" width="17" style="14" customWidth="1"/>
    <col min="15109" max="15109" width="16.7109375" style="14" customWidth="1"/>
    <col min="15110" max="15110" width="14.42578125" style="14" customWidth="1"/>
    <col min="15111" max="15111" width="17.5703125" style="14" customWidth="1"/>
    <col min="15112" max="15112" width="1.42578125" style="14" customWidth="1"/>
    <col min="15113" max="15113" width="17.28515625" style="14" customWidth="1"/>
    <col min="15114" max="15114" width="17.140625" style="14" customWidth="1"/>
    <col min="15115" max="15115" width="1.42578125" style="14" customWidth="1"/>
    <col min="15116" max="15116" width="17.7109375" style="14" customWidth="1"/>
    <col min="15117" max="15117" width="19.42578125" style="14" customWidth="1"/>
    <col min="15118" max="15118" width="1.42578125" style="14" customWidth="1"/>
    <col min="15119" max="15119" width="17" style="14" customWidth="1"/>
    <col min="15120" max="15120" width="19.5703125" style="14" customWidth="1"/>
    <col min="15121" max="15360" width="9.140625" style="14"/>
    <col min="15361" max="15361" width="36.28515625" style="14" customWidth="1"/>
    <col min="15362" max="15362" width="15.7109375" style="14" customWidth="1"/>
    <col min="15363" max="15364" width="17" style="14" customWidth="1"/>
    <col min="15365" max="15365" width="16.7109375" style="14" customWidth="1"/>
    <col min="15366" max="15366" width="14.42578125" style="14" customWidth="1"/>
    <col min="15367" max="15367" width="17.5703125" style="14" customWidth="1"/>
    <col min="15368" max="15368" width="1.42578125" style="14" customWidth="1"/>
    <col min="15369" max="15369" width="17.28515625" style="14" customWidth="1"/>
    <col min="15370" max="15370" width="17.140625" style="14" customWidth="1"/>
    <col min="15371" max="15371" width="1.42578125" style="14" customWidth="1"/>
    <col min="15372" max="15372" width="17.7109375" style="14" customWidth="1"/>
    <col min="15373" max="15373" width="19.42578125" style="14" customWidth="1"/>
    <col min="15374" max="15374" width="1.42578125" style="14" customWidth="1"/>
    <col min="15375" max="15375" width="17" style="14" customWidth="1"/>
    <col min="15376" max="15376" width="19.5703125" style="14" customWidth="1"/>
    <col min="15377" max="15616" width="9.140625" style="14"/>
    <col min="15617" max="15617" width="36.28515625" style="14" customWidth="1"/>
    <col min="15618" max="15618" width="15.7109375" style="14" customWidth="1"/>
    <col min="15619" max="15620" width="17" style="14" customWidth="1"/>
    <col min="15621" max="15621" width="16.7109375" style="14" customWidth="1"/>
    <col min="15622" max="15622" width="14.42578125" style="14" customWidth="1"/>
    <col min="15623" max="15623" width="17.5703125" style="14" customWidth="1"/>
    <col min="15624" max="15624" width="1.42578125" style="14" customWidth="1"/>
    <col min="15625" max="15625" width="17.28515625" style="14" customWidth="1"/>
    <col min="15626" max="15626" width="17.140625" style="14" customWidth="1"/>
    <col min="15627" max="15627" width="1.42578125" style="14" customWidth="1"/>
    <col min="15628" max="15628" width="17.7109375" style="14" customWidth="1"/>
    <col min="15629" max="15629" width="19.42578125" style="14" customWidth="1"/>
    <col min="15630" max="15630" width="1.42578125" style="14" customWidth="1"/>
    <col min="15631" max="15631" width="17" style="14" customWidth="1"/>
    <col min="15632" max="15632" width="19.5703125" style="14" customWidth="1"/>
    <col min="15633" max="15872" width="9.140625" style="14"/>
    <col min="15873" max="15873" width="36.28515625" style="14" customWidth="1"/>
    <col min="15874" max="15874" width="15.7109375" style="14" customWidth="1"/>
    <col min="15875" max="15876" width="17" style="14" customWidth="1"/>
    <col min="15877" max="15877" width="16.7109375" style="14" customWidth="1"/>
    <col min="15878" max="15878" width="14.42578125" style="14" customWidth="1"/>
    <col min="15879" max="15879" width="17.5703125" style="14" customWidth="1"/>
    <col min="15880" max="15880" width="1.42578125" style="14" customWidth="1"/>
    <col min="15881" max="15881" width="17.28515625" style="14" customWidth="1"/>
    <col min="15882" max="15882" width="17.140625" style="14" customWidth="1"/>
    <col min="15883" max="15883" width="1.42578125" style="14" customWidth="1"/>
    <col min="15884" max="15884" width="17.7109375" style="14" customWidth="1"/>
    <col min="15885" max="15885" width="19.42578125" style="14" customWidth="1"/>
    <col min="15886" max="15886" width="1.42578125" style="14" customWidth="1"/>
    <col min="15887" max="15887" width="17" style="14" customWidth="1"/>
    <col min="15888" max="15888" width="19.5703125" style="14" customWidth="1"/>
    <col min="15889" max="16128" width="9.140625" style="14"/>
    <col min="16129" max="16129" width="36.28515625" style="14" customWidth="1"/>
    <col min="16130" max="16130" width="15.7109375" style="14" customWidth="1"/>
    <col min="16131" max="16132" width="17" style="14" customWidth="1"/>
    <col min="16133" max="16133" width="16.7109375" style="14" customWidth="1"/>
    <col min="16134" max="16134" width="14.42578125" style="14" customWidth="1"/>
    <col min="16135" max="16135" width="17.5703125" style="14" customWidth="1"/>
    <col min="16136" max="16136" width="1.42578125" style="14" customWidth="1"/>
    <col min="16137" max="16137" width="17.28515625" style="14" customWidth="1"/>
    <col min="16138" max="16138" width="17.140625" style="14" customWidth="1"/>
    <col min="16139" max="16139" width="1.42578125" style="14" customWidth="1"/>
    <col min="16140" max="16140" width="17.7109375" style="14" customWidth="1"/>
    <col min="16141" max="16141" width="19.42578125" style="14" customWidth="1"/>
    <col min="16142" max="16142" width="1.42578125" style="14" customWidth="1"/>
    <col min="16143" max="16143" width="17" style="14" customWidth="1"/>
    <col min="16144" max="16144" width="19.5703125" style="14" customWidth="1"/>
    <col min="16145" max="16384" width="9.140625" style="14"/>
  </cols>
  <sheetData>
    <row r="1" spans="1:16" ht="13.5" thickBot="1" x14ac:dyDescent="0.25">
      <c r="C1" s="2" t="s">
        <v>0</v>
      </c>
      <c r="D1" s="3"/>
      <c r="E1" s="4" t="s">
        <v>1</v>
      </c>
      <c r="F1" s="5"/>
      <c r="G1" s="6" t="s">
        <v>2</v>
      </c>
      <c r="H1" s="7"/>
      <c r="I1" s="8" t="s">
        <v>3</v>
      </c>
      <c r="J1" s="9"/>
      <c r="K1" s="7"/>
      <c r="L1" s="10" t="s">
        <v>4</v>
      </c>
      <c r="M1" s="11"/>
      <c r="N1" s="7"/>
      <c r="O1" s="12" t="s">
        <v>5</v>
      </c>
      <c r="P1" s="13"/>
    </row>
    <row r="2" spans="1:16" ht="13.5" thickBot="1" x14ac:dyDescent="0.25">
      <c r="A2" s="15" t="s">
        <v>6</v>
      </c>
      <c r="B2" s="16" t="s">
        <v>7</v>
      </c>
      <c r="C2" s="17" t="s">
        <v>8</v>
      </c>
      <c r="D2" s="17" t="s">
        <v>9</v>
      </c>
      <c r="E2" s="17" t="s">
        <v>8</v>
      </c>
      <c r="F2" s="17" t="s">
        <v>9</v>
      </c>
      <c r="G2" s="17" t="s">
        <v>10</v>
      </c>
      <c r="H2" s="18"/>
      <c r="I2" s="17" t="s">
        <v>8</v>
      </c>
      <c r="J2" s="17" t="s">
        <v>9</v>
      </c>
      <c r="K2" s="18"/>
      <c r="L2" s="17" t="s">
        <v>8</v>
      </c>
      <c r="M2" s="17" t="s">
        <v>9</v>
      </c>
      <c r="N2" s="18"/>
      <c r="O2" s="17" t="s">
        <v>8</v>
      </c>
      <c r="P2" s="17" t="s">
        <v>9</v>
      </c>
    </row>
    <row r="3" spans="1:16" x14ac:dyDescent="0.2">
      <c r="A3" s="19" t="s">
        <v>11</v>
      </c>
      <c r="B3" s="20" t="s">
        <v>12</v>
      </c>
      <c r="C3" s="21">
        <f>'[1]CURRENT CENTRAL DIVISION Factor'!B4</f>
        <v>3.19</v>
      </c>
      <c r="D3" s="22">
        <f>'[1]CURRENT NORTH DIVISION Factors'!B4</f>
        <v>2.94</v>
      </c>
      <c r="E3" s="23">
        <f>'[1]DIVISIONAL Factors for CENTRAL'!B4</f>
        <v>1.6</v>
      </c>
      <c r="F3" s="22">
        <f>'[1]DIVISIONAL Factors for NORTH'!B4</f>
        <v>1.26</v>
      </c>
      <c r="G3" s="23">
        <f>'[1]SYSTEM-WIDE Factors'!C74</f>
        <v>1.54</v>
      </c>
      <c r="H3" s="24"/>
      <c r="I3" s="25">
        <f t="shared" ref="I3:J6" si="0">E3-C3</f>
        <v>-1.5899999999999999</v>
      </c>
      <c r="J3" s="25">
        <f t="shared" si="0"/>
        <v>-1.68</v>
      </c>
      <c r="K3" s="24"/>
      <c r="L3" s="25">
        <f>G3-C3</f>
        <v>-1.65</v>
      </c>
      <c r="M3" s="25">
        <f>G3-D3</f>
        <v>-1.4</v>
      </c>
      <c r="N3" s="24"/>
      <c r="O3" s="25">
        <f>G3-E3</f>
        <v>-6.0000000000000053E-2</v>
      </c>
      <c r="P3" s="25">
        <f>G3-F3</f>
        <v>0.28000000000000003</v>
      </c>
    </row>
    <row r="4" spans="1:16" x14ac:dyDescent="0.2">
      <c r="A4" s="20" t="s">
        <v>13</v>
      </c>
      <c r="B4" s="20" t="s">
        <v>14</v>
      </c>
      <c r="C4" s="26">
        <f>'[1]CURRENT CENTRAL DIVISION Factor'!B5</f>
        <v>3.55</v>
      </c>
      <c r="D4" s="27">
        <f>'[1]CURRENT NORTH DIVISION Factors'!B5</f>
        <v>5.24</v>
      </c>
      <c r="E4" s="28">
        <f>'[1]DIVISIONAL Factors for CENTRAL'!B5</f>
        <v>4.1399999999999997</v>
      </c>
      <c r="F4" s="27">
        <f>'[1]DIVISIONAL Factors for NORTH'!B5</f>
        <v>5.52</v>
      </c>
      <c r="G4" s="29">
        <f>'[1]SYSTEM-WIDE Factors'!C65</f>
        <v>4.4000000000000004</v>
      </c>
      <c r="H4" s="24"/>
      <c r="I4" s="30">
        <f t="shared" si="0"/>
        <v>0.58999999999999986</v>
      </c>
      <c r="J4" s="31">
        <f t="shared" si="0"/>
        <v>0.27999999999999936</v>
      </c>
      <c r="K4" s="24"/>
      <c r="L4" s="31">
        <f>G4-C4</f>
        <v>0.85000000000000053</v>
      </c>
      <c r="M4" s="31">
        <f>G4-D4</f>
        <v>-0.83999999999999986</v>
      </c>
      <c r="N4" s="24"/>
      <c r="O4" s="31">
        <f>G4-E4</f>
        <v>0.26000000000000068</v>
      </c>
      <c r="P4" s="31">
        <f>G4-F4</f>
        <v>-1.1199999999999992</v>
      </c>
    </row>
    <row r="5" spans="1:16" x14ac:dyDescent="0.2">
      <c r="A5" s="20" t="s">
        <v>15</v>
      </c>
      <c r="B5" s="20" t="s">
        <v>16</v>
      </c>
      <c r="C5" s="32">
        <f>'[1]CURRENT CENTRAL DIVISION Factor'!B6+'[1]CURRENT CENTRAL DIVISION Factor'!B32</f>
        <v>1.1515000000000001E-2</v>
      </c>
      <c r="D5" s="33">
        <f>'[1]CURRENT NORTH DIVISION Factors'!B6+'[1]CURRENT NORTH DIVISION Factors'!B27</f>
        <v>1.2992E-2</v>
      </c>
      <c r="E5" s="34">
        <f>'[1]DIVISIONAL Factors for CENTRAL'!B6+'[1]DIVISIONAL Factors for CENTRAL'!B32</f>
        <v>1.2614999999999999E-2</v>
      </c>
      <c r="F5" s="33">
        <f>'[1]DIVISIONAL Factors for NORTH'!B6+'[1]DIVISIONAL Factors for NORTH'!B27</f>
        <v>1.4777E-2</v>
      </c>
      <c r="G5" s="35">
        <f>'[1]SYSTEM-WIDE Factors'!C35</f>
        <v>1.294E-2</v>
      </c>
      <c r="H5" s="24"/>
      <c r="I5" s="36">
        <f t="shared" si="0"/>
        <v>1.0999999999999985E-3</v>
      </c>
      <c r="J5" s="37">
        <f t="shared" si="0"/>
        <v>1.7850000000000001E-3</v>
      </c>
      <c r="K5" s="24"/>
      <c r="L5" s="38">
        <f>G5-C5</f>
        <v>1.4249999999999992E-3</v>
      </c>
      <c r="M5" s="38">
        <f>G5-D5</f>
        <v>-5.1999999999999963E-5</v>
      </c>
      <c r="N5" s="24"/>
      <c r="O5" s="39">
        <f>G5-E5</f>
        <v>3.2500000000000064E-4</v>
      </c>
      <c r="P5" s="39">
        <f>G5-F5</f>
        <v>-1.8370000000000001E-3</v>
      </c>
    </row>
    <row r="6" spans="1:16" x14ac:dyDescent="0.2">
      <c r="A6" s="20" t="s">
        <v>17</v>
      </c>
      <c r="B6" s="20" t="s">
        <v>16</v>
      </c>
      <c r="C6" s="32">
        <f>'[1]CURRENT CENTRAL DIVISION Factor'!B7+'[1]CURRENT CENTRAL DIVISION Factor'!B43</f>
        <v>1.6073E-2</v>
      </c>
      <c r="D6" s="33">
        <f>'[1]CURRENT NORTH DIVISION Factors'!B7+'[1]CURRENT NORTH DIVISION Factors'!B38</f>
        <v>2.2860999999999999E-2</v>
      </c>
      <c r="E6" s="34">
        <f>'[1]DIVISIONAL Factors for CENTRAL'!B7+'[1]DIVISIONAL Factors for CENTRAL'!B43</f>
        <v>2.2585999999999998E-2</v>
      </c>
      <c r="F6" s="33">
        <f>'[1]DIVISIONAL Factors for NORTH'!B7+'[1]DIVISIONAL Factors for NORTH'!B38</f>
        <v>2.5531999999999999E-2</v>
      </c>
      <c r="G6" s="35">
        <f>'[1]SYSTEM-WIDE Factors'!C4+'[1]SYSTEM-WIDE Factors'!C48</f>
        <v>2.3109999999999999E-2</v>
      </c>
      <c r="H6" s="24"/>
      <c r="I6" s="30">
        <f t="shared" si="0"/>
        <v>6.512999999999998E-3</v>
      </c>
      <c r="J6" s="39">
        <f t="shared" si="0"/>
        <v>2.6709999999999998E-3</v>
      </c>
      <c r="K6" s="24"/>
      <c r="L6" s="38">
        <f>G6-C6</f>
        <v>7.0369999999999981E-3</v>
      </c>
      <c r="M6" s="39">
        <f>G6-D6</f>
        <v>2.4899999999999922E-4</v>
      </c>
      <c r="N6" s="24"/>
      <c r="O6" s="39">
        <f>G6-E6</f>
        <v>5.2400000000000016E-4</v>
      </c>
      <c r="P6" s="39">
        <f>G6-F6</f>
        <v>-2.4220000000000005E-3</v>
      </c>
    </row>
    <row r="7" spans="1:16" ht="13.5" thickBot="1" x14ac:dyDescent="0.25">
      <c r="A7" s="40" t="s">
        <v>10</v>
      </c>
      <c r="B7" s="40"/>
      <c r="C7" s="40"/>
      <c r="D7" s="40"/>
      <c r="E7" s="41" t="s">
        <v>10</v>
      </c>
      <c r="F7" s="41" t="s">
        <v>10</v>
      </c>
      <c r="G7" s="42" t="s">
        <v>10</v>
      </c>
      <c r="H7" s="43"/>
      <c r="I7" s="42"/>
      <c r="J7" s="42"/>
      <c r="K7" s="43"/>
      <c r="L7" s="42" t="s">
        <v>10</v>
      </c>
      <c r="N7" s="43"/>
    </row>
    <row r="8" spans="1:16" x14ac:dyDescent="0.2">
      <c r="A8" s="44" t="s">
        <v>18</v>
      </c>
      <c r="G8" s="45"/>
      <c r="H8" s="46"/>
      <c r="I8" s="45"/>
      <c r="J8" s="45"/>
      <c r="K8" s="46"/>
      <c r="L8" s="45"/>
      <c r="N8" s="46"/>
    </row>
    <row r="9" spans="1:16" x14ac:dyDescent="0.2">
      <c r="A9" s="20" t="s">
        <v>11</v>
      </c>
      <c r="B9" s="20" t="s">
        <v>12</v>
      </c>
      <c r="C9" s="28">
        <f>'[1]CURRENT CENTRAL DIVISION Factor'!F4</f>
        <v>3.2</v>
      </c>
      <c r="D9" s="27">
        <f>'[1]CURRENT NORTH DIVISION Factors'!F4</f>
        <v>4.25</v>
      </c>
      <c r="E9" s="28">
        <f>'[1]DIVISIONAL Factors for CENTRAL'!F4</f>
        <v>1.6</v>
      </c>
      <c r="F9" s="27">
        <f>'[1]DIVISIONAL Factors for NORTH'!F4</f>
        <v>1.28</v>
      </c>
      <c r="G9" s="47">
        <f>'[1]SYSTEM-WIDE Factors'!C75</f>
        <v>1.54</v>
      </c>
      <c r="H9" s="48"/>
      <c r="I9" s="30">
        <f t="shared" ref="I9:J12" si="1">E9-C9</f>
        <v>-1.6</v>
      </c>
      <c r="J9" s="31">
        <f t="shared" si="1"/>
        <v>-2.9699999999999998</v>
      </c>
      <c r="K9" s="48"/>
      <c r="L9" s="31">
        <f>G9-C9</f>
        <v>-1.6600000000000001</v>
      </c>
      <c r="M9" s="31">
        <f>G9-D9</f>
        <v>-2.71</v>
      </c>
      <c r="N9" s="48"/>
      <c r="O9" s="31">
        <f>G9-E9</f>
        <v>-6.0000000000000053E-2</v>
      </c>
      <c r="P9" s="31">
        <f>G9-F9</f>
        <v>0.26</v>
      </c>
    </row>
    <row r="10" spans="1:16" x14ac:dyDescent="0.2">
      <c r="A10" s="20" t="s">
        <v>13</v>
      </c>
      <c r="B10" s="20" t="s">
        <v>14</v>
      </c>
      <c r="C10" s="28">
        <f>'[1]CURRENT CENTRAL DIVISION Factor'!F5</f>
        <v>3.68</v>
      </c>
      <c r="D10" s="27">
        <f>'[1]CURRENT NORTH DIVISION Factors'!F5</f>
        <v>7.5</v>
      </c>
      <c r="E10" s="28">
        <f>'[1]DIVISIONAL Factors for CENTRAL'!F5</f>
        <v>5.56</v>
      </c>
      <c r="F10" s="27">
        <f>'[1]DIVISIONAL Factors for NORTH'!F5</f>
        <v>7.22</v>
      </c>
      <c r="G10" s="47">
        <f>'[1]SYSTEM-WIDE Factors'!C66</f>
        <v>5.88</v>
      </c>
      <c r="H10" s="48"/>
      <c r="I10" s="30">
        <f t="shared" si="1"/>
        <v>1.8799999999999994</v>
      </c>
      <c r="J10" s="31">
        <f t="shared" si="1"/>
        <v>-0.28000000000000025</v>
      </c>
      <c r="K10" s="48"/>
      <c r="L10" s="31">
        <f>G10-C10</f>
        <v>2.1999999999999997</v>
      </c>
      <c r="M10" s="31">
        <f>G10-D10</f>
        <v>-1.62</v>
      </c>
      <c r="N10" s="48"/>
      <c r="O10" s="31">
        <f>G10-E10</f>
        <v>0.32000000000000028</v>
      </c>
      <c r="P10" s="31">
        <f>G10-F10</f>
        <v>-1.3399999999999999</v>
      </c>
    </row>
    <row r="11" spans="1:16" x14ac:dyDescent="0.2">
      <c r="A11" s="20" t="s">
        <v>15</v>
      </c>
      <c r="B11" s="20" t="s">
        <v>16</v>
      </c>
      <c r="C11" s="34">
        <f>'[1]CURRENT CENTRAL DIVISION Factor'!F6+'[1]CURRENT CENTRAL DIVISION Factor'!B33</f>
        <v>6.5990000000000007E-3</v>
      </c>
      <c r="D11" s="33">
        <f>'[1]CURRENT NORTH DIVISION Factors'!F6+'[1]CURRENT NORTH DIVISION Factors'!B28</f>
        <v>8.4349999999999998E-3</v>
      </c>
      <c r="E11" s="34">
        <f>'[1]DIVISIONAL Factors for CENTRAL'!F6+'[1]DIVISIONAL Factors for CENTRAL'!B33</f>
        <v>7.1789999999999996E-3</v>
      </c>
      <c r="F11" s="33">
        <f>'[1]DIVISIONAL Factors for NORTH'!F6+'[1]DIVISIONAL Factors for NORTH'!B28</f>
        <v>9.0799999999999995E-3</v>
      </c>
      <c r="G11" s="49">
        <f>'[1]SYSTEM-WIDE Factors'!C36</f>
        <v>7.6010000000000001E-3</v>
      </c>
      <c r="H11" s="48"/>
      <c r="I11" s="50">
        <f t="shared" si="1"/>
        <v>5.7999999999999892E-4</v>
      </c>
      <c r="J11" s="39">
        <f t="shared" si="1"/>
        <v>6.4499999999999974E-4</v>
      </c>
      <c r="K11" s="48"/>
      <c r="L11" s="39">
        <f>G11-C11</f>
        <v>1.0019999999999994E-3</v>
      </c>
      <c r="M11" s="39">
        <f>G11-D11</f>
        <v>-8.3399999999999967E-4</v>
      </c>
      <c r="N11" s="48"/>
      <c r="O11" s="39">
        <f>G11-E11</f>
        <v>4.220000000000005E-4</v>
      </c>
      <c r="P11" s="39">
        <f>G11-F11</f>
        <v>-1.4789999999999994E-3</v>
      </c>
    </row>
    <row r="12" spans="1:16" x14ac:dyDescent="0.2">
      <c r="A12" s="20" t="s">
        <v>17</v>
      </c>
      <c r="B12" s="20" t="s">
        <v>16</v>
      </c>
      <c r="C12" s="34">
        <f>'[1]CURRENT CENTRAL DIVISION Factor'!F7+'[1]CURRENT CENTRAL DIVISION Factor'!B44</f>
        <v>2.1284999999999998E-2</v>
      </c>
      <c r="D12" s="33">
        <f>'[1]CURRENT NORTH DIVISION Factors'!F7+'[1]CURRENT NORTH DIVISION Factors'!B39</f>
        <v>4.2533000000000001E-2</v>
      </c>
      <c r="E12" s="34">
        <f>'[1]DIVISIONAL Factors for CENTRAL'!F7+'[1]DIVISIONAL Factors for CENTRAL'!B44</f>
        <v>2.2100999999999999E-2</v>
      </c>
      <c r="F12" s="34">
        <f>'[1]DIVISIONAL Factors for NORTH'!F7+'[1]DIVISIONAL Factors for NORTH'!B39</f>
        <v>3.2562000000000001E-2</v>
      </c>
      <c r="G12" s="51">
        <f>'[1]SYSTEM-WIDE Factors'!C5+'[1]SYSTEM-WIDE Factors'!C49</f>
        <v>2.4218E-2</v>
      </c>
      <c r="H12" s="46"/>
      <c r="I12" s="50">
        <f t="shared" si="1"/>
        <v>8.1600000000000075E-4</v>
      </c>
      <c r="J12" s="39">
        <f t="shared" si="1"/>
        <v>-9.9710000000000007E-3</v>
      </c>
      <c r="K12" s="46"/>
      <c r="L12" s="39">
        <f>G12-C12</f>
        <v>2.9330000000000016E-3</v>
      </c>
      <c r="M12" s="39">
        <f>G12-D12</f>
        <v>-1.8315000000000001E-2</v>
      </c>
      <c r="N12" s="46"/>
      <c r="O12" s="39">
        <f>G12-E12</f>
        <v>2.1170000000000008E-3</v>
      </c>
      <c r="P12" s="39">
        <f>G12-F12</f>
        <v>-8.3440000000000007E-3</v>
      </c>
    </row>
    <row r="13" spans="1:16" ht="13.5" thickBot="1" x14ac:dyDescent="0.25">
      <c r="A13" s="40" t="s">
        <v>10</v>
      </c>
      <c r="B13" s="40"/>
      <c r="C13" s="40"/>
      <c r="D13" s="40"/>
      <c r="E13" s="41" t="s">
        <v>10</v>
      </c>
      <c r="F13" s="41" t="s">
        <v>10</v>
      </c>
      <c r="G13" s="42" t="s">
        <v>10</v>
      </c>
      <c r="H13" s="43"/>
      <c r="I13" s="42"/>
      <c r="J13" s="42"/>
      <c r="K13" s="43"/>
      <c r="L13" s="42" t="s">
        <v>10</v>
      </c>
      <c r="N13" s="43"/>
    </row>
    <row r="14" spans="1:16" x14ac:dyDescent="0.2">
      <c r="A14" s="44" t="s">
        <v>19</v>
      </c>
      <c r="B14" s="40"/>
      <c r="C14" s="40"/>
      <c r="D14" s="40"/>
      <c r="G14" s="42"/>
      <c r="H14" s="43"/>
      <c r="I14" s="42"/>
      <c r="J14" s="42"/>
      <c r="K14" s="43"/>
      <c r="L14" s="52"/>
      <c r="N14" s="43"/>
    </row>
    <row r="15" spans="1:16" x14ac:dyDescent="0.2">
      <c r="A15" s="20" t="s">
        <v>11</v>
      </c>
      <c r="B15" s="20" t="s">
        <v>12</v>
      </c>
      <c r="C15" s="53">
        <f>'[1]CURRENT CENTRAL DIVISION Factor'!B10</f>
        <v>3.26</v>
      </c>
      <c r="D15" s="53">
        <f>'[1]CURRENT NORTH DIVISION Factors'!B10</f>
        <v>4.25</v>
      </c>
      <c r="E15" s="53">
        <f>'[1]DIVISIONAL Factors for CENTRAL'!B10</f>
        <v>1.61</v>
      </c>
      <c r="F15" s="53">
        <f>'[1]DIVISIONAL Factors for NORTH'!B10</f>
        <v>1.29</v>
      </c>
      <c r="G15" s="54">
        <f>'[1]SYSTEM-WIDE Factors'!C76</f>
        <v>1.54</v>
      </c>
      <c r="H15" s="48"/>
      <c r="I15" s="30">
        <f t="shared" ref="I15:J18" si="2">E15-C15</f>
        <v>-1.6499999999999997</v>
      </c>
      <c r="J15" s="31">
        <f t="shared" si="2"/>
        <v>-2.96</v>
      </c>
      <c r="K15" s="48"/>
      <c r="L15" s="31">
        <f>G15-C15</f>
        <v>-1.7199999999999998</v>
      </c>
      <c r="M15" s="31">
        <f>G15-D15</f>
        <v>-2.71</v>
      </c>
      <c r="N15" s="48"/>
      <c r="O15" s="31">
        <f>G15-E15</f>
        <v>-7.0000000000000062E-2</v>
      </c>
      <c r="P15" s="31">
        <f>G15-F15</f>
        <v>0.25</v>
      </c>
    </row>
    <row r="16" spans="1:16" x14ac:dyDescent="0.2">
      <c r="A16" s="20" t="s">
        <v>13</v>
      </c>
      <c r="B16" s="20" t="s">
        <v>14</v>
      </c>
      <c r="C16" s="53">
        <f>'[1]CURRENT CENTRAL DIVISION Factor'!B12</f>
        <v>15.81</v>
      </c>
      <c r="D16" s="53">
        <f>'[1]CURRENT NORTH DIVISION Factors'!B12</f>
        <v>18.68</v>
      </c>
      <c r="E16" s="53">
        <f>'[1]DIVISIONAL Factors for CENTRAL'!B12</f>
        <v>15.27</v>
      </c>
      <c r="F16" s="53">
        <f>'[1]DIVISIONAL Factors for NORTH'!B12</f>
        <v>21.07</v>
      </c>
      <c r="G16" s="54">
        <f>'[1]SYSTEM-WIDE Factors'!C67</f>
        <v>16.38</v>
      </c>
      <c r="H16" s="48"/>
      <c r="I16" s="30">
        <f t="shared" si="2"/>
        <v>-0.54000000000000092</v>
      </c>
      <c r="J16" s="31">
        <f t="shared" si="2"/>
        <v>2.3900000000000006</v>
      </c>
      <c r="K16" s="48"/>
      <c r="L16" s="31">
        <f>G16-C16</f>
        <v>0.56999999999999851</v>
      </c>
      <c r="M16" s="31">
        <f>G16-D16</f>
        <v>-2.3000000000000007</v>
      </c>
      <c r="N16" s="48"/>
      <c r="O16" s="31">
        <f>G16-E16</f>
        <v>1.1099999999999994</v>
      </c>
      <c r="P16" s="31">
        <f>G16-F16</f>
        <v>-4.6900000000000013</v>
      </c>
    </row>
    <row r="17" spans="1:16" x14ac:dyDescent="0.2">
      <c r="A17" s="20" t="s">
        <v>15</v>
      </c>
      <c r="B17" s="20" t="s">
        <v>20</v>
      </c>
      <c r="C17" s="55">
        <f>'[1]CURRENT CENTRAL DIVISION Factor'!B13+'[1]CURRENT CENTRAL DIVISION Factor'!B35</f>
        <v>3.30559</v>
      </c>
      <c r="D17" s="55">
        <f>'[1]CURRENT NORTH DIVISION Factors'!B14+'[1]CURRENT NORTH DIVISION Factors'!B30</f>
        <v>3.2098560000000003</v>
      </c>
      <c r="E17" s="55">
        <f>'[1]DIVISIONAL Factors for CENTRAL'!B13+'[1]DIVISIONAL Factors for CENTRAL'!B35</f>
        <v>3.113</v>
      </c>
      <c r="F17" s="55">
        <f>'[1]DIVISIONAL Factors for NORTH'!B14+'[1]DIVISIONAL Factors for NORTH'!B30</f>
        <v>3.0510000000000002</v>
      </c>
      <c r="G17" s="54">
        <f>'[1]SYSTEM-WIDE Factors'!C39</f>
        <v>3.1019999999999999</v>
      </c>
      <c r="H17" s="48"/>
      <c r="I17" s="56">
        <f t="shared" si="2"/>
        <v>-0.19259000000000004</v>
      </c>
      <c r="J17" s="57">
        <f t="shared" si="2"/>
        <v>-0.15885600000000011</v>
      </c>
      <c r="K17" s="48"/>
      <c r="L17" s="58">
        <f>G17-C17</f>
        <v>-0.20359000000000016</v>
      </c>
      <c r="M17" s="58">
        <f>G17-D17</f>
        <v>-0.1078560000000004</v>
      </c>
      <c r="N17" s="48"/>
      <c r="O17" s="58">
        <f>G17-E17</f>
        <v>-1.1000000000000121E-2</v>
      </c>
      <c r="P17" s="58">
        <f>G17-F17</f>
        <v>5.0999999999999712E-2</v>
      </c>
    </row>
    <row r="18" spans="1:16" x14ac:dyDescent="0.2">
      <c r="A18" s="20" t="s">
        <v>17</v>
      </c>
      <c r="B18" s="59" t="s">
        <v>21</v>
      </c>
      <c r="C18" s="55">
        <f>'[1]CURRENT CENTRAL DIVISION Factor'!B15+'[1]CURRENT CENTRAL DIVISION Factor'!B46</f>
        <v>3.7734399999999999</v>
      </c>
      <c r="D18" s="55">
        <f>'[1]CURRENT NORTH DIVISION Factors'!B16+'[1]CURRENT NORTH DIVISION Factors'!B41</f>
        <v>3.889589</v>
      </c>
      <c r="E18" s="55">
        <f>'[1]DIVISIONAL Factors for CENTRAL'!B15+'[1]DIVISIONAL Factors for CENTRAL'!B46</f>
        <v>5.27</v>
      </c>
      <c r="F18" s="55">
        <f>'[1]DIVISIONAL Factors for NORTH'!B16+'[1]DIVISIONAL Factors for NORTH'!B41</f>
        <v>5.47</v>
      </c>
      <c r="G18" s="60">
        <f>'[1]SYSTEM-WIDE Factors'!C6+'[1]SYSTEM-WIDE Factors'!C50</f>
        <v>5.33</v>
      </c>
      <c r="H18" s="48"/>
      <c r="I18" s="61">
        <f t="shared" si="2"/>
        <v>1.4965599999999997</v>
      </c>
      <c r="J18" s="58">
        <f t="shared" si="2"/>
        <v>1.5804109999999998</v>
      </c>
      <c r="K18" s="48"/>
      <c r="L18" s="58">
        <f>G18-C18</f>
        <v>1.5565600000000002</v>
      </c>
      <c r="M18" s="58">
        <f>G18-D18</f>
        <v>1.4404110000000001</v>
      </c>
      <c r="N18" s="48"/>
      <c r="O18" s="58">
        <f>G18-E18</f>
        <v>6.0000000000000497E-2</v>
      </c>
      <c r="P18" s="58">
        <f>G18-F18</f>
        <v>-0.13999999999999968</v>
      </c>
    </row>
    <row r="19" spans="1:16" ht="13.5" thickBot="1" x14ac:dyDescent="0.25">
      <c r="C19" s="62"/>
      <c r="D19" s="62"/>
      <c r="E19" s="62"/>
      <c r="F19" s="62"/>
      <c r="G19" s="62"/>
      <c r="H19" s="48"/>
      <c r="I19" s="63"/>
      <c r="J19" s="63"/>
      <c r="K19" s="48"/>
      <c r="L19" s="64"/>
      <c r="M19" s="64"/>
      <c r="N19" s="48"/>
    </row>
    <row r="20" spans="1:16" x14ac:dyDescent="0.2">
      <c r="A20" s="44" t="s">
        <v>22</v>
      </c>
      <c r="G20" s="45"/>
      <c r="H20" s="46"/>
      <c r="I20" s="45"/>
      <c r="J20" s="45"/>
      <c r="K20" s="46"/>
      <c r="L20" s="45"/>
      <c r="N20" s="46"/>
    </row>
    <row r="21" spans="1:16" x14ac:dyDescent="0.2">
      <c r="A21" s="20" t="s">
        <v>11</v>
      </c>
      <c r="B21" s="20" t="s">
        <v>12</v>
      </c>
      <c r="C21" s="53">
        <f>'[1]CURRENT CENTRAL DIVISION Factor'!B11</f>
        <v>26.52</v>
      </c>
      <c r="D21" s="53">
        <f>'[1]CURRENT NORTH DIVISION Factors'!B11</f>
        <v>26</v>
      </c>
      <c r="E21" s="53">
        <f>'[1]DIVISIONAL Factors for CENTRAL'!B11</f>
        <v>1.61</v>
      </c>
      <c r="F21" s="53">
        <f>'[1]DIVISIONAL Factors for NORTH'!B11</f>
        <v>1.29</v>
      </c>
      <c r="G21" s="54">
        <f>'[1]SYSTEM-WIDE Factors'!C76</f>
        <v>1.54</v>
      </c>
      <c r="H21" s="48"/>
      <c r="I21" s="65">
        <f t="shared" ref="I21:J24" si="3">E21-C21</f>
        <v>-24.91</v>
      </c>
      <c r="J21" s="66">
        <f t="shared" si="3"/>
        <v>-24.71</v>
      </c>
      <c r="K21" s="67"/>
      <c r="L21" s="31">
        <f>G21-C21</f>
        <v>-24.98</v>
      </c>
      <c r="M21" s="31">
        <f>G21-D21</f>
        <v>-24.46</v>
      </c>
      <c r="N21" s="48"/>
      <c r="O21" s="31">
        <f>G21-E21</f>
        <v>-7.0000000000000062E-2</v>
      </c>
      <c r="P21" s="31">
        <f>G21-F21</f>
        <v>0.25</v>
      </c>
    </row>
    <row r="22" spans="1:16" x14ac:dyDescent="0.2">
      <c r="A22" s="20" t="s">
        <v>13</v>
      </c>
      <c r="B22" s="20" t="s">
        <v>14</v>
      </c>
      <c r="C22" s="53">
        <f>'[1]CURRENT CENTRAL DIVISION Factor'!B12</f>
        <v>15.81</v>
      </c>
      <c r="D22" s="53">
        <f>'[1]CURRENT NORTH DIVISION Factors'!B13</f>
        <v>35</v>
      </c>
      <c r="E22" s="53">
        <f>'[1]DIVISIONAL Factors for CENTRAL'!B12</f>
        <v>15.27</v>
      </c>
      <c r="F22" s="53">
        <f>'[1]DIVISIONAL Factors for NORTH'!B13</f>
        <v>21.07</v>
      </c>
      <c r="G22" s="54">
        <f>'[1]SYSTEM-WIDE Factors'!C67</f>
        <v>16.38</v>
      </c>
      <c r="H22" s="48"/>
      <c r="I22" s="65">
        <f t="shared" si="3"/>
        <v>-0.54000000000000092</v>
      </c>
      <c r="J22" s="66">
        <f t="shared" si="3"/>
        <v>-13.93</v>
      </c>
      <c r="K22" s="67"/>
      <c r="L22" s="31">
        <f>G22-C22</f>
        <v>0.56999999999999851</v>
      </c>
      <c r="M22" s="31">
        <f>G22-D22</f>
        <v>-18.62</v>
      </c>
      <c r="N22" s="48"/>
      <c r="O22" s="31">
        <f>G22-E22</f>
        <v>1.1099999999999994</v>
      </c>
      <c r="P22" s="31">
        <f>G22-F22</f>
        <v>-4.6900000000000013</v>
      </c>
    </row>
    <row r="23" spans="1:16" x14ac:dyDescent="0.2">
      <c r="A23" s="20" t="s">
        <v>15</v>
      </c>
      <c r="B23" s="20" t="s">
        <v>23</v>
      </c>
      <c r="C23" s="68">
        <f>'[1]CURRENT CENTRAL DIVISION Factor'!B14+'[1]CURRENT CENTRAL DIVISION Factor'!B36</f>
        <v>5.6566590000000003</v>
      </c>
      <c r="D23" s="68">
        <f>'[1]CURRENT NORTH DIVISION Factors'!B15+'[1]CURRENT NORTH DIVISION Factors'!B29</f>
        <v>4.9850180000000002</v>
      </c>
      <c r="E23" s="68">
        <f>'[1]DIVISIONAL Factors for CENTRAL'!B14+'[1]DIVISIONAL Factors for CENTRAL'!B34</f>
        <v>4.3890000000000002</v>
      </c>
      <c r="F23" s="68">
        <f>'[1]DIVISIONAL Factors for NORTH'!B15+'[1]DIVISIONAL Factors for NORTH'!B29</f>
        <v>4.9210000000000003</v>
      </c>
      <c r="G23" s="60">
        <f>'[1]SYSTEM-WIDE Factors'!C38</f>
        <v>4.5679999999999996</v>
      </c>
      <c r="H23" s="48"/>
      <c r="I23" s="69">
        <f t="shared" si="3"/>
        <v>-1.2676590000000001</v>
      </c>
      <c r="J23" s="70">
        <f t="shared" si="3"/>
        <v>-6.4017999999999908E-2</v>
      </c>
      <c r="K23" s="67"/>
      <c r="L23" s="58">
        <f>G23-C23</f>
        <v>-1.0886590000000007</v>
      </c>
      <c r="M23" s="58">
        <f>G23-D23</f>
        <v>-0.41701800000000055</v>
      </c>
      <c r="N23" s="48"/>
      <c r="O23" s="58">
        <f>G23-E23</f>
        <v>0.17899999999999938</v>
      </c>
      <c r="P23" s="58">
        <f>G23-F23</f>
        <v>-0.35300000000000065</v>
      </c>
    </row>
    <row r="24" spans="1:16" x14ac:dyDescent="0.2">
      <c r="A24" s="20" t="s">
        <v>17</v>
      </c>
      <c r="B24" s="59" t="s">
        <v>21</v>
      </c>
      <c r="C24" s="68">
        <f>'[1]CURRENT CENTRAL DIVISION Factor'!B15+'[1]CURRENT CENTRAL DIVISION Factor'!B45</f>
        <v>3.7734399999999999</v>
      </c>
      <c r="D24" s="68">
        <f>'[1]CURRENT NORTH DIVISION Factors'!B16+'[1]CURRENT NORTH DIVISION Factors'!B40</f>
        <v>3.889589</v>
      </c>
      <c r="E24" s="68">
        <f>'[1]DIVISIONAL Factors for CENTRAL'!B15+'[1]DIVISIONAL Factors for CENTRAL'!B45</f>
        <v>5.27</v>
      </c>
      <c r="F24" s="68">
        <f>'[1]DIVISIONAL Factors for NORTH'!B16+'[1]DIVISIONAL Factors for NORTH'!B40</f>
        <v>5.47</v>
      </c>
      <c r="G24" s="60">
        <f>'[1]SYSTEM-WIDE Factors'!C6+'[1]SYSTEM-WIDE Factors'!C50</f>
        <v>5.33</v>
      </c>
      <c r="H24" s="48"/>
      <c r="I24" s="69">
        <f t="shared" si="3"/>
        <v>1.4965599999999997</v>
      </c>
      <c r="J24" s="70">
        <f t="shared" si="3"/>
        <v>1.5804109999999998</v>
      </c>
      <c r="K24" s="48"/>
      <c r="L24" s="58">
        <f>G24-C24</f>
        <v>1.5565600000000002</v>
      </c>
      <c r="M24" s="58">
        <f>G24-D24</f>
        <v>1.4404110000000001</v>
      </c>
      <c r="N24" s="48"/>
      <c r="O24" s="58">
        <f>G24-E24</f>
        <v>6.0000000000000497E-2</v>
      </c>
      <c r="P24" s="58">
        <f>G24-F24</f>
        <v>-0.13999999999999968</v>
      </c>
    </row>
    <row r="25" spans="1:16" ht="13.5" thickBot="1" x14ac:dyDescent="0.25">
      <c r="A25" s="40"/>
      <c r="B25" s="40"/>
      <c r="C25" s="40"/>
      <c r="D25" s="40"/>
      <c r="G25" s="42"/>
      <c r="H25" s="43"/>
      <c r="I25" s="42"/>
      <c r="J25" s="42"/>
      <c r="K25" s="43"/>
      <c r="L25" s="52"/>
      <c r="N25" s="43"/>
    </row>
    <row r="26" spans="1:16" x14ac:dyDescent="0.2">
      <c r="A26" s="44" t="s">
        <v>24</v>
      </c>
      <c r="G26" s="45"/>
      <c r="H26" s="46"/>
      <c r="I26" s="45"/>
      <c r="J26" s="45"/>
      <c r="K26" s="46"/>
      <c r="L26" s="45"/>
      <c r="N26" s="46"/>
    </row>
    <row r="27" spans="1:16" x14ac:dyDescent="0.2">
      <c r="A27" s="20" t="s">
        <v>11</v>
      </c>
      <c r="B27" s="20" t="s">
        <v>12</v>
      </c>
      <c r="C27" s="53">
        <f>'[1]CURRENT CENTRAL DIVISION Factor'!F10</f>
        <v>3.8</v>
      </c>
      <c r="D27" s="53">
        <f>'[1]CURRENT NORTH DIVISION Factors'!F10</f>
        <v>4.25</v>
      </c>
      <c r="E27" s="53">
        <f>'[1]DIVISIONAL Factors for CENTRAL'!F10</f>
        <v>1.82</v>
      </c>
      <c r="F27" s="53">
        <f>'[1]DIVISIONAL Factors for NORTH'!F10</f>
        <v>1.49</v>
      </c>
      <c r="G27" s="54">
        <f>'[1]SYSTEM-WIDE Factors'!C77</f>
        <v>1.61</v>
      </c>
      <c r="H27" s="48"/>
      <c r="I27" s="65">
        <f t="shared" ref="I27:J30" si="4">E27-C27</f>
        <v>-1.9799999999999998</v>
      </c>
      <c r="J27" s="66">
        <f t="shared" si="4"/>
        <v>-2.76</v>
      </c>
      <c r="K27" s="67"/>
      <c r="L27" s="31">
        <f>G27-C27</f>
        <v>-2.1899999999999995</v>
      </c>
      <c r="M27" s="31">
        <f>G27-D27</f>
        <v>-2.6399999999999997</v>
      </c>
      <c r="N27" s="48"/>
      <c r="O27" s="31">
        <f>G27-E27</f>
        <v>-0.20999999999999996</v>
      </c>
      <c r="P27" s="31">
        <f>G27-F27</f>
        <v>0.12000000000000011</v>
      </c>
    </row>
    <row r="28" spans="1:16" x14ac:dyDescent="0.2">
      <c r="A28" s="20" t="s">
        <v>13</v>
      </c>
      <c r="B28" s="20" t="s">
        <v>14</v>
      </c>
      <c r="C28" s="53">
        <f>'[1]CURRENT CENTRAL DIVISION Factor'!F12</f>
        <v>154.62</v>
      </c>
      <c r="D28" s="53">
        <f>'[1]CURRENT NORTH DIVISION Factors'!F12</f>
        <v>151.75</v>
      </c>
      <c r="E28" s="53">
        <f>'[1]DIVISIONAL Factors for CENTRAL'!F12</f>
        <v>167.12</v>
      </c>
      <c r="F28" s="53">
        <f>'[1]DIVISIONAL Factors for NORTH'!F12</f>
        <v>176.54</v>
      </c>
      <c r="G28" s="54">
        <f>'[1]SYSTEM-WIDE Factors'!C68</f>
        <v>162.81</v>
      </c>
      <c r="H28" s="48"/>
      <c r="I28" s="65">
        <f t="shared" si="4"/>
        <v>12.5</v>
      </c>
      <c r="J28" s="66">
        <f t="shared" si="4"/>
        <v>24.789999999999992</v>
      </c>
      <c r="K28" s="67"/>
      <c r="L28" s="31">
        <f>G28-C28</f>
        <v>8.1899999999999977</v>
      </c>
      <c r="M28" s="31">
        <f>G28-D28</f>
        <v>11.060000000000002</v>
      </c>
      <c r="N28" s="48"/>
      <c r="O28" s="31">
        <f>G28-E28</f>
        <v>-4.3100000000000023</v>
      </c>
      <c r="P28" s="31">
        <f>G28-F28</f>
        <v>-13.72999999999999</v>
      </c>
    </row>
    <row r="29" spans="1:16" x14ac:dyDescent="0.2">
      <c r="A29" s="20" t="s">
        <v>15</v>
      </c>
      <c r="B29" s="20" t="s">
        <v>25</v>
      </c>
      <c r="C29" s="68">
        <f>'[1]CURRENT CENTRAL DIVISION Factor'!F13+'[1]CURRENT CENTRAL DIVISION Factor'!B37</f>
        <v>5.2015729999999998</v>
      </c>
      <c r="D29" s="68">
        <f>'[1]CURRENT NORTH DIVISION Factors'!F14+'[1]CURRENT NORTH DIVISION Factors'!B32</f>
        <v>1.7822110000000002</v>
      </c>
      <c r="E29" s="68">
        <f>'[1]DIVISIONAL Factors for CENTRAL'!F13+'[1]DIVISIONAL Factors for CENTRAL'!B37</f>
        <v>3.411</v>
      </c>
      <c r="F29" s="68">
        <f>'[1]DIVISIONAL Factors for NORTH'!F14+'[1]DIVISIONAL Factors for NORTH'!B32</f>
        <v>2.6579999999999999</v>
      </c>
      <c r="G29" s="60">
        <f>'[1]SYSTEM-WIDE Factors'!C42</f>
        <v>3.1280000000000001</v>
      </c>
      <c r="H29" s="48"/>
      <c r="I29" s="69">
        <f t="shared" si="4"/>
        <v>-1.7905729999999997</v>
      </c>
      <c r="J29" s="70">
        <f t="shared" si="4"/>
        <v>0.87578899999999971</v>
      </c>
      <c r="K29" s="67"/>
      <c r="L29" s="58">
        <f>G29-C29</f>
        <v>-2.0735729999999997</v>
      </c>
      <c r="M29" s="58">
        <f>G29-D29</f>
        <v>1.3457889999999999</v>
      </c>
      <c r="N29" s="48"/>
      <c r="O29" s="58">
        <f>G29-E29</f>
        <v>-0.28299999999999992</v>
      </c>
      <c r="P29" s="58">
        <f>G29-F29</f>
        <v>0.4700000000000002</v>
      </c>
    </row>
    <row r="30" spans="1:16" x14ac:dyDescent="0.2">
      <c r="A30" s="20" t="s">
        <v>17</v>
      </c>
      <c r="B30" s="59" t="s">
        <v>21</v>
      </c>
      <c r="C30" s="68">
        <f>'[1]CURRENT CENTRAL DIVISION Factor'!F15+'[1]CURRENT CENTRAL DIVISION Factor'!B48</f>
        <v>3.3096189999999996</v>
      </c>
      <c r="D30" s="68">
        <f>'[1]CURRENT NORTH DIVISION Factors'!F16+'[1]CURRENT NORTH DIVISION Factors'!B43</f>
        <v>2.1851880000000001</v>
      </c>
      <c r="E30" s="68">
        <f>'[1]DIVISIONAL Factors for CENTRAL'!F15+'[1]DIVISIONAL Factors for CENTRAL'!B48</f>
        <v>3.71</v>
      </c>
      <c r="F30" s="68">
        <f>'[1]DIVISIONAL Factors for NORTH'!F16+'[1]DIVISIONAL Factors for NORTH'!B43</f>
        <v>3.96</v>
      </c>
      <c r="G30" s="60">
        <f>'[1]SYSTEM-WIDE Factors'!C7+'[1]SYSTEM-WIDE Factors'!C51</f>
        <v>3.6960000000000002</v>
      </c>
      <c r="H30" s="48"/>
      <c r="I30" s="69">
        <f t="shared" si="4"/>
        <v>0.40038100000000032</v>
      </c>
      <c r="J30" s="70">
        <f t="shared" si="4"/>
        <v>1.7748119999999998</v>
      </c>
      <c r="K30" s="48"/>
      <c r="L30" s="58">
        <f>G30-C30</f>
        <v>0.38638100000000053</v>
      </c>
      <c r="M30" s="58">
        <f>G30-D30</f>
        <v>1.510812</v>
      </c>
      <c r="N30" s="48"/>
      <c r="O30" s="58">
        <f>G30-E30</f>
        <v>-1.399999999999979E-2</v>
      </c>
      <c r="P30" s="58">
        <f>G30-F30</f>
        <v>-0.26399999999999979</v>
      </c>
    </row>
    <row r="31" spans="1:16" ht="13.5" thickBot="1" x14ac:dyDescent="0.25">
      <c r="A31" s="40"/>
      <c r="B31" s="40"/>
      <c r="C31" s="40"/>
      <c r="D31" s="40"/>
      <c r="G31" s="42"/>
      <c r="H31" s="43"/>
      <c r="I31" s="42"/>
      <c r="J31" s="42"/>
      <c r="K31" s="43"/>
      <c r="L31" s="52"/>
      <c r="N31" s="43"/>
    </row>
    <row r="32" spans="1:16" x14ac:dyDescent="0.2">
      <c r="A32" s="44" t="s">
        <v>26</v>
      </c>
      <c r="B32" s="40"/>
      <c r="C32" s="40"/>
      <c r="D32" s="40"/>
      <c r="G32" s="42"/>
      <c r="H32" s="43"/>
      <c r="I32" s="42"/>
      <c r="J32" s="42"/>
      <c r="K32" s="43"/>
      <c r="L32" s="52"/>
      <c r="N32" s="43"/>
    </row>
    <row r="33" spans="1:16" x14ac:dyDescent="0.2">
      <c r="A33" s="20" t="s">
        <v>11</v>
      </c>
      <c r="B33" s="20" t="s">
        <v>12</v>
      </c>
      <c r="C33" s="53">
        <f>'[1]CURRENT CENTRAL DIVISION Factor'!F11</f>
        <v>28.41</v>
      </c>
      <c r="D33" s="53">
        <f>'[1]CURRENT NORTH DIVISION Factors'!F11</f>
        <v>26</v>
      </c>
      <c r="E33" s="53">
        <f>'[1]DIVISIONAL Factors for CENTRAL'!F11</f>
        <v>1.82</v>
      </c>
      <c r="F33" s="53">
        <f>'[1]DIVISIONAL Factors for NORTH'!F11</f>
        <v>1.49</v>
      </c>
      <c r="G33" s="54">
        <f>'[1]SYSTEM-WIDE Factors'!C77</f>
        <v>1.61</v>
      </c>
      <c r="H33" s="48"/>
      <c r="I33" s="65">
        <f t="shared" ref="I33:J36" si="5">E33-C33</f>
        <v>-26.59</v>
      </c>
      <c r="J33" s="66">
        <f t="shared" si="5"/>
        <v>-24.51</v>
      </c>
      <c r="K33" s="67"/>
      <c r="L33" s="31">
        <f>G33-C33</f>
        <v>-26.8</v>
      </c>
      <c r="M33" s="31">
        <f>G33-D33</f>
        <v>-24.39</v>
      </c>
      <c r="N33" s="48"/>
      <c r="O33" s="31">
        <f>G33-E33</f>
        <v>-0.20999999999999996</v>
      </c>
      <c r="P33" s="31">
        <f>G33-F33</f>
        <v>0.12000000000000011</v>
      </c>
    </row>
    <row r="34" spans="1:16" x14ac:dyDescent="0.2">
      <c r="A34" s="20" t="s">
        <v>13</v>
      </c>
      <c r="B34" s="20" t="s">
        <v>14</v>
      </c>
      <c r="C34" s="53">
        <f>'[1]CURRENT CENTRAL DIVISION Factor'!F12</f>
        <v>154.62</v>
      </c>
      <c r="D34" s="53">
        <f>'[1]CURRENT NORTH DIVISION Factors'!F13</f>
        <v>168.65</v>
      </c>
      <c r="E34" s="53">
        <f>'[1]DIVISIONAL Factors for CENTRAL'!F12</f>
        <v>167.12</v>
      </c>
      <c r="F34" s="53">
        <f>'[1]DIVISIONAL Factors for NORTH'!F13</f>
        <v>176.54</v>
      </c>
      <c r="G34" s="54">
        <f>'[1]SYSTEM-WIDE Factors'!C68</f>
        <v>162.81</v>
      </c>
      <c r="H34" s="48"/>
      <c r="I34" s="65">
        <f t="shared" si="5"/>
        <v>12.5</v>
      </c>
      <c r="J34" s="66">
        <f t="shared" si="5"/>
        <v>7.8899999999999864</v>
      </c>
      <c r="K34" s="67"/>
      <c r="L34" s="31">
        <f>G34-C34</f>
        <v>8.1899999999999977</v>
      </c>
      <c r="M34" s="31">
        <f>G34-D34</f>
        <v>-5.8400000000000034</v>
      </c>
      <c r="N34" s="48"/>
      <c r="O34" s="31">
        <f>G34-E34</f>
        <v>-4.3100000000000023</v>
      </c>
      <c r="P34" s="31">
        <f>G34-F34</f>
        <v>-13.72999999999999</v>
      </c>
    </row>
    <row r="35" spans="1:16" x14ac:dyDescent="0.2">
      <c r="A35" s="20" t="s">
        <v>15</v>
      </c>
      <c r="B35" s="20" t="s">
        <v>23</v>
      </c>
      <c r="C35" s="68">
        <f>'[1]CURRENT CENTRAL DIVISION Factor'!F14+'[1]CURRENT CENTRAL DIVISION Factor'!B36</f>
        <v>5.788659</v>
      </c>
      <c r="D35" s="68">
        <f>'[1]CURRENT NORTH DIVISION Factors'!F15+'[1]CURRENT NORTH DIVISION Factors'!B31</f>
        <v>3.9129290000000001</v>
      </c>
      <c r="E35" s="68">
        <f>'[1]DIVISIONAL Factors for CENTRAL'!F14+'[1]DIVISIONAL Factors for CENTRAL'!B36</f>
        <v>4.5830000000000002</v>
      </c>
      <c r="F35" s="68">
        <f>'[1]DIVISIONAL Factors for NORTH'!F15+'[1]DIVISIONAL Factors for NORTH'!B31</f>
        <v>4.8490000000000002</v>
      </c>
      <c r="G35" s="60">
        <f>'[1]SYSTEM-WIDE Factors'!C41</f>
        <v>4.7160000000000002</v>
      </c>
      <c r="H35" s="48"/>
      <c r="I35" s="69">
        <f t="shared" si="5"/>
        <v>-1.2056589999999998</v>
      </c>
      <c r="J35" s="70">
        <f t="shared" si="5"/>
        <v>0.9360710000000001</v>
      </c>
      <c r="K35" s="67"/>
      <c r="L35" s="58">
        <f>G35-C35</f>
        <v>-1.0726589999999998</v>
      </c>
      <c r="M35" s="58">
        <f>G35-D35</f>
        <v>0.80307100000000009</v>
      </c>
      <c r="N35" s="48"/>
      <c r="O35" s="58">
        <f>G35-E35</f>
        <v>0.13300000000000001</v>
      </c>
      <c r="P35" s="58">
        <f>G35-F35</f>
        <v>-0.13300000000000001</v>
      </c>
    </row>
    <row r="36" spans="1:16" x14ac:dyDescent="0.2">
      <c r="A36" s="20" t="s">
        <v>17</v>
      </c>
      <c r="B36" s="59" t="s">
        <v>21</v>
      </c>
      <c r="C36" s="68">
        <f>'[1]CURRENT CENTRAL DIVISION Factor'!F15+'[1]CURRENT CENTRAL DIVISION Factor'!B47</f>
        <v>3.3096189999999996</v>
      </c>
      <c r="D36" s="68">
        <f>'[1]CURRENT NORTH DIVISION Factors'!F16+'[1]CURRENT NORTH DIVISION Factors'!B42</f>
        <v>2.1851880000000001</v>
      </c>
      <c r="E36" s="68">
        <f>'[1]DIVISIONAL Factors for CENTRAL'!B47+'[1]DIVISIONAL Factors for CENTRAL'!F15</f>
        <v>3.71</v>
      </c>
      <c r="F36" s="68">
        <f>'[1]DIVISIONAL Factors for NORTH'!F16+'[1]DIVISIONAL Factors for NORTH'!B42</f>
        <v>3.96</v>
      </c>
      <c r="G36" s="60">
        <f>'[1]SYSTEM-WIDE Factors'!C7+'[1]SYSTEM-WIDE Factors'!C51</f>
        <v>3.6960000000000002</v>
      </c>
      <c r="H36" s="48"/>
      <c r="I36" s="69">
        <f t="shared" si="5"/>
        <v>0.40038100000000032</v>
      </c>
      <c r="J36" s="70">
        <f t="shared" si="5"/>
        <v>1.7748119999999998</v>
      </c>
      <c r="K36" s="67"/>
      <c r="L36" s="58">
        <f>G36-C36</f>
        <v>0.38638100000000053</v>
      </c>
      <c r="M36" s="58">
        <f>G36-D36</f>
        <v>1.510812</v>
      </c>
      <c r="N36" s="48"/>
      <c r="O36" s="58">
        <f>G36-E36</f>
        <v>-1.399999999999979E-2</v>
      </c>
      <c r="P36" s="58">
        <f>G36-F36</f>
        <v>-0.26399999999999979</v>
      </c>
    </row>
    <row r="37" spans="1:16" ht="13.5" thickBot="1" x14ac:dyDescent="0.25">
      <c r="A37" s="40"/>
      <c r="B37" s="40"/>
      <c r="C37" s="40"/>
      <c r="D37" s="40"/>
      <c r="G37" s="42"/>
      <c r="H37" s="43"/>
      <c r="I37" s="42"/>
      <c r="J37" s="42"/>
      <c r="K37" s="43"/>
      <c r="L37" s="52"/>
      <c r="N37" s="43"/>
    </row>
    <row r="38" spans="1:16" x14ac:dyDescent="0.2">
      <c r="A38" s="44" t="s">
        <v>27</v>
      </c>
      <c r="B38" s="40"/>
      <c r="C38" s="40"/>
      <c r="D38" s="40"/>
      <c r="G38" s="42"/>
      <c r="H38" s="43"/>
      <c r="I38" s="42"/>
      <c r="J38" s="42"/>
      <c r="K38" s="43"/>
      <c r="L38" s="52"/>
      <c r="N38" s="43"/>
    </row>
    <row r="39" spans="1:16" x14ac:dyDescent="0.2">
      <c r="A39" s="20" t="s">
        <v>11</v>
      </c>
      <c r="B39" s="20" t="s">
        <v>12</v>
      </c>
      <c r="C39" s="53">
        <f>'[1]CURRENT CENTRAL DIVISION Factor'!B18</f>
        <v>38.840000000000003</v>
      </c>
      <c r="D39" s="53">
        <f>'[1]CURRENT NORTH DIVISION Factors'!B19</f>
        <v>24.8</v>
      </c>
      <c r="E39" s="53">
        <f>'[1]DIVISIONAL Factors for CENTRAL'!B18</f>
        <v>2.75</v>
      </c>
      <c r="F39" s="53">
        <f>'[1]DIVISIONAL Factors for NORTH'!B19</f>
        <v>1.55</v>
      </c>
      <c r="G39" s="54">
        <f>'[1]SYSTEM-WIDE Factors'!C78</f>
        <v>1.74</v>
      </c>
      <c r="H39" s="48"/>
      <c r="I39" s="65">
        <f t="shared" ref="I39:J42" si="6">E39-C39</f>
        <v>-36.090000000000003</v>
      </c>
      <c r="J39" s="66">
        <f t="shared" si="6"/>
        <v>-23.25</v>
      </c>
      <c r="K39" s="67"/>
      <c r="L39" s="31">
        <f>G39-C39</f>
        <v>-37.1</v>
      </c>
      <c r="M39" s="31">
        <f>G39-D39</f>
        <v>-23.060000000000002</v>
      </c>
      <c r="N39" s="48"/>
      <c r="O39" s="31">
        <f>G39-E39</f>
        <v>-1.01</v>
      </c>
      <c r="P39" s="31">
        <f>G39-F39</f>
        <v>0.18999999999999995</v>
      </c>
    </row>
    <row r="40" spans="1:16" x14ac:dyDescent="0.2">
      <c r="A40" s="20" t="s">
        <v>13</v>
      </c>
      <c r="B40" s="20" t="s">
        <v>14</v>
      </c>
      <c r="C40" s="53">
        <f>'[1]CURRENT CENTRAL DIVISION Factor'!B19</f>
        <v>1869.15</v>
      </c>
      <c r="D40" s="53">
        <f>'[1]CURRENT NORTH DIVISION Factors'!B20</f>
        <v>850</v>
      </c>
      <c r="E40" s="53">
        <f>'[1]DIVISIONAL Factors for CENTRAL'!B19</f>
        <v>1157.44</v>
      </c>
      <c r="F40" s="53">
        <f>'[1]DIVISIONAL Factors for NORTH'!B20</f>
        <v>561.95000000000005</v>
      </c>
      <c r="G40" s="54">
        <f>'[1]SYSTEM-WIDE Factors'!C69</f>
        <v>999.51</v>
      </c>
      <c r="H40" s="48"/>
      <c r="I40" s="65">
        <f t="shared" si="6"/>
        <v>-711.71</v>
      </c>
      <c r="J40" s="66">
        <f t="shared" si="6"/>
        <v>-288.04999999999995</v>
      </c>
      <c r="K40" s="67"/>
      <c r="L40" s="31">
        <f>G40-C40</f>
        <v>-869.6400000000001</v>
      </c>
      <c r="M40" s="31">
        <f>G40-D40</f>
        <v>149.51</v>
      </c>
      <c r="N40" s="48"/>
      <c r="O40" s="31">
        <f>G40-E40</f>
        <v>-157.93000000000006</v>
      </c>
      <c r="P40" s="31">
        <f>G40-F40</f>
        <v>437.55999999999995</v>
      </c>
    </row>
    <row r="41" spans="1:16" x14ac:dyDescent="0.2">
      <c r="A41" s="20" t="s">
        <v>15</v>
      </c>
      <c r="B41" s="20" t="s">
        <v>23</v>
      </c>
      <c r="C41" s="68">
        <f>'[1]CURRENT CENTRAL DIVISION Factor'!B20+'[1]CURRENT CENTRAL DIVISION Factor'!B38</f>
        <v>4.1588150000000006</v>
      </c>
      <c r="D41" s="68">
        <f>'[1]CURRENT NORTH DIVISION Factors'!B21+'[1]CURRENT NORTH DIVISION Factors'!B33</f>
        <v>2.2808929999999998</v>
      </c>
      <c r="E41" s="68">
        <f>'[1]DIVISIONAL Factors for CENTRAL'!B20+'[1]DIVISIONAL Factors for CENTRAL'!B38</f>
        <v>4.6680000000000001</v>
      </c>
      <c r="F41" s="68">
        <f>'[1]DIVISIONAL Factors for NORTH'!B21+'[1]DIVISIONAL Factors for NORTH'!B33</f>
        <v>5.08</v>
      </c>
      <c r="G41" s="60">
        <f>'[1]SYSTEM-WIDE Factors'!C43</f>
        <v>4.657</v>
      </c>
      <c r="H41" s="48"/>
      <c r="I41" s="69">
        <f t="shared" si="6"/>
        <v>0.50918499999999955</v>
      </c>
      <c r="J41" s="70">
        <f t="shared" si="6"/>
        <v>2.7991070000000002</v>
      </c>
      <c r="K41" s="67"/>
      <c r="L41" s="58">
        <f>G41-C41</f>
        <v>0.49818499999999943</v>
      </c>
      <c r="M41" s="58">
        <f>G41-D41</f>
        <v>2.3761070000000002</v>
      </c>
      <c r="N41" s="48"/>
      <c r="O41" s="58">
        <f>G41-E41</f>
        <v>-1.1000000000000121E-2</v>
      </c>
      <c r="P41" s="58">
        <f>G41-F41</f>
        <v>-0.42300000000000004</v>
      </c>
    </row>
    <row r="42" spans="1:16" x14ac:dyDescent="0.2">
      <c r="A42" s="20" t="s">
        <v>17</v>
      </c>
      <c r="B42" s="59" t="s">
        <v>21</v>
      </c>
      <c r="C42" s="68">
        <f>'[1]CURRENT CENTRAL DIVISION Factor'!B21+'[1]CURRENT CENTRAL DIVISION Factor'!B49</f>
        <v>0.20574900000000002</v>
      </c>
      <c r="D42" s="68">
        <f>'[1]CURRENT NORTH DIVISION Factors'!B22+'[1]CURRENT NORTH DIVISION Factors'!B44</f>
        <v>4.2741000000000001E-2</v>
      </c>
      <c r="E42" s="68">
        <f>'[1]DIVISIONAL Factors for CENTRAL'!B21+'[1]DIVISIONAL Factors for CENTRAL'!B49</f>
        <v>0.28299999999999997</v>
      </c>
      <c r="F42" s="68">
        <f>'[1]DIVISIONAL Factors for NORTH'!B22+'[1]DIVISIONAL Factors for NORTH'!B44</f>
        <v>3.0000000000000001E-3</v>
      </c>
      <c r="G42" s="60">
        <f>'[1]SYSTEM-WIDE Factors'!C8+'[1]SYSTEM-WIDE Factors'!C52</f>
        <v>0.249</v>
      </c>
      <c r="H42" s="71"/>
      <c r="I42" s="69">
        <f t="shared" si="6"/>
        <v>7.7250999999999959E-2</v>
      </c>
      <c r="J42" s="70">
        <f t="shared" si="6"/>
        <v>-3.9740999999999999E-2</v>
      </c>
      <c r="K42" s="72"/>
      <c r="L42" s="58">
        <f>G42-C42</f>
        <v>4.3250999999999984E-2</v>
      </c>
      <c r="M42" s="58">
        <f>G42-D42</f>
        <v>0.206259</v>
      </c>
      <c r="N42" s="71"/>
      <c r="O42" s="58">
        <f>G42-E42</f>
        <v>-3.3999999999999975E-2</v>
      </c>
      <c r="P42" s="58">
        <f>G42-F42</f>
        <v>0.246</v>
      </c>
    </row>
    <row r="43" spans="1:16" x14ac:dyDescent="0.2">
      <c r="G43" s="45"/>
      <c r="H43" s="45"/>
      <c r="I43" s="45"/>
      <c r="J43" s="45"/>
      <c r="K43" s="45"/>
      <c r="L43" s="45"/>
      <c r="N43" s="45"/>
    </row>
    <row r="48" spans="1:16" x14ac:dyDescent="0.2">
      <c r="C48" s="14"/>
    </row>
    <row r="49" spans="1:3" x14ac:dyDescent="0.2">
      <c r="A49" s="73"/>
      <c r="B49" s="73"/>
      <c r="C49" s="74"/>
    </row>
    <row r="50" spans="1:3" x14ac:dyDescent="0.2">
      <c r="A50" s="73"/>
      <c r="B50" s="73"/>
      <c r="C50" s="74"/>
    </row>
    <row r="51" spans="1:3" x14ac:dyDescent="0.2">
      <c r="A51" s="75"/>
      <c r="B51" s="75"/>
      <c r="C51" s="76"/>
    </row>
    <row r="52" spans="1:3" x14ac:dyDescent="0.2">
      <c r="A52" s="75"/>
      <c r="B52" s="75"/>
      <c r="C52" s="76"/>
    </row>
  </sheetData>
  <mergeCells count="5">
    <mergeCell ref="C1:D1"/>
    <mergeCell ref="E1:F1"/>
    <mergeCell ref="I1:J1"/>
    <mergeCell ref="L1:M1"/>
    <mergeCell ref="O1:P1"/>
  </mergeCells>
  <printOptions horizontalCentered="1"/>
  <pageMargins left="0.7" right="0.7" top="0.75" bottom="0.75" header="0.3" footer="0.3"/>
  <pageSetup scale="50" orientation="landscape" r:id="rId1"/>
  <headerFooter>
    <oddHeader>&amp;CPUBLIC UTILITY COMMISSION OF TEXAS
AEP TEXAS INC
TEST YEAR ENDING 12/31/2018&amp;RJENNIFER L JACKSON
TESTIMONY EXHIBIT JLJ-1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96B48436-A6FC-44DF-AD73-3241789D67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JLJ-1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dtsoa12</cp:lastModifiedBy>
  <cp:lastPrinted>2019-04-26T19:29:28Z</cp:lastPrinted>
  <dcterms:created xsi:type="dcterms:W3CDTF">2019-04-26T19:25:16Z</dcterms:created>
  <dcterms:modified xsi:type="dcterms:W3CDTF">2019-04-26T19:29:42Z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228ffa61-cf3c-47fb-9c8e-862a5ac79696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