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RegCaseMgmt\2019 AEPTX RATE CASE\TESTIMONY\JACKSON\"/>
    </mc:Choice>
  </mc:AlternateContent>
  <bookViews>
    <workbookView xWindow="0" yWindow="0" windowWidth="28800" windowHeight="12000"/>
  </bookViews>
  <sheets>
    <sheet name="EXHIBIT JLJ-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 calcMode="manual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1" l="1"/>
  <c r="C27" i="1"/>
  <c r="C13" i="1"/>
  <c r="I13" i="1"/>
  <c r="F26" i="1" l="1"/>
  <c r="F25" i="1"/>
  <c r="F24" i="1"/>
  <c r="F23" i="1"/>
  <c r="F22" i="1"/>
  <c r="F21" i="1"/>
  <c r="F20" i="1"/>
  <c r="F19" i="1"/>
  <c r="U25" i="1"/>
  <c r="U24" i="1"/>
  <c r="U23" i="1"/>
  <c r="U22" i="1"/>
  <c r="U21" i="1"/>
  <c r="R25" i="1"/>
  <c r="R24" i="1"/>
  <c r="R23" i="1"/>
  <c r="R22" i="1"/>
  <c r="R21" i="1"/>
  <c r="O26" i="1"/>
  <c r="O25" i="1"/>
  <c r="O24" i="1"/>
  <c r="O23" i="1"/>
  <c r="O22" i="1"/>
  <c r="O21" i="1"/>
  <c r="O20" i="1"/>
  <c r="O19" i="1"/>
  <c r="L26" i="1"/>
  <c r="L25" i="1"/>
  <c r="L24" i="1"/>
  <c r="L23" i="1"/>
  <c r="L22" i="1"/>
  <c r="L21" i="1"/>
  <c r="L20" i="1"/>
  <c r="L19" i="1"/>
  <c r="F12" i="1"/>
  <c r="F11" i="1"/>
  <c r="F10" i="1"/>
  <c r="F9" i="1"/>
  <c r="F8" i="1"/>
  <c r="F7" i="1"/>
  <c r="F6" i="1"/>
  <c r="F5" i="1"/>
  <c r="U11" i="1"/>
  <c r="U10" i="1"/>
  <c r="U9" i="1"/>
  <c r="U8" i="1"/>
  <c r="U7" i="1"/>
  <c r="R11" i="1"/>
  <c r="R10" i="1"/>
  <c r="R9" i="1"/>
  <c r="R8" i="1"/>
  <c r="R7" i="1"/>
  <c r="O12" i="1"/>
  <c r="O11" i="1"/>
  <c r="O10" i="1"/>
  <c r="O9" i="1"/>
  <c r="O8" i="1"/>
  <c r="O7" i="1"/>
  <c r="O6" i="1"/>
  <c r="O5" i="1"/>
  <c r="L12" i="1"/>
  <c r="L11" i="1"/>
  <c r="L10" i="1"/>
  <c r="L9" i="1"/>
  <c r="L8" i="1"/>
  <c r="L7" i="1"/>
  <c r="L6" i="1"/>
  <c r="L5" i="1"/>
  <c r="F27" i="1" l="1"/>
  <c r="O27" i="1"/>
  <c r="R27" i="1"/>
  <c r="U27" i="1"/>
  <c r="L27" i="1"/>
  <c r="F13" i="1"/>
  <c r="U13" i="1"/>
  <c r="R13" i="1"/>
  <c r="O13" i="1"/>
  <c r="D40" i="1" l="1"/>
  <c r="D39" i="1"/>
  <c r="D38" i="1"/>
  <c r="D37" i="1"/>
  <c r="D36" i="1"/>
  <c r="D35" i="1"/>
  <c r="D34" i="1"/>
  <c r="D33" i="1"/>
  <c r="D26" i="1"/>
  <c r="D25" i="1"/>
  <c r="D24" i="1"/>
  <c r="D23" i="1"/>
  <c r="D22" i="1"/>
  <c r="D21" i="1"/>
  <c r="D20" i="1"/>
  <c r="D19" i="1"/>
  <c r="M12" i="1"/>
  <c r="M40" i="1" s="1"/>
  <c r="V25" i="1" l="1"/>
  <c r="V24" i="1"/>
  <c r="V23" i="1"/>
  <c r="V22" i="1"/>
  <c r="V21" i="1"/>
  <c r="S25" i="1"/>
  <c r="P25" i="1"/>
  <c r="P19" i="1"/>
  <c r="M25" i="1"/>
  <c r="M24" i="1"/>
  <c r="M23" i="1"/>
  <c r="M22" i="1"/>
  <c r="M21" i="1"/>
  <c r="M20" i="1"/>
  <c r="M19" i="1"/>
  <c r="P22" i="1" l="1"/>
  <c r="P26" i="1"/>
  <c r="S24" i="1"/>
  <c r="P23" i="1"/>
  <c r="S21" i="1"/>
  <c r="P21" i="1"/>
  <c r="S23" i="1"/>
  <c r="P20" i="1"/>
  <c r="P24" i="1"/>
  <c r="S22" i="1"/>
  <c r="V11" i="1" l="1"/>
  <c r="V39" i="1" s="1"/>
  <c r="V10" i="1"/>
  <c r="V38" i="1" s="1"/>
  <c r="V9" i="1"/>
  <c r="V37" i="1" s="1"/>
  <c r="V8" i="1"/>
  <c r="V36" i="1" s="1"/>
  <c r="V7" i="1"/>
  <c r="V35" i="1" s="1"/>
  <c r="S11" i="1"/>
  <c r="S39" i="1" s="1"/>
  <c r="S10" i="1"/>
  <c r="S38" i="1" s="1"/>
  <c r="S9" i="1"/>
  <c r="S37" i="1" s="1"/>
  <c r="S8" i="1"/>
  <c r="S36" i="1" s="1"/>
  <c r="S7" i="1"/>
  <c r="S35" i="1" s="1"/>
  <c r="P12" i="1"/>
  <c r="P40" i="1" s="1"/>
  <c r="P11" i="1"/>
  <c r="P39" i="1" s="1"/>
  <c r="P10" i="1"/>
  <c r="P38" i="1" s="1"/>
  <c r="P9" i="1"/>
  <c r="P37" i="1" s="1"/>
  <c r="P8" i="1"/>
  <c r="P36" i="1" s="1"/>
  <c r="P7" i="1"/>
  <c r="P35" i="1" s="1"/>
  <c r="P6" i="1"/>
  <c r="P34" i="1" s="1"/>
  <c r="P5" i="1"/>
  <c r="P33" i="1" s="1"/>
  <c r="M11" i="1"/>
  <c r="M39" i="1" s="1"/>
  <c r="M10" i="1"/>
  <c r="M38" i="1" s="1"/>
  <c r="M9" i="1"/>
  <c r="M37" i="1" s="1"/>
  <c r="M8" i="1"/>
  <c r="M36" i="1" s="1"/>
  <c r="M7" i="1"/>
  <c r="M35" i="1" s="1"/>
  <c r="M6" i="1"/>
  <c r="M34" i="1" s="1"/>
  <c r="M5" i="1"/>
  <c r="M33" i="1" s="1"/>
  <c r="L13" i="1"/>
  <c r="D12" i="1" l="1"/>
  <c r="D11" i="1"/>
  <c r="D10" i="1"/>
  <c r="D9" i="1"/>
  <c r="D8" i="1"/>
  <c r="D7" i="1"/>
  <c r="D6" i="1"/>
  <c r="D5" i="1"/>
  <c r="V41" i="1"/>
  <c r="S41" i="1"/>
  <c r="P41" i="1"/>
  <c r="M41" i="1"/>
  <c r="J41" i="1"/>
  <c r="G41" i="1"/>
  <c r="D41" i="1"/>
  <c r="V27" i="1"/>
  <c r="S27" i="1"/>
  <c r="P27" i="1"/>
  <c r="M27" i="1"/>
  <c r="J27" i="1"/>
  <c r="G27" i="1"/>
  <c r="D27" i="1"/>
  <c r="V13" i="1"/>
  <c r="S13" i="1"/>
  <c r="P13" i="1"/>
  <c r="M13" i="1"/>
  <c r="J13" i="1"/>
  <c r="G13" i="1"/>
  <c r="D13" i="1" l="1"/>
</calcChain>
</file>

<file path=xl/sharedStrings.xml><?xml version="1.0" encoding="utf-8"?>
<sst xmlns="http://schemas.openxmlformats.org/spreadsheetml/2006/main" count="60" uniqueCount="20">
  <si>
    <t>RESIDENTIAL SERVICE</t>
  </si>
  <si>
    <t>SECONDARY &lt; = 10 KW</t>
  </si>
  <si>
    <t>TRANSMISSION</t>
  </si>
  <si>
    <t>SECONDARY LIGHTING</t>
  </si>
  <si>
    <t>TOTAL  RETAIL</t>
  </si>
  <si>
    <t>CLASS</t>
  </si>
  <si>
    <t>CENTRAL</t>
  </si>
  <si>
    <t>MDD</t>
  </si>
  <si>
    <t>ERCOT 4CP</t>
  </si>
  <si>
    <t>NCP</t>
  </si>
  <si>
    <t>CUSTOMER COUNT</t>
  </si>
  <si>
    <t>KWH</t>
  </si>
  <si>
    <t>BILLING DEMANDS</t>
  </si>
  <si>
    <t>DISTRIBUTION</t>
  </si>
  <si>
    <t>NORTH</t>
  </si>
  <si>
    <t>AEP TEXAS</t>
  </si>
  <si>
    <t>SECONDARY &gt; = 10 KW NCP</t>
  </si>
  <si>
    <t>SECONDARY &gt; = 10 KW 4CP</t>
  </si>
  <si>
    <t>PRIMARY 4CP</t>
  </si>
  <si>
    <t>PRIMARY 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</si>
</sst>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00%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164" fontId="3" fillId="0" borderId="0" xfId="2" applyNumberFormat="1" applyFont="1" applyFill="1" applyBorder="1"/>
    <xf numFmtId="165" fontId="0" fillId="0" borderId="0" xfId="1" applyNumberFormat="1" applyFont="1"/>
    <xf numFmtId="165" fontId="3" fillId="0" borderId="0" xfId="1" applyNumberFormat="1" applyFont="1" applyFill="1" applyBorder="1"/>
    <xf numFmtId="10" fontId="0" fillId="0" borderId="0" xfId="0" applyNumberFormat="1"/>
    <xf numFmtId="164" fontId="3" fillId="0" borderId="1" xfId="2" applyNumberFormat="1" applyFont="1" applyFill="1" applyBorder="1"/>
    <xf numFmtId="164" fontId="3" fillId="0" borderId="2" xfId="2" applyNumberFormat="1" applyFont="1" applyFill="1" applyBorder="1"/>
    <xf numFmtId="164" fontId="3" fillId="0" borderId="3" xfId="2" applyNumberFormat="1" applyFont="1" applyFill="1" applyBorder="1"/>
    <xf numFmtId="164" fontId="3" fillId="0" borderId="4" xfId="2" applyNumberFormat="1" applyFont="1" applyFill="1" applyBorder="1"/>
    <xf numFmtId="164" fontId="3" fillId="0" borderId="5" xfId="2" applyNumberFormat="1" applyFont="1" applyFill="1" applyBorder="1"/>
    <xf numFmtId="164" fontId="3" fillId="0" borderId="6" xfId="2" applyNumberFormat="1" applyFont="1" applyFill="1" applyBorder="1"/>
    <xf numFmtId="165" fontId="4" fillId="0" borderId="0" xfId="1" applyNumberFormat="1" applyFont="1"/>
    <xf numFmtId="165" fontId="4" fillId="0" borderId="1" xfId="1" applyNumberFormat="1" applyFont="1" applyBorder="1"/>
    <xf numFmtId="165" fontId="4" fillId="0" borderId="2" xfId="1" applyNumberFormat="1" applyFont="1" applyBorder="1"/>
    <xf numFmtId="165" fontId="4" fillId="0" borderId="3" xfId="1" applyNumberFormat="1" applyFont="1" applyBorder="1"/>
    <xf numFmtId="165" fontId="4" fillId="0" borderId="4" xfId="1" applyNumberFormat="1" applyFont="1" applyBorder="1"/>
    <xf numFmtId="165" fontId="4" fillId="0" borderId="5" xfId="1" applyNumberFormat="1" applyFont="1" applyBorder="1"/>
    <xf numFmtId="165" fontId="4" fillId="0" borderId="6" xfId="1" applyNumberFormat="1" applyFont="1" applyBorder="1"/>
    <xf numFmtId="165" fontId="3" fillId="0" borderId="2" xfId="1" applyNumberFormat="1" applyFont="1" applyFill="1" applyBorder="1"/>
    <xf numFmtId="165" fontId="3" fillId="0" borderId="4" xfId="1" applyNumberFormat="1" applyFont="1" applyFill="1" applyBorder="1"/>
    <xf numFmtId="165" fontId="3" fillId="0" borderId="6" xfId="1" applyNumberFormat="1" applyFont="1" applyFill="1" applyBorder="1"/>
    <xf numFmtId="165" fontId="3" fillId="0" borderId="7" xfId="1" applyNumberFormat="1" applyFont="1" applyFill="1" applyBorder="1"/>
    <xf numFmtId="165" fontId="4" fillId="0" borderId="7" xfId="1" applyNumberFormat="1" applyFont="1" applyBorder="1"/>
    <xf numFmtId="165" fontId="4" fillId="0" borderId="0" xfId="1" applyNumberFormat="1" applyFont="1" applyBorder="1"/>
    <xf numFmtId="165" fontId="3" fillId="0" borderId="8" xfId="1" applyNumberFormat="1" applyFont="1" applyFill="1" applyBorder="1"/>
    <xf numFmtId="165" fontId="4" fillId="0" borderId="8" xfId="1" applyNumberFormat="1" applyFont="1" applyBorder="1"/>
    <xf numFmtId="0" fontId="4" fillId="0" borderId="0" xfId="0" applyFont="1"/>
    <xf numFmtId="10" fontId="4" fillId="0" borderId="0" xfId="0" applyNumberFormat="1" applyFont="1"/>
    <xf numFmtId="164" fontId="4" fillId="0" borderId="0" xfId="0" applyNumberFormat="1" applyFont="1"/>
    <xf numFmtId="10" fontId="4" fillId="0" borderId="1" xfId="0" applyNumberFormat="1" applyFont="1" applyBorder="1"/>
    <xf numFmtId="10" fontId="4" fillId="0" borderId="3" xfId="0" applyNumberFormat="1" applyFont="1" applyBorder="1"/>
    <xf numFmtId="10" fontId="4" fillId="0" borderId="5" xfId="0" applyNumberFormat="1" applyFont="1" applyBorder="1"/>
    <xf numFmtId="0" fontId="3" fillId="0" borderId="0" xfId="3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TCCALLOFACT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Allofact\TCC%20ALLOFACT%2012_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Allocator%20Compa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CC\Schedules\WP%20IV-J-7%20Proof%20of%20Revenue%20Statement%20Central%20Divis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Allofact\TNC%20ALLOFACT%2012_201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TNC\Schedules\WP%20IV-J-7%20Proof%20of%20Revenue%20Statement%20North%20Divis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EP%20Texas\Rate%20Cases\AEP%20Texas%202019\Combined\Allofact\TEX%20Combined%20ALLOFACT%2012_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>
        <row r="25">
          <cell r="E25">
            <v>28272483.977475177</v>
          </cell>
          <cell r="F25">
            <v>0.46353892502985206</v>
          </cell>
        </row>
        <row r="26">
          <cell r="F26">
            <v>1.6162349442167576E-2</v>
          </cell>
        </row>
        <row r="27">
          <cell r="F27">
            <v>0.2532256520803568</v>
          </cell>
        </row>
        <row r="28">
          <cell r="F28">
            <v>2.6334735526742661E-2</v>
          </cell>
        </row>
        <row r="29">
          <cell r="F29">
            <v>5.5144467286700029E-3</v>
          </cell>
        </row>
        <row r="30">
          <cell r="F30">
            <v>7.2655730214812989E-2</v>
          </cell>
        </row>
        <row r="31">
          <cell r="F31">
            <v>0.15018943273636179</v>
          </cell>
        </row>
        <row r="32">
          <cell r="F32">
            <v>1.2378728241036016E-2</v>
          </cell>
        </row>
      </sheetData>
      <sheetData sheetId="1"/>
      <sheetData sheetId="2"/>
      <sheetData sheetId="3"/>
      <sheetData sheetId="4">
        <row r="20">
          <cell r="G20">
            <v>2410331.3098648782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TH"/>
      <sheetName val="CENTRAL"/>
    </sheetNames>
    <sheetDataSet>
      <sheetData sheetId="0">
        <row r="4">
          <cell r="B4">
            <v>147658</v>
          </cell>
          <cell r="F4">
            <v>1713078230</v>
          </cell>
          <cell r="R4">
            <v>0.46553446999999998</v>
          </cell>
        </row>
        <row r="6">
          <cell r="B6">
            <v>27973</v>
          </cell>
          <cell r="F6">
            <v>146926027</v>
          </cell>
          <cell r="R6">
            <v>2.8971029999999998E-2</v>
          </cell>
        </row>
        <row r="8">
          <cell r="B8">
            <v>12606</v>
          </cell>
          <cell r="F8">
            <v>1411574977</v>
          </cell>
          <cell r="J8">
            <v>6058441</v>
          </cell>
          <cell r="N8">
            <v>5144512</v>
          </cell>
          <cell r="R8">
            <v>0.30869131</v>
          </cell>
        </row>
        <row r="9">
          <cell r="B9">
            <v>183</v>
          </cell>
          <cell r="F9">
            <v>342521138</v>
          </cell>
          <cell r="J9">
            <v>982774</v>
          </cell>
          <cell r="N9">
            <v>637173</v>
          </cell>
          <cell r="R9">
            <v>5.9940060000000003E-2</v>
          </cell>
        </row>
        <row r="12">
          <cell r="B12">
            <v>258</v>
          </cell>
          <cell r="F12">
            <v>50395837</v>
          </cell>
          <cell r="J12">
            <v>142816</v>
          </cell>
          <cell r="N12">
            <v>122066</v>
          </cell>
          <cell r="R12">
            <v>6.99301E-3</v>
          </cell>
        </row>
        <row r="13">
          <cell r="B13">
            <v>87</v>
          </cell>
          <cell r="F13">
            <v>881815440</v>
          </cell>
          <cell r="J13">
            <v>2081550</v>
          </cell>
          <cell r="N13">
            <v>1309773</v>
          </cell>
          <cell r="R13">
            <v>0.12387612000000001</v>
          </cell>
        </row>
        <row r="16">
          <cell r="B16">
            <v>18</v>
          </cell>
          <cell r="F16">
            <v>44258888</v>
          </cell>
          <cell r="J16">
            <v>443710</v>
          </cell>
          <cell r="N16">
            <v>91726</v>
          </cell>
          <cell r="R16">
            <v>5.9940100000000001E-3</v>
          </cell>
        </row>
        <row r="18">
          <cell r="B18">
            <v>205</v>
          </cell>
          <cell r="F18">
            <v>57913901</v>
          </cell>
          <cell r="R18">
            <v>0</v>
          </cell>
        </row>
      </sheetData>
      <sheetData sheetId="1">
        <row r="4">
          <cell r="B4">
            <v>624808</v>
          </cell>
          <cell r="F4">
            <v>8352353434</v>
          </cell>
          <cell r="R4">
            <v>0.47208569981221071</v>
          </cell>
        </row>
        <row r="6">
          <cell r="B6">
            <v>55542</v>
          </cell>
          <cell r="F6">
            <v>398752267</v>
          </cell>
          <cell r="R6">
            <v>1.7188206944653978E-2</v>
          </cell>
        </row>
        <row r="8">
          <cell r="B8">
            <v>50528</v>
          </cell>
          <cell r="F8">
            <v>5816253405</v>
          </cell>
          <cell r="J8">
            <v>23486386</v>
          </cell>
          <cell r="N8">
            <v>20862561</v>
          </cell>
          <cell r="R8">
            <v>0.29224832795962441</v>
          </cell>
        </row>
        <row r="9">
          <cell r="B9">
            <v>197</v>
          </cell>
          <cell r="F9">
            <v>499418184</v>
          </cell>
          <cell r="J9">
            <v>1421383</v>
          </cell>
          <cell r="N9">
            <v>1035873</v>
          </cell>
          <cell r="R9">
            <v>2.0228932912344528E-2</v>
          </cell>
        </row>
        <row r="12">
          <cell r="B12">
            <v>188</v>
          </cell>
          <cell r="F12">
            <v>242439411</v>
          </cell>
          <cell r="J12">
            <v>631219</v>
          </cell>
          <cell r="N12">
            <v>590802</v>
          </cell>
          <cell r="R12">
            <v>1.0476549626578305E-2</v>
          </cell>
        </row>
        <row r="13">
          <cell r="B13">
            <v>307</v>
          </cell>
          <cell r="F13">
            <v>2530226306</v>
          </cell>
          <cell r="J13">
            <v>5776539</v>
          </cell>
          <cell r="N13">
            <v>4659324</v>
          </cell>
          <cell r="R13">
            <v>9.7656739800775716E-2</v>
          </cell>
        </row>
        <row r="16">
          <cell r="B16">
            <v>44</v>
          </cell>
          <cell r="F16">
            <v>3834350253</v>
          </cell>
          <cell r="J16">
            <v>13980065</v>
          </cell>
          <cell r="N16">
            <v>4817300</v>
          </cell>
          <cell r="R16">
            <v>9.0115542943812271E-2</v>
          </cell>
        </row>
        <row r="18">
          <cell r="B18">
            <v>670</v>
          </cell>
          <cell r="F18">
            <v>229634991</v>
          </cell>
          <cell r="R1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Central RS"/>
      <sheetName val="Central Sec LT 10"/>
      <sheetName val="Central Sec 4CP"/>
      <sheetName val="Central Sec NCP"/>
      <sheetName val="Central Pri 4CP"/>
      <sheetName val="Central Pri NCP"/>
      <sheetName val="Central Trans"/>
      <sheetName val="Central Lighting"/>
    </sheetNames>
    <sheetDataSet>
      <sheetData sheetId="0">
        <row r="9">
          <cell r="D9">
            <v>725305</v>
          </cell>
          <cell r="G9">
            <v>10123921366.933681</v>
          </cell>
        </row>
        <row r="11">
          <cell r="D11">
            <v>63062</v>
          </cell>
          <cell r="G11">
            <v>437930616.34718335</v>
          </cell>
        </row>
        <row r="13">
          <cell r="D13">
            <v>58727</v>
          </cell>
          <cell r="G13">
            <v>6622801226.6619568</v>
          </cell>
          <cell r="H13">
            <v>27329124.176761985</v>
          </cell>
          <cell r="J13">
            <v>23834663.973250702</v>
          </cell>
        </row>
        <row r="14">
          <cell r="D14">
            <v>321</v>
          </cell>
          <cell r="G14">
            <v>754606169.33458507</v>
          </cell>
          <cell r="H14">
            <v>2181804.0846346002</v>
          </cell>
          <cell r="J14">
            <v>1483657.1019502641</v>
          </cell>
        </row>
        <row r="17">
          <cell r="D17">
            <v>206</v>
          </cell>
          <cell r="G17">
            <v>179275465.86586615</v>
          </cell>
          <cell r="H17">
            <v>549991.11101806397</v>
          </cell>
          <cell r="J17">
            <v>467957.50039238262</v>
          </cell>
        </row>
        <row r="18">
          <cell r="D18">
            <v>346</v>
          </cell>
          <cell r="G18">
            <v>2422592700.8857927</v>
          </cell>
          <cell r="H18">
            <v>6160113.8075683936</v>
          </cell>
          <cell r="J18">
            <v>4355162.5998815829</v>
          </cell>
        </row>
        <row r="21">
          <cell r="D21">
            <v>60</v>
          </cell>
          <cell r="G21">
            <v>5549671461.8939543</v>
          </cell>
          <cell r="H21">
            <v>16134685.975145448</v>
          </cell>
          <cell r="J21">
            <v>6327149.8870359799</v>
          </cell>
        </row>
        <row r="23">
          <cell r="E23">
            <v>22476</v>
          </cell>
          <cell r="G23">
            <v>222504553.85898465</v>
          </cell>
        </row>
      </sheetData>
      <sheetData sheetId="1">
        <row r="11">
          <cell r="D11">
            <v>1.6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>
        <row r="25">
          <cell r="E25">
            <v>5498233.5800679056</v>
          </cell>
          <cell r="F25">
            <v>0.40599444462079054</v>
          </cell>
        </row>
        <row r="26">
          <cell r="F26">
            <v>2.4772552081876134E-2</v>
          </cell>
        </row>
        <row r="27">
          <cell r="F27">
            <v>0.24988262471346739</v>
          </cell>
        </row>
        <row r="28">
          <cell r="F28">
            <v>6.272115964518879E-2</v>
          </cell>
        </row>
        <row r="29">
          <cell r="F29">
            <v>1.5951530551252022E-2</v>
          </cell>
        </row>
        <row r="30">
          <cell r="F30">
            <v>0.20166884866499638</v>
          </cell>
        </row>
        <row r="31">
          <cell r="F31">
            <v>2.8681009064375127E-2</v>
          </cell>
        </row>
        <row r="32">
          <cell r="F32">
            <v>1.0327830658053596E-2</v>
          </cell>
        </row>
      </sheetData>
      <sheetData sheetId="1">
        <row r="20">
          <cell r="G20">
            <v>501872.84218045283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ing Units"/>
      <sheetName val="Rate Summary"/>
      <sheetName val="North RS"/>
      <sheetName val="North Sec LT 10"/>
      <sheetName val="North Sec 4CP"/>
      <sheetName val="North Sec NCP"/>
      <sheetName val="North Pri 4CP"/>
      <sheetName val="North Pri NCP"/>
      <sheetName val="North Trans"/>
      <sheetName val="North Lighting"/>
    </sheetNames>
    <sheetDataSet>
      <sheetData sheetId="0">
        <row r="9">
          <cell r="D9">
            <v>151248</v>
          </cell>
          <cell r="G9">
            <v>1873260215.4558413</v>
          </cell>
        </row>
        <row r="11">
          <cell r="D11">
            <v>26096</v>
          </cell>
          <cell r="G11">
            <v>141372767.85164386</v>
          </cell>
        </row>
        <row r="13">
          <cell r="D13">
            <v>13865</v>
          </cell>
          <cell r="G13">
            <v>1447568524.4705305</v>
          </cell>
          <cell r="H13">
            <v>6446781.5966399666</v>
          </cell>
          <cell r="J13">
            <v>5472427.5262860982</v>
          </cell>
        </row>
        <row r="14">
          <cell r="D14">
            <v>157</v>
          </cell>
          <cell r="G14">
            <v>421294538.41969424</v>
          </cell>
          <cell r="H14">
            <v>1176555.8973604378</v>
          </cell>
          <cell r="J14">
            <v>707776.93046700291</v>
          </cell>
        </row>
        <row r="17">
          <cell r="D17">
            <v>368</v>
          </cell>
          <cell r="G17">
            <v>126776103.42687479</v>
          </cell>
          <cell r="H17">
            <v>408880.18344157358</v>
          </cell>
          <cell r="J17">
            <v>338521.87116203929</v>
          </cell>
        </row>
        <row r="18">
          <cell r="D18">
            <v>125</v>
          </cell>
          <cell r="G18">
            <v>1661102417.3588257</v>
          </cell>
          <cell r="H18">
            <v>3342638.2307660673</v>
          </cell>
          <cell r="J18">
            <v>2369237.8368537384</v>
          </cell>
        </row>
        <row r="21">
          <cell r="D21">
            <v>25</v>
          </cell>
          <cell r="G21">
            <v>195325446.60408431</v>
          </cell>
          <cell r="H21">
            <v>694891.86436100118</v>
          </cell>
          <cell r="J21">
            <v>244034.35350283771</v>
          </cell>
        </row>
        <row r="23">
          <cell r="G23">
            <v>39721491.579555027</v>
          </cell>
        </row>
      </sheetData>
      <sheetData sheetId="1">
        <row r="11">
          <cell r="D11">
            <v>1.26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RCOT 4 CP"/>
      <sheetName val="ERCOT 12 CP"/>
      <sheetName val="ERCOT 1 CP"/>
      <sheetName val="TNC 4 CP"/>
      <sheetName val="Input"/>
      <sheetName val="Data"/>
      <sheetName val="GEN"/>
    </sheetNames>
    <sheetDataSet>
      <sheetData sheetId="0">
        <row r="25">
          <cell r="F25">
            <v>0.45256722341347266</v>
          </cell>
        </row>
        <row r="26">
          <cell r="F26">
            <v>1.7489036833811315E-2</v>
          </cell>
        </row>
        <row r="27">
          <cell r="F27">
            <v>0.25350191106575432</v>
          </cell>
        </row>
        <row r="28">
          <cell r="F28">
            <v>3.2624042831250435E-2</v>
          </cell>
        </row>
        <row r="29">
          <cell r="F29">
            <v>7.2923620090595788E-3</v>
          </cell>
        </row>
        <row r="30">
          <cell r="F30">
            <v>9.5877457360051335E-2</v>
          </cell>
        </row>
        <row r="31">
          <cell r="F31">
            <v>0.12847240597896015</v>
          </cell>
        </row>
        <row r="32">
          <cell r="F32">
            <v>1.2175560507640321E-2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41"/>
  <sheetViews>
    <sheetView tabSelected="1" workbookViewId="0">
      <selection activeCell="B1" sqref="B1"/>
    </sheetView>
  </sheetViews>
  <sheetFormatPr defaultRowHeight="14.5" x14ac:dyDescent="0.35"/>
  <cols>
    <col min="1" max="1" width="3.54296875" customWidth="1"/>
    <col min="2" max="2" width="31.26953125" bestFit="1" customWidth="1"/>
    <col min="3" max="4" width="9" bestFit="1" customWidth="1"/>
    <col min="5" max="5" width="3.7265625" customWidth="1"/>
    <col min="7" max="7" width="9.7265625" customWidth="1"/>
    <col min="8" max="8" width="3.7265625" customWidth="1"/>
    <col min="9" max="10" width="9" bestFit="1" customWidth="1"/>
    <col min="11" max="11" width="3.7265625" customWidth="1"/>
    <col min="12" max="12" width="9.81640625" bestFit="1" customWidth="1"/>
    <col min="13" max="13" width="10.453125" bestFit="1" customWidth="1"/>
    <col min="14" max="14" width="3.7265625" customWidth="1"/>
    <col min="15" max="15" width="16.81640625" bestFit="1" customWidth="1"/>
    <col min="16" max="16" width="15.1796875" bestFit="1" customWidth="1"/>
    <col min="17" max="17" width="3.7265625" customWidth="1"/>
    <col min="18" max="18" width="12.7265625" bestFit="1" customWidth="1"/>
    <col min="19" max="19" width="13" customWidth="1"/>
    <col min="20" max="20" width="3.7265625" customWidth="1"/>
    <col min="21" max="21" width="12.7265625" bestFit="1" customWidth="1"/>
    <col min="22" max="22" width="15" customWidth="1"/>
  </cols>
  <sheetData>
    <row r="1" spans="2:22" x14ac:dyDescent="0.35"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38" t="s">
        <v>13</v>
      </c>
      <c r="S1" s="38"/>
      <c r="T1" s="26"/>
      <c r="U1" s="38" t="s">
        <v>2</v>
      </c>
      <c r="V1" s="38"/>
    </row>
    <row r="2" spans="2:22" x14ac:dyDescent="0.35">
      <c r="C2" s="38" t="s">
        <v>7</v>
      </c>
      <c r="D2" s="38"/>
      <c r="E2" s="26"/>
      <c r="F2" s="38" t="s">
        <v>8</v>
      </c>
      <c r="G2" s="38"/>
      <c r="H2" s="26"/>
      <c r="I2" s="38" t="s">
        <v>9</v>
      </c>
      <c r="J2" s="38"/>
      <c r="K2" s="26"/>
      <c r="L2" s="38" t="s">
        <v>10</v>
      </c>
      <c r="M2" s="38"/>
      <c r="N2" s="26"/>
      <c r="O2" s="38" t="s">
        <v>11</v>
      </c>
      <c r="P2" s="38"/>
      <c r="Q2" s="26"/>
      <c r="R2" s="38" t="s">
        <v>12</v>
      </c>
      <c r="S2" s="38"/>
      <c r="T2" s="26"/>
      <c r="U2" s="38" t="s">
        <v>12</v>
      </c>
      <c r="V2" s="38"/>
    </row>
    <row r="3" spans="2:22" x14ac:dyDescent="0.35">
      <c r="B3" s="33" t="s">
        <v>6</v>
      </c>
      <c r="C3" s="36">
        <v>2006</v>
      </c>
      <c r="D3" s="36">
        <v>2018</v>
      </c>
      <c r="E3" s="26"/>
      <c r="F3" s="36">
        <v>2006</v>
      </c>
      <c r="G3" s="36">
        <v>2018</v>
      </c>
      <c r="H3" s="26"/>
      <c r="I3" s="36">
        <v>2006</v>
      </c>
      <c r="J3" s="36">
        <v>2018</v>
      </c>
      <c r="K3" s="26"/>
      <c r="L3" s="36">
        <v>2006</v>
      </c>
      <c r="M3" s="36">
        <v>2018</v>
      </c>
      <c r="N3" s="26"/>
      <c r="O3" s="36">
        <v>2006</v>
      </c>
      <c r="P3" s="36">
        <v>2018</v>
      </c>
      <c r="Q3" s="26"/>
      <c r="R3" s="26">
        <v>2006</v>
      </c>
      <c r="S3" s="26">
        <v>2018</v>
      </c>
      <c r="T3" s="26"/>
      <c r="U3" s="26">
        <v>2006</v>
      </c>
      <c r="V3" s="26">
        <v>2018</v>
      </c>
    </row>
    <row r="4" spans="2:22" x14ac:dyDescent="0.35">
      <c r="B4" s="32" t="s">
        <v>5</v>
      </c>
    </row>
    <row r="5" spans="2:22" x14ac:dyDescent="0.35">
      <c r="B5" s="32" t="s">
        <v>0</v>
      </c>
      <c r="C5" s="5">
        <v>0.45470082809609064</v>
      </c>
      <c r="D5" s="6">
        <f>[1]Summary!$F$25</f>
        <v>0.46353892502985206</v>
      </c>
      <c r="F5" s="5">
        <f>[2]CENTRAL!$R$4</f>
        <v>0.47208569981221071</v>
      </c>
      <c r="G5" s="6">
        <v>0.48329651792460415</v>
      </c>
      <c r="I5" s="5">
        <v>0.57962107328415602</v>
      </c>
      <c r="J5" s="6">
        <v>0.55335608194380836</v>
      </c>
      <c r="L5" s="12">
        <f>[2]CENTRAL!$B$4</f>
        <v>624808</v>
      </c>
      <c r="M5" s="13">
        <f>'[3]Billing Units'!$D$9</f>
        <v>725305</v>
      </c>
      <c r="N5" s="11"/>
      <c r="O5" s="12">
        <f>[2]CENTRAL!$F$4</f>
        <v>8352353434</v>
      </c>
      <c r="P5" s="18">
        <f>'[3]Billing Units'!$G$9</f>
        <v>10123921366.933681</v>
      </c>
      <c r="Q5" s="11"/>
      <c r="R5" s="11"/>
      <c r="S5" s="3"/>
      <c r="T5" s="11"/>
      <c r="U5" s="11"/>
      <c r="V5" s="3"/>
    </row>
    <row r="6" spans="2:22" x14ac:dyDescent="0.35">
      <c r="B6" s="32" t="s">
        <v>1</v>
      </c>
      <c r="C6" s="7">
        <v>1.5987418128741906E-2</v>
      </c>
      <c r="D6" s="8">
        <f>[1]Summary!$F$26</f>
        <v>1.6162349442167576E-2</v>
      </c>
      <c r="F6" s="7">
        <f>[2]CENTRAL!$R$6</f>
        <v>1.7188206944653978E-2</v>
      </c>
      <c r="G6" s="8">
        <v>1.794138335041362E-2</v>
      </c>
      <c r="I6" s="7">
        <v>1.9444267533818629E-2</v>
      </c>
      <c r="J6" s="8">
        <v>3.8047665407660976E-2</v>
      </c>
      <c r="L6" s="14">
        <f>[2]CENTRAL!$B$6</f>
        <v>55542</v>
      </c>
      <c r="M6" s="15">
        <f>'[3]Billing Units'!$D$11</f>
        <v>63062</v>
      </c>
      <c r="N6" s="11"/>
      <c r="O6" s="14">
        <f>[2]CENTRAL!$F$6</f>
        <v>398752267</v>
      </c>
      <c r="P6" s="19">
        <f>'[3]Billing Units'!$G$11</f>
        <v>437930616.34718335</v>
      </c>
      <c r="Q6" s="11"/>
      <c r="R6" s="11"/>
      <c r="S6" s="3"/>
      <c r="T6" s="11"/>
      <c r="U6" s="11"/>
      <c r="V6" s="3"/>
    </row>
    <row r="7" spans="2:22" x14ac:dyDescent="0.35">
      <c r="B7" s="32" t="s">
        <v>16</v>
      </c>
      <c r="C7" s="7">
        <v>0.25813680218262425</v>
      </c>
      <c r="D7" s="8">
        <f>[1]Summary!$F$27</f>
        <v>0.2532256520803568</v>
      </c>
      <c r="F7" s="7">
        <f>[2]CENTRAL!$R$8</f>
        <v>0.29224832795962441</v>
      </c>
      <c r="G7" s="8">
        <v>0.28077946460677561</v>
      </c>
      <c r="I7" s="7">
        <v>0.18454822666417559</v>
      </c>
      <c r="J7" s="8">
        <v>0.21871167608996886</v>
      </c>
      <c r="L7" s="14">
        <f>[2]CENTRAL!$B$8</f>
        <v>50528</v>
      </c>
      <c r="M7" s="15">
        <f>'[3]Billing Units'!$D$13</f>
        <v>58727</v>
      </c>
      <c r="N7" s="11"/>
      <c r="O7" s="14">
        <f>[2]CENTRAL!$F$8</f>
        <v>5816253405</v>
      </c>
      <c r="P7" s="19">
        <f>'[3]Billing Units'!$G$13</f>
        <v>6622801226.6619568</v>
      </c>
      <c r="Q7" s="11"/>
      <c r="R7" s="12">
        <f>[2]CENTRAL!$J$8</f>
        <v>23486386</v>
      </c>
      <c r="S7" s="21">
        <f>'[3]Billing Units'!$H$13</f>
        <v>27329124.176761985</v>
      </c>
      <c r="T7" s="22"/>
      <c r="U7" s="22">
        <f>[2]CENTRAL!$N$8</f>
        <v>20862561</v>
      </c>
      <c r="V7" s="18">
        <f>'[3]Billing Units'!$J$13</f>
        <v>23834663.973250702</v>
      </c>
    </row>
    <row r="8" spans="2:22" x14ac:dyDescent="0.35">
      <c r="B8" s="32" t="s">
        <v>17</v>
      </c>
      <c r="C8" s="7">
        <v>2.1154366752370448E-2</v>
      </c>
      <c r="D8" s="8">
        <f>[1]Summary!$F$28</f>
        <v>2.6334735526742661E-2</v>
      </c>
      <c r="F8" s="7">
        <f>[2]CENTRAL!$R$9</f>
        <v>2.0228932912344528E-2</v>
      </c>
      <c r="G8" s="8">
        <v>2.4639531376948364E-2</v>
      </c>
      <c r="I8" s="7">
        <v>1.4882834589304743E-2</v>
      </c>
      <c r="J8" s="8">
        <v>1.8351405329344674E-2</v>
      </c>
      <c r="L8" s="14">
        <f>[2]CENTRAL!$B$9</f>
        <v>197</v>
      </c>
      <c r="M8" s="15">
        <f>'[3]Billing Units'!$D$14</f>
        <v>321</v>
      </c>
      <c r="N8" s="11"/>
      <c r="O8" s="14">
        <f>[2]CENTRAL!$F$9</f>
        <v>499418184</v>
      </c>
      <c r="P8" s="19">
        <f>'[3]Billing Units'!$G$14</f>
        <v>754606169.33458507</v>
      </c>
      <c r="Q8" s="11"/>
      <c r="R8" s="14">
        <f>[2]CENTRAL!$J$9</f>
        <v>1421383</v>
      </c>
      <c r="S8" s="3">
        <f>'[3]Billing Units'!$H$14</f>
        <v>2181804.0846346002</v>
      </c>
      <c r="T8" s="23"/>
      <c r="U8" s="23">
        <f>[2]CENTRAL!$N$9</f>
        <v>1035873</v>
      </c>
      <c r="V8" s="19">
        <f>'[3]Billing Units'!$J$14</f>
        <v>1483657.1019502641</v>
      </c>
    </row>
    <row r="9" spans="2:22" x14ac:dyDescent="0.35">
      <c r="B9" s="32" t="s">
        <v>19</v>
      </c>
      <c r="C9" s="7">
        <v>9.5527919332288515E-3</v>
      </c>
      <c r="D9" s="8">
        <f>[1]Summary!$F$29</f>
        <v>5.5144467286700029E-3</v>
      </c>
      <c r="F9" s="7">
        <f>[2]CENTRAL!$R$12</f>
        <v>1.0476549626578305E-2</v>
      </c>
      <c r="G9" s="8">
        <v>6.043343935107086E-3</v>
      </c>
      <c r="I9" s="7">
        <v>6.7195138115869815E-3</v>
      </c>
      <c r="J9" s="8">
        <v>4.332137637735772E-3</v>
      </c>
      <c r="L9" s="14">
        <f>[2]CENTRAL!$B$12</f>
        <v>188</v>
      </c>
      <c r="M9" s="15">
        <f>'[3]Billing Units'!$D$17</f>
        <v>206</v>
      </c>
      <c r="N9" s="11"/>
      <c r="O9" s="14">
        <f>[2]CENTRAL!$F$12</f>
        <v>242439411</v>
      </c>
      <c r="P9" s="19">
        <f>'[3]Billing Units'!$G$17</f>
        <v>179275465.86586615</v>
      </c>
      <c r="Q9" s="11"/>
      <c r="R9" s="14">
        <f>[2]CENTRAL!$J$12</f>
        <v>631219</v>
      </c>
      <c r="S9" s="3">
        <f>'[3]Billing Units'!$H$17</f>
        <v>549991.11101806397</v>
      </c>
      <c r="T9" s="23"/>
      <c r="U9" s="23">
        <f>[2]CENTRAL!$N$12</f>
        <v>590802</v>
      </c>
      <c r="V9" s="19">
        <f>'[3]Billing Units'!$J$17</f>
        <v>467957.50039238262</v>
      </c>
    </row>
    <row r="10" spans="2:22" x14ac:dyDescent="0.35">
      <c r="B10" s="32" t="s">
        <v>18</v>
      </c>
      <c r="C10" s="7">
        <v>8.6582417626831096E-2</v>
      </c>
      <c r="D10" s="8">
        <f>[1]Summary!$F$30</f>
        <v>7.2655730214812989E-2</v>
      </c>
      <c r="F10" s="7">
        <f>[2]CENTRAL!$R$13</f>
        <v>9.7656739800775716E-2</v>
      </c>
      <c r="G10" s="8">
        <v>7.5534881894632436E-2</v>
      </c>
      <c r="I10" s="7">
        <v>5.4450041128904447E-2</v>
      </c>
      <c r="J10" s="8">
        <v>5.1537788429161943E-2</v>
      </c>
      <c r="L10" s="14">
        <f>[2]CENTRAL!$B$13</f>
        <v>307</v>
      </c>
      <c r="M10" s="15">
        <f>'[3]Billing Units'!$D$18</f>
        <v>346</v>
      </c>
      <c r="N10" s="11"/>
      <c r="O10" s="14">
        <f>[2]CENTRAL!$F$13</f>
        <v>2530226306</v>
      </c>
      <c r="P10" s="19">
        <f>'[3]Billing Units'!$G$18</f>
        <v>2422592700.8857927</v>
      </c>
      <c r="Q10" s="11"/>
      <c r="R10" s="14">
        <f>[2]CENTRAL!$J$13</f>
        <v>5776539</v>
      </c>
      <c r="S10" s="3">
        <f>'[3]Billing Units'!$H$18</f>
        <v>6160113.8075683936</v>
      </c>
      <c r="T10" s="23"/>
      <c r="U10" s="23">
        <f>[2]CENTRAL!$N$13</f>
        <v>4659324</v>
      </c>
      <c r="V10" s="19">
        <f>'[3]Billing Units'!$J$18</f>
        <v>4355162.5998815829</v>
      </c>
    </row>
    <row r="11" spans="2:22" x14ac:dyDescent="0.35">
      <c r="B11" s="32" t="s">
        <v>2</v>
      </c>
      <c r="C11" s="7">
        <v>0.14086194091854912</v>
      </c>
      <c r="D11" s="8">
        <f>[1]Summary!$F$31</f>
        <v>0.15018943273636179</v>
      </c>
      <c r="F11" s="7">
        <f>[2]CENTRAL!$R$16</f>
        <v>9.0115542943812271E-2</v>
      </c>
      <c r="G11" s="8">
        <v>0.11176487691151868</v>
      </c>
      <c r="I11" s="7">
        <v>0.13348488608856665</v>
      </c>
      <c r="J11" s="8">
        <v>0.10872334404751841</v>
      </c>
      <c r="L11" s="14">
        <f>[2]CENTRAL!$B$16</f>
        <v>44</v>
      </c>
      <c r="M11" s="15">
        <f>'[3]Billing Units'!$D$21</f>
        <v>60</v>
      </c>
      <c r="N11" s="11"/>
      <c r="O11" s="14">
        <f>[2]CENTRAL!$F$16</f>
        <v>3834350253</v>
      </c>
      <c r="P11" s="19">
        <f>'[3]Billing Units'!$G$21</f>
        <v>5549671461.8939543</v>
      </c>
      <c r="Q11" s="11"/>
      <c r="R11" s="16">
        <f>[2]CENTRAL!$J$16</f>
        <v>13980065</v>
      </c>
      <c r="S11" s="24">
        <f>'[3]Billing Units'!$H$21</f>
        <v>16134685.975145448</v>
      </c>
      <c r="T11" s="25"/>
      <c r="U11" s="25">
        <f>[2]CENTRAL!$N$16</f>
        <v>4817300</v>
      </c>
      <c r="V11" s="20">
        <f>'[3]Billing Units'!$J$21</f>
        <v>6327149.8870359799</v>
      </c>
    </row>
    <row r="12" spans="2:22" x14ac:dyDescent="0.35">
      <c r="B12" s="32" t="s">
        <v>3</v>
      </c>
      <c r="C12" s="9">
        <v>1.3023434361563722E-2</v>
      </c>
      <c r="D12" s="10">
        <f>[1]Summary!$F$32</f>
        <v>1.2378728241036016E-2</v>
      </c>
      <c r="F12" s="9">
        <f>[2]CENTRAL!$R$18</f>
        <v>0</v>
      </c>
      <c r="G12" s="10">
        <v>0</v>
      </c>
      <c r="I12" s="9">
        <v>6.8491568994869193E-3</v>
      </c>
      <c r="J12" s="10">
        <v>6.9399011148010619E-3</v>
      </c>
      <c r="L12" s="16">
        <f>[2]CENTRAL!$B$18</f>
        <v>670</v>
      </c>
      <c r="M12" s="17">
        <f>'[3]Billing Units'!$E$23/12</f>
        <v>1873</v>
      </c>
      <c r="N12" s="11"/>
      <c r="O12" s="16">
        <f>[2]CENTRAL!$F$18</f>
        <v>229634991</v>
      </c>
      <c r="P12" s="20">
        <f>'[3]Billing Units'!$G$23</f>
        <v>222504553.85898465</v>
      </c>
      <c r="Q12" s="11"/>
      <c r="R12" s="11"/>
      <c r="S12" s="3"/>
      <c r="T12" s="11"/>
      <c r="U12" s="11"/>
      <c r="V12" s="3"/>
    </row>
    <row r="13" spans="2:22" x14ac:dyDescent="0.35">
      <c r="B13" s="32" t="s">
        <v>4</v>
      </c>
      <c r="C13" s="1">
        <f>SUM(C5:C12)</f>
        <v>1</v>
      </c>
      <c r="D13" s="1">
        <f>SUM(D5:D12)</f>
        <v>0.99999999999999989</v>
      </c>
      <c r="F13" s="4">
        <f>SUM(F5:F12)</f>
        <v>0.99999999999999989</v>
      </c>
      <c r="G13" s="1">
        <f>SUM(G5:G12)</f>
        <v>1</v>
      </c>
      <c r="I13" s="1">
        <f>SUM(I5:I12)</f>
        <v>1</v>
      </c>
      <c r="J13" s="1">
        <f>SUM(J5:J12)</f>
        <v>1</v>
      </c>
      <c r="L13" s="11">
        <f>SUM(L5:L12)</f>
        <v>732284</v>
      </c>
      <c r="M13" s="3">
        <f>SUM(M5:M12)</f>
        <v>849900</v>
      </c>
      <c r="N13" s="11"/>
      <c r="O13" s="11">
        <f>SUM(O5:O12)</f>
        <v>21903428251</v>
      </c>
      <c r="P13" s="3">
        <f>SUM(P5:P12)</f>
        <v>26313303561.782005</v>
      </c>
      <c r="Q13" s="11"/>
      <c r="R13" s="3">
        <f>SUM(R5:R12)</f>
        <v>45295592</v>
      </c>
      <c r="S13" s="3">
        <f>SUM(S5:S12)</f>
        <v>52355719.155128494</v>
      </c>
      <c r="T13" s="11"/>
      <c r="U13" s="3">
        <f>SUM(U5:U12)</f>
        <v>31965860</v>
      </c>
      <c r="V13" s="3">
        <f>SUM(V5:V12)</f>
        <v>36468591.062510908</v>
      </c>
    </row>
    <row r="14" spans="2:22" x14ac:dyDescent="0.35">
      <c r="B14" s="26"/>
    </row>
    <row r="15" spans="2:22" x14ac:dyDescent="0.35">
      <c r="B15" s="26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4"/>
      <c r="R15" s="38" t="s">
        <v>13</v>
      </c>
      <c r="S15" s="38"/>
      <c r="T15" s="34"/>
      <c r="U15" s="38" t="s">
        <v>2</v>
      </c>
      <c r="V15" s="38"/>
    </row>
    <row r="16" spans="2:22" x14ac:dyDescent="0.35">
      <c r="B16" s="26"/>
      <c r="C16" s="38" t="s">
        <v>7</v>
      </c>
      <c r="D16" s="38"/>
      <c r="E16" s="36"/>
      <c r="F16" s="38" t="s">
        <v>8</v>
      </c>
      <c r="G16" s="38"/>
      <c r="H16" s="36"/>
      <c r="I16" s="38" t="s">
        <v>9</v>
      </c>
      <c r="J16" s="38"/>
      <c r="K16" s="36"/>
      <c r="L16" s="38" t="s">
        <v>10</v>
      </c>
      <c r="M16" s="38"/>
      <c r="N16" s="37"/>
      <c r="O16" s="38" t="s">
        <v>11</v>
      </c>
      <c r="P16" s="38"/>
      <c r="Q16" s="34"/>
      <c r="R16" s="38" t="s">
        <v>12</v>
      </c>
      <c r="S16" s="38"/>
      <c r="T16" s="34"/>
      <c r="U16" s="38" t="s">
        <v>12</v>
      </c>
      <c r="V16" s="38"/>
    </row>
    <row r="17" spans="2:23" x14ac:dyDescent="0.35">
      <c r="B17" s="33" t="s">
        <v>14</v>
      </c>
      <c r="C17" s="36">
        <v>2006</v>
      </c>
      <c r="D17" s="36">
        <v>2018</v>
      </c>
      <c r="E17" s="26"/>
      <c r="F17" s="36">
        <v>2006</v>
      </c>
      <c r="G17" s="38">
        <v>2018</v>
      </c>
      <c r="H17" s="38"/>
      <c r="I17" s="36">
        <v>2006</v>
      </c>
      <c r="J17" s="36">
        <v>2018</v>
      </c>
      <c r="K17" s="36"/>
      <c r="L17" s="36">
        <v>2006</v>
      </c>
      <c r="M17" s="38">
        <v>2018</v>
      </c>
      <c r="N17" s="38"/>
      <c r="O17" s="36">
        <v>2006</v>
      </c>
      <c r="P17" s="36">
        <v>2018</v>
      </c>
      <c r="Q17" s="38"/>
      <c r="R17" s="38">
        <v>2006</v>
      </c>
      <c r="S17" s="38">
        <v>2018</v>
      </c>
      <c r="T17" s="38"/>
      <c r="U17" s="38">
        <v>2006</v>
      </c>
      <c r="V17" s="38">
        <v>2018</v>
      </c>
    </row>
    <row r="18" spans="2:23" x14ac:dyDescent="0.35">
      <c r="B18" s="32" t="s">
        <v>5</v>
      </c>
    </row>
    <row r="19" spans="2:23" x14ac:dyDescent="0.35">
      <c r="B19" s="32" t="s">
        <v>0</v>
      </c>
      <c r="C19" s="5">
        <v>0.45185357198338671</v>
      </c>
      <c r="D19" s="6">
        <f>[4]Summary!$F$25</f>
        <v>0.40599444462079054</v>
      </c>
      <c r="E19" s="26"/>
      <c r="F19" s="29">
        <f>[2]NORTH!$R$4</f>
        <v>0.46553446999999998</v>
      </c>
      <c r="G19" s="6">
        <v>0.43844936130781315</v>
      </c>
      <c r="H19" s="26"/>
      <c r="I19" s="5">
        <v>0.57249081927407175</v>
      </c>
      <c r="J19" s="6">
        <v>0.51595747063977448</v>
      </c>
      <c r="K19" s="26"/>
      <c r="L19" s="12">
        <f>[2]NORTH!$B$4</f>
        <v>147658</v>
      </c>
      <c r="M19" s="18">
        <f>'[5]Billing Units'!$D$9</f>
        <v>151248</v>
      </c>
      <c r="N19" s="11"/>
      <c r="O19" s="12">
        <f>[2]NORTH!$F$4</f>
        <v>1713078230</v>
      </c>
      <c r="P19" s="18">
        <f>'[5]Billing Units'!$G$9</f>
        <v>1873260215.4558413</v>
      </c>
      <c r="Q19" s="11"/>
      <c r="R19" s="11"/>
      <c r="S19" s="3"/>
      <c r="T19" s="11"/>
      <c r="U19" s="11"/>
      <c r="V19" s="3"/>
    </row>
    <row r="20" spans="2:23" x14ac:dyDescent="0.35">
      <c r="B20" s="32" t="s">
        <v>1</v>
      </c>
      <c r="C20" s="7">
        <v>3.0635819035101954E-2</v>
      </c>
      <c r="D20" s="8">
        <f>[4]Summary!$F$26</f>
        <v>2.4772552081876134E-2</v>
      </c>
      <c r="E20" s="26"/>
      <c r="F20" s="30">
        <f>[2]NORTH!$R$6</f>
        <v>2.8971029999999998E-2</v>
      </c>
      <c r="G20" s="8">
        <v>2.6045790243179889E-2</v>
      </c>
      <c r="H20" s="26"/>
      <c r="I20" s="7">
        <v>3.3266636701957307E-2</v>
      </c>
      <c r="J20" s="8">
        <v>3.5002012076613742E-2</v>
      </c>
      <c r="K20" s="26"/>
      <c r="L20" s="14">
        <f>[2]NORTH!$B$6</f>
        <v>27973</v>
      </c>
      <c r="M20" s="19">
        <f>'[5]Billing Units'!$D$11</f>
        <v>26096</v>
      </c>
      <c r="N20" s="11"/>
      <c r="O20" s="14">
        <f>[2]NORTH!$F$6</f>
        <v>146926027</v>
      </c>
      <c r="P20" s="19">
        <f>'[5]Billing Units'!$G$11</f>
        <v>141372767.85164386</v>
      </c>
      <c r="Q20" s="11"/>
      <c r="R20" s="11"/>
      <c r="S20" s="3"/>
      <c r="T20" s="11"/>
      <c r="U20" s="11"/>
      <c r="V20" s="3"/>
    </row>
    <row r="21" spans="2:23" x14ac:dyDescent="0.35">
      <c r="B21" s="32" t="s">
        <v>16</v>
      </c>
      <c r="C21" s="7">
        <v>0.27812521916731314</v>
      </c>
      <c r="D21" s="8">
        <f>[4]Summary!$F$27</f>
        <v>0.24988262471346739</v>
      </c>
      <c r="E21" s="26"/>
      <c r="F21" s="30">
        <f>[2]NORTH!$R$8</f>
        <v>0.30869131</v>
      </c>
      <c r="G21" s="8">
        <v>0.2644926224527962</v>
      </c>
      <c r="H21" s="26"/>
      <c r="I21" s="7">
        <v>0.21959649767065922</v>
      </c>
      <c r="J21" s="8">
        <v>0.22095564657136924</v>
      </c>
      <c r="K21" s="26"/>
      <c r="L21" s="14">
        <f>[2]NORTH!$B$8</f>
        <v>12606</v>
      </c>
      <c r="M21" s="19">
        <f>'[5]Billing Units'!$D$13</f>
        <v>13865</v>
      </c>
      <c r="N21" s="11"/>
      <c r="O21" s="14">
        <f>[2]NORTH!$F$8</f>
        <v>1411574977</v>
      </c>
      <c r="P21" s="19">
        <f>'[5]Billing Units'!$G$13</f>
        <v>1447568524.4705305</v>
      </c>
      <c r="Q21" s="11"/>
      <c r="R21" s="12">
        <f>[2]NORTH!$J$8</f>
        <v>6058441</v>
      </c>
      <c r="S21" s="18">
        <f>'[5]Billing Units'!$H$13</f>
        <v>6446781.5966399666</v>
      </c>
      <c r="T21" s="11"/>
      <c r="U21" s="12">
        <f>[2]NORTH!$N$8</f>
        <v>5144512</v>
      </c>
      <c r="V21" s="18">
        <f>'[5]Billing Units'!$J$13</f>
        <v>5472427.5262860982</v>
      </c>
    </row>
    <row r="22" spans="2:23" x14ac:dyDescent="0.35">
      <c r="B22" s="32" t="s">
        <v>17</v>
      </c>
      <c r="C22" s="7">
        <v>6.8099808974136797E-2</v>
      </c>
      <c r="D22" s="8">
        <f>[4]Summary!$F$28</f>
        <v>6.272115964518879E-2</v>
      </c>
      <c r="E22" s="26"/>
      <c r="F22" s="30">
        <f>[2]NORTH!$R$9</f>
        <v>5.9940060000000003E-2</v>
      </c>
      <c r="G22" s="8">
        <v>5.5162765610544E-2</v>
      </c>
      <c r="H22" s="26"/>
      <c r="I22" s="7">
        <v>5.0860803812765941E-2</v>
      </c>
      <c r="J22" s="8">
        <v>4.6319828003756294E-2</v>
      </c>
      <c r="K22" s="26"/>
      <c r="L22" s="14">
        <f>[2]NORTH!$B$9</f>
        <v>183</v>
      </c>
      <c r="M22" s="19">
        <f>'[5]Billing Units'!$D$14</f>
        <v>157</v>
      </c>
      <c r="N22" s="11"/>
      <c r="O22" s="14">
        <f>[2]NORTH!$F$9</f>
        <v>342521138</v>
      </c>
      <c r="P22" s="19">
        <f>'[5]Billing Units'!$G$14</f>
        <v>421294538.41969424</v>
      </c>
      <c r="Q22" s="11"/>
      <c r="R22" s="14">
        <f>[2]NORTH!$J$9</f>
        <v>982774</v>
      </c>
      <c r="S22" s="19">
        <f>'[5]Billing Units'!$H$14</f>
        <v>1176555.8973604378</v>
      </c>
      <c r="T22" s="11"/>
      <c r="U22" s="14">
        <f>[2]NORTH!$N$9</f>
        <v>637173</v>
      </c>
      <c r="V22" s="19">
        <f>'[5]Billing Units'!$J$14</f>
        <v>707776.93046700291</v>
      </c>
    </row>
    <row r="23" spans="2:23" x14ac:dyDescent="0.35">
      <c r="B23" s="32" t="s">
        <v>19</v>
      </c>
      <c r="C23" s="7">
        <v>8.1979509339512625E-3</v>
      </c>
      <c r="D23" s="8">
        <f>[4]Summary!$F$29</f>
        <v>1.5951530551252022E-2</v>
      </c>
      <c r="E23" s="26"/>
      <c r="F23" s="30">
        <f>[2]NORTH!$R$12</f>
        <v>6.99301E-3</v>
      </c>
      <c r="G23" s="8">
        <v>1.4253836249703474E-2</v>
      </c>
      <c r="H23" s="26"/>
      <c r="I23" s="7">
        <v>6.0563136733646512E-3</v>
      </c>
      <c r="J23" s="8">
        <v>1.4928739148680602E-2</v>
      </c>
      <c r="K23" s="26"/>
      <c r="L23" s="14">
        <f>[2]NORTH!$B$12</f>
        <v>258</v>
      </c>
      <c r="M23" s="19">
        <f>'[5]Billing Units'!$D$17</f>
        <v>368</v>
      </c>
      <c r="N23" s="11"/>
      <c r="O23" s="14">
        <f>[2]NORTH!$F$12</f>
        <v>50395837</v>
      </c>
      <c r="P23" s="19">
        <f>'[5]Billing Units'!$G$17</f>
        <v>126776103.42687479</v>
      </c>
      <c r="Q23" s="11"/>
      <c r="R23" s="14">
        <f>[2]NORTH!$J$12</f>
        <v>142816</v>
      </c>
      <c r="S23" s="19">
        <f>'[5]Billing Units'!$H$17</f>
        <v>408880.18344157358</v>
      </c>
      <c r="T23" s="11"/>
      <c r="U23" s="14">
        <f>[2]NORTH!$N$12</f>
        <v>122066</v>
      </c>
      <c r="V23" s="19">
        <f>'[5]Billing Units'!$J$17</f>
        <v>338521.87116203929</v>
      </c>
    </row>
    <row r="24" spans="2:23" x14ac:dyDescent="0.35">
      <c r="B24" s="32" t="s">
        <v>18</v>
      </c>
      <c r="C24" s="7">
        <v>0.11971535261449852</v>
      </c>
      <c r="D24" s="8">
        <f>[4]Summary!$F$30</f>
        <v>0.20166884866499638</v>
      </c>
      <c r="E24" s="26"/>
      <c r="F24" s="30">
        <f>[2]NORTH!$R$13</f>
        <v>0.12387612000000001</v>
      </c>
      <c r="G24" s="8">
        <v>0.18196034375533085</v>
      </c>
      <c r="H24" s="26"/>
      <c r="I24" s="7">
        <v>9.0048161994644188E-2</v>
      </c>
      <c r="J24" s="8">
        <v>0.1396264787147698</v>
      </c>
      <c r="K24" s="26"/>
      <c r="L24" s="14">
        <f>[2]NORTH!$B$13</f>
        <v>87</v>
      </c>
      <c r="M24" s="19">
        <f>'[5]Billing Units'!$D$18</f>
        <v>125</v>
      </c>
      <c r="N24" s="11"/>
      <c r="O24" s="14">
        <f>[2]NORTH!$F$13</f>
        <v>881815440</v>
      </c>
      <c r="P24" s="19">
        <f>'[5]Billing Units'!$G$18</f>
        <v>1661102417.3588257</v>
      </c>
      <c r="Q24" s="11"/>
      <c r="R24" s="14">
        <f>[2]NORTH!$J$13</f>
        <v>2081550</v>
      </c>
      <c r="S24" s="19">
        <f>'[5]Billing Units'!$H$18</f>
        <v>3342638.2307660673</v>
      </c>
      <c r="T24" s="11"/>
      <c r="U24" s="14">
        <f>[2]NORTH!$N$13</f>
        <v>1309773</v>
      </c>
      <c r="V24" s="19">
        <f>'[5]Billing Units'!$J$18</f>
        <v>2369237.8368537384</v>
      </c>
    </row>
    <row r="25" spans="2:23" x14ac:dyDescent="0.35">
      <c r="B25" s="32" t="s">
        <v>2</v>
      </c>
      <c r="C25" s="7">
        <v>2.6718131622864547E-2</v>
      </c>
      <c r="D25" s="8">
        <f>[4]Summary!$F$31</f>
        <v>2.8681009064375127E-2</v>
      </c>
      <c r="E25" s="26"/>
      <c r="F25" s="30">
        <f>[2]NORTH!$R$16</f>
        <v>5.9940100000000001E-3</v>
      </c>
      <c r="G25" s="8">
        <v>1.9635280380632284E-2</v>
      </c>
      <c r="H25" s="26"/>
      <c r="I25" s="7">
        <v>1.8819602128766457E-2</v>
      </c>
      <c r="J25" s="8">
        <v>2.1190737523193635E-2</v>
      </c>
      <c r="K25" s="26"/>
      <c r="L25" s="14">
        <f>[2]NORTH!$B$16</f>
        <v>18</v>
      </c>
      <c r="M25" s="19">
        <f>'[5]Billing Units'!$D$21</f>
        <v>25</v>
      </c>
      <c r="N25" s="11"/>
      <c r="O25" s="14">
        <f>[2]NORTH!$F$16</f>
        <v>44258888</v>
      </c>
      <c r="P25" s="19">
        <f>'[5]Billing Units'!$G$21</f>
        <v>195325446.60408431</v>
      </c>
      <c r="Q25" s="11"/>
      <c r="R25" s="16">
        <f>[2]NORTH!$J$16</f>
        <v>443710</v>
      </c>
      <c r="S25" s="20">
        <f>'[5]Billing Units'!$H$21</f>
        <v>694891.86436100118</v>
      </c>
      <c r="T25" s="11"/>
      <c r="U25" s="16">
        <f>[2]NORTH!$N$16</f>
        <v>91726</v>
      </c>
      <c r="V25" s="20">
        <f>'[5]Billing Units'!$J$21</f>
        <v>244034.35350283771</v>
      </c>
    </row>
    <row r="26" spans="2:23" x14ac:dyDescent="0.35">
      <c r="B26" s="32" t="s">
        <v>3</v>
      </c>
      <c r="C26" s="9">
        <v>1.6654145668747008E-2</v>
      </c>
      <c r="D26" s="10">
        <f>[4]Summary!$F$32</f>
        <v>1.0327830658053596E-2</v>
      </c>
      <c r="E26" s="26"/>
      <c r="F26" s="31">
        <f>[2]NORTH!$R$18</f>
        <v>0</v>
      </c>
      <c r="G26" s="10">
        <v>0</v>
      </c>
      <c r="H26" s="26"/>
      <c r="I26" s="9">
        <v>8.8611647437704284E-3</v>
      </c>
      <c r="J26" s="10">
        <v>6.0190873218422467E-3</v>
      </c>
      <c r="K26" s="26"/>
      <c r="L26" s="16">
        <f>[2]NORTH!$B$18</f>
        <v>205</v>
      </c>
      <c r="M26" s="20">
        <v>428</v>
      </c>
      <c r="N26" s="11"/>
      <c r="O26" s="16">
        <f>[2]NORTH!$F$18</f>
        <v>57913901</v>
      </c>
      <c r="P26" s="20">
        <f>'[5]Billing Units'!$G$23</f>
        <v>39721491.579555027</v>
      </c>
      <c r="Q26" s="11"/>
      <c r="R26" s="11"/>
      <c r="S26" s="3"/>
      <c r="T26" s="11"/>
      <c r="U26" s="11"/>
      <c r="V26" s="3"/>
    </row>
    <row r="27" spans="2:23" x14ac:dyDescent="0.35">
      <c r="B27" s="32" t="s">
        <v>4</v>
      </c>
      <c r="C27" s="1">
        <f>SUM(C19:C26)</f>
        <v>0.99999999999999989</v>
      </c>
      <c r="D27" s="1">
        <f>SUM(D19:D26)</f>
        <v>0.99999999999999989</v>
      </c>
      <c r="E27" s="26"/>
      <c r="F27" s="27">
        <f>SUM(F19:F26)</f>
        <v>1.0000000099999999</v>
      </c>
      <c r="G27" s="1">
        <f>SUM(G19:G26)</f>
        <v>0.99999999999999989</v>
      </c>
      <c r="H27" s="26"/>
      <c r="I27" s="28">
        <f>SUM(I19:I26)</f>
        <v>0.99999999999999989</v>
      </c>
      <c r="J27" s="1">
        <f>SUM(J19:J26)</f>
        <v>1</v>
      </c>
      <c r="K27" s="26"/>
      <c r="L27" s="11">
        <f>SUM(L19:L26)</f>
        <v>188988</v>
      </c>
      <c r="M27" s="3">
        <f>SUM(M19:M26)</f>
        <v>192312</v>
      </c>
      <c r="N27" s="11"/>
      <c r="O27" s="11">
        <f>SUM(O19:O26)</f>
        <v>4648484438</v>
      </c>
      <c r="P27" s="3">
        <f>SUM(P19:P26)</f>
        <v>5906421505.1670485</v>
      </c>
      <c r="Q27" s="11"/>
      <c r="R27" s="3">
        <f>SUM(R19:R26)</f>
        <v>9709291</v>
      </c>
      <c r="S27" s="3">
        <f>SUM(S19:S26)</f>
        <v>12069747.772569047</v>
      </c>
      <c r="T27" s="11"/>
      <c r="U27" s="3">
        <f>SUM(U19:U26)</f>
        <v>7305250</v>
      </c>
      <c r="V27" s="3">
        <f>SUM(V19:V26)</f>
        <v>9131998.5182717163</v>
      </c>
    </row>
    <row r="28" spans="2:23" x14ac:dyDescent="0.35">
      <c r="B28" s="26"/>
    </row>
    <row r="29" spans="2:23" x14ac:dyDescent="0.35">
      <c r="B29" s="2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5" t="s">
        <v>13</v>
      </c>
      <c r="T29" s="34"/>
      <c r="U29" s="34"/>
      <c r="V29" s="35" t="s">
        <v>2</v>
      </c>
      <c r="W29" s="34"/>
    </row>
    <row r="30" spans="2:23" x14ac:dyDescent="0.35">
      <c r="B30" s="26"/>
      <c r="D30" s="34" t="s">
        <v>7</v>
      </c>
      <c r="E30" s="34"/>
      <c r="F30" s="38"/>
      <c r="G30" s="38" t="s">
        <v>8</v>
      </c>
      <c r="H30" s="38"/>
      <c r="I30" s="38"/>
      <c r="J30" s="34" t="s">
        <v>9</v>
      </c>
      <c r="K30" s="34"/>
      <c r="M30" s="35" t="s">
        <v>10</v>
      </c>
      <c r="N30" s="34"/>
      <c r="O30" s="34"/>
      <c r="P30" s="34" t="s">
        <v>11</v>
      </c>
      <c r="Q30" s="34"/>
      <c r="R30" s="34"/>
      <c r="S30" s="35" t="s">
        <v>12</v>
      </c>
      <c r="T30" s="34"/>
      <c r="U30" s="34"/>
      <c r="V30" s="35" t="s">
        <v>12</v>
      </c>
      <c r="W30" s="34"/>
    </row>
    <row r="31" spans="2:23" x14ac:dyDescent="0.35">
      <c r="B31" s="33" t="s">
        <v>15</v>
      </c>
      <c r="D31" s="34">
        <v>2018</v>
      </c>
      <c r="E31" s="34"/>
      <c r="F31" s="38"/>
      <c r="G31" s="38">
        <v>2018</v>
      </c>
      <c r="H31" s="38"/>
      <c r="I31" s="38"/>
      <c r="J31" s="34">
        <v>2018</v>
      </c>
      <c r="K31" s="34"/>
      <c r="L31" s="34"/>
      <c r="M31" s="34">
        <v>2018</v>
      </c>
      <c r="N31" s="34"/>
      <c r="O31" s="34"/>
      <c r="P31" s="34">
        <v>2018</v>
      </c>
      <c r="Q31" s="34"/>
      <c r="R31" s="34"/>
      <c r="S31" s="34">
        <v>2018</v>
      </c>
      <c r="T31" s="38"/>
      <c r="U31" s="38"/>
      <c r="V31" s="38">
        <v>2018</v>
      </c>
      <c r="W31" s="38"/>
    </row>
    <row r="32" spans="2:23" x14ac:dyDescent="0.35">
      <c r="B32" s="32" t="s">
        <v>5</v>
      </c>
    </row>
    <row r="33" spans="2:22" x14ac:dyDescent="0.35">
      <c r="B33" s="32" t="s">
        <v>0</v>
      </c>
      <c r="D33" s="1">
        <f>[6]Summary!$F$25</f>
        <v>0.45256722341347266</v>
      </c>
      <c r="F33" s="4"/>
      <c r="G33" s="1">
        <v>0.47417219728720583</v>
      </c>
      <c r="J33" s="1">
        <v>0.54638612737292402</v>
      </c>
      <c r="L33" s="2"/>
      <c r="M33" s="3">
        <f t="shared" ref="M33:M40" si="0">M5+M19</f>
        <v>876553</v>
      </c>
      <c r="N33" s="2"/>
      <c r="O33" s="3"/>
      <c r="P33" s="3">
        <f t="shared" ref="P33:P40" si="1">P5+P19</f>
        <v>11997181582.389523</v>
      </c>
      <c r="Q33" s="2"/>
      <c r="R33" s="2"/>
      <c r="S33" s="3"/>
      <c r="T33" s="2"/>
      <c r="U33" s="2"/>
      <c r="V33" s="3"/>
    </row>
    <row r="34" spans="2:22" x14ac:dyDescent="0.35">
      <c r="B34" s="32" t="s">
        <v>1</v>
      </c>
      <c r="D34" s="1">
        <f>[6]Summary!$F$26</f>
        <v>1.7489036833811315E-2</v>
      </c>
      <c r="F34" s="4"/>
      <c r="G34" s="1">
        <v>1.9536677051140212E-2</v>
      </c>
      <c r="J34" s="1">
        <v>3.7588145175543583E-2</v>
      </c>
      <c r="L34" s="2"/>
      <c r="M34" s="3">
        <f t="shared" si="0"/>
        <v>89158</v>
      </c>
      <c r="N34" s="2"/>
      <c r="O34" s="3"/>
      <c r="P34" s="3">
        <f t="shared" si="1"/>
        <v>579303384.19882727</v>
      </c>
      <c r="Q34" s="2"/>
      <c r="R34" s="2"/>
      <c r="S34" s="3"/>
      <c r="T34" s="2"/>
      <c r="U34" s="2"/>
      <c r="V34" s="3"/>
    </row>
    <row r="35" spans="2:22" x14ac:dyDescent="0.35">
      <c r="B35" s="32" t="s">
        <v>16</v>
      </c>
      <c r="D35" s="1">
        <f>[6]Summary!$F$27</f>
        <v>0.25350191106575432</v>
      </c>
      <c r="F35" s="4"/>
      <c r="G35" s="1">
        <v>0.27766491331587723</v>
      </c>
      <c r="J35" s="1">
        <v>0.21927420110512985</v>
      </c>
      <c r="L35" s="2"/>
      <c r="M35" s="3">
        <f t="shared" si="0"/>
        <v>72592</v>
      </c>
      <c r="N35" s="2"/>
      <c r="O35" s="3"/>
      <c r="P35" s="3">
        <f t="shared" si="1"/>
        <v>8070369751.1324873</v>
      </c>
      <c r="Q35" s="2"/>
      <c r="R35" s="3"/>
      <c r="S35" s="3">
        <f>S7+S21</f>
        <v>33775905.773401953</v>
      </c>
      <c r="T35" s="2"/>
      <c r="U35" s="3"/>
      <c r="V35" s="3">
        <f>V7+V21</f>
        <v>29307091.499536801</v>
      </c>
    </row>
    <row r="36" spans="2:22" x14ac:dyDescent="0.35">
      <c r="B36" s="32" t="s">
        <v>17</v>
      </c>
      <c r="D36" s="1">
        <f>[6]Summary!$F$28</f>
        <v>3.2624042831250435E-2</v>
      </c>
      <c r="F36" s="4"/>
      <c r="G36" s="1">
        <v>3.0574787047327832E-2</v>
      </c>
      <c r="J36" s="1">
        <v>2.3217495886627321E-2</v>
      </c>
      <c r="L36" s="2"/>
      <c r="M36" s="3">
        <f t="shared" si="0"/>
        <v>478</v>
      </c>
      <c r="N36" s="2"/>
      <c r="O36" s="3"/>
      <c r="P36" s="3">
        <f t="shared" si="1"/>
        <v>1175900707.7542794</v>
      </c>
      <c r="Q36" s="2"/>
      <c r="R36" s="3"/>
      <c r="S36" s="3">
        <f>S8+S22</f>
        <v>3358359.9819950378</v>
      </c>
      <c r="T36" s="2"/>
      <c r="U36" s="3"/>
      <c r="V36" s="3">
        <f>V8+V22</f>
        <v>2191434.0324172671</v>
      </c>
    </row>
    <row r="37" spans="2:22" x14ac:dyDescent="0.35">
      <c r="B37" s="32" t="s">
        <v>19</v>
      </c>
      <c r="D37" s="1">
        <f>[6]Summary!$F$29</f>
        <v>7.2923620090595788E-3</v>
      </c>
      <c r="F37" s="4"/>
      <c r="G37" s="1">
        <v>7.7088631641886451E-3</v>
      </c>
      <c r="J37" s="1">
        <v>6.1926607005672813E-3</v>
      </c>
      <c r="L37" s="2"/>
      <c r="M37" s="3">
        <f t="shared" si="0"/>
        <v>574</v>
      </c>
      <c r="N37" s="2"/>
      <c r="O37" s="3"/>
      <c r="P37" s="3">
        <f t="shared" si="1"/>
        <v>306051569.29274094</v>
      </c>
      <c r="Q37" s="2"/>
      <c r="R37" s="3"/>
      <c r="S37" s="3">
        <f>S9+S23</f>
        <v>958871.29445963749</v>
      </c>
      <c r="T37" s="2"/>
      <c r="U37" s="3"/>
      <c r="V37" s="3">
        <f>V9+V23</f>
        <v>806479.37155442196</v>
      </c>
    </row>
    <row r="38" spans="2:22" x14ac:dyDescent="0.35">
      <c r="B38" s="32" t="s">
        <v>18</v>
      </c>
      <c r="D38" s="1">
        <f>[6]Summary!$F$30</f>
        <v>9.5877457360051335E-2</v>
      </c>
      <c r="F38" s="4"/>
      <c r="G38" s="1">
        <v>9.6863323052284483E-2</v>
      </c>
      <c r="J38" s="1">
        <v>6.7139741775577119E-2</v>
      </c>
      <c r="L38" s="2"/>
      <c r="M38" s="3">
        <f t="shared" si="0"/>
        <v>471</v>
      </c>
      <c r="N38" s="2"/>
      <c r="O38" s="3"/>
      <c r="P38" s="3">
        <f t="shared" si="1"/>
        <v>4083695118.2446184</v>
      </c>
      <c r="Q38" s="2"/>
      <c r="R38" s="3"/>
      <c r="S38" s="3">
        <f>S10+S24</f>
        <v>9502752.0383344609</v>
      </c>
      <c r="T38" s="2"/>
      <c r="U38" s="3"/>
      <c r="V38" s="3">
        <f>V10+V24</f>
        <v>6724400.4367353208</v>
      </c>
    </row>
    <row r="39" spans="2:22" x14ac:dyDescent="0.35">
      <c r="B39" s="32" t="s">
        <v>2</v>
      </c>
      <c r="D39" s="1">
        <f>[6]Summary!$F$31</f>
        <v>0.12847240597896015</v>
      </c>
      <c r="G39" s="1">
        <v>9.3479239081975904E-2</v>
      </c>
      <c r="J39" s="1">
        <v>9.341276780761959E-2</v>
      </c>
      <c r="L39" s="2"/>
      <c r="M39" s="3">
        <f t="shared" si="0"/>
        <v>85</v>
      </c>
      <c r="N39" s="2"/>
      <c r="O39" s="3"/>
      <c r="P39" s="3">
        <f t="shared" si="1"/>
        <v>5744996908.4980383</v>
      </c>
      <c r="Q39" s="2"/>
      <c r="R39" s="3"/>
      <c r="S39" s="3">
        <f>S11+S25</f>
        <v>16829577.839506447</v>
      </c>
      <c r="T39" s="2"/>
      <c r="U39" s="3"/>
      <c r="V39" s="3">
        <f>V11+V25</f>
        <v>6571184.2405388178</v>
      </c>
    </row>
    <row r="40" spans="2:22" x14ac:dyDescent="0.35">
      <c r="B40" s="32" t="s">
        <v>3</v>
      </c>
      <c r="D40" s="1">
        <f>[6]Summary!$F$32</f>
        <v>1.2175560507640321E-2</v>
      </c>
      <c r="G40" s="1">
        <v>0</v>
      </c>
      <c r="J40" s="1">
        <v>6.7888601760110641E-3</v>
      </c>
      <c r="L40" s="2"/>
      <c r="M40" s="3">
        <f t="shared" si="0"/>
        <v>2301</v>
      </c>
      <c r="N40" s="2"/>
      <c r="O40" s="3"/>
      <c r="P40" s="3">
        <f t="shared" si="1"/>
        <v>262226045.43853968</v>
      </c>
      <c r="Q40" s="2"/>
      <c r="R40" s="3"/>
      <c r="S40" s="3"/>
      <c r="T40" s="2"/>
      <c r="U40" s="3"/>
      <c r="V40" s="3"/>
    </row>
    <row r="41" spans="2:22" x14ac:dyDescent="0.35">
      <c r="B41" s="32" t="s">
        <v>4</v>
      </c>
      <c r="D41" s="1">
        <f>SUM(D33:D40)</f>
        <v>1.0000000000000002</v>
      </c>
      <c r="G41" s="1">
        <f>SUM(G33:G40)</f>
        <v>1.0000000000000002</v>
      </c>
      <c r="J41" s="1">
        <f>SUM(J33:J40)</f>
        <v>0.99999999999999978</v>
      </c>
      <c r="L41" s="2"/>
      <c r="M41" s="3">
        <f>SUM(M33:M40)</f>
        <v>1042212</v>
      </c>
      <c r="N41" s="2"/>
      <c r="O41" s="3"/>
      <c r="P41" s="3">
        <f>SUM(P33:P40)</f>
        <v>32219725066.949055</v>
      </c>
      <c r="Q41" s="2"/>
      <c r="R41" s="3"/>
      <c r="S41" s="3">
        <f>SUM(S33:S40)</f>
        <v>64425466.927697539</v>
      </c>
      <c r="T41" s="2"/>
      <c r="U41" s="3"/>
      <c r="V41" s="3">
        <f>SUM(V33:V40)</f>
        <v>45600589.580782637</v>
      </c>
    </row>
  </sheetData>
  <mergeCells count="36">
    <mergeCell ref="T31:U31"/>
    <mergeCell ref="V31:W31"/>
    <mergeCell ref="F31:G31"/>
    <mergeCell ref="H31:I31"/>
    <mergeCell ref="Q17:R17"/>
    <mergeCell ref="S17:T17"/>
    <mergeCell ref="U17:V17"/>
    <mergeCell ref="M17:N17"/>
    <mergeCell ref="F30:G30"/>
    <mergeCell ref="K15:L15"/>
    <mergeCell ref="M15:N15"/>
    <mergeCell ref="O15:P15"/>
    <mergeCell ref="L16:M16"/>
    <mergeCell ref="G17:H17"/>
    <mergeCell ref="C15:D15"/>
    <mergeCell ref="E15:F15"/>
    <mergeCell ref="G15:H15"/>
    <mergeCell ref="I15:J15"/>
    <mergeCell ref="H30:I30"/>
    <mergeCell ref="F16:G16"/>
    <mergeCell ref="R1:S1"/>
    <mergeCell ref="U1:V1"/>
    <mergeCell ref="U2:V2"/>
    <mergeCell ref="U15:V15"/>
    <mergeCell ref="C16:D16"/>
    <mergeCell ref="I16:J16"/>
    <mergeCell ref="O16:P16"/>
    <mergeCell ref="C2:D2"/>
    <mergeCell ref="F2:G2"/>
    <mergeCell ref="I2:J2"/>
    <mergeCell ref="L2:M2"/>
    <mergeCell ref="O2:P2"/>
    <mergeCell ref="R2:S2"/>
    <mergeCell ref="R15:S15"/>
    <mergeCell ref="R16:S16"/>
    <mergeCell ref="U16:V16"/>
  </mergeCells>
  <printOptions horizontalCentered="1"/>
  <pageMargins left="0.7" right="0.7" top="0.75" bottom="0.75" header="0.3" footer="0.3"/>
  <pageSetup scale="54" orientation="landscape" r:id="rId1"/>
  <headerFooter>
    <oddHeader>&amp;CPUBLIC UTILITY COMMISSION OF TEXAS
AEP TEXAS INC
EXHIBIT JLJ-2
TEST YEAR ENDING DECEMBER 31, 2018&amp;REXHIBIT JLJ-2
BILLING DETERMINANT &amp; ALLOCATOR HISTORY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Props1.xml><?xml version="1.0" encoding="utf-8"?>
<ds:datastoreItem xmlns:ds="http://schemas.openxmlformats.org/officeDocument/2006/customXml" ds:itemID="{3B57EAA8-2C36-43F7-9487-512961EA04F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JLJ-2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2019-04-22T23:39:35Z</cp:lastPrinted>
  <dcterms:created xsi:type="dcterms:W3CDTF">2019-04-22T18:52:25Z</dcterms:created>
  <dcterms:modified xsi:type="dcterms:W3CDTF">2019-04-26T23:08:40Z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6e64cca0-de3d-4e6e-9230-3c3f7f5d5fdb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