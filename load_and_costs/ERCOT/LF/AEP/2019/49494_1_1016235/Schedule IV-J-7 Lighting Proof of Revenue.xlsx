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RegCaseMgmt\2019 AEPTX RATE CASE\SCHEDULES\For Filing\Combined\"/>
    </mc:Choice>
  </mc:AlternateContent>
  <bookViews>
    <workbookView xWindow="0" yWindow="0" windowWidth="28770" windowHeight="10695" activeTab="1"/>
  </bookViews>
  <sheets>
    <sheet name="MSL" sheetId="1" r:id="rId1"/>
    <sheet name="Non-Roadway" sheetId="2" r:id="rId2"/>
  </sheets>
  <externalReferences>
    <externalReference r:id="rId3"/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60" i="1" l="1"/>
  <c r="X40" i="2" s="1"/>
  <c r="X61" i="1" l="1"/>
  <c r="X41" i="2" s="1"/>
  <c r="V17" i="1" l="1"/>
  <c r="Q64" i="1"/>
  <c r="V46" i="2" l="1"/>
  <c r="V45" i="2"/>
  <c r="V44" i="2"/>
  <c r="L64" i="1"/>
  <c r="V8" i="1"/>
  <c r="V25" i="1"/>
  <c r="V28" i="1"/>
  <c r="V26" i="1"/>
  <c r="V16" i="1"/>
  <c r="Q44" i="2" l="1"/>
  <c r="S32" i="2"/>
  <c r="S31" i="2"/>
  <c r="S30" i="2"/>
  <c r="Q23" i="1" l="1"/>
  <c r="Q51" i="1"/>
  <c r="Q8" i="1"/>
  <c r="Q6" i="1"/>
  <c r="L17" i="1" l="1"/>
  <c r="L15" i="1"/>
  <c r="L33" i="1"/>
  <c r="L28" i="1"/>
  <c r="L26" i="1"/>
  <c r="L25" i="1"/>
  <c r="L24" i="1"/>
  <c r="L23" i="1"/>
  <c r="L8" i="1"/>
  <c r="L6" i="1"/>
  <c r="L5" i="1"/>
  <c r="L44" i="2" l="1"/>
  <c r="V34" i="2"/>
  <c r="N34" i="2"/>
  <c r="M34" i="2"/>
  <c r="W34" i="2" s="1"/>
  <c r="W33" i="2"/>
  <c r="V33" i="2"/>
  <c r="N33" i="2"/>
  <c r="M33" i="2"/>
  <c r="V32" i="2"/>
  <c r="R32" i="2"/>
  <c r="W32" i="2" s="1"/>
  <c r="V31" i="2"/>
  <c r="R31" i="2"/>
  <c r="N31" i="2"/>
  <c r="M31" i="2"/>
  <c r="V30" i="2"/>
  <c r="R30" i="2"/>
  <c r="N30" i="2"/>
  <c r="M30" i="2"/>
  <c r="V27" i="2"/>
  <c r="S27" i="2"/>
  <c r="R27" i="2"/>
  <c r="N27" i="2"/>
  <c r="M27" i="2"/>
  <c r="V26" i="2"/>
  <c r="S26" i="2"/>
  <c r="R26" i="2"/>
  <c r="W26" i="2" s="1"/>
  <c r="N26" i="2"/>
  <c r="M26" i="2"/>
  <c r="V25" i="2"/>
  <c r="S25" i="2"/>
  <c r="R25" i="2"/>
  <c r="N25" i="2"/>
  <c r="M25" i="2"/>
  <c r="W24" i="2"/>
  <c r="V24" i="2"/>
  <c r="S24" i="2"/>
  <c r="R24" i="2"/>
  <c r="W23" i="2"/>
  <c r="V23" i="2"/>
  <c r="S23" i="2"/>
  <c r="R23" i="2"/>
  <c r="N23" i="2"/>
  <c r="M23" i="2"/>
  <c r="W18" i="2"/>
  <c r="V18" i="2"/>
  <c r="S18" i="2"/>
  <c r="R18" i="2"/>
  <c r="W17" i="2"/>
  <c r="V17" i="2"/>
  <c r="S17" i="2"/>
  <c r="R17" i="2"/>
  <c r="W16" i="2"/>
  <c r="V16" i="2"/>
  <c r="S16" i="2"/>
  <c r="R16" i="2"/>
  <c r="V13" i="2"/>
  <c r="S13" i="2"/>
  <c r="R13" i="2"/>
  <c r="N13" i="2"/>
  <c r="M13" i="2"/>
  <c r="V12" i="2"/>
  <c r="S12" i="2"/>
  <c r="R12" i="2"/>
  <c r="N12" i="2"/>
  <c r="M12" i="2"/>
  <c r="W12" i="2" s="1"/>
  <c r="V11" i="2"/>
  <c r="S11" i="2"/>
  <c r="R11" i="2"/>
  <c r="N11" i="2"/>
  <c r="M11" i="2"/>
  <c r="W11" i="2" s="1"/>
  <c r="V10" i="2"/>
  <c r="S10" i="2"/>
  <c r="R10" i="2"/>
  <c r="W10" i="2" s="1"/>
  <c r="V7" i="2"/>
  <c r="S7" i="2"/>
  <c r="R7" i="2"/>
  <c r="N7" i="2"/>
  <c r="M7" i="2"/>
  <c r="V6" i="2"/>
  <c r="S6" i="2"/>
  <c r="R6" i="2"/>
  <c r="N6" i="2"/>
  <c r="M6" i="2"/>
  <c r="W6" i="2" s="1"/>
  <c r="Q63" i="1"/>
  <c r="Q65" i="1" s="1"/>
  <c r="L63" i="1"/>
  <c r="L65" i="1" s="1"/>
  <c r="V58" i="1"/>
  <c r="N58" i="1"/>
  <c r="M58" i="1"/>
  <c r="W58" i="1" s="1"/>
  <c r="V57" i="1"/>
  <c r="N57" i="1"/>
  <c r="M57" i="1"/>
  <c r="W57" i="1" s="1"/>
  <c r="V56" i="1"/>
  <c r="N56" i="1"/>
  <c r="M56" i="1"/>
  <c r="W56" i="1" s="1"/>
  <c r="V55" i="1"/>
  <c r="N55" i="1"/>
  <c r="M55" i="1"/>
  <c r="W55" i="1" s="1"/>
  <c r="V53" i="1"/>
  <c r="R53" i="1"/>
  <c r="W53" i="1" s="1"/>
  <c r="V52" i="1"/>
  <c r="S52" i="1"/>
  <c r="R52" i="1"/>
  <c r="W52" i="1" s="1"/>
  <c r="W51" i="1"/>
  <c r="V51" i="1"/>
  <c r="S51" i="1"/>
  <c r="R51" i="1"/>
  <c r="V50" i="1"/>
  <c r="S50" i="1"/>
  <c r="R50" i="1"/>
  <c r="W50" i="1" s="1"/>
  <c r="W47" i="1"/>
  <c r="V47" i="1"/>
  <c r="N47" i="1"/>
  <c r="M47" i="1"/>
  <c r="V44" i="1"/>
  <c r="N44" i="1"/>
  <c r="M44" i="1"/>
  <c r="W44" i="1" s="1"/>
  <c r="W43" i="1"/>
  <c r="V43" i="1"/>
  <c r="N43" i="1"/>
  <c r="M43" i="1"/>
  <c r="V42" i="1"/>
  <c r="N42" i="1"/>
  <c r="M42" i="1"/>
  <c r="W42" i="1" s="1"/>
  <c r="V35" i="1"/>
  <c r="S35" i="1"/>
  <c r="R35" i="1"/>
  <c r="W35" i="1" s="1"/>
  <c r="N35" i="1"/>
  <c r="M35" i="1"/>
  <c r="M34" i="1"/>
  <c r="W33" i="1"/>
  <c r="V33" i="1"/>
  <c r="S33" i="1"/>
  <c r="R33" i="1"/>
  <c r="N33" i="1"/>
  <c r="M33" i="1"/>
  <c r="R32" i="1"/>
  <c r="N32" i="1"/>
  <c r="M32" i="1"/>
  <c r="W32" i="1" s="1"/>
  <c r="R31" i="1"/>
  <c r="N31" i="1"/>
  <c r="M31" i="1"/>
  <c r="W31" i="1" s="1"/>
  <c r="R30" i="1"/>
  <c r="N30" i="1"/>
  <c r="M30" i="1"/>
  <c r="W30" i="1" s="1"/>
  <c r="W29" i="1"/>
  <c r="S29" i="1"/>
  <c r="R29" i="1"/>
  <c r="N29" i="1"/>
  <c r="M29" i="1"/>
  <c r="S28" i="1"/>
  <c r="R28" i="1"/>
  <c r="N28" i="1"/>
  <c r="M28" i="1"/>
  <c r="S27" i="1"/>
  <c r="R27" i="1"/>
  <c r="N27" i="1"/>
  <c r="M27" i="1"/>
  <c r="W27" i="1" s="1"/>
  <c r="S26" i="1"/>
  <c r="R26" i="1"/>
  <c r="N26" i="1"/>
  <c r="M26" i="1"/>
  <c r="S25" i="1"/>
  <c r="R25" i="1"/>
  <c r="N25" i="1"/>
  <c r="M25" i="1"/>
  <c r="V24" i="1"/>
  <c r="R24" i="1"/>
  <c r="N24" i="1"/>
  <c r="M24" i="1"/>
  <c r="W24" i="1" s="1"/>
  <c r="V23" i="1"/>
  <c r="S23" i="1"/>
  <c r="R23" i="1"/>
  <c r="N23" i="1"/>
  <c r="M23" i="1"/>
  <c r="W23" i="1" s="1"/>
  <c r="V20" i="1"/>
  <c r="S20" i="1"/>
  <c r="R20" i="1"/>
  <c r="N20" i="1"/>
  <c r="M20" i="1"/>
  <c r="S19" i="1"/>
  <c r="N19" i="1"/>
  <c r="M19" i="1"/>
  <c r="W19" i="1" s="1"/>
  <c r="H19" i="1"/>
  <c r="R19" i="1" s="1"/>
  <c r="W18" i="1"/>
  <c r="N18" i="1"/>
  <c r="M18" i="1"/>
  <c r="N17" i="1"/>
  <c r="M17" i="1"/>
  <c r="W17" i="1" s="1"/>
  <c r="W16" i="1"/>
  <c r="N16" i="1"/>
  <c r="M16" i="1"/>
  <c r="V15" i="1"/>
  <c r="N15" i="1"/>
  <c r="M15" i="1"/>
  <c r="W15" i="1" s="1"/>
  <c r="V14" i="1"/>
  <c r="N14" i="1"/>
  <c r="M14" i="1"/>
  <c r="W14" i="1" s="1"/>
  <c r="R11" i="1"/>
  <c r="N11" i="1"/>
  <c r="M11" i="1"/>
  <c r="W11" i="1" s="1"/>
  <c r="V10" i="1"/>
  <c r="R10" i="1"/>
  <c r="N10" i="1"/>
  <c r="M10" i="1"/>
  <c r="W10" i="1" s="1"/>
  <c r="S9" i="1"/>
  <c r="R9" i="1"/>
  <c r="N9" i="1"/>
  <c r="M9" i="1"/>
  <c r="W9" i="1" s="1"/>
  <c r="S8" i="1"/>
  <c r="R8" i="1"/>
  <c r="W8" i="1" s="1"/>
  <c r="N8" i="1"/>
  <c r="M8" i="1"/>
  <c r="V7" i="1"/>
  <c r="R7" i="1"/>
  <c r="N7" i="1"/>
  <c r="M7" i="1"/>
  <c r="W7" i="1" s="1"/>
  <c r="V6" i="1"/>
  <c r="S6" i="1"/>
  <c r="R6" i="1"/>
  <c r="N6" i="1"/>
  <c r="M6" i="1"/>
  <c r="V5" i="1"/>
  <c r="R5" i="1"/>
  <c r="N5" i="1"/>
  <c r="M5" i="1"/>
  <c r="W5" i="1" s="1"/>
  <c r="V63" i="1" l="1"/>
  <c r="V64" i="1" s="1"/>
  <c r="V65" i="1"/>
  <c r="W13" i="2"/>
  <c r="W27" i="2"/>
  <c r="S44" i="2"/>
  <c r="W25" i="2"/>
  <c r="N44" i="2"/>
  <c r="M44" i="2"/>
  <c r="W7" i="2"/>
  <c r="W20" i="1"/>
  <c r="W26" i="1"/>
  <c r="S63" i="1"/>
  <c r="W25" i="1"/>
  <c r="W6" i="1"/>
  <c r="N63" i="1"/>
  <c r="W28" i="1"/>
  <c r="R63" i="1"/>
  <c r="W31" i="2"/>
  <c r="W30" i="2"/>
  <c r="R44" i="2"/>
  <c r="M63" i="1"/>
  <c r="Y31" i="1" l="1"/>
  <c r="Y32" i="1"/>
  <c r="Y19" i="1"/>
  <c r="Y7" i="1"/>
  <c r="Y10" i="1"/>
  <c r="Y18" i="1"/>
  <c r="Y11" i="1"/>
  <c r="Y27" i="1"/>
  <c r="Y9" i="1"/>
  <c r="Y29" i="1"/>
  <c r="Y30" i="1"/>
  <c r="Y53" i="1" l="1"/>
  <c r="Y35" i="1"/>
  <c r="Y64" i="1" l="1"/>
  <c r="Y45" i="2"/>
  <c r="X4" i="2" l="1"/>
  <c r="X4" i="1"/>
  <c r="X6" i="1" l="1"/>
  <c r="X56" i="1"/>
  <c r="X17" i="1"/>
  <c r="X8" i="1"/>
  <c r="X58" i="1"/>
  <c r="X5" i="1"/>
  <c r="X26" i="1"/>
  <c r="X25" i="1"/>
  <c r="X42" i="1"/>
  <c r="X43" i="1"/>
  <c r="X33" i="1"/>
  <c r="X16" i="1"/>
  <c r="X23" i="1"/>
  <c r="X44" i="1"/>
  <c r="X47" i="1"/>
  <c r="X28" i="1"/>
  <c r="X20" i="1"/>
  <c r="X15" i="1"/>
  <c r="X51" i="1"/>
  <c r="X52" i="1"/>
  <c r="X24" i="1"/>
  <c r="X57" i="1"/>
  <c r="X14" i="1"/>
  <c r="X55" i="1"/>
  <c r="X50" i="1"/>
  <c r="X16" i="2"/>
  <c r="X27" i="2"/>
  <c r="X18" i="2"/>
  <c r="X23" i="2"/>
  <c r="X6" i="2"/>
  <c r="X7" i="2"/>
  <c r="X31" i="2"/>
  <c r="X33" i="2"/>
  <c r="X30" i="2"/>
  <c r="X26" i="2"/>
  <c r="X25" i="2"/>
  <c r="X17" i="2"/>
  <c r="X32" i="2"/>
  <c r="X34" i="2"/>
  <c r="X10" i="2"/>
  <c r="Y10" i="2" l="1"/>
  <c r="J10" i="2"/>
  <c r="J25" i="2"/>
  <c r="X13" i="2"/>
  <c r="Y25" i="2"/>
  <c r="F25" i="2"/>
  <c r="Y31" i="2"/>
  <c r="J31" i="2"/>
  <c r="F31" i="2"/>
  <c r="J18" i="2"/>
  <c r="Y18" i="2"/>
  <c r="X36" i="2"/>
  <c r="Y55" i="1"/>
  <c r="J55" i="1"/>
  <c r="F55" i="1"/>
  <c r="Y52" i="1"/>
  <c r="J52" i="1"/>
  <c r="J28" i="1"/>
  <c r="Y28" i="1"/>
  <c r="F28" i="1"/>
  <c r="F16" i="1"/>
  <c r="Y16" i="1"/>
  <c r="J25" i="1"/>
  <c r="F25" i="1"/>
  <c r="Y25" i="1"/>
  <c r="J8" i="1"/>
  <c r="F8" i="1"/>
  <c r="Y8" i="1"/>
  <c r="F34" i="2"/>
  <c r="Y34" i="2"/>
  <c r="J26" i="2"/>
  <c r="Y26" i="2"/>
  <c r="F26" i="2"/>
  <c r="Y7" i="2"/>
  <c r="F7" i="2"/>
  <c r="J7" i="2"/>
  <c r="Y27" i="2"/>
  <c r="J27" i="2"/>
  <c r="F27" i="2"/>
  <c r="F14" i="1"/>
  <c r="Y14" i="1"/>
  <c r="Y51" i="1"/>
  <c r="J51" i="1"/>
  <c r="Y47" i="1"/>
  <c r="F47" i="1"/>
  <c r="F33" i="1"/>
  <c r="Y33" i="1"/>
  <c r="J33" i="1"/>
  <c r="Y26" i="1"/>
  <c r="F26" i="1"/>
  <c r="J26" i="1"/>
  <c r="Y17" i="1"/>
  <c r="F17" i="1"/>
  <c r="Y32" i="2"/>
  <c r="J32" i="2"/>
  <c r="J30" i="2"/>
  <c r="Y30" i="2"/>
  <c r="F30" i="2"/>
  <c r="J6" i="2"/>
  <c r="Y6" i="2"/>
  <c r="F6" i="2"/>
  <c r="J16" i="2"/>
  <c r="Y16" i="2"/>
  <c r="Y57" i="1"/>
  <c r="J57" i="1"/>
  <c r="F57" i="1"/>
  <c r="X38" i="2"/>
  <c r="F15" i="1"/>
  <c r="Y15" i="1"/>
  <c r="F44" i="1"/>
  <c r="Y44" i="1"/>
  <c r="Y43" i="1"/>
  <c r="F43" i="1"/>
  <c r="F5" i="1"/>
  <c r="Y5" i="1"/>
  <c r="X37" i="2"/>
  <c r="J56" i="1"/>
  <c r="Y56" i="1"/>
  <c r="F56" i="1"/>
  <c r="Y17" i="2"/>
  <c r="J17" i="2"/>
  <c r="Y33" i="2"/>
  <c r="F33" i="2"/>
  <c r="X24" i="2"/>
  <c r="Y23" i="2"/>
  <c r="J23" i="2"/>
  <c r="X11" i="2"/>
  <c r="F23" i="2"/>
  <c r="J50" i="1"/>
  <c r="Y50" i="1"/>
  <c r="F24" i="1"/>
  <c r="Y24" i="1"/>
  <c r="J24" i="1"/>
  <c r="F20" i="1"/>
  <c r="Y20" i="1"/>
  <c r="J20" i="1"/>
  <c r="Y23" i="1"/>
  <c r="J23" i="1"/>
  <c r="F23" i="1"/>
  <c r="Y42" i="1"/>
  <c r="F42" i="1"/>
  <c r="F58" i="1"/>
  <c r="Y58" i="1"/>
  <c r="X39" i="2"/>
  <c r="J58" i="1"/>
  <c r="Y6" i="1"/>
  <c r="F6" i="1"/>
  <c r="J6" i="1"/>
  <c r="Y24" i="2" l="1"/>
  <c r="J24" i="2"/>
  <c r="X12" i="2"/>
  <c r="J13" i="2"/>
  <c r="Y13" i="2"/>
  <c r="F13" i="2"/>
  <c r="F11" i="2"/>
  <c r="Y11" i="2"/>
  <c r="J11" i="2"/>
  <c r="Y63" i="1"/>
  <c r="J12" i="2" l="1"/>
  <c r="F12" i="2"/>
  <c r="Y12" i="2"/>
  <c r="Y44" i="2" s="1"/>
  <c r="Y65" i="1"/>
  <c r="Y46" i="2" l="1"/>
</calcChain>
</file>

<file path=xl/comments1.xml><?xml version="1.0" encoding="utf-8"?>
<comments xmlns="http://schemas.openxmlformats.org/spreadsheetml/2006/main">
  <authors>
    <author>dtsoa12</author>
  </authors>
  <commentList>
    <comment ref="L19" authorId="0" shapeId="0">
      <text>
        <r>
          <rPr>
            <sz val="9"/>
            <color indexed="81"/>
            <rFont val="Tahoma"/>
            <family val="2"/>
          </rPr>
          <t xml:space="preserve">159 count * 2 for the twin fixtures
</t>
        </r>
      </text>
    </comment>
    <comment ref="P19" authorId="0" shapeId="0">
      <text>
        <r>
          <rPr>
            <sz val="9"/>
            <color indexed="81"/>
            <rFont val="Tahoma"/>
            <charset val="1"/>
          </rPr>
          <t xml:space="preserve">965 for North Divisions is not a twin fixture
</t>
        </r>
      </text>
    </comment>
  </commentList>
</comments>
</file>

<file path=xl/sharedStrings.xml><?xml version="1.0" encoding="utf-8"?>
<sst xmlns="http://schemas.openxmlformats.org/spreadsheetml/2006/main" count="168" uniqueCount="80">
  <si>
    <t>Central Divison</t>
  </si>
  <si>
    <t>North Divison</t>
  </si>
  <si>
    <t>AEP TX</t>
  </si>
  <si>
    <t>Municipal Street Lighting</t>
  </si>
  <si>
    <t>Code</t>
  </si>
  <si>
    <t>Facilities Price</t>
  </si>
  <si>
    <t>Annual kWh</t>
  </si>
  <si>
    <t>Current Annual Revenue</t>
  </si>
  <si>
    <t>TYE Annual Fixture Count</t>
  </si>
  <si>
    <t>Proposed Rate</t>
  </si>
  <si>
    <t>Proposed Revenue</t>
  </si>
  <si>
    <t>Mercury Vapor*</t>
  </si>
  <si>
    <t>100 Watt</t>
  </si>
  <si>
    <t>175 Watt</t>
  </si>
  <si>
    <t>250 Watt</t>
  </si>
  <si>
    <t>400 Watt</t>
  </si>
  <si>
    <t>1,000 Watt</t>
  </si>
  <si>
    <t>Metal Halide</t>
  </si>
  <si>
    <t>150 Watt</t>
  </si>
  <si>
    <t>175 Watt**</t>
  </si>
  <si>
    <t>1,000 Watt (flood)</t>
  </si>
  <si>
    <t>High Pressure Sodium</t>
  </si>
  <si>
    <t>70 Watt</t>
  </si>
  <si>
    <t>*MV no longer available</t>
  </si>
  <si>
    <t>** 175 MH no longer available</t>
  </si>
  <si>
    <t>Ornamental Street Lighting - Cities of Mcallen, Odem, Uvalde</t>
  </si>
  <si>
    <t>400 Watt Street Light</t>
  </si>
  <si>
    <t>175 Watt Post Top Light*</t>
  </si>
  <si>
    <t>150 Watt Post Top Light</t>
  </si>
  <si>
    <t>High Pressure Sodium Lamp</t>
  </si>
  <si>
    <t>100 Watt Post Top Light</t>
  </si>
  <si>
    <t>Low Pressure Sodium (available in Brewster, Jeff Davis, Presidio, and Reeves Counties only)</t>
  </si>
  <si>
    <t>35 Watt</t>
  </si>
  <si>
    <t>55 Watt</t>
  </si>
  <si>
    <t>90 Watt</t>
  </si>
  <si>
    <t>MSL rates for transmission and Distribution Service are the same as the Secondary &lt;= 10 kW rates</t>
  </si>
  <si>
    <t>MSL rates are non-metered</t>
  </si>
  <si>
    <t>Rev Req</t>
  </si>
  <si>
    <t>Difference</t>
  </si>
  <si>
    <t>Non-Roadway Lighting Service</t>
  </si>
  <si>
    <t>Current Revenue</t>
  </si>
  <si>
    <t>Security Lighting</t>
  </si>
  <si>
    <t>903/915</t>
  </si>
  <si>
    <t>905/916</t>
  </si>
  <si>
    <t>Low Pressure Sodium (Brewster, Jeff Davis, Presidio, Reeves Counties only)</t>
  </si>
  <si>
    <t>35 Watt*</t>
  </si>
  <si>
    <t>*additional lights not available</t>
  </si>
  <si>
    <t>Flood Lighting</t>
  </si>
  <si>
    <t>906/917</t>
  </si>
  <si>
    <t>907/909</t>
  </si>
  <si>
    <t>908/910</t>
  </si>
  <si>
    <t>909/911</t>
  </si>
  <si>
    <t>910/912</t>
  </si>
  <si>
    <t>911/913</t>
  </si>
  <si>
    <t>1,000 Watt 6x7 NBP</t>
  </si>
  <si>
    <t>1,000 Watt 3x3 NBP</t>
  </si>
  <si>
    <t>Billed Rev</t>
  </si>
  <si>
    <t>Non-Roadway Lighting rates for transmission and Distribution Service are the same as the Secondary &lt;= 10 kW rates</t>
  </si>
  <si>
    <t>Non-Roadway Lighting rates are non-metered</t>
  </si>
  <si>
    <t>AEPTX kWh</t>
  </si>
  <si>
    <t>250 Watt (remove)</t>
  </si>
  <si>
    <t>Twin 400 Watt (remove)</t>
  </si>
  <si>
    <t>1,000 Watt (remove)</t>
  </si>
  <si>
    <t>Twin 250 Watt (remove)</t>
  </si>
  <si>
    <t>Twin 150 Watt (remove)</t>
  </si>
  <si>
    <t>Incandescent 500 Watt (remove)</t>
  </si>
  <si>
    <t>Twin 90 Watt (remove)</t>
  </si>
  <si>
    <t>new offering</t>
  </si>
  <si>
    <t>TYE Monthly Fixture Count</t>
  </si>
  <si>
    <t>add twin</t>
  </si>
  <si>
    <t>total fixtures</t>
  </si>
  <si>
    <t>annual fixtures</t>
  </si>
  <si>
    <t>962/965</t>
  </si>
  <si>
    <t>Twin 400 Watt Central (remove)</t>
  </si>
  <si>
    <t>20-60 Watt LED</t>
  </si>
  <si>
    <t>61-100 Watt LED</t>
  </si>
  <si>
    <t>120-160 Watt LED</t>
  </si>
  <si>
    <t>200-240 Watt LED</t>
  </si>
  <si>
    <t>130-170 Watt LED Floodlight</t>
  </si>
  <si>
    <t>40-80 Watt LED Open 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</si>
</sst>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6" formatCode="&quot;$&quot;#,##0_);[Red]\(&quot;$&quot;#,##0\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&quot;$&quot;#,##0.000000"/>
    <numFmt numFmtId="167" formatCode="&quot;$&quot;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Fill="1"/>
    <xf numFmtId="0" fontId="2" fillId="0" borderId="0" xfId="0" applyFont="1" applyFill="1" applyBorder="1"/>
    <xf numFmtId="166" fontId="2" fillId="0" borderId="0" xfId="0" applyNumberFormat="1" applyFont="1" applyFill="1" applyBorder="1"/>
    <xf numFmtId="165" fontId="2" fillId="0" borderId="0" xfId="1" applyNumberFormat="1" applyFont="1" applyFill="1"/>
    <xf numFmtId="0" fontId="2" fillId="0" borderId="0" xfId="0" applyFont="1" applyFill="1" applyBorder="1" applyAlignment="1">
      <alignment horizontal="center" wrapText="1"/>
    </xf>
    <xf numFmtId="164" fontId="2" fillId="0" borderId="0" xfId="0" applyNumberFormat="1" applyFont="1" applyFill="1"/>
    <xf numFmtId="10" fontId="2" fillId="0" borderId="0" xfId="2" applyNumberFormat="1" applyFont="1" applyFill="1"/>
    <xf numFmtId="0" fontId="2" fillId="0" borderId="2" xfId="0" applyFont="1" applyFill="1" applyBorder="1"/>
    <xf numFmtId="164" fontId="2" fillId="0" borderId="2" xfId="0" applyNumberFormat="1" applyFont="1" applyFill="1" applyBorder="1"/>
    <xf numFmtId="165" fontId="2" fillId="0" borderId="2" xfId="1" applyNumberFormat="1" applyFont="1" applyFill="1" applyBorder="1"/>
    <xf numFmtId="0" fontId="2" fillId="0" borderId="2" xfId="0" applyFont="1" applyFill="1" applyBorder="1" applyAlignment="1">
      <alignment horizontal="center"/>
    </xf>
    <xf numFmtId="164" fontId="2" fillId="0" borderId="0" xfId="0" applyNumberFormat="1" applyFont="1" applyFill="1" applyBorder="1"/>
    <xf numFmtId="165" fontId="2" fillId="0" borderId="0" xfId="1" applyNumberFormat="1" applyFont="1" applyFill="1" applyBorder="1"/>
    <xf numFmtId="0" fontId="2" fillId="0" borderId="0" xfId="0" applyFont="1" applyFill="1" applyBorder="1" applyAlignment="1">
      <alignment horizontal="center"/>
    </xf>
    <xf numFmtId="164" fontId="2" fillId="0" borderId="4" xfId="0" applyNumberFormat="1" applyFont="1" applyFill="1" applyBorder="1"/>
    <xf numFmtId="0" fontId="2" fillId="0" borderId="4" xfId="0" applyFont="1" applyFill="1" applyBorder="1" applyAlignment="1">
      <alignment horizontal="center"/>
    </xf>
    <xf numFmtId="10" fontId="2" fillId="0" borderId="2" xfId="2" applyNumberFormat="1" applyFont="1" applyFill="1" applyBorder="1"/>
    <xf numFmtId="10" fontId="2" fillId="0" borderId="4" xfId="2" applyNumberFormat="1" applyFont="1" applyFill="1" applyBorder="1"/>
    <xf numFmtId="164" fontId="2" fillId="0" borderId="10" xfId="0" applyNumberFormat="1" applyFont="1" applyFill="1" applyBorder="1"/>
    <xf numFmtId="0" fontId="2" fillId="0" borderId="0" xfId="0" applyFont="1" applyFill="1" applyAlignment="1">
      <alignment horizontal="center"/>
    </xf>
    <xf numFmtId="0" fontId="2" fillId="0" borderId="4" xfId="0" applyFont="1" applyFill="1" applyBorder="1" applyAlignment="1"/>
    <xf numFmtId="0" fontId="2" fillId="0" borderId="5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wrapText="1"/>
    </xf>
    <xf numFmtId="164" fontId="2" fillId="0" borderId="6" xfId="0" applyNumberFormat="1" applyFont="1" applyFill="1" applyBorder="1" applyAlignment="1">
      <alignment horizontal="center" wrapText="1"/>
    </xf>
    <xf numFmtId="165" fontId="2" fillId="0" borderId="4" xfId="1" applyNumberFormat="1" applyFont="1" applyFill="1" applyBorder="1" applyAlignment="1">
      <alignment horizontal="center" wrapText="1"/>
    </xf>
    <xf numFmtId="0" fontId="2" fillId="0" borderId="6" xfId="0" applyFont="1" applyFill="1" applyBorder="1" applyAlignment="1">
      <alignment horizontal="center" wrapText="1"/>
    </xf>
    <xf numFmtId="165" fontId="2" fillId="0" borderId="9" xfId="1" applyNumberFormat="1" applyFont="1" applyFill="1" applyBorder="1" applyAlignment="1">
      <alignment horizontal="center" wrapText="1"/>
    </xf>
    <xf numFmtId="0" fontId="3" fillId="0" borderId="0" xfId="0" applyFont="1" applyFill="1"/>
    <xf numFmtId="10" fontId="2" fillId="0" borderId="10" xfId="0" applyNumberFormat="1" applyFont="1" applyFill="1" applyBorder="1"/>
    <xf numFmtId="165" fontId="2" fillId="0" borderId="0" xfId="0" applyNumberFormat="1" applyFont="1" applyFill="1"/>
    <xf numFmtId="0" fontId="2" fillId="0" borderId="10" xfId="0" applyFont="1" applyFill="1" applyBorder="1"/>
    <xf numFmtId="0" fontId="2" fillId="0" borderId="0" xfId="0" applyFont="1" applyFill="1" applyAlignment="1">
      <alignment horizontal="right"/>
    </xf>
    <xf numFmtId="0" fontId="2" fillId="0" borderId="1" xfId="0" applyFont="1" applyFill="1" applyBorder="1"/>
    <xf numFmtId="165" fontId="2" fillId="0" borderId="2" xfId="0" applyNumberFormat="1" applyFont="1" applyFill="1" applyBorder="1" applyAlignment="1">
      <alignment horizontal="center"/>
    </xf>
    <xf numFmtId="165" fontId="2" fillId="0" borderId="2" xfId="0" applyNumberFormat="1" applyFont="1" applyFill="1" applyBorder="1"/>
    <xf numFmtId="164" fontId="2" fillId="0" borderId="9" xfId="0" applyNumberFormat="1" applyFont="1" applyFill="1" applyBorder="1"/>
    <xf numFmtId="164" fontId="2" fillId="0" borderId="3" xfId="0" applyNumberFormat="1" applyFont="1" applyFill="1" applyBorder="1"/>
    <xf numFmtId="0" fontId="2" fillId="0" borderId="5" xfId="0" applyFont="1" applyFill="1" applyBorder="1"/>
    <xf numFmtId="0" fontId="2" fillId="0" borderId="4" xfId="0" applyFont="1" applyFill="1" applyBorder="1"/>
    <xf numFmtId="165" fontId="2" fillId="0" borderId="4" xfId="1" applyNumberFormat="1" applyFont="1" applyFill="1" applyBorder="1"/>
    <xf numFmtId="165" fontId="2" fillId="0" borderId="4" xfId="0" applyNumberFormat="1" applyFont="1" applyFill="1" applyBorder="1" applyAlignment="1">
      <alignment horizontal="center"/>
    </xf>
    <xf numFmtId="165" fontId="2" fillId="0" borderId="4" xfId="0" applyNumberFormat="1" applyFont="1" applyFill="1" applyBorder="1"/>
    <xf numFmtId="164" fontId="2" fillId="0" borderId="11" xfId="0" applyNumberFormat="1" applyFont="1" applyFill="1" applyBorder="1"/>
    <xf numFmtId="164" fontId="2" fillId="0" borderId="6" xfId="0" applyNumberFormat="1" applyFont="1" applyFill="1" applyBorder="1"/>
    <xf numFmtId="0" fontId="2" fillId="0" borderId="0" xfId="0" applyFont="1" applyFill="1" applyAlignment="1"/>
    <xf numFmtId="167" fontId="2" fillId="0" borderId="3" xfId="0" applyNumberFormat="1" applyFont="1" applyFill="1" applyBorder="1"/>
    <xf numFmtId="6" fontId="2" fillId="0" borderId="0" xfId="0" applyNumberFormat="1" applyFont="1" applyFill="1"/>
    <xf numFmtId="0" fontId="2" fillId="0" borderId="7" xfId="0" applyFont="1" applyFill="1" applyBorder="1"/>
    <xf numFmtId="167" fontId="2" fillId="0" borderId="8" xfId="0" applyNumberFormat="1" applyFont="1" applyFill="1" applyBorder="1"/>
    <xf numFmtId="0" fontId="2" fillId="0" borderId="0" xfId="0" applyFont="1" applyFill="1" applyBorder="1" applyAlignment="1"/>
    <xf numFmtId="165" fontId="2" fillId="0" borderId="0" xfId="0" applyNumberFormat="1" applyFont="1" applyFill="1" applyBorder="1"/>
    <xf numFmtId="10" fontId="2" fillId="0" borderId="0" xfId="2" applyNumberFormat="1" applyFont="1" applyFill="1" applyBorder="1"/>
    <xf numFmtId="0" fontId="3" fillId="0" borderId="0" xfId="0" applyFont="1" applyFill="1" applyBorder="1" applyAlignment="1">
      <alignment horizontal="center"/>
    </xf>
    <xf numFmtId="9" fontId="2" fillId="0" borderId="0" xfId="2" applyFont="1" applyFill="1"/>
    <xf numFmtId="9" fontId="2" fillId="0" borderId="0" xfId="2" applyFont="1" applyFill="1" applyBorder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43" fontId="2" fillId="0" borderId="0" xfId="1" applyNumberFormat="1" applyFont="1" applyFill="1"/>
    <xf numFmtId="167" fontId="2" fillId="0" borderId="6" xfId="0" applyNumberFormat="1" applyFont="1" applyFill="1" applyBorder="1"/>
    <xf numFmtId="167" fontId="2" fillId="0" borderId="0" xfId="0" applyNumberFormat="1" applyFont="1" applyFill="1"/>
    <xf numFmtId="167" fontId="2" fillId="0" borderId="2" xfId="0" applyNumberFormat="1" applyFont="1" applyFill="1" applyBorder="1"/>
    <xf numFmtId="167" fontId="2" fillId="0" borderId="0" xfId="0" applyNumberFormat="1" applyFont="1" applyFill="1" applyBorder="1"/>
    <xf numFmtId="167" fontId="2" fillId="0" borderId="4" xfId="0" applyNumberFormat="1" applyFont="1" applyFill="1" applyBorder="1"/>
    <xf numFmtId="165" fontId="2" fillId="0" borderId="12" xfId="1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Combined\Rate%20Design\Lighting%20Facilities%20Workpap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Combined\Rate%20Design\LED%20Lighting%20New%20Offer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tral"/>
      <sheetName val="North"/>
      <sheetName val="AEPTX"/>
      <sheetName val="Lighting Facilities Central"/>
      <sheetName val="Lighting Facilities North"/>
    </sheetNames>
    <sheetDataSet>
      <sheetData sheetId="0"/>
      <sheetData sheetId="1"/>
      <sheetData sheetId="2">
        <row r="33">
          <cell r="D33">
            <v>17091200.337686829</v>
          </cell>
        </row>
        <row r="52">
          <cell r="B52">
            <v>4233829.0399999991</v>
          </cell>
          <cell r="C52">
            <v>1317361.53</v>
          </cell>
        </row>
        <row r="53">
          <cell r="B53">
            <v>8801432.4000000022</v>
          </cell>
          <cell r="C53">
            <v>2738577.37</v>
          </cell>
        </row>
        <row r="54">
          <cell r="D54">
            <v>0.31115132739524093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LED MAINT"/>
      <sheetName val="40-80 W LED"/>
      <sheetName val="130-170 W LED"/>
    </sheetNames>
    <sheetDataSet>
      <sheetData sheetId="0">
        <row r="7">
          <cell r="G7">
            <v>5.7511081481481483</v>
          </cell>
        </row>
        <row r="8">
          <cell r="G8">
            <v>16.011108148148146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Y80"/>
  <sheetViews>
    <sheetView workbookViewId="0">
      <pane xSplit="2" ySplit="3" topLeftCell="F4" activePane="bottomRight" state="frozen"/>
      <selection pane="topRight" activeCell="C1" sqref="C1"/>
      <selection pane="bottomLeft" activeCell="A4" sqref="A4"/>
      <selection pane="bottomRight" activeCell="B38" sqref="B38"/>
    </sheetView>
  </sheetViews>
  <sheetFormatPr defaultColWidth="8.7109375" defaultRowHeight="12.75" x14ac:dyDescent="0.2"/>
  <cols>
    <col min="1" max="1" width="2.5703125" style="1" customWidth="1"/>
    <col min="2" max="2" width="29" style="1" customWidth="1"/>
    <col min="3" max="3" width="10.42578125" style="1" customWidth="1"/>
    <col min="4" max="4" width="9.85546875" style="1" customWidth="1"/>
    <col min="5" max="5" width="9.5703125" style="6" customWidth="1"/>
    <col min="6" max="6" width="7.28515625" style="1" bestFit="1" customWidth="1"/>
    <col min="7" max="7" width="11.85546875" style="1" customWidth="1"/>
    <col min="8" max="8" width="9.42578125" style="1" bestFit="1" customWidth="1"/>
    <col min="9" max="9" width="9.42578125" style="6" bestFit="1" customWidth="1"/>
    <col min="10" max="10" width="8.85546875" style="1" bestFit="1" customWidth="1"/>
    <col min="11" max="11" width="11.7109375" style="1" customWidth="1"/>
    <col min="12" max="12" width="11.28515625" style="4" bestFit="1" customWidth="1"/>
    <col min="13" max="13" width="12.28515625" style="4" bestFit="1" customWidth="1"/>
    <col min="14" max="14" width="13.85546875" style="1" bestFit="1" customWidth="1"/>
    <col min="15" max="15" width="8.7109375" style="1"/>
    <col min="16" max="16" width="11.42578125" style="1" customWidth="1"/>
    <col min="17" max="17" width="10.28515625" style="1" bestFit="1" customWidth="1"/>
    <col min="18" max="18" width="11.28515625" style="1" bestFit="1" customWidth="1"/>
    <col min="19" max="19" width="12.7109375" style="1" bestFit="1" customWidth="1"/>
    <col min="20" max="20" width="8.7109375" style="1"/>
    <col min="21" max="21" width="13" style="1" customWidth="1"/>
    <col min="22" max="22" width="13.140625" style="1" customWidth="1"/>
    <col min="23" max="23" width="11.28515625" style="1" bestFit="1" customWidth="1"/>
    <col min="24" max="24" width="10.28515625" style="1" customWidth="1"/>
    <col min="25" max="25" width="14.42578125" style="1" bestFit="1" customWidth="1"/>
    <col min="26" max="256" width="8.7109375" style="1"/>
    <col min="257" max="257" width="2.5703125" style="1" customWidth="1"/>
    <col min="258" max="258" width="22.28515625" style="1" customWidth="1"/>
    <col min="259" max="259" width="10.42578125" style="1" customWidth="1"/>
    <col min="260" max="260" width="9.85546875" style="1" customWidth="1"/>
    <col min="261" max="261" width="9.5703125" style="1" customWidth="1"/>
    <col min="262" max="262" width="7.28515625" style="1" bestFit="1" customWidth="1"/>
    <col min="263" max="263" width="11.85546875" style="1" customWidth="1"/>
    <col min="264" max="265" width="9.42578125" style="1" bestFit="1" customWidth="1"/>
    <col min="266" max="266" width="8.85546875" style="1" bestFit="1" customWidth="1"/>
    <col min="267" max="267" width="10.42578125" style="1" customWidth="1"/>
    <col min="268" max="268" width="11.28515625" style="1" bestFit="1" customWidth="1"/>
    <col min="269" max="269" width="12.28515625" style="1" bestFit="1" customWidth="1"/>
    <col min="270" max="270" width="13.85546875" style="1" bestFit="1" customWidth="1"/>
    <col min="271" max="271" width="8.7109375" style="1"/>
    <col min="272" max="272" width="9.5703125" style="1" bestFit="1" customWidth="1"/>
    <col min="273" max="273" width="10.28515625" style="1" bestFit="1" customWidth="1"/>
    <col min="274" max="274" width="11.28515625" style="1" bestFit="1" customWidth="1"/>
    <col min="275" max="275" width="12.7109375" style="1" bestFit="1" customWidth="1"/>
    <col min="276" max="278" width="8.7109375" style="1"/>
    <col min="279" max="279" width="11.28515625" style="1" bestFit="1" customWidth="1"/>
    <col min="280" max="280" width="10.28515625" style="1" customWidth="1"/>
    <col min="281" max="281" width="14.42578125" style="1" bestFit="1" customWidth="1"/>
    <col min="282" max="512" width="8.7109375" style="1"/>
    <col min="513" max="513" width="2.5703125" style="1" customWidth="1"/>
    <col min="514" max="514" width="22.28515625" style="1" customWidth="1"/>
    <col min="515" max="515" width="10.42578125" style="1" customWidth="1"/>
    <col min="516" max="516" width="9.85546875" style="1" customWidth="1"/>
    <col min="517" max="517" width="9.5703125" style="1" customWidth="1"/>
    <col min="518" max="518" width="7.28515625" style="1" bestFit="1" customWidth="1"/>
    <col min="519" max="519" width="11.85546875" style="1" customWidth="1"/>
    <col min="520" max="521" width="9.42578125" style="1" bestFit="1" customWidth="1"/>
    <col min="522" max="522" width="8.85546875" style="1" bestFit="1" customWidth="1"/>
    <col min="523" max="523" width="10.42578125" style="1" customWidth="1"/>
    <col min="524" max="524" width="11.28515625" style="1" bestFit="1" customWidth="1"/>
    <col min="525" max="525" width="12.28515625" style="1" bestFit="1" customWidth="1"/>
    <col min="526" max="526" width="13.85546875" style="1" bestFit="1" customWidth="1"/>
    <col min="527" max="527" width="8.7109375" style="1"/>
    <col min="528" max="528" width="9.5703125" style="1" bestFit="1" customWidth="1"/>
    <col min="529" max="529" width="10.28515625" style="1" bestFit="1" customWidth="1"/>
    <col min="530" max="530" width="11.28515625" style="1" bestFit="1" customWidth="1"/>
    <col min="531" max="531" width="12.7109375" style="1" bestFit="1" customWidth="1"/>
    <col min="532" max="534" width="8.7109375" style="1"/>
    <col min="535" max="535" width="11.28515625" style="1" bestFit="1" customWidth="1"/>
    <col min="536" max="536" width="10.28515625" style="1" customWidth="1"/>
    <col min="537" max="537" width="14.42578125" style="1" bestFit="1" customWidth="1"/>
    <col min="538" max="768" width="8.7109375" style="1"/>
    <col min="769" max="769" width="2.5703125" style="1" customWidth="1"/>
    <col min="770" max="770" width="22.28515625" style="1" customWidth="1"/>
    <col min="771" max="771" width="10.42578125" style="1" customWidth="1"/>
    <col min="772" max="772" width="9.85546875" style="1" customWidth="1"/>
    <col min="773" max="773" width="9.5703125" style="1" customWidth="1"/>
    <col min="774" max="774" width="7.28515625" style="1" bestFit="1" customWidth="1"/>
    <col min="775" max="775" width="11.85546875" style="1" customWidth="1"/>
    <col min="776" max="777" width="9.42578125" style="1" bestFit="1" customWidth="1"/>
    <col min="778" max="778" width="8.85546875" style="1" bestFit="1" customWidth="1"/>
    <col min="779" max="779" width="10.42578125" style="1" customWidth="1"/>
    <col min="780" max="780" width="11.28515625" style="1" bestFit="1" customWidth="1"/>
    <col min="781" max="781" width="12.28515625" style="1" bestFit="1" customWidth="1"/>
    <col min="782" max="782" width="13.85546875" style="1" bestFit="1" customWidth="1"/>
    <col min="783" max="783" width="8.7109375" style="1"/>
    <col min="784" max="784" width="9.5703125" style="1" bestFit="1" customWidth="1"/>
    <col min="785" max="785" width="10.28515625" style="1" bestFit="1" customWidth="1"/>
    <col min="786" max="786" width="11.28515625" style="1" bestFit="1" customWidth="1"/>
    <col min="787" max="787" width="12.7109375" style="1" bestFit="1" customWidth="1"/>
    <col min="788" max="790" width="8.7109375" style="1"/>
    <col min="791" max="791" width="11.28515625" style="1" bestFit="1" customWidth="1"/>
    <col min="792" max="792" width="10.28515625" style="1" customWidth="1"/>
    <col min="793" max="793" width="14.42578125" style="1" bestFit="1" customWidth="1"/>
    <col min="794" max="1024" width="8.7109375" style="1"/>
    <col min="1025" max="1025" width="2.5703125" style="1" customWidth="1"/>
    <col min="1026" max="1026" width="22.28515625" style="1" customWidth="1"/>
    <col min="1027" max="1027" width="10.42578125" style="1" customWidth="1"/>
    <col min="1028" max="1028" width="9.85546875" style="1" customWidth="1"/>
    <col min="1029" max="1029" width="9.5703125" style="1" customWidth="1"/>
    <col min="1030" max="1030" width="7.28515625" style="1" bestFit="1" customWidth="1"/>
    <col min="1031" max="1031" width="11.85546875" style="1" customWidth="1"/>
    <col min="1032" max="1033" width="9.42578125" style="1" bestFit="1" customWidth="1"/>
    <col min="1034" max="1034" width="8.85546875" style="1" bestFit="1" customWidth="1"/>
    <col min="1035" max="1035" width="10.42578125" style="1" customWidth="1"/>
    <col min="1036" max="1036" width="11.28515625" style="1" bestFit="1" customWidth="1"/>
    <col min="1037" max="1037" width="12.28515625" style="1" bestFit="1" customWidth="1"/>
    <col min="1038" max="1038" width="13.85546875" style="1" bestFit="1" customWidth="1"/>
    <col min="1039" max="1039" width="8.7109375" style="1"/>
    <col min="1040" max="1040" width="9.5703125" style="1" bestFit="1" customWidth="1"/>
    <col min="1041" max="1041" width="10.28515625" style="1" bestFit="1" customWidth="1"/>
    <col min="1042" max="1042" width="11.28515625" style="1" bestFit="1" customWidth="1"/>
    <col min="1043" max="1043" width="12.7109375" style="1" bestFit="1" customWidth="1"/>
    <col min="1044" max="1046" width="8.7109375" style="1"/>
    <col min="1047" max="1047" width="11.28515625" style="1" bestFit="1" customWidth="1"/>
    <col min="1048" max="1048" width="10.28515625" style="1" customWidth="1"/>
    <col min="1049" max="1049" width="14.42578125" style="1" bestFit="1" customWidth="1"/>
    <col min="1050" max="1280" width="8.7109375" style="1"/>
    <col min="1281" max="1281" width="2.5703125" style="1" customWidth="1"/>
    <col min="1282" max="1282" width="22.28515625" style="1" customWidth="1"/>
    <col min="1283" max="1283" width="10.42578125" style="1" customWidth="1"/>
    <col min="1284" max="1284" width="9.85546875" style="1" customWidth="1"/>
    <col min="1285" max="1285" width="9.5703125" style="1" customWidth="1"/>
    <col min="1286" max="1286" width="7.28515625" style="1" bestFit="1" customWidth="1"/>
    <col min="1287" max="1287" width="11.85546875" style="1" customWidth="1"/>
    <col min="1288" max="1289" width="9.42578125" style="1" bestFit="1" customWidth="1"/>
    <col min="1290" max="1290" width="8.85546875" style="1" bestFit="1" customWidth="1"/>
    <col min="1291" max="1291" width="10.42578125" style="1" customWidth="1"/>
    <col min="1292" max="1292" width="11.28515625" style="1" bestFit="1" customWidth="1"/>
    <col min="1293" max="1293" width="12.28515625" style="1" bestFit="1" customWidth="1"/>
    <col min="1294" max="1294" width="13.85546875" style="1" bestFit="1" customWidth="1"/>
    <col min="1295" max="1295" width="8.7109375" style="1"/>
    <col min="1296" max="1296" width="9.5703125" style="1" bestFit="1" customWidth="1"/>
    <col min="1297" max="1297" width="10.28515625" style="1" bestFit="1" customWidth="1"/>
    <col min="1298" max="1298" width="11.28515625" style="1" bestFit="1" customWidth="1"/>
    <col min="1299" max="1299" width="12.7109375" style="1" bestFit="1" customWidth="1"/>
    <col min="1300" max="1302" width="8.7109375" style="1"/>
    <col min="1303" max="1303" width="11.28515625" style="1" bestFit="1" customWidth="1"/>
    <col min="1304" max="1304" width="10.28515625" style="1" customWidth="1"/>
    <col min="1305" max="1305" width="14.42578125" style="1" bestFit="1" customWidth="1"/>
    <col min="1306" max="1536" width="8.7109375" style="1"/>
    <col min="1537" max="1537" width="2.5703125" style="1" customWidth="1"/>
    <col min="1538" max="1538" width="22.28515625" style="1" customWidth="1"/>
    <col min="1539" max="1539" width="10.42578125" style="1" customWidth="1"/>
    <col min="1540" max="1540" width="9.85546875" style="1" customWidth="1"/>
    <col min="1541" max="1541" width="9.5703125" style="1" customWidth="1"/>
    <col min="1542" max="1542" width="7.28515625" style="1" bestFit="1" customWidth="1"/>
    <col min="1543" max="1543" width="11.85546875" style="1" customWidth="1"/>
    <col min="1544" max="1545" width="9.42578125" style="1" bestFit="1" customWidth="1"/>
    <col min="1546" max="1546" width="8.85546875" style="1" bestFit="1" customWidth="1"/>
    <col min="1547" max="1547" width="10.42578125" style="1" customWidth="1"/>
    <col min="1548" max="1548" width="11.28515625" style="1" bestFit="1" customWidth="1"/>
    <col min="1549" max="1549" width="12.28515625" style="1" bestFit="1" customWidth="1"/>
    <col min="1550" max="1550" width="13.85546875" style="1" bestFit="1" customWidth="1"/>
    <col min="1551" max="1551" width="8.7109375" style="1"/>
    <col min="1552" max="1552" width="9.5703125" style="1" bestFit="1" customWidth="1"/>
    <col min="1553" max="1553" width="10.28515625" style="1" bestFit="1" customWidth="1"/>
    <col min="1554" max="1554" width="11.28515625" style="1" bestFit="1" customWidth="1"/>
    <col min="1555" max="1555" width="12.7109375" style="1" bestFit="1" customWidth="1"/>
    <col min="1556" max="1558" width="8.7109375" style="1"/>
    <col min="1559" max="1559" width="11.28515625" style="1" bestFit="1" customWidth="1"/>
    <col min="1560" max="1560" width="10.28515625" style="1" customWidth="1"/>
    <col min="1561" max="1561" width="14.42578125" style="1" bestFit="1" customWidth="1"/>
    <col min="1562" max="1792" width="8.7109375" style="1"/>
    <col min="1793" max="1793" width="2.5703125" style="1" customWidth="1"/>
    <col min="1794" max="1794" width="22.28515625" style="1" customWidth="1"/>
    <col min="1795" max="1795" width="10.42578125" style="1" customWidth="1"/>
    <col min="1796" max="1796" width="9.85546875" style="1" customWidth="1"/>
    <col min="1797" max="1797" width="9.5703125" style="1" customWidth="1"/>
    <col min="1798" max="1798" width="7.28515625" style="1" bestFit="1" customWidth="1"/>
    <col min="1799" max="1799" width="11.85546875" style="1" customWidth="1"/>
    <col min="1800" max="1801" width="9.42578125" style="1" bestFit="1" customWidth="1"/>
    <col min="1802" max="1802" width="8.85546875" style="1" bestFit="1" customWidth="1"/>
    <col min="1803" max="1803" width="10.42578125" style="1" customWidth="1"/>
    <col min="1804" max="1804" width="11.28515625" style="1" bestFit="1" customWidth="1"/>
    <col min="1805" max="1805" width="12.28515625" style="1" bestFit="1" customWidth="1"/>
    <col min="1806" max="1806" width="13.85546875" style="1" bestFit="1" customWidth="1"/>
    <col min="1807" max="1807" width="8.7109375" style="1"/>
    <col min="1808" max="1808" width="9.5703125" style="1" bestFit="1" customWidth="1"/>
    <col min="1809" max="1809" width="10.28515625" style="1" bestFit="1" customWidth="1"/>
    <col min="1810" max="1810" width="11.28515625" style="1" bestFit="1" customWidth="1"/>
    <col min="1811" max="1811" width="12.7109375" style="1" bestFit="1" customWidth="1"/>
    <col min="1812" max="1814" width="8.7109375" style="1"/>
    <col min="1815" max="1815" width="11.28515625" style="1" bestFit="1" customWidth="1"/>
    <col min="1816" max="1816" width="10.28515625" style="1" customWidth="1"/>
    <col min="1817" max="1817" width="14.42578125" style="1" bestFit="1" customWidth="1"/>
    <col min="1818" max="2048" width="8.7109375" style="1"/>
    <col min="2049" max="2049" width="2.5703125" style="1" customWidth="1"/>
    <col min="2050" max="2050" width="22.28515625" style="1" customWidth="1"/>
    <col min="2051" max="2051" width="10.42578125" style="1" customWidth="1"/>
    <col min="2052" max="2052" width="9.85546875" style="1" customWidth="1"/>
    <col min="2053" max="2053" width="9.5703125" style="1" customWidth="1"/>
    <col min="2054" max="2054" width="7.28515625" style="1" bestFit="1" customWidth="1"/>
    <col min="2055" max="2055" width="11.85546875" style="1" customWidth="1"/>
    <col min="2056" max="2057" width="9.42578125" style="1" bestFit="1" customWidth="1"/>
    <col min="2058" max="2058" width="8.85546875" style="1" bestFit="1" customWidth="1"/>
    <col min="2059" max="2059" width="10.42578125" style="1" customWidth="1"/>
    <col min="2060" max="2060" width="11.28515625" style="1" bestFit="1" customWidth="1"/>
    <col min="2061" max="2061" width="12.28515625" style="1" bestFit="1" customWidth="1"/>
    <col min="2062" max="2062" width="13.85546875" style="1" bestFit="1" customWidth="1"/>
    <col min="2063" max="2063" width="8.7109375" style="1"/>
    <col min="2064" max="2064" width="9.5703125" style="1" bestFit="1" customWidth="1"/>
    <col min="2065" max="2065" width="10.28515625" style="1" bestFit="1" customWidth="1"/>
    <col min="2066" max="2066" width="11.28515625" style="1" bestFit="1" customWidth="1"/>
    <col min="2067" max="2067" width="12.7109375" style="1" bestFit="1" customWidth="1"/>
    <col min="2068" max="2070" width="8.7109375" style="1"/>
    <col min="2071" max="2071" width="11.28515625" style="1" bestFit="1" customWidth="1"/>
    <col min="2072" max="2072" width="10.28515625" style="1" customWidth="1"/>
    <col min="2073" max="2073" width="14.42578125" style="1" bestFit="1" customWidth="1"/>
    <col min="2074" max="2304" width="8.7109375" style="1"/>
    <col min="2305" max="2305" width="2.5703125" style="1" customWidth="1"/>
    <col min="2306" max="2306" width="22.28515625" style="1" customWidth="1"/>
    <col min="2307" max="2307" width="10.42578125" style="1" customWidth="1"/>
    <col min="2308" max="2308" width="9.85546875" style="1" customWidth="1"/>
    <col min="2309" max="2309" width="9.5703125" style="1" customWidth="1"/>
    <col min="2310" max="2310" width="7.28515625" style="1" bestFit="1" customWidth="1"/>
    <col min="2311" max="2311" width="11.85546875" style="1" customWidth="1"/>
    <col min="2312" max="2313" width="9.42578125" style="1" bestFit="1" customWidth="1"/>
    <col min="2314" max="2314" width="8.85546875" style="1" bestFit="1" customWidth="1"/>
    <col min="2315" max="2315" width="10.42578125" style="1" customWidth="1"/>
    <col min="2316" max="2316" width="11.28515625" style="1" bestFit="1" customWidth="1"/>
    <col min="2317" max="2317" width="12.28515625" style="1" bestFit="1" customWidth="1"/>
    <col min="2318" max="2318" width="13.85546875" style="1" bestFit="1" customWidth="1"/>
    <col min="2319" max="2319" width="8.7109375" style="1"/>
    <col min="2320" max="2320" width="9.5703125" style="1" bestFit="1" customWidth="1"/>
    <col min="2321" max="2321" width="10.28515625" style="1" bestFit="1" customWidth="1"/>
    <col min="2322" max="2322" width="11.28515625" style="1" bestFit="1" customWidth="1"/>
    <col min="2323" max="2323" width="12.7109375" style="1" bestFit="1" customWidth="1"/>
    <col min="2324" max="2326" width="8.7109375" style="1"/>
    <col min="2327" max="2327" width="11.28515625" style="1" bestFit="1" customWidth="1"/>
    <col min="2328" max="2328" width="10.28515625" style="1" customWidth="1"/>
    <col min="2329" max="2329" width="14.42578125" style="1" bestFit="1" customWidth="1"/>
    <col min="2330" max="2560" width="8.7109375" style="1"/>
    <col min="2561" max="2561" width="2.5703125" style="1" customWidth="1"/>
    <col min="2562" max="2562" width="22.28515625" style="1" customWidth="1"/>
    <col min="2563" max="2563" width="10.42578125" style="1" customWidth="1"/>
    <col min="2564" max="2564" width="9.85546875" style="1" customWidth="1"/>
    <col min="2565" max="2565" width="9.5703125" style="1" customWidth="1"/>
    <col min="2566" max="2566" width="7.28515625" style="1" bestFit="1" customWidth="1"/>
    <col min="2567" max="2567" width="11.85546875" style="1" customWidth="1"/>
    <col min="2568" max="2569" width="9.42578125" style="1" bestFit="1" customWidth="1"/>
    <col min="2570" max="2570" width="8.85546875" style="1" bestFit="1" customWidth="1"/>
    <col min="2571" max="2571" width="10.42578125" style="1" customWidth="1"/>
    <col min="2572" max="2572" width="11.28515625" style="1" bestFit="1" customWidth="1"/>
    <col min="2573" max="2573" width="12.28515625" style="1" bestFit="1" customWidth="1"/>
    <col min="2574" max="2574" width="13.85546875" style="1" bestFit="1" customWidth="1"/>
    <col min="2575" max="2575" width="8.7109375" style="1"/>
    <col min="2576" max="2576" width="9.5703125" style="1" bestFit="1" customWidth="1"/>
    <col min="2577" max="2577" width="10.28515625" style="1" bestFit="1" customWidth="1"/>
    <col min="2578" max="2578" width="11.28515625" style="1" bestFit="1" customWidth="1"/>
    <col min="2579" max="2579" width="12.7109375" style="1" bestFit="1" customWidth="1"/>
    <col min="2580" max="2582" width="8.7109375" style="1"/>
    <col min="2583" max="2583" width="11.28515625" style="1" bestFit="1" customWidth="1"/>
    <col min="2584" max="2584" width="10.28515625" style="1" customWidth="1"/>
    <col min="2585" max="2585" width="14.42578125" style="1" bestFit="1" customWidth="1"/>
    <col min="2586" max="2816" width="8.7109375" style="1"/>
    <col min="2817" max="2817" width="2.5703125" style="1" customWidth="1"/>
    <col min="2818" max="2818" width="22.28515625" style="1" customWidth="1"/>
    <col min="2819" max="2819" width="10.42578125" style="1" customWidth="1"/>
    <col min="2820" max="2820" width="9.85546875" style="1" customWidth="1"/>
    <col min="2821" max="2821" width="9.5703125" style="1" customWidth="1"/>
    <col min="2822" max="2822" width="7.28515625" style="1" bestFit="1" customWidth="1"/>
    <col min="2823" max="2823" width="11.85546875" style="1" customWidth="1"/>
    <col min="2824" max="2825" width="9.42578125" style="1" bestFit="1" customWidth="1"/>
    <col min="2826" max="2826" width="8.85546875" style="1" bestFit="1" customWidth="1"/>
    <col min="2827" max="2827" width="10.42578125" style="1" customWidth="1"/>
    <col min="2828" max="2828" width="11.28515625" style="1" bestFit="1" customWidth="1"/>
    <col min="2829" max="2829" width="12.28515625" style="1" bestFit="1" customWidth="1"/>
    <col min="2830" max="2830" width="13.85546875" style="1" bestFit="1" customWidth="1"/>
    <col min="2831" max="2831" width="8.7109375" style="1"/>
    <col min="2832" max="2832" width="9.5703125" style="1" bestFit="1" customWidth="1"/>
    <col min="2833" max="2833" width="10.28515625" style="1" bestFit="1" customWidth="1"/>
    <col min="2834" max="2834" width="11.28515625" style="1" bestFit="1" customWidth="1"/>
    <col min="2835" max="2835" width="12.7109375" style="1" bestFit="1" customWidth="1"/>
    <col min="2836" max="2838" width="8.7109375" style="1"/>
    <col min="2839" max="2839" width="11.28515625" style="1" bestFit="1" customWidth="1"/>
    <col min="2840" max="2840" width="10.28515625" style="1" customWidth="1"/>
    <col min="2841" max="2841" width="14.42578125" style="1" bestFit="1" customWidth="1"/>
    <col min="2842" max="3072" width="8.7109375" style="1"/>
    <col min="3073" max="3073" width="2.5703125" style="1" customWidth="1"/>
    <col min="3074" max="3074" width="22.28515625" style="1" customWidth="1"/>
    <col min="3075" max="3075" width="10.42578125" style="1" customWidth="1"/>
    <col min="3076" max="3076" width="9.85546875" style="1" customWidth="1"/>
    <col min="3077" max="3077" width="9.5703125" style="1" customWidth="1"/>
    <col min="3078" max="3078" width="7.28515625" style="1" bestFit="1" customWidth="1"/>
    <col min="3079" max="3079" width="11.85546875" style="1" customWidth="1"/>
    <col min="3080" max="3081" width="9.42578125" style="1" bestFit="1" customWidth="1"/>
    <col min="3082" max="3082" width="8.85546875" style="1" bestFit="1" customWidth="1"/>
    <col min="3083" max="3083" width="10.42578125" style="1" customWidth="1"/>
    <col min="3084" max="3084" width="11.28515625" style="1" bestFit="1" customWidth="1"/>
    <col min="3085" max="3085" width="12.28515625" style="1" bestFit="1" customWidth="1"/>
    <col min="3086" max="3086" width="13.85546875" style="1" bestFit="1" customWidth="1"/>
    <col min="3087" max="3087" width="8.7109375" style="1"/>
    <col min="3088" max="3088" width="9.5703125" style="1" bestFit="1" customWidth="1"/>
    <col min="3089" max="3089" width="10.28515625" style="1" bestFit="1" customWidth="1"/>
    <col min="3090" max="3090" width="11.28515625" style="1" bestFit="1" customWidth="1"/>
    <col min="3091" max="3091" width="12.7109375" style="1" bestFit="1" customWidth="1"/>
    <col min="3092" max="3094" width="8.7109375" style="1"/>
    <col min="3095" max="3095" width="11.28515625" style="1" bestFit="1" customWidth="1"/>
    <col min="3096" max="3096" width="10.28515625" style="1" customWidth="1"/>
    <col min="3097" max="3097" width="14.42578125" style="1" bestFit="1" customWidth="1"/>
    <col min="3098" max="3328" width="8.7109375" style="1"/>
    <col min="3329" max="3329" width="2.5703125" style="1" customWidth="1"/>
    <col min="3330" max="3330" width="22.28515625" style="1" customWidth="1"/>
    <col min="3331" max="3331" width="10.42578125" style="1" customWidth="1"/>
    <col min="3332" max="3332" width="9.85546875" style="1" customWidth="1"/>
    <col min="3333" max="3333" width="9.5703125" style="1" customWidth="1"/>
    <col min="3334" max="3334" width="7.28515625" style="1" bestFit="1" customWidth="1"/>
    <col min="3335" max="3335" width="11.85546875" style="1" customWidth="1"/>
    <col min="3336" max="3337" width="9.42578125" style="1" bestFit="1" customWidth="1"/>
    <col min="3338" max="3338" width="8.85546875" style="1" bestFit="1" customWidth="1"/>
    <col min="3339" max="3339" width="10.42578125" style="1" customWidth="1"/>
    <col min="3340" max="3340" width="11.28515625" style="1" bestFit="1" customWidth="1"/>
    <col min="3341" max="3341" width="12.28515625" style="1" bestFit="1" customWidth="1"/>
    <col min="3342" max="3342" width="13.85546875" style="1" bestFit="1" customWidth="1"/>
    <col min="3343" max="3343" width="8.7109375" style="1"/>
    <col min="3344" max="3344" width="9.5703125" style="1" bestFit="1" customWidth="1"/>
    <col min="3345" max="3345" width="10.28515625" style="1" bestFit="1" customWidth="1"/>
    <col min="3346" max="3346" width="11.28515625" style="1" bestFit="1" customWidth="1"/>
    <col min="3347" max="3347" width="12.7109375" style="1" bestFit="1" customWidth="1"/>
    <col min="3348" max="3350" width="8.7109375" style="1"/>
    <col min="3351" max="3351" width="11.28515625" style="1" bestFit="1" customWidth="1"/>
    <col min="3352" max="3352" width="10.28515625" style="1" customWidth="1"/>
    <col min="3353" max="3353" width="14.42578125" style="1" bestFit="1" customWidth="1"/>
    <col min="3354" max="3584" width="8.7109375" style="1"/>
    <col min="3585" max="3585" width="2.5703125" style="1" customWidth="1"/>
    <col min="3586" max="3586" width="22.28515625" style="1" customWidth="1"/>
    <col min="3587" max="3587" width="10.42578125" style="1" customWidth="1"/>
    <col min="3588" max="3588" width="9.85546875" style="1" customWidth="1"/>
    <col min="3589" max="3589" width="9.5703125" style="1" customWidth="1"/>
    <col min="3590" max="3590" width="7.28515625" style="1" bestFit="1" customWidth="1"/>
    <col min="3591" max="3591" width="11.85546875" style="1" customWidth="1"/>
    <col min="3592" max="3593" width="9.42578125" style="1" bestFit="1" customWidth="1"/>
    <col min="3594" max="3594" width="8.85546875" style="1" bestFit="1" customWidth="1"/>
    <col min="3595" max="3595" width="10.42578125" style="1" customWidth="1"/>
    <col min="3596" max="3596" width="11.28515625" style="1" bestFit="1" customWidth="1"/>
    <col min="3597" max="3597" width="12.28515625" style="1" bestFit="1" customWidth="1"/>
    <col min="3598" max="3598" width="13.85546875" style="1" bestFit="1" customWidth="1"/>
    <col min="3599" max="3599" width="8.7109375" style="1"/>
    <col min="3600" max="3600" width="9.5703125" style="1" bestFit="1" customWidth="1"/>
    <col min="3601" max="3601" width="10.28515625" style="1" bestFit="1" customWidth="1"/>
    <col min="3602" max="3602" width="11.28515625" style="1" bestFit="1" customWidth="1"/>
    <col min="3603" max="3603" width="12.7109375" style="1" bestFit="1" customWidth="1"/>
    <col min="3604" max="3606" width="8.7109375" style="1"/>
    <col min="3607" max="3607" width="11.28515625" style="1" bestFit="1" customWidth="1"/>
    <col min="3608" max="3608" width="10.28515625" style="1" customWidth="1"/>
    <col min="3609" max="3609" width="14.42578125" style="1" bestFit="1" customWidth="1"/>
    <col min="3610" max="3840" width="8.7109375" style="1"/>
    <col min="3841" max="3841" width="2.5703125" style="1" customWidth="1"/>
    <col min="3842" max="3842" width="22.28515625" style="1" customWidth="1"/>
    <col min="3843" max="3843" width="10.42578125" style="1" customWidth="1"/>
    <col min="3844" max="3844" width="9.85546875" style="1" customWidth="1"/>
    <col min="3845" max="3845" width="9.5703125" style="1" customWidth="1"/>
    <col min="3846" max="3846" width="7.28515625" style="1" bestFit="1" customWidth="1"/>
    <col min="3847" max="3847" width="11.85546875" style="1" customWidth="1"/>
    <col min="3848" max="3849" width="9.42578125" style="1" bestFit="1" customWidth="1"/>
    <col min="3850" max="3850" width="8.85546875" style="1" bestFit="1" customWidth="1"/>
    <col min="3851" max="3851" width="10.42578125" style="1" customWidth="1"/>
    <col min="3852" max="3852" width="11.28515625" style="1" bestFit="1" customWidth="1"/>
    <col min="3853" max="3853" width="12.28515625" style="1" bestFit="1" customWidth="1"/>
    <col min="3854" max="3854" width="13.85546875" style="1" bestFit="1" customWidth="1"/>
    <col min="3855" max="3855" width="8.7109375" style="1"/>
    <col min="3856" max="3856" width="9.5703125" style="1" bestFit="1" customWidth="1"/>
    <col min="3857" max="3857" width="10.28515625" style="1" bestFit="1" customWidth="1"/>
    <col min="3858" max="3858" width="11.28515625" style="1" bestFit="1" customWidth="1"/>
    <col min="3859" max="3859" width="12.7109375" style="1" bestFit="1" customWidth="1"/>
    <col min="3860" max="3862" width="8.7109375" style="1"/>
    <col min="3863" max="3863" width="11.28515625" style="1" bestFit="1" customWidth="1"/>
    <col min="3864" max="3864" width="10.28515625" style="1" customWidth="1"/>
    <col min="3865" max="3865" width="14.42578125" style="1" bestFit="1" customWidth="1"/>
    <col min="3866" max="4096" width="8.7109375" style="1"/>
    <col min="4097" max="4097" width="2.5703125" style="1" customWidth="1"/>
    <col min="4098" max="4098" width="22.28515625" style="1" customWidth="1"/>
    <col min="4099" max="4099" width="10.42578125" style="1" customWidth="1"/>
    <col min="4100" max="4100" width="9.85546875" style="1" customWidth="1"/>
    <col min="4101" max="4101" width="9.5703125" style="1" customWidth="1"/>
    <col min="4102" max="4102" width="7.28515625" style="1" bestFit="1" customWidth="1"/>
    <col min="4103" max="4103" width="11.85546875" style="1" customWidth="1"/>
    <col min="4104" max="4105" width="9.42578125" style="1" bestFit="1" customWidth="1"/>
    <col min="4106" max="4106" width="8.85546875" style="1" bestFit="1" customWidth="1"/>
    <col min="4107" max="4107" width="10.42578125" style="1" customWidth="1"/>
    <col min="4108" max="4108" width="11.28515625" style="1" bestFit="1" customWidth="1"/>
    <col min="4109" max="4109" width="12.28515625" style="1" bestFit="1" customWidth="1"/>
    <col min="4110" max="4110" width="13.85546875" style="1" bestFit="1" customWidth="1"/>
    <col min="4111" max="4111" width="8.7109375" style="1"/>
    <col min="4112" max="4112" width="9.5703125" style="1" bestFit="1" customWidth="1"/>
    <col min="4113" max="4113" width="10.28515625" style="1" bestFit="1" customWidth="1"/>
    <col min="4114" max="4114" width="11.28515625" style="1" bestFit="1" customWidth="1"/>
    <col min="4115" max="4115" width="12.7109375" style="1" bestFit="1" customWidth="1"/>
    <col min="4116" max="4118" width="8.7109375" style="1"/>
    <col min="4119" max="4119" width="11.28515625" style="1" bestFit="1" customWidth="1"/>
    <col min="4120" max="4120" width="10.28515625" style="1" customWidth="1"/>
    <col min="4121" max="4121" width="14.42578125" style="1" bestFit="1" customWidth="1"/>
    <col min="4122" max="4352" width="8.7109375" style="1"/>
    <col min="4353" max="4353" width="2.5703125" style="1" customWidth="1"/>
    <col min="4354" max="4354" width="22.28515625" style="1" customWidth="1"/>
    <col min="4355" max="4355" width="10.42578125" style="1" customWidth="1"/>
    <col min="4356" max="4356" width="9.85546875" style="1" customWidth="1"/>
    <col min="4357" max="4357" width="9.5703125" style="1" customWidth="1"/>
    <col min="4358" max="4358" width="7.28515625" style="1" bestFit="1" customWidth="1"/>
    <col min="4359" max="4359" width="11.85546875" style="1" customWidth="1"/>
    <col min="4360" max="4361" width="9.42578125" style="1" bestFit="1" customWidth="1"/>
    <col min="4362" max="4362" width="8.85546875" style="1" bestFit="1" customWidth="1"/>
    <col min="4363" max="4363" width="10.42578125" style="1" customWidth="1"/>
    <col min="4364" max="4364" width="11.28515625" style="1" bestFit="1" customWidth="1"/>
    <col min="4365" max="4365" width="12.28515625" style="1" bestFit="1" customWidth="1"/>
    <col min="4366" max="4366" width="13.85546875" style="1" bestFit="1" customWidth="1"/>
    <col min="4367" max="4367" width="8.7109375" style="1"/>
    <col min="4368" max="4368" width="9.5703125" style="1" bestFit="1" customWidth="1"/>
    <col min="4369" max="4369" width="10.28515625" style="1" bestFit="1" customWidth="1"/>
    <col min="4370" max="4370" width="11.28515625" style="1" bestFit="1" customWidth="1"/>
    <col min="4371" max="4371" width="12.7109375" style="1" bestFit="1" customWidth="1"/>
    <col min="4372" max="4374" width="8.7109375" style="1"/>
    <col min="4375" max="4375" width="11.28515625" style="1" bestFit="1" customWidth="1"/>
    <col min="4376" max="4376" width="10.28515625" style="1" customWidth="1"/>
    <col min="4377" max="4377" width="14.42578125" style="1" bestFit="1" customWidth="1"/>
    <col min="4378" max="4608" width="8.7109375" style="1"/>
    <col min="4609" max="4609" width="2.5703125" style="1" customWidth="1"/>
    <col min="4610" max="4610" width="22.28515625" style="1" customWidth="1"/>
    <col min="4611" max="4611" width="10.42578125" style="1" customWidth="1"/>
    <col min="4612" max="4612" width="9.85546875" style="1" customWidth="1"/>
    <col min="4613" max="4613" width="9.5703125" style="1" customWidth="1"/>
    <col min="4614" max="4614" width="7.28515625" style="1" bestFit="1" customWidth="1"/>
    <col min="4615" max="4615" width="11.85546875" style="1" customWidth="1"/>
    <col min="4616" max="4617" width="9.42578125" style="1" bestFit="1" customWidth="1"/>
    <col min="4618" max="4618" width="8.85546875" style="1" bestFit="1" customWidth="1"/>
    <col min="4619" max="4619" width="10.42578125" style="1" customWidth="1"/>
    <col min="4620" max="4620" width="11.28515625" style="1" bestFit="1" customWidth="1"/>
    <col min="4621" max="4621" width="12.28515625" style="1" bestFit="1" customWidth="1"/>
    <col min="4622" max="4622" width="13.85546875" style="1" bestFit="1" customWidth="1"/>
    <col min="4623" max="4623" width="8.7109375" style="1"/>
    <col min="4624" max="4624" width="9.5703125" style="1" bestFit="1" customWidth="1"/>
    <col min="4625" max="4625" width="10.28515625" style="1" bestFit="1" customWidth="1"/>
    <col min="4626" max="4626" width="11.28515625" style="1" bestFit="1" customWidth="1"/>
    <col min="4627" max="4627" width="12.7109375" style="1" bestFit="1" customWidth="1"/>
    <col min="4628" max="4630" width="8.7109375" style="1"/>
    <col min="4631" max="4631" width="11.28515625" style="1" bestFit="1" customWidth="1"/>
    <col min="4632" max="4632" width="10.28515625" style="1" customWidth="1"/>
    <col min="4633" max="4633" width="14.42578125" style="1" bestFit="1" customWidth="1"/>
    <col min="4634" max="4864" width="8.7109375" style="1"/>
    <col min="4865" max="4865" width="2.5703125" style="1" customWidth="1"/>
    <col min="4866" max="4866" width="22.28515625" style="1" customWidth="1"/>
    <col min="4867" max="4867" width="10.42578125" style="1" customWidth="1"/>
    <col min="4868" max="4868" width="9.85546875" style="1" customWidth="1"/>
    <col min="4869" max="4869" width="9.5703125" style="1" customWidth="1"/>
    <col min="4870" max="4870" width="7.28515625" style="1" bestFit="1" customWidth="1"/>
    <col min="4871" max="4871" width="11.85546875" style="1" customWidth="1"/>
    <col min="4872" max="4873" width="9.42578125" style="1" bestFit="1" customWidth="1"/>
    <col min="4874" max="4874" width="8.85546875" style="1" bestFit="1" customWidth="1"/>
    <col min="4875" max="4875" width="10.42578125" style="1" customWidth="1"/>
    <col min="4876" max="4876" width="11.28515625" style="1" bestFit="1" customWidth="1"/>
    <col min="4877" max="4877" width="12.28515625" style="1" bestFit="1" customWidth="1"/>
    <col min="4878" max="4878" width="13.85546875" style="1" bestFit="1" customWidth="1"/>
    <col min="4879" max="4879" width="8.7109375" style="1"/>
    <col min="4880" max="4880" width="9.5703125" style="1" bestFit="1" customWidth="1"/>
    <col min="4881" max="4881" width="10.28515625" style="1" bestFit="1" customWidth="1"/>
    <col min="4882" max="4882" width="11.28515625" style="1" bestFit="1" customWidth="1"/>
    <col min="4883" max="4883" width="12.7109375" style="1" bestFit="1" customWidth="1"/>
    <col min="4884" max="4886" width="8.7109375" style="1"/>
    <col min="4887" max="4887" width="11.28515625" style="1" bestFit="1" customWidth="1"/>
    <col min="4888" max="4888" width="10.28515625" style="1" customWidth="1"/>
    <col min="4889" max="4889" width="14.42578125" style="1" bestFit="1" customWidth="1"/>
    <col min="4890" max="5120" width="8.7109375" style="1"/>
    <col min="5121" max="5121" width="2.5703125" style="1" customWidth="1"/>
    <col min="5122" max="5122" width="22.28515625" style="1" customWidth="1"/>
    <col min="5123" max="5123" width="10.42578125" style="1" customWidth="1"/>
    <col min="5124" max="5124" width="9.85546875" style="1" customWidth="1"/>
    <col min="5125" max="5125" width="9.5703125" style="1" customWidth="1"/>
    <col min="5126" max="5126" width="7.28515625" style="1" bestFit="1" customWidth="1"/>
    <col min="5127" max="5127" width="11.85546875" style="1" customWidth="1"/>
    <col min="5128" max="5129" width="9.42578125" style="1" bestFit="1" customWidth="1"/>
    <col min="5130" max="5130" width="8.85546875" style="1" bestFit="1" customWidth="1"/>
    <col min="5131" max="5131" width="10.42578125" style="1" customWidth="1"/>
    <col min="5132" max="5132" width="11.28515625" style="1" bestFit="1" customWidth="1"/>
    <col min="5133" max="5133" width="12.28515625" style="1" bestFit="1" customWidth="1"/>
    <col min="5134" max="5134" width="13.85546875" style="1" bestFit="1" customWidth="1"/>
    <col min="5135" max="5135" width="8.7109375" style="1"/>
    <col min="5136" max="5136" width="9.5703125" style="1" bestFit="1" customWidth="1"/>
    <col min="5137" max="5137" width="10.28515625" style="1" bestFit="1" customWidth="1"/>
    <col min="5138" max="5138" width="11.28515625" style="1" bestFit="1" customWidth="1"/>
    <col min="5139" max="5139" width="12.7109375" style="1" bestFit="1" customWidth="1"/>
    <col min="5140" max="5142" width="8.7109375" style="1"/>
    <col min="5143" max="5143" width="11.28515625" style="1" bestFit="1" customWidth="1"/>
    <col min="5144" max="5144" width="10.28515625" style="1" customWidth="1"/>
    <col min="5145" max="5145" width="14.42578125" style="1" bestFit="1" customWidth="1"/>
    <col min="5146" max="5376" width="8.7109375" style="1"/>
    <col min="5377" max="5377" width="2.5703125" style="1" customWidth="1"/>
    <col min="5378" max="5378" width="22.28515625" style="1" customWidth="1"/>
    <col min="5379" max="5379" width="10.42578125" style="1" customWidth="1"/>
    <col min="5380" max="5380" width="9.85546875" style="1" customWidth="1"/>
    <col min="5381" max="5381" width="9.5703125" style="1" customWidth="1"/>
    <col min="5382" max="5382" width="7.28515625" style="1" bestFit="1" customWidth="1"/>
    <col min="5383" max="5383" width="11.85546875" style="1" customWidth="1"/>
    <col min="5384" max="5385" width="9.42578125" style="1" bestFit="1" customWidth="1"/>
    <col min="5386" max="5386" width="8.85546875" style="1" bestFit="1" customWidth="1"/>
    <col min="5387" max="5387" width="10.42578125" style="1" customWidth="1"/>
    <col min="5388" max="5388" width="11.28515625" style="1" bestFit="1" customWidth="1"/>
    <col min="5389" max="5389" width="12.28515625" style="1" bestFit="1" customWidth="1"/>
    <col min="5390" max="5390" width="13.85546875" style="1" bestFit="1" customWidth="1"/>
    <col min="5391" max="5391" width="8.7109375" style="1"/>
    <col min="5392" max="5392" width="9.5703125" style="1" bestFit="1" customWidth="1"/>
    <col min="5393" max="5393" width="10.28515625" style="1" bestFit="1" customWidth="1"/>
    <col min="5394" max="5394" width="11.28515625" style="1" bestFit="1" customWidth="1"/>
    <col min="5395" max="5395" width="12.7109375" style="1" bestFit="1" customWidth="1"/>
    <col min="5396" max="5398" width="8.7109375" style="1"/>
    <col min="5399" max="5399" width="11.28515625" style="1" bestFit="1" customWidth="1"/>
    <col min="5400" max="5400" width="10.28515625" style="1" customWidth="1"/>
    <col min="5401" max="5401" width="14.42578125" style="1" bestFit="1" customWidth="1"/>
    <col min="5402" max="5632" width="8.7109375" style="1"/>
    <col min="5633" max="5633" width="2.5703125" style="1" customWidth="1"/>
    <col min="5634" max="5634" width="22.28515625" style="1" customWidth="1"/>
    <col min="5635" max="5635" width="10.42578125" style="1" customWidth="1"/>
    <col min="5636" max="5636" width="9.85546875" style="1" customWidth="1"/>
    <col min="5637" max="5637" width="9.5703125" style="1" customWidth="1"/>
    <col min="5638" max="5638" width="7.28515625" style="1" bestFit="1" customWidth="1"/>
    <col min="5639" max="5639" width="11.85546875" style="1" customWidth="1"/>
    <col min="5640" max="5641" width="9.42578125" style="1" bestFit="1" customWidth="1"/>
    <col min="5642" max="5642" width="8.85546875" style="1" bestFit="1" customWidth="1"/>
    <col min="5643" max="5643" width="10.42578125" style="1" customWidth="1"/>
    <col min="5644" max="5644" width="11.28515625" style="1" bestFit="1" customWidth="1"/>
    <col min="5645" max="5645" width="12.28515625" style="1" bestFit="1" customWidth="1"/>
    <col min="5646" max="5646" width="13.85546875" style="1" bestFit="1" customWidth="1"/>
    <col min="5647" max="5647" width="8.7109375" style="1"/>
    <col min="5648" max="5648" width="9.5703125" style="1" bestFit="1" customWidth="1"/>
    <col min="5649" max="5649" width="10.28515625" style="1" bestFit="1" customWidth="1"/>
    <col min="5650" max="5650" width="11.28515625" style="1" bestFit="1" customWidth="1"/>
    <col min="5651" max="5651" width="12.7109375" style="1" bestFit="1" customWidth="1"/>
    <col min="5652" max="5654" width="8.7109375" style="1"/>
    <col min="5655" max="5655" width="11.28515625" style="1" bestFit="1" customWidth="1"/>
    <col min="5656" max="5656" width="10.28515625" style="1" customWidth="1"/>
    <col min="5657" max="5657" width="14.42578125" style="1" bestFit="1" customWidth="1"/>
    <col min="5658" max="5888" width="8.7109375" style="1"/>
    <col min="5889" max="5889" width="2.5703125" style="1" customWidth="1"/>
    <col min="5890" max="5890" width="22.28515625" style="1" customWidth="1"/>
    <col min="5891" max="5891" width="10.42578125" style="1" customWidth="1"/>
    <col min="5892" max="5892" width="9.85546875" style="1" customWidth="1"/>
    <col min="5893" max="5893" width="9.5703125" style="1" customWidth="1"/>
    <col min="5894" max="5894" width="7.28515625" style="1" bestFit="1" customWidth="1"/>
    <col min="5895" max="5895" width="11.85546875" style="1" customWidth="1"/>
    <col min="5896" max="5897" width="9.42578125" style="1" bestFit="1" customWidth="1"/>
    <col min="5898" max="5898" width="8.85546875" style="1" bestFit="1" customWidth="1"/>
    <col min="5899" max="5899" width="10.42578125" style="1" customWidth="1"/>
    <col min="5900" max="5900" width="11.28515625" style="1" bestFit="1" customWidth="1"/>
    <col min="5901" max="5901" width="12.28515625" style="1" bestFit="1" customWidth="1"/>
    <col min="5902" max="5902" width="13.85546875" style="1" bestFit="1" customWidth="1"/>
    <col min="5903" max="5903" width="8.7109375" style="1"/>
    <col min="5904" max="5904" width="9.5703125" style="1" bestFit="1" customWidth="1"/>
    <col min="5905" max="5905" width="10.28515625" style="1" bestFit="1" customWidth="1"/>
    <col min="5906" max="5906" width="11.28515625" style="1" bestFit="1" customWidth="1"/>
    <col min="5907" max="5907" width="12.7109375" style="1" bestFit="1" customWidth="1"/>
    <col min="5908" max="5910" width="8.7109375" style="1"/>
    <col min="5911" max="5911" width="11.28515625" style="1" bestFit="1" customWidth="1"/>
    <col min="5912" max="5912" width="10.28515625" style="1" customWidth="1"/>
    <col min="5913" max="5913" width="14.42578125" style="1" bestFit="1" customWidth="1"/>
    <col min="5914" max="6144" width="8.7109375" style="1"/>
    <col min="6145" max="6145" width="2.5703125" style="1" customWidth="1"/>
    <col min="6146" max="6146" width="22.28515625" style="1" customWidth="1"/>
    <col min="6147" max="6147" width="10.42578125" style="1" customWidth="1"/>
    <col min="6148" max="6148" width="9.85546875" style="1" customWidth="1"/>
    <col min="6149" max="6149" width="9.5703125" style="1" customWidth="1"/>
    <col min="6150" max="6150" width="7.28515625" style="1" bestFit="1" customWidth="1"/>
    <col min="6151" max="6151" width="11.85546875" style="1" customWidth="1"/>
    <col min="6152" max="6153" width="9.42578125" style="1" bestFit="1" customWidth="1"/>
    <col min="6154" max="6154" width="8.85546875" style="1" bestFit="1" customWidth="1"/>
    <col min="6155" max="6155" width="10.42578125" style="1" customWidth="1"/>
    <col min="6156" max="6156" width="11.28515625" style="1" bestFit="1" customWidth="1"/>
    <col min="6157" max="6157" width="12.28515625" style="1" bestFit="1" customWidth="1"/>
    <col min="6158" max="6158" width="13.85546875" style="1" bestFit="1" customWidth="1"/>
    <col min="6159" max="6159" width="8.7109375" style="1"/>
    <col min="6160" max="6160" width="9.5703125" style="1" bestFit="1" customWidth="1"/>
    <col min="6161" max="6161" width="10.28515625" style="1" bestFit="1" customWidth="1"/>
    <col min="6162" max="6162" width="11.28515625" style="1" bestFit="1" customWidth="1"/>
    <col min="6163" max="6163" width="12.7109375" style="1" bestFit="1" customWidth="1"/>
    <col min="6164" max="6166" width="8.7109375" style="1"/>
    <col min="6167" max="6167" width="11.28515625" style="1" bestFit="1" customWidth="1"/>
    <col min="6168" max="6168" width="10.28515625" style="1" customWidth="1"/>
    <col min="6169" max="6169" width="14.42578125" style="1" bestFit="1" customWidth="1"/>
    <col min="6170" max="6400" width="8.7109375" style="1"/>
    <col min="6401" max="6401" width="2.5703125" style="1" customWidth="1"/>
    <col min="6402" max="6402" width="22.28515625" style="1" customWidth="1"/>
    <col min="6403" max="6403" width="10.42578125" style="1" customWidth="1"/>
    <col min="6404" max="6404" width="9.85546875" style="1" customWidth="1"/>
    <col min="6405" max="6405" width="9.5703125" style="1" customWidth="1"/>
    <col min="6406" max="6406" width="7.28515625" style="1" bestFit="1" customWidth="1"/>
    <col min="6407" max="6407" width="11.85546875" style="1" customWidth="1"/>
    <col min="6408" max="6409" width="9.42578125" style="1" bestFit="1" customWidth="1"/>
    <col min="6410" max="6410" width="8.85546875" style="1" bestFit="1" customWidth="1"/>
    <col min="6411" max="6411" width="10.42578125" style="1" customWidth="1"/>
    <col min="6412" max="6412" width="11.28515625" style="1" bestFit="1" customWidth="1"/>
    <col min="6413" max="6413" width="12.28515625" style="1" bestFit="1" customWidth="1"/>
    <col min="6414" max="6414" width="13.85546875" style="1" bestFit="1" customWidth="1"/>
    <col min="6415" max="6415" width="8.7109375" style="1"/>
    <col min="6416" max="6416" width="9.5703125" style="1" bestFit="1" customWidth="1"/>
    <col min="6417" max="6417" width="10.28515625" style="1" bestFit="1" customWidth="1"/>
    <col min="6418" max="6418" width="11.28515625" style="1" bestFit="1" customWidth="1"/>
    <col min="6419" max="6419" width="12.7109375" style="1" bestFit="1" customWidth="1"/>
    <col min="6420" max="6422" width="8.7109375" style="1"/>
    <col min="6423" max="6423" width="11.28515625" style="1" bestFit="1" customWidth="1"/>
    <col min="6424" max="6424" width="10.28515625" style="1" customWidth="1"/>
    <col min="6425" max="6425" width="14.42578125" style="1" bestFit="1" customWidth="1"/>
    <col min="6426" max="6656" width="8.7109375" style="1"/>
    <col min="6657" max="6657" width="2.5703125" style="1" customWidth="1"/>
    <col min="6658" max="6658" width="22.28515625" style="1" customWidth="1"/>
    <col min="6659" max="6659" width="10.42578125" style="1" customWidth="1"/>
    <col min="6660" max="6660" width="9.85546875" style="1" customWidth="1"/>
    <col min="6661" max="6661" width="9.5703125" style="1" customWidth="1"/>
    <col min="6662" max="6662" width="7.28515625" style="1" bestFit="1" customWidth="1"/>
    <col min="6663" max="6663" width="11.85546875" style="1" customWidth="1"/>
    <col min="6664" max="6665" width="9.42578125" style="1" bestFit="1" customWidth="1"/>
    <col min="6666" max="6666" width="8.85546875" style="1" bestFit="1" customWidth="1"/>
    <col min="6667" max="6667" width="10.42578125" style="1" customWidth="1"/>
    <col min="6668" max="6668" width="11.28515625" style="1" bestFit="1" customWidth="1"/>
    <col min="6669" max="6669" width="12.28515625" style="1" bestFit="1" customWidth="1"/>
    <col min="6670" max="6670" width="13.85546875" style="1" bestFit="1" customWidth="1"/>
    <col min="6671" max="6671" width="8.7109375" style="1"/>
    <col min="6672" max="6672" width="9.5703125" style="1" bestFit="1" customWidth="1"/>
    <col min="6673" max="6673" width="10.28515625" style="1" bestFit="1" customWidth="1"/>
    <col min="6674" max="6674" width="11.28515625" style="1" bestFit="1" customWidth="1"/>
    <col min="6675" max="6675" width="12.7109375" style="1" bestFit="1" customWidth="1"/>
    <col min="6676" max="6678" width="8.7109375" style="1"/>
    <col min="6679" max="6679" width="11.28515625" style="1" bestFit="1" customWidth="1"/>
    <col min="6680" max="6680" width="10.28515625" style="1" customWidth="1"/>
    <col min="6681" max="6681" width="14.42578125" style="1" bestFit="1" customWidth="1"/>
    <col min="6682" max="6912" width="8.7109375" style="1"/>
    <col min="6913" max="6913" width="2.5703125" style="1" customWidth="1"/>
    <col min="6914" max="6914" width="22.28515625" style="1" customWidth="1"/>
    <col min="6915" max="6915" width="10.42578125" style="1" customWidth="1"/>
    <col min="6916" max="6916" width="9.85546875" style="1" customWidth="1"/>
    <col min="6917" max="6917" width="9.5703125" style="1" customWidth="1"/>
    <col min="6918" max="6918" width="7.28515625" style="1" bestFit="1" customWidth="1"/>
    <col min="6919" max="6919" width="11.85546875" style="1" customWidth="1"/>
    <col min="6920" max="6921" width="9.42578125" style="1" bestFit="1" customWidth="1"/>
    <col min="6922" max="6922" width="8.85546875" style="1" bestFit="1" customWidth="1"/>
    <col min="6923" max="6923" width="10.42578125" style="1" customWidth="1"/>
    <col min="6924" max="6924" width="11.28515625" style="1" bestFit="1" customWidth="1"/>
    <col min="6925" max="6925" width="12.28515625" style="1" bestFit="1" customWidth="1"/>
    <col min="6926" max="6926" width="13.85546875" style="1" bestFit="1" customWidth="1"/>
    <col min="6927" max="6927" width="8.7109375" style="1"/>
    <col min="6928" max="6928" width="9.5703125" style="1" bestFit="1" customWidth="1"/>
    <col min="6929" max="6929" width="10.28515625" style="1" bestFit="1" customWidth="1"/>
    <col min="6930" max="6930" width="11.28515625" style="1" bestFit="1" customWidth="1"/>
    <col min="6931" max="6931" width="12.7109375" style="1" bestFit="1" customWidth="1"/>
    <col min="6932" max="6934" width="8.7109375" style="1"/>
    <col min="6935" max="6935" width="11.28515625" style="1" bestFit="1" customWidth="1"/>
    <col min="6936" max="6936" width="10.28515625" style="1" customWidth="1"/>
    <col min="6937" max="6937" width="14.42578125" style="1" bestFit="1" customWidth="1"/>
    <col min="6938" max="7168" width="8.7109375" style="1"/>
    <col min="7169" max="7169" width="2.5703125" style="1" customWidth="1"/>
    <col min="7170" max="7170" width="22.28515625" style="1" customWidth="1"/>
    <col min="7171" max="7171" width="10.42578125" style="1" customWidth="1"/>
    <col min="7172" max="7172" width="9.85546875" style="1" customWidth="1"/>
    <col min="7173" max="7173" width="9.5703125" style="1" customWidth="1"/>
    <col min="7174" max="7174" width="7.28515625" style="1" bestFit="1" customWidth="1"/>
    <col min="7175" max="7175" width="11.85546875" style="1" customWidth="1"/>
    <col min="7176" max="7177" width="9.42578125" style="1" bestFit="1" customWidth="1"/>
    <col min="7178" max="7178" width="8.85546875" style="1" bestFit="1" customWidth="1"/>
    <col min="7179" max="7179" width="10.42578125" style="1" customWidth="1"/>
    <col min="7180" max="7180" width="11.28515625" style="1" bestFit="1" customWidth="1"/>
    <col min="7181" max="7181" width="12.28515625" style="1" bestFit="1" customWidth="1"/>
    <col min="7182" max="7182" width="13.85546875" style="1" bestFit="1" customWidth="1"/>
    <col min="7183" max="7183" width="8.7109375" style="1"/>
    <col min="7184" max="7184" width="9.5703125" style="1" bestFit="1" customWidth="1"/>
    <col min="7185" max="7185" width="10.28515625" style="1" bestFit="1" customWidth="1"/>
    <col min="7186" max="7186" width="11.28515625" style="1" bestFit="1" customWidth="1"/>
    <col min="7187" max="7187" width="12.7109375" style="1" bestFit="1" customWidth="1"/>
    <col min="7188" max="7190" width="8.7109375" style="1"/>
    <col min="7191" max="7191" width="11.28515625" style="1" bestFit="1" customWidth="1"/>
    <col min="7192" max="7192" width="10.28515625" style="1" customWidth="1"/>
    <col min="7193" max="7193" width="14.42578125" style="1" bestFit="1" customWidth="1"/>
    <col min="7194" max="7424" width="8.7109375" style="1"/>
    <col min="7425" max="7425" width="2.5703125" style="1" customWidth="1"/>
    <col min="7426" max="7426" width="22.28515625" style="1" customWidth="1"/>
    <col min="7427" max="7427" width="10.42578125" style="1" customWidth="1"/>
    <col min="7428" max="7428" width="9.85546875" style="1" customWidth="1"/>
    <col min="7429" max="7429" width="9.5703125" style="1" customWidth="1"/>
    <col min="7430" max="7430" width="7.28515625" style="1" bestFit="1" customWidth="1"/>
    <col min="7431" max="7431" width="11.85546875" style="1" customWidth="1"/>
    <col min="7432" max="7433" width="9.42578125" style="1" bestFit="1" customWidth="1"/>
    <col min="7434" max="7434" width="8.85546875" style="1" bestFit="1" customWidth="1"/>
    <col min="7435" max="7435" width="10.42578125" style="1" customWidth="1"/>
    <col min="7436" max="7436" width="11.28515625" style="1" bestFit="1" customWidth="1"/>
    <col min="7437" max="7437" width="12.28515625" style="1" bestFit="1" customWidth="1"/>
    <col min="7438" max="7438" width="13.85546875" style="1" bestFit="1" customWidth="1"/>
    <col min="7439" max="7439" width="8.7109375" style="1"/>
    <col min="7440" max="7440" width="9.5703125" style="1" bestFit="1" customWidth="1"/>
    <col min="7441" max="7441" width="10.28515625" style="1" bestFit="1" customWidth="1"/>
    <col min="7442" max="7442" width="11.28515625" style="1" bestFit="1" customWidth="1"/>
    <col min="7443" max="7443" width="12.7109375" style="1" bestFit="1" customWidth="1"/>
    <col min="7444" max="7446" width="8.7109375" style="1"/>
    <col min="7447" max="7447" width="11.28515625" style="1" bestFit="1" customWidth="1"/>
    <col min="7448" max="7448" width="10.28515625" style="1" customWidth="1"/>
    <col min="7449" max="7449" width="14.42578125" style="1" bestFit="1" customWidth="1"/>
    <col min="7450" max="7680" width="8.7109375" style="1"/>
    <col min="7681" max="7681" width="2.5703125" style="1" customWidth="1"/>
    <col min="7682" max="7682" width="22.28515625" style="1" customWidth="1"/>
    <col min="7683" max="7683" width="10.42578125" style="1" customWidth="1"/>
    <col min="7684" max="7684" width="9.85546875" style="1" customWidth="1"/>
    <col min="7685" max="7685" width="9.5703125" style="1" customWidth="1"/>
    <col min="7686" max="7686" width="7.28515625" style="1" bestFit="1" customWidth="1"/>
    <col min="7687" max="7687" width="11.85546875" style="1" customWidth="1"/>
    <col min="7688" max="7689" width="9.42578125" style="1" bestFit="1" customWidth="1"/>
    <col min="7690" max="7690" width="8.85546875" style="1" bestFit="1" customWidth="1"/>
    <col min="7691" max="7691" width="10.42578125" style="1" customWidth="1"/>
    <col min="7692" max="7692" width="11.28515625" style="1" bestFit="1" customWidth="1"/>
    <col min="7693" max="7693" width="12.28515625" style="1" bestFit="1" customWidth="1"/>
    <col min="7694" max="7694" width="13.85546875" style="1" bestFit="1" customWidth="1"/>
    <col min="7695" max="7695" width="8.7109375" style="1"/>
    <col min="7696" max="7696" width="9.5703125" style="1" bestFit="1" customWidth="1"/>
    <col min="7697" max="7697" width="10.28515625" style="1" bestFit="1" customWidth="1"/>
    <col min="7698" max="7698" width="11.28515625" style="1" bestFit="1" customWidth="1"/>
    <col min="7699" max="7699" width="12.7109375" style="1" bestFit="1" customWidth="1"/>
    <col min="7700" max="7702" width="8.7109375" style="1"/>
    <col min="7703" max="7703" width="11.28515625" style="1" bestFit="1" customWidth="1"/>
    <col min="7704" max="7704" width="10.28515625" style="1" customWidth="1"/>
    <col min="7705" max="7705" width="14.42578125" style="1" bestFit="1" customWidth="1"/>
    <col min="7706" max="7936" width="8.7109375" style="1"/>
    <col min="7937" max="7937" width="2.5703125" style="1" customWidth="1"/>
    <col min="7938" max="7938" width="22.28515625" style="1" customWidth="1"/>
    <col min="7939" max="7939" width="10.42578125" style="1" customWidth="1"/>
    <col min="7940" max="7940" width="9.85546875" style="1" customWidth="1"/>
    <col min="7941" max="7941" width="9.5703125" style="1" customWidth="1"/>
    <col min="7942" max="7942" width="7.28515625" style="1" bestFit="1" customWidth="1"/>
    <col min="7943" max="7943" width="11.85546875" style="1" customWidth="1"/>
    <col min="7944" max="7945" width="9.42578125" style="1" bestFit="1" customWidth="1"/>
    <col min="7946" max="7946" width="8.85546875" style="1" bestFit="1" customWidth="1"/>
    <col min="7947" max="7947" width="10.42578125" style="1" customWidth="1"/>
    <col min="7948" max="7948" width="11.28515625" style="1" bestFit="1" customWidth="1"/>
    <col min="7949" max="7949" width="12.28515625" style="1" bestFit="1" customWidth="1"/>
    <col min="7950" max="7950" width="13.85546875" style="1" bestFit="1" customWidth="1"/>
    <col min="7951" max="7951" width="8.7109375" style="1"/>
    <col min="7952" max="7952" width="9.5703125" style="1" bestFit="1" customWidth="1"/>
    <col min="7953" max="7953" width="10.28515625" style="1" bestFit="1" customWidth="1"/>
    <col min="7954" max="7954" width="11.28515625" style="1" bestFit="1" customWidth="1"/>
    <col min="7955" max="7955" width="12.7109375" style="1" bestFit="1" customWidth="1"/>
    <col min="7956" max="7958" width="8.7109375" style="1"/>
    <col min="7959" max="7959" width="11.28515625" style="1" bestFit="1" customWidth="1"/>
    <col min="7960" max="7960" width="10.28515625" style="1" customWidth="1"/>
    <col min="7961" max="7961" width="14.42578125" style="1" bestFit="1" customWidth="1"/>
    <col min="7962" max="8192" width="8.7109375" style="1"/>
    <col min="8193" max="8193" width="2.5703125" style="1" customWidth="1"/>
    <col min="8194" max="8194" width="22.28515625" style="1" customWidth="1"/>
    <col min="8195" max="8195" width="10.42578125" style="1" customWidth="1"/>
    <col min="8196" max="8196" width="9.85546875" style="1" customWidth="1"/>
    <col min="8197" max="8197" width="9.5703125" style="1" customWidth="1"/>
    <col min="8198" max="8198" width="7.28515625" style="1" bestFit="1" customWidth="1"/>
    <col min="8199" max="8199" width="11.85546875" style="1" customWidth="1"/>
    <col min="8200" max="8201" width="9.42578125" style="1" bestFit="1" customWidth="1"/>
    <col min="8202" max="8202" width="8.85546875" style="1" bestFit="1" customWidth="1"/>
    <col min="8203" max="8203" width="10.42578125" style="1" customWidth="1"/>
    <col min="8204" max="8204" width="11.28515625" style="1" bestFit="1" customWidth="1"/>
    <col min="8205" max="8205" width="12.28515625" style="1" bestFit="1" customWidth="1"/>
    <col min="8206" max="8206" width="13.85546875" style="1" bestFit="1" customWidth="1"/>
    <col min="8207" max="8207" width="8.7109375" style="1"/>
    <col min="8208" max="8208" width="9.5703125" style="1" bestFit="1" customWidth="1"/>
    <col min="8209" max="8209" width="10.28515625" style="1" bestFit="1" customWidth="1"/>
    <col min="8210" max="8210" width="11.28515625" style="1" bestFit="1" customWidth="1"/>
    <col min="8211" max="8211" width="12.7109375" style="1" bestFit="1" customWidth="1"/>
    <col min="8212" max="8214" width="8.7109375" style="1"/>
    <col min="8215" max="8215" width="11.28515625" style="1" bestFit="1" customWidth="1"/>
    <col min="8216" max="8216" width="10.28515625" style="1" customWidth="1"/>
    <col min="8217" max="8217" width="14.42578125" style="1" bestFit="1" customWidth="1"/>
    <col min="8218" max="8448" width="8.7109375" style="1"/>
    <col min="8449" max="8449" width="2.5703125" style="1" customWidth="1"/>
    <col min="8450" max="8450" width="22.28515625" style="1" customWidth="1"/>
    <col min="8451" max="8451" width="10.42578125" style="1" customWidth="1"/>
    <col min="8452" max="8452" width="9.85546875" style="1" customWidth="1"/>
    <col min="8453" max="8453" width="9.5703125" style="1" customWidth="1"/>
    <col min="8454" max="8454" width="7.28515625" style="1" bestFit="1" customWidth="1"/>
    <col min="8455" max="8455" width="11.85546875" style="1" customWidth="1"/>
    <col min="8456" max="8457" width="9.42578125" style="1" bestFit="1" customWidth="1"/>
    <col min="8458" max="8458" width="8.85546875" style="1" bestFit="1" customWidth="1"/>
    <col min="8459" max="8459" width="10.42578125" style="1" customWidth="1"/>
    <col min="8460" max="8460" width="11.28515625" style="1" bestFit="1" customWidth="1"/>
    <col min="8461" max="8461" width="12.28515625" style="1" bestFit="1" customWidth="1"/>
    <col min="8462" max="8462" width="13.85546875" style="1" bestFit="1" customWidth="1"/>
    <col min="8463" max="8463" width="8.7109375" style="1"/>
    <col min="8464" max="8464" width="9.5703125" style="1" bestFit="1" customWidth="1"/>
    <col min="8465" max="8465" width="10.28515625" style="1" bestFit="1" customWidth="1"/>
    <col min="8466" max="8466" width="11.28515625" style="1" bestFit="1" customWidth="1"/>
    <col min="8467" max="8467" width="12.7109375" style="1" bestFit="1" customWidth="1"/>
    <col min="8468" max="8470" width="8.7109375" style="1"/>
    <col min="8471" max="8471" width="11.28515625" style="1" bestFit="1" customWidth="1"/>
    <col min="8472" max="8472" width="10.28515625" style="1" customWidth="1"/>
    <col min="8473" max="8473" width="14.42578125" style="1" bestFit="1" customWidth="1"/>
    <col min="8474" max="8704" width="8.7109375" style="1"/>
    <col min="8705" max="8705" width="2.5703125" style="1" customWidth="1"/>
    <col min="8706" max="8706" width="22.28515625" style="1" customWidth="1"/>
    <col min="8707" max="8707" width="10.42578125" style="1" customWidth="1"/>
    <col min="8708" max="8708" width="9.85546875" style="1" customWidth="1"/>
    <col min="8709" max="8709" width="9.5703125" style="1" customWidth="1"/>
    <col min="8710" max="8710" width="7.28515625" style="1" bestFit="1" customWidth="1"/>
    <col min="8711" max="8711" width="11.85546875" style="1" customWidth="1"/>
    <col min="8712" max="8713" width="9.42578125" style="1" bestFit="1" customWidth="1"/>
    <col min="8714" max="8714" width="8.85546875" style="1" bestFit="1" customWidth="1"/>
    <col min="8715" max="8715" width="10.42578125" style="1" customWidth="1"/>
    <col min="8716" max="8716" width="11.28515625" style="1" bestFit="1" customWidth="1"/>
    <col min="8717" max="8717" width="12.28515625" style="1" bestFit="1" customWidth="1"/>
    <col min="8718" max="8718" width="13.85546875" style="1" bestFit="1" customWidth="1"/>
    <col min="8719" max="8719" width="8.7109375" style="1"/>
    <col min="8720" max="8720" width="9.5703125" style="1" bestFit="1" customWidth="1"/>
    <col min="8721" max="8721" width="10.28515625" style="1" bestFit="1" customWidth="1"/>
    <col min="8722" max="8722" width="11.28515625" style="1" bestFit="1" customWidth="1"/>
    <col min="8723" max="8723" width="12.7109375" style="1" bestFit="1" customWidth="1"/>
    <col min="8724" max="8726" width="8.7109375" style="1"/>
    <col min="8727" max="8727" width="11.28515625" style="1" bestFit="1" customWidth="1"/>
    <col min="8728" max="8728" width="10.28515625" style="1" customWidth="1"/>
    <col min="8729" max="8729" width="14.42578125" style="1" bestFit="1" customWidth="1"/>
    <col min="8730" max="8960" width="8.7109375" style="1"/>
    <col min="8961" max="8961" width="2.5703125" style="1" customWidth="1"/>
    <col min="8962" max="8962" width="22.28515625" style="1" customWidth="1"/>
    <col min="8963" max="8963" width="10.42578125" style="1" customWidth="1"/>
    <col min="8964" max="8964" width="9.85546875" style="1" customWidth="1"/>
    <col min="8965" max="8965" width="9.5703125" style="1" customWidth="1"/>
    <col min="8966" max="8966" width="7.28515625" style="1" bestFit="1" customWidth="1"/>
    <col min="8967" max="8967" width="11.85546875" style="1" customWidth="1"/>
    <col min="8968" max="8969" width="9.42578125" style="1" bestFit="1" customWidth="1"/>
    <col min="8970" max="8970" width="8.85546875" style="1" bestFit="1" customWidth="1"/>
    <col min="8971" max="8971" width="10.42578125" style="1" customWidth="1"/>
    <col min="8972" max="8972" width="11.28515625" style="1" bestFit="1" customWidth="1"/>
    <col min="8973" max="8973" width="12.28515625" style="1" bestFit="1" customWidth="1"/>
    <col min="8974" max="8974" width="13.85546875" style="1" bestFit="1" customWidth="1"/>
    <col min="8975" max="8975" width="8.7109375" style="1"/>
    <col min="8976" max="8976" width="9.5703125" style="1" bestFit="1" customWidth="1"/>
    <col min="8977" max="8977" width="10.28515625" style="1" bestFit="1" customWidth="1"/>
    <col min="8978" max="8978" width="11.28515625" style="1" bestFit="1" customWidth="1"/>
    <col min="8979" max="8979" width="12.7109375" style="1" bestFit="1" customWidth="1"/>
    <col min="8980" max="8982" width="8.7109375" style="1"/>
    <col min="8983" max="8983" width="11.28515625" style="1" bestFit="1" customWidth="1"/>
    <col min="8984" max="8984" width="10.28515625" style="1" customWidth="1"/>
    <col min="8985" max="8985" width="14.42578125" style="1" bestFit="1" customWidth="1"/>
    <col min="8986" max="9216" width="8.7109375" style="1"/>
    <col min="9217" max="9217" width="2.5703125" style="1" customWidth="1"/>
    <col min="9218" max="9218" width="22.28515625" style="1" customWidth="1"/>
    <col min="9219" max="9219" width="10.42578125" style="1" customWidth="1"/>
    <col min="9220" max="9220" width="9.85546875" style="1" customWidth="1"/>
    <col min="9221" max="9221" width="9.5703125" style="1" customWidth="1"/>
    <col min="9222" max="9222" width="7.28515625" style="1" bestFit="1" customWidth="1"/>
    <col min="9223" max="9223" width="11.85546875" style="1" customWidth="1"/>
    <col min="9224" max="9225" width="9.42578125" style="1" bestFit="1" customWidth="1"/>
    <col min="9226" max="9226" width="8.85546875" style="1" bestFit="1" customWidth="1"/>
    <col min="9227" max="9227" width="10.42578125" style="1" customWidth="1"/>
    <col min="9228" max="9228" width="11.28515625" style="1" bestFit="1" customWidth="1"/>
    <col min="9229" max="9229" width="12.28515625" style="1" bestFit="1" customWidth="1"/>
    <col min="9230" max="9230" width="13.85546875" style="1" bestFit="1" customWidth="1"/>
    <col min="9231" max="9231" width="8.7109375" style="1"/>
    <col min="9232" max="9232" width="9.5703125" style="1" bestFit="1" customWidth="1"/>
    <col min="9233" max="9233" width="10.28515625" style="1" bestFit="1" customWidth="1"/>
    <col min="9234" max="9234" width="11.28515625" style="1" bestFit="1" customWidth="1"/>
    <col min="9235" max="9235" width="12.7109375" style="1" bestFit="1" customWidth="1"/>
    <col min="9236" max="9238" width="8.7109375" style="1"/>
    <col min="9239" max="9239" width="11.28515625" style="1" bestFit="1" customWidth="1"/>
    <col min="9240" max="9240" width="10.28515625" style="1" customWidth="1"/>
    <col min="9241" max="9241" width="14.42578125" style="1" bestFit="1" customWidth="1"/>
    <col min="9242" max="9472" width="8.7109375" style="1"/>
    <col min="9473" max="9473" width="2.5703125" style="1" customWidth="1"/>
    <col min="9474" max="9474" width="22.28515625" style="1" customWidth="1"/>
    <col min="9475" max="9475" width="10.42578125" style="1" customWidth="1"/>
    <col min="9476" max="9476" width="9.85546875" style="1" customWidth="1"/>
    <col min="9477" max="9477" width="9.5703125" style="1" customWidth="1"/>
    <col min="9478" max="9478" width="7.28515625" style="1" bestFit="1" customWidth="1"/>
    <col min="9479" max="9479" width="11.85546875" style="1" customWidth="1"/>
    <col min="9480" max="9481" width="9.42578125" style="1" bestFit="1" customWidth="1"/>
    <col min="9482" max="9482" width="8.85546875" style="1" bestFit="1" customWidth="1"/>
    <col min="9483" max="9483" width="10.42578125" style="1" customWidth="1"/>
    <col min="9484" max="9484" width="11.28515625" style="1" bestFit="1" customWidth="1"/>
    <col min="9485" max="9485" width="12.28515625" style="1" bestFit="1" customWidth="1"/>
    <col min="9486" max="9486" width="13.85546875" style="1" bestFit="1" customWidth="1"/>
    <col min="9487" max="9487" width="8.7109375" style="1"/>
    <col min="9488" max="9488" width="9.5703125" style="1" bestFit="1" customWidth="1"/>
    <col min="9489" max="9489" width="10.28515625" style="1" bestFit="1" customWidth="1"/>
    <col min="9490" max="9490" width="11.28515625" style="1" bestFit="1" customWidth="1"/>
    <col min="9491" max="9491" width="12.7109375" style="1" bestFit="1" customWidth="1"/>
    <col min="9492" max="9494" width="8.7109375" style="1"/>
    <col min="9495" max="9495" width="11.28515625" style="1" bestFit="1" customWidth="1"/>
    <col min="9496" max="9496" width="10.28515625" style="1" customWidth="1"/>
    <col min="9497" max="9497" width="14.42578125" style="1" bestFit="1" customWidth="1"/>
    <col min="9498" max="9728" width="8.7109375" style="1"/>
    <col min="9729" max="9729" width="2.5703125" style="1" customWidth="1"/>
    <col min="9730" max="9730" width="22.28515625" style="1" customWidth="1"/>
    <col min="9731" max="9731" width="10.42578125" style="1" customWidth="1"/>
    <col min="9732" max="9732" width="9.85546875" style="1" customWidth="1"/>
    <col min="9733" max="9733" width="9.5703125" style="1" customWidth="1"/>
    <col min="9734" max="9734" width="7.28515625" style="1" bestFit="1" customWidth="1"/>
    <col min="9735" max="9735" width="11.85546875" style="1" customWidth="1"/>
    <col min="9736" max="9737" width="9.42578125" style="1" bestFit="1" customWidth="1"/>
    <col min="9738" max="9738" width="8.85546875" style="1" bestFit="1" customWidth="1"/>
    <col min="9739" max="9739" width="10.42578125" style="1" customWidth="1"/>
    <col min="9740" max="9740" width="11.28515625" style="1" bestFit="1" customWidth="1"/>
    <col min="9741" max="9741" width="12.28515625" style="1" bestFit="1" customWidth="1"/>
    <col min="9742" max="9742" width="13.85546875" style="1" bestFit="1" customWidth="1"/>
    <col min="9743" max="9743" width="8.7109375" style="1"/>
    <col min="9744" max="9744" width="9.5703125" style="1" bestFit="1" customWidth="1"/>
    <col min="9745" max="9745" width="10.28515625" style="1" bestFit="1" customWidth="1"/>
    <col min="9746" max="9746" width="11.28515625" style="1" bestFit="1" customWidth="1"/>
    <col min="9747" max="9747" width="12.7109375" style="1" bestFit="1" customWidth="1"/>
    <col min="9748" max="9750" width="8.7109375" style="1"/>
    <col min="9751" max="9751" width="11.28515625" style="1" bestFit="1" customWidth="1"/>
    <col min="9752" max="9752" width="10.28515625" style="1" customWidth="1"/>
    <col min="9753" max="9753" width="14.42578125" style="1" bestFit="1" customWidth="1"/>
    <col min="9754" max="9984" width="8.7109375" style="1"/>
    <col min="9985" max="9985" width="2.5703125" style="1" customWidth="1"/>
    <col min="9986" max="9986" width="22.28515625" style="1" customWidth="1"/>
    <col min="9987" max="9987" width="10.42578125" style="1" customWidth="1"/>
    <col min="9988" max="9988" width="9.85546875" style="1" customWidth="1"/>
    <col min="9989" max="9989" width="9.5703125" style="1" customWidth="1"/>
    <col min="9990" max="9990" width="7.28515625" style="1" bestFit="1" customWidth="1"/>
    <col min="9991" max="9991" width="11.85546875" style="1" customWidth="1"/>
    <col min="9992" max="9993" width="9.42578125" style="1" bestFit="1" customWidth="1"/>
    <col min="9994" max="9994" width="8.85546875" style="1" bestFit="1" customWidth="1"/>
    <col min="9995" max="9995" width="10.42578125" style="1" customWidth="1"/>
    <col min="9996" max="9996" width="11.28515625" style="1" bestFit="1" customWidth="1"/>
    <col min="9997" max="9997" width="12.28515625" style="1" bestFit="1" customWidth="1"/>
    <col min="9998" max="9998" width="13.85546875" style="1" bestFit="1" customWidth="1"/>
    <col min="9999" max="9999" width="8.7109375" style="1"/>
    <col min="10000" max="10000" width="9.5703125" style="1" bestFit="1" customWidth="1"/>
    <col min="10001" max="10001" width="10.28515625" style="1" bestFit="1" customWidth="1"/>
    <col min="10002" max="10002" width="11.28515625" style="1" bestFit="1" customWidth="1"/>
    <col min="10003" max="10003" width="12.7109375" style="1" bestFit="1" customWidth="1"/>
    <col min="10004" max="10006" width="8.7109375" style="1"/>
    <col min="10007" max="10007" width="11.28515625" style="1" bestFit="1" customWidth="1"/>
    <col min="10008" max="10008" width="10.28515625" style="1" customWidth="1"/>
    <col min="10009" max="10009" width="14.42578125" style="1" bestFit="1" customWidth="1"/>
    <col min="10010" max="10240" width="8.7109375" style="1"/>
    <col min="10241" max="10241" width="2.5703125" style="1" customWidth="1"/>
    <col min="10242" max="10242" width="22.28515625" style="1" customWidth="1"/>
    <col min="10243" max="10243" width="10.42578125" style="1" customWidth="1"/>
    <col min="10244" max="10244" width="9.85546875" style="1" customWidth="1"/>
    <col min="10245" max="10245" width="9.5703125" style="1" customWidth="1"/>
    <col min="10246" max="10246" width="7.28515625" style="1" bestFit="1" customWidth="1"/>
    <col min="10247" max="10247" width="11.85546875" style="1" customWidth="1"/>
    <col min="10248" max="10249" width="9.42578125" style="1" bestFit="1" customWidth="1"/>
    <col min="10250" max="10250" width="8.85546875" style="1" bestFit="1" customWidth="1"/>
    <col min="10251" max="10251" width="10.42578125" style="1" customWidth="1"/>
    <col min="10252" max="10252" width="11.28515625" style="1" bestFit="1" customWidth="1"/>
    <col min="10253" max="10253" width="12.28515625" style="1" bestFit="1" customWidth="1"/>
    <col min="10254" max="10254" width="13.85546875" style="1" bestFit="1" customWidth="1"/>
    <col min="10255" max="10255" width="8.7109375" style="1"/>
    <col min="10256" max="10256" width="9.5703125" style="1" bestFit="1" customWidth="1"/>
    <col min="10257" max="10257" width="10.28515625" style="1" bestFit="1" customWidth="1"/>
    <col min="10258" max="10258" width="11.28515625" style="1" bestFit="1" customWidth="1"/>
    <col min="10259" max="10259" width="12.7109375" style="1" bestFit="1" customWidth="1"/>
    <col min="10260" max="10262" width="8.7109375" style="1"/>
    <col min="10263" max="10263" width="11.28515625" style="1" bestFit="1" customWidth="1"/>
    <col min="10264" max="10264" width="10.28515625" style="1" customWidth="1"/>
    <col min="10265" max="10265" width="14.42578125" style="1" bestFit="1" customWidth="1"/>
    <col min="10266" max="10496" width="8.7109375" style="1"/>
    <col min="10497" max="10497" width="2.5703125" style="1" customWidth="1"/>
    <col min="10498" max="10498" width="22.28515625" style="1" customWidth="1"/>
    <col min="10499" max="10499" width="10.42578125" style="1" customWidth="1"/>
    <col min="10500" max="10500" width="9.85546875" style="1" customWidth="1"/>
    <col min="10501" max="10501" width="9.5703125" style="1" customWidth="1"/>
    <col min="10502" max="10502" width="7.28515625" style="1" bestFit="1" customWidth="1"/>
    <col min="10503" max="10503" width="11.85546875" style="1" customWidth="1"/>
    <col min="10504" max="10505" width="9.42578125" style="1" bestFit="1" customWidth="1"/>
    <col min="10506" max="10506" width="8.85546875" style="1" bestFit="1" customWidth="1"/>
    <col min="10507" max="10507" width="10.42578125" style="1" customWidth="1"/>
    <col min="10508" max="10508" width="11.28515625" style="1" bestFit="1" customWidth="1"/>
    <col min="10509" max="10509" width="12.28515625" style="1" bestFit="1" customWidth="1"/>
    <col min="10510" max="10510" width="13.85546875" style="1" bestFit="1" customWidth="1"/>
    <col min="10511" max="10511" width="8.7109375" style="1"/>
    <col min="10512" max="10512" width="9.5703125" style="1" bestFit="1" customWidth="1"/>
    <col min="10513" max="10513" width="10.28515625" style="1" bestFit="1" customWidth="1"/>
    <col min="10514" max="10514" width="11.28515625" style="1" bestFit="1" customWidth="1"/>
    <col min="10515" max="10515" width="12.7109375" style="1" bestFit="1" customWidth="1"/>
    <col min="10516" max="10518" width="8.7109375" style="1"/>
    <col min="10519" max="10519" width="11.28515625" style="1" bestFit="1" customWidth="1"/>
    <col min="10520" max="10520" width="10.28515625" style="1" customWidth="1"/>
    <col min="10521" max="10521" width="14.42578125" style="1" bestFit="1" customWidth="1"/>
    <col min="10522" max="10752" width="8.7109375" style="1"/>
    <col min="10753" max="10753" width="2.5703125" style="1" customWidth="1"/>
    <col min="10754" max="10754" width="22.28515625" style="1" customWidth="1"/>
    <col min="10755" max="10755" width="10.42578125" style="1" customWidth="1"/>
    <col min="10756" max="10756" width="9.85546875" style="1" customWidth="1"/>
    <col min="10757" max="10757" width="9.5703125" style="1" customWidth="1"/>
    <col min="10758" max="10758" width="7.28515625" style="1" bestFit="1" customWidth="1"/>
    <col min="10759" max="10759" width="11.85546875" style="1" customWidth="1"/>
    <col min="10760" max="10761" width="9.42578125" style="1" bestFit="1" customWidth="1"/>
    <col min="10762" max="10762" width="8.85546875" style="1" bestFit="1" customWidth="1"/>
    <col min="10763" max="10763" width="10.42578125" style="1" customWidth="1"/>
    <col min="10764" max="10764" width="11.28515625" style="1" bestFit="1" customWidth="1"/>
    <col min="10765" max="10765" width="12.28515625" style="1" bestFit="1" customWidth="1"/>
    <col min="10766" max="10766" width="13.85546875" style="1" bestFit="1" customWidth="1"/>
    <col min="10767" max="10767" width="8.7109375" style="1"/>
    <col min="10768" max="10768" width="9.5703125" style="1" bestFit="1" customWidth="1"/>
    <col min="10769" max="10769" width="10.28515625" style="1" bestFit="1" customWidth="1"/>
    <col min="10770" max="10770" width="11.28515625" style="1" bestFit="1" customWidth="1"/>
    <col min="10771" max="10771" width="12.7109375" style="1" bestFit="1" customWidth="1"/>
    <col min="10772" max="10774" width="8.7109375" style="1"/>
    <col min="10775" max="10775" width="11.28515625" style="1" bestFit="1" customWidth="1"/>
    <col min="10776" max="10776" width="10.28515625" style="1" customWidth="1"/>
    <col min="10777" max="10777" width="14.42578125" style="1" bestFit="1" customWidth="1"/>
    <col min="10778" max="11008" width="8.7109375" style="1"/>
    <col min="11009" max="11009" width="2.5703125" style="1" customWidth="1"/>
    <col min="11010" max="11010" width="22.28515625" style="1" customWidth="1"/>
    <col min="11011" max="11011" width="10.42578125" style="1" customWidth="1"/>
    <col min="11012" max="11012" width="9.85546875" style="1" customWidth="1"/>
    <col min="11013" max="11013" width="9.5703125" style="1" customWidth="1"/>
    <col min="11014" max="11014" width="7.28515625" style="1" bestFit="1" customWidth="1"/>
    <col min="11015" max="11015" width="11.85546875" style="1" customWidth="1"/>
    <col min="11016" max="11017" width="9.42578125" style="1" bestFit="1" customWidth="1"/>
    <col min="11018" max="11018" width="8.85546875" style="1" bestFit="1" customWidth="1"/>
    <col min="11019" max="11019" width="10.42578125" style="1" customWidth="1"/>
    <col min="11020" max="11020" width="11.28515625" style="1" bestFit="1" customWidth="1"/>
    <col min="11021" max="11021" width="12.28515625" style="1" bestFit="1" customWidth="1"/>
    <col min="11022" max="11022" width="13.85546875" style="1" bestFit="1" customWidth="1"/>
    <col min="11023" max="11023" width="8.7109375" style="1"/>
    <col min="11024" max="11024" width="9.5703125" style="1" bestFit="1" customWidth="1"/>
    <col min="11025" max="11025" width="10.28515625" style="1" bestFit="1" customWidth="1"/>
    <col min="11026" max="11026" width="11.28515625" style="1" bestFit="1" customWidth="1"/>
    <col min="11027" max="11027" width="12.7109375" style="1" bestFit="1" customWidth="1"/>
    <col min="11028" max="11030" width="8.7109375" style="1"/>
    <col min="11031" max="11031" width="11.28515625" style="1" bestFit="1" customWidth="1"/>
    <col min="11032" max="11032" width="10.28515625" style="1" customWidth="1"/>
    <col min="11033" max="11033" width="14.42578125" style="1" bestFit="1" customWidth="1"/>
    <col min="11034" max="11264" width="8.7109375" style="1"/>
    <col min="11265" max="11265" width="2.5703125" style="1" customWidth="1"/>
    <col min="11266" max="11266" width="22.28515625" style="1" customWidth="1"/>
    <col min="11267" max="11267" width="10.42578125" style="1" customWidth="1"/>
    <col min="11268" max="11268" width="9.85546875" style="1" customWidth="1"/>
    <col min="11269" max="11269" width="9.5703125" style="1" customWidth="1"/>
    <col min="11270" max="11270" width="7.28515625" style="1" bestFit="1" customWidth="1"/>
    <col min="11271" max="11271" width="11.85546875" style="1" customWidth="1"/>
    <col min="11272" max="11273" width="9.42578125" style="1" bestFit="1" customWidth="1"/>
    <col min="11274" max="11274" width="8.85546875" style="1" bestFit="1" customWidth="1"/>
    <col min="11275" max="11275" width="10.42578125" style="1" customWidth="1"/>
    <col min="11276" max="11276" width="11.28515625" style="1" bestFit="1" customWidth="1"/>
    <col min="11277" max="11277" width="12.28515625" style="1" bestFit="1" customWidth="1"/>
    <col min="11278" max="11278" width="13.85546875" style="1" bestFit="1" customWidth="1"/>
    <col min="11279" max="11279" width="8.7109375" style="1"/>
    <col min="11280" max="11280" width="9.5703125" style="1" bestFit="1" customWidth="1"/>
    <col min="11281" max="11281" width="10.28515625" style="1" bestFit="1" customWidth="1"/>
    <col min="11282" max="11282" width="11.28515625" style="1" bestFit="1" customWidth="1"/>
    <col min="11283" max="11283" width="12.7109375" style="1" bestFit="1" customWidth="1"/>
    <col min="11284" max="11286" width="8.7109375" style="1"/>
    <col min="11287" max="11287" width="11.28515625" style="1" bestFit="1" customWidth="1"/>
    <col min="11288" max="11288" width="10.28515625" style="1" customWidth="1"/>
    <col min="11289" max="11289" width="14.42578125" style="1" bestFit="1" customWidth="1"/>
    <col min="11290" max="11520" width="8.7109375" style="1"/>
    <col min="11521" max="11521" width="2.5703125" style="1" customWidth="1"/>
    <col min="11522" max="11522" width="22.28515625" style="1" customWidth="1"/>
    <col min="11523" max="11523" width="10.42578125" style="1" customWidth="1"/>
    <col min="11524" max="11524" width="9.85546875" style="1" customWidth="1"/>
    <col min="11525" max="11525" width="9.5703125" style="1" customWidth="1"/>
    <col min="11526" max="11526" width="7.28515625" style="1" bestFit="1" customWidth="1"/>
    <col min="11527" max="11527" width="11.85546875" style="1" customWidth="1"/>
    <col min="11528" max="11529" width="9.42578125" style="1" bestFit="1" customWidth="1"/>
    <col min="11530" max="11530" width="8.85546875" style="1" bestFit="1" customWidth="1"/>
    <col min="11531" max="11531" width="10.42578125" style="1" customWidth="1"/>
    <col min="11532" max="11532" width="11.28515625" style="1" bestFit="1" customWidth="1"/>
    <col min="11533" max="11533" width="12.28515625" style="1" bestFit="1" customWidth="1"/>
    <col min="11534" max="11534" width="13.85546875" style="1" bestFit="1" customWidth="1"/>
    <col min="11535" max="11535" width="8.7109375" style="1"/>
    <col min="11536" max="11536" width="9.5703125" style="1" bestFit="1" customWidth="1"/>
    <col min="11537" max="11537" width="10.28515625" style="1" bestFit="1" customWidth="1"/>
    <col min="11538" max="11538" width="11.28515625" style="1" bestFit="1" customWidth="1"/>
    <col min="11539" max="11539" width="12.7109375" style="1" bestFit="1" customWidth="1"/>
    <col min="11540" max="11542" width="8.7109375" style="1"/>
    <col min="11543" max="11543" width="11.28515625" style="1" bestFit="1" customWidth="1"/>
    <col min="11544" max="11544" width="10.28515625" style="1" customWidth="1"/>
    <col min="11545" max="11545" width="14.42578125" style="1" bestFit="1" customWidth="1"/>
    <col min="11546" max="11776" width="8.7109375" style="1"/>
    <col min="11777" max="11777" width="2.5703125" style="1" customWidth="1"/>
    <col min="11778" max="11778" width="22.28515625" style="1" customWidth="1"/>
    <col min="11779" max="11779" width="10.42578125" style="1" customWidth="1"/>
    <col min="11780" max="11780" width="9.85546875" style="1" customWidth="1"/>
    <col min="11781" max="11781" width="9.5703125" style="1" customWidth="1"/>
    <col min="11782" max="11782" width="7.28515625" style="1" bestFit="1" customWidth="1"/>
    <col min="11783" max="11783" width="11.85546875" style="1" customWidth="1"/>
    <col min="11784" max="11785" width="9.42578125" style="1" bestFit="1" customWidth="1"/>
    <col min="11786" max="11786" width="8.85546875" style="1" bestFit="1" customWidth="1"/>
    <col min="11787" max="11787" width="10.42578125" style="1" customWidth="1"/>
    <col min="11788" max="11788" width="11.28515625" style="1" bestFit="1" customWidth="1"/>
    <col min="11789" max="11789" width="12.28515625" style="1" bestFit="1" customWidth="1"/>
    <col min="11790" max="11790" width="13.85546875" style="1" bestFit="1" customWidth="1"/>
    <col min="11791" max="11791" width="8.7109375" style="1"/>
    <col min="11792" max="11792" width="9.5703125" style="1" bestFit="1" customWidth="1"/>
    <col min="11793" max="11793" width="10.28515625" style="1" bestFit="1" customWidth="1"/>
    <col min="11794" max="11794" width="11.28515625" style="1" bestFit="1" customWidth="1"/>
    <col min="11795" max="11795" width="12.7109375" style="1" bestFit="1" customWidth="1"/>
    <col min="11796" max="11798" width="8.7109375" style="1"/>
    <col min="11799" max="11799" width="11.28515625" style="1" bestFit="1" customWidth="1"/>
    <col min="11800" max="11800" width="10.28515625" style="1" customWidth="1"/>
    <col min="11801" max="11801" width="14.42578125" style="1" bestFit="1" customWidth="1"/>
    <col min="11802" max="12032" width="8.7109375" style="1"/>
    <col min="12033" max="12033" width="2.5703125" style="1" customWidth="1"/>
    <col min="12034" max="12034" width="22.28515625" style="1" customWidth="1"/>
    <col min="12035" max="12035" width="10.42578125" style="1" customWidth="1"/>
    <col min="12036" max="12036" width="9.85546875" style="1" customWidth="1"/>
    <col min="12037" max="12037" width="9.5703125" style="1" customWidth="1"/>
    <col min="12038" max="12038" width="7.28515625" style="1" bestFit="1" customWidth="1"/>
    <col min="12039" max="12039" width="11.85546875" style="1" customWidth="1"/>
    <col min="12040" max="12041" width="9.42578125" style="1" bestFit="1" customWidth="1"/>
    <col min="12042" max="12042" width="8.85546875" style="1" bestFit="1" customWidth="1"/>
    <col min="12043" max="12043" width="10.42578125" style="1" customWidth="1"/>
    <col min="12044" max="12044" width="11.28515625" style="1" bestFit="1" customWidth="1"/>
    <col min="12045" max="12045" width="12.28515625" style="1" bestFit="1" customWidth="1"/>
    <col min="12046" max="12046" width="13.85546875" style="1" bestFit="1" customWidth="1"/>
    <col min="12047" max="12047" width="8.7109375" style="1"/>
    <col min="12048" max="12048" width="9.5703125" style="1" bestFit="1" customWidth="1"/>
    <col min="12049" max="12049" width="10.28515625" style="1" bestFit="1" customWidth="1"/>
    <col min="12050" max="12050" width="11.28515625" style="1" bestFit="1" customWidth="1"/>
    <col min="12051" max="12051" width="12.7109375" style="1" bestFit="1" customWidth="1"/>
    <col min="12052" max="12054" width="8.7109375" style="1"/>
    <col min="12055" max="12055" width="11.28515625" style="1" bestFit="1" customWidth="1"/>
    <col min="12056" max="12056" width="10.28515625" style="1" customWidth="1"/>
    <col min="12057" max="12057" width="14.42578125" style="1" bestFit="1" customWidth="1"/>
    <col min="12058" max="12288" width="8.7109375" style="1"/>
    <col min="12289" max="12289" width="2.5703125" style="1" customWidth="1"/>
    <col min="12290" max="12290" width="22.28515625" style="1" customWidth="1"/>
    <col min="12291" max="12291" width="10.42578125" style="1" customWidth="1"/>
    <col min="12292" max="12292" width="9.85546875" style="1" customWidth="1"/>
    <col min="12293" max="12293" width="9.5703125" style="1" customWidth="1"/>
    <col min="12294" max="12294" width="7.28515625" style="1" bestFit="1" customWidth="1"/>
    <col min="12295" max="12295" width="11.85546875" style="1" customWidth="1"/>
    <col min="12296" max="12297" width="9.42578125" style="1" bestFit="1" customWidth="1"/>
    <col min="12298" max="12298" width="8.85546875" style="1" bestFit="1" customWidth="1"/>
    <col min="12299" max="12299" width="10.42578125" style="1" customWidth="1"/>
    <col min="12300" max="12300" width="11.28515625" style="1" bestFit="1" customWidth="1"/>
    <col min="12301" max="12301" width="12.28515625" style="1" bestFit="1" customWidth="1"/>
    <col min="12302" max="12302" width="13.85546875" style="1" bestFit="1" customWidth="1"/>
    <col min="12303" max="12303" width="8.7109375" style="1"/>
    <col min="12304" max="12304" width="9.5703125" style="1" bestFit="1" customWidth="1"/>
    <col min="12305" max="12305" width="10.28515625" style="1" bestFit="1" customWidth="1"/>
    <col min="12306" max="12306" width="11.28515625" style="1" bestFit="1" customWidth="1"/>
    <col min="12307" max="12307" width="12.7109375" style="1" bestFit="1" customWidth="1"/>
    <col min="12308" max="12310" width="8.7109375" style="1"/>
    <col min="12311" max="12311" width="11.28515625" style="1" bestFit="1" customWidth="1"/>
    <col min="12312" max="12312" width="10.28515625" style="1" customWidth="1"/>
    <col min="12313" max="12313" width="14.42578125" style="1" bestFit="1" customWidth="1"/>
    <col min="12314" max="12544" width="8.7109375" style="1"/>
    <col min="12545" max="12545" width="2.5703125" style="1" customWidth="1"/>
    <col min="12546" max="12546" width="22.28515625" style="1" customWidth="1"/>
    <col min="12547" max="12547" width="10.42578125" style="1" customWidth="1"/>
    <col min="12548" max="12548" width="9.85546875" style="1" customWidth="1"/>
    <col min="12549" max="12549" width="9.5703125" style="1" customWidth="1"/>
    <col min="12550" max="12550" width="7.28515625" style="1" bestFit="1" customWidth="1"/>
    <col min="12551" max="12551" width="11.85546875" style="1" customWidth="1"/>
    <col min="12552" max="12553" width="9.42578125" style="1" bestFit="1" customWidth="1"/>
    <col min="12554" max="12554" width="8.85546875" style="1" bestFit="1" customWidth="1"/>
    <col min="12555" max="12555" width="10.42578125" style="1" customWidth="1"/>
    <col min="12556" max="12556" width="11.28515625" style="1" bestFit="1" customWidth="1"/>
    <col min="12557" max="12557" width="12.28515625" style="1" bestFit="1" customWidth="1"/>
    <col min="12558" max="12558" width="13.85546875" style="1" bestFit="1" customWidth="1"/>
    <col min="12559" max="12559" width="8.7109375" style="1"/>
    <col min="12560" max="12560" width="9.5703125" style="1" bestFit="1" customWidth="1"/>
    <col min="12561" max="12561" width="10.28515625" style="1" bestFit="1" customWidth="1"/>
    <col min="12562" max="12562" width="11.28515625" style="1" bestFit="1" customWidth="1"/>
    <col min="12563" max="12563" width="12.7109375" style="1" bestFit="1" customWidth="1"/>
    <col min="12564" max="12566" width="8.7109375" style="1"/>
    <col min="12567" max="12567" width="11.28515625" style="1" bestFit="1" customWidth="1"/>
    <col min="12568" max="12568" width="10.28515625" style="1" customWidth="1"/>
    <col min="12569" max="12569" width="14.42578125" style="1" bestFit="1" customWidth="1"/>
    <col min="12570" max="12800" width="8.7109375" style="1"/>
    <col min="12801" max="12801" width="2.5703125" style="1" customWidth="1"/>
    <col min="12802" max="12802" width="22.28515625" style="1" customWidth="1"/>
    <col min="12803" max="12803" width="10.42578125" style="1" customWidth="1"/>
    <col min="12804" max="12804" width="9.85546875" style="1" customWidth="1"/>
    <col min="12805" max="12805" width="9.5703125" style="1" customWidth="1"/>
    <col min="12806" max="12806" width="7.28515625" style="1" bestFit="1" customWidth="1"/>
    <col min="12807" max="12807" width="11.85546875" style="1" customWidth="1"/>
    <col min="12808" max="12809" width="9.42578125" style="1" bestFit="1" customWidth="1"/>
    <col min="12810" max="12810" width="8.85546875" style="1" bestFit="1" customWidth="1"/>
    <col min="12811" max="12811" width="10.42578125" style="1" customWidth="1"/>
    <col min="12812" max="12812" width="11.28515625" style="1" bestFit="1" customWidth="1"/>
    <col min="12813" max="12813" width="12.28515625" style="1" bestFit="1" customWidth="1"/>
    <col min="12814" max="12814" width="13.85546875" style="1" bestFit="1" customWidth="1"/>
    <col min="12815" max="12815" width="8.7109375" style="1"/>
    <col min="12816" max="12816" width="9.5703125" style="1" bestFit="1" customWidth="1"/>
    <col min="12817" max="12817" width="10.28515625" style="1" bestFit="1" customWidth="1"/>
    <col min="12818" max="12818" width="11.28515625" style="1" bestFit="1" customWidth="1"/>
    <col min="12819" max="12819" width="12.7109375" style="1" bestFit="1" customWidth="1"/>
    <col min="12820" max="12822" width="8.7109375" style="1"/>
    <col min="12823" max="12823" width="11.28515625" style="1" bestFit="1" customWidth="1"/>
    <col min="12824" max="12824" width="10.28515625" style="1" customWidth="1"/>
    <col min="12825" max="12825" width="14.42578125" style="1" bestFit="1" customWidth="1"/>
    <col min="12826" max="13056" width="8.7109375" style="1"/>
    <col min="13057" max="13057" width="2.5703125" style="1" customWidth="1"/>
    <col min="13058" max="13058" width="22.28515625" style="1" customWidth="1"/>
    <col min="13059" max="13059" width="10.42578125" style="1" customWidth="1"/>
    <col min="13060" max="13060" width="9.85546875" style="1" customWidth="1"/>
    <col min="13061" max="13061" width="9.5703125" style="1" customWidth="1"/>
    <col min="13062" max="13062" width="7.28515625" style="1" bestFit="1" customWidth="1"/>
    <col min="13063" max="13063" width="11.85546875" style="1" customWidth="1"/>
    <col min="13064" max="13065" width="9.42578125" style="1" bestFit="1" customWidth="1"/>
    <col min="13066" max="13066" width="8.85546875" style="1" bestFit="1" customWidth="1"/>
    <col min="13067" max="13067" width="10.42578125" style="1" customWidth="1"/>
    <col min="13068" max="13068" width="11.28515625" style="1" bestFit="1" customWidth="1"/>
    <col min="13069" max="13069" width="12.28515625" style="1" bestFit="1" customWidth="1"/>
    <col min="13070" max="13070" width="13.85546875" style="1" bestFit="1" customWidth="1"/>
    <col min="13071" max="13071" width="8.7109375" style="1"/>
    <col min="13072" max="13072" width="9.5703125" style="1" bestFit="1" customWidth="1"/>
    <col min="13073" max="13073" width="10.28515625" style="1" bestFit="1" customWidth="1"/>
    <col min="13074" max="13074" width="11.28515625" style="1" bestFit="1" customWidth="1"/>
    <col min="13075" max="13075" width="12.7109375" style="1" bestFit="1" customWidth="1"/>
    <col min="13076" max="13078" width="8.7109375" style="1"/>
    <col min="13079" max="13079" width="11.28515625" style="1" bestFit="1" customWidth="1"/>
    <col min="13080" max="13080" width="10.28515625" style="1" customWidth="1"/>
    <col min="13081" max="13081" width="14.42578125" style="1" bestFit="1" customWidth="1"/>
    <col min="13082" max="13312" width="8.7109375" style="1"/>
    <col min="13313" max="13313" width="2.5703125" style="1" customWidth="1"/>
    <col min="13314" max="13314" width="22.28515625" style="1" customWidth="1"/>
    <col min="13315" max="13315" width="10.42578125" style="1" customWidth="1"/>
    <col min="13316" max="13316" width="9.85546875" style="1" customWidth="1"/>
    <col min="13317" max="13317" width="9.5703125" style="1" customWidth="1"/>
    <col min="13318" max="13318" width="7.28515625" style="1" bestFit="1" customWidth="1"/>
    <col min="13319" max="13319" width="11.85546875" style="1" customWidth="1"/>
    <col min="13320" max="13321" width="9.42578125" style="1" bestFit="1" customWidth="1"/>
    <col min="13322" max="13322" width="8.85546875" style="1" bestFit="1" customWidth="1"/>
    <col min="13323" max="13323" width="10.42578125" style="1" customWidth="1"/>
    <col min="13324" max="13324" width="11.28515625" style="1" bestFit="1" customWidth="1"/>
    <col min="13325" max="13325" width="12.28515625" style="1" bestFit="1" customWidth="1"/>
    <col min="13326" max="13326" width="13.85546875" style="1" bestFit="1" customWidth="1"/>
    <col min="13327" max="13327" width="8.7109375" style="1"/>
    <col min="13328" max="13328" width="9.5703125" style="1" bestFit="1" customWidth="1"/>
    <col min="13329" max="13329" width="10.28515625" style="1" bestFit="1" customWidth="1"/>
    <col min="13330" max="13330" width="11.28515625" style="1" bestFit="1" customWidth="1"/>
    <col min="13331" max="13331" width="12.7109375" style="1" bestFit="1" customWidth="1"/>
    <col min="13332" max="13334" width="8.7109375" style="1"/>
    <col min="13335" max="13335" width="11.28515625" style="1" bestFit="1" customWidth="1"/>
    <col min="13336" max="13336" width="10.28515625" style="1" customWidth="1"/>
    <col min="13337" max="13337" width="14.42578125" style="1" bestFit="1" customWidth="1"/>
    <col min="13338" max="13568" width="8.7109375" style="1"/>
    <col min="13569" max="13569" width="2.5703125" style="1" customWidth="1"/>
    <col min="13570" max="13570" width="22.28515625" style="1" customWidth="1"/>
    <col min="13571" max="13571" width="10.42578125" style="1" customWidth="1"/>
    <col min="13572" max="13572" width="9.85546875" style="1" customWidth="1"/>
    <col min="13573" max="13573" width="9.5703125" style="1" customWidth="1"/>
    <col min="13574" max="13574" width="7.28515625" style="1" bestFit="1" customWidth="1"/>
    <col min="13575" max="13575" width="11.85546875" style="1" customWidth="1"/>
    <col min="13576" max="13577" width="9.42578125" style="1" bestFit="1" customWidth="1"/>
    <col min="13578" max="13578" width="8.85546875" style="1" bestFit="1" customWidth="1"/>
    <col min="13579" max="13579" width="10.42578125" style="1" customWidth="1"/>
    <col min="13580" max="13580" width="11.28515625" style="1" bestFit="1" customWidth="1"/>
    <col min="13581" max="13581" width="12.28515625" style="1" bestFit="1" customWidth="1"/>
    <col min="13582" max="13582" width="13.85546875" style="1" bestFit="1" customWidth="1"/>
    <col min="13583" max="13583" width="8.7109375" style="1"/>
    <col min="13584" max="13584" width="9.5703125" style="1" bestFit="1" customWidth="1"/>
    <col min="13585" max="13585" width="10.28515625" style="1" bestFit="1" customWidth="1"/>
    <col min="13586" max="13586" width="11.28515625" style="1" bestFit="1" customWidth="1"/>
    <col min="13587" max="13587" width="12.7109375" style="1" bestFit="1" customWidth="1"/>
    <col min="13588" max="13590" width="8.7109375" style="1"/>
    <col min="13591" max="13591" width="11.28515625" style="1" bestFit="1" customWidth="1"/>
    <col min="13592" max="13592" width="10.28515625" style="1" customWidth="1"/>
    <col min="13593" max="13593" width="14.42578125" style="1" bestFit="1" customWidth="1"/>
    <col min="13594" max="13824" width="8.7109375" style="1"/>
    <col min="13825" max="13825" width="2.5703125" style="1" customWidth="1"/>
    <col min="13826" max="13826" width="22.28515625" style="1" customWidth="1"/>
    <col min="13827" max="13827" width="10.42578125" style="1" customWidth="1"/>
    <col min="13828" max="13828" width="9.85546875" style="1" customWidth="1"/>
    <col min="13829" max="13829" width="9.5703125" style="1" customWidth="1"/>
    <col min="13830" max="13830" width="7.28515625" style="1" bestFit="1" customWidth="1"/>
    <col min="13831" max="13831" width="11.85546875" style="1" customWidth="1"/>
    <col min="13832" max="13833" width="9.42578125" style="1" bestFit="1" customWidth="1"/>
    <col min="13834" max="13834" width="8.85546875" style="1" bestFit="1" customWidth="1"/>
    <col min="13835" max="13835" width="10.42578125" style="1" customWidth="1"/>
    <col min="13836" max="13836" width="11.28515625" style="1" bestFit="1" customWidth="1"/>
    <col min="13837" max="13837" width="12.28515625" style="1" bestFit="1" customWidth="1"/>
    <col min="13838" max="13838" width="13.85546875" style="1" bestFit="1" customWidth="1"/>
    <col min="13839" max="13839" width="8.7109375" style="1"/>
    <col min="13840" max="13840" width="9.5703125" style="1" bestFit="1" customWidth="1"/>
    <col min="13841" max="13841" width="10.28515625" style="1" bestFit="1" customWidth="1"/>
    <col min="13842" max="13842" width="11.28515625" style="1" bestFit="1" customWidth="1"/>
    <col min="13843" max="13843" width="12.7109375" style="1" bestFit="1" customWidth="1"/>
    <col min="13844" max="13846" width="8.7109375" style="1"/>
    <col min="13847" max="13847" width="11.28515625" style="1" bestFit="1" customWidth="1"/>
    <col min="13848" max="13848" width="10.28515625" style="1" customWidth="1"/>
    <col min="13849" max="13849" width="14.42578125" style="1" bestFit="1" customWidth="1"/>
    <col min="13850" max="14080" width="8.7109375" style="1"/>
    <col min="14081" max="14081" width="2.5703125" style="1" customWidth="1"/>
    <col min="14082" max="14082" width="22.28515625" style="1" customWidth="1"/>
    <col min="14083" max="14083" width="10.42578125" style="1" customWidth="1"/>
    <col min="14084" max="14084" width="9.85546875" style="1" customWidth="1"/>
    <col min="14085" max="14085" width="9.5703125" style="1" customWidth="1"/>
    <col min="14086" max="14086" width="7.28515625" style="1" bestFit="1" customWidth="1"/>
    <col min="14087" max="14087" width="11.85546875" style="1" customWidth="1"/>
    <col min="14088" max="14089" width="9.42578125" style="1" bestFit="1" customWidth="1"/>
    <col min="14090" max="14090" width="8.85546875" style="1" bestFit="1" customWidth="1"/>
    <col min="14091" max="14091" width="10.42578125" style="1" customWidth="1"/>
    <col min="14092" max="14092" width="11.28515625" style="1" bestFit="1" customWidth="1"/>
    <col min="14093" max="14093" width="12.28515625" style="1" bestFit="1" customWidth="1"/>
    <col min="14094" max="14094" width="13.85546875" style="1" bestFit="1" customWidth="1"/>
    <col min="14095" max="14095" width="8.7109375" style="1"/>
    <col min="14096" max="14096" width="9.5703125" style="1" bestFit="1" customWidth="1"/>
    <col min="14097" max="14097" width="10.28515625" style="1" bestFit="1" customWidth="1"/>
    <col min="14098" max="14098" width="11.28515625" style="1" bestFit="1" customWidth="1"/>
    <col min="14099" max="14099" width="12.7109375" style="1" bestFit="1" customWidth="1"/>
    <col min="14100" max="14102" width="8.7109375" style="1"/>
    <col min="14103" max="14103" width="11.28515625" style="1" bestFit="1" customWidth="1"/>
    <col min="14104" max="14104" width="10.28515625" style="1" customWidth="1"/>
    <col min="14105" max="14105" width="14.42578125" style="1" bestFit="1" customWidth="1"/>
    <col min="14106" max="14336" width="8.7109375" style="1"/>
    <col min="14337" max="14337" width="2.5703125" style="1" customWidth="1"/>
    <col min="14338" max="14338" width="22.28515625" style="1" customWidth="1"/>
    <col min="14339" max="14339" width="10.42578125" style="1" customWidth="1"/>
    <col min="14340" max="14340" width="9.85546875" style="1" customWidth="1"/>
    <col min="14341" max="14341" width="9.5703125" style="1" customWidth="1"/>
    <col min="14342" max="14342" width="7.28515625" style="1" bestFit="1" customWidth="1"/>
    <col min="14343" max="14343" width="11.85546875" style="1" customWidth="1"/>
    <col min="14344" max="14345" width="9.42578125" style="1" bestFit="1" customWidth="1"/>
    <col min="14346" max="14346" width="8.85546875" style="1" bestFit="1" customWidth="1"/>
    <col min="14347" max="14347" width="10.42578125" style="1" customWidth="1"/>
    <col min="14348" max="14348" width="11.28515625" style="1" bestFit="1" customWidth="1"/>
    <col min="14349" max="14349" width="12.28515625" style="1" bestFit="1" customWidth="1"/>
    <col min="14350" max="14350" width="13.85546875" style="1" bestFit="1" customWidth="1"/>
    <col min="14351" max="14351" width="8.7109375" style="1"/>
    <col min="14352" max="14352" width="9.5703125" style="1" bestFit="1" customWidth="1"/>
    <col min="14353" max="14353" width="10.28515625" style="1" bestFit="1" customWidth="1"/>
    <col min="14354" max="14354" width="11.28515625" style="1" bestFit="1" customWidth="1"/>
    <col min="14355" max="14355" width="12.7109375" style="1" bestFit="1" customWidth="1"/>
    <col min="14356" max="14358" width="8.7109375" style="1"/>
    <col min="14359" max="14359" width="11.28515625" style="1" bestFit="1" customWidth="1"/>
    <col min="14360" max="14360" width="10.28515625" style="1" customWidth="1"/>
    <col min="14361" max="14361" width="14.42578125" style="1" bestFit="1" customWidth="1"/>
    <col min="14362" max="14592" width="8.7109375" style="1"/>
    <col min="14593" max="14593" width="2.5703125" style="1" customWidth="1"/>
    <col min="14594" max="14594" width="22.28515625" style="1" customWidth="1"/>
    <col min="14595" max="14595" width="10.42578125" style="1" customWidth="1"/>
    <col min="14596" max="14596" width="9.85546875" style="1" customWidth="1"/>
    <col min="14597" max="14597" width="9.5703125" style="1" customWidth="1"/>
    <col min="14598" max="14598" width="7.28515625" style="1" bestFit="1" customWidth="1"/>
    <col min="14599" max="14599" width="11.85546875" style="1" customWidth="1"/>
    <col min="14600" max="14601" width="9.42578125" style="1" bestFit="1" customWidth="1"/>
    <col min="14602" max="14602" width="8.85546875" style="1" bestFit="1" customWidth="1"/>
    <col min="14603" max="14603" width="10.42578125" style="1" customWidth="1"/>
    <col min="14604" max="14604" width="11.28515625" style="1" bestFit="1" customWidth="1"/>
    <col min="14605" max="14605" width="12.28515625" style="1" bestFit="1" customWidth="1"/>
    <col min="14606" max="14606" width="13.85546875" style="1" bestFit="1" customWidth="1"/>
    <col min="14607" max="14607" width="8.7109375" style="1"/>
    <col min="14608" max="14608" width="9.5703125" style="1" bestFit="1" customWidth="1"/>
    <col min="14609" max="14609" width="10.28515625" style="1" bestFit="1" customWidth="1"/>
    <col min="14610" max="14610" width="11.28515625" style="1" bestFit="1" customWidth="1"/>
    <col min="14611" max="14611" width="12.7109375" style="1" bestFit="1" customWidth="1"/>
    <col min="14612" max="14614" width="8.7109375" style="1"/>
    <col min="14615" max="14615" width="11.28515625" style="1" bestFit="1" customWidth="1"/>
    <col min="14616" max="14616" width="10.28515625" style="1" customWidth="1"/>
    <col min="14617" max="14617" width="14.42578125" style="1" bestFit="1" customWidth="1"/>
    <col min="14618" max="14848" width="8.7109375" style="1"/>
    <col min="14849" max="14849" width="2.5703125" style="1" customWidth="1"/>
    <col min="14850" max="14850" width="22.28515625" style="1" customWidth="1"/>
    <col min="14851" max="14851" width="10.42578125" style="1" customWidth="1"/>
    <col min="14852" max="14852" width="9.85546875" style="1" customWidth="1"/>
    <col min="14853" max="14853" width="9.5703125" style="1" customWidth="1"/>
    <col min="14854" max="14854" width="7.28515625" style="1" bestFit="1" customWidth="1"/>
    <col min="14855" max="14855" width="11.85546875" style="1" customWidth="1"/>
    <col min="14856" max="14857" width="9.42578125" style="1" bestFit="1" customWidth="1"/>
    <col min="14858" max="14858" width="8.85546875" style="1" bestFit="1" customWidth="1"/>
    <col min="14859" max="14859" width="10.42578125" style="1" customWidth="1"/>
    <col min="14860" max="14860" width="11.28515625" style="1" bestFit="1" customWidth="1"/>
    <col min="14861" max="14861" width="12.28515625" style="1" bestFit="1" customWidth="1"/>
    <col min="14862" max="14862" width="13.85546875" style="1" bestFit="1" customWidth="1"/>
    <col min="14863" max="14863" width="8.7109375" style="1"/>
    <col min="14864" max="14864" width="9.5703125" style="1" bestFit="1" customWidth="1"/>
    <col min="14865" max="14865" width="10.28515625" style="1" bestFit="1" customWidth="1"/>
    <col min="14866" max="14866" width="11.28515625" style="1" bestFit="1" customWidth="1"/>
    <col min="14867" max="14867" width="12.7109375" style="1" bestFit="1" customWidth="1"/>
    <col min="14868" max="14870" width="8.7109375" style="1"/>
    <col min="14871" max="14871" width="11.28515625" style="1" bestFit="1" customWidth="1"/>
    <col min="14872" max="14872" width="10.28515625" style="1" customWidth="1"/>
    <col min="14873" max="14873" width="14.42578125" style="1" bestFit="1" customWidth="1"/>
    <col min="14874" max="15104" width="8.7109375" style="1"/>
    <col min="15105" max="15105" width="2.5703125" style="1" customWidth="1"/>
    <col min="15106" max="15106" width="22.28515625" style="1" customWidth="1"/>
    <col min="15107" max="15107" width="10.42578125" style="1" customWidth="1"/>
    <col min="15108" max="15108" width="9.85546875" style="1" customWidth="1"/>
    <col min="15109" max="15109" width="9.5703125" style="1" customWidth="1"/>
    <col min="15110" max="15110" width="7.28515625" style="1" bestFit="1" customWidth="1"/>
    <col min="15111" max="15111" width="11.85546875" style="1" customWidth="1"/>
    <col min="15112" max="15113" width="9.42578125" style="1" bestFit="1" customWidth="1"/>
    <col min="15114" max="15114" width="8.85546875" style="1" bestFit="1" customWidth="1"/>
    <col min="15115" max="15115" width="10.42578125" style="1" customWidth="1"/>
    <col min="15116" max="15116" width="11.28515625" style="1" bestFit="1" customWidth="1"/>
    <col min="15117" max="15117" width="12.28515625" style="1" bestFit="1" customWidth="1"/>
    <col min="15118" max="15118" width="13.85546875" style="1" bestFit="1" customWidth="1"/>
    <col min="15119" max="15119" width="8.7109375" style="1"/>
    <col min="15120" max="15120" width="9.5703125" style="1" bestFit="1" customWidth="1"/>
    <col min="15121" max="15121" width="10.28515625" style="1" bestFit="1" customWidth="1"/>
    <col min="15122" max="15122" width="11.28515625" style="1" bestFit="1" customWidth="1"/>
    <col min="15123" max="15123" width="12.7109375" style="1" bestFit="1" customWidth="1"/>
    <col min="15124" max="15126" width="8.7109375" style="1"/>
    <col min="15127" max="15127" width="11.28515625" style="1" bestFit="1" customWidth="1"/>
    <col min="15128" max="15128" width="10.28515625" style="1" customWidth="1"/>
    <col min="15129" max="15129" width="14.42578125" style="1" bestFit="1" customWidth="1"/>
    <col min="15130" max="15360" width="8.7109375" style="1"/>
    <col min="15361" max="15361" width="2.5703125" style="1" customWidth="1"/>
    <col min="15362" max="15362" width="22.28515625" style="1" customWidth="1"/>
    <col min="15363" max="15363" width="10.42578125" style="1" customWidth="1"/>
    <col min="15364" max="15364" width="9.85546875" style="1" customWidth="1"/>
    <col min="15365" max="15365" width="9.5703125" style="1" customWidth="1"/>
    <col min="15366" max="15366" width="7.28515625" style="1" bestFit="1" customWidth="1"/>
    <col min="15367" max="15367" width="11.85546875" style="1" customWidth="1"/>
    <col min="15368" max="15369" width="9.42578125" style="1" bestFit="1" customWidth="1"/>
    <col min="15370" max="15370" width="8.85546875" style="1" bestFit="1" customWidth="1"/>
    <col min="15371" max="15371" width="10.42578125" style="1" customWidth="1"/>
    <col min="15372" max="15372" width="11.28515625" style="1" bestFit="1" customWidth="1"/>
    <col min="15373" max="15373" width="12.28515625" style="1" bestFit="1" customWidth="1"/>
    <col min="15374" max="15374" width="13.85546875" style="1" bestFit="1" customWidth="1"/>
    <col min="15375" max="15375" width="8.7109375" style="1"/>
    <col min="15376" max="15376" width="9.5703125" style="1" bestFit="1" customWidth="1"/>
    <col min="15377" max="15377" width="10.28515625" style="1" bestFit="1" customWidth="1"/>
    <col min="15378" max="15378" width="11.28515625" style="1" bestFit="1" customWidth="1"/>
    <col min="15379" max="15379" width="12.7109375" style="1" bestFit="1" customWidth="1"/>
    <col min="15380" max="15382" width="8.7109375" style="1"/>
    <col min="15383" max="15383" width="11.28515625" style="1" bestFit="1" customWidth="1"/>
    <col min="15384" max="15384" width="10.28515625" style="1" customWidth="1"/>
    <col min="15385" max="15385" width="14.42578125" style="1" bestFit="1" customWidth="1"/>
    <col min="15386" max="15616" width="8.7109375" style="1"/>
    <col min="15617" max="15617" width="2.5703125" style="1" customWidth="1"/>
    <col min="15618" max="15618" width="22.28515625" style="1" customWidth="1"/>
    <col min="15619" max="15619" width="10.42578125" style="1" customWidth="1"/>
    <col min="15620" max="15620" width="9.85546875" style="1" customWidth="1"/>
    <col min="15621" max="15621" width="9.5703125" style="1" customWidth="1"/>
    <col min="15622" max="15622" width="7.28515625" style="1" bestFit="1" customWidth="1"/>
    <col min="15623" max="15623" width="11.85546875" style="1" customWidth="1"/>
    <col min="15624" max="15625" width="9.42578125" style="1" bestFit="1" customWidth="1"/>
    <col min="15626" max="15626" width="8.85546875" style="1" bestFit="1" customWidth="1"/>
    <col min="15627" max="15627" width="10.42578125" style="1" customWidth="1"/>
    <col min="15628" max="15628" width="11.28515625" style="1" bestFit="1" customWidth="1"/>
    <col min="15629" max="15629" width="12.28515625" style="1" bestFit="1" customWidth="1"/>
    <col min="15630" max="15630" width="13.85546875" style="1" bestFit="1" customWidth="1"/>
    <col min="15631" max="15631" width="8.7109375" style="1"/>
    <col min="15632" max="15632" width="9.5703125" style="1" bestFit="1" customWidth="1"/>
    <col min="15633" max="15633" width="10.28515625" style="1" bestFit="1" customWidth="1"/>
    <col min="15634" max="15634" width="11.28515625" style="1" bestFit="1" customWidth="1"/>
    <col min="15635" max="15635" width="12.7109375" style="1" bestFit="1" customWidth="1"/>
    <col min="15636" max="15638" width="8.7109375" style="1"/>
    <col min="15639" max="15639" width="11.28515625" style="1" bestFit="1" customWidth="1"/>
    <col min="15640" max="15640" width="10.28515625" style="1" customWidth="1"/>
    <col min="15641" max="15641" width="14.42578125" style="1" bestFit="1" customWidth="1"/>
    <col min="15642" max="15872" width="8.7109375" style="1"/>
    <col min="15873" max="15873" width="2.5703125" style="1" customWidth="1"/>
    <col min="15874" max="15874" width="22.28515625" style="1" customWidth="1"/>
    <col min="15875" max="15875" width="10.42578125" style="1" customWidth="1"/>
    <col min="15876" max="15876" width="9.85546875" style="1" customWidth="1"/>
    <col min="15877" max="15877" width="9.5703125" style="1" customWidth="1"/>
    <col min="15878" max="15878" width="7.28515625" style="1" bestFit="1" customWidth="1"/>
    <col min="15879" max="15879" width="11.85546875" style="1" customWidth="1"/>
    <col min="15880" max="15881" width="9.42578125" style="1" bestFit="1" customWidth="1"/>
    <col min="15882" max="15882" width="8.85546875" style="1" bestFit="1" customWidth="1"/>
    <col min="15883" max="15883" width="10.42578125" style="1" customWidth="1"/>
    <col min="15884" max="15884" width="11.28515625" style="1" bestFit="1" customWidth="1"/>
    <col min="15885" max="15885" width="12.28515625" style="1" bestFit="1" customWidth="1"/>
    <col min="15886" max="15886" width="13.85546875" style="1" bestFit="1" customWidth="1"/>
    <col min="15887" max="15887" width="8.7109375" style="1"/>
    <col min="15888" max="15888" width="9.5703125" style="1" bestFit="1" customWidth="1"/>
    <col min="15889" max="15889" width="10.28515625" style="1" bestFit="1" customWidth="1"/>
    <col min="15890" max="15890" width="11.28515625" style="1" bestFit="1" customWidth="1"/>
    <col min="15891" max="15891" width="12.7109375" style="1" bestFit="1" customWidth="1"/>
    <col min="15892" max="15894" width="8.7109375" style="1"/>
    <col min="15895" max="15895" width="11.28515625" style="1" bestFit="1" customWidth="1"/>
    <col min="15896" max="15896" width="10.28515625" style="1" customWidth="1"/>
    <col min="15897" max="15897" width="14.42578125" style="1" bestFit="1" customWidth="1"/>
    <col min="15898" max="16128" width="8.7109375" style="1"/>
    <col min="16129" max="16129" width="2.5703125" style="1" customWidth="1"/>
    <col min="16130" max="16130" width="22.28515625" style="1" customWidth="1"/>
    <col min="16131" max="16131" width="10.42578125" style="1" customWidth="1"/>
    <col min="16132" max="16132" width="9.85546875" style="1" customWidth="1"/>
    <col min="16133" max="16133" width="9.5703125" style="1" customWidth="1"/>
    <col min="16134" max="16134" width="7.28515625" style="1" bestFit="1" customWidth="1"/>
    <col min="16135" max="16135" width="11.85546875" style="1" customWidth="1"/>
    <col min="16136" max="16137" width="9.42578125" style="1" bestFit="1" customWidth="1"/>
    <col min="16138" max="16138" width="8.85546875" style="1" bestFit="1" customWidth="1"/>
    <col min="16139" max="16139" width="10.42578125" style="1" customWidth="1"/>
    <col min="16140" max="16140" width="11.28515625" style="1" bestFit="1" customWidth="1"/>
    <col min="16141" max="16141" width="12.28515625" style="1" bestFit="1" customWidth="1"/>
    <col min="16142" max="16142" width="13.85546875" style="1" bestFit="1" customWidth="1"/>
    <col min="16143" max="16143" width="8.7109375" style="1"/>
    <col min="16144" max="16144" width="9.5703125" style="1" bestFit="1" customWidth="1"/>
    <col min="16145" max="16145" width="10.28515625" style="1" bestFit="1" customWidth="1"/>
    <col min="16146" max="16146" width="11.28515625" style="1" bestFit="1" customWidth="1"/>
    <col min="16147" max="16147" width="12.7109375" style="1" bestFit="1" customWidth="1"/>
    <col min="16148" max="16150" width="8.7109375" style="1"/>
    <col min="16151" max="16151" width="11.28515625" style="1" bestFit="1" customWidth="1"/>
    <col min="16152" max="16152" width="10.28515625" style="1" customWidth="1"/>
    <col min="16153" max="16153" width="14.42578125" style="1" bestFit="1" customWidth="1"/>
    <col min="16154" max="16384" width="8.7109375" style="1"/>
  </cols>
  <sheetData>
    <row r="1" spans="2:25" x14ac:dyDescent="0.2">
      <c r="N1" s="6"/>
      <c r="S1" s="6"/>
    </row>
    <row r="2" spans="2:25" x14ac:dyDescent="0.2">
      <c r="C2" s="65" t="s">
        <v>0</v>
      </c>
      <c r="D2" s="66"/>
      <c r="E2" s="67"/>
      <c r="G2" s="65" t="s">
        <v>1</v>
      </c>
      <c r="H2" s="66"/>
      <c r="I2" s="67"/>
      <c r="J2" s="20"/>
      <c r="K2" s="65" t="s">
        <v>0</v>
      </c>
      <c r="L2" s="66"/>
      <c r="M2" s="66"/>
      <c r="N2" s="67"/>
      <c r="P2" s="65" t="s">
        <v>1</v>
      </c>
      <c r="Q2" s="66"/>
      <c r="R2" s="66"/>
      <c r="S2" s="67"/>
      <c r="U2" s="65" t="s">
        <v>2</v>
      </c>
      <c r="V2" s="66"/>
      <c r="W2" s="66"/>
      <c r="X2" s="66"/>
      <c r="Y2" s="67"/>
    </row>
    <row r="3" spans="2:25" ht="51" x14ac:dyDescent="0.2">
      <c r="B3" s="21" t="s">
        <v>3</v>
      </c>
      <c r="C3" s="22" t="s">
        <v>4</v>
      </c>
      <c r="D3" s="23" t="s">
        <v>59</v>
      </c>
      <c r="E3" s="24" t="s">
        <v>5</v>
      </c>
      <c r="F3" s="23"/>
      <c r="G3" s="22" t="s">
        <v>4</v>
      </c>
      <c r="H3" s="23" t="s">
        <v>59</v>
      </c>
      <c r="I3" s="24" t="s">
        <v>5</v>
      </c>
      <c r="J3" s="5"/>
      <c r="K3" s="22" t="s">
        <v>4</v>
      </c>
      <c r="L3" s="25" t="s">
        <v>68</v>
      </c>
      <c r="M3" s="25" t="s">
        <v>6</v>
      </c>
      <c r="N3" s="26" t="s">
        <v>7</v>
      </c>
      <c r="O3" s="23"/>
      <c r="P3" s="22" t="s">
        <v>4</v>
      </c>
      <c r="Q3" s="25" t="s">
        <v>68</v>
      </c>
      <c r="R3" s="25" t="s">
        <v>6</v>
      </c>
      <c r="S3" s="26" t="s">
        <v>7</v>
      </c>
      <c r="U3" s="22" t="s">
        <v>4</v>
      </c>
      <c r="V3" s="23" t="s">
        <v>8</v>
      </c>
      <c r="W3" s="25" t="s">
        <v>6</v>
      </c>
      <c r="X3" s="27" t="s">
        <v>9</v>
      </c>
      <c r="Y3" s="26" t="s">
        <v>10</v>
      </c>
    </row>
    <row r="4" spans="2:25" x14ac:dyDescent="0.2">
      <c r="B4" s="28" t="s">
        <v>11</v>
      </c>
      <c r="X4" s="29">
        <f>[1]AEPTX!$D$54+0.02</f>
        <v>0.33115132739524095</v>
      </c>
    </row>
    <row r="5" spans="2:25" x14ac:dyDescent="0.2">
      <c r="B5" s="1" t="s">
        <v>12</v>
      </c>
      <c r="C5" s="1">
        <v>931</v>
      </c>
      <c r="D5" s="1">
        <v>40</v>
      </c>
      <c r="E5" s="6">
        <v>4.0999999999999996</v>
      </c>
      <c r="F5" s="7">
        <f>(X5-E5)/E5</f>
        <v>0.34146341463414648</v>
      </c>
      <c r="G5" s="1">
        <v>931</v>
      </c>
      <c r="K5" s="1">
        <v>931</v>
      </c>
      <c r="L5" s="4">
        <f>2366+1</f>
        <v>2367</v>
      </c>
      <c r="M5" s="4">
        <f>L5*D5*12</f>
        <v>1136160</v>
      </c>
      <c r="N5" s="60">
        <f t="shared" ref="N5:N11" si="0">ROUND(L5*E5,2)*12</f>
        <v>116456.40000000001</v>
      </c>
      <c r="P5" s="1">
        <v>931</v>
      </c>
      <c r="Q5" s="4">
        <v>0</v>
      </c>
      <c r="R5" s="30">
        <f t="shared" ref="R5:R11" si="1">Q5*H5*12</f>
        <v>0</v>
      </c>
      <c r="U5" s="1">
        <v>931</v>
      </c>
      <c r="V5" s="30">
        <f t="shared" ref="V5:V10" si="2">(L5+Q5)*12</f>
        <v>28404</v>
      </c>
      <c r="W5" s="30">
        <f t="shared" ref="W5:W11" si="3">M5+R5</f>
        <v>1136160</v>
      </c>
      <c r="X5" s="19">
        <f>ROUND(E5*(1+$X$4),2)+0.04</f>
        <v>5.5</v>
      </c>
      <c r="Y5" s="6">
        <f t="shared" ref="Y5:Y11" si="4">ROUND(V5*X5,2)</f>
        <v>156222</v>
      </c>
    </row>
    <row r="6" spans="2:25" x14ac:dyDescent="0.2">
      <c r="B6" s="1" t="s">
        <v>13</v>
      </c>
      <c r="C6" s="1">
        <v>932</v>
      </c>
      <c r="D6" s="1">
        <v>70</v>
      </c>
      <c r="E6" s="6">
        <v>4.6399999999999997</v>
      </c>
      <c r="F6" s="7">
        <f>(X6-E6)/E6</f>
        <v>0.33620689655172409</v>
      </c>
      <c r="G6" s="1">
        <v>932</v>
      </c>
      <c r="H6" s="1">
        <v>70</v>
      </c>
      <c r="I6" s="6">
        <v>4.84</v>
      </c>
      <c r="J6" s="7">
        <f>($X$6-I6)/I6</f>
        <v>0.28099173553718998</v>
      </c>
      <c r="K6" s="1">
        <v>932</v>
      </c>
      <c r="L6" s="4">
        <f>982+13+258+195</f>
        <v>1448</v>
      </c>
      <c r="M6" s="4">
        <f t="shared" ref="M6:M11" si="5">L6*D6*12</f>
        <v>1216320</v>
      </c>
      <c r="N6" s="60">
        <f t="shared" si="0"/>
        <v>80624.639999999999</v>
      </c>
      <c r="P6" s="1">
        <v>932</v>
      </c>
      <c r="Q6" s="4">
        <f>4643+2+3</f>
        <v>4648</v>
      </c>
      <c r="R6" s="30">
        <f t="shared" si="1"/>
        <v>3904320</v>
      </c>
      <c r="S6" s="60">
        <f>ROUND(Q6*I6,2)*12</f>
        <v>269955.83999999997</v>
      </c>
      <c r="U6" s="1">
        <v>932</v>
      </c>
      <c r="V6" s="30">
        <f t="shared" si="2"/>
        <v>73152</v>
      </c>
      <c r="W6" s="30">
        <f t="shared" si="3"/>
        <v>5120640</v>
      </c>
      <c r="X6" s="19">
        <f>ROUND(E6*(1+$X$4),2)+0.02</f>
        <v>6.1999999999999993</v>
      </c>
      <c r="Y6" s="6">
        <f t="shared" si="4"/>
        <v>453542.40000000002</v>
      </c>
    </row>
    <row r="7" spans="2:25" x14ac:dyDescent="0.2">
      <c r="B7" s="1" t="s">
        <v>60</v>
      </c>
      <c r="C7" s="1">
        <v>933</v>
      </c>
      <c r="D7" s="1">
        <v>100</v>
      </c>
      <c r="E7" s="6">
        <v>6.35</v>
      </c>
      <c r="F7" s="7"/>
      <c r="G7" s="1">
        <v>933</v>
      </c>
      <c r="K7" s="1">
        <v>933</v>
      </c>
      <c r="L7" s="4">
        <v>0</v>
      </c>
      <c r="M7" s="4">
        <f t="shared" si="5"/>
        <v>0</v>
      </c>
      <c r="N7" s="60">
        <f t="shared" si="0"/>
        <v>0</v>
      </c>
      <c r="P7" s="1">
        <v>933</v>
      </c>
      <c r="Q7" s="4">
        <v>0</v>
      </c>
      <c r="R7" s="30">
        <f t="shared" si="1"/>
        <v>0</v>
      </c>
      <c r="S7" s="60"/>
      <c r="U7" s="1">
        <v>933</v>
      </c>
      <c r="V7" s="30">
        <f t="shared" si="2"/>
        <v>0</v>
      </c>
      <c r="W7" s="30">
        <f t="shared" si="3"/>
        <v>0</v>
      </c>
      <c r="X7" s="19">
        <v>0</v>
      </c>
      <c r="Y7" s="6">
        <f t="shared" si="4"/>
        <v>0</v>
      </c>
    </row>
    <row r="8" spans="2:25" x14ac:dyDescent="0.2">
      <c r="B8" s="1" t="s">
        <v>15</v>
      </c>
      <c r="C8" s="1">
        <v>935</v>
      </c>
      <c r="D8" s="1">
        <v>145</v>
      </c>
      <c r="E8" s="6">
        <v>7.61</v>
      </c>
      <c r="F8" s="7">
        <f>(X8-E8)/E8</f>
        <v>0.33377135348226017</v>
      </c>
      <c r="G8" s="1">
        <v>935</v>
      </c>
      <c r="H8" s="1">
        <v>145</v>
      </c>
      <c r="I8" s="6">
        <v>8.8699999999999992</v>
      </c>
      <c r="J8" s="7">
        <f>(X8-I8)/I8</f>
        <v>0.14430665163472392</v>
      </c>
      <c r="K8" s="1">
        <v>935</v>
      </c>
      <c r="L8" s="4">
        <f>1644+3+522</f>
        <v>2169</v>
      </c>
      <c r="M8" s="4">
        <f t="shared" si="5"/>
        <v>3774060</v>
      </c>
      <c r="N8" s="60">
        <f t="shared" si="0"/>
        <v>198073.08000000002</v>
      </c>
      <c r="P8" s="1">
        <v>935</v>
      </c>
      <c r="Q8" s="4">
        <f>885+66+10+18+24</f>
        <v>1003</v>
      </c>
      <c r="R8" s="30">
        <f t="shared" si="1"/>
        <v>1745220</v>
      </c>
      <c r="S8" s="60">
        <f>ROUND(Q8*I8,2)*12</f>
        <v>106759.32</v>
      </c>
      <c r="U8" s="1">
        <v>935</v>
      </c>
      <c r="V8" s="30">
        <f>(L8+Q8+(L11*2)+(Q9*2))*12</f>
        <v>40752</v>
      </c>
      <c r="W8" s="30">
        <f t="shared" si="3"/>
        <v>5519280</v>
      </c>
      <c r="X8" s="19">
        <f>ROUND(E8*(1+$X$4),2)+0.02</f>
        <v>10.15</v>
      </c>
      <c r="Y8" s="6">
        <f t="shared" si="4"/>
        <v>413632.8</v>
      </c>
    </row>
    <row r="9" spans="2:25" x14ac:dyDescent="0.2">
      <c r="B9" s="1" t="s">
        <v>61</v>
      </c>
      <c r="C9" s="1">
        <v>936</v>
      </c>
      <c r="G9" s="1">
        <v>936</v>
      </c>
      <c r="H9" s="1">
        <v>320</v>
      </c>
      <c r="I9" s="6">
        <v>12.5</v>
      </c>
      <c r="J9" s="7"/>
      <c r="K9" s="1">
        <v>936</v>
      </c>
      <c r="L9" s="4">
        <v>0</v>
      </c>
      <c r="M9" s="4">
        <f t="shared" si="5"/>
        <v>0</v>
      </c>
      <c r="N9" s="60">
        <f t="shared" si="0"/>
        <v>0</v>
      </c>
      <c r="P9" s="1">
        <v>936</v>
      </c>
      <c r="Q9" s="4">
        <v>12</v>
      </c>
      <c r="R9" s="30">
        <f t="shared" si="1"/>
        <v>46080</v>
      </c>
      <c r="S9" s="60">
        <f>ROUND(Q9*I9,2)*12</f>
        <v>1800</v>
      </c>
      <c r="U9" s="1">
        <v>936</v>
      </c>
      <c r="V9" s="30">
        <v>0</v>
      </c>
      <c r="W9" s="30">
        <f t="shared" si="3"/>
        <v>46080</v>
      </c>
      <c r="X9" s="19">
        <v>0</v>
      </c>
      <c r="Y9" s="6">
        <f t="shared" si="4"/>
        <v>0</v>
      </c>
    </row>
    <row r="10" spans="2:25" x14ac:dyDescent="0.2">
      <c r="B10" s="1" t="s">
        <v>62</v>
      </c>
      <c r="C10" s="1">
        <v>937</v>
      </c>
      <c r="D10" s="1">
        <v>365</v>
      </c>
      <c r="E10" s="6">
        <v>10.71</v>
      </c>
      <c r="F10" s="7"/>
      <c r="G10" s="1">
        <v>937</v>
      </c>
      <c r="K10" s="1">
        <v>937</v>
      </c>
      <c r="L10" s="4">
        <v>0</v>
      </c>
      <c r="M10" s="4">
        <f t="shared" si="5"/>
        <v>0</v>
      </c>
      <c r="N10" s="60">
        <f t="shared" si="0"/>
        <v>0</v>
      </c>
      <c r="P10" s="1">
        <v>937</v>
      </c>
      <c r="Q10" s="4">
        <v>0</v>
      </c>
      <c r="R10" s="30">
        <f t="shared" si="1"/>
        <v>0</v>
      </c>
      <c r="S10" s="60"/>
      <c r="U10" s="1">
        <v>937</v>
      </c>
      <c r="V10" s="30">
        <f t="shared" si="2"/>
        <v>0</v>
      </c>
      <c r="W10" s="30">
        <f t="shared" si="3"/>
        <v>0</v>
      </c>
      <c r="X10" s="19">
        <v>0</v>
      </c>
      <c r="Y10" s="6">
        <f t="shared" si="4"/>
        <v>0</v>
      </c>
    </row>
    <row r="11" spans="2:25" x14ac:dyDescent="0.2">
      <c r="B11" s="1" t="s">
        <v>61</v>
      </c>
      <c r="C11" s="1">
        <v>938</v>
      </c>
      <c r="D11" s="1">
        <v>290</v>
      </c>
      <c r="E11" s="6">
        <v>11.78</v>
      </c>
      <c r="F11" s="7"/>
      <c r="G11" s="1">
        <v>938</v>
      </c>
      <c r="K11" s="1">
        <v>938</v>
      </c>
      <c r="L11" s="4">
        <v>100</v>
      </c>
      <c r="M11" s="4">
        <f t="shared" si="5"/>
        <v>348000</v>
      </c>
      <c r="N11" s="60">
        <f t="shared" si="0"/>
        <v>14136</v>
      </c>
      <c r="P11" s="1">
        <v>938</v>
      </c>
      <c r="Q11" s="4">
        <v>0</v>
      </c>
      <c r="R11" s="30">
        <f t="shared" si="1"/>
        <v>0</v>
      </c>
      <c r="S11" s="60"/>
      <c r="U11" s="1">
        <v>938</v>
      </c>
      <c r="V11" s="30">
        <v>0</v>
      </c>
      <c r="W11" s="30">
        <f t="shared" si="3"/>
        <v>348000</v>
      </c>
      <c r="X11" s="19">
        <v>0</v>
      </c>
      <c r="Y11" s="6">
        <f t="shared" si="4"/>
        <v>0</v>
      </c>
    </row>
    <row r="12" spans="2:25" x14ac:dyDescent="0.2">
      <c r="N12" s="60"/>
      <c r="Q12" s="4"/>
      <c r="S12" s="60"/>
      <c r="X12" s="31"/>
    </row>
    <row r="13" spans="2:25" x14ac:dyDescent="0.2">
      <c r="B13" s="28" t="s">
        <v>17</v>
      </c>
      <c r="N13" s="60"/>
      <c r="Q13" s="4"/>
      <c r="S13" s="60"/>
      <c r="X13" s="31"/>
    </row>
    <row r="14" spans="2:25" x14ac:dyDescent="0.2">
      <c r="B14" s="1" t="s">
        <v>18</v>
      </c>
      <c r="C14" s="1">
        <v>959</v>
      </c>
      <c r="D14" s="1">
        <v>65</v>
      </c>
      <c r="E14" s="6">
        <v>6.7</v>
      </c>
      <c r="F14" s="7">
        <f t="shared" ref="F14:F20" si="6">(X14-E14)/E14</f>
        <v>0.33582089552238792</v>
      </c>
      <c r="G14" s="1">
        <v>959</v>
      </c>
      <c r="K14" s="1">
        <v>959</v>
      </c>
      <c r="L14" s="4">
        <v>215</v>
      </c>
      <c r="M14" s="4">
        <f t="shared" ref="M14:M20" si="7">L14*D14*12</f>
        <v>167700</v>
      </c>
      <c r="N14" s="60">
        <f t="shared" ref="N14:N20" si="8">ROUND(L14*E14,2)*12</f>
        <v>17286</v>
      </c>
      <c r="P14" s="1">
        <v>959</v>
      </c>
      <c r="Q14" s="4"/>
      <c r="S14" s="60"/>
      <c r="U14" s="1">
        <v>959</v>
      </c>
      <c r="V14" s="30">
        <f t="shared" ref="V14:V20" si="9">(L14+Q14)*12</f>
        <v>2580</v>
      </c>
      <c r="W14" s="30">
        <f t="shared" ref="W14:W20" si="10">M14+R14</f>
        <v>167700</v>
      </c>
      <c r="X14" s="19">
        <f>ROUND(E14*(1+$X$4),2)+0.03</f>
        <v>8.9499999999999993</v>
      </c>
      <c r="Y14" s="6">
        <f t="shared" ref="Y14:Y20" si="11">ROUND(V14*X14,2)</f>
        <v>23091</v>
      </c>
    </row>
    <row r="15" spans="2:25" x14ac:dyDescent="0.2">
      <c r="B15" s="1" t="s">
        <v>19</v>
      </c>
      <c r="C15" s="1">
        <v>960</v>
      </c>
      <c r="D15" s="1">
        <v>75</v>
      </c>
      <c r="E15" s="6">
        <v>6.7</v>
      </c>
      <c r="F15" s="7">
        <f t="shared" si="6"/>
        <v>0.33582089552238792</v>
      </c>
      <c r="G15" s="1">
        <v>960</v>
      </c>
      <c r="K15" s="1">
        <v>960</v>
      </c>
      <c r="L15" s="4">
        <f>521+123</f>
        <v>644</v>
      </c>
      <c r="M15" s="4">
        <f t="shared" si="7"/>
        <v>579600</v>
      </c>
      <c r="N15" s="60">
        <f t="shared" si="8"/>
        <v>51777.600000000006</v>
      </c>
      <c r="P15" s="1">
        <v>960</v>
      </c>
      <c r="Q15" s="4"/>
      <c r="S15" s="60"/>
      <c r="U15" s="1">
        <v>960</v>
      </c>
      <c r="V15" s="30">
        <f t="shared" si="9"/>
        <v>7728</v>
      </c>
      <c r="W15" s="30">
        <f t="shared" si="10"/>
        <v>579600</v>
      </c>
      <c r="X15" s="19">
        <f>ROUND(E15*(1+$X$4),2)+0.03</f>
        <v>8.9499999999999993</v>
      </c>
      <c r="Y15" s="6">
        <f t="shared" si="11"/>
        <v>69165.600000000006</v>
      </c>
    </row>
    <row r="16" spans="2:25" x14ac:dyDescent="0.2">
      <c r="B16" s="1" t="s">
        <v>14</v>
      </c>
      <c r="C16" s="1">
        <v>961</v>
      </c>
      <c r="D16" s="1">
        <v>105</v>
      </c>
      <c r="E16" s="6">
        <v>6.9</v>
      </c>
      <c r="F16" s="7">
        <f t="shared" si="6"/>
        <v>0.33333333333333315</v>
      </c>
      <c r="G16" s="1">
        <v>961</v>
      </c>
      <c r="K16" s="1">
        <v>961</v>
      </c>
      <c r="L16" s="4">
        <v>103</v>
      </c>
      <c r="M16" s="4">
        <f t="shared" si="7"/>
        <v>129780</v>
      </c>
      <c r="N16" s="60">
        <f t="shared" si="8"/>
        <v>8528.4000000000015</v>
      </c>
      <c r="P16" s="1">
        <v>961</v>
      </c>
      <c r="Q16" s="4"/>
      <c r="S16" s="60"/>
      <c r="U16" s="1">
        <v>961</v>
      </c>
      <c r="V16" s="30">
        <f>(L16+Q16+(L18*2)+(Q18*2))*12</f>
        <v>1740</v>
      </c>
      <c r="W16" s="30">
        <f t="shared" si="10"/>
        <v>129780</v>
      </c>
      <c r="X16" s="19">
        <f>ROUND(E16*(1+$X$4),2)+0.02</f>
        <v>9.1999999999999993</v>
      </c>
      <c r="Y16" s="6">
        <f t="shared" si="11"/>
        <v>16008</v>
      </c>
    </row>
    <row r="17" spans="2:25" x14ac:dyDescent="0.2">
      <c r="B17" s="1" t="s">
        <v>15</v>
      </c>
      <c r="C17" s="1">
        <v>962</v>
      </c>
      <c r="D17" s="1">
        <v>155</v>
      </c>
      <c r="E17" s="6">
        <v>7.27</v>
      </c>
      <c r="F17" s="7">
        <f t="shared" si="6"/>
        <v>0.33425034387895458</v>
      </c>
      <c r="G17" s="1">
        <v>962</v>
      </c>
      <c r="K17" s="1">
        <v>962</v>
      </c>
      <c r="L17" s="4">
        <f>1097+7+63</f>
        <v>1167</v>
      </c>
      <c r="M17" s="4">
        <f t="shared" si="7"/>
        <v>2170620</v>
      </c>
      <c r="N17" s="60">
        <f t="shared" si="8"/>
        <v>101809.08</v>
      </c>
      <c r="P17" s="1">
        <v>962</v>
      </c>
      <c r="Q17" s="4"/>
      <c r="S17" s="60"/>
      <c r="U17" s="32" t="s">
        <v>72</v>
      </c>
      <c r="V17" s="30">
        <f>(L17+Q17+(L19*2)+(Q19))*12</f>
        <v>18156</v>
      </c>
      <c r="W17" s="30">
        <f t="shared" si="10"/>
        <v>2170620</v>
      </c>
      <c r="X17" s="19">
        <f>ROUND(E17*(1+$X$4),2)+0.02</f>
        <v>9.6999999999999993</v>
      </c>
      <c r="Y17" s="6">
        <f t="shared" si="11"/>
        <v>176113.2</v>
      </c>
    </row>
    <row r="18" spans="2:25" x14ac:dyDescent="0.2">
      <c r="B18" s="1" t="s">
        <v>63</v>
      </c>
      <c r="C18" s="1">
        <v>964</v>
      </c>
      <c r="D18" s="1">
        <v>210</v>
      </c>
      <c r="E18" s="6">
        <v>11.04</v>
      </c>
      <c r="F18" s="7"/>
      <c r="G18" s="1">
        <v>964</v>
      </c>
      <c r="K18" s="1">
        <v>964</v>
      </c>
      <c r="L18" s="4">
        <v>21</v>
      </c>
      <c r="M18" s="4">
        <f t="shared" si="7"/>
        <v>52920</v>
      </c>
      <c r="N18" s="60">
        <f t="shared" si="8"/>
        <v>2782.08</v>
      </c>
      <c r="P18" s="1">
        <v>964</v>
      </c>
      <c r="Q18" s="4"/>
      <c r="R18" s="30"/>
      <c r="S18" s="60"/>
      <c r="U18" s="1">
        <v>964</v>
      </c>
      <c r="V18" s="30">
        <v>0</v>
      </c>
      <c r="W18" s="30">
        <f t="shared" si="10"/>
        <v>52920</v>
      </c>
      <c r="X18" s="19"/>
      <c r="Y18" s="6">
        <f t="shared" si="11"/>
        <v>0</v>
      </c>
    </row>
    <row r="19" spans="2:25" x14ac:dyDescent="0.2">
      <c r="B19" s="1" t="s">
        <v>73</v>
      </c>
      <c r="C19" s="1">
        <v>965</v>
      </c>
      <c r="D19" s="1">
        <v>310</v>
      </c>
      <c r="E19" s="6">
        <v>11.66</v>
      </c>
      <c r="F19" s="7"/>
      <c r="G19" s="1">
        <v>965</v>
      </c>
      <c r="H19" s="1">
        <f>155*2</f>
        <v>310</v>
      </c>
      <c r="I19" s="6">
        <v>9.7100000000000009</v>
      </c>
      <c r="J19" s="7"/>
      <c r="K19" s="1">
        <v>965</v>
      </c>
      <c r="L19" s="4">
        <v>159</v>
      </c>
      <c r="M19" s="4">
        <f t="shared" si="7"/>
        <v>591480</v>
      </c>
      <c r="N19" s="60">
        <f t="shared" si="8"/>
        <v>22247.279999999999</v>
      </c>
      <c r="P19" s="1">
        <v>965</v>
      </c>
      <c r="Q19" s="4">
        <v>28</v>
      </c>
      <c r="R19" s="30">
        <f>Q19*H19*12</f>
        <v>104160</v>
      </c>
      <c r="S19" s="60">
        <f>ROUND(Q19*I19,2)*12</f>
        <v>3262.56</v>
      </c>
      <c r="U19" s="1">
        <v>965</v>
      </c>
      <c r="V19" s="30">
        <v>0</v>
      </c>
      <c r="W19" s="30">
        <f t="shared" si="10"/>
        <v>695640</v>
      </c>
      <c r="X19" s="19"/>
      <c r="Y19" s="6">
        <f t="shared" si="11"/>
        <v>0</v>
      </c>
    </row>
    <row r="20" spans="2:25" x14ac:dyDescent="0.2">
      <c r="B20" s="1" t="s">
        <v>20</v>
      </c>
      <c r="C20" s="1">
        <v>966</v>
      </c>
      <c r="D20" s="1">
        <v>367</v>
      </c>
      <c r="E20" s="6">
        <v>8.67</v>
      </c>
      <c r="F20" s="7">
        <f t="shared" si="6"/>
        <v>0.13610149942329869</v>
      </c>
      <c r="G20" s="1">
        <v>966</v>
      </c>
      <c r="H20" s="1">
        <v>367</v>
      </c>
      <c r="I20" s="6">
        <v>7.4</v>
      </c>
      <c r="J20" s="7">
        <f>(X20-I20)/I20</f>
        <v>0.33108108108108097</v>
      </c>
      <c r="K20" s="1">
        <v>966</v>
      </c>
      <c r="L20" s="4">
        <v>737</v>
      </c>
      <c r="M20" s="4">
        <f t="shared" si="7"/>
        <v>3245748</v>
      </c>
      <c r="N20" s="60">
        <f t="shared" si="8"/>
        <v>76677.48</v>
      </c>
      <c r="P20" s="1">
        <v>966</v>
      </c>
      <c r="Q20" s="4">
        <v>53</v>
      </c>
      <c r="R20" s="30">
        <f>Q20*H20*12</f>
        <v>233412</v>
      </c>
      <c r="S20" s="60">
        <f>ROUND(Q20*I20,2)*12</f>
        <v>4706.3999999999996</v>
      </c>
      <c r="U20" s="1">
        <v>966</v>
      </c>
      <c r="V20" s="30">
        <f t="shared" si="9"/>
        <v>9480</v>
      </c>
      <c r="W20" s="30">
        <f t="shared" si="10"/>
        <v>3479160</v>
      </c>
      <c r="X20" s="19">
        <f>ROUND(I20*(1+$X$4),2)</f>
        <v>9.85</v>
      </c>
      <c r="Y20" s="6">
        <f t="shared" si="11"/>
        <v>93378</v>
      </c>
    </row>
    <row r="21" spans="2:25" x14ac:dyDescent="0.2">
      <c r="N21" s="60"/>
      <c r="Q21" s="4"/>
      <c r="R21" s="30"/>
      <c r="S21" s="60"/>
      <c r="X21" s="19"/>
    </row>
    <row r="22" spans="2:25" x14ac:dyDescent="0.2">
      <c r="B22" s="28" t="s">
        <v>21</v>
      </c>
      <c r="N22" s="60"/>
      <c r="Q22" s="4"/>
      <c r="S22" s="60"/>
      <c r="X22" s="19"/>
    </row>
    <row r="23" spans="2:25" x14ac:dyDescent="0.2">
      <c r="B23" s="1" t="s">
        <v>22</v>
      </c>
      <c r="C23" s="1">
        <v>944</v>
      </c>
      <c r="D23" s="1">
        <v>28</v>
      </c>
      <c r="E23" s="6">
        <v>4.12</v>
      </c>
      <c r="F23" s="7">
        <f>(X23-E23)/E23</f>
        <v>0.33009708737864085</v>
      </c>
      <c r="G23" s="1">
        <v>944</v>
      </c>
      <c r="H23" s="1">
        <v>28</v>
      </c>
      <c r="I23" s="6">
        <v>4.71</v>
      </c>
      <c r="J23" s="7">
        <f t="shared" ref="J23:J28" si="12">(X23-I23)/I23</f>
        <v>0.16348195329087059</v>
      </c>
      <c r="K23" s="1">
        <v>944</v>
      </c>
      <c r="L23" s="4">
        <f>81+126</f>
        <v>207</v>
      </c>
      <c r="M23" s="4">
        <f t="shared" ref="M23:M35" si="13">L23*D23*12</f>
        <v>69552</v>
      </c>
      <c r="N23" s="60">
        <f t="shared" ref="N23:N33" si="14">ROUND(L23*E23,2)*12</f>
        <v>10234.08</v>
      </c>
      <c r="P23" s="1">
        <v>944</v>
      </c>
      <c r="Q23" s="4">
        <f>15615+20+18+8+6</f>
        <v>15667</v>
      </c>
      <c r="R23" s="30">
        <f t="shared" ref="R23:R33" si="15">Q23*H23*12</f>
        <v>5264112</v>
      </c>
      <c r="S23" s="60">
        <f>ROUND(Q23*I23,2)*12</f>
        <v>885498.84000000008</v>
      </c>
      <c r="U23" s="1">
        <v>944</v>
      </c>
      <c r="V23" s="30">
        <f t="shared" ref="V23:V33" si="16">(L23+Q23)*12</f>
        <v>190488</v>
      </c>
      <c r="W23" s="30">
        <f t="shared" ref="W23:W33" si="17">M23+R23</f>
        <v>5333664</v>
      </c>
      <c r="X23" s="19">
        <f>ROUND(E23*(1+$X$4),2)</f>
        <v>5.48</v>
      </c>
      <c r="Y23" s="6">
        <f t="shared" ref="Y23:Y33" si="18">ROUND(V23*X23,2)</f>
        <v>1043874.24</v>
      </c>
    </row>
    <row r="24" spans="2:25" x14ac:dyDescent="0.2">
      <c r="B24" s="1" t="s">
        <v>12</v>
      </c>
      <c r="C24" s="1">
        <v>945</v>
      </c>
      <c r="D24" s="1">
        <v>39</v>
      </c>
      <c r="E24" s="6">
        <v>4.21</v>
      </c>
      <c r="F24" s="7">
        <f>(X24-E24)/E24</f>
        <v>0.33016627078384791</v>
      </c>
      <c r="G24" s="1">
        <v>945</v>
      </c>
      <c r="H24" s="1">
        <v>39</v>
      </c>
      <c r="I24" s="6">
        <v>5.59</v>
      </c>
      <c r="J24" s="7">
        <f t="shared" si="12"/>
        <v>1.7889087656529135E-3</v>
      </c>
      <c r="K24" s="1">
        <v>945</v>
      </c>
      <c r="L24" s="4">
        <f>10505+1+65+113</f>
        <v>10684</v>
      </c>
      <c r="M24" s="4">
        <f t="shared" si="13"/>
        <v>5000112</v>
      </c>
      <c r="N24" s="60">
        <f t="shared" si="14"/>
        <v>539755.67999999993</v>
      </c>
      <c r="P24" s="1">
        <v>945</v>
      </c>
      <c r="Q24" s="4">
        <v>0</v>
      </c>
      <c r="R24" s="30">
        <f t="shared" si="15"/>
        <v>0</v>
      </c>
      <c r="S24" s="60"/>
      <c r="U24" s="1">
        <v>945</v>
      </c>
      <c r="V24" s="30">
        <f t="shared" si="16"/>
        <v>128208</v>
      </c>
      <c r="W24" s="30">
        <f t="shared" si="17"/>
        <v>5000112</v>
      </c>
      <c r="X24" s="19">
        <f>ROUND(E24*(1+$X$4),2)</f>
        <v>5.6</v>
      </c>
      <c r="Y24" s="6">
        <f t="shared" si="18"/>
        <v>717964.80000000005</v>
      </c>
    </row>
    <row r="25" spans="2:25" x14ac:dyDescent="0.2">
      <c r="B25" s="1" t="s">
        <v>18</v>
      </c>
      <c r="C25" s="1">
        <v>946</v>
      </c>
      <c r="D25" s="1">
        <v>57</v>
      </c>
      <c r="E25" s="6">
        <v>4.33</v>
      </c>
      <c r="F25" s="7">
        <f>(X25-E25)/E25</f>
        <v>0.33025404157043875</v>
      </c>
      <c r="G25" s="1">
        <v>946</v>
      </c>
      <c r="H25" s="1">
        <v>57</v>
      </c>
      <c r="I25" s="6">
        <v>4.97</v>
      </c>
      <c r="J25" s="7">
        <f t="shared" si="12"/>
        <v>0.15895372233400404</v>
      </c>
      <c r="K25" s="1">
        <v>946</v>
      </c>
      <c r="L25" s="4">
        <f>37584+114+434+447</f>
        <v>38579</v>
      </c>
      <c r="M25" s="4">
        <f t="shared" si="13"/>
        <v>26388036</v>
      </c>
      <c r="N25" s="60">
        <f t="shared" si="14"/>
        <v>2004564.84</v>
      </c>
      <c r="P25" s="1">
        <v>946</v>
      </c>
      <c r="Q25" s="4">
        <v>3428</v>
      </c>
      <c r="R25" s="30">
        <f t="shared" si="15"/>
        <v>2344752</v>
      </c>
      <c r="S25" s="60">
        <f>ROUND(Q25*I25,2)*12</f>
        <v>204445.91999999998</v>
      </c>
      <c r="U25" s="1">
        <v>946</v>
      </c>
      <c r="V25" s="30">
        <f>(L25+Q25+(Q27*2)+(L30*2))*12</f>
        <v>509796</v>
      </c>
      <c r="W25" s="30">
        <f t="shared" si="17"/>
        <v>28732788</v>
      </c>
      <c r="X25" s="19">
        <f>ROUND(E25*(1+$X$4),2)</f>
        <v>5.76</v>
      </c>
      <c r="Y25" s="6">
        <f t="shared" si="18"/>
        <v>2936424.96</v>
      </c>
    </row>
    <row r="26" spans="2:25" x14ac:dyDescent="0.2">
      <c r="B26" s="1" t="s">
        <v>14</v>
      </c>
      <c r="C26" s="1">
        <v>947</v>
      </c>
      <c r="D26" s="1">
        <v>104</v>
      </c>
      <c r="E26" s="6">
        <v>6.06</v>
      </c>
      <c r="F26" s="7">
        <f>(X26-E26)/E26</f>
        <v>0.33168316831683181</v>
      </c>
      <c r="G26" s="1">
        <v>947</v>
      </c>
      <c r="H26" s="1">
        <v>104</v>
      </c>
      <c r="I26" s="6">
        <v>7.39</v>
      </c>
      <c r="J26" s="7">
        <f t="shared" si="12"/>
        <v>9.2016238159675329E-2</v>
      </c>
      <c r="K26" s="1">
        <v>947</v>
      </c>
      <c r="L26" s="4">
        <f>41215+108+1042</f>
        <v>42365</v>
      </c>
      <c r="M26" s="4">
        <f t="shared" si="13"/>
        <v>52871520</v>
      </c>
      <c r="N26" s="60">
        <f t="shared" si="14"/>
        <v>3080782.8</v>
      </c>
      <c r="P26" s="1">
        <v>947</v>
      </c>
      <c r="Q26" s="4">
        <v>3912</v>
      </c>
      <c r="R26" s="30">
        <f t="shared" si="15"/>
        <v>4882176</v>
      </c>
      <c r="S26" s="60">
        <f>ROUND(Q26*I26,2)*12</f>
        <v>346916.16000000003</v>
      </c>
      <c r="U26" s="1">
        <v>947</v>
      </c>
      <c r="V26" s="30">
        <f>(L26+Q26+(Q29*2)+(L31*2))*12</f>
        <v>577476</v>
      </c>
      <c r="W26" s="30">
        <f t="shared" si="17"/>
        <v>57753696</v>
      </c>
      <c r="X26" s="19">
        <f>ROUND(E26*(1+$X$4),2)</f>
        <v>8.07</v>
      </c>
      <c r="Y26" s="6">
        <f t="shared" si="18"/>
        <v>4660231.32</v>
      </c>
    </row>
    <row r="27" spans="2:25" x14ac:dyDescent="0.2">
      <c r="B27" s="1" t="s">
        <v>64</v>
      </c>
      <c r="C27" s="1">
        <v>948</v>
      </c>
      <c r="G27" s="1">
        <v>948</v>
      </c>
      <c r="H27" s="1">
        <v>114</v>
      </c>
      <c r="I27" s="6">
        <v>12.38</v>
      </c>
      <c r="J27" s="7"/>
      <c r="K27" s="1">
        <v>948</v>
      </c>
      <c r="L27" s="4">
        <v>0</v>
      </c>
      <c r="M27" s="4">
        <f t="shared" si="13"/>
        <v>0</v>
      </c>
      <c r="N27" s="60">
        <f t="shared" si="14"/>
        <v>0</v>
      </c>
      <c r="P27" s="1">
        <v>948</v>
      </c>
      <c r="Q27" s="4">
        <v>106</v>
      </c>
      <c r="R27" s="30">
        <f t="shared" si="15"/>
        <v>145008</v>
      </c>
      <c r="S27" s="60">
        <f>ROUND(Q27*I27,2)*12</f>
        <v>15747.36</v>
      </c>
      <c r="U27" s="1">
        <v>948</v>
      </c>
      <c r="V27" s="30">
        <v>0</v>
      </c>
      <c r="W27" s="30">
        <f t="shared" si="17"/>
        <v>145008</v>
      </c>
      <c r="X27" s="19">
        <v>0</v>
      </c>
      <c r="Y27" s="6">
        <f t="shared" si="18"/>
        <v>0</v>
      </c>
    </row>
    <row r="28" spans="2:25" x14ac:dyDescent="0.2">
      <c r="B28" s="1" t="s">
        <v>15</v>
      </c>
      <c r="C28" s="1">
        <v>949</v>
      </c>
      <c r="D28" s="1">
        <v>165</v>
      </c>
      <c r="E28" s="6">
        <v>6.57</v>
      </c>
      <c r="F28" s="7">
        <f>(X28-E28)/E28</f>
        <v>0.33181126331811256</v>
      </c>
      <c r="G28" s="1">
        <v>949</v>
      </c>
      <c r="H28" s="1">
        <v>155</v>
      </c>
      <c r="I28" s="6">
        <v>8.77</v>
      </c>
      <c r="J28" s="7">
        <f t="shared" si="12"/>
        <v>-2.2805017103762343E-3</v>
      </c>
      <c r="K28" s="1">
        <v>949</v>
      </c>
      <c r="L28" s="4">
        <f>3587</f>
        <v>3587</v>
      </c>
      <c r="M28" s="4">
        <f t="shared" si="13"/>
        <v>7102260</v>
      </c>
      <c r="N28" s="60">
        <f t="shared" si="14"/>
        <v>282799.08</v>
      </c>
      <c r="P28" s="1">
        <v>949</v>
      </c>
      <c r="Q28" s="4">
        <v>61</v>
      </c>
      <c r="R28" s="30">
        <f t="shared" si="15"/>
        <v>113460</v>
      </c>
      <c r="S28" s="60">
        <f>ROUND(Q28*I28,2)*12</f>
        <v>6419.64</v>
      </c>
      <c r="U28" s="1">
        <v>949</v>
      </c>
      <c r="V28" s="30">
        <f>((L28+Q28)+(+L32*2))*12</f>
        <v>45312</v>
      </c>
      <c r="W28" s="30">
        <f t="shared" si="17"/>
        <v>7215720</v>
      </c>
      <c r="X28" s="19">
        <f>ROUND(E28*(1+$X$4),2)</f>
        <v>8.75</v>
      </c>
      <c r="Y28" s="6">
        <f t="shared" si="18"/>
        <v>396480</v>
      </c>
    </row>
    <row r="29" spans="2:25" x14ac:dyDescent="0.2">
      <c r="B29" s="1" t="s">
        <v>63</v>
      </c>
      <c r="C29" s="1">
        <v>950</v>
      </c>
      <c r="G29" s="1">
        <v>950</v>
      </c>
      <c r="H29" s="1">
        <v>208</v>
      </c>
      <c r="I29" s="6">
        <v>13.76</v>
      </c>
      <c r="J29" s="7"/>
      <c r="K29" s="1">
        <v>950</v>
      </c>
      <c r="L29" s="4">
        <v>0</v>
      </c>
      <c r="M29" s="4">
        <f t="shared" si="13"/>
        <v>0</v>
      </c>
      <c r="N29" s="60">
        <f t="shared" si="14"/>
        <v>0</v>
      </c>
      <c r="P29" s="1">
        <v>950</v>
      </c>
      <c r="Q29" s="4">
        <v>131</v>
      </c>
      <c r="R29" s="30">
        <f t="shared" si="15"/>
        <v>326976</v>
      </c>
      <c r="S29" s="60">
        <f>ROUND(Q29*I29,2)*12</f>
        <v>21630.720000000001</v>
      </c>
      <c r="U29" s="1">
        <v>950</v>
      </c>
      <c r="V29" s="30">
        <v>0</v>
      </c>
      <c r="W29" s="30">
        <f t="shared" si="17"/>
        <v>326976</v>
      </c>
      <c r="X29" s="19">
        <v>0</v>
      </c>
      <c r="Y29" s="6">
        <f t="shared" si="18"/>
        <v>0</v>
      </c>
    </row>
    <row r="30" spans="2:25" x14ac:dyDescent="0.2">
      <c r="B30" s="1" t="s">
        <v>64</v>
      </c>
      <c r="C30" s="1">
        <v>952</v>
      </c>
      <c r="D30" s="1">
        <v>140</v>
      </c>
      <c r="E30" s="6">
        <v>6.4</v>
      </c>
      <c r="F30" s="7"/>
      <c r="G30" s="1">
        <v>952</v>
      </c>
      <c r="K30" s="1">
        <v>952</v>
      </c>
      <c r="L30" s="4">
        <v>132</v>
      </c>
      <c r="M30" s="4">
        <f t="shared" si="13"/>
        <v>221760</v>
      </c>
      <c r="N30" s="60">
        <f t="shared" si="14"/>
        <v>10137.599999999999</v>
      </c>
      <c r="P30" s="1">
        <v>952</v>
      </c>
      <c r="Q30" s="4">
        <v>0</v>
      </c>
      <c r="R30" s="30">
        <f t="shared" si="15"/>
        <v>0</v>
      </c>
      <c r="S30" s="60"/>
      <c r="U30" s="1">
        <v>952</v>
      </c>
      <c r="V30" s="30">
        <v>0</v>
      </c>
      <c r="W30" s="30">
        <f t="shared" si="17"/>
        <v>221760</v>
      </c>
      <c r="X30" s="19">
        <v>0</v>
      </c>
      <c r="Y30" s="6">
        <f t="shared" si="18"/>
        <v>0</v>
      </c>
    </row>
    <row r="31" spans="2:25" x14ac:dyDescent="0.2">
      <c r="B31" s="1" t="s">
        <v>63</v>
      </c>
      <c r="C31" s="1">
        <v>953</v>
      </c>
      <c r="D31" s="1">
        <v>210</v>
      </c>
      <c r="E31" s="6">
        <v>9.86</v>
      </c>
      <c r="F31" s="7"/>
      <c r="G31" s="1">
        <v>953</v>
      </c>
      <c r="K31" s="1">
        <v>953</v>
      </c>
      <c r="L31" s="4">
        <v>792</v>
      </c>
      <c r="M31" s="4">
        <f t="shared" si="13"/>
        <v>1995840</v>
      </c>
      <c r="N31" s="60">
        <f t="shared" si="14"/>
        <v>93709.440000000002</v>
      </c>
      <c r="P31" s="1">
        <v>953</v>
      </c>
      <c r="Q31" s="4">
        <v>0</v>
      </c>
      <c r="R31" s="30">
        <f t="shared" si="15"/>
        <v>0</v>
      </c>
      <c r="S31" s="60"/>
      <c r="U31" s="1">
        <v>953</v>
      </c>
      <c r="V31" s="30">
        <v>0</v>
      </c>
      <c r="W31" s="30">
        <f t="shared" si="17"/>
        <v>1995840</v>
      </c>
      <c r="X31" s="19">
        <v>0</v>
      </c>
      <c r="Y31" s="6">
        <f t="shared" si="18"/>
        <v>0</v>
      </c>
    </row>
    <row r="32" spans="2:25" x14ac:dyDescent="0.2">
      <c r="B32" s="1" t="s">
        <v>61</v>
      </c>
      <c r="C32" s="1">
        <v>954</v>
      </c>
      <c r="D32" s="1">
        <v>330</v>
      </c>
      <c r="E32" s="6">
        <v>10.86</v>
      </c>
      <c r="F32" s="7"/>
      <c r="G32" s="1">
        <v>954</v>
      </c>
      <c r="K32" s="1">
        <v>954</v>
      </c>
      <c r="L32" s="4">
        <v>64</v>
      </c>
      <c r="M32" s="4">
        <f t="shared" si="13"/>
        <v>253440</v>
      </c>
      <c r="N32" s="60">
        <f t="shared" si="14"/>
        <v>8340.48</v>
      </c>
      <c r="P32" s="1">
        <v>954</v>
      </c>
      <c r="Q32" s="4">
        <v>0</v>
      </c>
      <c r="R32" s="30">
        <f t="shared" si="15"/>
        <v>0</v>
      </c>
      <c r="S32" s="60"/>
      <c r="U32" s="1">
        <v>954</v>
      </c>
      <c r="V32" s="30">
        <v>0</v>
      </c>
      <c r="W32" s="30">
        <f t="shared" si="17"/>
        <v>253440</v>
      </c>
      <c r="X32" s="19">
        <v>0</v>
      </c>
      <c r="Y32" s="6">
        <f t="shared" si="18"/>
        <v>0</v>
      </c>
    </row>
    <row r="33" spans="2:25" x14ac:dyDescent="0.2">
      <c r="B33" s="1" t="s">
        <v>16</v>
      </c>
      <c r="C33" s="1">
        <v>955</v>
      </c>
      <c r="D33" s="1">
        <v>367</v>
      </c>
      <c r="E33" s="6">
        <v>5.55</v>
      </c>
      <c r="F33" s="7">
        <f>(X33-E33)/E33</f>
        <v>0.33333333333333326</v>
      </c>
      <c r="G33" s="1">
        <v>955</v>
      </c>
      <c r="H33" s="1">
        <v>367</v>
      </c>
      <c r="I33" s="6">
        <v>5.86</v>
      </c>
      <c r="J33" s="7">
        <f>(X33-I33)/I33</f>
        <v>0.26279863481228655</v>
      </c>
      <c r="K33" s="1">
        <v>955</v>
      </c>
      <c r="L33" s="4">
        <f>536</f>
        <v>536</v>
      </c>
      <c r="M33" s="4">
        <f t="shared" si="13"/>
        <v>2360544</v>
      </c>
      <c r="N33" s="60">
        <f t="shared" si="14"/>
        <v>35697.600000000006</v>
      </c>
      <c r="P33" s="1">
        <v>955</v>
      </c>
      <c r="Q33" s="4">
        <v>48</v>
      </c>
      <c r="R33" s="30">
        <f t="shared" si="15"/>
        <v>211392</v>
      </c>
      <c r="S33" s="60">
        <f>ROUND(Q33*I33,2)*12</f>
        <v>3375.3599999999997</v>
      </c>
      <c r="U33" s="1">
        <v>955</v>
      </c>
      <c r="V33" s="30">
        <f t="shared" si="16"/>
        <v>7008</v>
      </c>
      <c r="W33" s="30">
        <f t="shared" si="17"/>
        <v>2571936</v>
      </c>
      <c r="X33" s="19">
        <f>ROUND(E33*(1+$X$4),2)+0.01</f>
        <v>7.3999999999999995</v>
      </c>
      <c r="Y33" s="6">
        <f t="shared" si="18"/>
        <v>51859.199999999997</v>
      </c>
    </row>
    <row r="34" spans="2:25" x14ac:dyDescent="0.2">
      <c r="M34" s="4">
        <f t="shared" si="13"/>
        <v>0</v>
      </c>
      <c r="N34" s="60"/>
      <c r="Q34" s="4"/>
      <c r="S34" s="60"/>
      <c r="X34" s="19"/>
    </row>
    <row r="35" spans="2:25" x14ac:dyDescent="0.2">
      <c r="B35" s="1" t="s">
        <v>65</v>
      </c>
      <c r="C35" s="1">
        <v>971</v>
      </c>
      <c r="G35" s="1">
        <v>971</v>
      </c>
      <c r="H35" s="1">
        <v>227</v>
      </c>
      <c r="I35" s="6">
        <v>7.71</v>
      </c>
      <c r="J35" s="7"/>
      <c r="K35" s="1">
        <v>971</v>
      </c>
      <c r="L35" s="4">
        <v>0</v>
      </c>
      <c r="M35" s="4">
        <f t="shared" si="13"/>
        <v>0</v>
      </c>
      <c r="N35" s="60">
        <f>ROUND(L35*E35,2)*12</f>
        <v>0</v>
      </c>
      <c r="P35" s="1">
        <v>971</v>
      </c>
      <c r="Q35" s="4">
        <v>0</v>
      </c>
      <c r="R35" s="30">
        <f>Q35*H35*12</f>
        <v>0</v>
      </c>
      <c r="S35" s="60">
        <f>ROUND(Q35*I35,2)</f>
        <v>0</v>
      </c>
      <c r="U35" s="1">
        <v>971</v>
      </c>
      <c r="V35" s="30">
        <f>(L35+Q35)*12</f>
        <v>0</v>
      </c>
      <c r="W35" s="30">
        <f>M35+R35</f>
        <v>0</v>
      </c>
      <c r="X35" s="19">
        <v>0</v>
      </c>
      <c r="Y35" s="6">
        <f>ROUND(V35*X35,2)</f>
        <v>0</v>
      </c>
    </row>
    <row r="36" spans="2:25" x14ac:dyDescent="0.2">
      <c r="N36" s="60"/>
      <c r="Q36" s="4"/>
      <c r="S36" s="60"/>
      <c r="X36" s="19"/>
    </row>
    <row r="37" spans="2:25" x14ac:dyDescent="0.2">
      <c r="B37" s="1" t="s">
        <v>23</v>
      </c>
      <c r="N37" s="60"/>
      <c r="Q37" s="4"/>
      <c r="S37" s="60"/>
      <c r="X37" s="19"/>
    </row>
    <row r="38" spans="2:25" x14ac:dyDescent="0.2">
      <c r="B38" s="1" t="s">
        <v>24</v>
      </c>
      <c r="N38" s="60"/>
      <c r="Q38" s="4"/>
      <c r="S38" s="60"/>
      <c r="X38" s="19"/>
    </row>
    <row r="39" spans="2:25" x14ac:dyDescent="0.2">
      <c r="N39" s="60"/>
      <c r="Q39" s="4"/>
      <c r="S39" s="60"/>
      <c r="X39" s="19"/>
    </row>
    <row r="40" spans="2:25" x14ac:dyDescent="0.2">
      <c r="B40" s="1" t="s">
        <v>25</v>
      </c>
      <c r="N40" s="60"/>
      <c r="Q40" s="4"/>
      <c r="S40" s="60"/>
      <c r="X40" s="19"/>
    </row>
    <row r="41" spans="2:25" x14ac:dyDescent="0.2">
      <c r="B41" s="1" t="s">
        <v>17</v>
      </c>
      <c r="N41" s="60"/>
      <c r="Q41" s="4"/>
      <c r="S41" s="60"/>
      <c r="X41" s="19"/>
    </row>
    <row r="42" spans="2:25" x14ac:dyDescent="0.2">
      <c r="B42" s="1" t="s">
        <v>26</v>
      </c>
      <c r="C42" s="1">
        <v>975</v>
      </c>
      <c r="D42" s="1">
        <v>155</v>
      </c>
      <c r="E42" s="6">
        <v>11.39</v>
      </c>
      <c r="F42" s="7">
        <f>(X42-E42)/E42</f>
        <v>0.33099209833186999</v>
      </c>
      <c r="K42" s="1">
        <v>975</v>
      </c>
      <c r="L42" s="4">
        <v>0</v>
      </c>
      <c r="M42" s="4">
        <f>L42*D42*12</f>
        <v>0</v>
      </c>
      <c r="N42" s="60">
        <f>ROUND(L42*E42,2)*12</f>
        <v>0</v>
      </c>
      <c r="Q42" s="4"/>
      <c r="S42" s="60"/>
      <c r="U42" s="1">
        <v>975</v>
      </c>
      <c r="V42" s="30">
        <f>(L42+Q42)*12</f>
        <v>0</v>
      </c>
      <c r="W42" s="30">
        <f>M42+R42</f>
        <v>0</v>
      </c>
      <c r="X42" s="19">
        <f>ROUND(E42*(1+$X$4),2)</f>
        <v>15.16</v>
      </c>
      <c r="Y42" s="6">
        <f>ROUND(V42*X42,2)</f>
        <v>0</v>
      </c>
    </row>
    <row r="43" spans="2:25" x14ac:dyDescent="0.2">
      <c r="B43" s="1" t="s">
        <v>27</v>
      </c>
      <c r="C43" s="1">
        <v>976</v>
      </c>
      <c r="D43" s="1">
        <v>75</v>
      </c>
      <c r="E43" s="6">
        <v>19.2</v>
      </c>
      <c r="F43" s="7">
        <f>(X43-E43)/E43</f>
        <v>0.33124999999999999</v>
      </c>
      <c r="K43" s="1">
        <v>976</v>
      </c>
      <c r="L43" s="4">
        <v>582</v>
      </c>
      <c r="M43" s="4">
        <f>L43*D43*12</f>
        <v>523800</v>
      </c>
      <c r="N43" s="60">
        <f>ROUND(L43*E43,2)*12</f>
        <v>134092.79999999999</v>
      </c>
      <c r="Q43" s="4"/>
      <c r="S43" s="60"/>
      <c r="U43" s="1">
        <v>976</v>
      </c>
      <c r="V43" s="30">
        <f>(L43+Q43)*12</f>
        <v>6984</v>
      </c>
      <c r="W43" s="30">
        <f>M43+R43</f>
        <v>523800</v>
      </c>
      <c r="X43" s="19">
        <f>ROUND(E43*(1+$X$4),2)</f>
        <v>25.56</v>
      </c>
      <c r="Y43" s="6">
        <f>ROUND(V43*X43,2)</f>
        <v>178511.04</v>
      </c>
    </row>
    <row r="44" spans="2:25" x14ac:dyDescent="0.2">
      <c r="B44" s="1" t="s">
        <v>28</v>
      </c>
      <c r="C44" s="1">
        <v>978</v>
      </c>
      <c r="D44" s="1">
        <v>65</v>
      </c>
      <c r="E44" s="6">
        <v>19.2</v>
      </c>
      <c r="F44" s="7">
        <f>(X44-E44)/E44</f>
        <v>0.33124999999999999</v>
      </c>
      <c r="K44" s="1">
        <v>978</v>
      </c>
      <c r="L44" s="4">
        <v>147</v>
      </c>
      <c r="M44" s="4">
        <f>L44*D44*12</f>
        <v>114660</v>
      </c>
      <c r="N44" s="60">
        <f>ROUND(L44*E44,2)*12</f>
        <v>33868.800000000003</v>
      </c>
      <c r="Q44" s="4"/>
      <c r="S44" s="60"/>
      <c r="U44" s="1">
        <v>978</v>
      </c>
      <c r="V44" s="30">
        <f>(L44+Q44)*12</f>
        <v>1764</v>
      </c>
      <c r="W44" s="30">
        <f>M44+R44</f>
        <v>114660</v>
      </c>
      <c r="X44" s="19">
        <f>ROUND(E44*(1+$X$4),2)</f>
        <v>25.56</v>
      </c>
      <c r="Y44" s="6">
        <f>ROUND(V44*X44,2)</f>
        <v>45087.839999999997</v>
      </c>
    </row>
    <row r="45" spans="2:25" x14ac:dyDescent="0.2">
      <c r="N45" s="60"/>
      <c r="Q45" s="4"/>
      <c r="S45" s="60"/>
      <c r="X45" s="19"/>
    </row>
    <row r="46" spans="2:25" x14ac:dyDescent="0.2">
      <c r="B46" s="1" t="s">
        <v>29</v>
      </c>
      <c r="N46" s="60"/>
      <c r="Q46" s="4"/>
      <c r="S46" s="60"/>
      <c r="X46" s="19"/>
    </row>
    <row r="47" spans="2:25" x14ac:dyDescent="0.2">
      <c r="B47" s="1" t="s">
        <v>30</v>
      </c>
      <c r="C47" s="1">
        <v>977</v>
      </c>
      <c r="D47" s="1">
        <v>39</v>
      </c>
      <c r="E47" s="6">
        <v>18.600000000000001</v>
      </c>
      <c r="F47" s="7">
        <f>(X47-E47)/E47</f>
        <v>0.33118279569892473</v>
      </c>
      <c r="K47" s="1">
        <v>977</v>
      </c>
      <c r="L47" s="4">
        <v>17</v>
      </c>
      <c r="M47" s="4">
        <f>L47*D47*12</f>
        <v>7956</v>
      </c>
      <c r="N47" s="60">
        <f>ROUND(L47*E47,2)*12</f>
        <v>3794.3999999999996</v>
      </c>
      <c r="Q47" s="4"/>
      <c r="S47" s="60"/>
      <c r="U47" s="1">
        <v>977</v>
      </c>
      <c r="V47" s="30">
        <f>(L47+Q47)*12</f>
        <v>204</v>
      </c>
      <c r="W47" s="30">
        <f>M47+R47</f>
        <v>7956</v>
      </c>
      <c r="X47" s="19">
        <f>ROUND(E47*(1+$X$4),2)</f>
        <v>24.76</v>
      </c>
      <c r="Y47" s="6">
        <f>ROUND(V47*X47,2)</f>
        <v>5051.04</v>
      </c>
    </row>
    <row r="48" spans="2:25" x14ac:dyDescent="0.2">
      <c r="N48" s="60"/>
      <c r="Q48" s="4"/>
      <c r="S48" s="60"/>
      <c r="X48" s="31"/>
    </row>
    <row r="49" spans="2:25" x14ac:dyDescent="0.2">
      <c r="B49" s="1" t="s">
        <v>31</v>
      </c>
      <c r="N49" s="60"/>
      <c r="Q49" s="4"/>
      <c r="S49" s="60"/>
      <c r="X49" s="31"/>
    </row>
    <row r="50" spans="2:25" x14ac:dyDescent="0.2">
      <c r="B50" s="1" t="s">
        <v>32</v>
      </c>
      <c r="G50" s="1">
        <v>940</v>
      </c>
      <c r="H50" s="1">
        <v>24</v>
      </c>
      <c r="I50" s="6">
        <v>8.93</v>
      </c>
      <c r="J50" s="7">
        <f>(X50-I50)/I50</f>
        <v>0.33146696528555442</v>
      </c>
      <c r="N50" s="60"/>
      <c r="P50" s="1">
        <v>940</v>
      </c>
      <c r="Q50" s="4">
        <v>75</v>
      </c>
      <c r="R50" s="30">
        <f>Q50*H50*12</f>
        <v>21600</v>
      </c>
      <c r="S50" s="60">
        <f>ROUND(Q50*I50,2)*12</f>
        <v>8037</v>
      </c>
      <c r="V50" s="30">
        <f>(L50+Q50)*12</f>
        <v>900</v>
      </c>
      <c r="W50" s="30">
        <f>M50+R50</f>
        <v>21600</v>
      </c>
      <c r="X50" s="19">
        <f>ROUND(I50*(1+$X$4),2)</f>
        <v>11.89</v>
      </c>
      <c r="Y50" s="6">
        <f>ROUND(V50*X50,2)</f>
        <v>10701</v>
      </c>
    </row>
    <row r="51" spans="2:25" x14ac:dyDescent="0.2">
      <c r="B51" s="1" t="s">
        <v>33</v>
      </c>
      <c r="G51" s="1">
        <v>941</v>
      </c>
      <c r="H51" s="1">
        <v>28</v>
      </c>
      <c r="I51" s="6">
        <v>9.0500000000000007</v>
      </c>
      <c r="J51" s="7">
        <f>(X51-I51)/I51</f>
        <v>0.33149171270718231</v>
      </c>
      <c r="N51" s="60"/>
      <c r="P51" s="1">
        <v>941</v>
      </c>
      <c r="Q51" s="4">
        <f>31+36</f>
        <v>67</v>
      </c>
      <c r="R51" s="30">
        <f>Q51*H51*12</f>
        <v>22512</v>
      </c>
      <c r="S51" s="60">
        <f>ROUND(Q51*I51,2)*12</f>
        <v>7276.2000000000007</v>
      </c>
      <c r="V51" s="30">
        <f>(L51+Q51)*12</f>
        <v>804</v>
      </c>
      <c r="W51" s="30">
        <f>M51+R51</f>
        <v>22512</v>
      </c>
      <c r="X51" s="19">
        <f>ROUND(I51*(1+$X$4),2)</f>
        <v>12.05</v>
      </c>
      <c r="Y51" s="6">
        <f>ROUND(V51*X51,2)</f>
        <v>9688.2000000000007</v>
      </c>
    </row>
    <row r="52" spans="2:25" x14ac:dyDescent="0.2">
      <c r="B52" s="1" t="s">
        <v>34</v>
      </c>
      <c r="G52" s="1">
        <v>942</v>
      </c>
      <c r="H52" s="1">
        <v>44</v>
      </c>
      <c r="I52" s="6">
        <v>10.7</v>
      </c>
      <c r="J52" s="7">
        <f>(X52-I52)/I52</f>
        <v>0.33084112149532718</v>
      </c>
      <c r="N52" s="60"/>
      <c r="P52" s="1">
        <v>942</v>
      </c>
      <c r="Q52" s="4">
        <v>41</v>
      </c>
      <c r="R52" s="30">
        <f>Q52*H52*12</f>
        <v>21648</v>
      </c>
      <c r="S52" s="60">
        <f>ROUND(Q52*I52,2)*12</f>
        <v>5264.4</v>
      </c>
      <c r="V52" s="30">
        <f>(L52+Q52)*12</f>
        <v>492</v>
      </c>
      <c r="W52" s="30">
        <f>M52+R52</f>
        <v>21648</v>
      </c>
      <c r="X52" s="19">
        <f>ROUND(I52*(1+$X$4),2)</f>
        <v>14.24</v>
      </c>
      <c r="Y52" s="6">
        <f>ROUND(V52*X52,2)</f>
        <v>7006.08</v>
      </c>
    </row>
    <row r="53" spans="2:25" x14ac:dyDescent="0.2">
      <c r="B53" s="1" t="s">
        <v>66</v>
      </c>
      <c r="G53" s="1">
        <v>943</v>
      </c>
      <c r="H53" s="1">
        <v>88</v>
      </c>
      <c r="I53" s="6">
        <v>13</v>
      </c>
      <c r="J53" s="7"/>
      <c r="N53" s="60"/>
      <c r="P53" s="1">
        <v>943</v>
      </c>
      <c r="Q53" s="4">
        <v>0</v>
      </c>
      <c r="R53" s="30">
        <f>Q53*H53*12</f>
        <v>0</v>
      </c>
      <c r="S53" s="60"/>
      <c r="V53" s="30">
        <f>(L53+Q53)*12</f>
        <v>0</v>
      </c>
      <c r="W53" s="30">
        <f>M53+R53</f>
        <v>0</v>
      </c>
      <c r="X53" s="19"/>
      <c r="Y53" s="6">
        <f>ROUND(V53*X53,2)</f>
        <v>0</v>
      </c>
    </row>
    <row r="54" spans="2:25" x14ac:dyDescent="0.2">
      <c r="N54" s="60"/>
      <c r="Q54" s="4"/>
      <c r="S54" s="60"/>
      <c r="X54" s="31"/>
    </row>
    <row r="55" spans="2:25" x14ac:dyDescent="0.2">
      <c r="B55" s="1" t="s">
        <v>74</v>
      </c>
      <c r="C55" s="1">
        <v>980</v>
      </c>
      <c r="D55" s="1">
        <v>14</v>
      </c>
      <c r="E55" s="6">
        <v>4.7699999999999996</v>
      </c>
      <c r="F55" s="7">
        <f>(X55-E55)/E55</f>
        <v>0.33123689727463318</v>
      </c>
      <c r="G55" s="1">
        <v>980</v>
      </c>
      <c r="H55" s="1">
        <v>14</v>
      </c>
      <c r="I55" s="6">
        <v>4.7699999999999996</v>
      </c>
      <c r="J55" s="7">
        <f>(X55-I55)/I55</f>
        <v>0.33123689727463318</v>
      </c>
      <c r="K55" s="6">
        <v>4.93</v>
      </c>
      <c r="L55" s="4">
        <v>0</v>
      </c>
      <c r="M55" s="4">
        <f>L55*D55*12</f>
        <v>0</v>
      </c>
      <c r="N55" s="60">
        <f>ROUND(L55*E55,2)*12</f>
        <v>0</v>
      </c>
      <c r="P55" s="1">
        <v>980</v>
      </c>
      <c r="Q55" s="4">
        <v>0</v>
      </c>
      <c r="S55" s="60"/>
      <c r="U55" s="1">
        <v>918</v>
      </c>
      <c r="V55" s="30">
        <f>(L55+Q55)*12</f>
        <v>0</v>
      </c>
      <c r="W55" s="30">
        <f>M55+R55</f>
        <v>0</v>
      </c>
      <c r="X55" s="19">
        <f>ROUND(I55*(1+$X$4),2)</f>
        <v>6.35</v>
      </c>
      <c r="Y55" s="6">
        <f>ROUND(V55*X55,2)</f>
        <v>0</v>
      </c>
    </row>
    <row r="56" spans="2:25" x14ac:dyDescent="0.2">
      <c r="B56" s="1" t="s">
        <v>75</v>
      </c>
      <c r="C56" s="1">
        <v>981</v>
      </c>
      <c r="D56" s="1">
        <v>29</v>
      </c>
      <c r="E56" s="6">
        <v>4.8499999999999996</v>
      </c>
      <c r="F56" s="7">
        <f>(X56-E56)/E56</f>
        <v>0.33195876288659804</v>
      </c>
      <c r="G56" s="1">
        <v>981</v>
      </c>
      <c r="H56" s="1">
        <v>29</v>
      </c>
      <c r="I56" s="6">
        <v>4.8499999999999996</v>
      </c>
      <c r="J56" s="7">
        <f>(X56-I56)/I56</f>
        <v>0.33195876288659804</v>
      </c>
      <c r="K56" s="6">
        <v>5.32</v>
      </c>
      <c r="L56" s="4">
        <v>250</v>
      </c>
      <c r="M56" s="4">
        <f>L56*D56*12</f>
        <v>87000</v>
      </c>
      <c r="N56" s="60">
        <f>ROUND(L56*E56,2)*12</f>
        <v>14550</v>
      </c>
      <c r="P56" s="1">
        <v>981</v>
      </c>
      <c r="Q56" s="4">
        <v>0</v>
      </c>
      <c r="S56" s="60"/>
      <c r="U56" s="1">
        <v>919</v>
      </c>
      <c r="V56" s="30">
        <f>(L56+Q56)*12</f>
        <v>3000</v>
      </c>
      <c r="W56" s="30">
        <f>M56+R56</f>
        <v>87000</v>
      </c>
      <c r="X56" s="19">
        <f>ROUND(I56*(1+$X$4),2)</f>
        <v>6.46</v>
      </c>
      <c r="Y56" s="6">
        <f>ROUND(V56*X56,2)</f>
        <v>19380</v>
      </c>
    </row>
    <row r="57" spans="2:25" x14ac:dyDescent="0.2">
      <c r="B57" s="1" t="s">
        <v>76</v>
      </c>
      <c r="C57" s="1">
        <v>982</v>
      </c>
      <c r="D57" s="1">
        <v>46</v>
      </c>
      <c r="E57" s="6">
        <v>7.09</v>
      </c>
      <c r="F57" s="7">
        <f>(X57-E57)/E57</f>
        <v>0.33145275035260924</v>
      </c>
      <c r="G57" s="1">
        <v>982</v>
      </c>
      <c r="H57" s="1">
        <v>46</v>
      </c>
      <c r="I57" s="6">
        <v>7.09</v>
      </c>
      <c r="J57" s="7">
        <f>(X57-I57)/I57</f>
        <v>0.33145275035260924</v>
      </c>
      <c r="K57" s="6">
        <v>7.72</v>
      </c>
      <c r="L57" s="4">
        <v>425</v>
      </c>
      <c r="M57" s="4">
        <f>L57*D57*12</f>
        <v>234600</v>
      </c>
      <c r="N57" s="60">
        <f>ROUND(L57*E57,2)*12</f>
        <v>36159</v>
      </c>
      <c r="P57" s="1">
        <v>982</v>
      </c>
      <c r="Q57" s="4">
        <v>0</v>
      </c>
      <c r="S57" s="60"/>
      <c r="U57" s="1">
        <v>920</v>
      </c>
      <c r="V57" s="30">
        <f>(L57+Q57)*12</f>
        <v>5100</v>
      </c>
      <c r="W57" s="30">
        <f>M57+R57</f>
        <v>234600</v>
      </c>
      <c r="X57" s="19">
        <f>ROUND(I57*(1+$X$4),2)</f>
        <v>9.44</v>
      </c>
      <c r="Y57" s="6">
        <f>ROUND(V57*X57,2)</f>
        <v>48144</v>
      </c>
    </row>
    <row r="58" spans="2:25" x14ac:dyDescent="0.2">
      <c r="B58" s="1" t="s">
        <v>77</v>
      </c>
      <c r="C58" s="1">
        <v>983</v>
      </c>
      <c r="D58" s="1">
        <v>73</v>
      </c>
      <c r="E58" s="6">
        <v>8.66</v>
      </c>
      <c r="F58" s="7">
        <f>(X58-E58)/E58</f>
        <v>0.33140877598152413</v>
      </c>
      <c r="G58" s="1">
        <v>983</v>
      </c>
      <c r="H58" s="1">
        <v>73</v>
      </c>
      <c r="I58" s="6">
        <v>8.66</v>
      </c>
      <c r="J58" s="7">
        <f>(X58-I58)/I58</f>
        <v>0.33140877598152413</v>
      </c>
      <c r="K58" s="6">
        <v>9.41</v>
      </c>
      <c r="L58" s="4">
        <v>61</v>
      </c>
      <c r="M58" s="4">
        <f>L58*D58*12</f>
        <v>53436</v>
      </c>
      <c r="N58" s="60">
        <f>ROUND(L58*E58,2)*12</f>
        <v>6339.12</v>
      </c>
      <c r="P58" s="1">
        <v>983</v>
      </c>
      <c r="Q58" s="4">
        <v>0</v>
      </c>
      <c r="S58" s="60"/>
      <c r="U58" s="1">
        <v>921</v>
      </c>
      <c r="V58" s="30">
        <f>(L58+Q58)*12</f>
        <v>732</v>
      </c>
      <c r="W58" s="30">
        <f>M58+R58</f>
        <v>53436</v>
      </c>
      <c r="X58" s="19">
        <f>ROUND(I58*(1+$X$4),2)</f>
        <v>11.53</v>
      </c>
      <c r="Y58" s="6">
        <f>ROUND(V58*X58,2)</f>
        <v>8439.9599999999991</v>
      </c>
    </row>
    <row r="59" spans="2:25" x14ac:dyDescent="0.2">
      <c r="F59" s="7"/>
      <c r="J59" s="7"/>
      <c r="K59" s="6"/>
      <c r="N59" s="60"/>
      <c r="Q59" s="4"/>
      <c r="S59" s="60"/>
      <c r="V59" s="30"/>
      <c r="W59" s="30"/>
      <c r="X59" s="19"/>
      <c r="Y59" s="6"/>
    </row>
    <row r="60" spans="2:25" x14ac:dyDescent="0.2">
      <c r="B60" s="33" t="s">
        <v>79</v>
      </c>
      <c r="C60" s="8"/>
      <c r="D60" s="8">
        <v>19</v>
      </c>
      <c r="E60" s="9"/>
      <c r="F60" s="17"/>
      <c r="G60" s="8"/>
      <c r="H60" s="8">
        <v>19</v>
      </c>
      <c r="I60" s="9"/>
      <c r="J60" s="17"/>
      <c r="K60" s="9"/>
      <c r="L60" s="10"/>
      <c r="M60" s="10"/>
      <c r="N60" s="61"/>
      <c r="O60" s="8"/>
      <c r="P60" s="8"/>
      <c r="Q60" s="10"/>
      <c r="R60" s="8"/>
      <c r="S60" s="61"/>
      <c r="T60" s="8"/>
      <c r="U60" s="8">
        <v>922</v>
      </c>
      <c r="V60" s="34" t="s">
        <v>67</v>
      </c>
      <c r="W60" s="35"/>
      <c r="X60" s="36">
        <f>[2]SUMMARY!$G$7</f>
        <v>5.7511081481481483</v>
      </c>
      <c r="Y60" s="37"/>
    </row>
    <row r="61" spans="2:25" x14ac:dyDescent="0.2">
      <c r="B61" s="38" t="s">
        <v>78</v>
      </c>
      <c r="C61" s="39"/>
      <c r="D61" s="39">
        <v>50</v>
      </c>
      <c r="E61" s="15"/>
      <c r="F61" s="18"/>
      <c r="G61" s="39"/>
      <c r="H61" s="39">
        <v>50</v>
      </c>
      <c r="I61" s="15"/>
      <c r="J61" s="18"/>
      <c r="K61" s="15"/>
      <c r="L61" s="40"/>
      <c r="M61" s="40"/>
      <c r="N61" s="63"/>
      <c r="O61" s="39"/>
      <c r="P61" s="39"/>
      <c r="Q61" s="40"/>
      <c r="R61" s="39"/>
      <c r="S61" s="63"/>
      <c r="T61" s="39"/>
      <c r="U61" s="39">
        <v>923</v>
      </c>
      <c r="V61" s="41" t="s">
        <v>67</v>
      </c>
      <c r="W61" s="42"/>
      <c r="X61" s="43">
        <f>[2]SUMMARY!$G$8-0.01</f>
        <v>16.001108148148145</v>
      </c>
      <c r="Y61" s="44"/>
    </row>
    <row r="62" spans="2:25" x14ac:dyDescent="0.2">
      <c r="N62" s="60"/>
      <c r="Q62" s="4"/>
      <c r="S62" s="60"/>
    </row>
    <row r="63" spans="2:25" x14ac:dyDescent="0.2">
      <c r="B63" s="45" t="s">
        <v>35</v>
      </c>
      <c r="C63" s="6"/>
      <c r="K63" s="6"/>
      <c r="L63" s="4">
        <f>SUM(L5:L58)</f>
        <v>107558</v>
      </c>
      <c r="M63" s="4">
        <f>SUM(M5:M58)</f>
        <v>110696904</v>
      </c>
      <c r="N63" s="60">
        <f>SUM(N5:N58)</f>
        <v>6985223.7599999998</v>
      </c>
      <c r="Q63" s="4">
        <f>SUM(Q5:Q58)</f>
        <v>29280</v>
      </c>
      <c r="R63" s="4">
        <f>SUM(R5:R58)</f>
        <v>19386828</v>
      </c>
      <c r="S63" s="60">
        <f>SUM(S5:S58)</f>
        <v>1891095.72</v>
      </c>
      <c r="U63" s="6" t="s">
        <v>71</v>
      </c>
      <c r="V63" s="30">
        <f>SUM(V5:V58)</f>
        <v>1660260</v>
      </c>
      <c r="X63" s="33" t="s">
        <v>56</v>
      </c>
      <c r="Y63" s="46">
        <f>SUM(Y5:Y58)</f>
        <v>11539996.679999998</v>
      </c>
    </row>
    <row r="64" spans="2:25" x14ac:dyDescent="0.2">
      <c r="B64" s="45" t="s">
        <v>36</v>
      </c>
      <c r="C64" s="6"/>
      <c r="K64" s="6" t="s">
        <v>69</v>
      </c>
      <c r="L64" s="4">
        <f>L11+L18+L30+L31+L32+L19</f>
        <v>1268</v>
      </c>
      <c r="N64" s="6"/>
      <c r="P64" s="6" t="s">
        <v>69</v>
      </c>
      <c r="Q64" s="30">
        <f>Q9+Q27+Q29</f>
        <v>249</v>
      </c>
      <c r="S64" s="47"/>
      <c r="U64" s="6"/>
      <c r="V64" s="30">
        <f>V63/12</f>
        <v>138355</v>
      </c>
      <c r="X64" s="48" t="s">
        <v>37</v>
      </c>
      <c r="Y64" s="49">
        <f>[1]AEPTX!$B$53+[1]AEPTX!$C$53</f>
        <v>11540009.770000003</v>
      </c>
    </row>
    <row r="65" spans="2:25" x14ac:dyDescent="0.2">
      <c r="B65" s="45"/>
      <c r="C65" s="6"/>
      <c r="K65" s="6" t="s">
        <v>70</v>
      </c>
      <c r="L65" s="4">
        <f>L63+L64</f>
        <v>108826</v>
      </c>
      <c r="P65" s="6" t="s">
        <v>70</v>
      </c>
      <c r="Q65" s="4">
        <f>Q63+Q64</f>
        <v>29529</v>
      </c>
      <c r="R65" s="30"/>
      <c r="U65" s="6" t="s">
        <v>70</v>
      </c>
      <c r="V65" s="30">
        <f>L65+Q65</f>
        <v>138355</v>
      </c>
      <c r="X65" s="38" t="s">
        <v>38</v>
      </c>
      <c r="Y65" s="44">
        <f>Y63-Y64</f>
        <v>-13.090000005438924</v>
      </c>
    </row>
    <row r="66" spans="2:25" s="2" customFormat="1" ht="39" customHeight="1" x14ac:dyDescent="0.2">
      <c r="B66" s="50"/>
      <c r="C66" s="14"/>
      <c r="D66" s="14"/>
      <c r="E66" s="12"/>
      <c r="H66" s="5"/>
      <c r="I66" s="5"/>
      <c r="K66" s="14"/>
      <c r="L66" s="68"/>
      <c r="M66" s="68"/>
      <c r="N66" s="5"/>
      <c r="P66" s="14"/>
      <c r="Q66" s="68"/>
      <c r="R66" s="68"/>
      <c r="S66" s="5"/>
      <c r="T66" s="5"/>
      <c r="V66" s="51"/>
    </row>
    <row r="67" spans="2:25" s="2" customFormat="1" x14ac:dyDescent="0.2">
      <c r="B67" s="50"/>
      <c r="C67" s="12"/>
      <c r="D67" s="12"/>
      <c r="E67" s="12"/>
      <c r="H67" s="52"/>
      <c r="I67" s="52"/>
      <c r="K67" s="12"/>
      <c r="L67" s="13"/>
      <c r="M67" s="13"/>
      <c r="N67" s="12"/>
      <c r="P67" s="12"/>
      <c r="Q67" s="13"/>
      <c r="R67" s="13"/>
      <c r="S67" s="12"/>
      <c r="T67" s="12"/>
    </row>
    <row r="68" spans="2:25" s="2" customFormat="1" x14ac:dyDescent="0.2">
      <c r="B68" s="50"/>
      <c r="C68" s="12"/>
      <c r="D68" s="12"/>
      <c r="E68" s="12"/>
      <c r="H68" s="52"/>
      <c r="I68" s="52"/>
      <c r="K68" s="12"/>
      <c r="L68" s="13"/>
      <c r="M68" s="13"/>
      <c r="P68" s="12"/>
      <c r="Q68" s="13"/>
      <c r="R68" s="13"/>
      <c r="S68" s="13"/>
    </row>
    <row r="69" spans="2:25" s="2" customFormat="1" x14ac:dyDescent="0.2">
      <c r="B69" s="50"/>
      <c r="C69" s="3"/>
      <c r="D69" s="3"/>
      <c r="E69" s="3"/>
      <c r="H69" s="52"/>
      <c r="I69" s="52"/>
      <c r="K69" s="3"/>
      <c r="L69" s="13"/>
      <c r="M69" s="13"/>
      <c r="N69" s="12"/>
      <c r="P69" s="3"/>
      <c r="Q69" s="13"/>
      <c r="R69" s="13"/>
      <c r="S69" s="12"/>
      <c r="T69" s="12"/>
    </row>
    <row r="70" spans="2:25" s="2" customFormat="1" x14ac:dyDescent="0.2">
      <c r="B70" s="50"/>
      <c r="C70" s="3"/>
      <c r="D70" s="3"/>
      <c r="E70" s="3"/>
      <c r="H70" s="52"/>
      <c r="I70" s="52"/>
      <c r="K70" s="3"/>
      <c r="L70" s="13"/>
      <c r="M70" s="13"/>
      <c r="N70" s="12"/>
      <c r="P70" s="3"/>
      <c r="Q70" s="13"/>
      <c r="R70" s="13"/>
      <c r="S70" s="12"/>
      <c r="T70" s="12"/>
    </row>
    <row r="71" spans="2:25" s="2" customFormat="1" x14ac:dyDescent="0.2">
      <c r="B71" s="50"/>
      <c r="C71" s="3"/>
      <c r="E71" s="12"/>
      <c r="I71" s="12"/>
      <c r="K71" s="3"/>
      <c r="L71" s="13"/>
      <c r="M71" s="13"/>
      <c r="N71" s="12"/>
      <c r="P71" s="3"/>
      <c r="Q71" s="13"/>
      <c r="R71" s="13"/>
      <c r="S71" s="12"/>
      <c r="T71" s="12"/>
    </row>
    <row r="72" spans="2:25" s="2" customFormat="1" x14ac:dyDescent="0.2">
      <c r="B72" s="50"/>
      <c r="C72" s="3"/>
      <c r="E72" s="12"/>
      <c r="I72" s="12"/>
      <c r="K72" s="3"/>
      <c r="L72" s="13"/>
      <c r="M72" s="13"/>
      <c r="N72" s="12"/>
      <c r="P72" s="3"/>
      <c r="Q72" s="13"/>
      <c r="R72" s="13"/>
      <c r="S72" s="12"/>
      <c r="T72" s="12"/>
    </row>
    <row r="73" spans="2:25" s="2" customFormat="1" x14ac:dyDescent="0.2">
      <c r="B73" s="50"/>
      <c r="C73" s="3"/>
      <c r="E73" s="12"/>
      <c r="I73" s="12"/>
      <c r="K73" s="3"/>
      <c r="L73" s="13"/>
      <c r="M73" s="13"/>
      <c r="N73" s="12"/>
      <c r="P73" s="3"/>
      <c r="Q73" s="13"/>
      <c r="R73" s="13"/>
      <c r="S73" s="12"/>
      <c r="T73" s="12"/>
    </row>
    <row r="74" spans="2:25" s="2" customFormat="1" x14ac:dyDescent="0.2">
      <c r="B74" s="50"/>
      <c r="C74" s="12"/>
      <c r="E74" s="12"/>
      <c r="I74" s="12"/>
      <c r="K74" s="12"/>
      <c r="L74" s="13"/>
      <c r="M74" s="13"/>
      <c r="N74" s="12"/>
      <c r="P74" s="12"/>
      <c r="Q74" s="13"/>
      <c r="R74" s="13"/>
      <c r="S74" s="12"/>
      <c r="T74" s="12"/>
    </row>
    <row r="75" spans="2:25" s="2" customFormat="1" x14ac:dyDescent="0.2">
      <c r="E75" s="12"/>
      <c r="I75" s="12"/>
      <c r="L75" s="13"/>
      <c r="M75" s="13"/>
      <c r="N75" s="12"/>
      <c r="Q75" s="13"/>
      <c r="R75" s="13"/>
      <c r="S75" s="12"/>
      <c r="T75" s="12"/>
    </row>
    <row r="76" spans="2:25" s="2" customFormat="1" x14ac:dyDescent="0.2">
      <c r="E76" s="12"/>
      <c r="I76" s="12"/>
      <c r="L76" s="13"/>
      <c r="M76" s="13"/>
    </row>
    <row r="77" spans="2:25" s="2" customFormat="1" x14ac:dyDescent="0.2">
      <c r="E77" s="12"/>
      <c r="I77" s="12"/>
      <c r="L77" s="13"/>
      <c r="M77" s="13"/>
      <c r="N77" s="12"/>
      <c r="S77" s="12"/>
    </row>
    <row r="78" spans="2:25" s="2" customFormat="1" x14ac:dyDescent="0.2">
      <c r="E78" s="12"/>
      <c r="I78" s="12"/>
      <c r="L78" s="13"/>
      <c r="M78" s="13"/>
    </row>
    <row r="79" spans="2:25" s="2" customFormat="1" x14ac:dyDescent="0.2">
      <c r="E79" s="12"/>
      <c r="I79" s="12"/>
      <c r="L79" s="13"/>
      <c r="M79" s="13"/>
      <c r="N79" s="12"/>
      <c r="S79" s="12"/>
    </row>
    <row r="80" spans="2:25" s="2" customFormat="1" x14ac:dyDescent="0.2">
      <c r="E80" s="12"/>
      <c r="I80" s="12"/>
      <c r="L80" s="13"/>
      <c r="M80" s="13"/>
    </row>
  </sheetData>
  <mergeCells count="7">
    <mergeCell ref="U2:Y2"/>
    <mergeCell ref="L66:M66"/>
    <mergeCell ref="Q66:R66"/>
    <mergeCell ref="C2:E2"/>
    <mergeCell ref="G2:I2"/>
    <mergeCell ref="K2:N2"/>
    <mergeCell ref="P2:S2"/>
  </mergeCells>
  <printOptions horizontalCentered="1"/>
  <pageMargins left="0.7" right="0.7" top="0.75" bottom="0.75" header="0.3" footer="0.3"/>
  <pageSetup scale="43" orientation="landscape" r:id="rId1"/>
  <headerFooter>
    <oddHeader>&amp;CPUBLIC UTILITY COMMISSION OF TEXAS
AEP TEXAS INC
LIGHTING FACILITIES PROOF OF REVENUE
TEST YEAR ENDING DECEMBER 31, 2018&amp;RSchedule IV-J-7
Lighting Facilities
&amp;A
Page &amp;P of &amp;N</oddHeader>
    <oddFooter>&amp;LSponsored by: Jennifer L. Jackson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Z59"/>
  <sheetViews>
    <sheetView tabSelected="1"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Q6" sqref="Q6"/>
    </sheetView>
  </sheetViews>
  <sheetFormatPr defaultColWidth="8.7109375" defaultRowHeight="12.75" x14ac:dyDescent="0.2"/>
  <cols>
    <col min="1" max="1" width="2.5703125" style="1" customWidth="1"/>
    <col min="2" max="2" width="31" style="1" customWidth="1"/>
    <col min="3" max="3" width="10.140625" style="1" bestFit="1" customWidth="1"/>
    <col min="4" max="4" width="9.42578125" style="1" bestFit="1" customWidth="1"/>
    <col min="5" max="5" width="9.42578125" style="6" bestFit="1" customWidth="1"/>
    <col min="6" max="6" width="5.5703125" style="1" bestFit="1" customWidth="1"/>
    <col min="7" max="7" width="11.7109375" style="1" bestFit="1" customWidth="1"/>
    <col min="8" max="8" width="8.85546875" style="1" bestFit="1" customWidth="1"/>
    <col min="9" max="9" width="12.28515625" style="6" customWidth="1"/>
    <col min="10" max="10" width="5.5703125" style="2" bestFit="1" customWidth="1"/>
    <col min="11" max="11" width="10.140625" style="1" bestFit="1" customWidth="1"/>
    <col min="12" max="12" width="10.28515625" style="1" bestFit="1" customWidth="1"/>
    <col min="13" max="14" width="13.7109375" style="1" customWidth="1"/>
    <col min="15" max="15" width="3.42578125" style="1" customWidth="1"/>
    <col min="16" max="16" width="11.7109375" style="1" bestFit="1" customWidth="1"/>
    <col min="17" max="17" width="10.28515625" style="1" bestFit="1" customWidth="1"/>
    <col min="18" max="18" width="12.5703125" style="1" customWidth="1"/>
    <col min="19" max="19" width="12.7109375" style="1" bestFit="1" customWidth="1"/>
    <col min="20" max="20" width="5.5703125" style="1" customWidth="1"/>
    <col min="21" max="21" width="13.140625" style="1" customWidth="1"/>
    <col min="22" max="22" width="11.28515625" style="1" customWidth="1"/>
    <col min="23" max="23" width="11.28515625" style="1" bestFit="1" customWidth="1"/>
    <col min="24" max="24" width="9.42578125" style="1" customWidth="1"/>
    <col min="25" max="25" width="13.42578125" style="1" bestFit="1" customWidth="1"/>
    <col min="26" max="26" width="8.7109375" style="2"/>
    <col min="27" max="256" width="8.7109375" style="1"/>
    <col min="257" max="257" width="2.5703125" style="1" customWidth="1"/>
    <col min="258" max="258" width="31" style="1" customWidth="1"/>
    <col min="259" max="259" width="10.140625" style="1" bestFit="1" customWidth="1"/>
    <col min="260" max="261" width="9.42578125" style="1" bestFit="1" customWidth="1"/>
    <col min="262" max="262" width="2.5703125" style="1" customWidth="1"/>
    <col min="263" max="263" width="11.7109375" style="1" bestFit="1" customWidth="1"/>
    <col min="264" max="264" width="8.85546875" style="1" bestFit="1" customWidth="1"/>
    <col min="265" max="265" width="12.28515625" style="1" customWidth="1"/>
    <col min="266" max="266" width="4.28515625" style="1" customWidth="1"/>
    <col min="267" max="267" width="10.140625" style="1" bestFit="1" customWidth="1"/>
    <col min="268" max="268" width="10.28515625" style="1" bestFit="1" customWidth="1"/>
    <col min="269" max="269" width="12.28515625" style="1" bestFit="1" customWidth="1"/>
    <col min="270" max="270" width="12.7109375" style="1" bestFit="1" customWidth="1"/>
    <col min="271" max="271" width="3.42578125" style="1" customWidth="1"/>
    <col min="272" max="272" width="11.7109375" style="1" bestFit="1" customWidth="1"/>
    <col min="273" max="273" width="10.28515625" style="1" bestFit="1" customWidth="1"/>
    <col min="274" max="274" width="11.28515625" style="1" bestFit="1" customWidth="1"/>
    <col min="275" max="275" width="12.7109375" style="1" bestFit="1" customWidth="1"/>
    <col min="276" max="276" width="5.5703125" style="1" customWidth="1"/>
    <col min="277" max="278" width="8.7109375" style="1"/>
    <col min="279" max="279" width="11.28515625" style="1" bestFit="1" customWidth="1"/>
    <col min="280" max="280" width="9.42578125" style="1" customWidth="1"/>
    <col min="281" max="281" width="13.42578125" style="1" bestFit="1" customWidth="1"/>
    <col min="282" max="512" width="8.7109375" style="1"/>
    <col min="513" max="513" width="2.5703125" style="1" customWidth="1"/>
    <col min="514" max="514" width="31" style="1" customWidth="1"/>
    <col min="515" max="515" width="10.140625" style="1" bestFit="1" customWidth="1"/>
    <col min="516" max="517" width="9.42578125" style="1" bestFit="1" customWidth="1"/>
    <col min="518" max="518" width="2.5703125" style="1" customWidth="1"/>
    <col min="519" max="519" width="11.7109375" style="1" bestFit="1" customWidth="1"/>
    <col min="520" max="520" width="8.85546875" style="1" bestFit="1" customWidth="1"/>
    <col min="521" max="521" width="12.28515625" style="1" customWidth="1"/>
    <col min="522" max="522" width="4.28515625" style="1" customWidth="1"/>
    <col min="523" max="523" width="10.140625" style="1" bestFit="1" customWidth="1"/>
    <col min="524" max="524" width="10.28515625" style="1" bestFit="1" customWidth="1"/>
    <col min="525" max="525" width="12.28515625" style="1" bestFit="1" customWidth="1"/>
    <col min="526" max="526" width="12.7109375" style="1" bestFit="1" customWidth="1"/>
    <col min="527" max="527" width="3.42578125" style="1" customWidth="1"/>
    <col min="528" max="528" width="11.7109375" style="1" bestFit="1" customWidth="1"/>
    <col min="529" max="529" width="10.28515625" style="1" bestFit="1" customWidth="1"/>
    <col min="530" max="530" width="11.28515625" style="1" bestFit="1" customWidth="1"/>
    <col min="531" max="531" width="12.7109375" style="1" bestFit="1" customWidth="1"/>
    <col min="532" max="532" width="5.5703125" style="1" customWidth="1"/>
    <col min="533" max="534" width="8.7109375" style="1"/>
    <col min="535" max="535" width="11.28515625" style="1" bestFit="1" customWidth="1"/>
    <col min="536" max="536" width="9.42578125" style="1" customWidth="1"/>
    <col min="537" max="537" width="13.42578125" style="1" bestFit="1" customWidth="1"/>
    <col min="538" max="768" width="8.7109375" style="1"/>
    <col min="769" max="769" width="2.5703125" style="1" customWidth="1"/>
    <col min="770" max="770" width="31" style="1" customWidth="1"/>
    <col min="771" max="771" width="10.140625" style="1" bestFit="1" customWidth="1"/>
    <col min="772" max="773" width="9.42578125" style="1" bestFit="1" customWidth="1"/>
    <col min="774" max="774" width="2.5703125" style="1" customWidth="1"/>
    <col min="775" max="775" width="11.7109375" style="1" bestFit="1" customWidth="1"/>
    <col min="776" max="776" width="8.85546875" style="1" bestFit="1" customWidth="1"/>
    <col min="777" max="777" width="12.28515625" style="1" customWidth="1"/>
    <col min="778" max="778" width="4.28515625" style="1" customWidth="1"/>
    <col min="779" max="779" width="10.140625" style="1" bestFit="1" customWidth="1"/>
    <col min="780" max="780" width="10.28515625" style="1" bestFit="1" customWidth="1"/>
    <col min="781" max="781" width="12.28515625" style="1" bestFit="1" customWidth="1"/>
    <col min="782" max="782" width="12.7109375" style="1" bestFit="1" customWidth="1"/>
    <col min="783" max="783" width="3.42578125" style="1" customWidth="1"/>
    <col min="784" max="784" width="11.7109375" style="1" bestFit="1" customWidth="1"/>
    <col min="785" max="785" width="10.28515625" style="1" bestFit="1" customWidth="1"/>
    <col min="786" max="786" width="11.28515625" style="1" bestFit="1" customWidth="1"/>
    <col min="787" max="787" width="12.7109375" style="1" bestFit="1" customWidth="1"/>
    <col min="788" max="788" width="5.5703125" style="1" customWidth="1"/>
    <col min="789" max="790" width="8.7109375" style="1"/>
    <col min="791" max="791" width="11.28515625" style="1" bestFit="1" customWidth="1"/>
    <col min="792" max="792" width="9.42578125" style="1" customWidth="1"/>
    <col min="793" max="793" width="13.42578125" style="1" bestFit="1" customWidth="1"/>
    <col min="794" max="1024" width="8.7109375" style="1"/>
    <col min="1025" max="1025" width="2.5703125" style="1" customWidth="1"/>
    <col min="1026" max="1026" width="31" style="1" customWidth="1"/>
    <col min="1027" max="1027" width="10.140625" style="1" bestFit="1" customWidth="1"/>
    <col min="1028" max="1029" width="9.42578125" style="1" bestFit="1" customWidth="1"/>
    <col min="1030" max="1030" width="2.5703125" style="1" customWidth="1"/>
    <col min="1031" max="1031" width="11.7109375" style="1" bestFit="1" customWidth="1"/>
    <col min="1032" max="1032" width="8.85546875" style="1" bestFit="1" customWidth="1"/>
    <col min="1033" max="1033" width="12.28515625" style="1" customWidth="1"/>
    <col min="1034" max="1034" width="4.28515625" style="1" customWidth="1"/>
    <col min="1035" max="1035" width="10.140625" style="1" bestFit="1" customWidth="1"/>
    <col min="1036" max="1036" width="10.28515625" style="1" bestFit="1" customWidth="1"/>
    <col min="1037" max="1037" width="12.28515625" style="1" bestFit="1" customWidth="1"/>
    <col min="1038" max="1038" width="12.7109375" style="1" bestFit="1" customWidth="1"/>
    <col min="1039" max="1039" width="3.42578125" style="1" customWidth="1"/>
    <col min="1040" max="1040" width="11.7109375" style="1" bestFit="1" customWidth="1"/>
    <col min="1041" max="1041" width="10.28515625" style="1" bestFit="1" customWidth="1"/>
    <col min="1042" max="1042" width="11.28515625" style="1" bestFit="1" customWidth="1"/>
    <col min="1043" max="1043" width="12.7109375" style="1" bestFit="1" customWidth="1"/>
    <col min="1044" max="1044" width="5.5703125" style="1" customWidth="1"/>
    <col min="1045" max="1046" width="8.7109375" style="1"/>
    <col min="1047" max="1047" width="11.28515625" style="1" bestFit="1" customWidth="1"/>
    <col min="1048" max="1048" width="9.42578125" style="1" customWidth="1"/>
    <col min="1049" max="1049" width="13.42578125" style="1" bestFit="1" customWidth="1"/>
    <col min="1050" max="1280" width="8.7109375" style="1"/>
    <col min="1281" max="1281" width="2.5703125" style="1" customWidth="1"/>
    <col min="1282" max="1282" width="31" style="1" customWidth="1"/>
    <col min="1283" max="1283" width="10.140625" style="1" bestFit="1" customWidth="1"/>
    <col min="1284" max="1285" width="9.42578125" style="1" bestFit="1" customWidth="1"/>
    <col min="1286" max="1286" width="2.5703125" style="1" customWidth="1"/>
    <col min="1287" max="1287" width="11.7109375" style="1" bestFit="1" customWidth="1"/>
    <col min="1288" max="1288" width="8.85546875" style="1" bestFit="1" customWidth="1"/>
    <col min="1289" max="1289" width="12.28515625" style="1" customWidth="1"/>
    <col min="1290" max="1290" width="4.28515625" style="1" customWidth="1"/>
    <col min="1291" max="1291" width="10.140625" style="1" bestFit="1" customWidth="1"/>
    <col min="1292" max="1292" width="10.28515625" style="1" bestFit="1" customWidth="1"/>
    <col min="1293" max="1293" width="12.28515625" style="1" bestFit="1" customWidth="1"/>
    <col min="1294" max="1294" width="12.7109375" style="1" bestFit="1" customWidth="1"/>
    <col min="1295" max="1295" width="3.42578125" style="1" customWidth="1"/>
    <col min="1296" max="1296" width="11.7109375" style="1" bestFit="1" customWidth="1"/>
    <col min="1297" max="1297" width="10.28515625" style="1" bestFit="1" customWidth="1"/>
    <col min="1298" max="1298" width="11.28515625" style="1" bestFit="1" customWidth="1"/>
    <col min="1299" max="1299" width="12.7109375" style="1" bestFit="1" customWidth="1"/>
    <col min="1300" max="1300" width="5.5703125" style="1" customWidth="1"/>
    <col min="1301" max="1302" width="8.7109375" style="1"/>
    <col min="1303" max="1303" width="11.28515625" style="1" bestFit="1" customWidth="1"/>
    <col min="1304" max="1304" width="9.42578125" style="1" customWidth="1"/>
    <col min="1305" max="1305" width="13.42578125" style="1" bestFit="1" customWidth="1"/>
    <col min="1306" max="1536" width="8.7109375" style="1"/>
    <col min="1537" max="1537" width="2.5703125" style="1" customWidth="1"/>
    <col min="1538" max="1538" width="31" style="1" customWidth="1"/>
    <col min="1539" max="1539" width="10.140625" style="1" bestFit="1" customWidth="1"/>
    <col min="1540" max="1541" width="9.42578125" style="1" bestFit="1" customWidth="1"/>
    <col min="1542" max="1542" width="2.5703125" style="1" customWidth="1"/>
    <col min="1543" max="1543" width="11.7109375" style="1" bestFit="1" customWidth="1"/>
    <col min="1544" max="1544" width="8.85546875" style="1" bestFit="1" customWidth="1"/>
    <col min="1545" max="1545" width="12.28515625" style="1" customWidth="1"/>
    <col min="1546" max="1546" width="4.28515625" style="1" customWidth="1"/>
    <col min="1547" max="1547" width="10.140625" style="1" bestFit="1" customWidth="1"/>
    <col min="1548" max="1548" width="10.28515625" style="1" bestFit="1" customWidth="1"/>
    <col min="1549" max="1549" width="12.28515625" style="1" bestFit="1" customWidth="1"/>
    <col min="1550" max="1550" width="12.7109375" style="1" bestFit="1" customWidth="1"/>
    <col min="1551" max="1551" width="3.42578125" style="1" customWidth="1"/>
    <col min="1552" max="1552" width="11.7109375" style="1" bestFit="1" customWidth="1"/>
    <col min="1553" max="1553" width="10.28515625" style="1" bestFit="1" customWidth="1"/>
    <col min="1554" max="1554" width="11.28515625" style="1" bestFit="1" customWidth="1"/>
    <col min="1555" max="1555" width="12.7109375" style="1" bestFit="1" customWidth="1"/>
    <col min="1556" max="1556" width="5.5703125" style="1" customWidth="1"/>
    <col min="1557" max="1558" width="8.7109375" style="1"/>
    <col min="1559" max="1559" width="11.28515625" style="1" bestFit="1" customWidth="1"/>
    <col min="1560" max="1560" width="9.42578125" style="1" customWidth="1"/>
    <col min="1561" max="1561" width="13.42578125" style="1" bestFit="1" customWidth="1"/>
    <col min="1562" max="1792" width="8.7109375" style="1"/>
    <col min="1793" max="1793" width="2.5703125" style="1" customWidth="1"/>
    <col min="1794" max="1794" width="31" style="1" customWidth="1"/>
    <col min="1795" max="1795" width="10.140625" style="1" bestFit="1" customWidth="1"/>
    <col min="1796" max="1797" width="9.42578125" style="1" bestFit="1" customWidth="1"/>
    <col min="1798" max="1798" width="2.5703125" style="1" customWidth="1"/>
    <col min="1799" max="1799" width="11.7109375" style="1" bestFit="1" customWidth="1"/>
    <col min="1800" max="1800" width="8.85546875" style="1" bestFit="1" customWidth="1"/>
    <col min="1801" max="1801" width="12.28515625" style="1" customWidth="1"/>
    <col min="1802" max="1802" width="4.28515625" style="1" customWidth="1"/>
    <col min="1803" max="1803" width="10.140625" style="1" bestFit="1" customWidth="1"/>
    <col min="1804" max="1804" width="10.28515625" style="1" bestFit="1" customWidth="1"/>
    <col min="1805" max="1805" width="12.28515625" style="1" bestFit="1" customWidth="1"/>
    <col min="1806" max="1806" width="12.7109375" style="1" bestFit="1" customWidth="1"/>
    <col min="1807" max="1807" width="3.42578125" style="1" customWidth="1"/>
    <col min="1808" max="1808" width="11.7109375" style="1" bestFit="1" customWidth="1"/>
    <col min="1809" max="1809" width="10.28515625" style="1" bestFit="1" customWidth="1"/>
    <col min="1810" max="1810" width="11.28515625" style="1" bestFit="1" customWidth="1"/>
    <col min="1811" max="1811" width="12.7109375" style="1" bestFit="1" customWidth="1"/>
    <col min="1812" max="1812" width="5.5703125" style="1" customWidth="1"/>
    <col min="1813" max="1814" width="8.7109375" style="1"/>
    <col min="1815" max="1815" width="11.28515625" style="1" bestFit="1" customWidth="1"/>
    <col min="1816" max="1816" width="9.42578125" style="1" customWidth="1"/>
    <col min="1817" max="1817" width="13.42578125" style="1" bestFit="1" customWidth="1"/>
    <col min="1818" max="2048" width="8.7109375" style="1"/>
    <col min="2049" max="2049" width="2.5703125" style="1" customWidth="1"/>
    <col min="2050" max="2050" width="31" style="1" customWidth="1"/>
    <col min="2051" max="2051" width="10.140625" style="1" bestFit="1" customWidth="1"/>
    <col min="2052" max="2053" width="9.42578125" style="1" bestFit="1" customWidth="1"/>
    <col min="2054" max="2054" width="2.5703125" style="1" customWidth="1"/>
    <col min="2055" max="2055" width="11.7109375" style="1" bestFit="1" customWidth="1"/>
    <col min="2056" max="2056" width="8.85546875" style="1" bestFit="1" customWidth="1"/>
    <col min="2057" max="2057" width="12.28515625" style="1" customWidth="1"/>
    <col min="2058" max="2058" width="4.28515625" style="1" customWidth="1"/>
    <col min="2059" max="2059" width="10.140625" style="1" bestFit="1" customWidth="1"/>
    <col min="2060" max="2060" width="10.28515625" style="1" bestFit="1" customWidth="1"/>
    <col min="2061" max="2061" width="12.28515625" style="1" bestFit="1" customWidth="1"/>
    <col min="2062" max="2062" width="12.7109375" style="1" bestFit="1" customWidth="1"/>
    <col min="2063" max="2063" width="3.42578125" style="1" customWidth="1"/>
    <col min="2064" max="2064" width="11.7109375" style="1" bestFit="1" customWidth="1"/>
    <col min="2065" max="2065" width="10.28515625" style="1" bestFit="1" customWidth="1"/>
    <col min="2066" max="2066" width="11.28515625" style="1" bestFit="1" customWidth="1"/>
    <col min="2067" max="2067" width="12.7109375" style="1" bestFit="1" customWidth="1"/>
    <col min="2068" max="2068" width="5.5703125" style="1" customWidth="1"/>
    <col min="2069" max="2070" width="8.7109375" style="1"/>
    <col min="2071" max="2071" width="11.28515625" style="1" bestFit="1" customWidth="1"/>
    <col min="2072" max="2072" width="9.42578125" style="1" customWidth="1"/>
    <col min="2073" max="2073" width="13.42578125" style="1" bestFit="1" customWidth="1"/>
    <col min="2074" max="2304" width="8.7109375" style="1"/>
    <col min="2305" max="2305" width="2.5703125" style="1" customWidth="1"/>
    <col min="2306" max="2306" width="31" style="1" customWidth="1"/>
    <col min="2307" max="2307" width="10.140625" style="1" bestFit="1" customWidth="1"/>
    <col min="2308" max="2309" width="9.42578125" style="1" bestFit="1" customWidth="1"/>
    <col min="2310" max="2310" width="2.5703125" style="1" customWidth="1"/>
    <col min="2311" max="2311" width="11.7109375" style="1" bestFit="1" customWidth="1"/>
    <col min="2312" max="2312" width="8.85546875" style="1" bestFit="1" customWidth="1"/>
    <col min="2313" max="2313" width="12.28515625" style="1" customWidth="1"/>
    <col min="2314" max="2314" width="4.28515625" style="1" customWidth="1"/>
    <col min="2315" max="2315" width="10.140625" style="1" bestFit="1" customWidth="1"/>
    <col min="2316" max="2316" width="10.28515625" style="1" bestFit="1" customWidth="1"/>
    <col min="2317" max="2317" width="12.28515625" style="1" bestFit="1" customWidth="1"/>
    <col min="2318" max="2318" width="12.7109375" style="1" bestFit="1" customWidth="1"/>
    <col min="2319" max="2319" width="3.42578125" style="1" customWidth="1"/>
    <col min="2320" max="2320" width="11.7109375" style="1" bestFit="1" customWidth="1"/>
    <col min="2321" max="2321" width="10.28515625" style="1" bestFit="1" customWidth="1"/>
    <col min="2322" max="2322" width="11.28515625" style="1" bestFit="1" customWidth="1"/>
    <col min="2323" max="2323" width="12.7109375" style="1" bestFit="1" customWidth="1"/>
    <col min="2324" max="2324" width="5.5703125" style="1" customWidth="1"/>
    <col min="2325" max="2326" width="8.7109375" style="1"/>
    <col min="2327" max="2327" width="11.28515625" style="1" bestFit="1" customWidth="1"/>
    <col min="2328" max="2328" width="9.42578125" style="1" customWidth="1"/>
    <col min="2329" max="2329" width="13.42578125" style="1" bestFit="1" customWidth="1"/>
    <col min="2330" max="2560" width="8.7109375" style="1"/>
    <col min="2561" max="2561" width="2.5703125" style="1" customWidth="1"/>
    <col min="2562" max="2562" width="31" style="1" customWidth="1"/>
    <col min="2563" max="2563" width="10.140625" style="1" bestFit="1" customWidth="1"/>
    <col min="2564" max="2565" width="9.42578125" style="1" bestFit="1" customWidth="1"/>
    <col min="2566" max="2566" width="2.5703125" style="1" customWidth="1"/>
    <col min="2567" max="2567" width="11.7109375" style="1" bestFit="1" customWidth="1"/>
    <col min="2568" max="2568" width="8.85546875" style="1" bestFit="1" customWidth="1"/>
    <col min="2569" max="2569" width="12.28515625" style="1" customWidth="1"/>
    <col min="2570" max="2570" width="4.28515625" style="1" customWidth="1"/>
    <col min="2571" max="2571" width="10.140625" style="1" bestFit="1" customWidth="1"/>
    <col min="2572" max="2572" width="10.28515625" style="1" bestFit="1" customWidth="1"/>
    <col min="2573" max="2573" width="12.28515625" style="1" bestFit="1" customWidth="1"/>
    <col min="2574" max="2574" width="12.7109375" style="1" bestFit="1" customWidth="1"/>
    <col min="2575" max="2575" width="3.42578125" style="1" customWidth="1"/>
    <col min="2576" max="2576" width="11.7109375" style="1" bestFit="1" customWidth="1"/>
    <col min="2577" max="2577" width="10.28515625" style="1" bestFit="1" customWidth="1"/>
    <col min="2578" max="2578" width="11.28515625" style="1" bestFit="1" customWidth="1"/>
    <col min="2579" max="2579" width="12.7109375" style="1" bestFit="1" customWidth="1"/>
    <col min="2580" max="2580" width="5.5703125" style="1" customWidth="1"/>
    <col min="2581" max="2582" width="8.7109375" style="1"/>
    <col min="2583" max="2583" width="11.28515625" style="1" bestFit="1" customWidth="1"/>
    <col min="2584" max="2584" width="9.42578125" style="1" customWidth="1"/>
    <col min="2585" max="2585" width="13.42578125" style="1" bestFit="1" customWidth="1"/>
    <col min="2586" max="2816" width="8.7109375" style="1"/>
    <col min="2817" max="2817" width="2.5703125" style="1" customWidth="1"/>
    <col min="2818" max="2818" width="31" style="1" customWidth="1"/>
    <col min="2819" max="2819" width="10.140625" style="1" bestFit="1" customWidth="1"/>
    <col min="2820" max="2821" width="9.42578125" style="1" bestFit="1" customWidth="1"/>
    <col min="2822" max="2822" width="2.5703125" style="1" customWidth="1"/>
    <col min="2823" max="2823" width="11.7109375" style="1" bestFit="1" customWidth="1"/>
    <col min="2824" max="2824" width="8.85546875" style="1" bestFit="1" customWidth="1"/>
    <col min="2825" max="2825" width="12.28515625" style="1" customWidth="1"/>
    <col min="2826" max="2826" width="4.28515625" style="1" customWidth="1"/>
    <col min="2827" max="2827" width="10.140625" style="1" bestFit="1" customWidth="1"/>
    <col min="2828" max="2828" width="10.28515625" style="1" bestFit="1" customWidth="1"/>
    <col min="2829" max="2829" width="12.28515625" style="1" bestFit="1" customWidth="1"/>
    <col min="2830" max="2830" width="12.7109375" style="1" bestFit="1" customWidth="1"/>
    <col min="2831" max="2831" width="3.42578125" style="1" customWidth="1"/>
    <col min="2832" max="2832" width="11.7109375" style="1" bestFit="1" customWidth="1"/>
    <col min="2833" max="2833" width="10.28515625" style="1" bestFit="1" customWidth="1"/>
    <col min="2834" max="2834" width="11.28515625" style="1" bestFit="1" customWidth="1"/>
    <col min="2835" max="2835" width="12.7109375" style="1" bestFit="1" customWidth="1"/>
    <col min="2836" max="2836" width="5.5703125" style="1" customWidth="1"/>
    <col min="2837" max="2838" width="8.7109375" style="1"/>
    <col min="2839" max="2839" width="11.28515625" style="1" bestFit="1" customWidth="1"/>
    <col min="2840" max="2840" width="9.42578125" style="1" customWidth="1"/>
    <col min="2841" max="2841" width="13.42578125" style="1" bestFit="1" customWidth="1"/>
    <col min="2842" max="3072" width="8.7109375" style="1"/>
    <col min="3073" max="3073" width="2.5703125" style="1" customWidth="1"/>
    <col min="3074" max="3074" width="31" style="1" customWidth="1"/>
    <col min="3075" max="3075" width="10.140625" style="1" bestFit="1" customWidth="1"/>
    <col min="3076" max="3077" width="9.42578125" style="1" bestFit="1" customWidth="1"/>
    <col min="3078" max="3078" width="2.5703125" style="1" customWidth="1"/>
    <col min="3079" max="3079" width="11.7109375" style="1" bestFit="1" customWidth="1"/>
    <col min="3080" max="3080" width="8.85546875" style="1" bestFit="1" customWidth="1"/>
    <col min="3081" max="3081" width="12.28515625" style="1" customWidth="1"/>
    <col min="3082" max="3082" width="4.28515625" style="1" customWidth="1"/>
    <col min="3083" max="3083" width="10.140625" style="1" bestFit="1" customWidth="1"/>
    <col min="3084" max="3084" width="10.28515625" style="1" bestFit="1" customWidth="1"/>
    <col min="3085" max="3085" width="12.28515625" style="1" bestFit="1" customWidth="1"/>
    <col min="3086" max="3086" width="12.7109375" style="1" bestFit="1" customWidth="1"/>
    <col min="3087" max="3087" width="3.42578125" style="1" customWidth="1"/>
    <col min="3088" max="3088" width="11.7109375" style="1" bestFit="1" customWidth="1"/>
    <col min="3089" max="3089" width="10.28515625" style="1" bestFit="1" customWidth="1"/>
    <col min="3090" max="3090" width="11.28515625" style="1" bestFit="1" customWidth="1"/>
    <col min="3091" max="3091" width="12.7109375" style="1" bestFit="1" customWidth="1"/>
    <col min="3092" max="3092" width="5.5703125" style="1" customWidth="1"/>
    <col min="3093" max="3094" width="8.7109375" style="1"/>
    <col min="3095" max="3095" width="11.28515625" style="1" bestFit="1" customWidth="1"/>
    <col min="3096" max="3096" width="9.42578125" style="1" customWidth="1"/>
    <col min="3097" max="3097" width="13.42578125" style="1" bestFit="1" customWidth="1"/>
    <col min="3098" max="3328" width="8.7109375" style="1"/>
    <col min="3329" max="3329" width="2.5703125" style="1" customWidth="1"/>
    <col min="3330" max="3330" width="31" style="1" customWidth="1"/>
    <col min="3331" max="3331" width="10.140625" style="1" bestFit="1" customWidth="1"/>
    <col min="3332" max="3333" width="9.42578125" style="1" bestFit="1" customWidth="1"/>
    <col min="3334" max="3334" width="2.5703125" style="1" customWidth="1"/>
    <col min="3335" max="3335" width="11.7109375" style="1" bestFit="1" customWidth="1"/>
    <col min="3336" max="3336" width="8.85546875" style="1" bestFit="1" customWidth="1"/>
    <col min="3337" max="3337" width="12.28515625" style="1" customWidth="1"/>
    <col min="3338" max="3338" width="4.28515625" style="1" customWidth="1"/>
    <col min="3339" max="3339" width="10.140625" style="1" bestFit="1" customWidth="1"/>
    <col min="3340" max="3340" width="10.28515625" style="1" bestFit="1" customWidth="1"/>
    <col min="3341" max="3341" width="12.28515625" style="1" bestFit="1" customWidth="1"/>
    <col min="3342" max="3342" width="12.7109375" style="1" bestFit="1" customWidth="1"/>
    <col min="3343" max="3343" width="3.42578125" style="1" customWidth="1"/>
    <col min="3344" max="3344" width="11.7109375" style="1" bestFit="1" customWidth="1"/>
    <col min="3345" max="3345" width="10.28515625" style="1" bestFit="1" customWidth="1"/>
    <col min="3346" max="3346" width="11.28515625" style="1" bestFit="1" customWidth="1"/>
    <col min="3347" max="3347" width="12.7109375" style="1" bestFit="1" customWidth="1"/>
    <col min="3348" max="3348" width="5.5703125" style="1" customWidth="1"/>
    <col min="3349" max="3350" width="8.7109375" style="1"/>
    <col min="3351" max="3351" width="11.28515625" style="1" bestFit="1" customWidth="1"/>
    <col min="3352" max="3352" width="9.42578125" style="1" customWidth="1"/>
    <col min="3353" max="3353" width="13.42578125" style="1" bestFit="1" customWidth="1"/>
    <col min="3354" max="3584" width="8.7109375" style="1"/>
    <col min="3585" max="3585" width="2.5703125" style="1" customWidth="1"/>
    <col min="3586" max="3586" width="31" style="1" customWidth="1"/>
    <col min="3587" max="3587" width="10.140625" style="1" bestFit="1" customWidth="1"/>
    <col min="3588" max="3589" width="9.42578125" style="1" bestFit="1" customWidth="1"/>
    <col min="3590" max="3590" width="2.5703125" style="1" customWidth="1"/>
    <col min="3591" max="3591" width="11.7109375" style="1" bestFit="1" customWidth="1"/>
    <col min="3592" max="3592" width="8.85546875" style="1" bestFit="1" customWidth="1"/>
    <col min="3593" max="3593" width="12.28515625" style="1" customWidth="1"/>
    <col min="3594" max="3594" width="4.28515625" style="1" customWidth="1"/>
    <col min="3595" max="3595" width="10.140625" style="1" bestFit="1" customWidth="1"/>
    <col min="3596" max="3596" width="10.28515625" style="1" bestFit="1" customWidth="1"/>
    <col min="3597" max="3597" width="12.28515625" style="1" bestFit="1" customWidth="1"/>
    <col min="3598" max="3598" width="12.7109375" style="1" bestFit="1" customWidth="1"/>
    <col min="3599" max="3599" width="3.42578125" style="1" customWidth="1"/>
    <col min="3600" max="3600" width="11.7109375" style="1" bestFit="1" customWidth="1"/>
    <col min="3601" max="3601" width="10.28515625" style="1" bestFit="1" customWidth="1"/>
    <col min="3602" max="3602" width="11.28515625" style="1" bestFit="1" customWidth="1"/>
    <col min="3603" max="3603" width="12.7109375" style="1" bestFit="1" customWidth="1"/>
    <col min="3604" max="3604" width="5.5703125" style="1" customWidth="1"/>
    <col min="3605" max="3606" width="8.7109375" style="1"/>
    <col min="3607" max="3607" width="11.28515625" style="1" bestFit="1" customWidth="1"/>
    <col min="3608" max="3608" width="9.42578125" style="1" customWidth="1"/>
    <col min="3609" max="3609" width="13.42578125" style="1" bestFit="1" customWidth="1"/>
    <col min="3610" max="3840" width="8.7109375" style="1"/>
    <col min="3841" max="3841" width="2.5703125" style="1" customWidth="1"/>
    <col min="3842" max="3842" width="31" style="1" customWidth="1"/>
    <col min="3843" max="3843" width="10.140625" style="1" bestFit="1" customWidth="1"/>
    <col min="3844" max="3845" width="9.42578125" style="1" bestFit="1" customWidth="1"/>
    <col min="3846" max="3846" width="2.5703125" style="1" customWidth="1"/>
    <col min="3847" max="3847" width="11.7109375" style="1" bestFit="1" customWidth="1"/>
    <col min="3848" max="3848" width="8.85546875" style="1" bestFit="1" customWidth="1"/>
    <col min="3849" max="3849" width="12.28515625" style="1" customWidth="1"/>
    <col min="3850" max="3850" width="4.28515625" style="1" customWidth="1"/>
    <col min="3851" max="3851" width="10.140625" style="1" bestFit="1" customWidth="1"/>
    <col min="3852" max="3852" width="10.28515625" style="1" bestFit="1" customWidth="1"/>
    <col min="3853" max="3853" width="12.28515625" style="1" bestFit="1" customWidth="1"/>
    <col min="3854" max="3854" width="12.7109375" style="1" bestFit="1" customWidth="1"/>
    <col min="3855" max="3855" width="3.42578125" style="1" customWidth="1"/>
    <col min="3856" max="3856" width="11.7109375" style="1" bestFit="1" customWidth="1"/>
    <col min="3857" max="3857" width="10.28515625" style="1" bestFit="1" customWidth="1"/>
    <col min="3858" max="3858" width="11.28515625" style="1" bestFit="1" customWidth="1"/>
    <col min="3859" max="3859" width="12.7109375" style="1" bestFit="1" customWidth="1"/>
    <col min="3860" max="3860" width="5.5703125" style="1" customWidth="1"/>
    <col min="3861" max="3862" width="8.7109375" style="1"/>
    <col min="3863" max="3863" width="11.28515625" style="1" bestFit="1" customWidth="1"/>
    <col min="3864" max="3864" width="9.42578125" style="1" customWidth="1"/>
    <col min="3865" max="3865" width="13.42578125" style="1" bestFit="1" customWidth="1"/>
    <col min="3866" max="4096" width="8.7109375" style="1"/>
    <col min="4097" max="4097" width="2.5703125" style="1" customWidth="1"/>
    <col min="4098" max="4098" width="31" style="1" customWidth="1"/>
    <col min="4099" max="4099" width="10.140625" style="1" bestFit="1" customWidth="1"/>
    <col min="4100" max="4101" width="9.42578125" style="1" bestFit="1" customWidth="1"/>
    <col min="4102" max="4102" width="2.5703125" style="1" customWidth="1"/>
    <col min="4103" max="4103" width="11.7109375" style="1" bestFit="1" customWidth="1"/>
    <col min="4104" max="4104" width="8.85546875" style="1" bestFit="1" customWidth="1"/>
    <col min="4105" max="4105" width="12.28515625" style="1" customWidth="1"/>
    <col min="4106" max="4106" width="4.28515625" style="1" customWidth="1"/>
    <col min="4107" max="4107" width="10.140625" style="1" bestFit="1" customWidth="1"/>
    <col min="4108" max="4108" width="10.28515625" style="1" bestFit="1" customWidth="1"/>
    <col min="4109" max="4109" width="12.28515625" style="1" bestFit="1" customWidth="1"/>
    <col min="4110" max="4110" width="12.7109375" style="1" bestFit="1" customWidth="1"/>
    <col min="4111" max="4111" width="3.42578125" style="1" customWidth="1"/>
    <col min="4112" max="4112" width="11.7109375" style="1" bestFit="1" customWidth="1"/>
    <col min="4113" max="4113" width="10.28515625" style="1" bestFit="1" customWidth="1"/>
    <col min="4114" max="4114" width="11.28515625" style="1" bestFit="1" customWidth="1"/>
    <col min="4115" max="4115" width="12.7109375" style="1" bestFit="1" customWidth="1"/>
    <col min="4116" max="4116" width="5.5703125" style="1" customWidth="1"/>
    <col min="4117" max="4118" width="8.7109375" style="1"/>
    <col min="4119" max="4119" width="11.28515625" style="1" bestFit="1" customWidth="1"/>
    <col min="4120" max="4120" width="9.42578125" style="1" customWidth="1"/>
    <col min="4121" max="4121" width="13.42578125" style="1" bestFit="1" customWidth="1"/>
    <col min="4122" max="4352" width="8.7109375" style="1"/>
    <col min="4353" max="4353" width="2.5703125" style="1" customWidth="1"/>
    <col min="4354" max="4354" width="31" style="1" customWidth="1"/>
    <col min="4355" max="4355" width="10.140625" style="1" bestFit="1" customWidth="1"/>
    <col min="4356" max="4357" width="9.42578125" style="1" bestFit="1" customWidth="1"/>
    <col min="4358" max="4358" width="2.5703125" style="1" customWidth="1"/>
    <col min="4359" max="4359" width="11.7109375" style="1" bestFit="1" customWidth="1"/>
    <col min="4360" max="4360" width="8.85546875" style="1" bestFit="1" customWidth="1"/>
    <col min="4361" max="4361" width="12.28515625" style="1" customWidth="1"/>
    <col min="4362" max="4362" width="4.28515625" style="1" customWidth="1"/>
    <col min="4363" max="4363" width="10.140625" style="1" bestFit="1" customWidth="1"/>
    <col min="4364" max="4364" width="10.28515625" style="1" bestFit="1" customWidth="1"/>
    <col min="4365" max="4365" width="12.28515625" style="1" bestFit="1" customWidth="1"/>
    <col min="4366" max="4366" width="12.7109375" style="1" bestFit="1" customWidth="1"/>
    <col min="4367" max="4367" width="3.42578125" style="1" customWidth="1"/>
    <col min="4368" max="4368" width="11.7109375" style="1" bestFit="1" customWidth="1"/>
    <col min="4369" max="4369" width="10.28515625" style="1" bestFit="1" customWidth="1"/>
    <col min="4370" max="4370" width="11.28515625" style="1" bestFit="1" customWidth="1"/>
    <col min="4371" max="4371" width="12.7109375" style="1" bestFit="1" customWidth="1"/>
    <col min="4372" max="4372" width="5.5703125" style="1" customWidth="1"/>
    <col min="4373" max="4374" width="8.7109375" style="1"/>
    <col min="4375" max="4375" width="11.28515625" style="1" bestFit="1" customWidth="1"/>
    <col min="4376" max="4376" width="9.42578125" style="1" customWidth="1"/>
    <col min="4377" max="4377" width="13.42578125" style="1" bestFit="1" customWidth="1"/>
    <col min="4378" max="4608" width="8.7109375" style="1"/>
    <col min="4609" max="4609" width="2.5703125" style="1" customWidth="1"/>
    <col min="4610" max="4610" width="31" style="1" customWidth="1"/>
    <col min="4611" max="4611" width="10.140625" style="1" bestFit="1" customWidth="1"/>
    <col min="4612" max="4613" width="9.42578125" style="1" bestFit="1" customWidth="1"/>
    <col min="4614" max="4614" width="2.5703125" style="1" customWidth="1"/>
    <col min="4615" max="4615" width="11.7109375" style="1" bestFit="1" customWidth="1"/>
    <col min="4616" max="4616" width="8.85546875" style="1" bestFit="1" customWidth="1"/>
    <col min="4617" max="4617" width="12.28515625" style="1" customWidth="1"/>
    <col min="4618" max="4618" width="4.28515625" style="1" customWidth="1"/>
    <col min="4619" max="4619" width="10.140625" style="1" bestFit="1" customWidth="1"/>
    <col min="4620" max="4620" width="10.28515625" style="1" bestFit="1" customWidth="1"/>
    <col min="4621" max="4621" width="12.28515625" style="1" bestFit="1" customWidth="1"/>
    <col min="4622" max="4622" width="12.7109375" style="1" bestFit="1" customWidth="1"/>
    <col min="4623" max="4623" width="3.42578125" style="1" customWidth="1"/>
    <col min="4624" max="4624" width="11.7109375" style="1" bestFit="1" customWidth="1"/>
    <col min="4625" max="4625" width="10.28515625" style="1" bestFit="1" customWidth="1"/>
    <col min="4626" max="4626" width="11.28515625" style="1" bestFit="1" customWidth="1"/>
    <col min="4627" max="4627" width="12.7109375" style="1" bestFit="1" customWidth="1"/>
    <col min="4628" max="4628" width="5.5703125" style="1" customWidth="1"/>
    <col min="4629" max="4630" width="8.7109375" style="1"/>
    <col min="4631" max="4631" width="11.28515625" style="1" bestFit="1" customWidth="1"/>
    <col min="4632" max="4632" width="9.42578125" style="1" customWidth="1"/>
    <col min="4633" max="4633" width="13.42578125" style="1" bestFit="1" customWidth="1"/>
    <col min="4634" max="4864" width="8.7109375" style="1"/>
    <col min="4865" max="4865" width="2.5703125" style="1" customWidth="1"/>
    <col min="4866" max="4866" width="31" style="1" customWidth="1"/>
    <col min="4867" max="4867" width="10.140625" style="1" bestFit="1" customWidth="1"/>
    <col min="4868" max="4869" width="9.42578125" style="1" bestFit="1" customWidth="1"/>
    <col min="4870" max="4870" width="2.5703125" style="1" customWidth="1"/>
    <col min="4871" max="4871" width="11.7109375" style="1" bestFit="1" customWidth="1"/>
    <col min="4872" max="4872" width="8.85546875" style="1" bestFit="1" customWidth="1"/>
    <col min="4873" max="4873" width="12.28515625" style="1" customWidth="1"/>
    <col min="4874" max="4874" width="4.28515625" style="1" customWidth="1"/>
    <col min="4875" max="4875" width="10.140625" style="1" bestFit="1" customWidth="1"/>
    <col min="4876" max="4876" width="10.28515625" style="1" bestFit="1" customWidth="1"/>
    <col min="4877" max="4877" width="12.28515625" style="1" bestFit="1" customWidth="1"/>
    <col min="4878" max="4878" width="12.7109375" style="1" bestFit="1" customWidth="1"/>
    <col min="4879" max="4879" width="3.42578125" style="1" customWidth="1"/>
    <col min="4880" max="4880" width="11.7109375" style="1" bestFit="1" customWidth="1"/>
    <col min="4881" max="4881" width="10.28515625" style="1" bestFit="1" customWidth="1"/>
    <col min="4882" max="4882" width="11.28515625" style="1" bestFit="1" customWidth="1"/>
    <col min="4883" max="4883" width="12.7109375" style="1" bestFit="1" customWidth="1"/>
    <col min="4884" max="4884" width="5.5703125" style="1" customWidth="1"/>
    <col min="4885" max="4886" width="8.7109375" style="1"/>
    <col min="4887" max="4887" width="11.28515625" style="1" bestFit="1" customWidth="1"/>
    <col min="4888" max="4888" width="9.42578125" style="1" customWidth="1"/>
    <col min="4889" max="4889" width="13.42578125" style="1" bestFit="1" customWidth="1"/>
    <col min="4890" max="5120" width="8.7109375" style="1"/>
    <col min="5121" max="5121" width="2.5703125" style="1" customWidth="1"/>
    <col min="5122" max="5122" width="31" style="1" customWidth="1"/>
    <col min="5123" max="5123" width="10.140625" style="1" bestFit="1" customWidth="1"/>
    <col min="5124" max="5125" width="9.42578125" style="1" bestFit="1" customWidth="1"/>
    <col min="5126" max="5126" width="2.5703125" style="1" customWidth="1"/>
    <col min="5127" max="5127" width="11.7109375" style="1" bestFit="1" customWidth="1"/>
    <col min="5128" max="5128" width="8.85546875" style="1" bestFit="1" customWidth="1"/>
    <col min="5129" max="5129" width="12.28515625" style="1" customWidth="1"/>
    <col min="5130" max="5130" width="4.28515625" style="1" customWidth="1"/>
    <col min="5131" max="5131" width="10.140625" style="1" bestFit="1" customWidth="1"/>
    <col min="5132" max="5132" width="10.28515625" style="1" bestFit="1" customWidth="1"/>
    <col min="5133" max="5133" width="12.28515625" style="1" bestFit="1" customWidth="1"/>
    <col min="5134" max="5134" width="12.7109375" style="1" bestFit="1" customWidth="1"/>
    <col min="5135" max="5135" width="3.42578125" style="1" customWidth="1"/>
    <col min="5136" max="5136" width="11.7109375" style="1" bestFit="1" customWidth="1"/>
    <col min="5137" max="5137" width="10.28515625" style="1" bestFit="1" customWidth="1"/>
    <col min="5138" max="5138" width="11.28515625" style="1" bestFit="1" customWidth="1"/>
    <col min="5139" max="5139" width="12.7109375" style="1" bestFit="1" customWidth="1"/>
    <col min="5140" max="5140" width="5.5703125" style="1" customWidth="1"/>
    <col min="5141" max="5142" width="8.7109375" style="1"/>
    <col min="5143" max="5143" width="11.28515625" style="1" bestFit="1" customWidth="1"/>
    <col min="5144" max="5144" width="9.42578125" style="1" customWidth="1"/>
    <col min="5145" max="5145" width="13.42578125" style="1" bestFit="1" customWidth="1"/>
    <col min="5146" max="5376" width="8.7109375" style="1"/>
    <col min="5377" max="5377" width="2.5703125" style="1" customWidth="1"/>
    <col min="5378" max="5378" width="31" style="1" customWidth="1"/>
    <col min="5379" max="5379" width="10.140625" style="1" bestFit="1" customWidth="1"/>
    <col min="5380" max="5381" width="9.42578125" style="1" bestFit="1" customWidth="1"/>
    <col min="5382" max="5382" width="2.5703125" style="1" customWidth="1"/>
    <col min="5383" max="5383" width="11.7109375" style="1" bestFit="1" customWidth="1"/>
    <col min="5384" max="5384" width="8.85546875" style="1" bestFit="1" customWidth="1"/>
    <col min="5385" max="5385" width="12.28515625" style="1" customWidth="1"/>
    <col min="5386" max="5386" width="4.28515625" style="1" customWidth="1"/>
    <col min="5387" max="5387" width="10.140625" style="1" bestFit="1" customWidth="1"/>
    <col min="5388" max="5388" width="10.28515625" style="1" bestFit="1" customWidth="1"/>
    <col min="5389" max="5389" width="12.28515625" style="1" bestFit="1" customWidth="1"/>
    <col min="5390" max="5390" width="12.7109375" style="1" bestFit="1" customWidth="1"/>
    <col min="5391" max="5391" width="3.42578125" style="1" customWidth="1"/>
    <col min="5392" max="5392" width="11.7109375" style="1" bestFit="1" customWidth="1"/>
    <col min="5393" max="5393" width="10.28515625" style="1" bestFit="1" customWidth="1"/>
    <col min="5394" max="5394" width="11.28515625" style="1" bestFit="1" customWidth="1"/>
    <col min="5395" max="5395" width="12.7109375" style="1" bestFit="1" customWidth="1"/>
    <col min="5396" max="5396" width="5.5703125" style="1" customWidth="1"/>
    <col min="5397" max="5398" width="8.7109375" style="1"/>
    <col min="5399" max="5399" width="11.28515625" style="1" bestFit="1" customWidth="1"/>
    <col min="5400" max="5400" width="9.42578125" style="1" customWidth="1"/>
    <col min="5401" max="5401" width="13.42578125" style="1" bestFit="1" customWidth="1"/>
    <col min="5402" max="5632" width="8.7109375" style="1"/>
    <col min="5633" max="5633" width="2.5703125" style="1" customWidth="1"/>
    <col min="5634" max="5634" width="31" style="1" customWidth="1"/>
    <col min="5635" max="5635" width="10.140625" style="1" bestFit="1" customWidth="1"/>
    <col min="5636" max="5637" width="9.42578125" style="1" bestFit="1" customWidth="1"/>
    <col min="5638" max="5638" width="2.5703125" style="1" customWidth="1"/>
    <col min="5639" max="5639" width="11.7109375" style="1" bestFit="1" customWidth="1"/>
    <col min="5640" max="5640" width="8.85546875" style="1" bestFit="1" customWidth="1"/>
    <col min="5641" max="5641" width="12.28515625" style="1" customWidth="1"/>
    <col min="5642" max="5642" width="4.28515625" style="1" customWidth="1"/>
    <col min="5643" max="5643" width="10.140625" style="1" bestFit="1" customWidth="1"/>
    <col min="5644" max="5644" width="10.28515625" style="1" bestFit="1" customWidth="1"/>
    <col min="5645" max="5645" width="12.28515625" style="1" bestFit="1" customWidth="1"/>
    <col min="5646" max="5646" width="12.7109375" style="1" bestFit="1" customWidth="1"/>
    <col min="5647" max="5647" width="3.42578125" style="1" customWidth="1"/>
    <col min="5648" max="5648" width="11.7109375" style="1" bestFit="1" customWidth="1"/>
    <col min="5649" max="5649" width="10.28515625" style="1" bestFit="1" customWidth="1"/>
    <col min="5650" max="5650" width="11.28515625" style="1" bestFit="1" customWidth="1"/>
    <col min="5651" max="5651" width="12.7109375" style="1" bestFit="1" customWidth="1"/>
    <col min="5652" max="5652" width="5.5703125" style="1" customWidth="1"/>
    <col min="5653" max="5654" width="8.7109375" style="1"/>
    <col min="5655" max="5655" width="11.28515625" style="1" bestFit="1" customWidth="1"/>
    <col min="5656" max="5656" width="9.42578125" style="1" customWidth="1"/>
    <col min="5657" max="5657" width="13.42578125" style="1" bestFit="1" customWidth="1"/>
    <col min="5658" max="5888" width="8.7109375" style="1"/>
    <col min="5889" max="5889" width="2.5703125" style="1" customWidth="1"/>
    <col min="5890" max="5890" width="31" style="1" customWidth="1"/>
    <col min="5891" max="5891" width="10.140625" style="1" bestFit="1" customWidth="1"/>
    <col min="5892" max="5893" width="9.42578125" style="1" bestFit="1" customWidth="1"/>
    <col min="5894" max="5894" width="2.5703125" style="1" customWidth="1"/>
    <col min="5895" max="5895" width="11.7109375" style="1" bestFit="1" customWidth="1"/>
    <col min="5896" max="5896" width="8.85546875" style="1" bestFit="1" customWidth="1"/>
    <col min="5897" max="5897" width="12.28515625" style="1" customWidth="1"/>
    <col min="5898" max="5898" width="4.28515625" style="1" customWidth="1"/>
    <col min="5899" max="5899" width="10.140625" style="1" bestFit="1" customWidth="1"/>
    <col min="5900" max="5900" width="10.28515625" style="1" bestFit="1" customWidth="1"/>
    <col min="5901" max="5901" width="12.28515625" style="1" bestFit="1" customWidth="1"/>
    <col min="5902" max="5902" width="12.7109375" style="1" bestFit="1" customWidth="1"/>
    <col min="5903" max="5903" width="3.42578125" style="1" customWidth="1"/>
    <col min="5904" max="5904" width="11.7109375" style="1" bestFit="1" customWidth="1"/>
    <col min="5905" max="5905" width="10.28515625" style="1" bestFit="1" customWidth="1"/>
    <col min="5906" max="5906" width="11.28515625" style="1" bestFit="1" customWidth="1"/>
    <col min="5907" max="5907" width="12.7109375" style="1" bestFit="1" customWidth="1"/>
    <col min="5908" max="5908" width="5.5703125" style="1" customWidth="1"/>
    <col min="5909" max="5910" width="8.7109375" style="1"/>
    <col min="5911" max="5911" width="11.28515625" style="1" bestFit="1" customWidth="1"/>
    <col min="5912" max="5912" width="9.42578125" style="1" customWidth="1"/>
    <col min="5913" max="5913" width="13.42578125" style="1" bestFit="1" customWidth="1"/>
    <col min="5914" max="6144" width="8.7109375" style="1"/>
    <col min="6145" max="6145" width="2.5703125" style="1" customWidth="1"/>
    <col min="6146" max="6146" width="31" style="1" customWidth="1"/>
    <col min="6147" max="6147" width="10.140625" style="1" bestFit="1" customWidth="1"/>
    <col min="6148" max="6149" width="9.42578125" style="1" bestFit="1" customWidth="1"/>
    <col min="6150" max="6150" width="2.5703125" style="1" customWidth="1"/>
    <col min="6151" max="6151" width="11.7109375" style="1" bestFit="1" customWidth="1"/>
    <col min="6152" max="6152" width="8.85546875" style="1" bestFit="1" customWidth="1"/>
    <col min="6153" max="6153" width="12.28515625" style="1" customWidth="1"/>
    <col min="6154" max="6154" width="4.28515625" style="1" customWidth="1"/>
    <col min="6155" max="6155" width="10.140625" style="1" bestFit="1" customWidth="1"/>
    <col min="6156" max="6156" width="10.28515625" style="1" bestFit="1" customWidth="1"/>
    <col min="6157" max="6157" width="12.28515625" style="1" bestFit="1" customWidth="1"/>
    <col min="6158" max="6158" width="12.7109375" style="1" bestFit="1" customWidth="1"/>
    <col min="6159" max="6159" width="3.42578125" style="1" customWidth="1"/>
    <col min="6160" max="6160" width="11.7109375" style="1" bestFit="1" customWidth="1"/>
    <col min="6161" max="6161" width="10.28515625" style="1" bestFit="1" customWidth="1"/>
    <col min="6162" max="6162" width="11.28515625" style="1" bestFit="1" customWidth="1"/>
    <col min="6163" max="6163" width="12.7109375" style="1" bestFit="1" customWidth="1"/>
    <col min="6164" max="6164" width="5.5703125" style="1" customWidth="1"/>
    <col min="6165" max="6166" width="8.7109375" style="1"/>
    <col min="6167" max="6167" width="11.28515625" style="1" bestFit="1" customWidth="1"/>
    <col min="6168" max="6168" width="9.42578125" style="1" customWidth="1"/>
    <col min="6169" max="6169" width="13.42578125" style="1" bestFit="1" customWidth="1"/>
    <col min="6170" max="6400" width="8.7109375" style="1"/>
    <col min="6401" max="6401" width="2.5703125" style="1" customWidth="1"/>
    <col min="6402" max="6402" width="31" style="1" customWidth="1"/>
    <col min="6403" max="6403" width="10.140625" style="1" bestFit="1" customWidth="1"/>
    <col min="6404" max="6405" width="9.42578125" style="1" bestFit="1" customWidth="1"/>
    <col min="6406" max="6406" width="2.5703125" style="1" customWidth="1"/>
    <col min="6407" max="6407" width="11.7109375" style="1" bestFit="1" customWidth="1"/>
    <col min="6408" max="6408" width="8.85546875" style="1" bestFit="1" customWidth="1"/>
    <col min="6409" max="6409" width="12.28515625" style="1" customWidth="1"/>
    <col min="6410" max="6410" width="4.28515625" style="1" customWidth="1"/>
    <col min="6411" max="6411" width="10.140625" style="1" bestFit="1" customWidth="1"/>
    <col min="6412" max="6412" width="10.28515625" style="1" bestFit="1" customWidth="1"/>
    <col min="6413" max="6413" width="12.28515625" style="1" bestFit="1" customWidth="1"/>
    <col min="6414" max="6414" width="12.7109375" style="1" bestFit="1" customWidth="1"/>
    <col min="6415" max="6415" width="3.42578125" style="1" customWidth="1"/>
    <col min="6416" max="6416" width="11.7109375" style="1" bestFit="1" customWidth="1"/>
    <col min="6417" max="6417" width="10.28515625" style="1" bestFit="1" customWidth="1"/>
    <col min="6418" max="6418" width="11.28515625" style="1" bestFit="1" customWidth="1"/>
    <col min="6419" max="6419" width="12.7109375" style="1" bestFit="1" customWidth="1"/>
    <col min="6420" max="6420" width="5.5703125" style="1" customWidth="1"/>
    <col min="6421" max="6422" width="8.7109375" style="1"/>
    <col min="6423" max="6423" width="11.28515625" style="1" bestFit="1" customWidth="1"/>
    <col min="6424" max="6424" width="9.42578125" style="1" customWidth="1"/>
    <col min="6425" max="6425" width="13.42578125" style="1" bestFit="1" customWidth="1"/>
    <col min="6426" max="6656" width="8.7109375" style="1"/>
    <col min="6657" max="6657" width="2.5703125" style="1" customWidth="1"/>
    <col min="6658" max="6658" width="31" style="1" customWidth="1"/>
    <col min="6659" max="6659" width="10.140625" style="1" bestFit="1" customWidth="1"/>
    <col min="6660" max="6661" width="9.42578125" style="1" bestFit="1" customWidth="1"/>
    <col min="6662" max="6662" width="2.5703125" style="1" customWidth="1"/>
    <col min="6663" max="6663" width="11.7109375" style="1" bestFit="1" customWidth="1"/>
    <col min="6664" max="6664" width="8.85546875" style="1" bestFit="1" customWidth="1"/>
    <col min="6665" max="6665" width="12.28515625" style="1" customWidth="1"/>
    <col min="6666" max="6666" width="4.28515625" style="1" customWidth="1"/>
    <col min="6667" max="6667" width="10.140625" style="1" bestFit="1" customWidth="1"/>
    <col min="6668" max="6668" width="10.28515625" style="1" bestFit="1" customWidth="1"/>
    <col min="6669" max="6669" width="12.28515625" style="1" bestFit="1" customWidth="1"/>
    <col min="6670" max="6670" width="12.7109375" style="1" bestFit="1" customWidth="1"/>
    <col min="6671" max="6671" width="3.42578125" style="1" customWidth="1"/>
    <col min="6672" max="6672" width="11.7109375" style="1" bestFit="1" customWidth="1"/>
    <col min="6673" max="6673" width="10.28515625" style="1" bestFit="1" customWidth="1"/>
    <col min="6674" max="6674" width="11.28515625" style="1" bestFit="1" customWidth="1"/>
    <col min="6675" max="6675" width="12.7109375" style="1" bestFit="1" customWidth="1"/>
    <col min="6676" max="6676" width="5.5703125" style="1" customWidth="1"/>
    <col min="6677" max="6678" width="8.7109375" style="1"/>
    <col min="6679" max="6679" width="11.28515625" style="1" bestFit="1" customWidth="1"/>
    <col min="6680" max="6680" width="9.42578125" style="1" customWidth="1"/>
    <col min="6681" max="6681" width="13.42578125" style="1" bestFit="1" customWidth="1"/>
    <col min="6682" max="6912" width="8.7109375" style="1"/>
    <col min="6913" max="6913" width="2.5703125" style="1" customWidth="1"/>
    <col min="6914" max="6914" width="31" style="1" customWidth="1"/>
    <col min="6915" max="6915" width="10.140625" style="1" bestFit="1" customWidth="1"/>
    <col min="6916" max="6917" width="9.42578125" style="1" bestFit="1" customWidth="1"/>
    <col min="6918" max="6918" width="2.5703125" style="1" customWidth="1"/>
    <col min="6919" max="6919" width="11.7109375" style="1" bestFit="1" customWidth="1"/>
    <col min="6920" max="6920" width="8.85546875" style="1" bestFit="1" customWidth="1"/>
    <col min="6921" max="6921" width="12.28515625" style="1" customWidth="1"/>
    <col min="6922" max="6922" width="4.28515625" style="1" customWidth="1"/>
    <col min="6923" max="6923" width="10.140625" style="1" bestFit="1" customWidth="1"/>
    <col min="6924" max="6924" width="10.28515625" style="1" bestFit="1" customWidth="1"/>
    <col min="6925" max="6925" width="12.28515625" style="1" bestFit="1" customWidth="1"/>
    <col min="6926" max="6926" width="12.7109375" style="1" bestFit="1" customWidth="1"/>
    <col min="6927" max="6927" width="3.42578125" style="1" customWidth="1"/>
    <col min="6928" max="6928" width="11.7109375" style="1" bestFit="1" customWidth="1"/>
    <col min="6929" max="6929" width="10.28515625" style="1" bestFit="1" customWidth="1"/>
    <col min="6930" max="6930" width="11.28515625" style="1" bestFit="1" customWidth="1"/>
    <col min="6931" max="6931" width="12.7109375" style="1" bestFit="1" customWidth="1"/>
    <col min="6932" max="6932" width="5.5703125" style="1" customWidth="1"/>
    <col min="6933" max="6934" width="8.7109375" style="1"/>
    <col min="6935" max="6935" width="11.28515625" style="1" bestFit="1" customWidth="1"/>
    <col min="6936" max="6936" width="9.42578125" style="1" customWidth="1"/>
    <col min="6937" max="6937" width="13.42578125" style="1" bestFit="1" customWidth="1"/>
    <col min="6938" max="7168" width="8.7109375" style="1"/>
    <col min="7169" max="7169" width="2.5703125" style="1" customWidth="1"/>
    <col min="7170" max="7170" width="31" style="1" customWidth="1"/>
    <col min="7171" max="7171" width="10.140625" style="1" bestFit="1" customWidth="1"/>
    <col min="7172" max="7173" width="9.42578125" style="1" bestFit="1" customWidth="1"/>
    <col min="7174" max="7174" width="2.5703125" style="1" customWidth="1"/>
    <col min="7175" max="7175" width="11.7109375" style="1" bestFit="1" customWidth="1"/>
    <col min="7176" max="7176" width="8.85546875" style="1" bestFit="1" customWidth="1"/>
    <col min="7177" max="7177" width="12.28515625" style="1" customWidth="1"/>
    <col min="7178" max="7178" width="4.28515625" style="1" customWidth="1"/>
    <col min="7179" max="7179" width="10.140625" style="1" bestFit="1" customWidth="1"/>
    <col min="7180" max="7180" width="10.28515625" style="1" bestFit="1" customWidth="1"/>
    <col min="7181" max="7181" width="12.28515625" style="1" bestFit="1" customWidth="1"/>
    <col min="7182" max="7182" width="12.7109375" style="1" bestFit="1" customWidth="1"/>
    <col min="7183" max="7183" width="3.42578125" style="1" customWidth="1"/>
    <col min="7184" max="7184" width="11.7109375" style="1" bestFit="1" customWidth="1"/>
    <col min="7185" max="7185" width="10.28515625" style="1" bestFit="1" customWidth="1"/>
    <col min="7186" max="7186" width="11.28515625" style="1" bestFit="1" customWidth="1"/>
    <col min="7187" max="7187" width="12.7109375" style="1" bestFit="1" customWidth="1"/>
    <col min="7188" max="7188" width="5.5703125" style="1" customWidth="1"/>
    <col min="7189" max="7190" width="8.7109375" style="1"/>
    <col min="7191" max="7191" width="11.28515625" style="1" bestFit="1" customWidth="1"/>
    <col min="7192" max="7192" width="9.42578125" style="1" customWidth="1"/>
    <col min="7193" max="7193" width="13.42578125" style="1" bestFit="1" customWidth="1"/>
    <col min="7194" max="7424" width="8.7109375" style="1"/>
    <col min="7425" max="7425" width="2.5703125" style="1" customWidth="1"/>
    <col min="7426" max="7426" width="31" style="1" customWidth="1"/>
    <col min="7427" max="7427" width="10.140625" style="1" bestFit="1" customWidth="1"/>
    <col min="7428" max="7429" width="9.42578125" style="1" bestFit="1" customWidth="1"/>
    <col min="7430" max="7430" width="2.5703125" style="1" customWidth="1"/>
    <col min="7431" max="7431" width="11.7109375" style="1" bestFit="1" customWidth="1"/>
    <col min="7432" max="7432" width="8.85546875" style="1" bestFit="1" customWidth="1"/>
    <col min="7433" max="7433" width="12.28515625" style="1" customWidth="1"/>
    <col min="7434" max="7434" width="4.28515625" style="1" customWidth="1"/>
    <col min="7435" max="7435" width="10.140625" style="1" bestFit="1" customWidth="1"/>
    <col min="7436" max="7436" width="10.28515625" style="1" bestFit="1" customWidth="1"/>
    <col min="7437" max="7437" width="12.28515625" style="1" bestFit="1" customWidth="1"/>
    <col min="7438" max="7438" width="12.7109375" style="1" bestFit="1" customWidth="1"/>
    <col min="7439" max="7439" width="3.42578125" style="1" customWidth="1"/>
    <col min="7440" max="7440" width="11.7109375" style="1" bestFit="1" customWidth="1"/>
    <col min="7441" max="7441" width="10.28515625" style="1" bestFit="1" customWidth="1"/>
    <col min="7442" max="7442" width="11.28515625" style="1" bestFit="1" customWidth="1"/>
    <col min="7443" max="7443" width="12.7109375" style="1" bestFit="1" customWidth="1"/>
    <col min="7444" max="7444" width="5.5703125" style="1" customWidth="1"/>
    <col min="7445" max="7446" width="8.7109375" style="1"/>
    <col min="7447" max="7447" width="11.28515625" style="1" bestFit="1" customWidth="1"/>
    <col min="7448" max="7448" width="9.42578125" style="1" customWidth="1"/>
    <col min="7449" max="7449" width="13.42578125" style="1" bestFit="1" customWidth="1"/>
    <col min="7450" max="7680" width="8.7109375" style="1"/>
    <col min="7681" max="7681" width="2.5703125" style="1" customWidth="1"/>
    <col min="7682" max="7682" width="31" style="1" customWidth="1"/>
    <col min="7683" max="7683" width="10.140625" style="1" bestFit="1" customWidth="1"/>
    <col min="7684" max="7685" width="9.42578125" style="1" bestFit="1" customWidth="1"/>
    <col min="7686" max="7686" width="2.5703125" style="1" customWidth="1"/>
    <col min="7687" max="7687" width="11.7109375" style="1" bestFit="1" customWidth="1"/>
    <col min="7688" max="7688" width="8.85546875" style="1" bestFit="1" customWidth="1"/>
    <col min="7689" max="7689" width="12.28515625" style="1" customWidth="1"/>
    <col min="7690" max="7690" width="4.28515625" style="1" customWidth="1"/>
    <col min="7691" max="7691" width="10.140625" style="1" bestFit="1" customWidth="1"/>
    <col min="7692" max="7692" width="10.28515625" style="1" bestFit="1" customWidth="1"/>
    <col min="7693" max="7693" width="12.28515625" style="1" bestFit="1" customWidth="1"/>
    <col min="7694" max="7694" width="12.7109375" style="1" bestFit="1" customWidth="1"/>
    <col min="7695" max="7695" width="3.42578125" style="1" customWidth="1"/>
    <col min="7696" max="7696" width="11.7109375" style="1" bestFit="1" customWidth="1"/>
    <col min="7697" max="7697" width="10.28515625" style="1" bestFit="1" customWidth="1"/>
    <col min="7698" max="7698" width="11.28515625" style="1" bestFit="1" customWidth="1"/>
    <col min="7699" max="7699" width="12.7109375" style="1" bestFit="1" customWidth="1"/>
    <col min="7700" max="7700" width="5.5703125" style="1" customWidth="1"/>
    <col min="7701" max="7702" width="8.7109375" style="1"/>
    <col min="7703" max="7703" width="11.28515625" style="1" bestFit="1" customWidth="1"/>
    <col min="7704" max="7704" width="9.42578125" style="1" customWidth="1"/>
    <col min="7705" max="7705" width="13.42578125" style="1" bestFit="1" customWidth="1"/>
    <col min="7706" max="7936" width="8.7109375" style="1"/>
    <col min="7937" max="7937" width="2.5703125" style="1" customWidth="1"/>
    <col min="7938" max="7938" width="31" style="1" customWidth="1"/>
    <col min="7939" max="7939" width="10.140625" style="1" bestFit="1" customWidth="1"/>
    <col min="7940" max="7941" width="9.42578125" style="1" bestFit="1" customWidth="1"/>
    <col min="7942" max="7942" width="2.5703125" style="1" customWidth="1"/>
    <col min="7943" max="7943" width="11.7109375" style="1" bestFit="1" customWidth="1"/>
    <col min="7944" max="7944" width="8.85546875" style="1" bestFit="1" customWidth="1"/>
    <col min="7945" max="7945" width="12.28515625" style="1" customWidth="1"/>
    <col min="7946" max="7946" width="4.28515625" style="1" customWidth="1"/>
    <col min="7947" max="7947" width="10.140625" style="1" bestFit="1" customWidth="1"/>
    <col min="7948" max="7948" width="10.28515625" style="1" bestFit="1" customWidth="1"/>
    <col min="7949" max="7949" width="12.28515625" style="1" bestFit="1" customWidth="1"/>
    <col min="7950" max="7950" width="12.7109375" style="1" bestFit="1" customWidth="1"/>
    <col min="7951" max="7951" width="3.42578125" style="1" customWidth="1"/>
    <col min="7952" max="7952" width="11.7109375" style="1" bestFit="1" customWidth="1"/>
    <col min="7953" max="7953" width="10.28515625" style="1" bestFit="1" customWidth="1"/>
    <col min="7954" max="7954" width="11.28515625" style="1" bestFit="1" customWidth="1"/>
    <col min="7955" max="7955" width="12.7109375" style="1" bestFit="1" customWidth="1"/>
    <col min="7956" max="7956" width="5.5703125" style="1" customWidth="1"/>
    <col min="7957" max="7958" width="8.7109375" style="1"/>
    <col min="7959" max="7959" width="11.28515625" style="1" bestFit="1" customWidth="1"/>
    <col min="7960" max="7960" width="9.42578125" style="1" customWidth="1"/>
    <col min="7961" max="7961" width="13.42578125" style="1" bestFit="1" customWidth="1"/>
    <col min="7962" max="8192" width="8.7109375" style="1"/>
    <col min="8193" max="8193" width="2.5703125" style="1" customWidth="1"/>
    <col min="8194" max="8194" width="31" style="1" customWidth="1"/>
    <col min="8195" max="8195" width="10.140625" style="1" bestFit="1" customWidth="1"/>
    <col min="8196" max="8197" width="9.42578125" style="1" bestFit="1" customWidth="1"/>
    <col min="8198" max="8198" width="2.5703125" style="1" customWidth="1"/>
    <col min="8199" max="8199" width="11.7109375" style="1" bestFit="1" customWidth="1"/>
    <col min="8200" max="8200" width="8.85546875" style="1" bestFit="1" customWidth="1"/>
    <col min="8201" max="8201" width="12.28515625" style="1" customWidth="1"/>
    <col min="8202" max="8202" width="4.28515625" style="1" customWidth="1"/>
    <col min="8203" max="8203" width="10.140625" style="1" bestFit="1" customWidth="1"/>
    <col min="8204" max="8204" width="10.28515625" style="1" bestFit="1" customWidth="1"/>
    <col min="8205" max="8205" width="12.28515625" style="1" bestFit="1" customWidth="1"/>
    <col min="8206" max="8206" width="12.7109375" style="1" bestFit="1" customWidth="1"/>
    <col min="8207" max="8207" width="3.42578125" style="1" customWidth="1"/>
    <col min="8208" max="8208" width="11.7109375" style="1" bestFit="1" customWidth="1"/>
    <col min="8209" max="8209" width="10.28515625" style="1" bestFit="1" customWidth="1"/>
    <col min="8210" max="8210" width="11.28515625" style="1" bestFit="1" customWidth="1"/>
    <col min="8211" max="8211" width="12.7109375" style="1" bestFit="1" customWidth="1"/>
    <col min="8212" max="8212" width="5.5703125" style="1" customWidth="1"/>
    <col min="8213" max="8214" width="8.7109375" style="1"/>
    <col min="8215" max="8215" width="11.28515625" style="1" bestFit="1" customWidth="1"/>
    <col min="8216" max="8216" width="9.42578125" style="1" customWidth="1"/>
    <col min="8217" max="8217" width="13.42578125" style="1" bestFit="1" customWidth="1"/>
    <col min="8218" max="8448" width="8.7109375" style="1"/>
    <col min="8449" max="8449" width="2.5703125" style="1" customWidth="1"/>
    <col min="8450" max="8450" width="31" style="1" customWidth="1"/>
    <col min="8451" max="8451" width="10.140625" style="1" bestFit="1" customWidth="1"/>
    <col min="8452" max="8453" width="9.42578125" style="1" bestFit="1" customWidth="1"/>
    <col min="8454" max="8454" width="2.5703125" style="1" customWidth="1"/>
    <col min="8455" max="8455" width="11.7109375" style="1" bestFit="1" customWidth="1"/>
    <col min="8456" max="8456" width="8.85546875" style="1" bestFit="1" customWidth="1"/>
    <col min="8457" max="8457" width="12.28515625" style="1" customWidth="1"/>
    <col min="8458" max="8458" width="4.28515625" style="1" customWidth="1"/>
    <col min="8459" max="8459" width="10.140625" style="1" bestFit="1" customWidth="1"/>
    <col min="8460" max="8460" width="10.28515625" style="1" bestFit="1" customWidth="1"/>
    <col min="8461" max="8461" width="12.28515625" style="1" bestFit="1" customWidth="1"/>
    <col min="8462" max="8462" width="12.7109375" style="1" bestFit="1" customWidth="1"/>
    <col min="8463" max="8463" width="3.42578125" style="1" customWidth="1"/>
    <col min="8464" max="8464" width="11.7109375" style="1" bestFit="1" customWidth="1"/>
    <col min="8465" max="8465" width="10.28515625" style="1" bestFit="1" customWidth="1"/>
    <col min="8466" max="8466" width="11.28515625" style="1" bestFit="1" customWidth="1"/>
    <col min="8467" max="8467" width="12.7109375" style="1" bestFit="1" customWidth="1"/>
    <col min="8468" max="8468" width="5.5703125" style="1" customWidth="1"/>
    <col min="8469" max="8470" width="8.7109375" style="1"/>
    <col min="8471" max="8471" width="11.28515625" style="1" bestFit="1" customWidth="1"/>
    <col min="8472" max="8472" width="9.42578125" style="1" customWidth="1"/>
    <col min="8473" max="8473" width="13.42578125" style="1" bestFit="1" customWidth="1"/>
    <col min="8474" max="8704" width="8.7109375" style="1"/>
    <col min="8705" max="8705" width="2.5703125" style="1" customWidth="1"/>
    <col min="8706" max="8706" width="31" style="1" customWidth="1"/>
    <col min="8707" max="8707" width="10.140625" style="1" bestFit="1" customWidth="1"/>
    <col min="8708" max="8709" width="9.42578125" style="1" bestFit="1" customWidth="1"/>
    <col min="8710" max="8710" width="2.5703125" style="1" customWidth="1"/>
    <col min="8711" max="8711" width="11.7109375" style="1" bestFit="1" customWidth="1"/>
    <col min="8712" max="8712" width="8.85546875" style="1" bestFit="1" customWidth="1"/>
    <col min="8713" max="8713" width="12.28515625" style="1" customWidth="1"/>
    <col min="8714" max="8714" width="4.28515625" style="1" customWidth="1"/>
    <col min="8715" max="8715" width="10.140625" style="1" bestFit="1" customWidth="1"/>
    <col min="8716" max="8716" width="10.28515625" style="1" bestFit="1" customWidth="1"/>
    <col min="8717" max="8717" width="12.28515625" style="1" bestFit="1" customWidth="1"/>
    <col min="8718" max="8718" width="12.7109375" style="1" bestFit="1" customWidth="1"/>
    <col min="8719" max="8719" width="3.42578125" style="1" customWidth="1"/>
    <col min="8720" max="8720" width="11.7109375" style="1" bestFit="1" customWidth="1"/>
    <col min="8721" max="8721" width="10.28515625" style="1" bestFit="1" customWidth="1"/>
    <col min="8722" max="8722" width="11.28515625" style="1" bestFit="1" customWidth="1"/>
    <col min="8723" max="8723" width="12.7109375" style="1" bestFit="1" customWidth="1"/>
    <col min="8724" max="8724" width="5.5703125" style="1" customWidth="1"/>
    <col min="8725" max="8726" width="8.7109375" style="1"/>
    <col min="8727" max="8727" width="11.28515625" style="1" bestFit="1" customWidth="1"/>
    <col min="8728" max="8728" width="9.42578125" style="1" customWidth="1"/>
    <col min="8729" max="8729" width="13.42578125" style="1" bestFit="1" customWidth="1"/>
    <col min="8730" max="8960" width="8.7109375" style="1"/>
    <col min="8961" max="8961" width="2.5703125" style="1" customWidth="1"/>
    <col min="8962" max="8962" width="31" style="1" customWidth="1"/>
    <col min="8963" max="8963" width="10.140625" style="1" bestFit="1" customWidth="1"/>
    <col min="8964" max="8965" width="9.42578125" style="1" bestFit="1" customWidth="1"/>
    <col min="8966" max="8966" width="2.5703125" style="1" customWidth="1"/>
    <col min="8967" max="8967" width="11.7109375" style="1" bestFit="1" customWidth="1"/>
    <col min="8968" max="8968" width="8.85546875" style="1" bestFit="1" customWidth="1"/>
    <col min="8969" max="8969" width="12.28515625" style="1" customWidth="1"/>
    <col min="8970" max="8970" width="4.28515625" style="1" customWidth="1"/>
    <col min="8971" max="8971" width="10.140625" style="1" bestFit="1" customWidth="1"/>
    <col min="8972" max="8972" width="10.28515625" style="1" bestFit="1" customWidth="1"/>
    <col min="8973" max="8973" width="12.28515625" style="1" bestFit="1" customWidth="1"/>
    <col min="8974" max="8974" width="12.7109375" style="1" bestFit="1" customWidth="1"/>
    <col min="8975" max="8975" width="3.42578125" style="1" customWidth="1"/>
    <col min="8976" max="8976" width="11.7109375" style="1" bestFit="1" customWidth="1"/>
    <col min="8977" max="8977" width="10.28515625" style="1" bestFit="1" customWidth="1"/>
    <col min="8978" max="8978" width="11.28515625" style="1" bestFit="1" customWidth="1"/>
    <col min="8979" max="8979" width="12.7109375" style="1" bestFit="1" customWidth="1"/>
    <col min="8980" max="8980" width="5.5703125" style="1" customWidth="1"/>
    <col min="8981" max="8982" width="8.7109375" style="1"/>
    <col min="8983" max="8983" width="11.28515625" style="1" bestFit="1" customWidth="1"/>
    <col min="8984" max="8984" width="9.42578125" style="1" customWidth="1"/>
    <col min="8985" max="8985" width="13.42578125" style="1" bestFit="1" customWidth="1"/>
    <col min="8986" max="9216" width="8.7109375" style="1"/>
    <col min="9217" max="9217" width="2.5703125" style="1" customWidth="1"/>
    <col min="9218" max="9218" width="31" style="1" customWidth="1"/>
    <col min="9219" max="9219" width="10.140625" style="1" bestFit="1" customWidth="1"/>
    <col min="9220" max="9221" width="9.42578125" style="1" bestFit="1" customWidth="1"/>
    <col min="9222" max="9222" width="2.5703125" style="1" customWidth="1"/>
    <col min="9223" max="9223" width="11.7109375" style="1" bestFit="1" customWidth="1"/>
    <col min="9224" max="9224" width="8.85546875" style="1" bestFit="1" customWidth="1"/>
    <col min="9225" max="9225" width="12.28515625" style="1" customWidth="1"/>
    <col min="9226" max="9226" width="4.28515625" style="1" customWidth="1"/>
    <col min="9227" max="9227" width="10.140625" style="1" bestFit="1" customWidth="1"/>
    <col min="9228" max="9228" width="10.28515625" style="1" bestFit="1" customWidth="1"/>
    <col min="9229" max="9229" width="12.28515625" style="1" bestFit="1" customWidth="1"/>
    <col min="9230" max="9230" width="12.7109375" style="1" bestFit="1" customWidth="1"/>
    <col min="9231" max="9231" width="3.42578125" style="1" customWidth="1"/>
    <col min="9232" max="9232" width="11.7109375" style="1" bestFit="1" customWidth="1"/>
    <col min="9233" max="9233" width="10.28515625" style="1" bestFit="1" customWidth="1"/>
    <col min="9234" max="9234" width="11.28515625" style="1" bestFit="1" customWidth="1"/>
    <col min="9235" max="9235" width="12.7109375" style="1" bestFit="1" customWidth="1"/>
    <col min="9236" max="9236" width="5.5703125" style="1" customWidth="1"/>
    <col min="9237" max="9238" width="8.7109375" style="1"/>
    <col min="9239" max="9239" width="11.28515625" style="1" bestFit="1" customWidth="1"/>
    <col min="9240" max="9240" width="9.42578125" style="1" customWidth="1"/>
    <col min="9241" max="9241" width="13.42578125" style="1" bestFit="1" customWidth="1"/>
    <col min="9242" max="9472" width="8.7109375" style="1"/>
    <col min="9473" max="9473" width="2.5703125" style="1" customWidth="1"/>
    <col min="9474" max="9474" width="31" style="1" customWidth="1"/>
    <col min="9475" max="9475" width="10.140625" style="1" bestFit="1" customWidth="1"/>
    <col min="9476" max="9477" width="9.42578125" style="1" bestFit="1" customWidth="1"/>
    <col min="9478" max="9478" width="2.5703125" style="1" customWidth="1"/>
    <col min="9479" max="9479" width="11.7109375" style="1" bestFit="1" customWidth="1"/>
    <col min="9480" max="9480" width="8.85546875" style="1" bestFit="1" customWidth="1"/>
    <col min="9481" max="9481" width="12.28515625" style="1" customWidth="1"/>
    <col min="9482" max="9482" width="4.28515625" style="1" customWidth="1"/>
    <col min="9483" max="9483" width="10.140625" style="1" bestFit="1" customWidth="1"/>
    <col min="9484" max="9484" width="10.28515625" style="1" bestFit="1" customWidth="1"/>
    <col min="9485" max="9485" width="12.28515625" style="1" bestFit="1" customWidth="1"/>
    <col min="9486" max="9486" width="12.7109375" style="1" bestFit="1" customWidth="1"/>
    <col min="9487" max="9487" width="3.42578125" style="1" customWidth="1"/>
    <col min="9488" max="9488" width="11.7109375" style="1" bestFit="1" customWidth="1"/>
    <col min="9489" max="9489" width="10.28515625" style="1" bestFit="1" customWidth="1"/>
    <col min="9490" max="9490" width="11.28515625" style="1" bestFit="1" customWidth="1"/>
    <col min="9491" max="9491" width="12.7109375" style="1" bestFit="1" customWidth="1"/>
    <col min="9492" max="9492" width="5.5703125" style="1" customWidth="1"/>
    <col min="9493" max="9494" width="8.7109375" style="1"/>
    <col min="9495" max="9495" width="11.28515625" style="1" bestFit="1" customWidth="1"/>
    <col min="9496" max="9496" width="9.42578125" style="1" customWidth="1"/>
    <col min="9497" max="9497" width="13.42578125" style="1" bestFit="1" customWidth="1"/>
    <col min="9498" max="9728" width="8.7109375" style="1"/>
    <col min="9729" max="9729" width="2.5703125" style="1" customWidth="1"/>
    <col min="9730" max="9730" width="31" style="1" customWidth="1"/>
    <col min="9731" max="9731" width="10.140625" style="1" bestFit="1" customWidth="1"/>
    <col min="9732" max="9733" width="9.42578125" style="1" bestFit="1" customWidth="1"/>
    <col min="9734" max="9734" width="2.5703125" style="1" customWidth="1"/>
    <col min="9735" max="9735" width="11.7109375" style="1" bestFit="1" customWidth="1"/>
    <col min="9736" max="9736" width="8.85546875" style="1" bestFit="1" customWidth="1"/>
    <col min="9737" max="9737" width="12.28515625" style="1" customWidth="1"/>
    <col min="9738" max="9738" width="4.28515625" style="1" customWidth="1"/>
    <col min="9739" max="9739" width="10.140625" style="1" bestFit="1" customWidth="1"/>
    <col min="9740" max="9740" width="10.28515625" style="1" bestFit="1" customWidth="1"/>
    <col min="9741" max="9741" width="12.28515625" style="1" bestFit="1" customWidth="1"/>
    <col min="9742" max="9742" width="12.7109375" style="1" bestFit="1" customWidth="1"/>
    <col min="9743" max="9743" width="3.42578125" style="1" customWidth="1"/>
    <col min="9744" max="9744" width="11.7109375" style="1" bestFit="1" customWidth="1"/>
    <col min="9745" max="9745" width="10.28515625" style="1" bestFit="1" customWidth="1"/>
    <col min="9746" max="9746" width="11.28515625" style="1" bestFit="1" customWidth="1"/>
    <col min="9747" max="9747" width="12.7109375" style="1" bestFit="1" customWidth="1"/>
    <col min="9748" max="9748" width="5.5703125" style="1" customWidth="1"/>
    <col min="9749" max="9750" width="8.7109375" style="1"/>
    <col min="9751" max="9751" width="11.28515625" style="1" bestFit="1" customWidth="1"/>
    <col min="9752" max="9752" width="9.42578125" style="1" customWidth="1"/>
    <col min="9753" max="9753" width="13.42578125" style="1" bestFit="1" customWidth="1"/>
    <col min="9754" max="9984" width="8.7109375" style="1"/>
    <col min="9985" max="9985" width="2.5703125" style="1" customWidth="1"/>
    <col min="9986" max="9986" width="31" style="1" customWidth="1"/>
    <col min="9987" max="9987" width="10.140625" style="1" bestFit="1" customWidth="1"/>
    <col min="9988" max="9989" width="9.42578125" style="1" bestFit="1" customWidth="1"/>
    <col min="9990" max="9990" width="2.5703125" style="1" customWidth="1"/>
    <col min="9991" max="9991" width="11.7109375" style="1" bestFit="1" customWidth="1"/>
    <col min="9992" max="9992" width="8.85546875" style="1" bestFit="1" customWidth="1"/>
    <col min="9993" max="9993" width="12.28515625" style="1" customWidth="1"/>
    <col min="9994" max="9994" width="4.28515625" style="1" customWidth="1"/>
    <col min="9995" max="9995" width="10.140625" style="1" bestFit="1" customWidth="1"/>
    <col min="9996" max="9996" width="10.28515625" style="1" bestFit="1" customWidth="1"/>
    <col min="9997" max="9997" width="12.28515625" style="1" bestFit="1" customWidth="1"/>
    <col min="9998" max="9998" width="12.7109375" style="1" bestFit="1" customWidth="1"/>
    <col min="9999" max="9999" width="3.42578125" style="1" customWidth="1"/>
    <col min="10000" max="10000" width="11.7109375" style="1" bestFit="1" customWidth="1"/>
    <col min="10001" max="10001" width="10.28515625" style="1" bestFit="1" customWidth="1"/>
    <col min="10002" max="10002" width="11.28515625" style="1" bestFit="1" customWidth="1"/>
    <col min="10003" max="10003" width="12.7109375" style="1" bestFit="1" customWidth="1"/>
    <col min="10004" max="10004" width="5.5703125" style="1" customWidth="1"/>
    <col min="10005" max="10006" width="8.7109375" style="1"/>
    <col min="10007" max="10007" width="11.28515625" style="1" bestFit="1" customWidth="1"/>
    <col min="10008" max="10008" width="9.42578125" style="1" customWidth="1"/>
    <col min="10009" max="10009" width="13.42578125" style="1" bestFit="1" customWidth="1"/>
    <col min="10010" max="10240" width="8.7109375" style="1"/>
    <col min="10241" max="10241" width="2.5703125" style="1" customWidth="1"/>
    <col min="10242" max="10242" width="31" style="1" customWidth="1"/>
    <col min="10243" max="10243" width="10.140625" style="1" bestFit="1" customWidth="1"/>
    <col min="10244" max="10245" width="9.42578125" style="1" bestFit="1" customWidth="1"/>
    <col min="10246" max="10246" width="2.5703125" style="1" customWidth="1"/>
    <col min="10247" max="10247" width="11.7109375" style="1" bestFit="1" customWidth="1"/>
    <col min="10248" max="10248" width="8.85546875" style="1" bestFit="1" customWidth="1"/>
    <col min="10249" max="10249" width="12.28515625" style="1" customWidth="1"/>
    <col min="10250" max="10250" width="4.28515625" style="1" customWidth="1"/>
    <col min="10251" max="10251" width="10.140625" style="1" bestFit="1" customWidth="1"/>
    <col min="10252" max="10252" width="10.28515625" style="1" bestFit="1" customWidth="1"/>
    <col min="10253" max="10253" width="12.28515625" style="1" bestFit="1" customWidth="1"/>
    <col min="10254" max="10254" width="12.7109375" style="1" bestFit="1" customWidth="1"/>
    <col min="10255" max="10255" width="3.42578125" style="1" customWidth="1"/>
    <col min="10256" max="10256" width="11.7109375" style="1" bestFit="1" customWidth="1"/>
    <col min="10257" max="10257" width="10.28515625" style="1" bestFit="1" customWidth="1"/>
    <col min="10258" max="10258" width="11.28515625" style="1" bestFit="1" customWidth="1"/>
    <col min="10259" max="10259" width="12.7109375" style="1" bestFit="1" customWidth="1"/>
    <col min="10260" max="10260" width="5.5703125" style="1" customWidth="1"/>
    <col min="10261" max="10262" width="8.7109375" style="1"/>
    <col min="10263" max="10263" width="11.28515625" style="1" bestFit="1" customWidth="1"/>
    <col min="10264" max="10264" width="9.42578125" style="1" customWidth="1"/>
    <col min="10265" max="10265" width="13.42578125" style="1" bestFit="1" customWidth="1"/>
    <col min="10266" max="10496" width="8.7109375" style="1"/>
    <col min="10497" max="10497" width="2.5703125" style="1" customWidth="1"/>
    <col min="10498" max="10498" width="31" style="1" customWidth="1"/>
    <col min="10499" max="10499" width="10.140625" style="1" bestFit="1" customWidth="1"/>
    <col min="10500" max="10501" width="9.42578125" style="1" bestFit="1" customWidth="1"/>
    <col min="10502" max="10502" width="2.5703125" style="1" customWidth="1"/>
    <col min="10503" max="10503" width="11.7109375" style="1" bestFit="1" customWidth="1"/>
    <col min="10504" max="10504" width="8.85546875" style="1" bestFit="1" customWidth="1"/>
    <col min="10505" max="10505" width="12.28515625" style="1" customWidth="1"/>
    <col min="10506" max="10506" width="4.28515625" style="1" customWidth="1"/>
    <col min="10507" max="10507" width="10.140625" style="1" bestFit="1" customWidth="1"/>
    <col min="10508" max="10508" width="10.28515625" style="1" bestFit="1" customWidth="1"/>
    <col min="10509" max="10509" width="12.28515625" style="1" bestFit="1" customWidth="1"/>
    <col min="10510" max="10510" width="12.7109375" style="1" bestFit="1" customWidth="1"/>
    <col min="10511" max="10511" width="3.42578125" style="1" customWidth="1"/>
    <col min="10512" max="10512" width="11.7109375" style="1" bestFit="1" customWidth="1"/>
    <col min="10513" max="10513" width="10.28515625" style="1" bestFit="1" customWidth="1"/>
    <col min="10514" max="10514" width="11.28515625" style="1" bestFit="1" customWidth="1"/>
    <col min="10515" max="10515" width="12.7109375" style="1" bestFit="1" customWidth="1"/>
    <col min="10516" max="10516" width="5.5703125" style="1" customWidth="1"/>
    <col min="10517" max="10518" width="8.7109375" style="1"/>
    <col min="10519" max="10519" width="11.28515625" style="1" bestFit="1" customWidth="1"/>
    <col min="10520" max="10520" width="9.42578125" style="1" customWidth="1"/>
    <col min="10521" max="10521" width="13.42578125" style="1" bestFit="1" customWidth="1"/>
    <col min="10522" max="10752" width="8.7109375" style="1"/>
    <col min="10753" max="10753" width="2.5703125" style="1" customWidth="1"/>
    <col min="10754" max="10754" width="31" style="1" customWidth="1"/>
    <col min="10755" max="10755" width="10.140625" style="1" bestFit="1" customWidth="1"/>
    <col min="10756" max="10757" width="9.42578125" style="1" bestFit="1" customWidth="1"/>
    <col min="10758" max="10758" width="2.5703125" style="1" customWidth="1"/>
    <col min="10759" max="10759" width="11.7109375" style="1" bestFit="1" customWidth="1"/>
    <col min="10760" max="10760" width="8.85546875" style="1" bestFit="1" customWidth="1"/>
    <col min="10761" max="10761" width="12.28515625" style="1" customWidth="1"/>
    <col min="10762" max="10762" width="4.28515625" style="1" customWidth="1"/>
    <col min="10763" max="10763" width="10.140625" style="1" bestFit="1" customWidth="1"/>
    <col min="10764" max="10764" width="10.28515625" style="1" bestFit="1" customWidth="1"/>
    <col min="10765" max="10765" width="12.28515625" style="1" bestFit="1" customWidth="1"/>
    <col min="10766" max="10766" width="12.7109375" style="1" bestFit="1" customWidth="1"/>
    <col min="10767" max="10767" width="3.42578125" style="1" customWidth="1"/>
    <col min="10768" max="10768" width="11.7109375" style="1" bestFit="1" customWidth="1"/>
    <col min="10769" max="10769" width="10.28515625" style="1" bestFit="1" customWidth="1"/>
    <col min="10770" max="10770" width="11.28515625" style="1" bestFit="1" customWidth="1"/>
    <col min="10771" max="10771" width="12.7109375" style="1" bestFit="1" customWidth="1"/>
    <col min="10772" max="10772" width="5.5703125" style="1" customWidth="1"/>
    <col min="10773" max="10774" width="8.7109375" style="1"/>
    <col min="10775" max="10775" width="11.28515625" style="1" bestFit="1" customWidth="1"/>
    <col min="10776" max="10776" width="9.42578125" style="1" customWidth="1"/>
    <col min="10777" max="10777" width="13.42578125" style="1" bestFit="1" customWidth="1"/>
    <col min="10778" max="11008" width="8.7109375" style="1"/>
    <col min="11009" max="11009" width="2.5703125" style="1" customWidth="1"/>
    <col min="11010" max="11010" width="31" style="1" customWidth="1"/>
    <col min="11011" max="11011" width="10.140625" style="1" bestFit="1" customWidth="1"/>
    <col min="11012" max="11013" width="9.42578125" style="1" bestFit="1" customWidth="1"/>
    <col min="11014" max="11014" width="2.5703125" style="1" customWidth="1"/>
    <col min="11015" max="11015" width="11.7109375" style="1" bestFit="1" customWidth="1"/>
    <col min="11016" max="11016" width="8.85546875" style="1" bestFit="1" customWidth="1"/>
    <col min="11017" max="11017" width="12.28515625" style="1" customWidth="1"/>
    <col min="11018" max="11018" width="4.28515625" style="1" customWidth="1"/>
    <col min="11019" max="11019" width="10.140625" style="1" bestFit="1" customWidth="1"/>
    <col min="11020" max="11020" width="10.28515625" style="1" bestFit="1" customWidth="1"/>
    <col min="11021" max="11021" width="12.28515625" style="1" bestFit="1" customWidth="1"/>
    <col min="11022" max="11022" width="12.7109375" style="1" bestFit="1" customWidth="1"/>
    <col min="11023" max="11023" width="3.42578125" style="1" customWidth="1"/>
    <col min="11024" max="11024" width="11.7109375" style="1" bestFit="1" customWidth="1"/>
    <col min="11025" max="11025" width="10.28515625" style="1" bestFit="1" customWidth="1"/>
    <col min="11026" max="11026" width="11.28515625" style="1" bestFit="1" customWidth="1"/>
    <col min="11027" max="11027" width="12.7109375" style="1" bestFit="1" customWidth="1"/>
    <col min="11028" max="11028" width="5.5703125" style="1" customWidth="1"/>
    <col min="11029" max="11030" width="8.7109375" style="1"/>
    <col min="11031" max="11031" width="11.28515625" style="1" bestFit="1" customWidth="1"/>
    <col min="11032" max="11032" width="9.42578125" style="1" customWidth="1"/>
    <col min="11033" max="11033" width="13.42578125" style="1" bestFit="1" customWidth="1"/>
    <col min="11034" max="11264" width="8.7109375" style="1"/>
    <col min="11265" max="11265" width="2.5703125" style="1" customWidth="1"/>
    <col min="11266" max="11266" width="31" style="1" customWidth="1"/>
    <col min="11267" max="11267" width="10.140625" style="1" bestFit="1" customWidth="1"/>
    <col min="11268" max="11269" width="9.42578125" style="1" bestFit="1" customWidth="1"/>
    <col min="11270" max="11270" width="2.5703125" style="1" customWidth="1"/>
    <col min="11271" max="11271" width="11.7109375" style="1" bestFit="1" customWidth="1"/>
    <col min="11272" max="11272" width="8.85546875" style="1" bestFit="1" customWidth="1"/>
    <col min="11273" max="11273" width="12.28515625" style="1" customWidth="1"/>
    <col min="11274" max="11274" width="4.28515625" style="1" customWidth="1"/>
    <col min="11275" max="11275" width="10.140625" style="1" bestFit="1" customWidth="1"/>
    <col min="11276" max="11276" width="10.28515625" style="1" bestFit="1" customWidth="1"/>
    <col min="11277" max="11277" width="12.28515625" style="1" bestFit="1" customWidth="1"/>
    <col min="11278" max="11278" width="12.7109375" style="1" bestFit="1" customWidth="1"/>
    <col min="11279" max="11279" width="3.42578125" style="1" customWidth="1"/>
    <col min="11280" max="11280" width="11.7109375" style="1" bestFit="1" customWidth="1"/>
    <col min="11281" max="11281" width="10.28515625" style="1" bestFit="1" customWidth="1"/>
    <col min="11282" max="11282" width="11.28515625" style="1" bestFit="1" customWidth="1"/>
    <col min="11283" max="11283" width="12.7109375" style="1" bestFit="1" customWidth="1"/>
    <col min="11284" max="11284" width="5.5703125" style="1" customWidth="1"/>
    <col min="11285" max="11286" width="8.7109375" style="1"/>
    <col min="11287" max="11287" width="11.28515625" style="1" bestFit="1" customWidth="1"/>
    <col min="11288" max="11288" width="9.42578125" style="1" customWidth="1"/>
    <col min="11289" max="11289" width="13.42578125" style="1" bestFit="1" customWidth="1"/>
    <col min="11290" max="11520" width="8.7109375" style="1"/>
    <col min="11521" max="11521" width="2.5703125" style="1" customWidth="1"/>
    <col min="11522" max="11522" width="31" style="1" customWidth="1"/>
    <col min="11523" max="11523" width="10.140625" style="1" bestFit="1" customWidth="1"/>
    <col min="11524" max="11525" width="9.42578125" style="1" bestFit="1" customWidth="1"/>
    <col min="11526" max="11526" width="2.5703125" style="1" customWidth="1"/>
    <col min="11527" max="11527" width="11.7109375" style="1" bestFit="1" customWidth="1"/>
    <col min="11528" max="11528" width="8.85546875" style="1" bestFit="1" customWidth="1"/>
    <col min="11529" max="11529" width="12.28515625" style="1" customWidth="1"/>
    <col min="11530" max="11530" width="4.28515625" style="1" customWidth="1"/>
    <col min="11531" max="11531" width="10.140625" style="1" bestFit="1" customWidth="1"/>
    <col min="11532" max="11532" width="10.28515625" style="1" bestFit="1" customWidth="1"/>
    <col min="11533" max="11533" width="12.28515625" style="1" bestFit="1" customWidth="1"/>
    <col min="11534" max="11534" width="12.7109375" style="1" bestFit="1" customWidth="1"/>
    <col min="11535" max="11535" width="3.42578125" style="1" customWidth="1"/>
    <col min="11536" max="11536" width="11.7109375" style="1" bestFit="1" customWidth="1"/>
    <col min="11537" max="11537" width="10.28515625" style="1" bestFit="1" customWidth="1"/>
    <col min="11538" max="11538" width="11.28515625" style="1" bestFit="1" customWidth="1"/>
    <col min="11539" max="11539" width="12.7109375" style="1" bestFit="1" customWidth="1"/>
    <col min="11540" max="11540" width="5.5703125" style="1" customWidth="1"/>
    <col min="11541" max="11542" width="8.7109375" style="1"/>
    <col min="11543" max="11543" width="11.28515625" style="1" bestFit="1" customWidth="1"/>
    <col min="11544" max="11544" width="9.42578125" style="1" customWidth="1"/>
    <col min="11545" max="11545" width="13.42578125" style="1" bestFit="1" customWidth="1"/>
    <col min="11546" max="11776" width="8.7109375" style="1"/>
    <col min="11777" max="11777" width="2.5703125" style="1" customWidth="1"/>
    <col min="11778" max="11778" width="31" style="1" customWidth="1"/>
    <col min="11779" max="11779" width="10.140625" style="1" bestFit="1" customWidth="1"/>
    <col min="11780" max="11781" width="9.42578125" style="1" bestFit="1" customWidth="1"/>
    <col min="11782" max="11782" width="2.5703125" style="1" customWidth="1"/>
    <col min="11783" max="11783" width="11.7109375" style="1" bestFit="1" customWidth="1"/>
    <col min="11784" max="11784" width="8.85546875" style="1" bestFit="1" customWidth="1"/>
    <col min="11785" max="11785" width="12.28515625" style="1" customWidth="1"/>
    <col min="11786" max="11786" width="4.28515625" style="1" customWidth="1"/>
    <col min="11787" max="11787" width="10.140625" style="1" bestFit="1" customWidth="1"/>
    <col min="11788" max="11788" width="10.28515625" style="1" bestFit="1" customWidth="1"/>
    <col min="11789" max="11789" width="12.28515625" style="1" bestFit="1" customWidth="1"/>
    <col min="11790" max="11790" width="12.7109375" style="1" bestFit="1" customWidth="1"/>
    <col min="11791" max="11791" width="3.42578125" style="1" customWidth="1"/>
    <col min="11792" max="11792" width="11.7109375" style="1" bestFit="1" customWidth="1"/>
    <col min="11793" max="11793" width="10.28515625" style="1" bestFit="1" customWidth="1"/>
    <col min="11794" max="11794" width="11.28515625" style="1" bestFit="1" customWidth="1"/>
    <col min="11795" max="11795" width="12.7109375" style="1" bestFit="1" customWidth="1"/>
    <col min="11796" max="11796" width="5.5703125" style="1" customWidth="1"/>
    <col min="11797" max="11798" width="8.7109375" style="1"/>
    <col min="11799" max="11799" width="11.28515625" style="1" bestFit="1" customWidth="1"/>
    <col min="11800" max="11800" width="9.42578125" style="1" customWidth="1"/>
    <col min="11801" max="11801" width="13.42578125" style="1" bestFit="1" customWidth="1"/>
    <col min="11802" max="12032" width="8.7109375" style="1"/>
    <col min="12033" max="12033" width="2.5703125" style="1" customWidth="1"/>
    <col min="12034" max="12034" width="31" style="1" customWidth="1"/>
    <col min="12035" max="12035" width="10.140625" style="1" bestFit="1" customWidth="1"/>
    <col min="12036" max="12037" width="9.42578125" style="1" bestFit="1" customWidth="1"/>
    <col min="12038" max="12038" width="2.5703125" style="1" customWidth="1"/>
    <col min="12039" max="12039" width="11.7109375" style="1" bestFit="1" customWidth="1"/>
    <col min="12040" max="12040" width="8.85546875" style="1" bestFit="1" customWidth="1"/>
    <col min="12041" max="12041" width="12.28515625" style="1" customWidth="1"/>
    <col min="12042" max="12042" width="4.28515625" style="1" customWidth="1"/>
    <col min="12043" max="12043" width="10.140625" style="1" bestFit="1" customWidth="1"/>
    <col min="12044" max="12044" width="10.28515625" style="1" bestFit="1" customWidth="1"/>
    <col min="12045" max="12045" width="12.28515625" style="1" bestFit="1" customWidth="1"/>
    <col min="12046" max="12046" width="12.7109375" style="1" bestFit="1" customWidth="1"/>
    <col min="12047" max="12047" width="3.42578125" style="1" customWidth="1"/>
    <col min="12048" max="12048" width="11.7109375" style="1" bestFit="1" customWidth="1"/>
    <col min="12049" max="12049" width="10.28515625" style="1" bestFit="1" customWidth="1"/>
    <col min="12050" max="12050" width="11.28515625" style="1" bestFit="1" customWidth="1"/>
    <col min="12051" max="12051" width="12.7109375" style="1" bestFit="1" customWidth="1"/>
    <col min="12052" max="12052" width="5.5703125" style="1" customWidth="1"/>
    <col min="12053" max="12054" width="8.7109375" style="1"/>
    <col min="12055" max="12055" width="11.28515625" style="1" bestFit="1" customWidth="1"/>
    <col min="12056" max="12056" width="9.42578125" style="1" customWidth="1"/>
    <col min="12057" max="12057" width="13.42578125" style="1" bestFit="1" customWidth="1"/>
    <col min="12058" max="12288" width="8.7109375" style="1"/>
    <col min="12289" max="12289" width="2.5703125" style="1" customWidth="1"/>
    <col min="12290" max="12290" width="31" style="1" customWidth="1"/>
    <col min="12291" max="12291" width="10.140625" style="1" bestFit="1" customWidth="1"/>
    <col min="12292" max="12293" width="9.42578125" style="1" bestFit="1" customWidth="1"/>
    <col min="12294" max="12294" width="2.5703125" style="1" customWidth="1"/>
    <col min="12295" max="12295" width="11.7109375" style="1" bestFit="1" customWidth="1"/>
    <col min="12296" max="12296" width="8.85546875" style="1" bestFit="1" customWidth="1"/>
    <col min="12297" max="12297" width="12.28515625" style="1" customWidth="1"/>
    <col min="12298" max="12298" width="4.28515625" style="1" customWidth="1"/>
    <col min="12299" max="12299" width="10.140625" style="1" bestFit="1" customWidth="1"/>
    <col min="12300" max="12300" width="10.28515625" style="1" bestFit="1" customWidth="1"/>
    <col min="12301" max="12301" width="12.28515625" style="1" bestFit="1" customWidth="1"/>
    <col min="12302" max="12302" width="12.7109375" style="1" bestFit="1" customWidth="1"/>
    <col min="12303" max="12303" width="3.42578125" style="1" customWidth="1"/>
    <col min="12304" max="12304" width="11.7109375" style="1" bestFit="1" customWidth="1"/>
    <col min="12305" max="12305" width="10.28515625" style="1" bestFit="1" customWidth="1"/>
    <col min="12306" max="12306" width="11.28515625" style="1" bestFit="1" customWidth="1"/>
    <col min="12307" max="12307" width="12.7109375" style="1" bestFit="1" customWidth="1"/>
    <col min="12308" max="12308" width="5.5703125" style="1" customWidth="1"/>
    <col min="12309" max="12310" width="8.7109375" style="1"/>
    <col min="12311" max="12311" width="11.28515625" style="1" bestFit="1" customWidth="1"/>
    <col min="12312" max="12312" width="9.42578125" style="1" customWidth="1"/>
    <col min="12313" max="12313" width="13.42578125" style="1" bestFit="1" customWidth="1"/>
    <col min="12314" max="12544" width="8.7109375" style="1"/>
    <col min="12545" max="12545" width="2.5703125" style="1" customWidth="1"/>
    <col min="12546" max="12546" width="31" style="1" customWidth="1"/>
    <col min="12547" max="12547" width="10.140625" style="1" bestFit="1" customWidth="1"/>
    <col min="12548" max="12549" width="9.42578125" style="1" bestFit="1" customWidth="1"/>
    <col min="12550" max="12550" width="2.5703125" style="1" customWidth="1"/>
    <col min="12551" max="12551" width="11.7109375" style="1" bestFit="1" customWidth="1"/>
    <col min="12552" max="12552" width="8.85546875" style="1" bestFit="1" customWidth="1"/>
    <col min="12553" max="12553" width="12.28515625" style="1" customWidth="1"/>
    <col min="12554" max="12554" width="4.28515625" style="1" customWidth="1"/>
    <col min="12555" max="12555" width="10.140625" style="1" bestFit="1" customWidth="1"/>
    <col min="12556" max="12556" width="10.28515625" style="1" bestFit="1" customWidth="1"/>
    <col min="12557" max="12557" width="12.28515625" style="1" bestFit="1" customWidth="1"/>
    <col min="12558" max="12558" width="12.7109375" style="1" bestFit="1" customWidth="1"/>
    <col min="12559" max="12559" width="3.42578125" style="1" customWidth="1"/>
    <col min="12560" max="12560" width="11.7109375" style="1" bestFit="1" customWidth="1"/>
    <col min="12561" max="12561" width="10.28515625" style="1" bestFit="1" customWidth="1"/>
    <col min="12562" max="12562" width="11.28515625" style="1" bestFit="1" customWidth="1"/>
    <col min="12563" max="12563" width="12.7109375" style="1" bestFit="1" customWidth="1"/>
    <col min="12564" max="12564" width="5.5703125" style="1" customWidth="1"/>
    <col min="12565" max="12566" width="8.7109375" style="1"/>
    <col min="12567" max="12567" width="11.28515625" style="1" bestFit="1" customWidth="1"/>
    <col min="12568" max="12568" width="9.42578125" style="1" customWidth="1"/>
    <col min="12569" max="12569" width="13.42578125" style="1" bestFit="1" customWidth="1"/>
    <col min="12570" max="12800" width="8.7109375" style="1"/>
    <col min="12801" max="12801" width="2.5703125" style="1" customWidth="1"/>
    <col min="12802" max="12802" width="31" style="1" customWidth="1"/>
    <col min="12803" max="12803" width="10.140625" style="1" bestFit="1" customWidth="1"/>
    <col min="12804" max="12805" width="9.42578125" style="1" bestFit="1" customWidth="1"/>
    <col min="12806" max="12806" width="2.5703125" style="1" customWidth="1"/>
    <col min="12807" max="12807" width="11.7109375" style="1" bestFit="1" customWidth="1"/>
    <col min="12808" max="12808" width="8.85546875" style="1" bestFit="1" customWidth="1"/>
    <col min="12809" max="12809" width="12.28515625" style="1" customWidth="1"/>
    <col min="12810" max="12810" width="4.28515625" style="1" customWidth="1"/>
    <col min="12811" max="12811" width="10.140625" style="1" bestFit="1" customWidth="1"/>
    <col min="12812" max="12812" width="10.28515625" style="1" bestFit="1" customWidth="1"/>
    <col min="12813" max="12813" width="12.28515625" style="1" bestFit="1" customWidth="1"/>
    <col min="12814" max="12814" width="12.7109375" style="1" bestFit="1" customWidth="1"/>
    <col min="12815" max="12815" width="3.42578125" style="1" customWidth="1"/>
    <col min="12816" max="12816" width="11.7109375" style="1" bestFit="1" customWidth="1"/>
    <col min="12817" max="12817" width="10.28515625" style="1" bestFit="1" customWidth="1"/>
    <col min="12818" max="12818" width="11.28515625" style="1" bestFit="1" customWidth="1"/>
    <col min="12819" max="12819" width="12.7109375" style="1" bestFit="1" customWidth="1"/>
    <col min="12820" max="12820" width="5.5703125" style="1" customWidth="1"/>
    <col min="12821" max="12822" width="8.7109375" style="1"/>
    <col min="12823" max="12823" width="11.28515625" style="1" bestFit="1" customWidth="1"/>
    <col min="12824" max="12824" width="9.42578125" style="1" customWidth="1"/>
    <col min="12825" max="12825" width="13.42578125" style="1" bestFit="1" customWidth="1"/>
    <col min="12826" max="13056" width="8.7109375" style="1"/>
    <col min="13057" max="13057" width="2.5703125" style="1" customWidth="1"/>
    <col min="13058" max="13058" width="31" style="1" customWidth="1"/>
    <col min="13059" max="13059" width="10.140625" style="1" bestFit="1" customWidth="1"/>
    <col min="13060" max="13061" width="9.42578125" style="1" bestFit="1" customWidth="1"/>
    <col min="13062" max="13062" width="2.5703125" style="1" customWidth="1"/>
    <col min="13063" max="13063" width="11.7109375" style="1" bestFit="1" customWidth="1"/>
    <col min="13064" max="13064" width="8.85546875" style="1" bestFit="1" customWidth="1"/>
    <col min="13065" max="13065" width="12.28515625" style="1" customWidth="1"/>
    <col min="13066" max="13066" width="4.28515625" style="1" customWidth="1"/>
    <col min="13067" max="13067" width="10.140625" style="1" bestFit="1" customWidth="1"/>
    <col min="13068" max="13068" width="10.28515625" style="1" bestFit="1" customWidth="1"/>
    <col min="13069" max="13069" width="12.28515625" style="1" bestFit="1" customWidth="1"/>
    <col min="13070" max="13070" width="12.7109375" style="1" bestFit="1" customWidth="1"/>
    <col min="13071" max="13071" width="3.42578125" style="1" customWidth="1"/>
    <col min="13072" max="13072" width="11.7109375" style="1" bestFit="1" customWidth="1"/>
    <col min="13073" max="13073" width="10.28515625" style="1" bestFit="1" customWidth="1"/>
    <col min="13074" max="13074" width="11.28515625" style="1" bestFit="1" customWidth="1"/>
    <col min="13075" max="13075" width="12.7109375" style="1" bestFit="1" customWidth="1"/>
    <col min="13076" max="13076" width="5.5703125" style="1" customWidth="1"/>
    <col min="13077" max="13078" width="8.7109375" style="1"/>
    <col min="13079" max="13079" width="11.28515625" style="1" bestFit="1" customWidth="1"/>
    <col min="13080" max="13080" width="9.42578125" style="1" customWidth="1"/>
    <col min="13081" max="13081" width="13.42578125" style="1" bestFit="1" customWidth="1"/>
    <col min="13082" max="13312" width="8.7109375" style="1"/>
    <col min="13313" max="13313" width="2.5703125" style="1" customWidth="1"/>
    <col min="13314" max="13314" width="31" style="1" customWidth="1"/>
    <col min="13315" max="13315" width="10.140625" style="1" bestFit="1" customWidth="1"/>
    <col min="13316" max="13317" width="9.42578125" style="1" bestFit="1" customWidth="1"/>
    <col min="13318" max="13318" width="2.5703125" style="1" customWidth="1"/>
    <col min="13319" max="13319" width="11.7109375" style="1" bestFit="1" customWidth="1"/>
    <col min="13320" max="13320" width="8.85546875" style="1" bestFit="1" customWidth="1"/>
    <col min="13321" max="13321" width="12.28515625" style="1" customWidth="1"/>
    <col min="13322" max="13322" width="4.28515625" style="1" customWidth="1"/>
    <col min="13323" max="13323" width="10.140625" style="1" bestFit="1" customWidth="1"/>
    <col min="13324" max="13324" width="10.28515625" style="1" bestFit="1" customWidth="1"/>
    <col min="13325" max="13325" width="12.28515625" style="1" bestFit="1" customWidth="1"/>
    <col min="13326" max="13326" width="12.7109375" style="1" bestFit="1" customWidth="1"/>
    <col min="13327" max="13327" width="3.42578125" style="1" customWidth="1"/>
    <col min="13328" max="13328" width="11.7109375" style="1" bestFit="1" customWidth="1"/>
    <col min="13329" max="13329" width="10.28515625" style="1" bestFit="1" customWidth="1"/>
    <col min="13330" max="13330" width="11.28515625" style="1" bestFit="1" customWidth="1"/>
    <col min="13331" max="13331" width="12.7109375" style="1" bestFit="1" customWidth="1"/>
    <col min="13332" max="13332" width="5.5703125" style="1" customWidth="1"/>
    <col min="13333" max="13334" width="8.7109375" style="1"/>
    <col min="13335" max="13335" width="11.28515625" style="1" bestFit="1" customWidth="1"/>
    <col min="13336" max="13336" width="9.42578125" style="1" customWidth="1"/>
    <col min="13337" max="13337" width="13.42578125" style="1" bestFit="1" customWidth="1"/>
    <col min="13338" max="13568" width="8.7109375" style="1"/>
    <col min="13569" max="13569" width="2.5703125" style="1" customWidth="1"/>
    <col min="13570" max="13570" width="31" style="1" customWidth="1"/>
    <col min="13571" max="13571" width="10.140625" style="1" bestFit="1" customWidth="1"/>
    <col min="13572" max="13573" width="9.42578125" style="1" bestFit="1" customWidth="1"/>
    <col min="13574" max="13574" width="2.5703125" style="1" customWidth="1"/>
    <col min="13575" max="13575" width="11.7109375" style="1" bestFit="1" customWidth="1"/>
    <col min="13576" max="13576" width="8.85546875" style="1" bestFit="1" customWidth="1"/>
    <col min="13577" max="13577" width="12.28515625" style="1" customWidth="1"/>
    <col min="13578" max="13578" width="4.28515625" style="1" customWidth="1"/>
    <col min="13579" max="13579" width="10.140625" style="1" bestFit="1" customWidth="1"/>
    <col min="13580" max="13580" width="10.28515625" style="1" bestFit="1" customWidth="1"/>
    <col min="13581" max="13581" width="12.28515625" style="1" bestFit="1" customWidth="1"/>
    <col min="13582" max="13582" width="12.7109375" style="1" bestFit="1" customWidth="1"/>
    <col min="13583" max="13583" width="3.42578125" style="1" customWidth="1"/>
    <col min="13584" max="13584" width="11.7109375" style="1" bestFit="1" customWidth="1"/>
    <col min="13585" max="13585" width="10.28515625" style="1" bestFit="1" customWidth="1"/>
    <col min="13586" max="13586" width="11.28515625" style="1" bestFit="1" customWidth="1"/>
    <col min="13587" max="13587" width="12.7109375" style="1" bestFit="1" customWidth="1"/>
    <col min="13588" max="13588" width="5.5703125" style="1" customWidth="1"/>
    <col min="13589" max="13590" width="8.7109375" style="1"/>
    <col min="13591" max="13591" width="11.28515625" style="1" bestFit="1" customWidth="1"/>
    <col min="13592" max="13592" width="9.42578125" style="1" customWidth="1"/>
    <col min="13593" max="13593" width="13.42578125" style="1" bestFit="1" customWidth="1"/>
    <col min="13594" max="13824" width="8.7109375" style="1"/>
    <col min="13825" max="13825" width="2.5703125" style="1" customWidth="1"/>
    <col min="13826" max="13826" width="31" style="1" customWidth="1"/>
    <col min="13827" max="13827" width="10.140625" style="1" bestFit="1" customWidth="1"/>
    <col min="13828" max="13829" width="9.42578125" style="1" bestFit="1" customWidth="1"/>
    <col min="13830" max="13830" width="2.5703125" style="1" customWidth="1"/>
    <col min="13831" max="13831" width="11.7109375" style="1" bestFit="1" customWidth="1"/>
    <col min="13832" max="13832" width="8.85546875" style="1" bestFit="1" customWidth="1"/>
    <col min="13833" max="13833" width="12.28515625" style="1" customWidth="1"/>
    <col min="13834" max="13834" width="4.28515625" style="1" customWidth="1"/>
    <col min="13835" max="13835" width="10.140625" style="1" bestFit="1" customWidth="1"/>
    <col min="13836" max="13836" width="10.28515625" style="1" bestFit="1" customWidth="1"/>
    <col min="13837" max="13837" width="12.28515625" style="1" bestFit="1" customWidth="1"/>
    <col min="13838" max="13838" width="12.7109375" style="1" bestFit="1" customWidth="1"/>
    <col min="13839" max="13839" width="3.42578125" style="1" customWidth="1"/>
    <col min="13840" max="13840" width="11.7109375" style="1" bestFit="1" customWidth="1"/>
    <col min="13841" max="13841" width="10.28515625" style="1" bestFit="1" customWidth="1"/>
    <col min="13842" max="13842" width="11.28515625" style="1" bestFit="1" customWidth="1"/>
    <col min="13843" max="13843" width="12.7109375" style="1" bestFit="1" customWidth="1"/>
    <col min="13844" max="13844" width="5.5703125" style="1" customWidth="1"/>
    <col min="13845" max="13846" width="8.7109375" style="1"/>
    <col min="13847" max="13847" width="11.28515625" style="1" bestFit="1" customWidth="1"/>
    <col min="13848" max="13848" width="9.42578125" style="1" customWidth="1"/>
    <col min="13849" max="13849" width="13.42578125" style="1" bestFit="1" customWidth="1"/>
    <col min="13850" max="14080" width="8.7109375" style="1"/>
    <col min="14081" max="14081" width="2.5703125" style="1" customWidth="1"/>
    <col min="14082" max="14082" width="31" style="1" customWidth="1"/>
    <col min="14083" max="14083" width="10.140625" style="1" bestFit="1" customWidth="1"/>
    <col min="14084" max="14085" width="9.42578125" style="1" bestFit="1" customWidth="1"/>
    <col min="14086" max="14086" width="2.5703125" style="1" customWidth="1"/>
    <col min="14087" max="14087" width="11.7109375" style="1" bestFit="1" customWidth="1"/>
    <col min="14088" max="14088" width="8.85546875" style="1" bestFit="1" customWidth="1"/>
    <col min="14089" max="14089" width="12.28515625" style="1" customWidth="1"/>
    <col min="14090" max="14090" width="4.28515625" style="1" customWidth="1"/>
    <col min="14091" max="14091" width="10.140625" style="1" bestFit="1" customWidth="1"/>
    <col min="14092" max="14092" width="10.28515625" style="1" bestFit="1" customWidth="1"/>
    <col min="14093" max="14093" width="12.28515625" style="1" bestFit="1" customWidth="1"/>
    <col min="14094" max="14094" width="12.7109375" style="1" bestFit="1" customWidth="1"/>
    <col min="14095" max="14095" width="3.42578125" style="1" customWidth="1"/>
    <col min="14096" max="14096" width="11.7109375" style="1" bestFit="1" customWidth="1"/>
    <col min="14097" max="14097" width="10.28515625" style="1" bestFit="1" customWidth="1"/>
    <col min="14098" max="14098" width="11.28515625" style="1" bestFit="1" customWidth="1"/>
    <col min="14099" max="14099" width="12.7109375" style="1" bestFit="1" customWidth="1"/>
    <col min="14100" max="14100" width="5.5703125" style="1" customWidth="1"/>
    <col min="14101" max="14102" width="8.7109375" style="1"/>
    <col min="14103" max="14103" width="11.28515625" style="1" bestFit="1" customWidth="1"/>
    <col min="14104" max="14104" width="9.42578125" style="1" customWidth="1"/>
    <col min="14105" max="14105" width="13.42578125" style="1" bestFit="1" customWidth="1"/>
    <col min="14106" max="14336" width="8.7109375" style="1"/>
    <col min="14337" max="14337" width="2.5703125" style="1" customWidth="1"/>
    <col min="14338" max="14338" width="31" style="1" customWidth="1"/>
    <col min="14339" max="14339" width="10.140625" style="1" bestFit="1" customWidth="1"/>
    <col min="14340" max="14341" width="9.42578125" style="1" bestFit="1" customWidth="1"/>
    <col min="14342" max="14342" width="2.5703125" style="1" customWidth="1"/>
    <col min="14343" max="14343" width="11.7109375" style="1" bestFit="1" customWidth="1"/>
    <col min="14344" max="14344" width="8.85546875" style="1" bestFit="1" customWidth="1"/>
    <col min="14345" max="14345" width="12.28515625" style="1" customWidth="1"/>
    <col min="14346" max="14346" width="4.28515625" style="1" customWidth="1"/>
    <col min="14347" max="14347" width="10.140625" style="1" bestFit="1" customWidth="1"/>
    <col min="14348" max="14348" width="10.28515625" style="1" bestFit="1" customWidth="1"/>
    <col min="14349" max="14349" width="12.28515625" style="1" bestFit="1" customWidth="1"/>
    <col min="14350" max="14350" width="12.7109375" style="1" bestFit="1" customWidth="1"/>
    <col min="14351" max="14351" width="3.42578125" style="1" customWidth="1"/>
    <col min="14352" max="14352" width="11.7109375" style="1" bestFit="1" customWidth="1"/>
    <col min="14353" max="14353" width="10.28515625" style="1" bestFit="1" customWidth="1"/>
    <col min="14354" max="14354" width="11.28515625" style="1" bestFit="1" customWidth="1"/>
    <col min="14355" max="14355" width="12.7109375" style="1" bestFit="1" customWidth="1"/>
    <col min="14356" max="14356" width="5.5703125" style="1" customWidth="1"/>
    <col min="14357" max="14358" width="8.7109375" style="1"/>
    <col min="14359" max="14359" width="11.28515625" style="1" bestFit="1" customWidth="1"/>
    <col min="14360" max="14360" width="9.42578125" style="1" customWidth="1"/>
    <col min="14361" max="14361" width="13.42578125" style="1" bestFit="1" customWidth="1"/>
    <col min="14362" max="14592" width="8.7109375" style="1"/>
    <col min="14593" max="14593" width="2.5703125" style="1" customWidth="1"/>
    <col min="14594" max="14594" width="31" style="1" customWidth="1"/>
    <col min="14595" max="14595" width="10.140625" style="1" bestFit="1" customWidth="1"/>
    <col min="14596" max="14597" width="9.42578125" style="1" bestFit="1" customWidth="1"/>
    <col min="14598" max="14598" width="2.5703125" style="1" customWidth="1"/>
    <col min="14599" max="14599" width="11.7109375" style="1" bestFit="1" customWidth="1"/>
    <col min="14600" max="14600" width="8.85546875" style="1" bestFit="1" customWidth="1"/>
    <col min="14601" max="14601" width="12.28515625" style="1" customWidth="1"/>
    <col min="14602" max="14602" width="4.28515625" style="1" customWidth="1"/>
    <col min="14603" max="14603" width="10.140625" style="1" bestFit="1" customWidth="1"/>
    <col min="14604" max="14604" width="10.28515625" style="1" bestFit="1" customWidth="1"/>
    <col min="14605" max="14605" width="12.28515625" style="1" bestFit="1" customWidth="1"/>
    <col min="14606" max="14606" width="12.7109375" style="1" bestFit="1" customWidth="1"/>
    <col min="14607" max="14607" width="3.42578125" style="1" customWidth="1"/>
    <col min="14608" max="14608" width="11.7109375" style="1" bestFit="1" customWidth="1"/>
    <col min="14609" max="14609" width="10.28515625" style="1" bestFit="1" customWidth="1"/>
    <col min="14610" max="14610" width="11.28515625" style="1" bestFit="1" customWidth="1"/>
    <col min="14611" max="14611" width="12.7109375" style="1" bestFit="1" customWidth="1"/>
    <col min="14612" max="14612" width="5.5703125" style="1" customWidth="1"/>
    <col min="14613" max="14614" width="8.7109375" style="1"/>
    <col min="14615" max="14615" width="11.28515625" style="1" bestFit="1" customWidth="1"/>
    <col min="14616" max="14616" width="9.42578125" style="1" customWidth="1"/>
    <col min="14617" max="14617" width="13.42578125" style="1" bestFit="1" customWidth="1"/>
    <col min="14618" max="14848" width="8.7109375" style="1"/>
    <col min="14849" max="14849" width="2.5703125" style="1" customWidth="1"/>
    <col min="14850" max="14850" width="31" style="1" customWidth="1"/>
    <col min="14851" max="14851" width="10.140625" style="1" bestFit="1" customWidth="1"/>
    <col min="14852" max="14853" width="9.42578125" style="1" bestFit="1" customWidth="1"/>
    <col min="14854" max="14854" width="2.5703125" style="1" customWidth="1"/>
    <col min="14855" max="14855" width="11.7109375" style="1" bestFit="1" customWidth="1"/>
    <col min="14856" max="14856" width="8.85546875" style="1" bestFit="1" customWidth="1"/>
    <col min="14857" max="14857" width="12.28515625" style="1" customWidth="1"/>
    <col min="14858" max="14858" width="4.28515625" style="1" customWidth="1"/>
    <col min="14859" max="14859" width="10.140625" style="1" bestFit="1" customWidth="1"/>
    <col min="14860" max="14860" width="10.28515625" style="1" bestFit="1" customWidth="1"/>
    <col min="14861" max="14861" width="12.28515625" style="1" bestFit="1" customWidth="1"/>
    <col min="14862" max="14862" width="12.7109375" style="1" bestFit="1" customWidth="1"/>
    <col min="14863" max="14863" width="3.42578125" style="1" customWidth="1"/>
    <col min="14864" max="14864" width="11.7109375" style="1" bestFit="1" customWidth="1"/>
    <col min="14865" max="14865" width="10.28515625" style="1" bestFit="1" customWidth="1"/>
    <col min="14866" max="14866" width="11.28515625" style="1" bestFit="1" customWidth="1"/>
    <col min="14867" max="14867" width="12.7109375" style="1" bestFit="1" customWidth="1"/>
    <col min="14868" max="14868" width="5.5703125" style="1" customWidth="1"/>
    <col min="14869" max="14870" width="8.7109375" style="1"/>
    <col min="14871" max="14871" width="11.28515625" style="1" bestFit="1" customWidth="1"/>
    <col min="14872" max="14872" width="9.42578125" style="1" customWidth="1"/>
    <col min="14873" max="14873" width="13.42578125" style="1" bestFit="1" customWidth="1"/>
    <col min="14874" max="15104" width="8.7109375" style="1"/>
    <col min="15105" max="15105" width="2.5703125" style="1" customWidth="1"/>
    <col min="15106" max="15106" width="31" style="1" customWidth="1"/>
    <col min="15107" max="15107" width="10.140625" style="1" bestFit="1" customWidth="1"/>
    <col min="15108" max="15109" width="9.42578125" style="1" bestFit="1" customWidth="1"/>
    <col min="15110" max="15110" width="2.5703125" style="1" customWidth="1"/>
    <col min="15111" max="15111" width="11.7109375" style="1" bestFit="1" customWidth="1"/>
    <col min="15112" max="15112" width="8.85546875" style="1" bestFit="1" customWidth="1"/>
    <col min="15113" max="15113" width="12.28515625" style="1" customWidth="1"/>
    <col min="15114" max="15114" width="4.28515625" style="1" customWidth="1"/>
    <col min="15115" max="15115" width="10.140625" style="1" bestFit="1" customWidth="1"/>
    <col min="15116" max="15116" width="10.28515625" style="1" bestFit="1" customWidth="1"/>
    <col min="15117" max="15117" width="12.28515625" style="1" bestFit="1" customWidth="1"/>
    <col min="15118" max="15118" width="12.7109375" style="1" bestFit="1" customWidth="1"/>
    <col min="15119" max="15119" width="3.42578125" style="1" customWidth="1"/>
    <col min="15120" max="15120" width="11.7109375" style="1" bestFit="1" customWidth="1"/>
    <col min="15121" max="15121" width="10.28515625" style="1" bestFit="1" customWidth="1"/>
    <col min="15122" max="15122" width="11.28515625" style="1" bestFit="1" customWidth="1"/>
    <col min="15123" max="15123" width="12.7109375" style="1" bestFit="1" customWidth="1"/>
    <col min="15124" max="15124" width="5.5703125" style="1" customWidth="1"/>
    <col min="15125" max="15126" width="8.7109375" style="1"/>
    <col min="15127" max="15127" width="11.28515625" style="1" bestFit="1" customWidth="1"/>
    <col min="15128" max="15128" width="9.42578125" style="1" customWidth="1"/>
    <col min="15129" max="15129" width="13.42578125" style="1" bestFit="1" customWidth="1"/>
    <col min="15130" max="15360" width="8.7109375" style="1"/>
    <col min="15361" max="15361" width="2.5703125" style="1" customWidth="1"/>
    <col min="15362" max="15362" width="31" style="1" customWidth="1"/>
    <col min="15363" max="15363" width="10.140625" style="1" bestFit="1" customWidth="1"/>
    <col min="15364" max="15365" width="9.42578125" style="1" bestFit="1" customWidth="1"/>
    <col min="15366" max="15366" width="2.5703125" style="1" customWidth="1"/>
    <col min="15367" max="15367" width="11.7109375" style="1" bestFit="1" customWidth="1"/>
    <col min="15368" max="15368" width="8.85546875" style="1" bestFit="1" customWidth="1"/>
    <col min="15369" max="15369" width="12.28515625" style="1" customWidth="1"/>
    <col min="15370" max="15370" width="4.28515625" style="1" customWidth="1"/>
    <col min="15371" max="15371" width="10.140625" style="1" bestFit="1" customWidth="1"/>
    <col min="15372" max="15372" width="10.28515625" style="1" bestFit="1" customWidth="1"/>
    <col min="15373" max="15373" width="12.28515625" style="1" bestFit="1" customWidth="1"/>
    <col min="15374" max="15374" width="12.7109375" style="1" bestFit="1" customWidth="1"/>
    <col min="15375" max="15375" width="3.42578125" style="1" customWidth="1"/>
    <col min="15376" max="15376" width="11.7109375" style="1" bestFit="1" customWidth="1"/>
    <col min="15377" max="15377" width="10.28515625" style="1" bestFit="1" customWidth="1"/>
    <col min="15378" max="15378" width="11.28515625" style="1" bestFit="1" customWidth="1"/>
    <col min="15379" max="15379" width="12.7109375" style="1" bestFit="1" customWidth="1"/>
    <col min="15380" max="15380" width="5.5703125" style="1" customWidth="1"/>
    <col min="15381" max="15382" width="8.7109375" style="1"/>
    <col min="15383" max="15383" width="11.28515625" style="1" bestFit="1" customWidth="1"/>
    <col min="15384" max="15384" width="9.42578125" style="1" customWidth="1"/>
    <col min="15385" max="15385" width="13.42578125" style="1" bestFit="1" customWidth="1"/>
    <col min="15386" max="15616" width="8.7109375" style="1"/>
    <col min="15617" max="15617" width="2.5703125" style="1" customWidth="1"/>
    <col min="15618" max="15618" width="31" style="1" customWidth="1"/>
    <col min="15619" max="15619" width="10.140625" style="1" bestFit="1" customWidth="1"/>
    <col min="15620" max="15621" width="9.42578125" style="1" bestFit="1" customWidth="1"/>
    <col min="15622" max="15622" width="2.5703125" style="1" customWidth="1"/>
    <col min="15623" max="15623" width="11.7109375" style="1" bestFit="1" customWidth="1"/>
    <col min="15624" max="15624" width="8.85546875" style="1" bestFit="1" customWidth="1"/>
    <col min="15625" max="15625" width="12.28515625" style="1" customWidth="1"/>
    <col min="15626" max="15626" width="4.28515625" style="1" customWidth="1"/>
    <col min="15627" max="15627" width="10.140625" style="1" bestFit="1" customWidth="1"/>
    <col min="15628" max="15628" width="10.28515625" style="1" bestFit="1" customWidth="1"/>
    <col min="15629" max="15629" width="12.28515625" style="1" bestFit="1" customWidth="1"/>
    <col min="15630" max="15630" width="12.7109375" style="1" bestFit="1" customWidth="1"/>
    <col min="15631" max="15631" width="3.42578125" style="1" customWidth="1"/>
    <col min="15632" max="15632" width="11.7109375" style="1" bestFit="1" customWidth="1"/>
    <col min="15633" max="15633" width="10.28515625" style="1" bestFit="1" customWidth="1"/>
    <col min="15634" max="15634" width="11.28515625" style="1" bestFit="1" customWidth="1"/>
    <col min="15635" max="15635" width="12.7109375" style="1" bestFit="1" customWidth="1"/>
    <col min="15636" max="15636" width="5.5703125" style="1" customWidth="1"/>
    <col min="15637" max="15638" width="8.7109375" style="1"/>
    <col min="15639" max="15639" width="11.28515625" style="1" bestFit="1" customWidth="1"/>
    <col min="15640" max="15640" width="9.42578125" style="1" customWidth="1"/>
    <col min="15641" max="15641" width="13.42578125" style="1" bestFit="1" customWidth="1"/>
    <col min="15642" max="15872" width="8.7109375" style="1"/>
    <col min="15873" max="15873" width="2.5703125" style="1" customWidth="1"/>
    <col min="15874" max="15874" width="31" style="1" customWidth="1"/>
    <col min="15875" max="15875" width="10.140625" style="1" bestFit="1" customWidth="1"/>
    <col min="15876" max="15877" width="9.42578125" style="1" bestFit="1" customWidth="1"/>
    <col min="15878" max="15878" width="2.5703125" style="1" customWidth="1"/>
    <col min="15879" max="15879" width="11.7109375" style="1" bestFit="1" customWidth="1"/>
    <col min="15880" max="15880" width="8.85546875" style="1" bestFit="1" customWidth="1"/>
    <col min="15881" max="15881" width="12.28515625" style="1" customWidth="1"/>
    <col min="15882" max="15882" width="4.28515625" style="1" customWidth="1"/>
    <col min="15883" max="15883" width="10.140625" style="1" bestFit="1" customWidth="1"/>
    <col min="15884" max="15884" width="10.28515625" style="1" bestFit="1" customWidth="1"/>
    <col min="15885" max="15885" width="12.28515625" style="1" bestFit="1" customWidth="1"/>
    <col min="15886" max="15886" width="12.7109375" style="1" bestFit="1" customWidth="1"/>
    <col min="15887" max="15887" width="3.42578125" style="1" customWidth="1"/>
    <col min="15888" max="15888" width="11.7109375" style="1" bestFit="1" customWidth="1"/>
    <col min="15889" max="15889" width="10.28515625" style="1" bestFit="1" customWidth="1"/>
    <col min="15890" max="15890" width="11.28515625" style="1" bestFit="1" customWidth="1"/>
    <col min="15891" max="15891" width="12.7109375" style="1" bestFit="1" customWidth="1"/>
    <col min="15892" max="15892" width="5.5703125" style="1" customWidth="1"/>
    <col min="15893" max="15894" width="8.7109375" style="1"/>
    <col min="15895" max="15895" width="11.28515625" style="1" bestFit="1" customWidth="1"/>
    <col min="15896" max="15896" width="9.42578125" style="1" customWidth="1"/>
    <col min="15897" max="15897" width="13.42578125" style="1" bestFit="1" customWidth="1"/>
    <col min="15898" max="16128" width="8.7109375" style="1"/>
    <col min="16129" max="16129" width="2.5703125" style="1" customWidth="1"/>
    <col min="16130" max="16130" width="31" style="1" customWidth="1"/>
    <col min="16131" max="16131" width="10.140625" style="1" bestFit="1" customWidth="1"/>
    <col min="16132" max="16133" width="9.42578125" style="1" bestFit="1" customWidth="1"/>
    <col min="16134" max="16134" width="2.5703125" style="1" customWidth="1"/>
    <col min="16135" max="16135" width="11.7109375" style="1" bestFit="1" customWidth="1"/>
    <col min="16136" max="16136" width="8.85546875" style="1" bestFit="1" customWidth="1"/>
    <col min="16137" max="16137" width="12.28515625" style="1" customWidth="1"/>
    <col min="16138" max="16138" width="4.28515625" style="1" customWidth="1"/>
    <col min="16139" max="16139" width="10.140625" style="1" bestFit="1" customWidth="1"/>
    <col min="16140" max="16140" width="10.28515625" style="1" bestFit="1" customWidth="1"/>
    <col min="16141" max="16141" width="12.28515625" style="1" bestFit="1" customWidth="1"/>
    <col min="16142" max="16142" width="12.7109375" style="1" bestFit="1" customWidth="1"/>
    <col min="16143" max="16143" width="3.42578125" style="1" customWidth="1"/>
    <col min="16144" max="16144" width="11.7109375" style="1" bestFit="1" customWidth="1"/>
    <col min="16145" max="16145" width="10.28515625" style="1" bestFit="1" customWidth="1"/>
    <col min="16146" max="16146" width="11.28515625" style="1" bestFit="1" customWidth="1"/>
    <col min="16147" max="16147" width="12.7109375" style="1" bestFit="1" customWidth="1"/>
    <col min="16148" max="16148" width="5.5703125" style="1" customWidth="1"/>
    <col min="16149" max="16150" width="8.7109375" style="1"/>
    <col min="16151" max="16151" width="11.28515625" style="1" bestFit="1" customWidth="1"/>
    <col min="16152" max="16152" width="9.42578125" style="1" customWidth="1"/>
    <col min="16153" max="16153" width="13.42578125" style="1" bestFit="1" customWidth="1"/>
    <col min="16154" max="16384" width="8.7109375" style="1"/>
  </cols>
  <sheetData>
    <row r="2" spans="2:26" x14ac:dyDescent="0.2">
      <c r="C2" s="65" t="s">
        <v>0</v>
      </c>
      <c r="D2" s="66"/>
      <c r="E2" s="67"/>
      <c r="F2" s="2"/>
      <c r="G2" s="65" t="s">
        <v>1</v>
      </c>
      <c r="H2" s="66"/>
      <c r="I2" s="67"/>
      <c r="J2" s="14"/>
      <c r="K2" s="65" t="s">
        <v>0</v>
      </c>
      <c r="L2" s="66"/>
      <c r="M2" s="66"/>
      <c r="N2" s="67"/>
      <c r="O2" s="2"/>
      <c r="P2" s="65" t="s">
        <v>1</v>
      </c>
      <c r="Q2" s="66"/>
      <c r="R2" s="66"/>
      <c r="S2" s="67"/>
      <c r="T2" s="2"/>
      <c r="U2" s="65" t="s">
        <v>2</v>
      </c>
      <c r="V2" s="66"/>
      <c r="W2" s="66"/>
      <c r="X2" s="66"/>
      <c r="Y2" s="67"/>
    </row>
    <row r="3" spans="2:26" ht="51" x14ac:dyDescent="0.2">
      <c r="B3" s="50" t="s">
        <v>39</v>
      </c>
      <c r="C3" s="22" t="s">
        <v>4</v>
      </c>
      <c r="D3" s="23" t="s">
        <v>59</v>
      </c>
      <c r="E3" s="24" t="s">
        <v>5</v>
      </c>
      <c r="F3" s="5"/>
      <c r="G3" s="22" t="s">
        <v>4</v>
      </c>
      <c r="H3" s="23" t="s">
        <v>59</v>
      </c>
      <c r="I3" s="24" t="s">
        <v>5</v>
      </c>
      <c r="J3" s="5"/>
      <c r="K3" s="22" t="s">
        <v>4</v>
      </c>
      <c r="L3" s="23" t="s">
        <v>68</v>
      </c>
      <c r="M3" s="25" t="s">
        <v>6</v>
      </c>
      <c r="N3" s="26" t="s">
        <v>40</v>
      </c>
      <c r="O3" s="2"/>
      <c r="P3" s="22" t="s">
        <v>4</v>
      </c>
      <c r="Q3" s="23" t="s">
        <v>68</v>
      </c>
      <c r="R3" s="25" t="s">
        <v>6</v>
      </c>
      <c r="S3" s="26" t="s">
        <v>40</v>
      </c>
      <c r="T3" s="2"/>
      <c r="U3" s="22" t="s">
        <v>4</v>
      </c>
      <c r="V3" s="23" t="s">
        <v>8</v>
      </c>
      <c r="W3" s="25" t="s">
        <v>6</v>
      </c>
      <c r="X3" s="64" t="s">
        <v>9</v>
      </c>
      <c r="Y3" s="26" t="s">
        <v>10</v>
      </c>
      <c r="Z3" s="5"/>
    </row>
    <row r="4" spans="2:26" x14ac:dyDescent="0.2">
      <c r="B4" s="53" t="s">
        <v>41</v>
      </c>
      <c r="X4" s="29">
        <f>[1]AEPTX!$D$54</f>
        <v>0.31115132739524093</v>
      </c>
    </row>
    <row r="5" spans="2:26" x14ac:dyDescent="0.2">
      <c r="B5" s="1" t="s">
        <v>11</v>
      </c>
      <c r="F5" s="6"/>
      <c r="X5" s="31"/>
    </row>
    <row r="6" spans="2:26" x14ac:dyDescent="0.2">
      <c r="B6" s="1" t="s">
        <v>13</v>
      </c>
      <c r="C6" s="1">
        <v>901</v>
      </c>
      <c r="D6" s="1">
        <v>70</v>
      </c>
      <c r="E6" s="6">
        <v>3.17</v>
      </c>
      <c r="F6" s="54">
        <f>(X6-E6)/E6</f>
        <v>0.529968454258675</v>
      </c>
      <c r="G6" s="1">
        <v>901</v>
      </c>
      <c r="H6" s="1">
        <v>70</v>
      </c>
      <c r="I6" s="6">
        <v>4.71</v>
      </c>
      <c r="J6" s="55">
        <f>(X6-I6)/I6</f>
        <v>2.9723991507430929E-2</v>
      </c>
      <c r="K6" s="1">
        <v>901</v>
      </c>
      <c r="L6" s="4">
        <v>1331</v>
      </c>
      <c r="M6" s="4">
        <f>L6*D6*12</f>
        <v>1118040</v>
      </c>
      <c r="N6" s="60">
        <f>ROUND(L6*E6,2)*12</f>
        <v>50631.240000000005</v>
      </c>
      <c r="P6" s="1">
        <v>901</v>
      </c>
      <c r="Q6" s="4">
        <v>6204</v>
      </c>
      <c r="R6" s="4">
        <f>Q6*H6*12</f>
        <v>5211360</v>
      </c>
      <c r="S6" s="60">
        <f>ROUND(Q6*I6,2)*12</f>
        <v>350650.08</v>
      </c>
      <c r="U6" s="1">
        <v>901</v>
      </c>
      <c r="V6" s="30">
        <f>(L6+Q6)*12</f>
        <v>90420</v>
      </c>
      <c r="W6" s="30">
        <f>M6+R6</f>
        <v>6329400</v>
      </c>
      <c r="X6" s="19">
        <f>ROUND(E6*(1+$X$4),2)+0.69</f>
        <v>4.8499999999999996</v>
      </c>
      <c r="Y6" s="6">
        <f>ROUND(V6*X6,2)</f>
        <v>438537</v>
      </c>
    </row>
    <row r="7" spans="2:26" x14ac:dyDescent="0.2">
      <c r="B7" s="1" t="s">
        <v>15</v>
      </c>
      <c r="C7" s="1">
        <v>902</v>
      </c>
      <c r="D7" s="1">
        <v>145</v>
      </c>
      <c r="E7" s="6">
        <v>3.91</v>
      </c>
      <c r="F7" s="54">
        <f>(X7-E7)/E7</f>
        <v>0.53452685421994883</v>
      </c>
      <c r="G7" s="1">
        <v>902</v>
      </c>
      <c r="H7" s="1">
        <v>145</v>
      </c>
      <c r="I7" s="6">
        <v>6.66</v>
      </c>
      <c r="J7" s="55">
        <f>(X7-I7)/I7</f>
        <v>-9.9099099099099114E-2</v>
      </c>
      <c r="K7" s="1">
        <v>902</v>
      </c>
      <c r="L7" s="4">
        <v>1478</v>
      </c>
      <c r="M7" s="4">
        <f>L7*D7*12</f>
        <v>2571720</v>
      </c>
      <c r="N7" s="60">
        <f>ROUND(L7*E7,2)*12</f>
        <v>69347.759999999995</v>
      </c>
      <c r="P7" s="1">
        <v>902</v>
      </c>
      <c r="Q7" s="4">
        <v>1809</v>
      </c>
      <c r="R7" s="4">
        <f>Q7*H7*12</f>
        <v>3147660</v>
      </c>
      <c r="S7" s="60">
        <f>ROUND(Q7*I7,2)*12</f>
        <v>144575.28</v>
      </c>
      <c r="U7" s="1">
        <v>902</v>
      </c>
      <c r="V7" s="30">
        <f>(L7+Q7)*12</f>
        <v>39444</v>
      </c>
      <c r="W7" s="30">
        <f>M7+R7</f>
        <v>5719380</v>
      </c>
      <c r="X7" s="19">
        <f>ROUND(E7*(1+$X$4),2)+0.87</f>
        <v>6</v>
      </c>
      <c r="Y7" s="6">
        <f>ROUND(V7*X7,2)</f>
        <v>236664</v>
      </c>
    </row>
    <row r="8" spans="2:26" x14ac:dyDescent="0.2">
      <c r="L8" s="4"/>
      <c r="M8" s="4"/>
      <c r="N8" s="60"/>
      <c r="Q8" s="4"/>
      <c r="R8" s="4"/>
      <c r="S8" s="60"/>
      <c r="X8" s="31"/>
    </row>
    <row r="9" spans="2:26" x14ac:dyDescent="0.2">
      <c r="B9" s="56" t="s">
        <v>21</v>
      </c>
      <c r="L9" s="4"/>
      <c r="M9" s="4"/>
      <c r="N9" s="60"/>
      <c r="Q9" s="4"/>
      <c r="R9" s="4"/>
      <c r="S9" s="60"/>
      <c r="X9" s="31"/>
    </row>
    <row r="10" spans="2:26" x14ac:dyDescent="0.2">
      <c r="B10" s="1" t="s">
        <v>22</v>
      </c>
      <c r="C10" s="1">
        <v>903</v>
      </c>
      <c r="G10" s="1">
        <v>903</v>
      </c>
      <c r="H10" s="1">
        <v>28</v>
      </c>
      <c r="I10" s="6">
        <v>2.16</v>
      </c>
      <c r="J10" s="55">
        <f>(X10-I10)/I10</f>
        <v>0.31944444444444442</v>
      </c>
      <c r="K10" s="1">
        <v>903</v>
      </c>
      <c r="L10" s="4"/>
      <c r="M10" s="4"/>
      <c r="N10" s="60"/>
      <c r="P10" s="1">
        <v>903</v>
      </c>
      <c r="Q10" s="4">
        <v>2547</v>
      </c>
      <c r="R10" s="4">
        <f>Q10*H10*12</f>
        <v>855792</v>
      </c>
      <c r="S10" s="60">
        <f>ROUND(Q10*I10,2)*12</f>
        <v>66018.240000000005</v>
      </c>
      <c r="U10" s="1">
        <v>903</v>
      </c>
      <c r="V10" s="30">
        <f>(L10+Q10)*12</f>
        <v>30564</v>
      </c>
      <c r="W10" s="30">
        <f>M10+R10</f>
        <v>855792</v>
      </c>
      <c r="X10" s="19">
        <f>ROUND(I10*(1+$X$4),2)+0.02</f>
        <v>2.85</v>
      </c>
      <c r="Y10" s="6">
        <f>ROUND(V10*X10,2)</f>
        <v>87107.4</v>
      </c>
    </row>
    <row r="11" spans="2:26" x14ac:dyDescent="0.2">
      <c r="B11" s="1" t="s">
        <v>12</v>
      </c>
      <c r="C11" s="1">
        <v>903</v>
      </c>
      <c r="D11" s="1">
        <v>39</v>
      </c>
      <c r="E11" s="6">
        <v>2.94</v>
      </c>
      <c r="F11" s="54">
        <f>(X11-E11)/E11</f>
        <v>0.61564625850340138</v>
      </c>
      <c r="G11" s="1">
        <v>915</v>
      </c>
      <c r="H11" s="1">
        <v>39</v>
      </c>
      <c r="I11" s="6">
        <v>5.0599999999999996</v>
      </c>
      <c r="J11" s="55">
        <f>(X11-I11)/I11</f>
        <v>-6.1264822134387283E-2</v>
      </c>
      <c r="K11" s="1">
        <v>903</v>
      </c>
      <c r="L11" s="4">
        <v>7623</v>
      </c>
      <c r="M11" s="4">
        <f>L11*D11*12</f>
        <v>3567564</v>
      </c>
      <c r="N11" s="60">
        <f>ROUND(L11*E11,2)*12</f>
        <v>268939.44</v>
      </c>
      <c r="P11" s="1">
        <v>915</v>
      </c>
      <c r="Q11" s="4">
        <v>1</v>
      </c>
      <c r="R11" s="4">
        <f>Q11*H11*12</f>
        <v>468</v>
      </c>
      <c r="S11" s="60">
        <f>ROUND(Q11*I11,2)*12</f>
        <v>60.72</v>
      </c>
      <c r="U11" s="32" t="s">
        <v>42</v>
      </c>
      <c r="V11" s="30">
        <f>(L11+Q11)*12</f>
        <v>91488</v>
      </c>
      <c r="W11" s="30">
        <f>M11+R11</f>
        <v>3568032</v>
      </c>
      <c r="X11" s="19">
        <f>X23</f>
        <v>4.75</v>
      </c>
      <c r="Y11" s="6">
        <f>ROUND(V11*X11,2)</f>
        <v>434568</v>
      </c>
    </row>
    <row r="12" spans="2:26" x14ac:dyDescent="0.2">
      <c r="B12" s="1" t="s">
        <v>18</v>
      </c>
      <c r="C12" s="1">
        <v>904</v>
      </c>
      <c r="D12" s="1">
        <v>57</v>
      </c>
      <c r="E12" s="6">
        <v>3.11</v>
      </c>
      <c r="F12" s="54">
        <f>(X12-E12)/E12</f>
        <v>0.52733118971061099</v>
      </c>
      <c r="G12" s="1">
        <v>904</v>
      </c>
      <c r="H12" s="1">
        <v>57</v>
      </c>
      <c r="I12" s="6">
        <v>2.2999999999999998</v>
      </c>
      <c r="J12" s="55">
        <f>(X12-I12)/I12</f>
        <v>1.0652173913043479</v>
      </c>
      <c r="K12" s="1">
        <v>904</v>
      </c>
      <c r="L12" s="4">
        <v>13234</v>
      </c>
      <c r="M12" s="4">
        <f>L12*D12*12</f>
        <v>9052056</v>
      </c>
      <c r="N12" s="60">
        <f>ROUND(L12*E12,2)*12</f>
        <v>493892.88</v>
      </c>
      <c r="P12" s="1">
        <v>904</v>
      </c>
      <c r="Q12" s="4">
        <v>698</v>
      </c>
      <c r="R12" s="4">
        <f>Q12*H12*12</f>
        <v>477432</v>
      </c>
      <c r="S12" s="60">
        <f>ROUND(Q12*I12,2)*12</f>
        <v>19264.800000000003</v>
      </c>
      <c r="U12" s="1">
        <v>904</v>
      </c>
      <c r="V12" s="30">
        <f>(L12+Q12)*12</f>
        <v>167184</v>
      </c>
      <c r="W12" s="30">
        <f>M12+R12</f>
        <v>9529488</v>
      </c>
      <c r="X12" s="19">
        <f>X24</f>
        <v>4.75</v>
      </c>
      <c r="Y12" s="6">
        <f>ROUND(V12*X12,2)</f>
        <v>794124</v>
      </c>
    </row>
    <row r="13" spans="2:26" x14ac:dyDescent="0.2">
      <c r="B13" s="1" t="s">
        <v>14</v>
      </c>
      <c r="C13" s="1">
        <v>905</v>
      </c>
      <c r="D13" s="1">
        <v>104</v>
      </c>
      <c r="E13" s="6">
        <v>3.6</v>
      </c>
      <c r="F13" s="54">
        <f>(X13-E13)/E13</f>
        <v>0.45833333333333331</v>
      </c>
      <c r="G13" s="1">
        <v>916</v>
      </c>
      <c r="H13" s="1">
        <v>104</v>
      </c>
      <c r="I13" s="6">
        <v>6.22</v>
      </c>
      <c r="J13" s="55">
        <f>(X13-I13)/I13</f>
        <v>-0.15594855305466235</v>
      </c>
      <c r="K13" s="1">
        <v>905</v>
      </c>
      <c r="L13" s="4">
        <v>10759</v>
      </c>
      <c r="M13" s="4">
        <f>L13*D13*12</f>
        <v>13427232</v>
      </c>
      <c r="N13" s="60">
        <f>ROUND(L13*E13,2)*12</f>
        <v>464788.80000000005</v>
      </c>
      <c r="P13" s="1">
        <v>916</v>
      </c>
      <c r="Q13" s="4">
        <v>243</v>
      </c>
      <c r="R13" s="4">
        <f>Q13*H13*12</f>
        <v>303264</v>
      </c>
      <c r="S13" s="60">
        <f>ROUND(Q13*I13,2)*12</f>
        <v>18137.52</v>
      </c>
      <c r="U13" s="32" t="s">
        <v>43</v>
      </c>
      <c r="V13" s="30">
        <f>(L13+Q13)*12</f>
        <v>132024</v>
      </c>
      <c r="W13" s="30">
        <f>M13+R13</f>
        <v>13730496</v>
      </c>
      <c r="X13" s="19">
        <f>X25</f>
        <v>5.25</v>
      </c>
      <c r="Y13" s="6">
        <f>ROUND(V13*X13,2)</f>
        <v>693126</v>
      </c>
    </row>
    <row r="14" spans="2:26" x14ac:dyDescent="0.2">
      <c r="L14" s="4"/>
      <c r="M14" s="4"/>
      <c r="N14" s="60"/>
      <c r="Q14" s="4"/>
      <c r="R14" s="4"/>
      <c r="S14" s="60"/>
      <c r="X14" s="31"/>
    </row>
    <row r="15" spans="2:26" x14ac:dyDescent="0.2">
      <c r="B15" s="57" t="s">
        <v>44</v>
      </c>
      <c r="L15" s="4"/>
      <c r="M15" s="4"/>
      <c r="N15" s="60"/>
      <c r="Q15" s="4"/>
      <c r="R15" s="4"/>
      <c r="S15" s="60"/>
      <c r="X15" s="31"/>
    </row>
    <row r="16" spans="2:26" x14ac:dyDescent="0.2">
      <c r="B16" s="1" t="s">
        <v>45</v>
      </c>
      <c r="C16" s="1">
        <v>905</v>
      </c>
      <c r="G16" s="1">
        <v>905</v>
      </c>
      <c r="H16" s="1">
        <v>24</v>
      </c>
      <c r="I16" s="6">
        <v>4.09</v>
      </c>
      <c r="J16" s="55">
        <f>(X16-I16)/I16</f>
        <v>0.31051344743276293</v>
      </c>
      <c r="K16" s="1">
        <v>905</v>
      </c>
      <c r="L16" s="4"/>
      <c r="M16" s="4"/>
      <c r="N16" s="60"/>
      <c r="P16" s="1">
        <v>905</v>
      </c>
      <c r="Q16" s="4">
        <v>35</v>
      </c>
      <c r="R16" s="4">
        <f>Q16*H16*12</f>
        <v>10080</v>
      </c>
      <c r="S16" s="60">
        <f>ROUND(Q16*I16,2)*12</f>
        <v>1717.8000000000002</v>
      </c>
      <c r="U16" s="1">
        <v>905</v>
      </c>
      <c r="V16" s="30">
        <f>(L16+Q16)*12</f>
        <v>420</v>
      </c>
      <c r="W16" s="30">
        <f>M16+R16</f>
        <v>10080</v>
      </c>
      <c r="X16" s="19">
        <f>ROUND(I16*(1+$X$4),2)</f>
        <v>5.36</v>
      </c>
      <c r="Y16" s="6">
        <f>ROUND(V16*X16,2)</f>
        <v>2251.1999999999998</v>
      </c>
    </row>
    <row r="17" spans="2:25" x14ac:dyDescent="0.2">
      <c r="B17" s="1" t="s">
        <v>33</v>
      </c>
      <c r="C17" s="1">
        <v>906</v>
      </c>
      <c r="G17" s="1">
        <v>906</v>
      </c>
      <c r="H17" s="1">
        <v>28</v>
      </c>
      <c r="I17" s="6">
        <v>4.4800000000000004</v>
      </c>
      <c r="J17" s="55">
        <f>(X17-I17)/I17</f>
        <v>0.31026785714285704</v>
      </c>
      <c r="K17" s="1">
        <v>906</v>
      </c>
      <c r="L17" s="4"/>
      <c r="M17" s="4"/>
      <c r="N17" s="60"/>
      <c r="P17" s="1">
        <v>906</v>
      </c>
      <c r="Q17" s="4">
        <v>75</v>
      </c>
      <c r="R17" s="4">
        <f>Q17*H17*12</f>
        <v>25200</v>
      </c>
      <c r="S17" s="60">
        <f>ROUND(Q17*I17,2)*12</f>
        <v>4032</v>
      </c>
      <c r="U17" s="1">
        <v>906</v>
      </c>
      <c r="V17" s="30">
        <f>(L17+Q17)*12</f>
        <v>900</v>
      </c>
      <c r="W17" s="30">
        <f>M17+R17</f>
        <v>25200</v>
      </c>
      <c r="X17" s="19">
        <f>ROUND(I17*(1+$X$4),2)</f>
        <v>5.87</v>
      </c>
      <c r="Y17" s="6">
        <f>ROUND(V17*X17,2)</f>
        <v>5283</v>
      </c>
    </row>
    <row r="18" spans="2:25" x14ac:dyDescent="0.2">
      <c r="B18" s="1" t="s">
        <v>34</v>
      </c>
      <c r="C18" s="1">
        <v>907</v>
      </c>
      <c r="G18" s="1">
        <v>907</v>
      </c>
      <c r="H18" s="1">
        <v>44</v>
      </c>
      <c r="I18" s="6">
        <v>4.74</v>
      </c>
      <c r="J18" s="55">
        <f>(X18-I18)/I18</f>
        <v>0.31012658227848094</v>
      </c>
      <c r="K18" s="1">
        <v>907</v>
      </c>
      <c r="L18" s="4"/>
      <c r="M18" s="4"/>
      <c r="N18" s="60"/>
      <c r="P18" s="1">
        <v>907</v>
      </c>
      <c r="Q18" s="4">
        <v>38</v>
      </c>
      <c r="R18" s="4">
        <f>Q18*H18*12</f>
        <v>20064</v>
      </c>
      <c r="S18" s="60">
        <f>ROUND(Q18*I18,2)*12</f>
        <v>2161.44</v>
      </c>
      <c r="U18" s="1">
        <v>907</v>
      </c>
      <c r="V18" s="30">
        <f>(L18+Q18)*12</f>
        <v>456</v>
      </c>
      <c r="W18" s="30">
        <f>M18+R18</f>
        <v>20064</v>
      </c>
      <c r="X18" s="19">
        <f>ROUND(I18*(1+$X$4),2)</f>
        <v>6.21</v>
      </c>
      <c r="Y18" s="6">
        <f>ROUND(V18*X18,2)</f>
        <v>2831.76</v>
      </c>
    </row>
    <row r="19" spans="2:25" x14ac:dyDescent="0.2">
      <c r="B19" s="1" t="s">
        <v>46</v>
      </c>
      <c r="L19" s="4"/>
      <c r="M19" s="4"/>
      <c r="N19" s="60"/>
      <c r="Q19" s="4"/>
      <c r="R19" s="4"/>
      <c r="S19" s="60"/>
      <c r="X19" s="31"/>
    </row>
    <row r="20" spans="2:25" x14ac:dyDescent="0.2">
      <c r="L20" s="4"/>
      <c r="M20" s="4"/>
      <c r="N20" s="60"/>
      <c r="Q20" s="4"/>
      <c r="R20" s="4"/>
      <c r="S20" s="60"/>
      <c r="X20" s="31"/>
    </row>
    <row r="21" spans="2:25" x14ac:dyDescent="0.2">
      <c r="B21" s="56" t="s">
        <v>47</v>
      </c>
      <c r="L21" s="4"/>
      <c r="M21" s="4"/>
      <c r="N21" s="60"/>
      <c r="Q21" s="4"/>
      <c r="R21" s="4"/>
      <c r="S21" s="60"/>
      <c r="X21" s="31"/>
    </row>
    <row r="22" spans="2:25" x14ac:dyDescent="0.2">
      <c r="B22" s="1" t="s">
        <v>21</v>
      </c>
      <c r="L22" s="4"/>
      <c r="M22" s="4"/>
      <c r="N22" s="60"/>
      <c r="Q22" s="4"/>
      <c r="R22" s="4"/>
      <c r="S22" s="60"/>
      <c r="X22" s="31"/>
    </row>
    <row r="23" spans="2:25" x14ac:dyDescent="0.2">
      <c r="B23" s="1" t="s">
        <v>12</v>
      </c>
      <c r="C23" s="1">
        <v>906</v>
      </c>
      <c r="D23" s="1">
        <v>39</v>
      </c>
      <c r="E23" s="6">
        <v>3.6</v>
      </c>
      <c r="F23" s="54">
        <f>(X23-E23)/E23</f>
        <v>0.31944444444444442</v>
      </c>
      <c r="G23" s="1">
        <v>917</v>
      </c>
      <c r="H23" s="1">
        <v>39</v>
      </c>
      <c r="I23" s="6">
        <v>6.23</v>
      </c>
      <c r="J23" s="55">
        <f>(X23-I23)/I23</f>
        <v>-0.23756019261637246</v>
      </c>
      <c r="K23" s="1">
        <v>906</v>
      </c>
      <c r="L23" s="4">
        <v>1635</v>
      </c>
      <c r="M23" s="4">
        <f>L23*D23*12</f>
        <v>765180</v>
      </c>
      <c r="N23" s="60">
        <f>ROUND(L23*E23,2)*12</f>
        <v>70632</v>
      </c>
      <c r="P23" s="1">
        <v>917</v>
      </c>
      <c r="Q23" s="4">
        <v>0</v>
      </c>
      <c r="R23" s="4">
        <f>Q23*H23*12</f>
        <v>0</v>
      </c>
      <c r="S23" s="60">
        <f>ROUND(Q23*I23,2)*12</f>
        <v>0</v>
      </c>
      <c r="U23" s="32" t="s">
        <v>48</v>
      </c>
      <c r="V23" s="30">
        <f>(L23+Q23)*12</f>
        <v>19620</v>
      </c>
      <c r="W23" s="30">
        <f>M23+R23</f>
        <v>765180</v>
      </c>
      <c r="X23" s="19">
        <f>ROUND(E23*(1+$X$4),2)+0.03</f>
        <v>4.75</v>
      </c>
      <c r="Y23" s="6">
        <f>ROUND(V23*X23,2)</f>
        <v>93195</v>
      </c>
    </row>
    <row r="24" spans="2:25" x14ac:dyDescent="0.2">
      <c r="B24" s="1" t="s">
        <v>18</v>
      </c>
      <c r="G24" s="1">
        <v>908</v>
      </c>
      <c r="H24" s="1">
        <v>63</v>
      </c>
      <c r="I24" s="6">
        <v>2.88</v>
      </c>
      <c r="J24" s="55">
        <f>(X24-I24)/I24</f>
        <v>0.64930555555555558</v>
      </c>
      <c r="L24" s="4"/>
      <c r="M24" s="4"/>
      <c r="N24" s="60"/>
      <c r="P24" s="1">
        <v>908</v>
      </c>
      <c r="Q24" s="4">
        <v>714</v>
      </c>
      <c r="R24" s="4">
        <f>Q24*H24*12</f>
        <v>539784</v>
      </c>
      <c r="S24" s="60">
        <f>ROUND(Q24*I24,2)*12</f>
        <v>24675.840000000004</v>
      </c>
      <c r="U24" s="1">
        <v>908</v>
      </c>
      <c r="V24" s="30">
        <f>(L24+Q24)*12</f>
        <v>8568</v>
      </c>
      <c r="W24" s="30">
        <f>M24+R24</f>
        <v>539784</v>
      </c>
      <c r="X24" s="19">
        <f>X23</f>
        <v>4.75</v>
      </c>
      <c r="Y24" s="6">
        <f>ROUND(V24*X24,2)</f>
        <v>40698</v>
      </c>
    </row>
    <row r="25" spans="2:25" x14ac:dyDescent="0.2">
      <c r="B25" s="1" t="s">
        <v>14</v>
      </c>
      <c r="C25" s="1">
        <v>907</v>
      </c>
      <c r="D25" s="1">
        <v>104</v>
      </c>
      <c r="E25" s="6">
        <v>3.99</v>
      </c>
      <c r="F25" s="54">
        <f>(X25-E25)/E25</f>
        <v>0.31578947368421045</v>
      </c>
      <c r="G25" s="1">
        <v>909</v>
      </c>
      <c r="H25" s="1">
        <v>104</v>
      </c>
      <c r="I25" s="6">
        <v>3.73</v>
      </c>
      <c r="J25" s="55">
        <f>(X25-I25)/I25</f>
        <v>0.40750670241286863</v>
      </c>
      <c r="K25" s="1">
        <v>907</v>
      </c>
      <c r="L25" s="4">
        <v>5612</v>
      </c>
      <c r="M25" s="4">
        <f>L25*D25*12</f>
        <v>7003776</v>
      </c>
      <c r="N25" s="60">
        <f>ROUND(L25*E25,2)*12</f>
        <v>268702.56</v>
      </c>
      <c r="P25" s="1">
        <v>909</v>
      </c>
      <c r="Q25" s="4">
        <v>658</v>
      </c>
      <c r="R25" s="4">
        <f>Q25*H25*12</f>
        <v>821184</v>
      </c>
      <c r="S25" s="60">
        <f>ROUND(Q25*I25,2)*12</f>
        <v>29452.080000000002</v>
      </c>
      <c r="U25" s="32" t="s">
        <v>49</v>
      </c>
      <c r="V25" s="30">
        <f>(L25+Q25)*12</f>
        <v>75240</v>
      </c>
      <c r="W25" s="30">
        <f>M25+R25</f>
        <v>7824960</v>
      </c>
      <c r="X25" s="19">
        <f>ROUND(E25*(1+$X$4),2)+0.02</f>
        <v>5.25</v>
      </c>
      <c r="Y25" s="6">
        <f>ROUND(V25*X25,2)</f>
        <v>395010</v>
      </c>
    </row>
    <row r="26" spans="2:25" x14ac:dyDescent="0.2">
      <c r="B26" s="1" t="s">
        <v>15</v>
      </c>
      <c r="C26" s="1">
        <v>908</v>
      </c>
      <c r="D26" s="1">
        <v>155</v>
      </c>
      <c r="E26" s="6">
        <v>5.07</v>
      </c>
      <c r="F26" s="54">
        <f>(X26-E26)/E26</f>
        <v>9.4674556213017652E-2</v>
      </c>
      <c r="G26" s="1">
        <v>910</v>
      </c>
      <c r="H26" s="1">
        <v>155</v>
      </c>
      <c r="I26" s="6">
        <v>4.2300000000000004</v>
      </c>
      <c r="J26" s="55">
        <f>(X26-I26)/I26</f>
        <v>0.31205673758865232</v>
      </c>
      <c r="K26" s="1">
        <v>908</v>
      </c>
      <c r="L26" s="4">
        <v>12608</v>
      </c>
      <c r="M26" s="4">
        <f>L26*D26*12</f>
        <v>23450880</v>
      </c>
      <c r="N26" s="60">
        <f>ROUND(L26*E26,2)*12</f>
        <v>767070.71999999997</v>
      </c>
      <c r="P26" s="1">
        <v>910</v>
      </c>
      <c r="Q26" s="4">
        <v>1311</v>
      </c>
      <c r="R26" s="4">
        <f>Q26*H26*12</f>
        <v>2438460</v>
      </c>
      <c r="S26" s="60">
        <f>ROUND(Q26*I26,2)*12</f>
        <v>66546.36</v>
      </c>
      <c r="U26" s="32" t="s">
        <v>50</v>
      </c>
      <c r="V26" s="30">
        <f>(L26+Q26)*12</f>
        <v>167028</v>
      </c>
      <c r="W26" s="30">
        <f>M26+R26</f>
        <v>25889340</v>
      </c>
      <c r="X26" s="19">
        <f>ROUND(I26*(1+$X$4),2)</f>
        <v>5.55</v>
      </c>
      <c r="Y26" s="6">
        <f>ROUND(V26*X26,2)</f>
        <v>927005.4</v>
      </c>
    </row>
    <row r="27" spans="2:25" x14ac:dyDescent="0.2">
      <c r="B27" s="1" t="s">
        <v>16</v>
      </c>
      <c r="C27" s="1">
        <v>909</v>
      </c>
      <c r="D27" s="1">
        <v>367</v>
      </c>
      <c r="E27" s="6">
        <v>5.55</v>
      </c>
      <c r="F27" s="54">
        <f>(X27-E27)/E27</f>
        <v>0.31531531531531531</v>
      </c>
      <c r="G27" s="1">
        <v>911</v>
      </c>
      <c r="H27" s="1">
        <v>367</v>
      </c>
      <c r="I27" s="6">
        <v>5.86</v>
      </c>
      <c r="J27" s="55">
        <f>(X27-I27)/I27</f>
        <v>0.24573378839590435</v>
      </c>
      <c r="K27" s="1">
        <v>909</v>
      </c>
      <c r="L27" s="4">
        <v>4559</v>
      </c>
      <c r="M27" s="4">
        <f>L27*D27*12</f>
        <v>20077836</v>
      </c>
      <c r="N27" s="60">
        <f>ROUND(L27*E27,2)*12</f>
        <v>303629.40000000002</v>
      </c>
      <c r="P27" s="1">
        <v>911</v>
      </c>
      <c r="Q27" s="4">
        <v>373</v>
      </c>
      <c r="R27" s="4">
        <f>Q27*H27*12</f>
        <v>1642692</v>
      </c>
      <c r="S27" s="60">
        <f>ROUND(Q27*I27,2)*12</f>
        <v>26229.360000000001</v>
      </c>
      <c r="U27" s="32" t="s">
        <v>51</v>
      </c>
      <c r="V27" s="30">
        <f>(L27+Q27)*12</f>
        <v>59184</v>
      </c>
      <c r="W27" s="30">
        <f>M27+R27</f>
        <v>21720528</v>
      </c>
      <c r="X27" s="19">
        <f>ROUND(E27*(1+$X$4),2)+0.02</f>
        <v>7.3</v>
      </c>
      <c r="Y27" s="6">
        <f>ROUND(V27*X27,2)</f>
        <v>432043.2</v>
      </c>
    </row>
    <row r="28" spans="2:25" x14ac:dyDescent="0.2">
      <c r="L28" s="4"/>
      <c r="M28" s="4"/>
      <c r="N28" s="60"/>
      <c r="Q28" s="4"/>
      <c r="R28" s="4"/>
      <c r="S28" s="60"/>
      <c r="X28" s="19"/>
    </row>
    <row r="29" spans="2:25" x14ac:dyDescent="0.2">
      <c r="B29" s="56" t="s">
        <v>17</v>
      </c>
      <c r="L29" s="4"/>
      <c r="M29" s="4"/>
      <c r="N29" s="60"/>
      <c r="Q29" s="4"/>
      <c r="R29" s="4"/>
      <c r="S29" s="60"/>
      <c r="X29" s="19"/>
    </row>
    <row r="30" spans="2:25" x14ac:dyDescent="0.2">
      <c r="B30" s="1" t="s">
        <v>14</v>
      </c>
      <c r="C30" s="1">
        <v>910</v>
      </c>
      <c r="D30" s="1">
        <v>105</v>
      </c>
      <c r="E30" s="6">
        <v>5.21</v>
      </c>
      <c r="F30" s="54">
        <f>(X30-E30)/E30</f>
        <v>0.31477927063339728</v>
      </c>
      <c r="G30" s="1">
        <v>912</v>
      </c>
      <c r="H30" s="1">
        <v>105</v>
      </c>
      <c r="I30" s="6">
        <v>5.68</v>
      </c>
      <c r="J30" s="55">
        <f>(X30-I30)/I30</f>
        <v>0.20598591549295775</v>
      </c>
      <c r="K30" s="1">
        <v>910</v>
      </c>
      <c r="L30" s="4">
        <v>913</v>
      </c>
      <c r="M30" s="4">
        <f>L30*D30*12</f>
        <v>1150380</v>
      </c>
      <c r="N30" s="60">
        <f>ROUND(L30*E30,2)*12</f>
        <v>57080.759999999995</v>
      </c>
      <c r="P30" s="1">
        <v>912</v>
      </c>
      <c r="Q30" s="4">
        <v>322</v>
      </c>
      <c r="R30" s="4">
        <f>Q30*H30*12</f>
        <v>405720</v>
      </c>
      <c r="S30" s="60">
        <f>ROUND(Q30*I30,2)*12</f>
        <v>21947.52</v>
      </c>
      <c r="U30" s="32" t="s">
        <v>52</v>
      </c>
      <c r="V30" s="30">
        <f>(L30+Q30)*12</f>
        <v>14820</v>
      </c>
      <c r="W30" s="30">
        <f>M30+R30</f>
        <v>1556100</v>
      </c>
      <c r="X30" s="19">
        <f>ROUND(E30*(1+$X$4),2)+0.02</f>
        <v>6.85</v>
      </c>
      <c r="Y30" s="6">
        <f>ROUND(V30*X30,2)</f>
        <v>101517</v>
      </c>
    </row>
    <row r="31" spans="2:25" x14ac:dyDescent="0.2">
      <c r="B31" s="1" t="s">
        <v>15</v>
      </c>
      <c r="C31" s="1">
        <v>911</v>
      </c>
      <c r="D31" s="1">
        <v>155</v>
      </c>
      <c r="E31" s="6">
        <v>5.59</v>
      </c>
      <c r="F31" s="54">
        <f>(X31-E31)/E31</f>
        <v>0.31484794275491945</v>
      </c>
      <c r="G31" s="1">
        <v>913</v>
      </c>
      <c r="H31" s="1">
        <v>155</v>
      </c>
      <c r="I31" s="6">
        <v>6.16</v>
      </c>
      <c r="J31" s="55">
        <f>(X31-I31)/I31</f>
        <v>0.19318181818181809</v>
      </c>
      <c r="K31" s="1">
        <v>911</v>
      </c>
      <c r="L31" s="4">
        <v>3530</v>
      </c>
      <c r="M31" s="4">
        <f>L31*D31*12</f>
        <v>6565800</v>
      </c>
      <c r="N31" s="60">
        <f>ROUND(L31*E31,2)*12</f>
        <v>236792.40000000002</v>
      </c>
      <c r="P31" s="1">
        <v>913</v>
      </c>
      <c r="Q31" s="4">
        <v>1257</v>
      </c>
      <c r="R31" s="4">
        <f>Q31*H31*12</f>
        <v>2338020</v>
      </c>
      <c r="S31" s="60">
        <f>ROUND(Q31*I31,2)*12</f>
        <v>92917.440000000002</v>
      </c>
      <c r="U31" s="32" t="s">
        <v>53</v>
      </c>
      <c r="V31" s="30">
        <f>(L31+Q31)*12</f>
        <v>57444</v>
      </c>
      <c r="W31" s="30">
        <f>M31+R31</f>
        <v>8903820</v>
      </c>
      <c r="X31" s="19">
        <f>ROUND(E31*(1+$X$4),2)+0.02</f>
        <v>7.35</v>
      </c>
      <c r="Y31" s="6">
        <f>ROUND(V31*X31,2)</f>
        <v>422213.4</v>
      </c>
    </row>
    <row r="32" spans="2:25" x14ac:dyDescent="0.2">
      <c r="B32" s="1" t="s">
        <v>16</v>
      </c>
      <c r="G32" s="1">
        <v>914</v>
      </c>
      <c r="H32" s="1">
        <v>367</v>
      </c>
      <c r="I32" s="6">
        <v>7.4</v>
      </c>
      <c r="J32" s="55">
        <f>(X32-I32)/I32</f>
        <v>0.31081081081081063</v>
      </c>
      <c r="L32" s="4"/>
      <c r="M32" s="4"/>
      <c r="N32" s="60"/>
      <c r="P32" s="1">
        <v>914</v>
      </c>
      <c r="Q32" s="4">
        <v>501</v>
      </c>
      <c r="R32" s="4">
        <f>Q32*H32*12</f>
        <v>2206404</v>
      </c>
      <c r="S32" s="60">
        <f>ROUND(Q32*I32,2)*12</f>
        <v>44488.800000000003</v>
      </c>
      <c r="V32" s="30">
        <f>(L32+Q32)*12</f>
        <v>6012</v>
      </c>
      <c r="W32" s="30">
        <f>M32+R32</f>
        <v>2206404</v>
      </c>
      <c r="X32" s="19">
        <f>ROUND(I32*(1+$X$4),2)</f>
        <v>9.6999999999999993</v>
      </c>
      <c r="Y32" s="6">
        <f>ROUND(V32*X32,2)</f>
        <v>58316.4</v>
      </c>
    </row>
    <row r="33" spans="2:25" x14ac:dyDescent="0.2">
      <c r="B33" s="1" t="s">
        <v>54</v>
      </c>
      <c r="C33" s="1">
        <v>912</v>
      </c>
      <c r="D33" s="1">
        <v>367</v>
      </c>
      <c r="E33" s="6">
        <v>6.67</v>
      </c>
      <c r="F33" s="54">
        <f>(X33-E33)/E33</f>
        <v>0.31184407796101948</v>
      </c>
      <c r="K33" s="1">
        <v>912</v>
      </c>
      <c r="L33" s="4">
        <v>3503</v>
      </c>
      <c r="M33" s="4">
        <f>L33*D33*12</f>
        <v>15427212</v>
      </c>
      <c r="N33" s="60">
        <f>ROUND(L33*E33,2)*12</f>
        <v>280380.12</v>
      </c>
      <c r="Q33" s="4"/>
      <c r="R33" s="4"/>
      <c r="S33" s="60"/>
      <c r="U33" s="1">
        <v>912</v>
      </c>
      <c r="V33" s="30">
        <f>(L33+Q33)*12</f>
        <v>42036</v>
      </c>
      <c r="W33" s="30">
        <f>M33+R33</f>
        <v>15427212</v>
      </c>
      <c r="X33" s="19">
        <f>ROUND(E33*(1+$X$4),2)</f>
        <v>8.75</v>
      </c>
      <c r="Y33" s="6">
        <f>ROUND(V33*X33,2)</f>
        <v>367815</v>
      </c>
    </row>
    <row r="34" spans="2:25" x14ac:dyDescent="0.2">
      <c r="B34" s="1" t="s">
        <v>55</v>
      </c>
      <c r="C34" s="1">
        <v>913</v>
      </c>
      <c r="D34" s="1">
        <v>367</v>
      </c>
      <c r="E34" s="6">
        <v>6.67</v>
      </c>
      <c r="F34" s="54">
        <f>(X34-E34)/E34</f>
        <v>0.31184407796101948</v>
      </c>
      <c r="K34" s="1">
        <v>913</v>
      </c>
      <c r="L34" s="4">
        <v>160</v>
      </c>
      <c r="M34" s="4">
        <f>L34*D34*12</f>
        <v>704640</v>
      </c>
      <c r="N34" s="60">
        <f>ROUND(L34*E34,2)</f>
        <v>1067.2</v>
      </c>
      <c r="Q34" s="58"/>
      <c r="R34" s="4"/>
      <c r="S34" s="60"/>
      <c r="U34" s="1">
        <v>913</v>
      </c>
      <c r="V34" s="30">
        <f>(L34+Q34)*12</f>
        <v>1920</v>
      </c>
      <c r="W34" s="30">
        <f>M34+R34</f>
        <v>704640</v>
      </c>
      <c r="X34" s="43">
        <f>ROUND(E34*(1+$X$4),2)</f>
        <v>8.75</v>
      </c>
      <c r="Y34" s="6">
        <f>ROUND(V34*X34,2)</f>
        <v>16800</v>
      </c>
    </row>
    <row r="35" spans="2:25" x14ac:dyDescent="0.2">
      <c r="L35" s="4"/>
      <c r="M35" s="4"/>
      <c r="N35" s="60"/>
      <c r="Q35" s="4"/>
      <c r="R35" s="4"/>
      <c r="S35" s="60"/>
      <c r="U35" s="2"/>
      <c r="X35" s="8"/>
    </row>
    <row r="36" spans="2:25" x14ac:dyDescent="0.2">
      <c r="B36" s="33" t="s">
        <v>74</v>
      </c>
      <c r="C36" s="8">
        <v>980</v>
      </c>
      <c r="D36" s="8">
        <v>14</v>
      </c>
      <c r="E36" s="9"/>
      <c r="F36" s="8"/>
      <c r="G36" s="8"/>
      <c r="H36" s="8"/>
      <c r="I36" s="9"/>
      <c r="J36" s="8"/>
      <c r="K36" s="8"/>
      <c r="L36" s="10"/>
      <c r="M36" s="10"/>
      <c r="N36" s="61"/>
      <c r="O36" s="8"/>
      <c r="P36" s="8"/>
      <c r="Q36" s="10"/>
      <c r="R36" s="10"/>
      <c r="S36" s="61"/>
      <c r="T36" s="8"/>
      <c r="U36" s="8">
        <v>918</v>
      </c>
      <c r="V36" s="11" t="s">
        <v>67</v>
      </c>
      <c r="W36" s="8"/>
      <c r="X36" s="36">
        <f>MSL!X55</f>
        <v>6.35</v>
      </c>
      <c r="Y36" s="9"/>
    </row>
    <row r="37" spans="2:25" x14ac:dyDescent="0.2">
      <c r="B37" s="48" t="s">
        <v>75</v>
      </c>
      <c r="C37" s="2">
        <v>981</v>
      </c>
      <c r="D37" s="2">
        <v>29</v>
      </c>
      <c r="E37" s="12"/>
      <c r="F37" s="2"/>
      <c r="G37" s="2"/>
      <c r="H37" s="2"/>
      <c r="I37" s="12"/>
      <c r="K37" s="2"/>
      <c r="L37" s="13"/>
      <c r="M37" s="13"/>
      <c r="N37" s="62"/>
      <c r="O37" s="2"/>
      <c r="P37" s="2"/>
      <c r="Q37" s="13"/>
      <c r="R37" s="13"/>
      <c r="S37" s="62"/>
      <c r="T37" s="2"/>
      <c r="U37" s="2">
        <v>919</v>
      </c>
      <c r="V37" s="14" t="s">
        <v>67</v>
      </c>
      <c r="W37" s="2"/>
      <c r="X37" s="19">
        <f>MSL!X56</f>
        <v>6.46</v>
      </c>
      <c r="Y37" s="12"/>
    </row>
    <row r="38" spans="2:25" x14ac:dyDescent="0.2">
      <c r="B38" s="48" t="s">
        <v>76</v>
      </c>
      <c r="C38" s="2">
        <v>982</v>
      </c>
      <c r="D38" s="2">
        <v>46</v>
      </c>
      <c r="E38" s="12"/>
      <c r="F38" s="2"/>
      <c r="G38" s="2"/>
      <c r="H38" s="2"/>
      <c r="I38" s="12"/>
      <c r="K38" s="2"/>
      <c r="L38" s="13"/>
      <c r="M38" s="13"/>
      <c r="N38" s="62"/>
      <c r="O38" s="2"/>
      <c r="P38" s="2"/>
      <c r="Q38" s="13"/>
      <c r="R38" s="13"/>
      <c r="S38" s="62"/>
      <c r="T38" s="2"/>
      <c r="U38" s="2">
        <v>920</v>
      </c>
      <c r="V38" s="14" t="s">
        <v>67</v>
      </c>
      <c r="W38" s="2"/>
      <c r="X38" s="19">
        <f>MSL!X57</f>
        <v>9.44</v>
      </c>
      <c r="Y38" s="12"/>
    </row>
    <row r="39" spans="2:25" x14ac:dyDescent="0.2">
      <c r="B39" s="48" t="s">
        <v>77</v>
      </c>
      <c r="C39" s="2">
        <v>983</v>
      </c>
      <c r="D39" s="2">
        <v>73</v>
      </c>
      <c r="E39" s="12"/>
      <c r="F39" s="2"/>
      <c r="G39" s="2"/>
      <c r="H39" s="2"/>
      <c r="I39" s="12"/>
      <c r="K39" s="2"/>
      <c r="L39" s="13"/>
      <c r="M39" s="13"/>
      <c r="N39" s="62"/>
      <c r="O39" s="2"/>
      <c r="P39" s="2"/>
      <c r="Q39" s="13"/>
      <c r="R39" s="13"/>
      <c r="S39" s="62"/>
      <c r="T39" s="2"/>
      <c r="U39" s="2">
        <v>921</v>
      </c>
      <c r="V39" s="14" t="s">
        <v>67</v>
      </c>
      <c r="W39" s="2"/>
      <c r="X39" s="19">
        <f>MSL!X58</f>
        <v>11.53</v>
      </c>
      <c r="Y39" s="12"/>
    </row>
    <row r="40" spans="2:25" x14ac:dyDescent="0.2">
      <c r="B40" s="48" t="s">
        <v>79</v>
      </c>
      <c r="C40" s="2"/>
      <c r="D40" s="2">
        <v>19</v>
      </c>
      <c r="E40" s="12"/>
      <c r="F40" s="2"/>
      <c r="G40" s="2"/>
      <c r="H40" s="2"/>
      <c r="I40" s="12"/>
      <c r="K40" s="2"/>
      <c r="L40" s="13"/>
      <c r="M40" s="13"/>
      <c r="N40" s="62"/>
      <c r="O40" s="2"/>
      <c r="P40" s="2"/>
      <c r="Q40" s="13"/>
      <c r="R40" s="13"/>
      <c r="S40" s="62"/>
      <c r="T40" s="2"/>
      <c r="U40" s="2">
        <v>922</v>
      </c>
      <c r="V40" s="14" t="s">
        <v>67</v>
      </c>
      <c r="W40" s="2"/>
      <c r="X40" s="19">
        <f>MSL!X60</f>
        <v>5.7511081481481483</v>
      </c>
      <c r="Y40" s="12"/>
    </row>
    <row r="41" spans="2:25" x14ac:dyDescent="0.2">
      <c r="B41" s="38" t="s">
        <v>78</v>
      </c>
      <c r="C41" s="39"/>
      <c r="D41" s="39">
        <v>50</v>
      </c>
      <c r="E41" s="15"/>
      <c r="F41" s="39"/>
      <c r="G41" s="39"/>
      <c r="H41" s="39"/>
      <c r="I41" s="15"/>
      <c r="J41" s="39"/>
      <c r="K41" s="39"/>
      <c r="L41" s="40"/>
      <c r="M41" s="40"/>
      <c r="N41" s="63"/>
      <c r="O41" s="39"/>
      <c r="P41" s="39"/>
      <c r="Q41" s="40"/>
      <c r="R41" s="40"/>
      <c r="S41" s="63"/>
      <c r="T41" s="39"/>
      <c r="U41" s="39">
        <v>923</v>
      </c>
      <c r="V41" s="16" t="s">
        <v>67</v>
      </c>
      <c r="W41" s="39"/>
      <c r="X41" s="43">
        <f>MSL!X61</f>
        <v>16.001108148148145</v>
      </c>
      <c r="Y41" s="15"/>
    </row>
    <row r="42" spans="2:25" x14ac:dyDescent="0.2">
      <c r="B42" s="2"/>
      <c r="C42" s="2"/>
      <c r="D42" s="2"/>
      <c r="E42" s="12"/>
      <c r="F42" s="2"/>
      <c r="G42" s="2"/>
      <c r="H42" s="2"/>
      <c r="I42" s="12"/>
      <c r="K42" s="2"/>
      <c r="L42" s="13"/>
      <c r="M42" s="13"/>
      <c r="N42" s="62"/>
      <c r="O42" s="2"/>
      <c r="P42" s="2"/>
      <c r="Q42" s="13"/>
      <c r="R42" s="13"/>
      <c r="S42" s="62"/>
      <c r="T42" s="2"/>
      <c r="U42" s="2"/>
      <c r="V42" s="14"/>
      <c r="W42" s="2"/>
      <c r="X42" s="12"/>
      <c r="Y42" s="12"/>
    </row>
    <row r="43" spans="2:25" x14ac:dyDescent="0.2">
      <c r="L43" s="4"/>
      <c r="M43" s="4"/>
      <c r="N43" s="60"/>
      <c r="Q43" s="4"/>
      <c r="R43" s="4"/>
      <c r="S43" s="60"/>
    </row>
    <row r="44" spans="2:25" x14ac:dyDescent="0.2">
      <c r="B44" s="1" t="s">
        <v>23</v>
      </c>
      <c r="L44" s="4">
        <f>SUM(L6:L34)</f>
        <v>66945</v>
      </c>
      <c r="M44" s="4">
        <f>SUM(M6:M34)</f>
        <v>104882316</v>
      </c>
      <c r="N44" s="60">
        <f>SUM(N6:N34)</f>
        <v>3332955.2800000003</v>
      </c>
      <c r="Q44" s="4">
        <f>SUM(Q6:Q34)</f>
        <v>16786</v>
      </c>
      <c r="R44" s="4">
        <f>SUM(R6:R34)</f>
        <v>20443584</v>
      </c>
      <c r="S44" s="60">
        <f>SUM(S6:S34)</f>
        <v>912875.28</v>
      </c>
      <c r="U44" s="6" t="s">
        <v>71</v>
      </c>
      <c r="V44" s="30">
        <f>SUM(V6:V34)</f>
        <v>1004772</v>
      </c>
      <c r="X44" s="33" t="s">
        <v>56</v>
      </c>
      <c r="Y44" s="46">
        <f>SUM(Y6:Y39)</f>
        <v>5549105.7600000007</v>
      </c>
    </row>
    <row r="45" spans="2:25" x14ac:dyDescent="0.2">
      <c r="B45" s="45" t="s">
        <v>57</v>
      </c>
      <c r="N45" s="6"/>
      <c r="U45" s="6" t="s">
        <v>70</v>
      </c>
      <c r="V45" s="30">
        <f>L44+Q44</f>
        <v>83731</v>
      </c>
      <c r="X45" s="48" t="s">
        <v>37</v>
      </c>
      <c r="Y45" s="49">
        <f>[1]AEPTX!$B$52+[1]AEPTX!$C$52</f>
        <v>5551190.5699999994</v>
      </c>
    </row>
    <row r="46" spans="2:25" x14ac:dyDescent="0.2">
      <c r="B46" s="45" t="s">
        <v>58</v>
      </c>
      <c r="U46" s="6"/>
      <c r="V46" s="30">
        <f>V45*12</f>
        <v>1004772</v>
      </c>
      <c r="X46" s="38" t="s">
        <v>38</v>
      </c>
      <c r="Y46" s="59">
        <f>Y44-Y45</f>
        <v>-2084.8099999986589</v>
      </c>
    </row>
    <row r="48" spans="2:25" s="2" customFormat="1" x14ac:dyDescent="0.2">
      <c r="B48" s="50"/>
      <c r="C48" s="14"/>
      <c r="D48" s="14"/>
      <c r="E48" s="12"/>
      <c r="H48" s="5"/>
      <c r="I48" s="5"/>
      <c r="K48" s="14"/>
      <c r="N48" s="5"/>
      <c r="P48" s="14"/>
      <c r="S48" s="5"/>
    </row>
    <row r="49" spans="2:19" s="2" customFormat="1" x14ac:dyDescent="0.2">
      <c r="B49" s="50"/>
      <c r="C49" s="12"/>
      <c r="D49" s="12"/>
      <c r="E49" s="12"/>
      <c r="H49" s="52"/>
      <c r="I49" s="52"/>
      <c r="K49" s="12"/>
      <c r="P49" s="12"/>
    </row>
    <row r="50" spans="2:19" s="2" customFormat="1" x14ac:dyDescent="0.2">
      <c r="B50" s="50"/>
      <c r="C50" s="12"/>
      <c r="D50" s="12"/>
      <c r="E50" s="12"/>
      <c r="H50" s="52"/>
      <c r="I50" s="52"/>
      <c r="K50" s="12"/>
      <c r="P50" s="12"/>
    </row>
    <row r="51" spans="2:19" s="2" customFormat="1" x14ac:dyDescent="0.2">
      <c r="B51" s="50"/>
      <c r="C51" s="3"/>
      <c r="D51" s="3"/>
      <c r="E51" s="3"/>
      <c r="H51" s="52"/>
      <c r="I51" s="52"/>
      <c r="K51" s="3"/>
      <c r="M51" s="51"/>
      <c r="N51" s="12"/>
      <c r="P51" s="3"/>
      <c r="R51" s="51"/>
      <c r="S51" s="12"/>
    </row>
    <row r="52" spans="2:19" s="2" customFormat="1" x14ac:dyDescent="0.2">
      <c r="B52" s="50"/>
      <c r="C52" s="3"/>
      <c r="D52" s="3"/>
      <c r="E52" s="3"/>
      <c r="H52" s="52"/>
      <c r="I52" s="52"/>
      <c r="K52" s="3"/>
      <c r="M52" s="51"/>
      <c r="N52" s="12"/>
      <c r="P52" s="3"/>
      <c r="R52" s="51"/>
      <c r="S52" s="12"/>
    </row>
    <row r="53" spans="2:19" s="2" customFormat="1" x14ac:dyDescent="0.2">
      <c r="B53" s="50"/>
      <c r="C53" s="3"/>
      <c r="D53" s="3"/>
      <c r="E53" s="12"/>
      <c r="I53" s="12"/>
      <c r="K53" s="3"/>
      <c r="M53" s="51"/>
      <c r="N53" s="12"/>
      <c r="P53" s="3"/>
      <c r="R53" s="51"/>
      <c r="S53" s="12"/>
    </row>
    <row r="54" spans="2:19" s="2" customFormat="1" x14ac:dyDescent="0.2">
      <c r="B54" s="50"/>
      <c r="C54" s="3"/>
      <c r="D54" s="3"/>
      <c r="E54" s="12"/>
      <c r="I54" s="12"/>
      <c r="K54" s="3"/>
      <c r="M54" s="51"/>
      <c r="N54" s="12"/>
      <c r="P54" s="3"/>
      <c r="S54" s="12"/>
    </row>
    <row r="55" spans="2:19" s="2" customFormat="1" x14ac:dyDescent="0.2">
      <c r="B55" s="50"/>
      <c r="C55" s="3"/>
      <c r="D55" s="3"/>
      <c r="E55" s="12"/>
      <c r="I55" s="12"/>
      <c r="K55" s="3"/>
      <c r="M55" s="51"/>
      <c r="N55" s="12"/>
      <c r="P55" s="3"/>
      <c r="R55" s="51"/>
      <c r="S55" s="12"/>
    </row>
    <row r="56" spans="2:19" s="2" customFormat="1" x14ac:dyDescent="0.2">
      <c r="B56" s="50"/>
      <c r="C56" s="12"/>
      <c r="D56" s="12"/>
      <c r="E56" s="12"/>
      <c r="I56" s="12"/>
      <c r="K56" s="12"/>
      <c r="P56" s="12"/>
    </row>
    <row r="57" spans="2:19" s="2" customFormat="1" x14ac:dyDescent="0.2">
      <c r="E57" s="12"/>
      <c r="I57" s="12"/>
      <c r="N57" s="12"/>
      <c r="S57" s="12"/>
    </row>
    <row r="58" spans="2:19" s="2" customFormat="1" x14ac:dyDescent="0.2">
      <c r="E58" s="12"/>
      <c r="I58" s="12"/>
    </row>
    <row r="59" spans="2:19" s="2" customFormat="1" x14ac:dyDescent="0.2">
      <c r="E59" s="12"/>
      <c r="I59" s="12"/>
      <c r="N59" s="12"/>
      <c r="S59" s="12"/>
    </row>
  </sheetData>
  <mergeCells count="5">
    <mergeCell ref="C2:E2"/>
    <mergeCell ref="G2:I2"/>
    <mergeCell ref="K2:N2"/>
    <mergeCell ref="P2:S2"/>
    <mergeCell ref="U2:Y2"/>
  </mergeCells>
  <printOptions horizontalCentered="1"/>
  <pageMargins left="0.7" right="0.7" top="0.75" bottom="0.75" header="0.3" footer="0.3"/>
  <pageSetup scale="45" orientation="landscape" r:id="rId1"/>
  <headerFooter>
    <oddHeader>&amp;CPUBLIC UTILITY COMMISSION OF TEXAS
AEP TEXAS INC
LIGHTING FACILITIES PROOF OF REVENUE
TEST YEAR ENDING DECEMBER 31, 2018&amp;RSchedule IV-J-7
Lighting Facilities
&amp;A
Page &amp;P of &amp;N</oddHeader>
    <oddFooter>&amp;LSponsored by: Jennifer L. Jackson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50c31824-0780-4910-87d1-eaaffd182d42" value=""/>
  <element uid="c64218ab-b8d1-40b6-a478-cb8be1e10ecc" value=""/>
</sisl>
</file>

<file path=customXml/itemProps1.xml><?xml version="1.0" encoding="utf-8"?>
<ds:datastoreItem xmlns:ds="http://schemas.openxmlformats.org/officeDocument/2006/customXml" ds:itemID="{8EF83C2B-21B3-40A2-9F15-A30D2BAC2B0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MSL</vt:lpstr>
      <vt:lpstr>Non-Roadway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dtsoa12</dc:creator>
  <cp:keywords>AEP Internal</cp:keywords>
  <cp:lastModifiedBy>s254353</cp:lastModifiedBy>
  <cp:lastPrinted>2019-04-27T16:31:35Z</cp:lastPrinted>
  <dcterms:created xsi:type="dcterms:W3CDTF">2018-07-30T17:32:35Z</dcterms:created>
  <dcterms:modified xsi:type="dcterms:W3CDTF">2019-04-27T16:31:50Z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bdaeb9c2-76e8-448f-a100-c0b78ca5b401</vt:lpwstr>
  </property>
  <property fmtid="{D5CDD505-2E9C-101B-9397-08002B2CF9AE}" pid="3" name="bjSaver">
    <vt:lpwstr>UhaBZRC4hf8PDNfVc3fDEeb6MeC3iUVD</vt:lpwstr>
  </property>
  <property fmtid="{D5CDD505-2E9C-101B-9397-08002B2CF9AE}" pid="4" name="bjDocumentSecurityLabel">
    <vt:lpwstr>AEP Internal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uid="50c31824-0780-4910-87d1-eaaffd182d42" value="" /&gt;&lt;element uid="c64218ab-b8d1-40b6-a478-cb8be1e10ecc" value="" /&gt;&lt;/sisl&gt;</vt:lpwstr>
  </property>
  <property fmtid="{D5CDD505-2E9C-101B-9397-08002B2CF9AE}" pid="7" name="Visual Markings Removed">
    <vt:lpwstr>No</vt:lpwstr>
  </property>
</Properties>
</file>