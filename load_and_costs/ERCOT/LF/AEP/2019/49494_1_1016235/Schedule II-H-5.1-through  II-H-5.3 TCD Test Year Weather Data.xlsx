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J:\RegCaseMgmt\2019 AEPTX RATE CASE\SCHEDULES\For Filing\Central Schedules\"/>
    </mc:Choice>
  </mc:AlternateContent>
  <bookViews>
    <workbookView xWindow="0" yWindow="0" windowWidth="28800" windowHeight="13500" activeTab="2"/>
  </bookViews>
  <sheets>
    <sheet name="TCC H-5.1" sheetId="1" r:id="rId1"/>
    <sheet name="TCC H-5.2" sheetId="3" r:id="rId2"/>
    <sheet name="H-5.2 Billing Cycle Weighting" sheetId="7" r:id="rId3"/>
    <sheet name="TCC H-5.3" sheetId="5" r:id="rId4"/>
  </sheets>
  <definedNames>
    <definedName name="_xlnm.Print_Area" localSheetId="2">'H-5.2 Billing Cycle Weighting'!$A$1:$J$430</definedName>
    <definedName name="_xlnm.Print_Titles" localSheetId="2">'H-5.2 Billing Cycle Weighting'!$4:$4</definedName>
    <definedName name="_xlnm.Print_Titles" localSheetId="0">'TCC H-5.1'!$1:$7</definedName>
    <definedName name="_xlnm.Print_Titles" localSheetId="1">'TCC H-5.2'!$1:$8</definedName>
    <definedName name="_xlnm.Print_Titles" localSheetId="3">'TCC H-5.3'!$1:$8</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399" i="7" l="1"/>
  <c r="I399" i="7"/>
  <c r="J369" i="7"/>
  <c r="I369" i="7"/>
  <c r="J338" i="7"/>
  <c r="I338" i="7"/>
  <c r="J308" i="7"/>
  <c r="I308" i="7"/>
  <c r="J277" i="7"/>
  <c r="I277" i="7"/>
  <c r="J248" i="7"/>
  <c r="I248" i="7"/>
  <c r="J217" i="7"/>
  <c r="I217" i="7"/>
  <c r="J186" i="7"/>
  <c r="I186" i="7"/>
  <c r="J156" i="7"/>
  <c r="I156" i="7"/>
  <c r="J125" i="7"/>
  <c r="I125" i="7"/>
  <c r="J95" i="7"/>
  <c r="I95" i="7"/>
  <c r="J64" i="7"/>
  <c r="I64" i="7"/>
</calcChain>
</file>

<file path=xl/sharedStrings.xml><?xml version="1.0" encoding="utf-8"?>
<sst xmlns="http://schemas.openxmlformats.org/spreadsheetml/2006/main" count="600" uniqueCount="58">
  <si>
    <t>Historical Weather Data</t>
  </si>
  <si>
    <t>Heating Degree Basis = 55</t>
  </si>
  <si>
    <t>Cooling Degree Basis = 70</t>
  </si>
  <si>
    <t>Year</t>
  </si>
  <si>
    <t>Month</t>
  </si>
  <si>
    <t>Station</t>
  </si>
  <si>
    <t>CDD</t>
  </si>
  <si>
    <t>HDD</t>
  </si>
  <si>
    <t>CRP</t>
  </si>
  <si>
    <t>LRD</t>
  </si>
  <si>
    <t>MFE</t>
  </si>
  <si>
    <t>AEP Texas - Central Total</t>
  </si>
  <si>
    <t>The following weights were used to compute weighted total:</t>
  </si>
  <si>
    <t>Billing-Cycle Adjusted</t>
  </si>
  <si>
    <t>Actual</t>
  </si>
  <si>
    <t>Normal</t>
  </si>
  <si>
    <t>Billing-Cycle-Adjusted</t>
  </si>
  <si>
    <t>Calendar Month</t>
  </si>
  <si>
    <t>Heating Degree Basis = 65</t>
  </si>
  <si>
    <t>Cooling Degree Basis =65</t>
  </si>
  <si>
    <t>STATION</t>
  </si>
  <si>
    <t>YEAR</t>
  </si>
  <si>
    <t>MONTH</t>
  </si>
  <si>
    <t>DAY</t>
  </si>
  <si>
    <t>Avg. Daily Temp</t>
  </si>
  <si>
    <t>Daily CDD65</t>
  </si>
  <si>
    <t>Daily HDD55</t>
  </si>
  <si>
    <t>Cumulative Monthly Billing Cycle CDD65 *</t>
  </si>
  <si>
    <t>Cumulative Monthly Billing Cycle HDD55 *</t>
  </si>
  <si>
    <t>TXK</t>
  </si>
  <si>
    <t>* Computed Degree-Days = ( 30.435 *</t>
  </si>
  <si>
    <t xml:space="preserve">        (1 * lag00(Daily DD) +  2 * lag01(Daily DD) +  3 * lag02(Daily DD)</t>
  </si>
  <si>
    <t xml:space="preserve">     +  4 * lag03(Daily DD) +  5 * lag04(Daily DD) +  6 * lag05(Daily DD)</t>
  </si>
  <si>
    <t xml:space="preserve">     +  7 * lag06(Daily DD) +  8 * lag07(Daily DD) +  9 * lag08(Daily DD)</t>
  </si>
  <si>
    <t xml:space="preserve">     + 10 * lag09(Daily DD) + 11 * lag10(Daily DD) + 12 * lag11(Daily DD)</t>
  </si>
  <si>
    <t xml:space="preserve">     + 13 * lag12(Daily DD) + 14 * lag13(Daily DD) + 15 * lag14(Daily DD)</t>
  </si>
  <si>
    <t xml:space="preserve">     + 16 * lag15(Daily DD) + 17 * lag16(Daily DD) + 18 * lag17(Daily DD)</t>
  </si>
  <si>
    <t xml:space="preserve">     + 19 * lag18(Daily DD) + 20 * lag19(Daily DD) + 21 * lag20(Daily DD)</t>
  </si>
  <si>
    <t xml:space="preserve">     + 22 * lag21(Daily DD) + 23 * lag22(Daily DD) + 24 * lag23(Daily DD)</t>
  </si>
  <si>
    <t xml:space="preserve">     + 25 * lag24(Daily DD) + 26 * lag25(Daily DD) + 27 * lag26(Daily DD)</t>
  </si>
  <si>
    <t xml:space="preserve">     + 28 * lag27(Daily DD) + 29 * lag28(Daily DD) + 30 * lag29(Daily DD)</t>
  </si>
  <si>
    <t xml:space="preserve">     + 30 * lag30(Daily DD) + 29 * lag31(Daily DD) + 28 * lag32(Daily DD)</t>
  </si>
  <si>
    <t xml:space="preserve">     + 27 * lag33(Daily DD) + 26 * lag34(Daily DD) + 25 * lag35(Daily DD)</t>
  </si>
  <si>
    <t xml:space="preserve">     + 24 * lag36(Daily DD) + 23 * lag37(Daily DD) + 22 * lag38(Daily DD)</t>
  </si>
  <si>
    <t xml:space="preserve">     + 21 * lag39(Daily DD) + 20 * lag40(Daily DD) + 19 * lag41(Daily DD)</t>
  </si>
  <si>
    <t xml:space="preserve">     + 18 * lag42(Daily DD) + 17 * lag43(Daily DD) + 16 * lag44(Daily DD)</t>
  </si>
  <si>
    <t xml:space="preserve">     + 15 * lag45(Daily DD) + 14 * lag46(Daily DD) + 13 * lag47(Daily DD)</t>
  </si>
  <si>
    <t xml:space="preserve">     + 12 * lag48(Daily DD) + 11 * lag49(Daily DD) + 10 * lag50(Daily DD)</t>
  </si>
  <si>
    <t xml:space="preserve">     +  9 * lag51(Daily DD) +  8 * lag52(Daily DD) +  7 * lag53(Daily DD)</t>
  </si>
  <si>
    <t xml:space="preserve">     +  6 * lag54(Daily DD) +  5 * lag55(Daily DD) +  4 * lag56(Daily DD)</t>
  </si>
  <si>
    <t xml:space="preserve">     +  3 * lag57(Daily DD) +  2 * lag58(Daily DD) +  1 * lag59(Daily DD))/930  );</t>
  </si>
  <si>
    <t>Computed degree-days are a weighted average spanning the most recent 60 days where the weights are triangular in nature with the most weight applied to days in the middle of the span.  The weights sum to 930 and are scaled by a factor of 30.435 representing the average number of days in a month factoring in a leap year in the fourth year.</t>
  </si>
  <si>
    <t>** Monthly Degree-Days are cumulative values as of the last day of each month.</t>
  </si>
  <si>
    <t>AEP Texas Company</t>
  </si>
  <si>
    <t>Billing-Cycle Adjustment Example</t>
  </si>
  <si>
    <t xml:space="preserve">PUBLIC UTILITY COMMISSION OF TEXAS
AEP TEXAS INC. – CENTRAL DIVISION
SCHEDULE II-H-5.1 (Weather Station Data)
TEST YEAR ENDING DECEMBER 31, 2018
</t>
  </si>
  <si>
    <t>PUBLIC UTILITY COMMISSION OF TEXAS
AEP TEXAS INC. – CENTRAL DIVISION
SCHEDULE II-H-5.2 (Adjusted Weather Station Data)
TEST YEAR ENDING DECEMBER 31, 2018</t>
  </si>
  <si>
    <t>PUBLIC UTILITY COMMISSION OF TEXAS
AEP TEXAS INC. – CENTRAL DIVISION
SCHEDULE II-H-5.3 (Additional Weather Information)
TEST YEAR ENDING DECEMBER 31, 2018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</si>
</sst>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
    <numFmt numFmtId="165" formatCode="0.000"/>
  </numFmts>
  <fonts count="1" x14ac:knownFonts="1">
    <font>
      <sz val="11"/>
      <color theme="1"/>
      <name val="Calibri"/>
      <family val="2"/>
      <scheme val="minor"/>
    </font>
  </fonts>
  <fills count="2">
    <fill>
      <patternFill patternType="none"/>
    </fill>
    <fill>
      <patternFill patternType="gray125"/>
    </fill>
  </fills>
  <borders count="12">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30">
    <xf numFmtId="0" fontId="0" fillId="0" borderId="0" xfId="0"/>
    <xf numFmtId="164" fontId="0" fillId="0" borderId="0" xfId="0" applyNumberFormat="1"/>
    <xf numFmtId="0" fontId="0" fillId="0" borderId="0" xfId="0" applyAlignment="1">
      <alignment horizontal="center"/>
    </xf>
    <xf numFmtId="0" fontId="0" fillId="0" borderId="0" xfId="0" applyAlignment="1">
      <alignment horizontal="center"/>
    </xf>
    <xf numFmtId="0" fontId="0" fillId="0" borderId="4" xfId="0" applyBorder="1"/>
    <xf numFmtId="0" fontId="0" fillId="0" borderId="0" xfId="0" applyBorder="1"/>
    <xf numFmtId="0" fontId="0" fillId="0" borderId="5" xfId="0" applyBorder="1"/>
    <xf numFmtId="164" fontId="0" fillId="0" borderId="4" xfId="0" applyNumberFormat="1" applyBorder="1"/>
    <xf numFmtId="164" fontId="0" fillId="0" borderId="0" xfId="0" applyNumberFormat="1" applyBorder="1"/>
    <xf numFmtId="164" fontId="0" fillId="0" borderId="5" xfId="0" applyNumberFormat="1" applyBorder="1"/>
    <xf numFmtId="164" fontId="0" fillId="0" borderId="6" xfId="0" applyNumberFormat="1" applyBorder="1"/>
    <xf numFmtId="164" fontId="0" fillId="0" borderId="7" xfId="0" applyNumberFormat="1" applyBorder="1"/>
    <xf numFmtId="164" fontId="0" fillId="0" borderId="8" xfId="0" applyNumberFormat="1" applyBorder="1"/>
    <xf numFmtId="0" fontId="0" fillId="0" borderId="0" xfId="0" applyAlignment="1">
      <alignment wrapText="1"/>
    </xf>
    <xf numFmtId="0" fontId="0" fillId="0" borderId="0" xfId="0" applyAlignment="1">
      <alignment horizontal="center" wrapText="1"/>
    </xf>
    <xf numFmtId="165" fontId="0" fillId="0" borderId="0" xfId="0" applyNumberFormat="1" applyAlignment="1">
      <alignment horizontal="center" wrapText="1"/>
    </xf>
    <xf numFmtId="165" fontId="0" fillId="0" borderId="0" xfId="0" applyNumberFormat="1"/>
    <xf numFmtId="0" fontId="0" fillId="0" borderId="9" xfId="0" applyBorder="1"/>
    <xf numFmtId="0" fontId="0" fillId="0" borderId="10" xfId="0" applyBorder="1"/>
    <xf numFmtId="165" fontId="0" fillId="0" borderId="10" xfId="0" applyNumberFormat="1" applyBorder="1"/>
    <xf numFmtId="165" fontId="0" fillId="0" borderId="11" xfId="0" applyNumberFormat="1" applyBorder="1"/>
    <xf numFmtId="0" fontId="0" fillId="0" borderId="0" xfId="0" applyAlignment="1">
      <alignment horizontal="left" vertical="top" wrapText="1"/>
    </xf>
    <xf numFmtId="0" fontId="0" fillId="0" borderId="0" xfId="0" applyAlignment="1">
      <alignment horizontal="center"/>
    </xf>
    <xf numFmtId="0" fontId="0" fillId="0" borderId="0" xfId="0" applyAlignment="1">
      <alignment horizontal="center" wrapText="1"/>
    </xf>
    <xf numFmtId="0" fontId="0" fillId="0" borderId="4" xfId="0" applyBorder="1" applyAlignment="1">
      <alignment horizontal="center"/>
    </xf>
    <xf numFmtId="0" fontId="0" fillId="0" borderId="0" xfId="0" applyBorder="1" applyAlignment="1">
      <alignment horizontal="center"/>
    </xf>
    <xf numFmtId="0" fontId="0" fillId="0" borderId="5" xfId="0" applyBorder="1" applyAlignment="1">
      <alignment horizontal="center"/>
    </xf>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1"/>
  <sheetViews>
    <sheetView zoomScaleNormal="100" workbookViewId="0">
      <selection activeCell="K2" sqref="K2"/>
    </sheetView>
  </sheetViews>
  <sheetFormatPr defaultRowHeight="15" x14ac:dyDescent="0.25"/>
  <sheetData>
    <row r="1" spans="1:7" ht="84.75" customHeight="1" x14ac:dyDescent="0.25">
      <c r="A1" s="23" t="s">
        <v>55</v>
      </c>
      <c r="B1" s="23"/>
      <c r="C1" s="23"/>
      <c r="D1" s="23"/>
      <c r="E1" s="23"/>
      <c r="F1" s="23"/>
      <c r="G1" s="23"/>
    </row>
    <row r="2" spans="1:7" x14ac:dyDescent="0.25">
      <c r="A2" s="22" t="s">
        <v>0</v>
      </c>
      <c r="B2" s="22"/>
      <c r="C2" s="22"/>
      <c r="D2" s="22"/>
      <c r="E2" s="22"/>
    </row>
    <row r="4" spans="1:7" x14ac:dyDescent="0.25">
      <c r="A4">
        <v>1</v>
      </c>
      <c r="B4" t="s">
        <v>1</v>
      </c>
    </row>
    <row r="5" spans="1:7" x14ac:dyDescent="0.25">
      <c r="A5">
        <v>2</v>
      </c>
      <c r="B5" t="s">
        <v>2</v>
      </c>
    </row>
    <row r="6" spans="1:7" x14ac:dyDescent="0.25">
      <c r="D6" s="22" t="s">
        <v>14</v>
      </c>
      <c r="E6" s="22"/>
      <c r="F6" s="22" t="s">
        <v>15</v>
      </c>
      <c r="G6" s="22"/>
    </row>
    <row r="7" spans="1:7" x14ac:dyDescent="0.25">
      <c r="A7" t="s">
        <v>3</v>
      </c>
      <c r="B7" t="s">
        <v>4</v>
      </c>
      <c r="C7" t="s">
        <v>5</v>
      </c>
      <c r="D7" t="s">
        <v>6</v>
      </c>
      <c r="E7" t="s">
        <v>7</v>
      </c>
      <c r="F7" t="s">
        <v>6</v>
      </c>
      <c r="G7" t="s">
        <v>7</v>
      </c>
    </row>
    <row r="8" spans="1:7" x14ac:dyDescent="0.25">
      <c r="A8">
        <v>2018</v>
      </c>
      <c r="B8">
        <v>1</v>
      </c>
      <c r="C8" t="s">
        <v>8</v>
      </c>
      <c r="D8" s="1">
        <v>0</v>
      </c>
      <c r="E8" s="1">
        <v>149.5</v>
      </c>
      <c r="F8" s="1">
        <v>8.8500000000000014</v>
      </c>
      <c r="G8" s="1">
        <v>81.2</v>
      </c>
    </row>
    <row r="9" spans="1:7" x14ac:dyDescent="0.25">
      <c r="A9">
        <v>2018</v>
      </c>
      <c r="B9">
        <v>2</v>
      </c>
      <c r="C9" t="s">
        <v>8</v>
      </c>
      <c r="D9" s="1">
        <v>45</v>
      </c>
      <c r="E9" s="1">
        <v>27</v>
      </c>
      <c r="F9" s="1">
        <v>23.450000000000006</v>
      </c>
      <c r="G9" s="1">
        <v>45.29999999999999</v>
      </c>
    </row>
    <row r="10" spans="1:7" x14ac:dyDescent="0.25">
      <c r="A10">
        <v>2018</v>
      </c>
      <c r="B10">
        <v>3</v>
      </c>
      <c r="C10" t="s">
        <v>8</v>
      </c>
      <c r="D10" s="1">
        <v>92.5</v>
      </c>
      <c r="E10" s="1">
        <v>0</v>
      </c>
      <c r="F10" s="1">
        <v>61.75</v>
      </c>
      <c r="G10" s="1">
        <v>11.350000000000003</v>
      </c>
    </row>
    <row r="11" spans="1:7" x14ac:dyDescent="0.25">
      <c r="A11">
        <v>2018</v>
      </c>
      <c r="B11">
        <v>4</v>
      </c>
      <c r="C11" t="s">
        <v>8</v>
      </c>
      <c r="D11" s="1">
        <v>77</v>
      </c>
      <c r="E11" s="1">
        <v>0</v>
      </c>
      <c r="F11" s="1">
        <v>157.09999999999997</v>
      </c>
      <c r="G11" s="1">
        <v>0</v>
      </c>
    </row>
    <row r="12" spans="1:7" x14ac:dyDescent="0.25">
      <c r="A12">
        <v>2018</v>
      </c>
      <c r="B12">
        <v>5</v>
      </c>
      <c r="C12" t="s">
        <v>8</v>
      </c>
      <c r="D12" s="1">
        <v>305</v>
      </c>
      <c r="E12" s="1">
        <v>0</v>
      </c>
      <c r="F12" s="1">
        <v>286.35000000000008</v>
      </c>
      <c r="G12" s="1">
        <v>0</v>
      </c>
    </row>
    <row r="13" spans="1:7" x14ac:dyDescent="0.25">
      <c r="A13">
        <v>2018</v>
      </c>
      <c r="B13">
        <v>6</v>
      </c>
      <c r="C13" t="s">
        <v>8</v>
      </c>
      <c r="D13" s="1">
        <v>403.5</v>
      </c>
      <c r="E13" s="1">
        <v>0</v>
      </c>
      <c r="F13" s="1">
        <v>420.34999999999997</v>
      </c>
      <c r="G13" s="1">
        <v>0</v>
      </c>
    </row>
    <row r="14" spans="1:7" x14ac:dyDescent="0.25">
      <c r="A14">
        <v>2018</v>
      </c>
      <c r="B14">
        <v>7</v>
      </c>
      <c r="C14" t="s">
        <v>8</v>
      </c>
      <c r="D14" s="1">
        <v>407.5</v>
      </c>
      <c r="E14" s="1">
        <v>0</v>
      </c>
      <c r="F14" s="1">
        <v>466.25</v>
      </c>
      <c r="G14" s="1">
        <v>0</v>
      </c>
    </row>
    <row r="15" spans="1:7" x14ac:dyDescent="0.25">
      <c r="A15">
        <v>2018</v>
      </c>
      <c r="B15">
        <v>8</v>
      </c>
      <c r="C15" t="s">
        <v>8</v>
      </c>
      <c r="D15" s="1">
        <v>462</v>
      </c>
      <c r="E15" s="1">
        <v>0</v>
      </c>
      <c r="F15" s="1">
        <v>496.25000000000006</v>
      </c>
      <c r="G15" s="1">
        <v>0</v>
      </c>
    </row>
    <row r="16" spans="1:7" x14ac:dyDescent="0.25">
      <c r="A16">
        <v>2018</v>
      </c>
      <c r="B16">
        <v>9</v>
      </c>
      <c r="C16" t="s">
        <v>8</v>
      </c>
      <c r="D16" s="1">
        <v>345.5</v>
      </c>
      <c r="E16" s="1">
        <v>0</v>
      </c>
      <c r="F16" s="1">
        <v>370.04999999999995</v>
      </c>
      <c r="G16" s="1">
        <v>0</v>
      </c>
    </row>
    <row r="17" spans="1:7" x14ac:dyDescent="0.25">
      <c r="A17">
        <v>2018</v>
      </c>
      <c r="B17">
        <v>10</v>
      </c>
      <c r="C17" t="s">
        <v>8</v>
      </c>
      <c r="D17" s="1">
        <v>180</v>
      </c>
      <c r="E17" s="1">
        <v>2</v>
      </c>
      <c r="F17" s="1">
        <v>203.50000000000006</v>
      </c>
      <c r="G17" s="1">
        <v>0.05</v>
      </c>
    </row>
    <row r="18" spans="1:7" x14ac:dyDescent="0.25">
      <c r="A18">
        <v>2018</v>
      </c>
      <c r="B18">
        <v>11</v>
      </c>
      <c r="C18" t="s">
        <v>8</v>
      </c>
      <c r="D18" s="1">
        <v>46.5</v>
      </c>
      <c r="E18" s="1">
        <v>29.5</v>
      </c>
      <c r="F18" s="1">
        <v>57.600000000000009</v>
      </c>
      <c r="G18" s="1">
        <v>15.75</v>
      </c>
    </row>
    <row r="19" spans="1:7" x14ac:dyDescent="0.25">
      <c r="A19">
        <v>2018</v>
      </c>
      <c r="B19">
        <v>12</v>
      </c>
      <c r="C19" t="s">
        <v>8</v>
      </c>
      <c r="D19" s="1">
        <v>2.5</v>
      </c>
      <c r="E19" s="1">
        <v>29</v>
      </c>
      <c r="F19" s="1">
        <v>19.75</v>
      </c>
      <c r="G19" s="1">
        <v>60.000000000000007</v>
      </c>
    </row>
    <row r="20" spans="1:7" x14ac:dyDescent="0.25">
      <c r="A20">
        <v>2018</v>
      </c>
      <c r="B20">
        <v>1</v>
      </c>
      <c r="C20" t="s">
        <v>9</v>
      </c>
      <c r="D20" s="1">
        <v>0</v>
      </c>
      <c r="E20" s="1">
        <v>136</v>
      </c>
      <c r="F20" s="1">
        <v>13.449999999999998</v>
      </c>
      <c r="G20" s="1">
        <v>67.750000000000014</v>
      </c>
    </row>
    <row r="21" spans="1:7" x14ac:dyDescent="0.25">
      <c r="A21">
        <v>2018</v>
      </c>
      <c r="B21">
        <v>2</v>
      </c>
      <c r="C21" t="s">
        <v>9</v>
      </c>
      <c r="D21" s="1">
        <v>58</v>
      </c>
      <c r="E21" s="1">
        <v>21</v>
      </c>
      <c r="F21" s="1">
        <v>47.900000000000006</v>
      </c>
      <c r="G21" s="1">
        <v>36</v>
      </c>
    </row>
    <row r="22" spans="1:7" x14ac:dyDescent="0.25">
      <c r="A22">
        <v>2018</v>
      </c>
      <c r="B22">
        <v>3</v>
      </c>
      <c r="C22" t="s">
        <v>9</v>
      </c>
      <c r="D22" s="1">
        <v>145.5</v>
      </c>
      <c r="E22" s="1">
        <v>0</v>
      </c>
      <c r="F22" s="1">
        <v>125.39999999999998</v>
      </c>
      <c r="G22" s="1">
        <v>8.8999999999999986</v>
      </c>
    </row>
    <row r="23" spans="1:7" x14ac:dyDescent="0.25">
      <c r="A23">
        <v>2018</v>
      </c>
      <c r="B23">
        <v>4</v>
      </c>
      <c r="C23" t="s">
        <v>9</v>
      </c>
      <c r="D23" s="1">
        <v>159.5</v>
      </c>
      <c r="E23" s="1">
        <v>0</v>
      </c>
      <c r="F23" s="1">
        <v>266.64999999999998</v>
      </c>
      <c r="G23" s="1">
        <v>0</v>
      </c>
    </row>
    <row r="24" spans="1:7" x14ac:dyDescent="0.25">
      <c r="A24">
        <v>2018</v>
      </c>
      <c r="B24">
        <v>5</v>
      </c>
      <c r="C24" t="s">
        <v>9</v>
      </c>
      <c r="D24" s="1">
        <v>474.5</v>
      </c>
      <c r="E24" s="1">
        <v>0</v>
      </c>
      <c r="F24" s="1">
        <v>412.59999999999997</v>
      </c>
      <c r="G24" s="1">
        <v>0</v>
      </c>
    </row>
    <row r="25" spans="1:7" x14ac:dyDescent="0.25">
      <c r="A25">
        <v>2018</v>
      </c>
      <c r="B25">
        <v>6</v>
      </c>
      <c r="C25" t="s">
        <v>9</v>
      </c>
      <c r="D25" s="1">
        <v>563.5</v>
      </c>
      <c r="E25" s="1">
        <v>0</v>
      </c>
      <c r="F25" s="1">
        <v>559.59999999999991</v>
      </c>
      <c r="G25" s="1">
        <v>0</v>
      </c>
    </row>
    <row r="26" spans="1:7" x14ac:dyDescent="0.25">
      <c r="A26">
        <v>2018</v>
      </c>
      <c r="B26">
        <v>7</v>
      </c>
      <c r="C26" t="s">
        <v>9</v>
      </c>
      <c r="D26" s="1">
        <v>611</v>
      </c>
      <c r="E26" s="1">
        <v>0</v>
      </c>
      <c r="F26" s="1">
        <v>595.80000000000007</v>
      </c>
      <c r="G26" s="1">
        <v>0</v>
      </c>
    </row>
    <row r="27" spans="1:7" x14ac:dyDescent="0.25">
      <c r="A27">
        <v>2018</v>
      </c>
      <c r="B27">
        <v>8</v>
      </c>
      <c r="C27" t="s">
        <v>9</v>
      </c>
      <c r="D27" s="1">
        <v>622.5</v>
      </c>
      <c r="E27" s="1">
        <v>0</v>
      </c>
      <c r="F27" s="1">
        <v>620.34999999999991</v>
      </c>
      <c r="G27" s="1">
        <v>0</v>
      </c>
    </row>
    <row r="28" spans="1:7" x14ac:dyDescent="0.25">
      <c r="A28">
        <v>2018</v>
      </c>
      <c r="B28">
        <v>9</v>
      </c>
      <c r="C28" t="s">
        <v>9</v>
      </c>
      <c r="D28" s="1">
        <v>355</v>
      </c>
      <c r="E28" s="1">
        <v>0</v>
      </c>
      <c r="F28" s="1">
        <v>431.44999999999993</v>
      </c>
      <c r="G28" s="1">
        <v>0</v>
      </c>
    </row>
    <row r="29" spans="1:7" x14ac:dyDescent="0.25">
      <c r="A29">
        <v>2018</v>
      </c>
      <c r="B29">
        <v>10</v>
      </c>
      <c r="C29" t="s">
        <v>9</v>
      </c>
      <c r="D29" s="1">
        <v>196.5</v>
      </c>
      <c r="E29" s="1">
        <v>4</v>
      </c>
      <c r="F29" s="1">
        <v>256.75</v>
      </c>
      <c r="G29" s="1">
        <v>0</v>
      </c>
    </row>
    <row r="30" spans="1:7" x14ac:dyDescent="0.25">
      <c r="A30">
        <v>2018</v>
      </c>
      <c r="B30">
        <v>11</v>
      </c>
      <c r="C30" t="s">
        <v>9</v>
      </c>
      <c r="D30" s="1">
        <v>37.5</v>
      </c>
      <c r="E30" s="1">
        <v>29.5</v>
      </c>
      <c r="F30" s="1">
        <v>72.050000000000011</v>
      </c>
      <c r="G30" s="1">
        <v>12.400000000000002</v>
      </c>
    </row>
    <row r="31" spans="1:7" x14ac:dyDescent="0.25">
      <c r="A31">
        <v>2018</v>
      </c>
      <c r="B31">
        <v>12</v>
      </c>
      <c r="C31" t="s">
        <v>9</v>
      </c>
      <c r="D31" s="1">
        <v>6</v>
      </c>
      <c r="E31" s="1">
        <v>26</v>
      </c>
      <c r="F31" s="1">
        <v>16.100000000000001</v>
      </c>
      <c r="G31" s="1">
        <v>56.4</v>
      </c>
    </row>
    <row r="32" spans="1:7" x14ac:dyDescent="0.25">
      <c r="A32">
        <v>2018</v>
      </c>
      <c r="B32">
        <v>1</v>
      </c>
      <c r="C32" t="s">
        <v>10</v>
      </c>
      <c r="D32" s="1">
        <v>9</v>
      </c>
      <c r="E32" s="1">
        <v>95</v>
      </c>
      <c r="F32" s="1">
        <v>26.850000000000005</v>
      </c>
      <c r="G32" s="1">
        <v>43.25</v>
      </c>
    </row>
    <row r="33" spans="1:7" x14ac:dyDescent="0.25">
      <c r="A33">
        <v>2018</v>
      </c>
      <c r="B33">
        <v>2</v>
      </c>
      <c r="C33" t="s">
        <v>10</v>
      </c>
      <c r="D33" s="1">
        <v>130.5</v>
      </c>
      <c r="E33" s="1">
        <v>8.5</v>
      </c>
      <c r="F33" s="1">
        <v>70.900000000000006</v>
      </c>
      <c r="G33" s="1">
        <v>22.400000000000002</v>
      </c>
    </row>
    <row r="34" spans="1:7" x14ac:dyDescent="0.25">
      <c r="A34">
        <v>2018</v>
      </c>
      <c r="B34">
        <v>3</v>
      </c>
      <c r="C34" t="s">
        <v>10</v>
      </c>
      <c r="D34" s="1">
        <v>219.5</v>
      </c>
      <c r="E34" s="1">
        <v>0</v>
      </c>
      <c r="F34" s="1">
        <v>139.74999999999997</v>
      </c>
      <c r="G34" s="1">
        <v>3.1500000000000004</v>
      </c>
    </row>
    <row r="35" spans="1:7" x14ac:dyDescent="0.25">
      <c r="A35">
        <v>2018</v>
      </c>
      <c r="B35">
        <v>4</v>
      </c>
      <c r="C35" t="s">
        <v>10</v>
      </c>
      <c r="D35" s="1">
        <v>210</v>
      </c>
      <c r="E35" s="1">
        <v>0</v>
      </c>
      <c r="F35" s="1">
        <v>268.75000000000006</v>
      </c>
      <c r="G35" s="1">
        <v>0</v>
      </c>
    </row>
    <row r="36" spans="1:7" x14ac:dyDescent="0.25">
      <c r="A36">
        <v>2018</v>
      </c>
      <c r="B36">
        <v>5</v>
      </c>
      <c r="C36" t="s">
        <v>10</v>
      </c>
      <c r="D36" s="1">
        <v>473.5</v>
      </c>
      <c r="E36" s="1">
        <v>0</v>
      </c>
      <c r="F36" s="1">
        <v>399.05</v>
      </c>
      <c r="G36" s="1">
        <v>0</v>
      </c>
    </row>
    <row r="37" spans="1:7" x14ac:dyDescent="0.25">
      <c r="A37">
        <v>2018</v>
      </c>
      <c r="B37">
        <v>6</v>
      </c>
      <c r="C37" t="s">
        <v>10</v>
      </c>
      <c r="D37" s="1">
        <v>545.5</v>
      </c>
      <c r="E37" s="1">
        <v>0</v>
      </c>
      <c r="F37" s="1">
        <v>506.94999999999993</v>
      </c>
      <c r="G37" s="1">
        <v>0</v>
      </c>
    </row>
    <row r="38" spans="1:7" x14ac:dyDescent="0.25">
      <c r="A38">
        <v>2018</v>
      </c>
      <c r="B38">
        <v>7</v>
      </c>
      <c r="C38" t="s">
        <v>10</v>
      </c>
      <c r="D38" s="1">
        <v>606.5</v>
      </c>
      <c r="E38" s="1">
        <v>0</v>
      </c>
      <c r="F38" s="1">
        <v>557.74999999999989</v>
      </c>
      <c r="G38" s="1">
        <v>0</v>
      </c>
    </row>
    <row r="39" spans="1:7" x14ac:dyDescent="0.25">
      <c r="A39">
        <v>2018</v>
      </c>
      <c r="B39">
        <v>8</v>
      </c>
      <c r="C39" t="s">
        <v>10</v>
      </c>
      <c r="D39" s="1">
        <v>649</v>
      </c>
      <c r="E39" s="1">
        <v>0</v>
      </c>
      <c r="F39" s="1">
        <v>592.45000000000005</v>
      </c>
      <c r="G39" s="1">
        <v>0</v>
      </c>
    </row>
    <row r="40" spans="1:7" x14ac:dyDescent="0.25">
      <c r="A40">
        <v>2018</v>
      </c>
      <c r="B40">
        <v>9</v>
      </c>
      <c r="C40" t="s">
        <v>10</v>
      </c>
      <c r="D40" s="1">
        <v>499.5</v>
      </c>
      <c r="E40" s="1">
        <v>0</v>
      </c>
      <c r="F40" s="1">
        <v>438.15</v>
      </c>
      <c r="G40" s="1">
        <v>0</v>
      </c>
    </row>
    <row r="41" spans="1:7" x14ac:dyDescent="0.25">
      <c r="A41">
        <v>2018</v>
      </c>
      <c r="B41">
        <v>10</v>
      </c>
      <c r="C41" t="s">
        <v>10</v>
      </c>
      <c r="D41" s="1">
        <v>278.5</v>
      </c>
      <c r="E41" s="1">
        <v>0</v>
      </c>
      <c r="F41" s="1">
        <v>285.60000000000002</v>
      </c>
      <c r="G41" s="1">
        <v>0</v>
      </c>
    </row>
    <row r="42" spans="1:7" x14ac:dyDescent="0.25">
      <c r="A42">
        <v>2018</v>
      </c>
      <c r="B42">
        <v>11</v>
      </c>
      <c r="C42" t="s">
        <v>10</v>
      </c>
      <c r="D42" s="1">
        <v>84</v>
      </c>
      <c r="E42" s="1">
        <v>12.5</v>
      </c>
      <c r="F42" s="1">
        <v>103.75000000000001</v>
      </c>
      <c r="G42" s="1">
        <v>7.7</v>
      </c>
    </row>
    <row r="43" spans="1:7" x14ac:dyDescent="0.25">
      <c r="A43">
        <v>2018</v>
      </c>
      <c r="B43">
        <v>12</v>
      </c>
      <c r="C43" t="s">
        <v>10</v>
      </c>
      <c r="D43" s="1">
        <v>25.5</v>
      </c>
      <c r="E43" s="1">
        <v>6</v>
      </c>
      <c r="F43" s="1">
        <v>44.399999999999991</v>
      </c>
      <c r="G43" s="1">
        <v>29.549999999999997</v>
      </c>
    </row>
    <row r="44" spans="1:7" x14ac:dyDescent="0.25">
      <c r="A44" t="s">
        <v>11</v>
      </c>
      <c r="D44" s="1"/>
      <c r="E44" s="1"/>
      <c r="F44" s="1"/>
      <c r="G44" s="1"/>
    </row>
    <row r="45" spans="1:7" x14ac:dyDescent="0.25">
      <c r="A45">
        <v>2018</v>
      </c>
      <c r="B45">
        <v>1</v>
      </c>
      <c r="D45" s="1">
        <v>3.2966100000000003</v>
      </c>
      <c r="E45" s="1">
        <v>126.435165</v>
      </c>
      <c r="F45" s="1">
        <v>16.500208000000001</v>
      </c>
      <c r="G45" s="1">
        <v>64.208753500000014</v>
      </c>
    </row>
    <row r="46" spans="1:7" x14ac:dyDescent="0.25">
      <c r="A46">
        <v>2018</v>
      </c>
      <c r="B46">
        <v>2</v>
      </c>
      <c r="D46" s="1">
        <v>79.304935</v>
      </c>
      <c r="E46" s="1">
        <v>18.844955000000002</v>
      </c>
      <c r="F46" s="1">
        <v>46.448581500000003</v>
      </c>
      <c r="G46" s="1">
        <v>34.775004999999993</v>
      </c>
    </row>
    <row r="47" spans="1:7" x14ac:dyDescent="0.25">
      <c r="A47">
        <v>2018</v>
      </c>
      <c r="B47">
        <v>3</v>
      </c>
      <c r="D47" s="1">
        <v>151.19717</v>
      </c>
      <c r="E47" s="1">
        <v>0</v>
      </c>
      <c r="F47" s="1">
        <v>104.94611699999999</v>
      </c>
      <c r="G47" s="1">
        <v>7.7834610000000009</v>
      </c>
    </row>
    <row r="48" spans="1:7" x14ac:dyDescent="0.25">
      <c r="A48">
        <v>2018</v>
      </c>
      <c r="B48">
        <v>4</v>
      </c>
      <c r="D48" s="1">
        <v>144.67342000000002</v>
      </c>
      <c r="E48" s="1">
        <v>0</v>
      </c>
      <c r="F48" s="1">
        <v>223.1686775</v>
      </c>
      <c r="G48" s="1">
        <v>0</v>
      </c>
    </row>
    <row r="49" spans="1:7" x14ac:dyDescent="0.25">
      <c r="A49">
        <v>2018</v>
      </c>
      <c r="B49">
        <v>5</v>
      </c>
      <c r="D49" s="1">
        <v>405.667575</v>
      </c>
      <c r="E49" s="1">
        <v>0</v>
      </c>
      <c r="F49" s="1">
        <v>356.64060800000004</v>
      </c>
      <c r="G49" s="1">
        <v>0</v>
      </c>
    </row>
    <row r="50" spans="1:7" x14ac:dyDescent="0.25">
      <c r="A50">
        <v>2018</v>
      </c>
      <c r="B50">
        <v>6</v>
      </c>
      <c r="D50" s="1">
        <v>492.27798000000001</v>
      </c>
      <c r="E50" s="1">
        <v>0</v>
      </c>
      <c r="F50" s="1">
        <v>484.06757899999991</v>
      </c>
      <c r="G50" s="1">
        <v>0</v>
      </c>
    </row>
    <row r="51" spans="1:7" x14ac:dyDescent="0.25">
      <c r="A51">
        <v>2018</v>
      </c>
      <c r="B51">
        <v>7</v>
      </c>
      <c r="D51" s="1">
        <v>527.15193999999997</v>
      </c>
      <c r="E51" s="1">
        <v>0</v>
      </c>
      <c r="F51" s="1">
        <v>529.53353400000003</v>
      </c>
      <c r="G51" s="1">
        <v>0</v>
      </c>
    </row>
    <row r="52" spans="1:7" x14ac:dyDescent="0.25">
      <c r="A52">
        <v>2018</v>
      </c>
      <c r="B52">
        <v>8</v>
      </c>
      <c r="D52" s="1">
        <v>567.37591999999995</v>
      </c>
      <c r="E52" s="1">
        <v>0</v>
      </c>
      <c r="F52" s="1">
        <v>560.0027960000001</v>
      </c>
      <c r="G52" s="1">
        <v>0</v>
      </c>
    </row>
    <row r="53" spans="1:7" x14ac:dyDescent="0.25">
      <c r="A53">
        <v>2018</v>
      </c>
      <c r="B53">
        <v>9</v>
      </c>
      <c r="D53" s="1">
        <v>404.09157000000005</v>
      </c>
      <c r="E53" s="1">
        <v>0</v>
      </c>
      <c r="F53" s="1">
        <v>409.10284099999996</v>
      </c>
      <c r="G53" s="1">
        <v>0</v>
      </c>
    </row>
    <row r="54" spans="1:7" x14ac:dyDescent="0.25">
      <c r="A54">
        <v>2018</v>
      </c>
      <c r="B54">
        <v>10</v>
      </c>
      <c r="D54" s="1">
        <v>219.870935</v>
      </c>
      <c r="E54" s="1">
        <v>1.7269800000000002</v>
      </c>
      <c r="F54" s="1">
        <v>245.80819400000004</v>
      </c>
      <c r="G54" s="1">
        <v>2.0196500000000003E-2</v>
      </c>
    </row>
    <row r="55" spans="1:7" x14ac:dyDescent="0.25">
      <c r="A55">
        <v>2018</v>
      </c>
      <c r="B55">
        <v>11</v>
      </c>
      <c r="D55" s="1">
        <v>58.167855000000003</v>
      </c>
      <c r="E55" s="1">
        <v>23.273070000000001</v>
      </c>
      <c r="F55" s="1">
        <v>77.824604500000007</v>
      </c>
      <c r="G55" s="1">
        <v>12.0316025</v>
      </c>
    </row>
    <row r="56" spans="1:7" x14ac:dyDescent="0.25">
      <c r="A56">
        <v>2018</v>
      </c>
      <c r="B56">
        <v>12</v>
      </c>
      <c r="D56" s="1">
        <v>11.728900000000001</v>
      </c>
      <c r="E56" s="1">
        <v>19.88599</v>
      </c>
      <c r="F56" s="1">
        <v>27.940351499999998</v>
      </c>
      <c r="G56" s="1">
        <v>48.019261500000006</v>
      </c>
    </row>
    <row r="58" spans="1:7" x14ac:dyDescent="0.25">
      <c r="A58" t="s">
        <v>12</v>
      </c>
    </row>
    <row r="59" spans="1:7" x14ac:dyDescent="0.25">
      <c r="B59" t="s">
        <v>8</v>
      </c>
      <c r="C59">
        <v>0.40393000000000001</v>
      </c>
    </row>
    <row r="60" spans="1:7" x14ac:dyDescent="0.25">
      <c r="B60" t="s">
        <v>9</v>
      </c>
      <c r="C60">
        <v>0.22978000000000001</v>
      </c>
    </row>
    <row r="61" spans="1:7" x14ac:dyDescent="0.25">
      <c r="B61" t="s">
        <v>10</v>
      </c>
      <c r="C61">
        <v>0.36629</v>
      </c>
    </row>
  </sheetData>
  <mergeCells count="4">
    <mergeCell ref="A2:E2"/>
    <mergeCell ref="D6:E6"/>
    <mergeCell ref="F6:G6"/>
    <mergeCell ref="A1:G1"/>
  </mergeCells>
  <printOptions horizontalCentered="1"/>
  <pageMargins left="0.7" right="0.7" top="0.75" bottom="0.75" header="0.3" footer="0.3"/>
  <pageSetup scale="81" orientation="portrait" r:id="rId1"/>
  <headerFooter>
    <oddHeader>&amp;RSchedule II-H-5.1
TCD Test Year Weather Data
Page &amp;P of &amp;N</oddHeader>
    <oddFooter>&amp;LSponsored by: Chad Burnett</oddFooter>
  </headerFooter>
  <rowBreaks count="1" manualBreakCount="1">
    <brk id="43"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2"/>
  <sheetViews>
    <sheetView view="pageBreakPreview" topLeftCell="A7" zoomScale="60" zoomScaleNormal="100" workbookViewId="0">
      <selection activeCell="J7" sqref="J7"/>
    </sheetView>
  </sheetViews>
  <sheetFormatPr defaultRowHeight="15" x14ac:dyDescent="0.25"/>
  <sheetData>
    <row r="1" spans="1:7" ht="66" customHeight="1" x14ac:dyDescent="0.25">
      <c r="A1" s="23" t="s">
        <v>56</v>
      </c>
      <c r="B1" s="22"/>
      <c r="C1" s="22"/>
      <c r="D1" s="22"/>
      <c r="E1" s="22"/>
    </row>
    <row r="2" spans="1:7" x14ac:dyDescent="0.25">
      <c r="A2" s="22" t="s">
        <v>0</v>
      </c>
      <c r="B2" s="22"/>
      <c r="C2" s="22"/>
      <c r="D2" s="22"/>
      <c r="E2" s="22"/>
    </row>
    <row r="3" spans="1:7" x14ac:dyDescent="0.25">
      <c r="A3" s="22" t="s">
        <v>13</v>
      </c>
      <c r="B3" s="22"/>
      <c r="C3" s="22"/>
      <c r="D3" s="22"/>
      <c r="E3" s="22"/>
    </row>
    <row r="4" spans="1:7" x14ac:dyDescent="0.25">
      <c r="A4" s="2"/>
      <c r="B4" s="2"/>
      <c r="C4" s="2"/>
      <c r="D4" s="2"/>
      <c r="E4" s="2"/>
    </row>
    <row r="5" spans="1:7" x14ac:dyDescent="0.25">
      <c r="A5">
        <v>1</v>
      </c>
      <c r="B5" t="s">
        <v>1</v>
      </c>
    </row>
    <row r="6" spans="1:7" x14ac:dyDescent="0.25">
      <c r="A6">
        <v>2</v>
      </c>
      <c r="B6" t="s">
        <v>2</v>
      </c>
    </row>
    <row r="7" spans="1:7" x14ac:dyDescent="0.25">
      <c r="D7" s="22" t="s">
        <v>14</v>
      </c>
      <c r="E7" s="22"/>
      <c r="F7" s="22" t="s">
        <v>15</v>
      </c>
      <c r="G7" s="22"/>
    </row>
    <row r="8" spans="1:7" x14ac:dyDescent="0.25">
      <c r="A8" t="s">
        <v>3</v>
      </c>
      <c r="B8" t="s">
        <v>4</v>
      </c>
      <c r="C8" t="s">
        <v>5</v>
      </c>
      <c r="D8" t="s">
        <v>6</v>
      </c>
      <c r="E8" t="s">
        <v>7</v>
      </c>
      <c r="F8" t="s">
        <v>6</v>
      </c>
      <c r="G8" t="s">
        <v>7</v>
      </c>
    </row>
    <row r="9" spans="1:7" x14ac:dyDescent="0.25">
      <c r="A9">
        <v>2018</v>
      </c>
      <c r="B9">
        <v>1</v>
      </c>
      <c r="C9" t="s">
        <v>8</v>
      </c>
      <c r="D9" s="1">
        <v>2.7489677419071086</v>
      </c>
      <c r="E9" s="1">
        <v>140.36098387092352</v>
      </c>
      <c r="F9" s="1">
        <v>14.312631451408379</v>
      </c>
      <c r="G9" s="1">
        <v>79.202996773645282</v>
      </c>
    </row>
    <row r="10" spans="1:7" x14ac:dyDescent="0.25">
      <c r="A10">
        <v>2018</v>
      </c>
      <c r="B10">
        <v>2</v>
      </c>
      <c r="C10" t="s">
        <v>8</v>
      </c>
      <c r="D10" s="1">
        <v>5.3997580644791014</v>
      </c>
      <c r="E10" s="1">
        <v>94.086693547666073</v>
      </c>
      <c r="F10" s="1">
        <v>12.09873064502608</v>
      </c>
      <c r="G10" s="1">
        <v>70.216490321792662</v>
      </c>
    </row>
    <row r="11" spans="1:7" x14ac:dyDescent="0.25">
      <c r="A11">
        <v>2018</v>
      </c>
      <c r="B11">
        <v>3</v>
      </c>
      <c r="C11" t="s">
        <v>8</v>
      </c>
      <c r="D11" s="1">
        <v>63.40625</v>
      </c>
      <c r="E11" s="1">
        <v>16.46108064497821</v>
      </c>
      <c r="F11" s="1">
        <v>36.664357257541269</v>
      </c>
      <c r="G11" s="1">
        <v>33.63067499967292</v>
      </c>
    </row>
    <row r="12" spans="1:7" x14ac:dyDescent="0.25">
      <c r="A12">
        <v>2018</v>
      </c>
      <c r="B12">
        <v>4</v>
      </c>
      <c r="C12" t="s">
        <v>8</v>
      </c>
      <c r="D12" s="1">
        <v>101.04092741850764</v>
      </c>
      <c r="E12" s="1">
        <v>0</v>
      </c>
      <c r="F12" s="1">
        <v>92.402950805611908</v>
      </c>
      <c r="G12" s="1">
        <v>3.9958209676842671</v>
      </c>
    </row>
    <row r="13" spans="1:7" x14ac:dyDescent="0.25">
      <c r="A13">
        <v>2018</v>
      </c>
      <c r="B13">
        <v>5</v>
      </c>
      <c r="C13" t="s">
        <v>8</v>
      </c>
      <c r="D13" s="1">
        <v>144.94259677268565</v>
      </c>
      <c r="E13" s="1">
        <v>0</v>
      </c>
      <c r="F13" s="1">
        <v>193.90040322393179</v>
      </c>
      <c r="G13" s="1">
        <v>0</v>
      </c>
    </row>
    <row r="14" spans="1:7" x14ac:dyDescent="0.25">
      <c r="A14">
        <v>2018</v>
      </c>
      <c r="B14">
        <v>6</v>
      </c>
      <c r="C14" t="s">
        <v>8</v>
      </c>
      <c r="D14" s="1">
        <v>351.58970161154866</v>
      </c>
      <c r="E14" s="1">
        <v>0</v>
      </c>
      <c r="F14" s="1">
        <v>337.3032508045435</v>
      </c>
      <c r="G14" s="1">
        <v>0</v>
      </c>
    </row>
    <row r="15" spans="1:7" x14ac:dyDescent="0.25">
      <c r="A15">
        <v>2018</v>
      </c>
      <c r="B15">
        <v>7</v>
      </c>
      <c r="C15" t="s">
        <v>8</v>
      </c>
      <c r="D15" s="1">
        <v>388.20987902954221</v>
      </c>
      <c r="E15" s="1">
        <v>0</v>
      </c>
      <c r="F15" s="1">
        <v>442.88324757665396</v>
      </c>
      <c r="G15" s="1">
        <v>0</v>
      </c>
    </row>
    <row r="16" spans="1:7" x14ac:dyDescent="0.25">
      <c r="A16">
        <v>2018</v>
      </c>
      <c r="B16">
        <v>8</v>
      </c>
      <c r="C16" t="s">
        <v>8</v>
      </c>
      <c r="D16" s="1">
        <v>423.27558064460754</v>
      </c>
      <c r="E16" s="1">
        <v>0</v>
      </c>
      <c r="F16" s="1">
        <v>482.58946854621172</v>
      </c>
      <c r="G16" s="1">
        <v>0</v>
      </c>
    </row>
    <row r="17" spans="1:7" x14ac:dyDescent="0.25">
      <c r="A17">
        <v>2018</v>
      </c>
      <c r="B17">
        <v>9</v>
      </c>
      <c r="C17" t="s">
        <v>8</v>
      </c>
      <c r="D17" s="1">
        <v>431.91519354656339</v>
      </c>
      <c r="E17" s="1">
        <v>0</v>
      </c>
      <c r="F17" s="1">
        <v>460.67463225498796</v>
      </c>
      <c r="G17" s="1">
        <v>0</v>
      </c>
    </row>
    <row r="18" spans="1:7" x14ac:dyDescent="0.25">
      <c r="A18">
        <v>2018</v>
      </c>
      <c r="B18">
        <v>10</v>
      </c>
      <c r="C18" t="s">
        <v>8</v>
      </c>
      <c r="D18" s="1">
        <v>316.36037096753716</v>
      </c>
      <c r="E18" s="1">
        <v>0.71996774193394231</v>
      </c>
      <c r="F18" s="1">
        <v>323.587865319103</v>
      </c>
      <c r="G18" s="1">
        <v>7.1996774193394231E-2</v>
      </c>
    </row>
    <row r="19" spans="1:7" x14ac:dyDescent="0.25">
      <c r="A19">
        <v>2018</v>
      </c>
      <c r="B19">
        <v>11</v>
      </c>
      <c r="C19" t="s">
        <v>8</v>
      </c>
      <c r="D19" s="1">
        <v>109.23874193523079</v>
      </c>
      <c r="E19" s="1">
        <v>11.895830645109527</v>
      </c>
      <c r="F19" s="1">
        <v>145.89328145049512</v>
      </c>
      <c r="G19" s="1">
        <v>3.6243830644816626</v>
      </c>
    </row>
    <row r="20" spans="1:7" x14ac:dyDescent="0.25">
      <c r="A20">
        <v>2018</v>
      </c>
      <c r="B20">
        <v>12</v>
      </c>
      <c r="C20" t="s">
        <v>8</v>
      </c>
      <c r="D20" s="1">
        <v>18.097370967734605</v>
      </c>
      <c r="E20" s="1">
        <v>27.391499999910593</v>
      </c>
      <c r="F20" s="1">
        <v>36.536726612597704</v>
      </c>
      <c r="G20" s="1">
        <v>35.589314515702426</v>
      </c>
    </row>
    <row r="21" spans="1:7" x14ac:dyDescent="0.25">
      <c r="A21">
        <v>2018</v>
      </c>
      <c r="B21">
        <v>1</v>
      </c>
      <c r="C21" t="s">
        <v>9</v>
      </c>
      <c r="D21" s="1">
        <v>2.405346774175996</v>
      </c>
      <c r="E21" s="1">
        <v>136.53206451609731</v>
      </c>
      <c r="F21" s="1">
        <v>11.630751612829044</v>
      </c>
      <c r="G21" s="1">
        <v>72.97363951522857</v>
      </c>
    </row>
    <row r="22" spans="1:7" x14ac:dyDescent="0.25">
      <c r="A22">
        <v>2018</v>
      </c>
      <c r="B22">
        <v>2</v>
      </c>
      <c r="C22" t="s">
        <v>9</v>
      </c>
      <c r="D22" s="1">
        <v>8.2141774193150923</v>
      </c>
      <c r="E22" s="1">
        <v>80.980008063837886</v>
      </c>
      <c r="F22" s="1">
        <v>18.113733870675787</v>
      </c>
      <c r="G22" s="1">
        <v>57.788865322247148</v>
      </c>
    </row>
    <row r="23" spans="1:7" x14ac:dyDescent="0.25">
      <c r="A23">
        <v>2018</v>
      </c>
      <c r="B23">
        <v>3</v>
      </c>
      <c r="C23" t="s">
        <v>9</v>
      </c>
      <c r="D23" s="1">
        <v>85.921604838222265</v>
      </c>
      <c r="E23" s="1">
        <v>13.008508064434864</v>
      </c>
      <c r="F23" s="1">
        <v>69.287077418528497</v>
      </c>
      <c r="G23" s="1">
        <v>27.003699193242937</v>
      </c>
    </row>
    <row r="24" spans="1:7" x14ac:dyDescent="0.25">
      <c r="A24">
        <v>2018</v>
      </c>
      <c r="B24">
        <v>4</v>
      </c>
      <c r="C24" t="s">
        <v>9</v>
      </c>
      <c r="D24" s="1">
        <v>170.61599193513393</v>
      </c>
      <c r="E24" s="1">
        <v>0</v>
      </c>
      <c r="F24" s="1">
        <v>171.17887580394745</v>
      </c>
      <c r="G24" s="1">
        <v>3.3691217741579749</v>
      </c>
    </row>
    <row r="25" spans="1:7" x14ac:dyDescent="0.25">
      <c r="A25">
        <v>2018</v>
      </c>
      <c r="B25">
        <v>5</v>
      </c>
      <c r="C25" t="s">
        <v>9</v>
      </c>
      <c r="D25" s="1">
        <v>248.55249999836087</v>
      </c>
      <c r="E25" s="1">
        <v>0</v>
      </c>
      <c r="F25" s="1">
        <v>303.86893064156175</v>
      </c>
      <c r="G25" s="1">
        <v>0</v>
      </c>
    </row>
    <row r="26" spans="1:7" x14ac:dyDescent="0.25">
      <c r="A26">
        <v>2018</v>
      </c>
      <c r="B26">
        <v>6</v>
      </c>
      <c r="C26" t="s">
        <v>9</v>
      </c>
      <c r="D26" s="1">
        <v>528.24360483139753</v>
      </c>
      <c r="E26" s="1">
        <v>0</v>
      </c>
      <c r="F26" s="1">
        <v>461.94766612350941</v>
      </c>
      <c r="G26" s="1">
        <v>0</v>
      </c>
    </row>
    <row r="27" spans="1:7" x14ac:dyDescent="0.25">
      <c r="A27">
        <v>2018</v>
      </c>
      <c r="B27">
        <v>7</v>
      </c>
      <c r="C27" t="s">
        <v>9</v>
      </c>
      <c r="D27" s="1">
        <v>561.18212902545929</v>
      </c>
      <c r="E27" s="1">
        <v>0</v>
      </c>
      <c r="F27" s="1">
        <v>574.53098547458649</v>
      </c>
      <c r="G27" s="1">
        <v>0</v>
      </c>
    </row>
    <row r="28" spans="1:7" x14ac:dyDescent="0.25">
      <c r="A28">
        <v>2018</v>
      </c>
      <c r="B28">
        <v>8</v>
      </c>
      <c r="C28" t="s">
        <v>9</v>
      </c>
      <c r="D28" s="1">
        <v>609.53450806438923</v>
      </c>
      <c r="E28" s="1">
        <v>0</v>
      </c>
      <c r="F28" s="1">
        <v>616.52310402691364</v>
      </c>
      <c r="G28" s="1">
        <v>0</v>
      </c>
    </row>
    <row r="29" spans="1:7" x14ac:dyDescent="0.25">
      <c r="A29">
        <v>2018</v>
      </c>
      <c r="B29">
        <v>9</v>
      </c>
      <c r="C29" t="s">
        <v>9</v>
      </c>
      <c r="D29" s="1">
        <v>550.10444354265928</v>
      </c>
      <c r="E29" s="1">
        <v>0</v>
      </c>
      <c r="F29" s="1">
        <v>564.97341370582581</v>
      </c>
      <c r="G29" s="1">
        <v>0</v>
      </c>
    </row>
    <row r="30" spans="1:7" x14ac:dyDescent="0.25">
      <c r="A30">
        <v>2018</v>
      </c>
      <c r="B30">
        <v>10</v>
      </c>
      <c r="C30" t="s">
        <v>9</v>
      </c>
      <c r="D30" s="1">
        <v>318.35664515942335</v>
      </c>
      <c r="E30" s="1">
        <v>1.4399354838678846</v>
      </c>
      <c r="F30" s="1">
        <v>375.60226209461689</v>
      </c>
      <c r="G30" s="1">
        <v>0.14399354838678846</v>
      </c>
    </row>
    <row r="31" spans="1:7" x14ac:dyDescent="0.25">
      <c r="A31">
        <v>2018</v>
      </c>
      <c r="B31">
        <v>11</v>
      </c>
      <c r="C31" t="s">
        <v>9</v>
      </c>
      <c r="D31" s="1">
        <v>109.79508064500988</v>
      </c>
      <c r="E31" s="1">
        <v>13.663024193490855</v>
      </c>
      <c r="F31" s="1">
        <v>178.39818870835006</v>
      </c>
      <c r="G31" s="1">
        <v>3.5000249999575317</v>
      </c>
    </row>
    <row r="32" spans="1:7" x14ac:dyDescent="0.25">
      <c r="A32">
        <v>2018</v>
      </c>
      <c r="B32">
        <v>12</v>
      </c>
      <c r="C32" t="s">
        <v>9</v>
      </c>
      <c r="D32" s="1">
        <v>17.491943548200652</v>
      </c>
      <c r="E32" s="1">
        <v>23.873475806321949</v>
      </c>
      <c r="F32" s="1">
        <v>41.769583064131439</v>
      </c>
      <c r="G32" s="1">
        <v>30.937341128708795</v>
      </c>
    </row>
    <row r="33" spans="1:7" x14ac:dyDescent="0.25">
      <c r="A33">
        <v>2018</v>
      </c>
      <c r="B33">
        <v>1</v>
      </c>
      <c r="C33" t="s">
        <v>10</v>
      </c>
      <c r="D33" s="1">
        <v>27.178782257949933</v>
      </c>
      <c r="E33" s="1">
        <v>79.916419354267418</v>
      </c>
      <c r="F33" s="1">
        <v>36.628358870744705</v>
      </c>
      <c r="G33" s="1">
        <v>42.322649192996323</v>
      </c>
    </row>
    <row r="34" spans="1:7" x14ac:dyDescent="0.25">
      <c r="A34">
        <v>2018</v>
      </c>
      <c r="B34">
        <v>2</v>
      </c>
      <c r="C34" t="s">
        <v>10</v>
      </c>
      <c r="D34" s="1">
        <v>31.629491935251281</v>
      </c>
      <c r="E34" s="1">
        <v>53.866677419282496</v>
      </c>
      <c r="F34" s="1">
        <v>35.896937096491456</v>
      </c>
      <c r="G34" s="1">
        <v>36.306009677238762</v>
      </c>
    </row>
    <row r="35" spans="1:7" x14ac:dyDescent="0.25">
      <c r="A35">
        <v>2018</v>
      </c>
      <c r="B35">
        <v>3</v>
      </c>
      <c r="C35" t="s">
        <v>10</v>
      </c>
      <c r="D35" s="1">
        <v>166.8361612893641</v>
      </c>
      <c r="E35" s="1">
        <v>4.6634274193202145</v>
      </c>
      <c r="F35" s="1">
        <v>100.15078548248857</v>
      </c>
      <c r="G35" s="1">
        <v>14.160456451470964</v>
      </c>
    </row>
    <row r="36" spans="1:7" x14ac:dyDescent="0.25">
      <c r="A36">
        <v>2018</v>
      </c>
      <c r="B36">
        <v>4</v>
      </c>
      <c r="C36" t="s">
        <v>10</v>
      </c>
      <c r="D36" s="1">
        <v>233.28591128997505</v>
      </c>
      <c r="E36" s="1">
        <v>0</v>
      </c>
      <c r="F36" s="1">
        <v>191.81576935388148</v>
      </c>
      <c r="G36" s="1">
        <v>1.2092185483779758</v>
      </c>
    </row>
    <row r="37" spans="1:7" x14ac:dyDescent="0.25">
      <c r="A37">
        <v>2018</v>
      </c>
      <c r="B37">
        <v>5</v>
      </c>
      <c r="C37" t="s">
        <v>10</v>
      </c>
      <c r="D37" s="1">
        <v>289.37794354557991</v>
      </c>
      <c r="E37" s="1">
        <v>0</v>
      </c>
      <c r="F37" s="1">
        <v>307.02697096392512</v>
      </c>
      <c r="G37" s="1">
        <v>0</v>
      </c>
    </row>
    <row r="38" spans="1:7" x14ac:dyDescent="0.25">
      <c r="A38">
        <v>2018</v>
      </c>
      <c r="B38">
        <v>6</v>
      </c>
      <c r="C38" t="s">
        <v>10</v>
      </c>
      <c r="D38" s="1">
        <v>519.48945160955191</v>
      </c>
      <c r="E38" s="1">
        <v>0</v>
      </c>
      <c r="F38" s="1">
        <v>445.14296451210976</v>
      </c>
      <c r="G38" s="1">
        <v>0</v>
      </c>
    </row>
    <row r="39" spans="1:7" x14ac:dyDescent="0.25">
      <c r="A39">
        <v>2018</v>
      </c>
      <c r="B39">
        <v>7</v>
      </c>
      <c r="C39" t="s">
        <v>10</v>
      </c>
      <c r="D39" s="1">
        <v>541.75936289876699</v>
      </c>
      <c r="E39" s="1">
        <v>0</v>
      </c>
      <c r="F39" s="1">
        <v>528.31723789870739</v>
      </c>
      <c r="G39" s="1">
        <v>0</v>
      </c>
    </row>
    <row r="40" spans="1:7" x14ac:dyDescent="0.25">
      <c r="A40">
        <v>2018</v>
      </c>
      <c r="B40">
        <v>8</v>
      </c>
      <c r="C40" t="s">
        <v>10</v>
      </c>
      <c r="D40" s="1">
        <v>616.40692741423845</v>
      </c>
      <c r="E40" s="1">
        <v>0</v>
      </c>
      <c r="F40" s="1">
        <v>593.30087176710367</v>
      </c>
      <c r="G40" s="1">
        <v>0</v>
      </c>
    </row>
    <row r="41" spans="1:7" x14ac:dyDescent="0.25">
      <c r="A41">
        <v>2018</v>
      </c>
      <c r="B41">
        <v>9</v>
      </c>
      <c r="C41" t="s">
        <v>10</v>
      </c>
      <c r="D41" s="1">
        <v>614.95062902569771</v>
      </c>
      <c r="E41" s="1">
        <v>0</v>
      </c>
      <c r="F41" s="1">
        <v>557.51192983239889</v>
      </c>
      <c r="G41" s="1">
        <v>0</v>
      </c>
    </row>
    <row r="42" spans="1:7" x14ac:dyDescent="0.25">
      <c r="A42">
        <v>2018</v>
      </c>
      <c r="B42">
        <v>10</v>
      </c>
      <c r="C42" t="s">
        <v>10</v>
      </c>
      <c r="D42" s="1">
        <v>450.50345161184669</v>
      </c>
      <c r="E42" s="1">
        <v>0</v>
      </c>
      <c r="F42" s="1">
        <v>409.02840080484748</v>
      </c>
      <c r="G42" s="1">
        <v>0</v>
      </c>
    </row>
    <row r="43" spans="1:7" x14ac:dyDescent="0.25">
      <c r="A43">
        <v>2018</v>
      </c>
      <c r="B43">
        <v>11</v>
      </c>
      <c r="C43" t="s">
        <v>10</v>
      </c>
      <c r="D43" s="1">
        <v>182.80635483749211</v>
      </c>
      <c r="E43" s="1">
        <v>5.1052258064155467</v>
      </c>
      <c r="F43" s="1">
        <v>217.86878386884928</v>
      </c>
      <c r="G43" s="1">
        <v>1.9848201612767298</v>
      </c>
    </row>
    <row r="44" spans="1:7" x14ac:dyDescent="0.25">
      <c r="A44">
        <v>2018</v>
      </c>
      <c r="B44">
        <v>12</v>
      </c>
      <c r="C44" t="s">
        <v>10</v>
      </c>
      <c r="D44" s="1">
        <v>48.368741935119033</v>
      </c>
      <c r="E44" s="1">
        <v>7.4451209676917642</v>
      </c>
      <c r="F44" s="1">
        <v>72.700379031710327</v>
      </c>
      <c r="G44" s="1">
        <v>17.503397580469027</v>
      </c>
    </row>
    <row r="45" spans="1:7" x14ac:dyDescent="0.25">
      <c r="A45" t="s">
        <v>11</v>
      </c>
    </row>
    <row r="46" spans="1:7" x14ac:dyDescent="0.25">
      <c r="A46">
        <v>2018</v>
      </c>
      <c r="B46">
        <v>1</v>
      </c>
      <c r="D46" s="1">
        <v>11.618407274945639</v>
      </c>
      <c r="E46" s="1">
        <v>117.34093524422497</v>
      </c>
      <c r="F46" s="1">
        <v>21.870416898513213</v>
      </c>
      <c r="G46" s="1">
        <v>64.262712546624243</v>
      </c>
    </row>
    <row r="47" spans="1:7" x14ac:dyDescent="0.25">
      <c r="A47">
        <v>2018</v>
      </c>
      <c r="B47">
        <v>2</v>
      </c>
      <c r="D47" s="1">
        <v>15.654144563246518</v>
      </c>
      <c r="E47" s="1">
        <v>76.342849649488926</v>
      </c>
      <c r="F47" s="1">
        <v>22.197903127176687</v>
      </c>
      <c r="G47" s="1">
        <v>54.939800693653524</v>
      </c>
    </row>
    <row r="48" spans="1:7" x14ac:dyDescent="0.25">
      <c r="A48">
        <v>2018</v>
      </c>
      <c r="B48">
        <v>3</v>
      </c>
      <c r="D48" s="1">
        <v>106.46517044026405</v>
      </c>
      <c r="E48" s="1">
        <v>11.346386117278598</v>
      </c>
      <c r="F48" s="1">
        <v>67.414849690161645</v>
      </c>
      <c r="G48" s="1">
        <v>24.976182146696374</v>
      </c>
    </row>
    <row r="49" spans="1:7" x14ac:dyDescent="0.25">
      <c r="A49">
        <v>2018</v>
      </c>
      <c r="B49">
        <v>4</v>
      </c>
      <c r="D49" s="1">
        <v>165.46790088526905</v>
      </c>
      <c r="E49" s="1">
        <v>0</v>
      </c>
      <c r="F49" s="1">
        <v>146.91800415702164</v>
      </c>
      <c r="G49" s="1">
        <v>2.8311134268005844</v>
      </c>
    </row>
    <row r="50" spans="1:7" x14ac:dyDescent="0.25">
      <c r="A50">
        <v>2018</v>
      </c>
      <c r="B50">
        <v>5</v>
      </c>
      <c r="D50" s="1">
        <v>221.655303504318</v>
      </c>
      <c r="E50" s="1">
        <v>0</v>
      </c>
      <c r="F50" s="1">
        <v>260.6061019487679</v>
      </c>
      <c r="G50" s="1">
        <v>0</v>
      </c>
    </row>
    <row r="51" spans="1:7" x14ac:dyDescent="0.25">
      <c r="A51">
        <v>2018</v>
      </c>
      <c r="B51">
        <v>6</v>
      </c>
      <c r="D51" s="1">
        <v>453.68123491853476</v>
      </c>
      <c r="E51" s="1">
        <v>0</v>
      </c>
      <c r="F51" s="1">
        <v>405.44465328752995</v>
      </c>
      <c r="G51" s="1">
        <v>0</v>
      </c>
    </row>
    <row r="52" spans="1:7" x14ac:dyDescent="0.25">
      <c r="A52">
        <v>2018</v>
      </c>
      <c r="B52">
        <v>7</v>
      </c>
      <c r="D52" s="1">
        <v>484.19908307865262</v>
      </c>
      <c r="E52" s="1">
        <v>0</v>
      </c>
      <c r="F52" s="1">
        <v>504.42688110470772</v>
      </c>
      <c r="G52" s="1">
        <v>0</v>
      </c>
    </row>
    <row r="53" spans="1:7" x14ac:dyDescent="0.25">
      <c r="A53">
        <v>2018</v>
      </c>
      <c r="B53">
        <v>8</v>
      </c>
      <c r="D53" s="1">
        <v>536.81623799353838</v>
      </c>
      <c r="E53" s="1">
        <v>0</v>
      </c>
      <c r="F53" s="1">
        <v>553.91721919178963</v>
      </c>
      <c r="G53" s="1">
        <v>0</v>
      </c>
    </row>
    <row r="54" spans="1:7" x14ac:dyDescent="0.25">
      <c r="A54">
        <v>2018</v>
      </c>
      <c r="B54">
        <v>9</v>
      </c>
      <c r="D54" s="1">
        <v>526.1167690679431</v>
      </c>
      <c r="E54" s="1">
        <v>0</v>
      </c>
      <c r="F54" s="1">
        <v>520.11093997955322</v>
      </c>
      <c r="G54" s="1">
        <v>0</v>
      </c>
    </row>
    <row r="55" spans="1:7" x14ac:dyDescent="0.25">
      <c r="A55">
        <v>2018</v>
      </c>
      <c r="B55">
        <v>10</v>
      </c>
      <c r="D55" s="1">
        <v>365.9543438591063</v>
      </c>
      <c r="E55" s="1">
        <v>0.62168494547950104</v>
      </c>
      <c r="F55" s="1">
        <v>366.83574715256691</v>
      </c>
      <c r="G55" s="1">
        <v>6.2168494548132003E-2</v>
      </c>
    </row>
    <row r="56" spans="1:7" x14ac:dyDescent="0.25">
      <c r="A56">
        <v>2018</v>
      </c>
      <c r="B56">
        <v>11</v>
      </c>
      <c r="D56" s="1">
        <v>136.31365837343037</v>
      </c>
      <c r="E56" s="1">
        <v>9.8145657322602347</v>
      </c>
      <c r="F56" s="1">
        <v>179.72616581991315</v>
      </c>
      <c r="G56" s="1">
        <v>2.9952525725821033</v>
      </c>
    </row>
    <row r="57" spans="1:7" x14ac:dyDescent="0.25">
      <c r="A57">
        <v>2018</v>
      </c>
      <c r="B57">
        <v>12</v>
      </c>
      <c r="D57" s="1">
        <v>29.046356326900423</v>
      </c>
      <c r="E57" s="1">
        <v>19.276969224913046</v>
      </c>
      <c r="F57" s="1">
        <v>50.985516612417996</v>
      </c>
      <c r="G57" s="1">
        <v>27.895693556405604</v>
      </c>
    </row>
    <row r="59" spans="1:7" x14ac:dyDescent="0.25">
      <c r="A59" t="s">
        <v>12</v>
      </c>
    </row>
    <row r="60" spans="1:7" x14ac:dyDescent="0.25">
      <c r="B60" t="s">
        <v>8</v>
      </c>
      <c r="C60">
        <v>0.40393000000000001</v>
      </c>
    </row>
    <row r="61" spans="1:7" x14ac:dyDescent="0.25">
      <c r="B61" t="s">
        <v>9</v>
      </c>
      <c r="C61">
        <v>0.22978000000000001</v>
      </c>
    </row>
    <row r="62" spans="1:7" x14ac:dyDescent="0.25">
      <c r="B62" t="s">
        <v>10</v>
      </c>
      <c r="C62">
        <v>0.36629</v>
      </c>
    </row>
  </sheetData>
  <mergeCells count="5">
    <mergeCell ref="A1:E1"/>
    <mergeCell ref="A2:E2"/>
    <mergeCell ref="A3:E3"/>
    <mergeCell ref="D7:E7"/>
    <mergeCell ref="F7:G7"/>
  </mergeCells>
  <pageMargins left="0.7" right="0.7" top="0.75" bottom="0.75" header="0.3" footer="0.3"/>
  <pageSetup scale="82" orientation="portrait" r:id="rId1"/>
  <headerFooter>
    <oddHeader>&amp;RSchedule H-5.2
Page &amp;P of &amp;N</oddHeader>
    <oddFooter>&amp;LSponsored by: Chad Burnett</oddFooter>
  </headerFooter>
  <rowBreaks count="1" manualBreakCount="1">
    <brk id="44"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30"/>
  <sheetViews>
    <sheetView tabSelected="1" view="pageBreakPreview" zoomScale="60" zoomScaleNormal="100" workbookViewId="0">
      <selection sqref="A1:D1"/>
    </sheetView>
  </sheetViews>
  <sheetFormatPr defaultRowHeight="15" x14ac:dyDescent="0.25"/>
  <cols>
    <col min="9" max="10" width="11.85546875" customWidth="1"/>
    <col min="265" max="266" width="11.85546875" customWidth="1"/>
    <col min="521" max="522" width="11.85546875" customWidth="1"/>
    <col min="777" max="778" width="11.85546875" customWidth="1"/>
    <col min="1033" max="1034" width="11.85546875" customWidth="1"/>
    <col min="1289" max="1290" width="11.85546875" customWidth="1"/>
    <col min="1545" max="1546" width="11.85546875" customWidth="1"/>
    <col min="1801" max="1802" width="11.85546875" customWidth="1"/>
    <col min="2057" max="2058" width="11.85546875" customWidth="1"/>
    <col min="2313" max="2314" width="11.85546875" customWidth="1"/>
    <col min="2569" max="2570" width="11.85546875" customWidth="1"/>
    <col min="2825" max="2826" width="11.85546875" customWidth="1"/>
    <col min="3081" max="3082" width="11.85546875" customWidth="1"/>
    <col min="3337" max="3338" width="11.85546875" customWidth="1"/>
    <col min="3593" max="3594" width="11.85546875" customWidth="1"/>
    <col min="3849" max="3850" width="11.85546875" customWidth="1"/>
    <col min="4105" max="4106" width="11.85546875" customWidth="1"/>
    <col min="4361" max="4362" width="11.85546875" customWidth="1"/>
    <col min="4617" max="4618" width="11.85546875" customWidth="1"/>
    <col min="4873" max="4874" width="11.85546875" customWidth="1"/>
    <col min="5129" max="5130" width="11.85546875" customWidth="1"/>
    <col min="5385" max="5386" width="11.85546875" customWidth="1"/>
    <col min="5641" max="5642" width="11.85546875" customWidth="1"/>
    <col min="5897" max="5898" width="11.85546875" customWidth="1"/>
    <col min="6153" max="6154" width="11.85546875" customWidth="1"/>
    <col min="6409" max="6410" width="11.85546875" customWidth="1"/>
    <col min="6665" max="6666" width="11.85546875" customWidth="1"/>
    <col min="6921" max="6922" width="11.85546875" customWidth="1"/>
    <col min="7177" max="7178" width="11.85546875" customWidth="1"/>
    <col min="7433" max="7434" width="11.85546875" customWidth="1"/>
    <col min="7689" max="7690" width="11.85546875" customWidth="1"/>
    <col min="7945" max="7946" width="11.85546875" customWidth="1"/>
    <col min="8201" max="8202" width="11.85546875" customWidth="1"/>
    <col min="8457" max="8458" width="11.85546875" customWidth="1"/>
    <col min="8713" max="8714" width="11.85546875" customWidth="1"/>
    <col min="8969" max="8970" width="11.85546875" customWidth="1"/>
    <col min="9225" max="9226" width="11.85546875" customWidth="1"/>
    <col min="9481" max="9482" width="11.85546875" customWidth="1"/>
    <col min="9737" max="9738" width="11.85546875" customWidth="1"/>
    <col min="9993" max="9994" width="11.85546875" customWidth="1"/>
    <col min="10249" max="10250" width="11.85546875" customWidth="1"/>
    <col min="10505" max="10506" width="11.85546875" customWidth="1"/>
    <col min="10761" max="10762" width="11.85546875" customWidth="1"/>
    <col min="11017" max="11018" width="11.85546875" customWidth="1"/>
    <col min="11273" max="11274" width="11.85546875" customWidth="1"/>
    <col min="11529" max="11530" width="11.85546875" customWidth="1"/>
    <col min="11785" max="11786" width="11.85546875" customWidth="1"/>
    <col min="12041" max="12042" width="11.85546875" customWidth="1"/>
    <col min="12297" max="12298" width="11.85546875" customWidth="1"/>
    <col min="12553" max="12554" width="11.85546875" customWidth="1"/>
    <col min="12809" max="12810" width="11.85546875" customWidth="1"/>
    <col min="13065" max="13066" width="11.85546875" customWidth="1"/>
    <col min="13321" max="13322" width="11.85546875" customWidth="1"/>
    <col min="13577" max="13578" width="11.85546875" customWidth="1"/>
    <col min="13833" max="13834" width="11.85546875" customWidth="1"/>
    <col min="14089" max="14090" width="11.85546875" customWidth="1"/>
    <col min="14345" max="14346" width="11.85546875" customWidth="1"/>
    <col min="14601" max="14602" width="11.85546875" customWidth="1"/>
    <col min="14857" max="14858" width="11.85546875" customWidth="1"/>
    <col min="15113" max="15114" width="11.85546875" customWidth="1"/>
    <col min="15369" max="15370" width="11.85546875" customWidth="1"/>
    <col min="15625" max="15626" width="11.85546875" customWidth="1"/>
    <col min="15881" max="15882" width="11.85546875" customWidth="1"/>
    <col min="16137" max="16138" width="11.85546875" customWidth="1"/>
  </cols>
  <sheetData>
    <row r="1" spans="1:10" x14ac:dyDescent="0.25">
      <c r="A1" s="22" t="s">
        <v>53</v>
      </c>
      <c r="B1" s="22"/>
      <c r="C1" s="22"/>
      <c r="D1" s="22"/>
    </row>
    <row r="2" spans="1:10" x14ac:dyDescent="0.25">
      <c r="A2" s="22" t="s">
        <v>54</v>
      </c>
      <c r="B2" s="22"/>
      <c r="C2" s="22"/>
      <c r="D2" s="22"/>
    </row>
    <row r="4" spans="1:10" ht="60" x14ac:dyDescent="0.25">
      <c r="A4" s="13" t="s">
        <v>20</v>
      </c>
      <c r="B4" s="13" t="s">
        <v>21</v>
      </c>
      <c r="C4" s="13" t="s">
        <v>22</v>
      </c>
      <c r="D4" s="13" t="s">
        <v>23</v>
      </c>
      <c r="E4" s="14" t="s">
        <v>24</v>
      </c>
      <c r="F4" s="14" t="s">
        <v>25</v>
      </c>
      <c r="G4" s="14" t="s">
        <v>26</v>
      </c>
      <c r="I4" s="15" t="s">
        <v>27</v>
      </c>
      <c r="J4" s="15" t="s">
        <v>28</v>
      </c>
    </row>
    <row r="5" spans="1:10" x14ac:dyDescent="0.25">
      <c r="A5" t="s">
        <v>29</v>
      </c>
      <c r="B5">
        <v>2015</v>
      </c>
      <c r="C5">
        <v>6</v>
      </c>
      <c r="D5">
        <v>2</v>
      </c>
      <c r="E5">
        <v>73.5</v>
      </c>
      <c r="F5">
        <v>8.5</v>
      </c>
      <c r="G5">
        <v>0</v>
      </c>
      <c r="I5" s="16"/>
      <c r="J5" s="16"/>
    </row>
    <row r="6" spans="1:10" x14ac:dyDescent="0.25">
      <c r="A6" t="s">
        <v>29</v>
      </c>
      <c r="B6">
        <v>2015</v>
      </c>
      <c r="C6">
        <v>6</v>
      </c>
      <c r="D6">
        <v>3</v>
      </c>
      <c r="E6">
        <v>75</v>
      </c>
      <c r="F6">
        <v>10</v>
      </c>
      <c r="G6">
        <v>0</v>
      </c>
      <c r="I6" s="16"/>
      <c r="J6" s="16"/>
    </row>
    <row r="7" spans="1:10" x14ac:dyDescent="0.25">
      <c r="A7" t="s">
        <v>29</v>
      </c>
      <c r="B7">
        <v>2015</v>
      </c>
      <c r="C7">
        <v>6</v>
      </c>
      <c r="D7">
        <v>4</v>
      </c>
      <c r="E7">
        <v>76.5</v>
      </c>
      <c r="F7">
        <v>11.5</v>
      </c>
      <c r="G7">
        <v>0</v>
      </c>
      <c r="I7" s="16"/>
      <c r="J7" s="16"/>
    </row>
    <row r="8" spans="1:10" x14ac:dyDescent="0.25">
      <c r="A8" t="s">
        <v>29</v>
      </c>
      <c r="B8">
        <v>2015</v>
      </c>
      <c r="C8">
        <v>6</v>
      </c>
      <c r="D8">
        <v>5</v>
      </c>
      <c r="E8">
        <v>78.5</v>
      </c>
      <c r="F8">
        <v>13.5</v>
      </c>
      <c r="G8">
        <v>0</v>
      </c>
      <c r="I8" s="16"/>
      <c r="J8" s="16"/>
    </row>
    <row r="9" spans="1:10" x14ac:dyDescent="0.25">
      <c r="A9" t="s">
        <v>29</v>
      </c>
      <c r="B9">
        <v>2015</v>
      </c>
      <c r="C9">
        <v>6</v>
      </c>
      <c r="D9">
        <v>6</v>
      </c>
      <c r="E9">
        <v>80</v>
      </c>
      <c r="F9">
        <v>15</v>
      </c>
      <c r="G9">
        <v>0</v>
      </c>
      <c r="I9" s="16"/>
      <c r="J9" s="16"/>
    </row>
    <row r="10" spans="1:10" x14ac:dyDescent="0.25">
      <c r="A10" t="s">
        <v>29</v>
      </c>
      <c r="B10">
        <v>2015</v>
      </c>
      <c r="C10">
        <v>6</v>
      </c>
      <c r="D10">
        <v>7</v>
      </c>
      <c r="E10">
        <v>81.5</v>
      </c>
      <c r="F10">
        <v>16.5</v>
      </c>
      <c r="G10">
        <v>0</v>
      </c>
      <c r="I10" s="16"/>
      <c r="J10" s="16"/>
    </row>
    <row r="11" spans="1:10" x14ac:dyDescent="0.25">
      <c r="A11" t="s">
        <v>29</v>
      </c>
      <c r="B11">
        <v>2015</v>
      </c>
      <c r="C11">
        <v>6</v>
      </c>
      <c r="D11">
        <v>8</v>
      </c>
      <c r="E11">
        <v>84</v>
      </c>
      <c r="F11">
        <v>19</v>
      </c>
      <c r="G11">
        <v>0</v>
      </c>
      <c r="I11" s="16"/>
      <c r="J11" s="16"/>
    </row>
    <row r="12" spans="1:10" x14ac:dyDescent="0.25">
      <c r="A12" t="s">
        <v>29</v>
      </c>
      <c r="B12">
        <v>2015</v>
      </c>
      <c r="C12">
        <v>6</v>
      </c>
      <c r="D12">
        <v>9</v>
      </c>
      <c r="E12">
        <v>85</v>
      </c>
      <c r="F12">
        <v>20</v>
      </c>
      <c r="G12">
        <v>0</v>
      </c>
      <c r="I12" s="16"/>
      <c r="J12" s="16"/>
    </row>
    <row r="13" spans="1:10" x14ac:dyDescent="0.25">
      <c r="A13" t="s">
        <v>29</v>
      </c>
      <c r="B13">
        <v>2015</v>
      </c>
      <c r="C13">
        <v>6</v>
      </c>
      <c r="D13">
        <v>10</v>
      </c>
      <c r="E13">
        <v>81.5</v>
      </c>
      <c r="F13">
        <v>16.5</v>
      </c>
      <c r="G13">
        <v>0</v>
      </c>
      <c r="I13" s="16"/>
      <c r="J13" s="16"/>
    </row>
    <row r="14" spans="1:10" x14ac:dyDescent="0.25">
      <c r="A14" t="s">
        <v>29</v>
      </c>
      <c r="B14">
        <v>2015</v>
      </c>
      <c r="C14">
        <v>6</v>
      </c>
      <c r="D14">
        <v>11</v>
      </c>
      <c r="E14">
        <v>83</v>
      </c>
      <c r="F14">
        <v>18</v>
      </c>
      <c r="G14">
        <v>0</v>
      </c>
      <c r="I14" s="16"/>
      <c r="J14" s="16"/>
    </row>
    <row r="15" spans="1:10" x14ac:dyDescent="0.25">
      <c r="A15" t="s">
        <v>29</v>
      </c>
      <c r="B15">
        <v>2015</v>
      </c>
      <c r="C15">
        <v>6</v>
      </c>
      <c r="D15">
        <v>12</v>
      </c>
      <c r="E15">
        <v>82</v>
      </c>
      <c r="F15">
        <v>17</v>
      </c>
      <c r="G15">
        <v>0</v>
      </c>
      <c r="I15" s="16"/>
      <c r="J15" s="16"/>
    </row>
    <row r="16" spans="1:10" x14ac:dyDescent="0.25">
      <c r="A16" t="s">
        <v>29</v>
      </c>
      <c r="B16">
        <v>2015</v>
      </c>
      <c r="C16">
        <v>6</v>
      </c>
      <c r="D16">
        <v>13</v>
      </c>
      <c r="E16">
        <v>80.5</v>
      </c>
      <c r="F16">
        <v>15.5</v>
      </c>
      <c r="G16">
        <v>0</v>
      </c>
      <c r="I16" s="16"/>
      <c r="J16" s="16"/>
    </row>
    <row r="17" spans="1:10" x14ac:dyDescent="0.25">
      <c r="A17" t="s">
        <v>29</v>
      </c>
      <c r="B17">
        <v>2015</v>
      </c>
      <c r="C17">
        <v>6</v>
      </c>
      <c r="D17">
        <v>14</v>
      </c>
      <c r="E17">
        <v>81</v>
      </c>
      <c r="F17">
        <v>16</v>
      </c>
      <c r="G17">
        <v>0</v>
      </c>
      <c r="I17" s="16"/>
      <c r="J17" s="16"/>
    </row>
    <row r="18" spans="1:10" x14ac:dyDescent="0.25">
      <c r="A18" t="s">
        <v>29</v>
      </c>
      <c r="B18">
        <v>2015</v>
      </c>
      <c r="C18">
        <v>6</v>
      </c>
      <c r="D18">
        <v>15</v>
      </c>
      <c r="E18">
        <v>82.5</v>
      </c>
      <c r="F18">
        <v>17.5</v>
      </c>
      <c r="G18">
        <v>0</v>
      </c>
      <c r="I18" s="16"/>
      <c r="J18" s="16"/>
    </row>
    <row r="19" spans="1:10" x14ac:dyDescent="0.25">
      <c r="A19" t="s">
        <v>29</v>
      </c>
      <c r="B19">
        <v>2015</v>
      </c>
      <c r="C19">
        <v>6</v>
      </c>
      <c r="D19">
        <v>16</v>
      </c>
      <c r="E19">
        <v>80</v>
      </c>
      <c r="F19">
        <v>15</v>
      </c>
      <c r="G19">
        <v>0</v>
      </c>
      <c r="I19" s="16"/>
      <c r="J19" s="16"/>
    </row>
    <row r="20" spans="1:10" x14ac:dyDescent="0.25">
      <c r="A20" t="s">
        <v>29</v>
      </c>
      <c r="B20">
        <v>2015</v>
      </c>
      <c r="C20">
        <v>6</v>
      </c>
      <c r="D20">
        <v>17</v>
      </c>
      <c r="E20">
        <v>78</v>
      </c>
      <c r="F20">
        <v>13</v>
      </c>
      <c r="G20">
        <v>0</v>
      </c>
      <c r="I20" s="16"/>
      <c r="J20" s="16"/>
    </row>
    <row r="21" spans="1:10" x14ac:dyDescent="0.25">
      <c r="A21" t="s">
        <v>29</v>
      </c>
      <c r="B21">
        <v>2015</v>
      </c>
      <c r="C21">
        <v>6</v>
      </c>
      <c r="D21">
        <v>18</v>
      </c>
      <c r="E21">
        <v>78</v>
      </c>
      <c r="F21">
        <v>13</v>
      </c>
      <c r="G21">
        <v>0</v>
      </c>
      <c r="I21" s="16"/>
      <c r="J21" s="16"/>
    </row>
    <row r="22" spans="1:10" x14ac:dyDescent="0.25">
      <c r="A22" t="s">
        <v>29</v>
      </c>
      <c r="B22">
        <v>2015</v>
      </c>
      <c r="C22">
        <v>6</v>
      </c>
      <c r="D22">
        <v>19</v>
      </c>
      <c r="E22">
        <v>82.5</v>
      </c>
      <c r="F22">
        <v>17.5</v>
      </c>
      <c r="G22">
        <v>0</v>
      </c>
      <c r="I22" s="16"/>
      <c r="J22" s="16"/>
    </row>
    <row r="23" spans="1:10" x14ac:dyDescent="0.25">
      <c r="A23" t="s">
        <v>29</v>
      </c>
      <c r="B23">
        <v>2015</v>
      </c>
      <c r="C23">
        <v>6</v>
      </c>
      <c r="D23">
        <v>20</v>
      </c>
      <c r="E23">
        <v>81</v>
      </c>
      <c r="F23">
        <v>16</v>
      </c>
      <c r="G23">
        <v>0</v>
      </c>
      <c r="I23" s="16"/>
      <c r="J23" s="16"/>
    </row>
    <row r="24" spans="1:10" x14ac:dyDescent="0.25">
      <c r="A24" t="s">
        <v>29</v>
      </c>
      <c r="B24">
        <v>2015</v>
      </c>
      <c r="C24">
        <v>6</v>
      </c>
      <c r="D24">
        <v>21</v>
      </c>
      <c r="E24">
        <v>80</v>
      </c>
      <c r="F24">
        <v>15</v>
      </c>
      <c r="G24">
        <v>0</v>
      </c>
      <c r="I24" s="16"/>
      <c r="J24" s="16"/>
    </row>
    <row r="25" spans="1:10" x14ac:dyDescent="0.25">
      <c r="A25" t="s">
        <v>29</v>
      </c>
      <c r="B25">
        <v>2015</v>
      </c>
      <c r="C25">
        <v>6</v>
      </c>
      <c r="D25">
        <v>22</v>
      </c>
      <c r="E25">
        <v>81.5</v>
      </c>
      <c r="F25">
        <v>16.5</v>
      </c>
      <c r="G25">
        <v>0</v>
      </c>
      <c r="I25" s="16"/>
      <c r="J25" s="16"/>
    </row>
    <row r="26" spans="1:10" x14ac:dyDescent="0.25">
      <c r="A26" t="s">
        <v>29</v>
      </c>
      <c r="B26">
        <v>2015</v>
      </c>
      <c r="C26">
        <v>6</v>
      </c>
      <c r="D26">
        <v>23</v>
      </c>
      <c r="E26">
        <v>84</v>
      </c>
      <c r="F26">
        <v>19</v>
      </c>
      <c r="G26">
        <v>0</v>
      </c>
      <c r="I26" s="16"/>
      <c r="J26" s="16"/>
    </row>
    <row r="27" spans="1:10" x14ac:dyDescent="0.25">
      <c r="A27" t="s">
        <v>29</v>
      </c>
      <c r="B27">
        <v>2015</v>
      </c>
      <c r="C27">
        <v>6</v>
      </c>
      <c r="D27">
        <v>24</v>
      </c>
      <c r="E27">
        <v>84.5</v>
      </c>
      <c r="F27">
        <v>19.5</v>
      </c>
      <c r="G27">
        <v>0</v>
      </c>
      <c r="I27" s="16"/>
      <c r="J27" s="16"/>
    </row>
    <row r="28" spans="1:10" x14ac:dyDescent="0.25">
      <c r="A28" t="s">
        <v>29</v>
      </c>
      <c r="B28">
        <v>2015</v>
      </c>
      <c r="C28">
        <v>6</v>
      </c>
      <c r="D28">
        <v>25</v>
      </c>
      <c r="E28">
        <v>85</v>
      </c>
      <c r="F28">
        <v>20</v>
      </c>
      <c r="G28">
        <v>0</v>
      </c>
      <c r="I28" s="16"/>
      <c r="J28" s="16"/>
    </row>
    <row r="29" spans="1:10" x14ac:dyDescent="0.25">
      <c r="A29" t="s">
        <v>29</v>
      </c>
      <c r="B29">
        <v>2015</v>
      </c>
      <c r="C29">
        <v>6</v>
      </c>
      <c r="D29">
        <v>26</v>
      </c>
      <c r="E29">
        <v>83</v>
      </c>
      <c r="F29">
        <v>18</v>
      </c>
      <c r="G29">
        <v>0</v>
      </c>
      <c r="I29" s="16"/>
      <c r="J29" s="16"/>
    </row>
    <row r="30" spans="1:10" x14ac:dyDescent="0.25">
      <c r="A30" t="s">
        <v>29</v>
      </c>
      <c r="B30">
        <v>2015</v>
      </c>
      <c r="C30">
        <v>6</v>
      </c>
      <c r="D30">
        <v>27</v>
      </c>
      <c r="E30">
        <v>79.5</v>
      </c>
      <c r="F30">
        <v>14.5</v>
      </c>
      <c r="G30">
        <v>0</v>
      </c>
      <c r="I30" s="16"/>
      <c r="J30" s="16"/>
    </row>
    <row r="31" spans="1:10" x14ac:dyDescent="0.25">
      <c r="A31" t="s">
        <v>29</v>
      </c>
      <c r="B31">
        <v>2015</v>
      </c>
      <c r="C31">
        <v>6</v>
      </c>
      <c r="D31">
        <v>28</v>
      </c>
      <c r="E31">
        <v>76.5</v>
      </c>
      <c r="F31">
        <v>11.5</v>
      </c>
      <c r="G31">
        <v>0</v>
      </c>
      <c r="I31" s="16"/>
      <c r="J31" s="16"/>
    </row>
    <row r="32" spans="1:10" x14ac:dyDescent="0.25">
      <c r="A32" t="s">
        <v>29</v>
      </c>
      <c r="B32">
        <v>2015</v>
      </c>
      <c r="C32">
        <v>6</v>
      </c>
      <c r="D32">
        <v>29</v>
      </c>
      <c r="E32">
        <v>81.5</v>
      </c>
      <c r="F32">
        <v>16.5</v>
      </c>
      <c r="G32">
        <v>0</v>
      </c>
      <c r="I32" s="16"/>
      <c r="J32" s="16"/>
    </row>
    <row r="33" spans="1:10" x14ac:dyDescent="0.25">
      <c r="A33" t="s">
        <v>29</v>
      </c>
      <c r="B33">
        <v>2015</v>
      </c>
      <c r="C33">
        <v>6</v>
      </c>
      <c r="D33">
        <v>30</v>
      </c>
      <c r="E33">
        <v>84</v>
      </c>
      <c r="F33">
        <v>19</v>
      </c>
      <c r="G33">
        <v>0</v>
      </c>
      <c r="I33" s="16"/>
      <c r="J33" s="16"/>
    </row>
    <row r="34" spans="1:10" x14ac:dyDescent="0.25">
      <c r="A34" t="s">
        <v>29</v>
      </c>
      <c r="B34">
        <v>2015</v>
      </c>
      <c r="C34">
        <v>7</v>
      </c>
      <c r="D34">
        <v>1</v>
      </c>
      <c r="E34">
        <v>81.5</v>
      </c>
      <c r="F34">
        <v>16.5</v>
      </c>
      <c r="G34">
        <v>0</v>
      </c>
      <c r="I34" s="16"/>
      <c r="J34" s="16"/>
    </row>
    <row r="35" spans="1:10" x14ac:dyDescent="0.25">
      <c r="A35" t="s">
        <v>29</v>
      </c>
      <c r="B35">
        <v>2015</v>
      </c>
      <c r="C35">
        <v>7</v>
      </c>
      <c r="D35">
        <v>2</v>
      </c>
      <c r="E35">
        <v>82</v>
      </c>
      <c r="F35">
        <v>17</v>
      </c>
      <c r="G35">
        <v>0</v>
      </c>
      <c r="I35" s="16"/>
      <c r="J35" s="16"/>
    </row>
    <row r="36" spans="1:10" x14ac:dyDescent="0.25">
      <c r="A36" t="s">
        <v>29</v>
      </c>
      <c r="B36">
        <v>2015</v>
      </c>
      <c r="C36">
        <v>7</v>
      </c>
      <c r="D36">
        <v>3</v>
      </c>
      <c r="E36">
        <v>80.5</v>
      </c>
      <c r="F36">
        <v>15.5</v>
      </c>
      <c r="G36">
        <v>0</v>
      </c>
      <c r="I36" s="16"/>
      <c r="J36" s="16"/>
    </row>
    <row r="37" spans="1:10" x14ac:dyDescent="0.25">
      <c r="A37" t="s">
        <v>29</v>
      </c>
      <c r="B37">
        <v>2015</v>
      </c>
      <c r="C37">
        <v>7</v>
      </c>
      <c r="D37">
        <v>4</v>
      </c>
      <c r="E37">
        <v>73.5</v>
      </c>
      <c r="F37">
        <v>8.5</v>
      </c>
      <c r="G37">
        <v>0</v>
      </c>
      <c r="I37" s="16"/>
      <c r="J37" s="16"/>
    </row>
    <row r="38" spans="1:10" x14ac:dyDescent="0.25">
      <c r="A38" t="s">
        <v>29</v>
      </c>
      <c r="B38">
        <v>2015</v>
      </c>
      <c r="C38">
        <v>7</v>
      </c>
      <c r="D38">
        <v>5</v>
      </c>
      <c r="E38">
        <v>81</v>
      </c>
      <c r="F38">
        <v>16</v>
      </c>
      <c r="G38">
        <v>0</v>
      </c>
      <c r="I38" s="16"/>
      <c r="J38" s="16"/>
    </row>
    <row r="39" spans="1:10" x14ac:dyDescent="0.25">
      <c r="A39" t="s">
        <v>29</v>
      </c>
      <c r="B39">
        <v>2015</v>
      </c>
      <c r="C39">
        <v>7</v>
      </c>
      <c r="D39">
        <v>6</v>
      </c>
      <c r="E39">
        <v>81</v>
      </c>
      <c r="F39">
        <v>16</v>
      </c>
      <c r="G39">
        <v>0</v>
      </c>
      <c r="I39" s="16"/>
      <c r="J39" s="16"/>
    </row>
    <row r="40" spans="1:10" x14ac:dyDescent="0.25">
      <c r="A40" t="s">
        <v>29</v>
      </c>
      <c r="B40">
        <v>2015</v>
      </c>
      <c r="C40">
        <v>7</v>
      </c>
      <c r="D40">
        <v>7</v>
      </c>
      <c r="E40">
        <v>84</v>
      </c>
      <c r="F40">
        <v>19</v>
      </c>
      <c r="G40">
        <v>0</v>
      </c>
      <c r="I40" s="16"/>
      <c r="J40" s="16"/>
    </row>
    <row r="41" spans="1:10" x14ac:dyDescent="0.25">
      <c r="A41" t="s">
        <v>29</v>
      </c>
      <c r="B41">
        <v>2015</v>
      </c>
      <c r="C41">
        <v>7</v>
      </c>
      <c r="D41">
        <v>8</v>
      </c>
      <c r="E41">
        <v>84</v>
      </c>
      <c r="F41">
        <v>19</v>
      </c>
      <c r="G41">
        <v>0</v>
      </c>
      <c r="I41" s="16"/>
      <c r="J41" s="16"/>
    </row>
    <row r="42" spans="1:10" x14ac:dyDescent="0.25">
      <c r="A42" t="s">
        <v>29</v>
      </c>
      <c r="B42">
        <v>2015</v>
      </c>
      <c r="C42">
        <v>7</v>
      </c>
      <c r="D42">
        <v>9</v>
      </c>
      <c r="E42">
        <v>82.5</v>
      </c>
      <c r="F42">
        <v>17.5</v>
      </c>
      <c r="G42">
        <v>0</v>
      </c>
      <c r="I42" s="16"/>
      <c r="J42" s="16"/>
    </row>
    <row r="43" spans="1:10" x14ac:dyDescent="0.25">
      <c r="A43" t="s">
        <v>29</v>
      </c>
      <c r="B43">
        <v>2015</v>
      </c>
      <c r="C43">
        <v>7</v>
      </c>
      <c r="D43">
        <v>10</v>
      </c>
      <c r="E43">
        <v>83.5</v>
      </c>
      <c r="F43">
        <v>18.5</v>
      </c>
      <c r="G43">
        <v>0</v>
      </c>
      <c r="I43" s="16"/>
      <c r="J43" s="16"/>
    </row>
    <row r="44" spans="1:10" x14ac:dyDescent="0.25">
      <c r="A44" t="s">
        <v>29</v>
      </c>
      <c r="B44">
        <v>2015</v>
      </c>
      <c r="C44">
        <v>7</v>
      </c>
      <c r="D44">
        <v>11</v>
      </c>
      <c r="E44">
        <v>83.5</v>
      </c>
      <c r="F44">
        <v>18.5</v>
      </c>
      <c r="G44">
        <v>0</v>
      </c>
      <c r="I44" s="16"/>
      <c r="J44" s="16"/>
    </row>
    <row r="45" spans="1:10" x14ac:dyDescent="0.25">
      <c r="A45" t="s">
        <v>29</v>
      </c>
      <c r="B45">
        <v>2015</v>
      </c>
      <c r="C45">
        <v>7</v>
      </c>
      <c r="D45">
        <v>12</v>
      </c>
      <c r="E45">
        <v>85.5</v>
      </c>
      <c r="F45">
        <v>20.5</v>
      </c>
      <c r="G45">
        <v>0</v>
      </c>
      <c r="I45" s="16"/>
      <c r="J45" s="16"/>
    </row>
    <row r="46" spans="1:10" x14ac:dyDescent="0.25">
      <c r="A46" t="s">
        <v>29</v>
      </c>
      <c r="B46">
        <v>2015</v>
      </c>
      <c r="C46">
        <v>7</v>
      </c>
      <c r="D46">
        <v>13</v>
      </c>
      <c r="E46">
        <v>84.5</v>
      </c>
      <c r="F46">
        <v>19.5</v>
      </c>
      <c r="G46">
        <v>0</v>
      </c>
      <c r="I46" s="16"/>
      <c r="J46" s="16"/>
    </row>
    <row r="47" spans="1:10" x14ac:dyDescent="0.25">
      <c r="A47" t="s">
        <v>29</v>
      </c>
      <c r="B47">
        <v>2015</v>
      </c>
      <c r="C47">
        <v>7</v>
      </c>
      <c r="D47">
        <v>14</v>
      </c>
      <c r="E47">
        <v>85</v>
      </c>
      <c r="F47">
        <v>20</v>
      </c>
      <c r="G47">
        <v>0</v>
      </c>
      <c r="I47" s="16"/>
      <c r="J47" s="16"/>
    </row>
    <row r="48" spans="1:10" x14ac:dyDescent="0.25">
      <c r="A48" t="s">
        <v>29</v>
      </c>
      <c r="B48">
        <v>2015</v>
      </c>
      <c r="C48">
        <v>7</v>
      </c>
      <c r="D48">
        <v>15</v>
      </c>
      <c r="E48">
        <v>85.5</v>
      </c>
      <c r="F48">
        <v>20.5</v>
      </c>
      <c r="G48">
        <v>0</v>
      </c>
      <c r="I48" s="16"/>
      <c r="J48" s="16"/>
    </row>
    <row r="49" spans="1:10" x14ac:dyDescent="0.25">
      <c r="A49" t="s">
        <v>29</v>
      </c>
      <c r="B49">
        <v>2015</v>
      </c>
      <c r="C49">
        <v>7</v>
      </c>
      <c r="D49">
        <v>16</v>
      </c>
      <c r="E49">
        <v>85</v>
      </c>
      <c r="F49">
        <v>20</v>
      </c>
      <c r="G49">
        <v>0</v>
      </c>
      <c r="I49" s="16"/>
      <c r="J49" s="16"/>
    </row>
    <row r="50" spans="1:10" x14ac:dyDescent="0.25">
      <c r="A50" t="s">
        <v>29</v>
      </c>
      <c r="B50">
        <v>2015</v>
      </c>
      <c r="C50">
        <v>7</v>
      </c>
      <c r="D50">
        <v>17</v>
      </c>
      <c r="E50">
        <v>86</v>
      </c>
      <c r="F50">
        <v>21</v>
      </c>
      <c r="G50">
        <v>0</v>
      </c>
      <c r="I50" s="16"/>
      <c r="J50" s="16"/>
    </row>
    <row r="51" spans="1:10" x14ac:dyDescent="0.25">
      <c r="A51" t="s">
        <v>29</v>
      </c>
      <c r="B51">
        <v>2015</v>
      </c>
      <c r="C51">
        <v>7</v>
      </c>
      <c r="D51">
        <v>18</v>
      </c>
      <c r="E51">
        <v>86.5</v>
      </c>
      <c r="F51">
        <v>21.5</v>
      </c>
      <c r="G51">
        <v>0</v>
      </c>
      <c r="I51" s="16"/>
      <c r="J51" s="16"/>
    </row>
    <row r="52" spans="1:10" x14ac:dyDescent="0.25">
      <c r="A52" t="s">
        <v>29</v>
      </c>
      <c r="B52">
        <v>2015</v>
      </c>
      <c r="C52">
        <v>7</v>
      </c>
      <c r="D52">
        <v>19</v>
      </c>
      <c r="E52">
        <v>86.5</v>
      </c>
      <c r="F52">
        <v>21.5</v>
      </c>
      <c r="G52">
        <v>0</v>
      </c>
      <c r="I52" s="16"/>
      <c r="J52" s="16"/>
    </row>
    <row r="53" spans="1:10" x14ac:dyDescent="0.25">
      <c r="A53" t="s">
        <v>29</v>
      </c>
      <c r="B53">
        <v>2015</v>
      </c>
      <c r="C53">
        <v>7</v>
      </c>
      <c r="D53">
        <v>20</v>
      </c>
      <c r="E53">
        <v>87</v>
      </c>
      <c r="F53">
        <v>22</v>
      </c>
      <c r="G53">
        <v>0</v>
      </c>
      <c r="I53" s="16"/>
      <c r="J53" s="16"/>
    </row>
    <row r="54" spans="1:10" x14ac:dyDescent="0.25">
      <c r="A54" t="s">
        <v>29</v>
      </c>
      <c r="B54">
        <v>2015</v>
      </c>
      <c r="C54">
        <v>7</v>
      </c>
      <c r="D54">
        <v>21</v>
      </c>
      <c r="E54">
        <v>86</v>
      </c>
      <c r="F54">
        <v>21</v>
      </c>
      <c r="G54">
        <v>0</v>
      </c>
      <c r="I54" s="16"/>
      <c r="J54" s="16"/>
    </row>
    <row r="55" spans="1:10" x14ac:dyDescent="0.25">
      <c r="A55" t="s">
        <v>29</v>
      </c>
      <c r="B55">
        <v>2015</v>
      </c>
      <c r="C55">
        <v>7</v>
      </c>
      <c r="D55">
        <v>22</v>
      </c>
      <c r="E55">
        <v>86.5</v>
      </c>
      <c r="F55">
        <v>21.5</v>
      </c>
      <c r="G55">
        <v>0</v>
      </c>
      <c r="I55" s="16"/>
      <c r="J55" s="16"/>
    </row>
    <row r="56" spans="1:10" x14ac:dyDescent="0.25">
      <c r="A56" t="s">
        <v>29</v>
      </c>
      <c r="B56">
        <v>2015</v>
      </c>
      <c r="C56">
        <v>7</v>
      </c>
      <c r="D56">
        <v>23</v>
      </c>
      <c r="E56">
        <v>87.5</v>
      </c>
      <c r="F56">
        <v>22.5</v>
      </c>
      <c r="G56">
        <v>0</v>
      </c>
      <c r="I56" s="16"/>
      <c r="J56" s="16"/>
    </row>
    <row r="57" spans="1:10" x14ac:dyDescent="0.25">
      <c r="A57" t="s">
        <v>29</v>
      </c>
      <c r="B57">
        <v>2015</v>
      </c>
      <c r="C57">
        <v>7</v>
      </c>
      <c r="D57">
        <v>24</v>
      </c>
      <c r="E57">
        <v>88</v>
      </c>
      <c r="F57">
        <v>23</v>
      </c>
      <c r="G57">
        <v>0</v>
      </c>
      <c r="I57" s="16"/>
      <c r="J57" s="16"/>
    </row>
    <row r="58" spans="1:10" x14ac:dyDescent="0.25">
      <c r="A58" t="s">
        <v>29</v>
      </c>
      <c r="B58">
        <v>2015</v>
      </c>
      <c r="C58">
        <v>7</v>
      </c>
      <c r="D58">
        <v>25</v>
      </c>
      <c r="E58">
        <v>87.5</v>
      </c>
      <c r="F58">
        <v>22.5</v>
      </c>
      <c r="G58">
        <v>0</v>
      </c>
      <c r="I58" s="16"/>
      <c r="J58" s="16"/>
    </row>
    <row r="59" spans="1:10" x14ac:dyDescent="0.25">
      <c r="A59" t="s">
        <v>29</v>
      </c>
      <c r="B59">
        <v>2015</v>
      </c>
      <c r="C59">
        <v>7</v>
      </c>
      <c r="D59">
        <v>26</v>
      </c>
      <c r="E59">
        <v>87</v>
      </c>
      <c r="F59">
        <v>22</v>
      </c>
      <c r="G59">
        <v>0</v>
      </c>
      <c r="I59" s="16"/>
      <c r="J59" s="16"/>
    </row>
    <row r="60" spans="1:10" x14ac:dyDescent="0.25">
      <c r="A60" t="s">
        <v>29</v>
      </c>
      <c r="B60">
        <v>2015</v>
      </c>
      <c r="C60">
        <v>7</v>
      </c>
      <c r="D60">
        <v>27</v>
      </c>
      <c r="E60">
        <v>87</v>
      </c>
      <c r="F60">
        <v>22</v>
      </c>
      <c r="G60">
        <v>0</v>
      </c>
      <c r="I60" s="16"/>
      <c r="J60" s="16"/>
    </row>
    <row r="61" spans="1:10" x14ac:dyDescent="0.25">
      <c r="A61" t="s">
        <v>29</v>
      </c>
      <c r="B61">
        <v>2015</v>
      </c>
      <c r="C61">
        <v>7</v>
      </c>
      <c r="D61">
        <v>28</v>
      </c>
      <c r="E61">
        <v>88.5</v>
      </c>
      <c r="F61">
        <v>23.5</v>
      </c>
      <c r="G61">
        <v>0</v>
      </c>
      <c r="I61" s="16"/>
      <c r="J61" s="16"/>
    </row>
    <row r="62" spans="1:10" x14ac:dyDescent="0.25">
      <c r="A62" t="s">
        <v>29</v>
      </c>
      <c r="B62">
        <v>2015</v>
      </c>
      <c r="C62">
        <v>7</v>
      </c>
      <c r="D62">
        <v>29</v>
      </c>
      <c r="E62">
        <v>88.5</v>
      </c>
      <c r="F62">
        <v>23.5</v>
      </c>
      <c r="G62">
        <v>0</v>
      </c>
      <c r="I62" s="16"/>
      <c r="J62" s="16"/>
    </row>
    <row r="63" spans="1:10" ht="15.75" thickBot="1" x14ac:dyDescent="0.3">
      <c r="A63" t="s">
        <v>29</v>
      </c>
      <c r="B63">
        <v>2015</v>
      </c>
      <c r="C63">
        <v>7</v>
      </c>
      <c r="D63">
        <v>30</v>
      </c>
      <c r="E63">
        <v>88</v>
      </c>
      <c r="F63">
        <v>23</v>
      </c>
      <c r="G63">
        <v>0</v>
      </c>
      <c r="I63" s="16"/>
      <c r="J63" s="16"/>
    </row>
    <row r="64" spans="1:10" ht="15.75" thickBot="1" x14ac:dyDescent="0.3">
      <c r="A64" s="17" t="s">
        <v>29</v>
      </c>
      <c r="B64" s="18">
        <v>2015</v>
      </c>
      <c r="C64" s="18">
        <v>7</v>
      </c>
      <c r="D64" s="18">
        <v>31</v>
      </c>
      <c r="E64" s="18">
        <v>82</v>
      </c>
      <c r="F64" s="18">
        <v>17</v>
      </c>
      <c r="G64" s="18">
        <v>0</v>
      </c>
      <c r="H64" s="18"/>
      <c r="I64" s="19">
        <f>(30.435*(F64+2*F63+3*F62+4*F61+5*F60+6*F59+7*F58+8*F57+9*F56+10*F55+11*F54+12*F53+13*F52+14*F51+15*F50+16*F49+17*F48+18*F47+19*F46+20*F45+21*F44+22*F43+23*F42+24*F41+25*F40+26*F39+27*F38+28*F37+29*F36+30*F35+30*F34+29*F33+28*F32+27*F31+26*F30+25*F29+24*F28+23*F27+22*F26+21*F25+20*F24+19*F23+18*F22+17*F21+16*F20+15*F19+14*F18+13*F17+12*F16+11*F15+10*F14+9*F13+8*F12+7*F11+6*F10+5*F9+4*F8+3*F7+2*F6+1*F5)/930)</f>
        <v>531.87616935483868</v>
      </c>
      <c r="J64" s="20">
        <f>(30.435*(G64+2*G63+3*G62+4*G61+5*G60+6*G59+7*G58+8*G57+9*G56+10*G55+11*G54+12*G53+13*G52+14*G51+15*G50+16*G49+17*G48+18*G47+19*G46+20*G45+21*G44+22*G43+23*G42+24*G41+25*G40+26*G39+27*G38+28*G37+29*G36+30*G35+30*G34+29*G33+28*G32+27*G31+26*G30+25*G29+24*G28+23*G27+22*G26+21*G25+20*G24+19*G23+18*G22+17*G21+16*G20+15*G19+14*G18+13*G17+12*G16+11*G15+10*G14+9*G13+8*G12+7*G11+6*G10+5*G9+4*G8+3*G7+2*G6+1*G5)/930)</f>
        <v>0</v>
      </c>
    </row>
    <row r="65" spans="1:10" x14ac:dyDescent="0.25">
      <c r="A65" t="s">
        <v>29</v>
      </c>
      <c r="B65">
        <v>2015</v>
      </c>
      <c r="C65">
        <v>8</v>
      </c>
      <c r="D65">
        <v>1</v>
      </c>
      <c r="E65">
        <v>81</v>
      </c>
      <c r="F65">
        <v>16</v>
      </c>
      <c r="G65">
        <v>0</v>
      </c>
      <c r="I65" s="16"/>
      <c r="J65" s="16"/>
    </row>
    <row r="66" spans="1:10" x14ac:dyDescent="0.25">
      <c r="A66" t="s">
        <v>29</v>
      </c>
      <c r="B66">
        <v>2015</v>
      </c>
      <c r="C66">
        <v>8</v>
      </c>
      <c r="D66">
        <v>2</v>
      </c>
      <c r="E66">
        <v>81.5</v>
      </c>
      <c r="F66">
        <v>16.5</v>
      </c>
      <c r="G66">
        <v>0</v>
      </c>
      <c r="I66" s="16"/>
      <c r="J66" s="16"/>
    </row>
    <row r="67" spans="1:10" x14ac:dyDescent="0.25">
      <c r="A67" t="s">
        <v>29</v>
      </c>
      <c r="B67">
        <v>2015</v>
      </c>
      <c r="C67">
        <v>8</v>
      </c>
      <c r="D67">
        <v>3</v>
      </c>
      <c r="E67">
        <v>84</v>
      </c>
      <c r="F67">
        <v>19</v>
      </c>
      <c r="G67">
        <v>0</v>
      </c>
      <c r="I67" s="16"/>
      <c r="J67" s="16"/>
    </row>
    <row r="68" spans="1:10" x14ac:dyDescent="0.25">
      <c r="A68" t="s">
        <v>29</v>
      </c>
      <c r="B68">
        <v>2015</v>
      </c>
      <c r="C68">
        <v>8</v>
      </c>
      <c r="D68">
        <v>4</v>
      </c>
      <c r="E68">
        <v>85.5</v>
      </c>
      <c r="F68">
        <v>20.5</v>
      </c>
      <c r="G68">
        <v>0</v>
      </c>
      <c r="I68" s="16"/>
      <c r="J68" s="16"/>
    </row>
    <row r="69" spans="1:10" x14ac:dyDescent="0.25">
      <c r="A69" t="s">
        <v>29</v>
      </c>
      <c r="B69">
        <v>2015</v>
      </c>
      <c r="C69">
        <v>8</v>
      </c>
      <c r="D69">
        <v>5</v>
      </c>
      <c r="E69">
        <v>89.5</v>
      </c>
      <c r="F69">
        <v>24.5</v>
      </c>
      <c r="G69">
        <v>0</v>
      </c>
      <c r="I69" s="16"/>
      <c r="J69" s="16"/>
    </row>
    <row r="70" spans="1:10" x14ac:dyDescent="0.25">
      <c r="A70" t="s">
        <v>29</v>
      </c>
      <c r="B70">
        <v>2015</v>
      </c>
      <c r="C70">
        <v>8</v>
      </c>
      <c r="D70">
        <v>6</v>
      </c>
      <c r="E70">
        <v>90</v>
      </c>
      <c r="F70">
        <v>25</v>
      </c>
      <c r="G70">
        <v>0</v>
      </c>
      <c r="I70" s="16"/>
      <c r="J70" s="16"/>
    </row>
    <row r="71" spans="1:10" x14ac:dyDescent="0.25">
      <c r="A71" t="s">
        <v>29</v>
      </c>
      <c r="B71">
        <v>2015</v>
      </c>
      <c r="C71">
        <v>8</v>
      </c>
      <c r="D71">
        <v>7</v>
      </c>
      <c r="E71">
        <v>90</v>
      </c>
      <c r="F71">
        <v>25</v>
      </c>
      <c r="G71">
        <v>0</v>
      </c>
      <c r="I71" s="16"/>
      <c r="J71" s="16"/>
    </row>
    <row r="72" spans="1:10" x14ac:dyDescent="0.25">
      <c r="A72" t="s">
        <v>29</v>
      </c>
      <c r="B72">
        <v>2015</v>
      </c>
      <c r="C72">
        <v>8</v>
      </c>
      <c r="D72">
        <v>8</v>
      </c>
      <c r="E72">
        <v>90</v>
      </c>
      <c r="F72">
        <v>25</v>
      </c>
      <c r="G72">
        <v>0</v>
      </c>
      <c r="I72" s="16"/>
      <c r="J72" s="16"/>
    </row>
    <row r="73" spans="1:10" x14ac:dyDescent="0.25">
      <c r="A73" t="s">
        <v>29</v>
      </c>
      <c r="B73">
        <v>2015</v>
      </c>
      <c r="C73">
        <v>8</v>
      </c>
      <c r="D73">
        <v>9</v>
      </c>
      <c r="E73">
        <v>91.5</v>
      </c>
      <c r="F73">
        <v>26.5</v>
      </c>
      <c r="G73">
        <v>0</v>
      </c>
      <c r="I73" s="16"/>
      <c r="J73" s="16"/>
    </row>
    <row r="74" spans="1:10" x14ac:dyDescent="0.25">
      <c r="A74" t="s">
        <v>29</v>
      </c>
      <c r="B74">
        <v>2015</v>
      </c>
      <c r="C74">
        <v>8</v>
      </c>
      <c r="D74">
        <v>10</v>
      </c>
      <c r="E74">
        <v>90.5</v>
      </c>
      <c r="F74">
        <v>25.5</v>
      </c>
      <c r="G74">
        <v>0</v>
      </c>
      <c r="I74" s="16"/>
      <c r="J74" s="16"/>
    </row>
    <row r="75" spans="1:10" x14ac:dyDescent="0.25">
      <c r="A75" t="s">
        <v>29</v>
      </c>
      <c r="B75">
        <v>2015</v>
      </c>
      <c r="C75">
        <v>8</v>
      </c>
      <c r="D75">
        <v>11</v>
      </c>
      <c r="E75">
        <v>89</v>
      </c>
      <c r="F75">
        <v>24</v>
      </c>
      <c r="G75">
        <v>0</v>
      </c>
      <c r="I75" s="16"/>
      <c r="J75" s="16"/>
    </row>
    <row r="76" spans="1:10" x14ac:dyDescent="0.25">
      <c r="A76" t="s">
        <v>29</v>
      </c>
      <c r="B76">
        <v>2015</v>
      </c>
      <c r="C76">
        <v>8</v>
      </c>
      <c r="D76">
        <v>12</v>
      </c>
      <c r="E76">
        <v>86</v>
      </c>
      <c r="F76">
        <v>21</v>
      </c>
      <c r="G76">
        <v>0</v>
      </c>
      <c r="I76" s="16"/>
      <c r="J76" s="16"/>
    </row>
    <row r="77" spans="1:10" x14ac:dyDescent="0.25">
      <c r="A77" t="s">
        <v>29</v>
      </c>
      <c r="B77">
        <v>2015</v>
      </c>
      <c r="C77">
        <v>8</v>
      </c>
      <c r="D77">
        <v>13</v>
      </c>
      <c r="E77">
        <v>79.5</v>
      </c>
      <c r="F77">
        <v>14.5</v>
      </c>
      <c r="G77">
        <v>0</v>
      </c>
      <c r="I77" s="16"/>
      <c r="J77" s="16"/>
    </row>
    <row r="78" spans="1:10" x14ac:dyDescent="0.25">
      <c r="A78" t="s">
        <v>29</v>
      </c>
      <c r="B78">
        <v>2015</v>
      </c>
      <c r="C78">
        <v>8</v>
      </c>
      <c r="D78">
        <v>14</v>
      </c>
      <c r="E78">
        <v>78.5</v>
      </c>
      <c r="F78">
        <v>13.5</v>
      </c>
      <c r="G78">
        <v>0</v>
      </c>
      <c r="I78" s="16"/>
      <c r="J78" s="16"/>
    </row>
    <row r="79" spans="1:10" x14ac:dyDescent="0.25">
      <c r="A79" t="s">
        <v>29</v>
      </c>
      <c r="B79">
        <v>2015</v>
      </c>
      <c r="C79">
        <v>8</v>
      </c>
      <c r="D79">
        <v>15</v>
      </c>
      <c r="E79">
        <v>78.5</v>
      </c>
      <c r="F79">
        <v>13.5</v>
      </c>
      <c r="G79">
        <v>0</v>
      </c>
      <c r="I79" s="16"/>
      <c r="J79" s="16"/>
    </row>
    <row r="80" spans="1:10" x14ac:dyDescent="0.25">
      <c r="A80" t="s">
        <v>29</v>
      </c>
      <c r="B80">
        <v>2015</v>
      </c>
      <c r="C80">
        <v>8</v>
      </c>
      <c r="D80">
        <v>16</v>
      </c>
      <c r="E80">
        <v>83</v>
      </c>
      <c r="F80">
        <v>18</v>
      </c>
      <c r="G80">
        <v>0</v>
      </c>
      <c r="I80" s="16"/>
      <c r="J80" s="16"/>
    </row>
    <row r="81" spans="1:10" x14ac:dyDescent="0.25">
      <c r="A81" t="s">
        <v>29</v>
      </c>
      <c r="B81">
        <v>2015</v>
      </c>
      <c r="C81">
        <v>8</v>
      </c>
      <c r="D81">
        <v>17</v>
      </c>
      <c r="E81">
        <v>80</v>
      </c>
      <c r="F81">
        <v>15</v>
      </c>
      <c r="G81">
        <v>0</v>
      </c>
      <c r="I81" s="16"/>
      <c r="J81" s="16"/>
    </row>
    <row r="82" spans="1:10" x14ac:dyDescent="0.25">
      <c r="A82" t="s">
        <v>29</v>
      </c>
      <c r="B82">
        <v>2015</v>
      </c>
      <c r="C82">
        <v>8</v>
      </c>
      <c r="D82">
        <v>18</v>
      </c>
      <c r="E82">
        <v>86</v>
      </c>
      <c r="F82">
        <v>21</v>
      </c>
      <c r="G82">
        <v>0</v>
      </c>
      <c r="I82" s="16"/>
      <c r="J82" s="16"/>
    </row>
    <row r="83" spans="1:10" x14ac:dyDescent="0.25">
      <c r="A83" t="s">
        <v>29</v>
      </c>
      <c r="B83">
        <v>2015</v>
      </c>
      <c r="C83">
        <v>8</v>
      </c>
      <c r="D83">
        <v>19</v>
      </c>
      <c r="E83">
        <v>80.5</v>
      </c>
      <c r="F83">
        <v>15.5</v>
      </c>
      <c r="G83">
        <v>0</v>
      </c>
      <c r="I83" s="16"/>
      <c r="J83" s="16"/>
    </row>
    <row r="84" spans="1:10" x14ac:dyDescent="0.25">
      <c r="A84" t="s">
        <v>29</v>
      </c>
      <c r="B84">
        <v>2015</v>
      </c>
      <c r="C84">
        <v>8</v>
      </c>
      <c r="D84">
        <v>20</v>
      </c>
      <c r="E84">
        <v>68.5</v>
      </c>
      <c r="F84">
        <v>3.5</v>
      </c>
      <c r="G84">
        <v>0</v>
      </c>
      <c r="I84" s="16"/>
      <c r="J84" s="16"/>
    </row>
    <row r="85" spans="1:10" x14ac:dyDescent="0.25">
      <c r="A85" t="s">
        <v>29</v>
      </c>
      <c r="B85">
        <v>2015</v>
      </c>
      <c r="C85">
        <v>8</v>
      </c>
      <c r="D85">
        <v>21</v>
      </c>
      <c r="E85">
        <v>77.5</v>
      </c>
      <c r="F85">
        <v>12.5</v>
      </c>
      <c r="G85">
        <v>0</v>
      </c>
      <c r="I85" s="16"/>
      <c r="J85" s="16"/>
    </row>
    <row r="86" spans="1:10" x14ac:dyDescent="0.25">
      <c r="A86" t="s">
        <v>29</v>
      </c>
      <c r="B86">
        <v>2015</v>
      </c>
      <c r="C86">
        <v>8</v>
      </c>
      <c r="D86">
        <v>22</v>
      </c>
      <c r="E86">
        <v>83</v>
      </c>
      <c r="F86">
        <v>18</v>
      </c>
      <c r="G86">
        <v>0</v>
      </c>
      <c r="I86" s="16"/>
      <c r="J86" s="16"/>
    </row>
    <row r="87" spans="1:10" x14ac:dyDescent="0.25">
      <c r="A87" t="s">
        <v>29</v>
      </c>
      <c r="B87">
        <v>2015</v>
      </c>
      <c r="C87">
        <v>8</v>
      </c>
      <c r="D87">
        <v>23</v>
      </c>
      <c r="E87">
        <v>80.5</v>
      </c>
      <c r="F87">
        <v>15.5</v>
      </c>
      <c r="G87">
        <v>0</v>
      </c>
      <c r="I87" s="16"/>
      <c r="J87" s="16"/>
    </row>
    <row r="88" spans="1:10" x14ac:dyDescent="0.25">
      <c r="A88" t="s">
        <v>29</v>
      </c>
      <c r="B88">
        <v>2015</v>
      </c>
      <c r="C88">
        <v>8</v>
      </c>
      <c r="D88">
        <v>24</v>
      </c>
      <c r="E88">
        <v>80</v>
      </c>
      <c r="F88">
        <v>15</v>
      </c>
      <c r="G88">
        <v>0</v>
      </c>
      <c r="I88" s="16"/>
      <c r="J88" s="16"/>
    </row>
    <row r="89" spans="1:10" x14ac:dyDescent="0.25">
      <c r="A89" t="s">
        <v>29</v>
      </c>
      <c r="B89">
        <v>2015</v>
      </c>
      <c r="C89">
        <v>8</v>
      </c>
      <c r="D89">
        <v>25</v>
      </c>
      <c r="E89">
        <v>79.5</v>
      </c>
      <c r="F89">
        <v>14.5</v>
      </c>
      <c r="G89">
        <v>0</v>
      </c>
      <c r="I89" s="16"/>
      <c r="J89" s="16"/>
    </row>
    <row r="90" spans="1:10" x14ac:dyDescent="0.25">
      <c r="A90" t="s">
        <v>29</v>
      </c>
      <c r="B90">
        <v>2015</v>
      </c>
      <c r="C90">
        <v>8</v>
      </c>
      <c r="D90">
        <v>26</v>
      </c>
      <c r="E90">
        <v>76.5</v>
      </c>
      <c r="F90">
        <v>11.5</v>
      </c>
      <c r="G90">
        <v>0</v>
      </c>
      <c r="I90" s="16"/>
      <c r="J90" s="16"/>
    </row>
    <row r="91" spans="1:10" x14ac:dyDescent="0.25">
      <c r="A91" t="s">
        <v>29</v>
      </c>
      <c r="B91">
        <v>2015</v>
      </c>
      <c r="C91">
        <v>8</v>
      </c>
      <c r="D91">
        <v>27</v>
      </c>
      <c r="E91">
        <v>74.5</v>
      </c>
      <c r="F91">
        <v>9.5</v>
      </c>
      <c r="G91">
        <v>0</v>
      </c>
      <c r="I91" s="16"/>
      <c r="J91" s="16"/>
    </row>
    <row r="92" spans="1:10" x14ac:dyDescent="0.25">
      <c r="A92" t="s">
        <v>29</v>
      </c>
      <c r="B92">
        <v>2015</v>
      </c>
      <c r="C92">
        <v>8</v>
      </c>
      <c r="D92">
        <v>28</v>
      </c>
      <c r="E92">
        <v>74.5</v>
      </c>
      <c r="F92">
        <v>9.5</v>
      </c>
      <c r="G92">
        <v>0</v>
      </c>
      <c r="I92" s="16"/>
      <c r="J92" s="16"/>
    </row>
    <row r="93" spans="1:10" x14ac:dyDescent="0.25">
      <c r="A93" t="s">
        <v>29</v>
      </c>
      <c r="B93">
        <v>2015</v>
      </c>
      <c r="C93">
        <v>8</v>
      </c>
      <c r="D93">
        <v>29</v>
      </c>
      <c r="E93">
        <v>78.5</v>
      </c>
      <c r="F93">
        <v>13.5</v>
      </c>
      <c r="G93">
        <v>0</v>
      </c>
      <c r="I93" s="16"/>
      <c r="J93" s="16"/>
    </row>
    <row r="94" spans="1:10" ht="15.75" thickBot="1" x14ac:dyDescent="0.3">
      <c r="A94" t="s">
        <v>29</v>
      </c>
      <c r="B94">
        <v>2015</v>
      </c>
      <c r="C94">
        <v>8</v>
      </c>
      <c r="D94">
        <v>30</v>
      </c>
      <c r="E94">
        <v>82.5</v>
      </c>
      <c r="F94">
        <v>17.5</v>
      </c>
      <c r="G94">
        <v>0</v>
      </c>
      <c r="I94" s="16"/>
      <c r="J94" s="16"/>
    </row>
    <row r="95" spans="1:10" ht="15.75" thickBot="1" x14ac:dyDescent="0.3">
      <c r="A95" s="17" t="s">
        <v>29</v>
      </c>
      <c r="B95" s="18">
        <v>2015</v>
      </c>
      <c r="C95" s="18">
        <v>8</v>
      </c>
      <c r="D95" s="18">
        <v>31</v>
      </c>
      <c r="E95" s="18">
        <v>81</v>
      </c>
      <c r="F95" s="18">
        <v>16</v>
      </c>
      <c r="G95" s="18">
        <v>0</v>
      </c>
      <c r="H95" s="18"/>
      <c r="I95" s="19">
        <f>(30.435*(F95+2*F94+3*F93+4*F92+5*F91+6*F90+7*F89+8*F88+9*F87+10*F86+11*F85+12*F84+13*F83+14*F82+15*F81+16*F80+17*F79+18*F78+19*F77+20*F76+21*F75+22*F74+23*F73+24*F72+25*F71+26*F70+27*F69+28*F68+29*F67+30*F66+30*F65+29*F64+28*F63+27*F62+26*F61+25*F60+24*F59+23*F58+22*F57+21*F56+20*F55+19*F54+18*F53+17*F52+16*F51+15*F50+14*F49+13*F48+12*F47+11*F46+10*F45+9*F44+8*F43+7*F42+6*F41+5*F40+4*F39+3*F38+2*F37+1*F36)/930)</f>
        <v>610.5490080645161</v>
      </c>
      <c r="J95" s="20">
        <f>(30.435*(G95+2*G94+3*G93+4*G92+5*G91+6*G90+7*G89+8*G88+9*G87+10*G86+11*G85+12*G84+13*G83+14*G82+15*G81+16*G80+17*G79+18*G78+19*G77+20*G76+21*G75+22*G74+23*G73+24*G72+25*G71+26*G70+27*G69+28*G68+29*G67+30*G66+30*G65+29*G64+28*G63+27*G62+26*G61+25*G60+24*G59+23*G58+22*G57+21*G56+20*G55+19*G54+18*G53+17*G52+16*G51+15*G50+14*G49+13*G48+12*G47+11*G46+10*G45+9*G44+8*G43+7*G42+6*G41+5*G40+4*G39+3*G38+2*G37+1*G36)/930)</f>
        <v>0</v>
      </c>
    </row>
    <row r="96" spans="1:10" x14ac:dyDescent="0.25">
      <c r="A96" t="s">
        <v>29</v>
      </c>
      <c r="B96">
        <v>2015</v>
      </c>
      <c r="C96">
        <v>9</v>
      </c>
      <c r="D96">
        <v>1</v>
      </c>
      <c r="E96">
        <v>79.5</v>
      </c>
      <c r="F96">
        <v>14.5</v>
      </c>
      <c r="G96">
        <v>0</v>
      </c>
      <c r="I96" s="16"/>
      <c r="J96" s="16"/>
    </row>
    <row r="97" spans="1:10" x14ac:dyDescent="0.25">
      <c r="A97" t="s">
        <v>29</v>
      </c>
      <c r="B97">
        <v>2015</v>
      </c>
      <c r="C97">
        <v>9</v>
      </c>
      <c r="D97">
        <v>2</v>
      </c>
      <c r="E97">
        <v>82</v>
      </c>
      <c r="F97">
        <v>17</v>
      </c>
      <c r="G97">
        <v>0</v>
      </c>
      <c r="I97" s="16"/>
      <c r="J97" s="16"/>
    </row>
    <row r="98" spans="1:10" x14ac:dyDescent="0.25">
      <c r="A98" t="s">
        <v>29</v>
      </c>
      <c r="B98">
        <v>2015</v>
      </c>
      <c r="C98">
        <v>9</v>
      </c>
      <c r="D98">
        <v>3</v>
      </c>
      <c r="E98">
        <v>81</v>
      </c>
      <c r="F98">
        <v>16</v>
      </c>
      <c r="G98">
        <v>0</v>
      </c>
      <c r="I98" s="16"/>
      <c r="J98" s="16"/>
    </row>
    <row r="99" spans="1:10" x14ac:dyDescent="0.25">
      <c r="A99" t="s">
        <v>29</v>
      </c>
      <c r="B99">
        <v>2015</v>
      </c>
      <c r="C99">
        <v>9</v>
      </c>
      <c r="D99">
        <v>4</v>
      </c>
      <c r="E99">
        <v>83.5</v>
      </c>
      <c r="F99">
        <v>18.5</v>
      </c>
      <c r="G99">
        <v>0</v>
      </c>
      <c r="I99" s="16"/>
      <c r="J99" s="16"/>
    </row>
    <row r="100" spans="1:10" x14ac:dyDescent="0.25">
      <c r="A100" t="s">
        <v>29</v>
      </c>
      <c r="B100">
        <v>2015</v>
      </c>
      <c r="C100">
        <v>9</v>
      </c>
      <c r="D100">
        <v>5</v>
      </c>
      <c r="E100">
        <v>85</v>
      </c>
      <c r="F100">
        <v>20</v>
      </c>
      <c r="G100">
        <v>0</v>
      </c>
      <c r="I100" s="16"/>
      <c r="J100" s="16"/>
    </row>
    <row r="101" spans="1:10" x14ac:dyDescent="0.25">
      <c r="A101" t="s">
        <v>29</v>
      </c>
      <c r="B101">
        <v>2015</v>
      </c>
      <c r="C101">
        <v>9</v>
      </c>
      <c r="D101">
        <v>6</v>
      </c>
      <c r="E101">
        <v>83</v>
      </c>
      <c r="F101">
        <v>18</v>
      </c>
      <c r="G101">
        <v>0</v>
      </c>
      <c r="I101" s="16"/>
      <c r="J101" s="16"/>
    </row>
    <row r="102" spans="1:10" x14ac:dyDescent="0.25">
      <c r="A102" t="s">
        <v>29</v>
      </c>
      <c r="B102">
        <v>2015</v>
      </c>
      <c r="C102">
        <v>9</v>
      </c>
      <c r="D102">
        <v>7</v>
      </c>
      <c r="E102">
        <v>83.5</v>
      </c>
      <c r="F102">
        <v>18.5</v>
      </c>
      <c r="G102">
        <v>0</v>
      </c>
      <c r="I102" s="16"/>
      <c r="J102" s="16"/>
    </row>
    <row r="103" spans="1:10" x14ac:dyDescent="0.25">
      <c r="A103" t="s">
        <v>29</v>
      </c>
      <c r="B103">
        <v>2015</v>
      </c>
      <c r="C103">
        <v>9</v>
      </c>
      <c r="D103">
        <v>8</v>
      </c>
      <c r="E103">
        <v>85.5</v>
      </c>
      <c r="F103">
        <v>20.5</v>
      </c>
      <c r="G103">
        <v>0</v>
      </c>
      <c r="I103" s="16"/>
      <c r="J103" s="16"/>
    </row>
    <row r="104" spans="1:10" x14ac:dyDescent="0.25">
      <c r="A104" t="s">
        <v>29</v>
      </c>
      <c r="B104">
        <v>2015</v>
      </c>
      <c r="C104">
        <v>9</v>
      </c>
      <c r="D104">
        <v>9</v>
      </c>
      <c r="E104">
        <v>77</v>
      </c>
      <c r="F104">
        <v>12</v>
      </c>
      <c r="G104">
        <v>0</v>
      </c>
      <c r="I104" s="16"/>
      <c r="J104" s="16"/>
    </row>
    <row r="105" spans="1:10" x14ac:dyDescent="0.25">
      <c r="A105" t="s">
        <v>29</v>
      </c>
      <c r="B105">
        <v>2015</v>
      </c>
      <c r="C105">
        <v>9</v>
      </c>
      <c r="D105">
        <v>10</v>
      </c>
      <c r="E105">
        <v>81.5</v>
      </c>
      <c r="F105">
        <v>16.5</v>
      </c>
      <c r="G105">
        <v>0</v>
      </c>
      <c r="I105" s="16"/>
      <c r="J105" s="16"/>
    </row>
    <row r="106" spans="1:10" x14ac:dyDescent="0.25">
      <c r="A106" t="s">
        <v>29</v>
      </c>
      <c r="B106">
        <v>2015</v>
      </c>
      <c r="C106">
        <v>9</v>
      </c>
      <c r="D106">
        <v>11</v>
      </c>
      <c r="E106">
        <v>81</v>
      </c>
      <c r="F106">
        <v>16</v>
      </c>
      <c r="G106">
        <v>0</v>
      </c>
      <c r="I106" s="16"/>
      <c r="J106" s="16"/>
    </row>
    <row r="107" spans="1:10" x14ac:dyDescent="0.25">
      <c r="A107" t="s">
        <v>29</v>
      </c>
      <c r="B107">
        <v>2015</v>
      </c>
      <c r="C107">
        <v>9</v>
      </c>
      <c r="D107">
        <v>12</v>
      </c>
      <c r="E107">
        <v>72</v>
      </c>
      <c r="F107">
        <v>7</v>
      </c>
      <c r="G107">
        <v>0</v>
      </c>
      <c r="I107" s="16"/>
      <c r="J107" s="16"/>
    </row>
    <row r="108" spans="1:10" x14ac:dyDescent="0.25">
      <c r="A108" t="s">
        <v>29</v>
      </c>
      <c r="B108">
        <v>2015</v>
      </c>
      <c r="C108">
        <v>9</v>
      </c>
      <c r="D108">
        <v>13</v>
      </c>
      <c r="E108">
        <v>68</v>
      </c>
      <c r="F108">
        <v>3</v>
      </c>
      <c r="G108">
        <v>0</v>
      </c>
      <c r="I108" s="16"/>
      <c r="J108" s="16"/>
    </row>
    <row r="109" spans="1:10" x14ac:dyDescent="0.25">
      <c r="A109" t="s">
        <v>29</v>
      </c>
      <c r="B109">
        <v>2015</v>
      </c>
      <c r="C109">
        <v>9</v>
      </c>
      <c r="D109">
        <v>14</v>
      </c>
      <c r="E109">
        <v>71.5</v>
      </c>
      <c r="F109">
        <v>6.5</v>
      </c>
      <c r="G109">
        <v>0</v>
      </c>
      <c r="I109" s="16"/>
      <c r="J109" s="16"/>
    </row>
    <row r="110" spans="1:10" x14ac:dyDescent="0.25">
      <c r="A110" t="s">
        <v>29</v>
      </c>
      <c r="B110">
        <v>2015</v>
      </c>
      <c r="C110">
        <v>9</v>
      </c>
      <c r="D110">
        <v>15</v>
      </c>
      <c r="E110">
        <v>73</v>
      </c>
      <c r="F110">
        <v>8</v>
      </c>
      <c r="G110">
        <v>0</v>
      </c>
      <c r="I110" s="16"/>
      <c r="J110" s="16"/>
    </row>
    <row r="111" spans="1:10" x14ac:dyDescent="0.25">
      <c r="A111" t="s">
        <v>29</v>
      </c>
      <c r="B111">
        <v>2015</v>
      </c>
      <c r="C111">
        <v>9</v>
      </c>
      <c r="D111">
        <v>16</v>
      </c>
      <c r="E111">
        <v>82</v>
      </c>
      <c r="F111">
        <v>17</v>
      </c>
      <c r="G111">
        <v>0</v>
      </c>
      <c r="I111" s="16"/>
      <c r="J111" s="16"/>
    </row>
    <row r="112" spans="1:10" x14ac:dyDescent="0.25">
      <c r="A112" t="s">
        <v>29</v>
      </c>
      <c r="B112">
        <v>2015</v>
      </c>
      <c r="C112">
        <v>9</v>
      </c>
      <c r="D112">
        <v>17</v>
      </c>
      <c r="E112">
        <v>83</v>
      </c>
      <c r="F112">
        <v>18</v>
      </c>
      <c r="G112">
        <v>0</v>
      </c>
      <c r="I112" s="16"/>
      <c r="J112" s="16"/>
    </row>
    <row r="113" spans="1:10" x14ac:dyDescent="0.25">
      <c r="A113" t="s">
        <v>29</v>
      </c>
      <c r="B113">
        <v>2015</v>
      </c>
      <c r="C113">
        <v>9</v>
      </c>
      <c r="D113">
        <v>18</v>
      </c>
      <c r="E113">
        <v>83</v>
      </c>
      <c r="F113">
        <v>18</v>
      </c>
      <c r="G113">
        <v>0</v>
      </c>
      <c r="I113" s="16"/>
      <c r="J113" s="16"/>
    </row>
    <row r="114" spans="1:10" x14ac:dyDescent="0.25">
      <c r="A114" t="s">
        <v>29</v>
      </c>
      <c r="B114">
        <v>2015</v>
      </c>
      <c r="C114">
        <v>9</v>
      </c>
      <c r="D114">
        <v>19</v>
      </c>
      <c r="E114">
        <v>83</v>
      </c>
      <c r="F114">
        <v>18</v>
      </c>
      <c r="G114">
        <v>0</v>
      </c>
      <c r="I114" s="16"/>
      <c r="J114" s="16"/>
    </row>
    <row r="115" spans="1:10" x14ac:dyDescent="0.25">
      <c r="A115" t="s">
        <v>29</v>
      </c>
      <c r="B115">
        <v>2015</v>
      </c>
      <c r="C115">
        <v>9</v>
      </c>
      <c r="D115">
        <v>20</v>
      </c>
      <c r="E115">
        <v>74.5</v>
      </c>
      <c r="F115">
        <v>9.5</v>
      </c>
      <c r="G115">
        <v>0</v>
      </c>
      <c r="I115" s="16"/>
      <c r="J115" s="16"/>
    </row>
    <row r="116" spans="1:10" x14ac:dyDescent="0.25">
      <c r="A116" t="s">
        <v>29</v>
      </c>
      <c r="B116">
        <v>2015</v>
      </c>
      <c r="C116">
        <v>9</v>
      </c>
      <c r="D116">
        <v>21</v>
      </c>
      <c r="E116">
        <v>75.5</v>
      </c>
      <c r="F116">
        <v>10.5</v>
      </c>
      <c r="G116">
        <v>0</v>
      </c>
      <c r="I116" s="16"/>
      <c r="J116" s="16"/>
    </row>
    <row r="117" spans="1:10" x14ac:dyDescent="0.25">
      <c r="A117" t="s">
        <v>29</v>
      </c>
      <c r="B117">
        <v>2015</v>
      </c>
      <c r="C117">
        <v>9</v>
      </c>
      <c r="D117">
        <v>22</v>
      </c>
      <c r="E117">
        <v>76</v>
      </c>
      <c r="F117">
        <v>11</v>
      </c>
      <c r="G117">
        <v>0</v>
      </c>
      <c r="I117" s="16"/>
      <c r="J117" s="16"/>
    </row>
    <row r="118" spans="1:10" x14ac:dyDescent="0.25">
      <c r="A118" t="s">
        <v>29</v>
      </c>
      <c r="B118">
        <v>2015</v>
      </c>
      <c r="C118">
        <v>9</v>
      </c>
      <c r="D118">
        <v>23</v>
      </c>
      <c r="E118">
        <v>74</v>
      </c>
      <c r="F118">
        <v>9</v>
      </c>
      <c r="G118">
        <v>0</v>
      </c>
      <c r="I118" s="16"/>
      <c r="J118" s="16"/>
    </row>
    <row r="119" spans="1:10" x14ac:dyDescent="0.25">
      <c r="A119" t="s">
        <v>29</v>
      </c>
      <c r="B119">
        <v>2015</v>
      </c>
      <c r="C119">
        <v>9</v>
      </c>
      <c r="D119">
        <v>24</v>
      </c>
      <c r="E119">
        <v>76.5</v>
      </c>
      <c r="F119">
        <v>11.5</v>
      </c>
      <c r="G119">
        <v>0</v>
      </c>
      <c r="I119" s="16"/>
      <c r="J119" s="16"/>
    </row>
    <row r="120" spans="1:10" x14ac:dyDescent="0.25">
      <c r="A120" t="s">
        <v>29</v>
      </c>
      <c r="B120">
        <v>2015</v>
      </c>
      <c r="C120">
        <v>9</v>
      </c>
      <c r="D120">
        <v>25</v>
      </c>
      <c r="E120">
        <v>77.5</v>
      </c>
      <c r="F120">
        <v>12.5</v>
      </c>
      <c r="G120">
        <v>0</v>
      </c>
      <c r="I120" s="16"/>
      <c r="J120" s="16"/>
    </row>
    <row r="121" spans="1:10" x14ac:dyDescent="0.25">
      <c r="A121" t="s">
        <v>29</v>
      </c>
      <c r="B121">
        <v>2015</v>
      </c>
      <c r="C121">
        <v>9</v>
      </c>
      <c r="D121">
        <v>26</v>
      </c>
      <c r="E121">
        <v>74.5</v>
      </c>
      <c r="F121">
        <v>9.5</v>
      </c>
      <c r="G121">
        <v>0</v>
      </c>
      <c r="I121" s="16"/>
      <c r="J121" s="16"/>
    </row>
    <row r="122" spans="1:10" x14ac:dyDescent="0.25">
      <c r="A122" t="s">
        <v>29</v>
      </c>
      <c r="B122">
        <v>2015</v>
      </c>
      <c r="C122">
        <v>9</v>
      </c>
      <c r="D122">
        <v>27</v>
      </c>
      <c r="E122">
        <v>75.5</v>
      </c>
      <c r="F122">
        <v>10.5</v>
      </c>
      <c r="G122">
        <v>0</v>
      </c>
      <c r="I122" s="16"/>
      <c r="J122" s="16"/>
    </row>
    <row r="123" spans="1:10" x14ac:dyDescent="0.25">
      <c r="A123" t="s">
        <v>29</v>
      </c>
      <c r="B123">
        <v>2015</v>
      </c>
      <c r="C123">
        <v>9</v>
      </c>
      <c r="D123">
        <v>28</v>
      </c>
      <c r="E123">
        <v>77.5</v>
      </c>
      <c r="F123">
        <v>12.5</v>
      </c>
      <c r="G123">
        <v>0</v>
      </c>
      <c r="I123" s="16"/>
      <c r="J123" s="16"/>
    </row>
    <row r="124" spans="1:10" ht="15.75" thickBot="1" x14ac:dyDescent="0.3">
      <c r="A124" t="s">
        <v>29</v>
      </c>
      <c r="B124">
        <v>2015</v>
      </c>
      <c r="C124">
        <v>9</v>
      </c>
      <c r="D124">
        <v>29</v>
      </c>
      <c r="E124">
        <v>78</v>
      </c>
      <c r="F124">
        <v>13</v>
      </c>
      <c r="G124">
        <v>0</v>
      </c>
      <c r="I124" s="16"/>
      <c r="J124" s="16"/>
    </row>
    <row r="125" spans="1:10" ht="15.75" thickBot="1" x14ac:dyDescent="0.3">
      <c r="A125" s="17" t="s">
        <v>29</v>
      </c>
      <c r="B125" s="18">
        <v>2015</v>
      </c>
      <c r="C125" s="18">
        <v>9</v>
      </c>
      <c r="D125" s="18">
        <v>30</v>
      </c>
      <c r="E125" s="18">
        <v>76</v>
      </c>
      <c r="F125" s="18">
        <v>11</v>
      </c>
      <c r="G125" s="18">
        <v>0</v>
      </c>
      <c r="H125" s="18"/>
      <c r="I125" s="19">
        <f>(30.435*(F125+2*F124+3*F123+4*F122+5*F121+6*F120+7*F119+8*F118+9*F117+10*F116+11*F115+12*F114+13*F113+14*F112+15*F111+16*F110+17*F109+18*F108+19*F107+20*F106+21*F105+22*F104+23*F103+24*F102+25*F101+26*F100+27*F99+28*F98+29*F97+30*F96+30*F95+29*F94+28*F93+27*F92+26*F91+25*F90+24*F89+23*F88+22*F87+21*F86+20*F85+19*F84+18*F83+17*F82+16*F81+15*F80+14*F79+13*F78+12*F77+11*F76+10*F75+9*F74+8*F73+7*F72+6*F71+5*F70+4*F69+3*F68+2*F67+1*F66)/930)</f>
        <v>455.54322580645157</v>
      </c>
      <c r="J125" s="20">
        <f>(30.435*(G125+2*G124+3*G123+4*G122+5*G121+6*G120+7*G119+8*G118+9*G117+10*G116+11*G115+12*G114+13*G113+14*G112+15*G111+16*G110+17*G109+18*G108+19*G107+20*G106+21*G105+22*G104+23*G103+24*G102+25*G101+26*G100+27*G99+28*G98+29*G97+30*G96+30*G95+29*G94+28*G93+27*G92+26*G91+25*G90+24*G89+23*G88+22*G87+21*G86+20*G85+19*G84+18*G83+17*G82+16*G81+15*G80+14*G79+13*G78+12*G77+11*G76+10*G75+9*G74+8*G73+7*G72+6*G71+5*G70+4*G69+3*G68+2*G67+1*G66)/930)</f>
        <v>0</v>
      </c>
    </row>
    <row r="126" spans="1:10" x14ac:dyDescent="0.25">
      <c r="A126" t="s">
        <v>29</v>
      </c>
      <c r="B126">
        <v>2015</v>
      </c>
      <c r="C126">
        <v>10</v>
      </c>
      <c r="D126">
        <v>1</v>
      </c>
      <c r="E126">
        <v>71.5</v>
      </c>
      <c r="F126">
        <v>6.5</v>
      </c>
      <c r="G126">
        <v>0</v>
      </c>
      <c r="I126" s="16"/>
      <c r="J126" s="16"/>
    </row>
    <row r="127" spans="1:10" x14ac:dyDescent="0.25">
      <c r="A127" t="s">
        <v>29</v>
      </c>
      <c r="B127">
        <v>2015</v>
      </c>
      <c r="C127">
        <v>10</v>
      </c>
      <c r="D127">
        <v>2</v>
      </c>
      <c r="E127">
        <v>66.5</v>
      </c>
      <c r="F127">
        <v>1.5</v>
      </c>
      <c r="G127">
        <v>0</v>
      </c>
      <c r="I127" s="16"/>
      <c r="J127" s="16"/>
    </row>
    <row r="128" spans="1:10" x14ac:dyDescent="0.25">
      <c r="A128" t="s">
        <v>29</v>
      </c>
      <c r="B128">
        <v>2015</v>
      </c>
      <c r="C128">
        <v>10</v>
      </c>
      <c r="D128">
        <v>3</v>
      </c>
      <c r="E128">
        <v>64.5</v>
      </c>
      <c r="F128">
        <v>0</v>
      </c>
      <c r="G128">
        <v>0</v>
      </c>
      <c r="I128" s="16"/>
      <c r="J128" s="16"/>
    </row>
    <row r="129" spans="1:10" x14ac:dyDescent="0.25">
      <c r="A129" t="s">
        <v>29</v>
      </c>
      <c r="B129">
        <v>2015</v>
      </c>
      <c r="C129">
        <v>10</v>
      </c>
      <c r="D129">
        <v>4</v>
      </c>
      <c r="E129">
        <v>62.5</v>
      </c>
      <c r="F129">
        <v>0</v>
      </c>
      <c r="G129">
        <v>0</v>
      </c>
      <c r="I129" s="16"/>
      <c r="J129" s="16"/>
    </row>
    <row r="130" spans="1:10" x14ac:dyDescent="0.25">
      <c r="A130" t="s">
        <v>29</v>
      </c>
      <c r="B130">
        <v>2015</v>
      </c>
      <c r="C130">
        <v>10</v>
      </c>
      <c r="D130">
        <v>5</v>
      </c>
      <c r="E130">
        <v>66.5</v>
      </c>
      <c r="F130">
        <v>1.5</v>
      </c>
      <c r="G130">
        <v>0</v>
      </c>
      <c r="I130" s="16"/>
      <c r="J130" s="16"/>
    </row>
    <row r="131" spans="1:10" x14ac:dyDescent="0.25">
      <c r="A131" t="s">
        <v>29</v>
      </c>
      <c r="B131">
        <v>2015</v>
      </c>
      <c r="C131">
        <v>10</v>
      </c>
      <c r="D131">
        <v>6</v>
      </c>
      <c r="E131">
        <v>72.5</v>
      </c>
      <c r="F131">
        <v>7.5</v>
      </c>
      <c r="G131">
        <v>0</v>
      </c>
      <c r="I131" s="16"/>
      <c r="J131" s="16"/>
    </row>
    <row r="132" spans="1:10" x14ac:dyDescent="0.25">
      <c r="A132" t="s">
        <v>29</v>
      </c>
      <c r="B132">
        <v>2015</v>
      </c>
      <c r="C132">
        <v>10</v>
      </c>
      <c r="D132">
        <v>7</v>
      </c>
      <c r="E132">
        <v>73.5</v>
      </c>
      <c r="F132">
        <v>8.5</v>
      </c>
      <c r="G132">
        <v>0</v>
      </c>
      <c r="I132" s="16"/>
      <c r="J132" s="16"/>
    </row>
    <row r="133" spans="1:10" x14ac:dyDescent="0.25">
      <c r="A133" t="s">
        <v>29</v>
      </c>
      <c r="B133">
        <v>2015</v>
      </c>
      <c r="C133">
        <v>10</v>
      </c>
      <c r="D133">
        <v>8</v>
      </c>
      <c r="E133">
        <v>76</v>
      </c>
      <c r="F133">
        <v>11</v>
      </c>
      <c r="G133">
        <v>0</v>
      </c>
      <c r="I133" s="16"/>
      <c r="J133" s="16"/>
    </row>
    <row r="134" spans="1:10" x14ac:dyDescent="0.25">
      <c r="A134" t="s">
        <v>29</v>
      </c>
      <c r="B134">
        <v>2015</v>
      </c>
      <c r="C134">
        <v>10</v>
      </c>
      <c r="D134">
        <v>9</v>
      </c>
      <c r="E134">
        <v>78</v>
      </c>
      <c r="F134">
        <v>13</v>
      </c>
      <c r="G134">
        <v>0</v>
      </c>
      <c r="I134" s="16"/>
      <c r="J134" s="16"/>
    </row>
    <row r="135" spans="1:10" x14ac:dyDescent="0.25">
      <c r="A135" t="s">
        <v>29</v>
      </c>
      <c r="B135">
        <v>2015</v>
      </c>
      <c r="C135">
        <v>10</v>
      </c>
      <c r="D135">
        <v>10</v>
      </c>
      <c r="E135">
        <v>69</v>
      </c>
      <c r="F135">
        <v>4</v>
      </c>
      <c r="G135">
        <v>0</v>
      </c>
      <c r="I135" s="16"/>
      <c r="J135" s="16"/>
    </row>
    <row r="136" spans="1:10" x14ac:dyDescent="0.25">
      <c r="A136" t="s">
        <v>29</v>
      </c>
      <c r="B136">
        <v>2015</v>
      </c>
      <c r="C136">
        <v>10</v>
      </c>
      <c r="D136">
        <v>11</v>
      </c>
      <c r="E136">
        <v>68.5</v>
      </c>
      <c r="F136">
        <v>3.5</v>
      </c>
      <c r="G136">
        <v>0</v>
      </c>
      <c r="I136" s="16"/>
      <c r="J136" s="16"/>
    </row>
    <row r="137" spans="1:10" x14ac:dyDescent="0.25">
      <c r="A137" t="s">
        <v>29</v>
      </c>
      <c r="B137">
        <v>2015</v>
      </c>
      <c r="C137">
        <v>10</v>
      </c>
      <c r="D137">
        <v>12</v>
      </c>
      <c r="E137">
        <v>81</v>
      </c>
      <c r="F137">
        <v>16</v>
      </c>
      <c r="G137">
        <v>0</v>
      </c>
      <c r="I137" s="16"/>
      <c r="J137" s="16"/>
    </row>
    <row r="138" spans="1:10" x14ac:dyDescent="0.25">
      <c r="A138" t="s">
        <v>29</v>
      </c>
      <c r="B138">
        <v>2015</v>
      </c>
      <c r="C138">
        <v>10</v>
      </c>
      <c r="D138">
        <v>13</v>
      </c>
      <c r="E138">
        <v>72</v>
      </c>
      <c r="F138">
        <v>7</v>
      </c>
      <c r="G138">
        <v>0</v>
      </c>
      <c r="I138" s="16"/>
      <c r="J138" s="16"/>
    </row>
    <row r="139" spans="1:10" x14ac:dyDescent="0.25">
      <c r="A139" t="s">
        <v>29</v>
      </c>
      <c r="B139">
        <v>2015</v>
      </c>
      <c r="C139">
        <v>10</v>
      </c>
      <c r="D139">
        <v>14</v>
      </c>
      <c r="E139">
        <v>73</v>
      </c>
      <c r="F139">
        <v>8</v>
      </c>
      <c r="G139">
        <v>0</v>
      </c>
      <c r="I139" s="16"/>
      <c r="J139" s="16"/>
    </row>
    <row r="140" spans="1:10" x14ac:dyDescent="0.25">
      <c r="A140" t="s">
        <v>29</v>
      </c>
      <c r="B140">
        <v>2015</v>
      </c>
      <c r="C140">
        <v>10</v>
      </c>
      <c r="D140">
        <v>15</v>
      </c>
      <c r="E140">
        <v>77.5</v>
      </c>
      <c r="F140">
        <v>12.5</v>
      </c>
      <c r="G140">
        <v>0</v>
      </c>
      <c r="I140" s="16"/>
      <c r="J140" s="16"/>
    </row>
    <row r="141" spans="1:10" x14ac:dyDescent="0.25">
      <c r="A141" t="s">
        <v>29</v>
      </c>
      <c r="B141">
        <v>2015</v>
      </c>
      <c r="C141">
        <v>10</v>
      </c>
      <c r="D141">
        <v>16</v>
      </c>
      <c r="E141">
        <v>71</v>
      </c>
      <c r="F141">
        <v>6</v>
      </c>
      <c r="G141">
        <v>0</v>
      </c>
      <c r="I141" s="16"/>
      <c r="J141" s="16"/>
    </row>
    <row r="142" spans="1:10" x14ac:dyDescent="0.25">
      <c r="A142" t="s">
        <v>29</v>
      </c>
      <c r="B142">
        <v>2015</v>
      </c>
      <c r="C142">
        <v>10</v>
      </c>
      <c r="D142">
        <v>17</v>
      </c>
      <c r="E142">
        <v>61</v>
      </c>
      <c r="F142">
        <v>0</v>
      </c>
      <c r="G142">
        <v>0</v>
      </c>
      <c r="I142" s="16"/>
      <c r="J142" s="16"/>
    </row>
    <row r="143" spans="1:10" x14ac:dyDescent="0.25">
      <c r="A143" t="s">
        <v>29</v>
      </c>
      <c r="B143">
        <v>2015</v>
      </c>
      <c r="C143">
        <v>10</v>
      </c>
      <c r="D143">
        <v>18</v>
      </c>
      <c r="E143">
        <v>59</v>
      </c>
      <c r="F143">
        <v>0</v>
      </c>
      <c r="G143">
        <v>0</v>
      </c>
      <c r="I143" s="16"/>
      <c r="J143" s="16"/>
    </row>
    <row r="144" spans="1:10" x14ac:dyDescent="0.25">
      <c r="A144" t="s">
        <v>29</v>
      </c>
      <c r="B144">
        <v>2015</v>
      </c>
      <c r="C144">
        <v>10</v>
      </c>
      <c r="D144">
        <v>19</v>
      </c>
      <c r="E144">
        <v>61.5</v>
      </c>
      <c r="F144">
        <v>0</v>
      </c>
      <c r="G144">
        <v>0</v>
      </c>
      <c r="I144" s="16"/>
      <c r="J144" s="16"/>
    </row>
    <row r="145" spans="1:10" x14ac:dyDescent="0.25">
      <c r="A145" t="s">
        <v>29</v>
      </c>
      <c r="B145">
        <v>2015</v>
      </c>
      <c r="C145">
        <v>10</v>
      </c>
      <c r="D145">
        <v>20</v>
      </c>
      <c r="E145">
        <v>68.5</v>
      </c>
      <c r="F145">
        <v>3.5</v>
      </c>
      <c r="G145">
        <v>0</v>
      </c>
      <c r="I145" s="16"/>
      <c r="J145" s="16"/>
    </row>
    <row r="146" spans="1:10" x14ac:dyDescent="0.25">
      <c r="A146" t="s">
        <v>29</v>
      </c>
      <c r="B146">
        <v>2015</v>
      </c>
      <c r="C146">
        <v>10</v>
      </c>
      <c r="D146">
        <v>21</v>
      </c>
      <c r="E146">
        <v>73</v>
      </c>
      <c r="F146">
        <v>8</v>
      </c>
      <c r="G146">
        <v>0</v>
      </c>
      <c r="I146" s="16"/>
      <c r="J146" s="16"/>
    </row>
    <row r="147" spans="1:10" x14ac:dyDescent="0.25">
      <c r="A147" t="s">
        <v>29</v>
      </c>
      <c r="B147">
        <v>2015</v>
      </c>
      <c r="C147">
        <v>10</v>
      </c>
      <c r="D147">
        <v>22</v>
      </c>
      <c r="E147">
        <v>71.5</v>
      </c>
      <c r="F147">
        <v>6.5</v>
      </c>
      <c r="G147">
        <v>0</v>
      </c>
      <c r="I147" s="16"/>
      <c r="J147" s="16"/>
    </row>
    <row r="148" spans="1:10" x14ac:dyDescent="0.25">
      <c r="A148" t="s">
        <v>29</v>
      </c>
      <c r="B148">
        <v>2015</v>
      </c>
      <c r="C148">
        <v>10</v>
      </c>
      <c r="D148">
        <v>23</v>
      </c>
      <c r="E148">
        <v>70.5</v>
      </c>
      <c r="F148">
        <v>5.5</v>
      </c>
      <c r="G148">
        <v>0</v>
      </c>
      <c r="I148" s="16"/>
      <c r="J148" s="16"/>
    </row>
    <row r="149" spans="1:10" x14ac:dyDescent="0.25">
      <c r="A149" t="s">
        <v>29</v>
      </c>
      <c r="B149">
        <v>2015</v>
      </c>
      <c r="C149">
        <v>10</v>
      </c>
      <c r="D149">
        <v>24</v>
      </c>
      <c r="E149">
        <v>66.5</v>
      </c>
      <c r="F149">
        <v>1.5</v>
      </c>
      <c r="G149">
        <v>0</v>
      </c>
      <c r="I149" s="16"/>
      <c r="J149" s="16"/>
    </row>
    <row r="150" spans="1:10" x14ac:dyDescent="0.25">
      <c r="A150" t="s">
        <v>29</v>
      </c>
      <c r="B150">
        <v>2015</v>
      </c>
      <c r="C150">
        <v>10</v>
      </c>
      <c r="D150">
        <v>25</v>
      </c>
      <c r="E150">
        <v>58.5</v>
      </c>
      <c r="F150">
        <v>0</v>
      </c>
      <c r="G150">
        <v>0</v>
      </c>
      <c r="I150" s="16"/>
      <c r="J150" s="16"/>
    </row>
    <row r="151" spans="1:10" x14ac:dyDescent="0.25">
      <c r="A151" t="s">
        <v>29</v>
      </c>
      <c r="B151">
        <v>2015</v>
      </c>
      <c r="C151">
        <v>10</v>
      </c>
      <c r="D151">
        <v>26</v>
      </c>
      <c r="E151">
        <v>59.5</v>
      </c>
      <c r="F151">
        <v>0</v>
      </c>
      <c r="G151">
        <v>0</v>
      </c>
      <c r="I151" s="16"/>
      <c r="J151" s="16"/>
    </row>
    <row r="152" spans="1:10" x14ac:dyDescent="0.25">
      <c r="A152" t="s">
        <v>29</v>
      </c>
      <c r="B152">
        <v>2015</v>
      </c>
      <c r="C152">
        <v>10</v>
      </c>
      <c r="D152">
        <v>27</v>
      </c>
      <c r="E152">
        <v>68</v>
      </c>
      <c r="F152">
        <v>3</v>
      </c>
      <c r="G152">
        <v>0</v>
      </c>
      <c r="I152" s="16"/>
      <c r="J152" s="16"/>
    </row>
    <row r="153" spans="1:10" x14ac:dyDescent="0.25">
      <c r="A153" t="s">
        <v>29</v>
      </c>
      <c r="B153">
        <v>2015</v>
      </c>
      <c r="C153">
        <v>10</v>
      </c>
      <c r="D153">
        <v>28</v>
      </c>
      <c r="E153">
        <v>66.5</v>
      </c>
      <c r="F153">
        <v>1.5</v>
      </c>
      <c r="G153">
        <v>0</v>
      </c>
      <c r="I153" s="16"/>
      <c r="J153" s="16"/>
    </row>
    <row r="154" spans="1:10" x14ac:dyDescent="0.25">
      <c r="A154" t="s">
        <v>29</v>
      </c>
      <c r="B154">
        <v>2015</v>
      </c>
      <c r="C154">
        <v>10</v>
      </c>
      <c r="D154">
        <v>29</v>
      </c>
      <c r="E154">
        <v>62</v>
      </c>
      <c r="F154">
        <v>0</v>
      </c>
      <c r="G154">
        <v>0</v>
      </c>
      <c r="I154" s="16"/>
      <c r="J154" s="16"/>
    </row>
    <row r="155" spans="1:10" ht="15.75" thickBot="1" x14ac:dyDescent="0.3">
      <c r="A155" t="s">
        <v>29</v>
      </c>
      <c r="B155">
        <v>2015</v>
      </c>
      <c r="C155">
        <v>10</v>
      </c>
      <c r="D155">
        <v>30</v>
      </c>
      <c r="E155">
        <v>57.5</v>
      </c>
      <c r="F155">
        <v>0</v>
      </c>
      <c r="G155">
        <v>0</v>
      </c>
      <c r="I155" s="16"/>
      <c r="J155" s="16"/>
    </row>
    <row r="156" spans="1:10" ht="15.75" thickBot="1" x14ac:dyDescent="0.3">
      <c r="A156" s="17" t="s">
        <v>29</v>
      </c>
      <c r="B156" s="18">
        <v>2015</v>
      </c>
      <c r="C156" s="18">
        <v>10</v>
      </c>
      <c r="D156" s="18">
        <v>31</v>
      </c>
      <c r="E156" s="18">
        <v>65.5</v>
      </c>
      <c r="F156" s="18">
        <v>0.5</v>
      </c>
      <c r="G156" s="18">
        <v>0</v>
      </c>
      <c r="H156" s="18"/>
      <c r="I156" s="19">
        <f>(30.435*(F156+2*F155+3*F154+4*F153+5*F152+6*F151+7*F150+8*F149+9*F148+10*F147+11*F146+12*F145+13*F144+14*F143+15*F142+16*F141+17*F140+18*F139+19*F138+20*F137+21*F136+22*F135+23*F134+24*F133+25*F132+26*F131+27*F130+28*F129+29*F128+30*F127+30*F126+29*F125+28*F124+27*F123+26*F122+25*F121+24*F120+23*F119+22*F118+21*F117+20*F116+19*F115+18*F114+17*F113+16*F112+15*F111+14*F110+13*F109+12*F108+11*F107+10*F106+9*F105+8*F104+7*F103+6*F102+5*F101+4*F100+3*F99+2*F98+1*F97)/930)</f>
        <v>259.41746774193547</v>
      </c>
      <c r="J156" s="20">
        <f>(30.435*(G156+2*G155+3*G154+4*G153+5*G152+6*G151+7*G150+8*G149+9*G148+10*G147+11*G146+12*G145+13*G144+14*G143+15*G142+16*G141+17*G140+18*G139+19*G138+20*G137+21*G136+22*G135+23*G134+24*G133+25*G132+26*G131+27*G130+28*G129+29*G128+30*G127+30*G126+29*G125+28*G124+27*G123+26*G122+25*G121+24*G120+23*G119+22*G118+21*G117+20*G116+19*G115+18*G114+17*G113+16*G112+15*G111+14*G110+13*G109+12*G108+11*G107+10*G106+9*G105+8*G104+7*G103+6*G102+5*G101+4*G100+3*G99+2*G98+1*G97)/930)</f>
        <v>0</v>
      </c>
    </row>
    <row r="157" spans="1:10" x14ac:dyDescent="0.25">
      <c r="A157" t="s">
        <v>29</v>
      </c>
      <c r="B157">
        <v>2015</v>
      </c>
      <c r="C157">
        <v>11</v>
      </c>
      <c r="D157">
        <v>1</v>
      </c>
      <c r="E157">
        <v>64</v>
      </c>
      <c r="F157">
        <v>0</v>
      </c>
      <c r="G157">
        <v>0</v>
      </c>
      <c r="I157" s="16"/>
      <c r="J157" s="16"/>
    </row>
    <row r="158" spans="1:10" x14ac:dyDescent="0.25">
      <c r="A158" t="s">
        <v>29</v>
      </c>
      <c r="B158">
        <v>2015</v>
      </c>
      <c r="C158">
        <v>11</v>
      </c>
      <c r="D158">
        <v>2</v>
      </c>
      <c r="E158">
        <v>64</v>
      </c>
      <c r="F158">
        <v>0</v>
      </c>
      <c r="G158">
        <v>0</v>
      </c>
      <c r="I158" s="16"/>
      <c r="J158" s="16"/>
    </row>
    <row r="159" spans="1:10" x14ac:dyDescent="0.25">
      <c r="A159" t="s">
        <v>29</v>
      </c>
      <c r="B159">
        <v>2015</v>
      </c>
      <c r="C159">
        <v>11</v>
      </c>
      <c r="D159">
        <v>3</v>
      </c>
      <c r="E159">
        <v>60.5</v>
      </c>
      <c r="F159">
        <v>0</v>
      </c>
      <c r="G159">
        <v>0</v>
      </c>
      <c r="I159" s="16"/>
      <c r="J159" s="16"/>
    </row>
    <row r="160" spans="1:10" x14ac:dyDescent="0.25">
      <c r="A160" t="s">
        <v>29</v>
      </c>
      <c r="B160">
        <v>2015</v>
      </c>
      <c r="C160">
        <v>11</v>
      </c>
      <c r="D160">
        <v>4</v>
      </c>
      <c r="E160">
        <v>69</v>
      </c>
      <c r="F160">
        <v>4</v>
      </c>
      <c r="G160">
        <v>0</v>
      </c>
      <c r="I160" s="16"/>
      <c r="J160" s="16"/>
    </row>
    <row r="161" spans="1:10" x14ac:dyDescent="0.25">
      <c r="A161" t="s">
        <v>29</v>
      </c>
      <c r="B161">
        <v>2015</v>
      </c>
      <c r="C161">
        <v>11</v>
      </c>
      <c r="D161">
        <v>5</v>
      </c>
      <c r="E161">
        <v>71.5</v>
      </c>
      <c r="F161">
        <v>6.5</v>
      </c>
      <c r="G161">
        <v>0</v>
      </c>
      <c r="I161" s="16"/>
      <c r="J161" s="16"/>
    </row>
    <row r="162" spans="1:10" x14ac:dyDescent="0.25">
      <c r="A162" t="s">
        <v>29</v>
      </c>
      <c r="B162">
        <v>2015</v>
      </c>
      <c r="C162">
        <v>11</v>
      </c>
      <c r="D162">
        <v>6</v>
      </c>
      <c r="E162">
        <v>66</v>
      </c>
      <c r="F162">
        <v>1</v>
      </c>
      <c r="G162">
        <v>0</v>
      </c>
      <c r="I162" s="16"/>
      <c r="J162" s="16"/>
    </row>
    <row r="163" spans="1:10" x14ac:dyDescent="0.25">
      <c r="A163" t="s">
        <v>29</v>
      </c>
      <c r="B163">
        <v>2015</v>
      </c>
      <c r="C163">
        <v>11</v>
      </c>
      <c r="D163">
        <v>7</v>
      </c>
      <c r="E163">
        <v>58.5</v>
      </c>
      <c r="F163">
        <v>0</v>
      </c>
      <c r="G163">
        <v>0</v>
      </c>
      <c r="I163" s="16"/>
      <c r="J163" s="16"/>
    </row>
    <row r="164" spans="1:10" x14ac:dyDescent="0.25">
      <c r="A164" t="s">
        <v>29</v>
      </c>
      <c r="B164">
        <v>2015</v>
      </c>
      <c r="C164">
        <v>11</v>
      </c>
      <c r="D164">
        <v>8</v>
      </c>
      <c r="E164">
        <v>54.5</v>
      </c>
      <c r="F164">
        <v>0</v>
      </c>
      <c r="G164">
        <v>0.5</v>
      </c>
      <c r="I164" s="16"/>
      <c r="J164" s="16"/>
    </row>
    <row r="165" spans="1:10" x14ac:dyDescent="0.25">
      <c r="A165" t="s">
        <v>29</v>
      </c>
      <c r="B165">
        <v>2015</v>
      </c>
      <c r="C165">
        <v>11</v>
      </c>
      <c r="D165">
        <v>9</v>
      </c>
      <c r="E165">
        <v>54</v>
      </c>
      <c r="F165">
        <v>0</v>
      </c>
      <c r="G165">
        <v>1</v>
      </c>
      <c r="I165" s="16"/>
      <c r="J165" s="16"/>
    </row>
    <row r="166" spans="1:10" x14ac:dyDescent="0.25">
      <c r="A166" t="s">
        <v>29</v>
      </c>
      <c r="B166">
        <v>2015</v>
      </c>
      <c r="C166">
        <v>11</v>
      </c>
      <c r="D166">
        <v>10</v>
      </c>
      <c r="E166">
        <v>59.5</v>
      </c>
      <c r="F166">
        <v>0</v>
      </c>
      <c r="G166">
        <v>0</v>
      </c>
      <c r="I166" s="16"/>
      <c r="J166" s="16"/>
    </row>
    <row r="167" spans="1:10" x14ac:dyDescent="0.25">
      <c r="A167" t="s">
        <v>29</v>
      </c>
      <c r="B167">
        <v>2015</v>
      </c>
      <c r="C167">
        <v>11</v>
      </c>
      <c r="D167">
        <v>11</v>
      </c>
      <c r="E167">
        <v>68</v>
      </c>
      <c r="F167">
        <v>3</v>
      </c>
      <c r="G167">
        <v>0</v>
      </c>
      <c r="I167" s="16"/>
      <c r="J167" s="16"/>
    </row>
    <row r="168" spans="1:10" x14ac:dyDescent="0.25">
      <c r="A168" t="s">
        <v>29</v>
      </c>
      <c r="B168">
        <v>2015</v>
      </c>
      <c r="C168">
        <v>11</v>
      </c>
      <c r="D168">
        <v>12</v>
      </c>
      <c r="E168">
        <v>56.5</v>
      </c>
      <c r="F168">
        <v>0</v>
      </c>
      <c r="G168">
        <v>0</v>
      </c>
      <c r="I168" s="16"/>
      <c r="J168" s="16"/>
    </row>
    <row r="169" spans="1:10" x14ac:dyDescent="0.25">
      <c r="A169" t="s">
        <v>29</v>
      </c>
      <c r="B169">
        <v>2015</v>
      </c>
      <c r="C169">
        <v>11</v>
      </c>
      <c r="D169">
        <v>13</v>
      </c>
      <c r="E169">
        <v>53</v>
      </c>
      <c r="F169">
        <v>0</v>
      </c>
      <c r="G169">
        <v>2</v>
      </c>
      <c r="I169" s="16"/>
      <c r="J169" s="16"/>
    </row>
    <row r="170" spans="1:10" x14ac:dyDescent="0.25">
      <c r="A170" t="s">
        <v>29</v>
      </c>
      <c r="B170">
        <v>2015</v>
      </c>
      <c r="C170">
        <v>11</v>
      </c>
      <c r="D170">
        <v>14</v>
      </c>
      <c r="E170">
        <v>52.5</v>
      </c>
      <c r="F170">
        <v>0</v>
      </c>
      <c r="G170">
        <v>2.5</v>
      </c>
      <c r="I170" s="16"/>
      <c r="J170" s="16"/>
    </row>
    <row r="171" spans="1:10" x14ac:dyDescent="0.25">
      <c r="A171" t="s">
        <v>29</v>
      </c>
      <c r="B171">
        <v>2015</v>
      </c>
      <c r="C171">
        <v>11</v>
      </c>
      <c r="D171">
        <v>15</v>
      </c>
      <c r="E171">
        <v>57</v>
      </c>
      <c r="F171">
        <v>0</v>
      </c>
      <c r="G171">
        <v>0</v>
      </c>
      <c r="I171" s="16"/>
      <c r="J171" s="16"/>
    </row>
    <row r="172" spans="1:10" x14ac:dyDescent="0.25">
      <c r="A172" t="s">
        <v>29</v>
      </c>
      <c r="B172">
        <v>2015</v>
      </c>
      <c r="C172">
        <v>11</v>
      </c>
      <c r="D172">
        <v>16</v>
      </c>
      <c r="E172">
        <v>62</v>
      </c>
      <c r="F172">
        <v>0</v>
      </c>
      <c r="G172">
        <v>0</v>
      </c>
      <c r="I172" s="16"/>
      <c r="J172" s="16"/>
    </row>
    <row r="173" spans="1:10" x14ac:dyDescent="0.25">
      <c r="A173" t="s">
        <v>29</v>
      </c>
      <c r="B173">
        <v>2015</v>
      </c>
      <c r="C173">
        <v>11</v>
      </c>
      <c r="D173">
        <v>17</v>
      </c>
      <c r="E173">
        <v>62</v>
      </c>
      <c r="F173">
        <v>0</v>
      </c>
      <c r="G173">
        <v>0</v>
      </c>
      <c r="I173" s="16"/>
      <c r="J173" s="16"/>
    </row>
    <row r="174" spans="1:10" x14ac:dyDescent="0.25">
      <c r="A174" t="s">
        <v>29</v>
      </c>
      <c r="B174">
        <v>2015</v>
      </c>
      <c r="C174">
        <v>11</v>
      </c>
      <c r="D174">
        <v>18</v>
      </c>
      <c r="E174">
        <v>54.5</v>
      </c>
      <c r="F174">
        <v>0</v>
      </c>
      <c r="G174">
        <v>0.5</v>
      </c>
      <c r="I174" s="16"/>
      <c r="J174" s="16"/>
    </row>
    <row r="175" spans="1:10" x14ac:dyDescent="0.25">
      <c r="A175" t="s">
        <v>29</v>
      </c>
      <c r="B175">
        <v>2015</v>
      </c>
      <c r="C175">
        <v>11</v>
      </c>
      <c r="D175">
        <v>19</v>
      </c>
      <c r="E175">
        <v>55.5</v>
      </c>
      <c r="F175">
        <v>0</v>
      </c>
      <c r="G175">
        <v>0</v>
      </c>
      <c r="I175" s="16"/>
      <c r="J175" s="16"/>
    </row>
    <row r="176" spans="1:10" x14ac:dyDescent="0.25">
      <c r="A176" t="s">
        <v>29</v>
      </c>
      <c r="B176">
        <v>2015</v>
      </c>
      <c r="C176">
        <v>11</v>
      </c>
      <c r="D176">
        <v>20</v>
      </c>
      <c r="E176">
        <v>55</v>
      </c>
      <c r="F176">
        <v>0</v>
      </c>
      <c r="G176">
        <v>0</v>
      </c>
      <c r="I176" s="16"/>
      <c r="J176" s="16"/>
    </row>
    <row r="177" spans="1:10" x14ac:dyDescent="0.25">
      <c r="A177" t="s">
        <v>29</v>
      </c>
      <c r="B177">
        <v>2015</v>
      </c>
      <c r="C177">
        <v>11</v>
      </c>
      <c r="D177">
        <v>21</v>
      </c>
      <c r="E177">
        <v>44.5</v>
      </c>
      <c r="F177">
        <v>0</v>
      </c>
      <c r="G177">
        <v>10.5</v>
      </c>
      <c r="I177" s="16"/>
      <c r="J177" s="16"/>
    </row>
    <row r="178" spans="1:10" x14ac:dyDescent="0.25">
      <c r="A178" t="s">
        <v>29</v>
      </c>
      <c r="B178">
        <v>2015</v>
      </c>
      <c r="C178">
        <v>11</v>
      </c>
      <c r="D178">
        <v>22</v>
      </c>
      <c r="E178">
        <v>39.5</v>
      </c>
      <c r="F178">
        <v>0</v>
      </c>
      <c r="G178">
        <v>15.5</v>
      </c>
      <c r="I178" s="16"/>
      <c r="J178" s="16"/>
    </row>
    <row r="179" spans="1:10" x14ac:dyDescent="0.25">
      <c r="A179" t="s">
        <v>29</v>
      </c>
      <c r="B179">
        <v>2015</v>
      </c>
      <c r="C179">
        <v>11</v>
      </c>
      <c r="D179">
        <v>23</v>
      </c>
      <c r="E179">
        <v>46.5</v>
      </c>
      <c r="F179">
        <v>0</v>
      </c>
      <c r="G179">
        <v>8.5</v>
      </c>
      <c r="I179" s="16"/>
      <c r="J179" s="16"/>
    </row>
    <row r="180" spans="1:10" x14ac:dyDescent="0.25">
      <c r="A180" t="s">
        <v>29</v>
      </c>
      <c r="B180">
        <v>2015</v>
      </c>
      <c r="C180">
        <v>11</v>
      </c>
      <c r="D180">
        <v>24</v>
      </c>
      <c r="E180">
        <v>51.5</v>
      </c>
      <c r="F180">
        <v>0</v>
      </c>
      <c r="G180">
        <v>3.5</v>
      </c>
      <c r="I180" s="16"/>
      <c r="J180" s="16"/>
    </row>
    <row r="181" spans="1:10" x14ac:dyDescent="0.25">
      <c r="A181" t="s">
        <v>29</v>
      </c>
      <c r="B181">
        <v>2015</v>
      </c>
      <c r="C181">
        <v>11</v>
      </c>
      <c r="D181">
        <v>25</v>
      </c>
      <c r="E181">
        <v>61.5</v>
      </c>
      <c r="F181">
        <v>0</v>
      </c>
      <c r="G181">
        <v>0</v>
      </c>
      <c r="I181" s="16"/>
      <c r="J181" s="16"/>
    </row>
    <row r="182" spans="1:10" x14ac:dyDescent="0.25">
      <c r="A182" t="s">
        <v>29</v>
      </c>
      <c r="B182">
        <v>2015</v>
      </c>
      <c r="C182">
        <v>11</v>
      </c>
      <c r="D182">
        <v>26</v>
      </c>
      <c r="E182">
        <v>65.5</v>
      </c>
      <c r="F182">
        <v>0.5</v>
      </c>
      <c r="G182">
        <v>0</v>
      </c>
      <c r="I182" s="16"/>
      <c r="J182" s="16"/>
    </row>
    <row r="183" spans="1:10" x14ac:dyDescent="0.25">
      <c r="A183" t="s">
        <v>29</v>
      </c>
      <c r="B183">
        <v>2015</v>
      </c>
      <c r="C183">
        <v>11</v>
      </c>
      <c r="D183">
        <v>27</v>
      </c>
      <c r="E183">
        <v>59.5</v>
      </c>
      <c r="F183">
        <v>0</v>
      </c>
      <c r="G183">
        <v>0</v>
      </c>
      <c r="I183" s="16"/>
      <c r="J183" s="16"/>
    </row>
    <row r="184" spans="1:10" x14ac:dyDescent="0.25">
      <c r="A184" t="s">
        <v>29</v>
      </c>
      <c r="B184">
        <v>2015</v>
      </c>
      <c r="C184">
        <v>11</v>
      </c>
      <c r="D184">
        <v>28</v>
      </c>
      <c r="E184">
        <v>49.5</v>
      </c>
      <c r="F184">
        <v>0</v>
      </c>
      <c r="G184">
        <v>5.5</v>
      </c>
      <c r="I184" s="16"/>
      <c r="J184" s="16"/>
    </row>
    <row r="185" spans="1:10" ht="15.75" thickBot="1" x14ac:dyDescent="0.3">
      <c r="A185" t="s">
        <v>29</v>
      </c>
      <c r="B185">
        <v>2015</v>
      </c>
      <c r="C185">
        <v>11</v>
      </c>
      <c r="D185">
        <v>29</v>
      </c>
      <c r="E185">
        <v>48.5</v>
      </c>
      <c r="F185">
        <v>0</v>
      </c>
      <c r="G185">
        <v>6.5</v>
      </c>
      <c r="I185" s="16"/>
      <c r="J185" s="16"/>
    </row>
    <row r="186" spans="1:10" ht="15.75" thickBot="1" x14ac:dyDescent="0.3">
      <c r="A186" s="17" t="s">
        <v>29</v>
      </c>
      <c r="B186" s="18">
        <v>2015</v>
      </c>
      <c r="C186" s="18">
        <v>11</v>
      </c>
      <c r="D186" s="18">
        <v>30</v>
      </c>
      <c r="E186" s="18">
        <v>49.5</v>
      </c>
      <c r="F186" s="18">
        <v>0</v>
      </c>
      <c r="G186" s="18">
        <v>5.5</v>
      </c>
      <c r="H186" s="18"/>
      <c r="I186" s="19">
        <f>(30.435*(F186+2*F185+3*F184+4*F183+5*F182+6*F181+7*F180+8*F179+9*F178+10*F177+11*F176+12*F175+13*F174+14*F173+15*F172+16*F171+17*F170+18*F169+19*F168+20*F167+21*F166+22*F165+23*F164+24*F163+25*F162+26*F161+27*F160+28*F159+29*F158+30*F157+30*F156+29*F155+28*F154+27*F153+26*F152+25*F151+24*F150+23*F149+22*F148+21*F147+20*F146+19*F145+18*F144+17*F143+16*F142+15*F141+14*F140+13*F139+12*F138+11*F137+10*F136+9*F135+8*F134+7*F133+6*F132+5*F131+4*F130+3*F129+2*F128+1*F127)/930)</f>
        <v>65.23889516129033</v>
      </c>
      <c r="J186" s="20">
        <f>(30.435*(G186+2*G185+3*G184+4*G183+5*G182+6*G181+7*G180+8*G179+9*G178+10*G177+11*G176+12*G175+13*G174+14*G173+15*G172+16*G171+17*G170+18*G169+19*G168+20*G167+21*G166+22*G165+23*G164+24*G163+25*G162+26*G161+27*G160+28*G159+29*G158+30*G157+30*G156+29*G155+28*G154+27*G153+26*G152+25*G151+24*G150+23*G149+22*G148+21*G147+20*G146+19*G145+18*G144+17*G143+16*G142+15*G141+14*G140+13*G139+12*G138+11*G137+10*G136+9*G135+8*G134+7*G133+6*G132+5*G131+4*G130+3*G129+2*G128+1*G127)/930)</f>
        <v>16.052008064516126</v>
      </c>
    </row>
    <row r="187" spans="1:10" x14ac:dyDescent="0.25">
      <c r="A187" t="s">
        <v>29</v>
      </c>
      <c r="B187">
        <v>2015</v>
      </c>
      <c r="C187">
        <v>12</v>
      </c>
      <c r="D187">
        <v>1</v>
      </c>
      <c r="E187">
        <v>45.5</v>
      </c>
      <c r="F187">
        <v>0</v>
      </c>
      <c r="G187">
        <v>9.5</v>
      </c>
      <c r="I187" s="16"/>
      <c r="J187" s="16"/>
    </row>
    <row r="188" spans="1:10" x14ac:dyDescent="0.25">
      <c r="A188" t="s">
        <v>29</v>
      </c>
      <c r="B188">
        <v>2015</v>
      </c>
      <c r="C188">
        <v>12</v>
      </c>
      <c r="D188">
        <v>2</v>
      </c>
      <c r="E188">
        <v>44.5</v>
      </c>
      <c r="F188">
        <v>0</v>
      </c>
      <c r="G188">
        <v>10.5</v>
      </c>
      <c r="I188" s="16"/>
      <c r="J188" s="16"/>
    </row>
    <row r="189" spans="1:10" x14ac:dyDescent="0.25">
      <c r="A189" t="s">
        <v>29</v>
      </c>
      <c r="B189">
        <v>2015</v>
      </c>
      <c r="C189">
        <v>12</v>
      </c>
      <c r="D189">
        <v>3</v>
      </c>
      <c r="E189">
        <v>45.5</v>
      </c>
      <c r="F189">
        <v>0</v>
      </c>
      <c r="G189">
        <v>9.5</v>
      </c>
      <c r="I189" s="16"/>
      <c r="J189" s="16"/>
    </row>
    <row r="190" spans="1:10" x14ac:dyDescent="0.25">
      <c r="A190" t="s">
        <v>29</v>
      </c>
      <c r="B190">
        <v>2015</v>
      </c>
      <c r="C190">
        <v>12</v>
      </c>
      <c r="D190">
        <v>4</v>
      </c>
      <c r="E190">
        <v>43</v>
      </c>
      <c r="F190">
        <v>0</v>
      </c>
      <c r="G190">
        <v>12</v>
      </c>
      <c r="I190" s="16"/>
      <c r="J190" s="16"/>
    </row>
    <row r="191" spans="1:10" x14ac:dyDescent="0.25">
      <c r="A191" t="s">
        <v>29</v>
      </c>
      <c r="B191">
        <v>2015</v>
      </c>
      <c r="C191">
        <v>12</v>
      </c>
      <c r="D191">
        <v>5</v>
      </c>
      <c r="E191">
        <v>45</v>
      </c>
      <c r="F191">
        <v>0</v>
      </c>
      <c r="G191">
        <v>10</v>
      </c>
      <c r="I191" s="16"/>
      <c r="J191" s="16"/>
    </row>
    <row r="192" spans="1:10" x14ac:dyDescent="0.25">
      <c r="A192" t="s">
        <v>29</v>
      </c>
      <c r="B192">
        <v>2015</v>
      </c>
      <c r="C192">
        <v>12</v>
      </c>
      <c r="D192">
        <v>6</v>
      </c>
      <c r="E192">
        <v>50.5</v>
      </c>
      <c r="F192">
        <v>0</v>
      </c>
      <c r="G192">
        <v>4.5</v>
      </c>
      <c r="I192" s="16"/>
      <c r="J192" s="16"/>
    </row>
    <row r="193" spans="1:10" x14ac:dyDescent="0.25">
      <c r="A193" t="s">
        <v>29</v>
      </c>
      <c r="B193">
        <v>2015</v>
      </c>
      <c r="C193">
        <v>12</v>
      </c>
      <c r="D193">
        <v>7</v>
      </c>
      <c r="E193">
        <v>50.5</v>
      </c>
      <c r="F193">
        <v>0</v>
      </c>
      <c r="G193">
        <v>4.5</v>
      </c>
      <c r="I193" s="16"/>
      <c r="J193" s="16"/>
    </row>
    <row r="194" spans="1:10" x14ac:dyDescent="0.25">
      <c r="A194" t="s">
        <v>29</v>
      </c>
      <c r="B194">
        <v>2015</v>
      </c>
      <c r="C194">
        <v>12</v>
      </c>
      <c r="D194">
        <v>8</v>
      </c>
      <c r="E194">
        <v>57.5</v>
      </c>
      <c r="F194">
        <v>0</v>
      </c>
      <c r="G194">
        <v>0</v>
      </c>
      <c r="I194" s="16"/>
      <c r="J194" s="16"/>
    </row>
    <row r="195" spans="1:10" x14ac:dyDescent="0.25">
      <c r="A195" t="s">
        <v>29</v>
      </c>
      <c r="B195">
        <v>2015</v>
      </c>
      <c r="C195">
        <v>12</v>
      </c>
      <c r="D195">
        <v>9</v>
      </c>
      <c r="E195">
        <v>58.5</v>
      </c>
      <c r="F195">
        <v>0</v>
      </c>
      <c r="G195">
        <v>0</v>
      </c>
      <c r="I195" s="16"/>
      <c r="J195" s="16"/>
    </row>
    <row r="196" spans="1:10" x14ac:dyDescent="0.25">
      <c r="A196" t="s">
        <v>29</v>
      </c>
      <c r="B196">
        <v>2015</v>
      </c>
      <c r="C196">
        <v>12</v>
      </c>
      <c r="D196">
        <v>10</v>
      </c>
      <c r="E196">
        <v>59.5</v>
      </c>
      <c r="F196">
        <v>0</v>
      </c>
      <c r="G196">
        <v>0</v>
      </c>
      <c r="I196" s="16"/>
      <c r="J196" s="16"/>
    </row>
    <row r="197" spans="1:10" x14ac:dyDescent="0.25">
      <c r="A197" t="s">
        <v>29</v>
      </c>
      <c r="B197">
        <v>2015</v>
      </c>
      <c r="C197">
        <v>12</v>
      </c>
      <c r="D197">
        <v>11</v>
      </c>
      <c r="E197">
        <v>68.5</v>
      </c>
      <c r="F197">
        <v>3.5</v>
      </c>
      <c r="G197">
        <v>0</v>
      </c>
      <c r="I197" s="16"/>
      <c r="J197" s="16"/>
    </row>
    <row r="198" spans="1:10" x14ac:dyDescent="0.25">
      <c r="A198" t="s">
        <v>29</v>
      </c>
      <c r="B198">
        <v>2015</v>
      </c>
      <c r="C198">
        <v>12</v>
      </c>
      <c r="D198">
        <v>12</v>
      </c>
      <c r="E198">
        <v>70</v>
      </c>
      <c r="F198">
        <v>5</v>
      </c>
      <c r="G198">
        <v>0</v>
      </c>
      <c r="I198" s="16"/>
      <c r="J198" s="16"/>
    </row>
    <row r="199" spans="1:10" x14ac:dyDescent="0.25">
      <c r="A199" t="s">
        <v>29</v>
      </c>
      <c r="B199">
        <v>2015</v>
      </c>
      <c r="C199">
        <v>12</v>
      </c>
      <c r="D199">
        <v>13</v>
      </c>
      <c r="E199">
        <v>60.5</v>
      </c>
      <c r="F199">
        <v>0</v>
      </c>
      <c r="G199">
        <v>0</v>
      </c>
      <c r="I199" s="16"/>
      <c r="J199" s="16"/>
    </row>
    <row r="200" spans="1:10" x14ac:dyDescent="0.25">
      <c r="A200" t="s">
        <v>29</v>
      </c>
      <c r="B200">
        <v>2015</v>
      </c>
      <c r="C200">
        <v>12</v>
      </c>
      <c r="D200">
        <v>14</v>
      </c>
      <c r="E200">
        <v>55</v>
      </c>
      <c r="F200">
        <v>0</v>
      </c>
      <c r="G200">
        <v>0</v>
      </c>
      <c r="I200" s="16"/>
      <c r="J200" s="16"/>
    </row>
    <row r="201" spans="1:10" x14ac:dyDescent="0.25">
      <c r="A201" t="s">
        <v>29</v>
      </c>
      <c r="B201">
        <v>2015</v>
      </c>
      <c r="C201">
        <v>12</v>
      </c>
      <c r="D201">
        <v>15</v>
      </c>
      <c r="E201">
        <v>60.5</v>
      </c>
      <c r="F201">
        <v>0</v>
      </c>
      <c r="G201">
        <v>0</v>
      </c>
      <c r="I201" s="16"/>
      <c r="J201" s="16"/>
    </row>
    <row r="202" spans="1:10" x14ac:dyDescent="0.25">
      <c r="A202" t="s">
        <v>29</v>
      </c>
      <c r="B202">
        <v>2015</v>
      </c>
      <c r="C202">
        <v>12</v>
      </c>
      <c r="D202">
        <v>16</v>
      </c>
      <c r="E202">
        <v>52</v>
      </c>
      <c r="F202">
        <v>0</v>
      </c>
      <c r="G202">
        <v>3</v>
      </c>
      <c r="I202" s="16"/>
      <c r="J202" s="16"/>
    </row>
    <row r="203" spans="1:10" x14ac:dyDescent="0.25">
      <c r="A203" t="s">
        <v>29</v>
      </c>
      <c r="B203">
        <v>2015</v>
      </c>
      <c r="C203">
        <v>12</v>
      </c>
      <c r="D203">
        <v>17</v>
      </c>
      <c r="E203">
        <v>44.5</v>
      </c>
      <c r="F203">
        <v>0</v>
      </c>
      <c r="G203">
        <v>10.5</v>
      </c>
      <c r="I203" s="16"/>
      <c r="J203" s="16"/>
    </row>
    <row r="204" spans="1:10" x14ac:dyDescent="0.25">
      <c r="A204" t="s">
        <v>29</v>
      </c>
      <c r="B204">
        <v>2015</v>
      </c>
      <c r="C204">
        <v>12</v>
      </c>
      <c r="D204">
        <v>18</v>
      </c>
      <c r="E204">
        <v>43.5</v>
      </c>
      <c r="F204">
        <v>0</v>
      </c>
      <c r="G204">
        <v>11.5</v>
      </c>
      <c r="I204" s="16"/>
      <c r="J204" s="16"/>
    </row>
    <row r="205" spans="1:10" x14ac:dyDescent="0.25">
      <c r="A205" t="s">
        <v>29</v>
      </c>
      <c r="B205">
        <v>2015</v>
      </c>
      <c r="C205">
        <v>12</v>
      </c>
      <c r="D205">
        <v>19</v>
      </c>
      <c r="E205">
        <v>45.5</v>
      </c>
      <c r="F205">
        <v>0</v>
      </c>
      <c r="G205">
        <v>9.5</v>
      </c>
      <c r="I205" s="16"/>
      <c r="J205" s="16"/>
    </row>
    <row r="206" spans="1:10" x14ac:dyDescent="0.25">
      <c r="A206" t="s">
        <v>29</v>
      </c>
      <c r="B206">
        <v>2015</v>
      </c>
      <c r="C206">
        <v>12</v>
      </c>
      <c r="D206">
        <v>20</v>
      </c>
      <c r="E206">
        <v>47.5</v>
      </c>
      <c r="F206">
        <v>0</v>
      </c>
      <c r="G206">
        <v>7.5</v>
      </c>
      <c r="I206" s="16"/>
      <c r="J206" s="16"/>
    </row>
    <row r="207" spans="1:10" x14ac:dyDescent="0.25">
      <c r="A207" t="s">
        <v>29</v>
      </c>
      <c r="B207">
        <v>2015</v>
      </c>
      <c r="C207">
        <v>12</v>
      </c>
      <c r="D207">
        <v>21</v>
      </c>
      <c r="E207">
        <v>64</v>
      </c>
      <c r="F207">
        <v>0</v>
      </c>
      <c r="G207">
        <v>0</v>
      </c>
      <c r="I207" s="16"/>
      <c r="J207" s="16"/>
    </row>
    <row r="208" spans="1:10" x14ac:dyDescent="0.25">
      <c r="A208" t="s">
        <v>29</v>
      </c>
      <c r="B208">
        <v>2015</v>
      </c>
      <c r="C208">
        <v>12</v>
      </c>
      <c r="D208">
        <v>22</v>
      </c>
      <c r="E208">
        <v>53.5</v>
      </c>
      <c r="F208">
        <v>0</v>
      </c>
      <c r="G208">
        <v>1.5</v>
      </c>
      <c r="I208" s="16"/>
      <c r="J208" s="16"/>
    </row>
    <row r="209" spans="1:10" x14ac:dyDescent="0.25">
      <c r="A209" t="s">
        <v>29</v>
      </c>
      <c r="B209">
        <v>2015</v>
      </c>
      <c r="C209">
        <v>12</v>
      </c>
      <c r="D209">
        <v>23</v>
      </c>
      <c r="E209">
        <v>67.5</v>
      </c>
      <c r="F209">
        <v>2.5</v>
      </c>
      <c r="G209">
        <v>0</v>
      </c>
      <c r="I209" s="16"/>
      <c r="J209" s="16"/>
    </row>
    <row r="210" spans="1:10" x14ac:dyDescent="0.25">
      <c r="A210" t="s">
        <v>29</v>
      </c>
      <c r="B210">
        <v>2015</v>
      </c>
      <c r="C210">
        <v>12</v>
      </c>
      <c r="D210">
        <v>24</v>
      </c>
      <c r="E210">
        <v>62.5</v>
      </c>
      <c r="F210">
        <v>0</v>
      </c>
      <c r="G210">
        <v>0</v>
      </c>
      <c r="I210" s="16"/>
      <c r="J210" s="16"/>
    </row>
    <row r="211" spans="1:10" x14ac:dyDescent="0.25">
      <c r="A211" t="s">
        <v>29</v>
      </c>
      <c r="B211">
        <v>2015</v>
      </c>
      <c r="C211">
        <v>12</v>
      </c>
      <c r="D211">
        <v>25</v>
      </c>
      <c r="E211">
        <v>61.5</v>
      </c>
      <c r="F211">
        <v>0</v>
      </c>
      <c r="G211">
        <v>0</v>
      </c>
      <c r="I211" s="16"/>
      <c r="J211" s="16"/>
    </row>
    <row r="212" spans="1:10" x14ac:dyDescent="0.25">
      <c r="A212" t="s">
        <v>29</v>
      </c>
      <c r="B212">
        <v>2015</v>
      </c>
      <c r="C212">
        <v>12</v>
      </c>
      <c r="D212">
        <v>26</v>
      </c>
      <c r="E212">
        <v>68</v>
      </c>
      <c r="F212">
        <v>3</v>
      </c>
      <c r="G212">
        <v>0</v>
      </c>
      <c r="I212" s="16"/>
      <c r="J212" s="16"/>
    </row>
    <row r="213" spans="1:10" x14ac:dyDescent="0.25">
      <c r="A213" t="s">
        <v>29</v>
      </c>
      <c r="B213">
        <v>2015</v>
      </c>
      <c r="C213">
        <v>12</v>
      </c>
      <c r="D213">
        <v>27</v>
      </c>
      <c r="E213">
        <v>63</v>
      </c>
      <c r="F213">
        <v>0</v>
      </c>
      <c r="G213">
        <v>0</v>
      </c>
      <c r="I213" s="16"/>
      <c r="J213" s="16"/>
    </row>
    <row r="214" spans="1:10" x14ac:dyDescent="0.25">
      <c r="A214" t="s">
        <v>29</v>
      </c>
      <c r="B214">
        <v>2015</v>
      </c>
      <c r="C214">
        <v>12</v>
      </c>
      <c r="D214">
        <v>28</v>
      </c>
      <c r="E214">
        <v>43</v>
      </c>
      <c r="F214">
        <v>0</v>
      </c>
      <c r="G214">
        <v>12</v>
      </c>
      <c r="I214" s="16"/>
      <c r="J214" s="16"/>
    </row>
    <row r="215" spans="1:10" x14ac:dyDescent="0.25">
      <c r="A215" t="s">
        <v>29</v>
      </c>
      <c r="B215">
        <v>2015</v>
      </c>
      <c r="C215">
        <v>12</v>
      </c>
      <c r="D215">
        <v>29</v>
      </c>
      <c r="E215">
        <v>39.5</v>
      </c>
      <c r="F215">
        <v>0</v>
      </c>
      <c r="G215">
        <v>15.5</v>
      </c>
      <c r="I215" s="16"/>
      <c r="J215" s="16"/>
    </row>
    <row r="216" spans="1:10" ht="15.75" thickBot="1" x14ac:dyDescent="0.3">
      <c r="A216" t="s">
        <v>29</v>
      </c>
      <c r="B216">
        <v>2015</v>
      </c>
      <c r="C216">
        <v>12</v>
      </c>
      <c r="D216">
        <v>30</v>
      </c>
      <c r="E216">
        <v>42</v>
      </c>
      <c r="F216">
        <v>0</v>
      </c>
      <c r="G216">
        <v>13</v>
      </c>
      <c r="I216" s="16"/>
      <c r="J216" s="16"/>
    </row>
    <row r="217" spans="1:10" ht="15.75" thickBot="1" x14ac:dyDescent="0.3">
      <c r="A217" s="17" t="s">
        <v>29</v>
      </c>
      <c r="B217" s="18">
        <v>2015</v>
      </c>
      <c r="C217" s="18">
        <v>12</v>
      </c>
      <c r="D217" s="18">
        <v>31</v>
      </c>
      <c r="E217" s="18">
        <v>40</v>
      </c>
      <c r="F217" s="18">
        <v>0</v>
      </c>
      <c r="G217" s="18">
        <v>15</v>
      </c>
      <c r="H217" s="18"/>
      <c r="I217" s="19">
        <f>(30.435*(F217+2*F216+3*F215+4*F214+5*F213+6*F212+7*F211+8*F210+9*F209+10*F208+11*F207+12*F206+13*F205+14*F204+15*F203+16*F202+17*F201+18*F200+19*F199+20*F198+21*F197+22*F196+23*F195+24*F194+25*F193+26*F192+27*F191+28*F190+29*F189+30*F188+30*F187+29*F186+28*F185+27*F184+26*F183+25*F182+24*F181+23*F180+22*F179+21*F178+20*F177+19*F176+18*F175+17*F174+16*F173+15*F172+14*F171+13*F170+12*F169+11*F168+10*F167+9*F166+8*F165+7*F164+6*F163+5*F162+4*F161+3*F160+2*F159+1*F158)/930)</f>
        <v>9.8013790322580636</v>
      </c>
      <c r="J217" s="20">
        <f>(30.435*(G217+2*G216+3*G215+4*G214+5*G213+6*G212+7*G211+8*G210+9*G209+10*G208+11*G207+12*G206+13*G205+14*G204+15*G203+16*G202+17*G201+18*G200+19*G199+20*G198+21*G197+22*G196+23*G195+24*G194+25*G193+26*G192+27*G191+28*G190+29*G189+30*G188+30*G187+29*G186+28*G185+27*G184+26*G183+25*G182+24*G181+23*G180+22*G179+21*G178+20*G177+19*G176+18*G175+17*G174+16*G173+15*G172+14*G171+13*G170+12*G169+11*G168+10*G167+9*G166+8*G165+7*G164+6*G163+5*G162+4*G161+3*G160+2*G159+1*G158)/930)</f>
        <v>124.71804838709676</v>
      </c>
    </row>
    <row r="218" spans="1:10" x14ac:dyDescent="0.25">
      <c r="A218" t="s">
        <v>29</v>
      </c>
      <c r="B218">
        <v>2016</v>
      </c>
      <c r="C218">
        <v>1</v>
      </c>
      <c r="D218">
        <v>1</v>
      </c>
      <c r="E218">
        <v>42</v>
      </c>
      <c r="F218">
        <v>0</v>
      </c>
      <c r="G218">
        <v>13</v>
      </c>
      <c r="I218" s="16"/>
      <c r="J218" s="16"/>
    </row>
    <row r="219" spans="1:10" x14ac:dyDescent="0.25">
      <c r="A219" t="s">
        <v>29</v>
      </c>
      <c r="B219">
        <v>2016</v>
      </c>
      <c r="C219">
        <v>1</v>
      </c>
      <c r="D219">
        <v>2</v>
      </c>
      <c r="E219">
        <v>42.5</v>
      </c>
      <c r="F219">
        <v>0</v>
      </c>
      <c r="G219">
        <v>12.5</v>
      </c>
      <c r="I219" s="16"/>
      <c r="J219" s="16"/>
    </row>
    <row r="220" spans="1:10" x14ac:dyDescent="0.25">
      <c r="A220" t="s">
        <v>29</v>
      </c>
      <c r="B220">
        <v>2016</v>
      </c>
      <c r="C220">
        <v>1</v>
      </c>
      <c r="D220">
        <v>3</v>
      </c>
      <c r="E220">
        <v>46.5</v>
      </c>
      <c r="F220">
        <v>0</v>
      </c>
      <c r="G220">
        <v>8.5</v>
      </c>
      <c r="I220" s="16"/>
      <c r="J220" s="16"/>
    </row>
    <row r="221" spans="1:10" x14ac:dyDescent="0.25">
      <c r="A221" t="s">
        <v>29</v>
      </c>
      <c r="B221">
        <v>2016</v>
      </c>
      <c r="C221">
        <v>1</v>
      </c>
      <c r="D221">
        <v>4</v>
      </c>
      <c r="E221">
        <v>39</v>
      </c>
      <c r="F221">
        <v>0</v>
      </c>
      <c r="G221">
        <v>16</v>
      </c>
      <c r="I221" s="16"/>
      <c r="J221" s="16"/>
    </row>
    <row r="222" spans="1:10" x14ac:dyDescent="0.25">
      <c r="A222" t="s">
        <v>29</v>
      </c>
      <c r="B222">
        <v>2016</v>
      </c>
      <c r="C222">
        <v>1</v>
      </c>
      <c r="D222">
        <v>5</v>
      </c>
      <c r="E222">
        <v>34</v>
      </c>
      <c r="F222">
        <v>0</v>
      </c>
      <c r="G222">
        <v>21</v>
      </c>
      <c r="I222" s="16"/>
      <c r="J222" s="16"/>
    </row>
    <row r="223" spans="1:10" x14ac:dyDescent="0.25">
      <c r="A223" t="s">
        <v>29</v>
      </c>
      <c r="B223">
        <v>2016</v>
      </c>
      <c r="C223">
        <v>1</v>
      </c>
      <c r="D223">
        <v>6</v>
      </c>
      <c r="E223">
        <v>39.5</v>
      </c>
      <c r="F223">
        <v>0</v>
      </c>
      <c r="G223">
        <v>15.5</v>
      </c>
      <c r="I223" s="16"/>
      <c r="J223" s="16"/>
    </row>
    <row r="224" spans="1:10" x14ac:dyDescent="0.25">
      <c r="A224" t="s">
        <v>29</v>
      </c>
      <c r="B224">
        <v>2016</v>
      </c>
      <c r="C224">
        <v>1</v>
      </c>
      <c r="D224">
        <v>7</v>
      </c>
      <c r="E224">
        <v>50.5</v>
      </c>
      <c r="F224">
        <v>0</v>
      </c>
      <c r="G224">
        <v>4.5</v>
      </c>
      <c r="I224" s="16"/>
      <c r="J224" s="16"/>
    </row>
    <row r="225" spans="1:10" x14ac:dyDescent="0.25">
      <c r="A225" t="s">
        <v>29</v>
      </c>
      <c r="B225">
        <v>2016</v>
      </c>
      <c r="C225">
        <v>1</v>
      </c>
      <c r="D225">
        <v>8</v>
      </c>
      <c r="E225">
        <v>58</v>
      </c>
      <c r="F225">
        <v>0</v>
      </c>
      <c r="G225">
        <v>0</v>
      </c>
      <c r="I225" s="16"/>
      <c r="J225" s="16"/>
    </row>
    <row r="226" spans="1:10" x14ac:dyDescent="0.25">
      <c r="A226" t="s">
        <v>29</v>
      </c>
      <c r="B226">
        <v>2016</v>
      </c>
      <c r="C226">
        <v>1</v>
      </c>
      <c r="D226">
        <v>9</v>
      </c>
      <c r="E226">
        <v>44.5</v>
      </c>
      <c r="F226">
        <v>0</v>
      </c>
      <c r="G226">
        <v>10.5</v>
      </c>
      <c r="I226" s="16"/>
      <c r="J226" s="16"/>
    </row>
    <row r="227" spans="1:10" x14ac:dyDescent="0.25">
      <c r="A227" t="s">
        <v>29</v>
      </c>
      <c r="B227">
        <v>2016</v>
      </c>
      <c r="C227">
        <v>1</v>
      </c>
      <c r="D227">
        <v>10</v>
      </c>
      <c r="E227">
        <v>33.5</v>
      </c>
      <c r="F227">
        <v>0</v>
      </c>
      <c r="G227">
        <v>21.5</v>
      </c>
      <c r="I227" s="16"/>
      <c r="J227" s="16"/>
    </row>
    <row r="228" spans="1:10" x14ac:dyDescent="0.25">
      <c r="A228" t="s">
        <v>29</v>
      </c>
      <c r="B228">
        <v>2016</v>
      </c>
      <c r="C228">
        <v>1</v>
      </c>
      <c r="D228">
        <v>11</v>
      </c>
      <c r="E228">
        <v>34.5</v>
      </c>
      <c r="F228">
        <v>0</v>
      </c>
      <c r="G228">
        <v>20.5</v>
      </c>
      <c r="I228" s="16"/>
      <c r="J228" s="16"/>
    </row>
    <row r="229" spans="1:10" x14ac:dyDescent="0.25">
      <c r="A229" t="s">
        <v>29</v>
      </c>
      <c r="B229">
        <v>2016</v>
      </c>
      <c r="C229">
        <v>1</v>
      </c>
      <c r="D229">
        <v>12</v>
      </c>
      <c r="E229">
        <v>44.5</v>
      </c>
      <c r="F229">
        <v>0</v>
      </c>
      <c r="G229">
        <v>10.5</v>
      </c>
      <c r="I229" s="16"/>
      <c r="J229" s="16"/>
    </row>
    <row r="230" spans="1:10" x14ac:dyDescent="0.25">
      <c r="A230" t="s">
        <v>29</v>
      </c>
      <c r="B230">
        <v>2016</v>
      </c>
      <c r="C230">
        <v>1</v>
      </c>
      <c r="D230">
        <v>13</v>
      </c>
      <c r="E230">
        <v>48</v>
      </c>
      <c r="F230">
        <v>0</v>
      </c>
      <c r="G230">
        <v>7</v>
      </c>
      <c r="I230" s="16"/>
      <c r="J230" s="16"/>
    </row>
    <row r="231" spans="1:10" x14ac:dyDescent="0.25">
      <c r="A231" t="s">
        <v>29</v>
      </c>
      <c r="B231">
        <v>2016</v>
      </c>
      <c r="C231">
        <v>1</v>
      </c>
      <c r="D231">
        <v>14</v>
      </c>
      <c r="E231">
        <v>53.5</v>
      </c>
      <c r="F231">
        <v>0</v>
      </c>
      <c r="G231">
        <v>1.5</v>
      </c>
      <c r="I231" s="16"/>
      <c r="J231" s="16"/>
    </row>
    <row r="232" spans="1:10" x14ac:dyDescent="0.25">
      <c r="A232" t="s">
        <v>29</v>
      </c>
      <c r="B232">
        <v>2016</v>
      </c>
      <c r="C232">
        <v>1</v>
      </c>
      <c r="D232">
        <v>15</v>
      </c>
      <c r="E232">
        <v>54.5</v>
      </c>
      <c r="F232">
        <v>0</v>
      </c>
      <c r="G232">
        <v>0.5</v>
      </c>
      <c r="I232" s="16"/>
      <c r="J232" s="16"/>
    </row>
    <row r="233" spans="1:10" x14ac:dyDescent="0.25">
      <c r="A233" t="s">
        <v>29</v>
      </c>
      <c r="B233">
        <v>2016</v>
      </c>
      <c r="C233">
        <v>1</v>
      </c>
      <c r="D233">
        <v>16</v>
      </c>
      <c r="E233">
        <v>39</v>
      </c>
      <c r="F233">
        <v>0</v>
      </c>
      <c r="G233">
        <v>16</v>
      </c>
      <c r="I233" s="16"/>
      <c r="J233" s="16"/>
    </row>
    <row r="234" spans="1:10" x14ac:dyDescent="0.25">
      <c r="A234" t="s">
        <v>29</v>
      </c>
      <c r="B234">
        <v>2016</v>
      </c>
      <c r="C234">
        <v>1</v>
      </c>
      <c r="D234">
        <v>17</v>
      </c>
      <c r="E234">
        <v>39.5</v>
      </c>
      <c r="F234">
        <v>0</v>
      </c>
      <c r="G234">
        <v>15.5</v>
      </c>
      <c r="I234" s="16"/>
      <c r="J234" s="16"/>
    </row>
    <row r="235" spans="1:10" x14ac:dyDescent="0.25">
      <c r="A235" t="s">
        <v>29</v>
      </c>
      <c r="B235">
        <v>2016</v>
      </c>
      <c r="C235">
        <v>1</v>
      </c>
      <c r="D235">
        <v>18</v>
      </c>
      <c r="E235">
        <v>36.5</v>
      </c>
      <c r="F235">
        <v>0</v>
      </c>
      <c r="G235">
        <v>18.5</v>
      </c>
      <c r="I235" s="16"/>
      <c r="J235" s="16"/>
    </row>
    <row r="236" spans="1:10" x14ac:dyDescent="0.25">
      <c r="A236" t="s">
        <v>29</v>
      </c>
      <c r="B236">
        <v>2016</v>
      </c>
      <c r="C236">
        <v>1</v>
      </c>
      <c r="D236">
        <v>19</v>
      </c>
      <c r="E236">
        <v>38</v>
      </c>
      <c r="F236">
        <v>0</v>
      </c>
      <c r="G236">
        <v>17</v>
      </c>
      <c r="I236" s="16"/>
      <c r="J236" s="16"/>
    </row>
    <row r="237" spans="1:10" x14ac:dyDescent="0.25">
      <c r="A237" t="s">
        <v>29</v>
      </c>
      <c r="B237">
        <v>2016</v>
      </c>
      <c r="C237">
        <v>1</v>
      </c>
      <c r="D237">
        <v>20</v>
      </c>
      <c r="E237">
        <v>44.5</v>
      </c>
      <c r="F237">
        <v>0</v>
      </c>
      <c r="G237">
        <v>10.5</v>
      </c>
      <c r="I237" s="16"/>
      <c r="J237" s="16"/>
    </row>
    <row r="238" spans="1:10" x14ac:dyDescent="0.25">
      <c r="A238" t="s">
        <v>29</v>
      </c>
      <c r="B238">
        <v>2016</v>
      </c>
      <c r="C238">
        <v>1</v>
      </c>
      <c r="D238">
        <v>21</v>
      </c>
      <c r="E238">
        <v>36</v>
      </c>
      <c r="F238">
        <v>0</v>
      </c>
      <c r="G238">
        <v>19</v>
      </c>
      <c r="I238" s="16"/>
      <c r="J238" s="16"/>
    </row>
    <row r="239" spans="1:10" x14ac:dyDescent="0.25">
      <c r="A239" t="s">
        <v>29</v>
      </c>
      <c r="B239">
        <v>2016</v>
      </c>
      <c r="C239">
        <v>1</v>
      </c>
      <c r="D239">
        <v>22</v>
      </c>
      <c r="E239">
        <v>39.5</v>
      </c>
      <c r="F239">
        <v>0</v>
      </c>
      <c r="G239">
        <v>15.5</v>
      </c>
      <c r="I239" s="16"/>
      <c r="J239" s="16"/>
    </row>
    <row r="240" spans="1:10" x14ac:dyDescent="0.25">
      <c r="A240" t="s">
        <v>29</v>
      </c>
      <c r="B240">
        <v>2016</v>
      </c>
      <c r="C240">
        <v>1</v>
      </c>
      <c r="D240">
        <v>23</v>
      </c>
      <c r="E240">
        <v>35</v>
      </c>
      <c r="F240">
        <v>0</v>
      </c>
      <c r="G240">
        <v>20</v>
      </c>
      <c r="I240" s="16"/>
      <c r="J240" s="16"/>
    </row>
    <row r="241" spans="1:10" x14ac:dyDescent="0.25">
      <c r="A241" t="s">
        <v>29</v>
      </c>
      <c r="B241">
        <v>2016</v>
      </c>
      <c r="C241">
        <v>1</v>
      </c>
      <c r="D241">
        <v>24</v>
      </c>
      <c r="E241">
        <v>40</v>
      </c>
      <c r="F241">
        <v>0</v>
      </c>
      <c r="G241">
        <v>15</v>
      </c>
      <c r="I241" s="16"/>
      <c r="J241" s="16"/>
    </row>
    <row r="242" spans="1:10" x14ac:dyDescent="0.25">
      <c r="A242" t="s">
        <v>29</v>
      </c>
      <c r="B242">
        <v>2016</v>
      </c>
      <c r="C242">
        <v>1</v>
      </c>
      <c r="D242">
        <v>25</v>
      </c>
      <c r="E242">
        <v>59.5</v>
      </c>
      <c r="F242">
        <v>0</v>
      </c>
      <c r="G242">
        <v>0</v>
      </c>
      <c r="I242" s="16"/>
      <c r="J242" s="16"/>
    </row>
    <row r="243" spans="1:10" x14ac:dyDescent="0.25">
      <c r="A243" t="s">
        <v>29</v>
      </c>
      <c r="B243">
        <v>2016</v>
      </c>
      <c r="C243">
        <v>1</v>
      </c>
      <c r="D243">
        <v>26</v>
      </c>
      <c r="E243">
        <v>43</v>
      </c>
      <c r="F243">
        <v>0</v>
      </c>
      <c r="G243">
        <v>12</v>
      </c>
      <c r="I243" s="16"/>
      <c r="J243" s="16"/>
    </row>
    <row r="244" spans="1:10" x14ac:dyDescent="0.25">
      <c r="A244" t="s">
        <v>29</v>
      </c>
      <c r="B244">
        <v>2016</v>
      </c>
      <c r="C244">
        <v>1</v>
      </c>
      <c r="D244">
        <v>27</v>
      </c>
      <c r="E244">
        <v>42.5</v>
      </c>
      <c r="F244">
        <v>0</v>
      </c>
      <c r="G244">
        <v>12.5</v>
      </c>
      <c r="I244" s="16"/>
      <c r="J244" s="16"/>
    </row>
    <row r="245" spans="1:10" x14ac:dyDescent="0.25">
      <c r="A245" t="s">
        <v>29</v>
      </c>
      <c r="B245">
        <v>2016</v>
      </c>
      <c r="C245">
        <v>1</v>
      </c>
      <c r="D245">
        <v>28</v>
      </c>
      <c r="E245">
        <v>47</v>
      </c>
      <c r="F245">
        <v>0</v>
      </c>
      <c r="G245">
        <v>8</v>
      </c>
      <c r="I245" s="16"/>
      <c r="J245" s="16"/>
    </row>
    <row r="246" spans="1:10" x14ac:dyDescent="0.25">
      <c r="A246" t="s">
        <v>29</v>
      </c>
      <c r="B246">
        <v>2016</v>
      </c>
      <c r="C246">
        <v>1</v>
      </c>
      <c r="D246">
        <v>29</v>
      </c>
      <c r="E246">
        <v>57</v>
      </c>
      <c r="F246">
        <v>0</v>
      </c>
      <c r="G246">
        <v>0</v>
      </c>
      <c r="I246" s="16"/>
      <c r="J246" s="16"/>
    </row>
    <row r="247" spans="1:10" ht="15.75" thickBot="1" x14ac:dyDescent="0.3">
      <c r="A247" t="s">
        <v>29</v>
      </c>
      <c r="B247">
        <v>2016</v>
      </c>
      <c r="C247">
        <v>1</v>
      </c>
      <c r="D247">
        <v>30</v>
      </c>
      <c r="E247">
        <v>63</v>
      </c>
      <c r="F247">
        <v>0</v>
      </c>
      <c r="G247">
        <v>0</v>
      </c>
      <c r="I247" s="16"/>
      <c r="J247" s="16"/>
    </row>
    <row r="248" spans="1:10" ht="15.75" thickBot="1" x14ac:dyDescent="0.3">
      <c r="A248" s="17" t="s">
        <v>29</v>
      </c>
      <c r="B248" s="18">
        <v>2016</v>
      </c>
      <c r="C248" s="18">
        <v>1</v>
      </c>
      <c r="D248" s="18">
        <v>31</v>
      </c>
      <c r="E248" s="18">
        <v>67.5</v>
      </c>
      <c r="F248" s="18">
        <v>2.5</v>
      </c>
      <c r="G248" s="18">
        <v>0</v>
      </c>
      <c r="H248" s="18"/>
      <c r="I248" s="19">
        <f>(30.435*(F248+2*F247+3*F246+4*F245+5*F244+6*F243+7*F242+8*F241+9*F240+10*F239+11*F238+12*F237+13*F236+14*F235+15*F234+16*F233+17*F232+18*F231+19*F230+20*F229+21*F228+22*F227+23*F226+24*F225+25*F224+26*F223+27*F222+28*F221+29*F220+30*F219+30*F218+29*F217+28*F216+27*F215+26*F214+25*F213+24*F212+23*F211+22*F210+21*F209+20*F208+19*F207+18*F206+17*F205+16*F204+15*F203+14*F202+13*F201+12*F200+11*F199+10*F198+9*F197+8*F196+7*F195+6*F194+5*F193+4*F192+3*F191+2*F190+1*F189)/930)</f>
        <v>6.8233306451612892</v>
      </c>
      <c r="J248" s="20">
        <f>(30.435*(G248+2*G247+3*G246+4*G245+5*G244+6*G243+7*G242+8*G241+9*G240+10*G239+11*G238+12*G237+13*G236+14*G235+15*G234+16*G233+17*G232+18*G231+19*G230+20*G229+21*G228+22*G227+23*G226+24*G225+25*G224+26*G223+27*G222+28*G221+29*G220+30*G219+30*G218+29*G217+28*G216+27*G215+26*G214+25*G213+24*G212+23*G211+22*G210+21*G209+20*G208+19*G207+18*G206+17*G205+16*G204+15*G203+14*G202+13*G201+12*G200+11*G199+10*G198+9*G197+8*G196+7*G195+6*G194+5*G193+4*G192+3*G191+2*G190+1*G189)/930)</f>
        <v>272.73687096774194</v>
      </c>
    </row>
    <row r="249" spans="1:10" x14ac:dyDescent="0.25">
      <c r="A249" t="s">
        <v>29</v>
      </c>
      <c r="B249">
        <v>2016</v>
      </c>
      <c r="C249">
        <v>2</v>
      </c>
      <c r="D249">
        <v>1</v>
      </c>
      <c r="E249">
        <v>58.5</v>
      </c>
      <c r="F249">
        <v>0</v>
      </c>
      <c r="G249">
        <v>0</v>
      </c>
      <c r="I249" s="16"/>
      <c r="J249" s="16"/>
    </row>
    <row r="250" spans="1:10" x14ac:dyDescent="0.25">
      <c r="A250" t="s">
        <v>29</v>
      </c>
      <c r="B250">
        <v>2016</v>
      </c>
      <c r="C250">
        <v>2</v>
      </c>
      <c r="D250">
        <v>2</v>
      </c>
      <c r="E250">
        <v>61.5</v>
      </c>
      <c r="F250">
        <v>0</v>
      </c>
      <c r="G250">
        <v>0</v>
      </c>
      <c r="I250" s="16"/>
      <c r="J250" s="16"/>
    </row>
    <row r="251" spans="1:10" x14ac:dyDescent="0.25">
      <c r="A251" t="s">
        <v>29</v>
      </c>
      <c r="B251">
        <v>2016</v>
      </c>
      <c r="C251">
        <v>2</v>
      </c>
      <c r="D251">
        <v>3</v>
      </c>
      <c r="E251">
        <v>44.5</v>
      </c>
      <c r="F251">
        <v>0</v>
      </c>
      <c r="G251">
        <v>10.5</v>
      </c>
      <c r="I251" s="16"/>
      <c r="J251" s="16"/>
    </row>
    <row r="252" spans="1:10" x14ac:dyDescent="0.25">
      <c r="A252" t="s">
        <v>29</v>
      </c>
      <c r="B252">
        <v>2016</v>
      </c>
      <c r="C252">
        <v>2</v>
      </c>
      <c r="D252">
        <v>4</v>
      </c>
      <c r="E252">
        <v>41.5</v>
      </c>
      <c r="F252">
        <v>0</v>
      </c>
      <c r="G252">
        <v>13.5</v>
      </c>
      <c r="I252" s="16"/>
      <c r="J252" s="16"/>
    </row>
    <row r="253" spans="1:10" x14ac:dyDescent="0.25">
      <c r="A253" t="s">
        <v>29</v>
      </c>
      <c r="B253">
        <v>2016</v>
      </c>
      <c r="C253">
        <v>2</v>
      </c>
      <c r="D253">
        <v>5</v>
      </c>
      <c r="E253">
        <v>41.5</v>
      </c>
      <c r="F253">
        <v>0</v>
      </c>
      <c r="G253">
        <v>13.5</v>
      </c>
      <c r="I253" s="16"/>
      <c r="J253" s="16"/>
    </row>
    <row r="254" spans="1:10" x14ac:dyDescent="0.25">
      <c r="A254" t="s">
        <v>29</v>
      </c>
      <c r="B254">
        <v>2016</v>
      </c>
      <c r="C254">
        <v>2</v>
      </c>
      <c r="D254">
        <v>6</v>
      </c>
      <c r="E254">
        <v>45.5</v>
      </c>
      <c r="F254">
        <v>0</v>
      </c>
      <c r="G254">
        <v>9.5</v>
      </c>
      <c r="I254" s="16"/>
      <c r="J254" s="16"/>
    </row>
    <row r="255" spans="1:10" x14ac:dyDescent="0.25">
      <c r="A255" t="s">
        <v>29</v>
      </c>
      <c r="B255">
        <v>2016</v>
      </c>
      <c r="C255">
        <v>2</v>
      </c>
      <c r="D255">
        <v>7</v>
      </c>
      <c r="E255">
        <v>47.5</v>
      </c>
      <c r="F255">
        <v>0</v>
      </c>
      <c r="G255">
        <v>7.5</v>
      </c>
      <c r="I255" s="16"/>
      <c r="J255" s="16"/>
    </row>
    <row r="256" spans="1:10" x14ac:dyDescent="0.25">
      <c r="A256" t="s">
        <v>29</v>
      </c>
      <c r="B256">
        <v>2016</v>
      </c>
      <c r="C256">
        <v>2</v>
      </c>
      <c r="D256">
        <v>8</v>
      </c>
      <c r="E256">
        <v>47.5</v>
      </c>
      <c r="F256">
        <v>0</v>
      </c>
      <c r="G256">
        <v>7.5</v>
      </c>
      <c r="I256" s="16"/>
      <c r="J256" s="16"/>
    </row>
    <row r="257" spans="1:10" x14ac:dyDescent="0.25">
      <c r="A257" t="s">
        <v>29</v>
      </c>
      <c r="B257">
        <v>2016</v>
      </c>
      <c r="C257">
        <v>2</v>
      </c>
      <c r="D257">
        <v>9</v>
      </c>
      <c r="E257">
        <v>45</v>
      </c>
      <c r="F257">
        <v>0</v>
      </c>
      <c r="G257">
        <v>10</v>
      </c>
      <c r="I257" s="16"/>
      <c r="J257" s="16"/>
    </row>
    <row r="258" spans="1:10" x14ac:dyDescent="0.25">
      <c r="A258" t="s">
        <v>29</v>
      </c>
      <c r="B258">
        <v>2016</v>
      </c>
      <c r="C258">
        <v>2</v>
      </c>
      <c r="D258">
        <v>10</v>
      </c>
      <c r="E258">
        <v>47</v>
      </c>
      <c r="F258">
        <v>0</v>
      </c>
      <c r="G258">
        <v>8</v>
      </c>
      <c r="I258" s="16"/>
      <c r="J258" s="16"/>
    </row>
    <row r="259" spans="1:10" x14ac:dyDescent="0.25">
      <c r="A259" t="s">
        <v>29</v>
      </c>
      <c r="B259">
        <v>2016</v>
      </c>
      <c r="C259">
        <v>2</v>
      </c>
      <c r="D259">
        <v>11</v>
      </c>
      <c r="E259">
        <v>58.5</v>
      </c>
      <c r="F259">
        <v>0</v>
      </c>
      <c r="G259">
        <v>0</v>
      </c>
      <c r="I259" s="16"/>
      <c r="J259" s="16"/>
    </row>
    <row r="260" spans="1:10" x14ac:dyDescent="0.25">
      <c r="A260" t="s">
        <v>29</v>
      </c>
      <c r="B260">
        <v>2016</v>
      </c>
      <c r="C260">
        <v>2</v>
      </c>
      <c r="D260">
        <v>12</v>
      </c>
      <c r="E260">
        <v>51.5</v>
      </c>
      <c r="F260">
        <v>0</v>
      </c>
      <c r="G260">
        <v>3.5</v>
      </c>
      <c r="I260" s="16"/>
      <c r="J260" s="16"/>
    </row>
    <row r="261" spans="1:10" x14ac:dyDescent="0.25">
      <c r="A261" t="s">
        <v>29</v>
      </c>
      <c r="B261">
        <v>2016</v>
      </c>
      <c r="C261">
        <v>2</v>
      </c>
      <c r="D261">
        <v>13</v>
      </c>
      <c r="E261">
        <v>46.5</v>
      </c>
      <c r="F261">
        <v>0</v>
      </c>
      <c r="G261">
        <v>8.5</v>
      </c>
      <c r="I261" s="16"/>
      <c r="J261" s="16"/>
    </row>
    <row r="262" spans="1:10" x14ac:dyDescent="0.25">
      <c r="A262" t="s">
        <v>29</v>
      </c>
      <c r="B262">
        <v>2016</v>
      </c>
      <c r="C262">
        <v>2</v>
      </c>
      <c r="D262">
        <v>14</v>
      </c>
      <c r="E262">
        <v>50.5</v>
      </c>
      <c r="F262">
        <v>0</v>
      </c>
      <c r="G262">
        <v>4.5</v>
      </c>
      <c r="I262" s="16"/>
      <c r="J262" s="16"/>
    </row>
    <row r="263" spans="1:10" x14ac:dyDescent="0.25">
      <c r="A263" t="s">
        <v>29</v>
      </c>
      <c r="B263">
        <v>2016</v>
      </c>
      <c r="C263">
        <v>2</v>
      </c>
      <c r="D263">
        <v>15</v>
      </c>
      <c r="E263">
        <v>54.5</v>
      </c>
      <c r="F263">
        <v>0</v>
      </c>
      <c r="G263">
        <v>0.5</v>
      </c>
      <c r="I263" s="16"/>
      <c r="J263" s="16"/>
    </row>
    <row r="264" spans="1:10" x14ac:dyDescent="0.25">
      <c r="A264" t="s">
        <v>29</v>
      </c>
      <c r="B264">
        <v>2016</v>
      </c>
      <c r="C264">
        <v>2</v>
      </c>
      <c r="D264">
        <v>16</v>
      </c>
      <c r="E264">
        <v>55.5</v>
      </c>
      <c r="F264">
        <v>0</v>
      </c>
      <c r="G264">
        <v>0</v>
      </c>
      <c r="I264" s="16"/>
      <c r="J264" s="16"/>
    </row>
    <row r="265" spans="1:10" x14ac:dyDescent="0.25">
      <c r="A265" t="s">
        <v>29</v>
      </c>
      <c r="B265">
        <v>2016</v>
      </c>
      <c r="C265">
        <v>2</v>
      </c>
      <c r="D265">
        <v>17</v>
      </c>
      <c r="E265">
        <v>51</v>
      </c>
      <c r="F265">
        <v>0</v>
      </c>
      <c r="G265">
        <v>4</v>
      </c>
      <c r="I265" s="16"/>
      <c r="J265" s="16"/>
    </row>
    <row r="266" spans="1:10" x14ac:dyDescent="0.25">
      <c r="A266" t="s">
        <v>29</v>
      </c>
      <c r="B266">
        <v>2016</v>
      </c>
      <c r="C266">
        <v>2</v>
      </c>
      <c r="D266">
        <v>18</v>
      </c>
      <c r="E266">
        <v>60.5</v>
      </c>
      <c r="F266">
        <v>0</v>
      </c>
      <c r="G266">
        <v>0</v>
      </c>
      <c r="I266" s="16"/>
      <c r="J266" s="16"/>
    </row>
    <row r="267" spans="1:10" x14ac:dyDescent="0.25">
      <c r="A267" t="s">
        <v>29</v>
      </c>
      <c r="B267">
        <v>2016</v>
      </c>
      <c r="C267">
        <v>2</v>
      </c>
      <c r="D267">
        <v>19</v>
      </c>
      <c r="E267">
        <v>67.5</v>
      </c>
      <c r="F267">
        <v>2.5</v>
      </c>
      <c r="G267">
        <v>0</v>
      </c>
      <c r="I267" s="16"/>
      <c r="J267" s="16"/>
    </row>
    <row r="268" spans="1:10" x14ac:dyDescent="0.25">
      <c r="A268" t="s">
        <v>29</v>
      </c>
      <c r="B268">
        <v>2016</v>
      </c>
      <c r="C268">
        <v>2</v>
      </c>
      <c r="D268">
        <v>20</v>
      </c>
      <c r="E268">
        <v>65.5</v>
      </c>
      <c r="F268">
        <v>0.5</v>
      </c>
      <c r="G268">
        <v>0</v>
      </c>
      <c r="I268" s="16"/>
      <c r="J268" s="16"/>
    </row>
    <row r="269" spans="1:10" x14ac:dyDescent="0.25">
      <c r="A269" t="s">
        <v>29</v>
      </c>
      <c r="B269">
        <v>2016</v>
      </c>
      <c r="C269">
        <v>2</v>
      </c>
      <c r="D269">
        <v>21</v>
      </c>
      <c r="E269">
        <v>66</v>
      </c>
      <c r="F269">
        <v>1</v>
      </c>
      <c r="G269">
        <v>0</v>
      </c>
      <c r="I269" s="16"/>
      <c r="J269" s="16"/>
    </row>
    <row r="270" spans="1:10" x14ac:dyDescent="0.25">
      <c r="A270" t="s">
        <v>29</v>
      </c>
      <c r="B270">
        <v>2016</v>
      </c>
      <c r="C270">
        <v>2</v>
      </c>
      <c r="D270">
        <v>22</v>
      </c>
      <c r="E270">
        <v>56</v>
      </c>
      <c r="F270">
        <v>0</v>
      </c>
      <c r="G270">
        <v>0</v>
      </c>
      <c r="I270" s="16"/>
      <c r="J270" s="16"/>
    </row>
    <row r="271" spans="1:10" x14ac:dyDescent="0.25">
      <c r="A271" t="s">
        <v>29</v>
      </c>
      <c r="B271">
        <v>2016</v>
      </c>
      <c r="C271">
        <v>2</v>
      </c>
      <c r="D271">
        <v>23</v>
      </c>
      <c r="E271">
        <v>45.5</v>
      </c>
      <c r="F271">
        <v>0</v>
      </c>
      <c r="G271">
        <v>9.5</v>
      </c>
      <c r="I271" s="16"/>
      <c r="J271" s="16"/>
    </row>
    <row r="272" spans="1:10" x14ac:dyDescent="0.25">
      <c r="A272" t="s">
        <v>29</v>
      </c>
      <c r="B272">
        <v>2016</v>
      </c>
      <c r="C272">
        <v>2</v>
      </c>
      <c r="D272">
        <v>24</v>
      </c>
      <c r="E272">
        <v>47</v>
      </c>
      <c r="F272">
        <v>0</v>
      </c>
      <c r="G272">
        <v>8</v>
      </c>
      <c r="I272" s="16"/>
      <c r="J272" s="16"/>
    </row>
    <row r="273" spans="1:10" x14ac:dyDescent="0.25">
      <c r="A273" t="s">
        <v>29</v>
      </c>
      <c r="B273">
        <v>2016</v>
      </c>
      <c r="C273">
        <v>2</v>
      </c>
      <c r="D273">
        <v>25</v>
      </c>
      <c r="E273">
        <v>45.5</v>
      </c>
      <c r="F273">
        <v>0</v>
      </c>
      <c r="G273">
        <v>9.5</v>
      </c>
      <c r="I273" s="16"/>
      <c r="J273" s="16"/>
    </row>
    <row r="274" spans="1:10" x14ac:dyDescent="0.25">
      <c r="A274" t="s">
        <v>29</v>
      </c>
      <c r="B274">
        <v>2016</v>
      </c>
      <c r="C274">
        <v>2</v>
      </c>
      <c r="D274">
        <v>26</v>
      </c>
      <c r="E274">
        <v>42.5</v>
      </c>
      <c r="F274">
        <v>0</v>
      </c>
      <c r="G274">
        <v>12.5</v>
      </c>
      <c r="I274" s="16"/>
      <c r="J274" s="16"/>
    </row>
    <row r="275" spans="1:10" x14ac:dyDescent="0.25">
      <c r="A275" t="s">
        <v>29</v>
      </c>
      <c r="B275">
        <v>2016</v>
      </c>
      <c r="C275">
        <v>2</v>
      </c>
      <c r="D275">
        <v>27</v>
      </c>
      <c r="E275">
        <v>53.5</v>
      </c>
      <c r="F275">
        <v>0</v>
      </c>
      <c r="G275">
        <v>1.5</v>
      </c>
      <c r="I275" s="16"/>
      <c r="J275" s="16"/>
    </row>
    <row r="276" spans="1:10" ht="15.75" thickBot="1" x14ac:dyDescent="0.3">
      <c r="A276" t="s">
        <v>29</v>
      </c>
      <c r="B276">
        <v>2016</v>
      </c>
      <c r="C276">
        <v>2</v>
      </c>
      <c r="D276">
        <v>28</v>
      </c>
      <c r="E276">
        <v>59</v>
      </c>
      <c r="F276">
        <v>0</v>
      </c>
      <c r="G276">
        <v>0</v>
      </c>
      <c r="I276" s="16"/>
      <c r="J276" s="16"/>
    </row>
    <row r="277" spans="1:10" ht="15.75" thickBot="1" x14ac:dyDescent="0.3">
      <c r="A277" s="17" t="s">
        <v>29</v>
      </c>
      <c r="B277" s="18">
        <v>2016</v>
      </c>
      <c r="C277" s="18">
        <v>2</v>
      </c>
      <c r="D277" s="18">
        <v>29</v>
      </c>
      <c r="E277" s="18">
        <v>61.5</v>
      </c>
      <c r="F277" s="18">
        <v>0</v>
      </c>
      <c r="G277" s="18">
        <v>0</v>
      </c>
      <c r="H277" s="18"/>
      <c r="I277" s="19">
        <f>(30.435*(F277+2*F276+3*F275+4*F274+5*F273+6*F272+7*F271+8*F270+9*F269+10*F268+11*F267+12*F266+13*F265+14*F264+15*F263+16*F262+17*F261+18*F260+19*F259+20*F258+21*F257+22*F256+23*F255+24*F254+25*F253+26*F252+27*F251+28*F250+29*F249+30*F248+30*F247+29*F246+28*F245+27*F244+26*F243+25*F242+24*F241+23*F240+22*F239+21*F238+20*F237+19*F236+18*F235+17*F234+16*F233+15*F232+14*F231+13*F230+12*F229+11*F228+10*F227+9*F226+8*F225+7*F224+6*F223+5*F222+4*F221+3*F220+2*F219+1*F218)/930)</f>
        <v>3.8125564516129029</v>
      </c>
      <c r="J277" s="20">
        <f>(30.435*(G277+2*G276+3*G275+4*G274+5*G273+6*G272+7*G271+8*G270+9*G269+10*G268+11*G267+12*G266+13*G265+14*G264+15*G263+16*G262+17*G261+18*G260+19*G259+20*G258+21*G257+22*G256+23*G255+24*G254+25*G253+26*G252+27*G251+28*G250+29*G249+30*G248+30*G247+29*G246+28*G245+27*G244+26*G243+25*G242+24*G241+23*G240+22*G239+21*G238+20*G237+19*G236+18*G235+17*G234+16*G233+15*G232+14*G231+13*G230+12*G229+11*G228+10*G227+9*G226+8*G225+7*G224+6*G223+5*G222+4*G221+3*G220+2*G219+1*G218)/930)</f>
        <v>242.8091209677419</v>
      </c>
    </row>
    <row r="278" spans="1:10" x14ac:dyDescent="0.25">
      <c r="A278" t="s">
        <v>29</v>
      </c>
      <c r="B278">
        <v>2016</v>
      </c>
      <c r="C278">
        <v>3</v>
      </c>
      <c r="D278">
        <v>1</v>
      </c>
      <c r="E278">
        <v>60</v>
      </c>
      <c r="F278">
        <v>0</v>
      </c>
      <c r="G278">
        <v>0</v>
      </c>
      <c r="I278" s="16"/>
      <c r="J278" s="16"/>
    </row>
    <row r="279" spans="1:10" x14ac:dyDescent="0.25">
      <c r="A279" t="s">
        <v>29</v>
      </c>
      <c r="B279">
        <v>2016</v>
      </c>
      <c r="C279">
        <v>3</v>
      </c>
      <c r="D279">
        <v>2</v>
      </c>
      <c r="E279">
        <v>52.5</v>
      </c>
      <c r="F279">
        <v>0</v>
      </c>
      <c r="G279">
        <v>2.5</v>
      </c>
      <c r="I279" s="16"/>
      <c r="J279" s="16"/>
    </row>
    <row r="280" spans="1:10" x14ac:dyDescent="0.25">
      <c r="A280" t="s">
        <v>29</v>
      </c>
      <c r="B280">
        <v>2016</v>
      </c>
      <c r="C280">
        <v>3</v>
      </c>
      <c r="D280">
        <v>3</v>
      </c>
      <c r="E280">
        <v>60.5</v>
      </c>
      <c r="F280">
        <v>0</v>
      </c>
      <c r="G280">
        <v>0</v>
      </c>
      <c r="I280" s="16"/>
      <c r="J280" s="16"/>
    </row>
    <row r="281" spans="1:10" x14ac:dyDescent="0.25">
      <c r="A281" t="s">
        <v>29</v>
      </c>
      <c r="B281">
        <v>2016</v>
      </c>
      <c r="C281">
        <v>3</v>
      </c>
      <c r="D281">
        <v>4</v>
      </c>
      <c r="E281">
        <v>55</v>
      </c>
      <c r="F281">
        <v>0</v>
      </c>
      <c r="G281">
        <v>0</v>
      </c>
      <c r="I281" s="16"/>
      <c r="J281" s="16"/>
    </row>
    <row r="282" spans="1:10" x14ac:dyDescent="0.25">
      <c r="A282" t="s">
        <v>29</v>
      </c>
      <c r="B282">
        <v>2016</v>
      </c>
      <c r="C282">
        <v>3</v>
      </c>
      <c r="D282">
        <v>5</v>
      </c>
      <c r="E282">
        <v>58.5</v>
      </c>
      <c r="F282">
        <v>0</v>
      </c>
      <c r="G282">
        <v>0</v>
      </c>
      <c r="I282" s="16"/>
      <c r="J282" s="16"/>
    </row>
    <row r="283" spans="1:10" x14ac:dyDescent="0.25">
      <c r="A283" t="s">
        <v>29</v>
      </c>
      <c r="B283">
        <v>2016</v>
      </c>
      <c r="C283">
        <v>3</v>
      </c>
      <c r="D283">
        <v>6</v>
      </c>
      <c r="E283">
        <v>64.5</v>
      </c>
      <c r="F283">
        <v>0</v>
      </c>
      <c r="G283">
        <v>0</v>
      </c>
      <c r="I283" s="16"/>
      <c r="J283" s="16"/>
    </row>
    <row r="284" spans="1:10" x14ac:dyDescent="0.25">
      <c r="A284" t="s">
        <v>29</v>
      </c>
      <c r="B284">
        <v>2016</v>
      </c>
      <c r="C284">
        <v>3</v>
      </c>
      <c r="D284">
        <v>7</v>
      </c>
      <c r="E284">
        <v>64</v>
      </c>
      <c r="F284">
        <v>0</v>
      </c>
      <c r="G284">
        <v>0</v>
      </c>
      <c r="I284" s="16"/>
      <c r="J284" s="16"/>
    </row>
    <row r="285" spans="1:10" x14ac:dyDescent="0.25">
      <c r="A285" t="s">
        <v>29</v>
      </c>
      <c r="B285">
        <v>2016</v>
      </c>
      <c r="C285">
        <v>3</v>
      </c>
      <c r="D285">
        <v>8</v>
      </c>
      <c r="E285">
        <v>64</v>
      </c>
      <c r="F285">
        <v>0</v>
      </c>
      <c r="G285">
        <v>0</v>
      </c>
      <c r="I285" s="16"/>
      <c r="J285" s="16"/>
    </row>
    <row r="286" spans="1:10" x14ac:dyDescent="0.25">
      <c r="A286" t="s">
        <v>29</v>
      </c>
      <c r="B286">
        <v>2016</v>
      </c>
      <c r="C286">
        <v>3</v>
      </c>
      <c r="D286">
        <v>9</v>
      </c>
      <c r="E286">
        <v>59.5</v>
      </c>
      <c r="F286">
        <v>0</v>
      </c>
      <c r="G286">
        <v>0</v>
      </c>
      <c r="I286" s="16"/>
      <c r="J286" s="16"/>
    </row>
    <row r="287" spans="1:10" x14ac:dyDescent="0.25">
      <c r="A287" t="s">
        <v>29</v>
      </c>
      <c r="B287">
        <v>2016</v>
      </c>
      <c r="C287">
        <v>3</v>
      </c>
      <c r="D287">
        <v>10</v>
      </c>
      <c r="E287">
        <v>63</v>
      </c>
      <c r="F287">
        <v>0</v>
      </c>
      <c r="G287">
        <v>0</v>
      </c>
      <c r="I287" s="16"/>
      <c r="J287" s="16"/>
    </row>
    <row r="288" spans="1:10" x14ac:dyDescent="0.25">
      <c r="A288" t="s">
        <v>29</v>
      </c>
      <c r="B288">
        <v>2016</v>
      </c>
      <c r="C288">
        <v>3</v>
      </c>
      <c r="D288">
        <v>11</v>
      </c>
      <c r="E288">
        <v>58.5</v>
      </c>
      <c r="F288">
        <v>0</v>
      </c>
      <c r="G288">
        <v>0</v>
      </c>
      <c r="I288" s="16"/>
      <c r="J288" s="16"/>
    </row>
    <row r="289" spans="1:10" x14ac:dyDescent="0.25">
      <c r="A289" t="s">
        <v>29</v>
      </c>
      <c r="B289">
        <v>2016</v>
      </c>
      <c r="C289">
        <v>3</v>
      </c>
      <c r="D289">
        <v>12</v>
      </c>
      <c r="E289">
        <v>60.5</v>
      </c>
      <c r="F289">
        <v>0</v>
      </c>
      <c r="G289">
        <v>0</v>
      </c>
      <c r="I289" s="16"/>
      <c r="J289" s="16"/>
    </row>
    <row r="290" spans="1:10" x14ac:dyDescent="0.25">
      <c r="A290" t="s">
        <v>29</v>
      </c>
      <c r="B290">
        <v>2016</v>
      </c>
      <c r="C290">
        <v>3</v>
      </c>
      <c r="D290">
        <v>13</v>
      </c>
      <c r="E290">
        <v>65.5</v>
      </c>
      <c r="F290">
        <v>0.5</v>
      </c>
      <c r="G290">
        <v>0</v>
      </c>
      <c r="I290" s="16"/>
      <c r="J290" s="16"/>
    </row>
    <row r="291" spans="1:10" x14ac:dyDescent="0.25">
      <c r="A291" t="s">
        <v>29</v>
      </c>
      <c r="B291">
        <v>2016</v>
      </c>
      <c r="C291">
        <v>3</v>
      </c>
      <c r="D291">
        <v>14</v>
      </c>
      <c r="E291">
        <v>67.5</v>
      </c>
      <c r="F291">
        <v>2.5</v>
      </c>
      <c r="G291">
        <v>0</v>
      </c>
      <c r="I291" s="16"/>
      <c r="J291" s="16"/>
    </row>
    <row r="292" spans="1:10" x14ac:dyDescent="0.25">
      <c r="A292" t="s">
        <v>29</v>
      </c>
      <c r="B292">
        <v>2016</v>
      </c>
      <c r="C292">
        <v>3</v>
      </c>
      <c r="D292">
        <v>15</v>
      </c>
      <c r="E292">
        <v>75.5</v>
      </c>
      <c r="F292">
        <v>10.5</v>
      </c>
      <c r="G292">
        <v>0</v>
      </c>
      <c r="I292" s="16"/>
      <c r="J292" s="16"/>
    </row>
    <row r="293" spans="1:10" x14ac:dyDescent="0.25">
      <c r="A293" t="s">
        <v>29</v>
      </c>
      <c r="B293">
        <v>2016</v>
      </c>
      <c r="C293">
        <v>3</v>
      </c>
      <c r="D293">
        <v>16</v>
      </c>
      <c r="E293">
        <v>62</v>
      </c>
      <c r="F293">
        <v>0</v>
      </c>
      <c r="G293">
        <v>0</v>
      </c>
      <c r="I293" s="16"/>
      <c r="J293" s="16"/>
    </row>
    <row r="294" spans="1:10" x14ac:dyDescent="0.25">
      <c r="A294" t="s">
        <v>29</v>
      </c>
      <c r="B294">
        <v>2016</v>
      </c>
      <c r="C294">
        <v>3</v>
      </c>
      <c r="D294">
        <v>17</v>
      </c>
      <c r="E294">
        <v>53</v>
      </c>
      <c r="F294">
        <v>0</v>
      </c>
      <c r="G294">
        <v>2</v>
      </c>
      <c r="I294" s="16"/>
      <c r="J294" s="16"/>
    </row>
    <row r="295" spans="1:10" x14ac:dyDescent="0.25">
      <c r="A295" t="s">
        <v>29</v>
      </c>
      <c r="B295">
        <v>2016</v>
      </c>
      <c r="C295">
        <v>3</v>
      </c>
      <c r="D295">
        <v>18</v>
      </c>
      <c r="E295">
        <v>60.5</v>
      </c>
      <c r="F295">
        <v>0</v>
      </c>
      <c r="G295">
        <v>0</v>
      </c>
      <c r="I295" s="16"/>
      <c r="J295" s="16"/>
    </row>
    <row r="296" spans="1:10" x14ac:dyDescent="0.25">
      <c r="A296" t="s">
        <v>29</v>
      </c>
      <c r="B296">
        <v>2016</v>
      </c>
      <c r="C296">
        <v>3</v>
      </c>
      <c r="D296">
        <v>19</v>
      </c>
      <c r="E296">
        <v>53.5</v>
      </c>
      <c r="F296">
        <v>0</v>
      </c>
      <c r="G296">
        <v>1.5</v>
      </c>
      <c r="I296" s="16"/>
      <c r="J296" s="16"/>
    </row>
    <row r="297" spans="1:10" x14ac:dyDescent="0.25">
      <c r="A297" t="s">
        <v>29</v>
      </c>
      <c r="B297">
        <v>2016</v>
      </c>
      <c r="C297">
        <v>3</v>
      </c>
      <c r="D297">
        <v>20</v>
      </c>
      <c r="E297">
        <v>45</v>
      </c>
      <c r="F297">
        <v>0</v>
      </c>
      <c r="G297">
        <v>10</v>
      </c>
      <c r="I297" s="16"/>
      <c r="J297" s="16"/>
    </row>
    <row r="298" spans="1:10" x14ac:dyDescent="0.25">
      <c r="A298" t="s">
        <v>29</v>
      </c>
      <c r="B298">
        <v>2016</v>
      </c>
      <c r="C298">
        <v>3</v>
      </c>
      <c r="D298">
        <v>21</v>
      </c>
      <c r="E298">
        <v>47.5</v>
      </c>
      <c r="F298">
        <v>0</v>
      </c>
      <c r="G298">
        <v>7.5</v>
      </c>
      <c r="I298" s="16"/>
      <c r="J298" s="16"/>
    </row>
    <row r="299" spans="1:10" x14ac:dyDescent="0.25">
      <c r="A299" t="s">
        <v>29</v>
      </c>
      <c r="B299">
        <v>2016</v>
      </c>
      <c r="C299">
        <v>3</v>
      </c>
      <c r="D299">
        <v>22</v>
      </c>
      <c r="E299">
        <v>59</v>
      </c>
      <c r="F299">
        <v>0</v>
      </c>
      <c r="G299">
        <v>0</v>
      </c>
      <c r="I299" s="16"/>
      <c r="J299" s="16"/>
    </row>
    <row r="300" spans="1:10" x14ac:dyDescent="0.25">
      <c r="A300" t="s">
        <v>29</v>
      </c>
      <c r="B300">
        <v>2016</v>
      </c>
      <c r="C300">
        <v>3</v>
      </c>
      <c r="D300">
        <v>23</v>
      </c>
      <c r="E300">
        <v>69</v>
      </c>
      <c r="F300">
        <v>4</v>
      </c>
      <c r="G300">
        <v>0</v>
      </c>
      <c r="I300" s="16"/>
      <c r="J300" s="16"/>
    </row>
    <row r="301" spans="1:10" x14ac:dyDescent="0.25">
      <c r="A301" t="s">
        <v>29</v>
      </c>
      <c r="B301">
        <v>2016</v>
      </c>
      <c r="C301">
        <v>3</v>
      </c>
      <c r="D301">
        <v>24</v>
      </c>
      <c r="E301">
        <v>58</v>
      </c>
      <c r="F301">
        <v>0</v>
      </c>
      <c r="G301">
        <v>0</v>
      </c>
      <c r="I301" s="16"/>
      <c r="J301" s="16"/>
    </row>
    <row r="302" spans="1:10" x14ac:dyDescent="0.25">
      <c r="A302" t="s">
        <v>29</v>
      </c>
      <c r="B302">
        <v>2016</v>
      </c>
      <c r="C302">
        <v>3</v>
      </c>
      <c r="D302">
        <v>25</v>
      </c>
      <c r="E302">
        <v>52</v>
      </c>
      <c r="F302">
        <v>0</v>
      </c>
      <c r="G302">
        <v>3</v>
      </c>
      <c r="I302" s="16"/>
      <c r="J302" s="16"/>
    </row>
    <row r="303" spans="1:10" x14ac:dyDescent="0.25">
      <c r="A303" t="s">
        <v>29</v>
      </c>
      <c r="B303">
        <v>2016</v>
      </c>
      <c r="C303">
        <v>3</v>
      </c>
      <c r="D303">
        <v>26</v>
      </c>
      <c r="E303">
        <v>59.5</v>
      </c>
      <c r="F303">
        <v>0</v>
      </c>
      <c r="G303">
        <v>0</v>
      </c>
      <c r="I303" s="16"/>
      <c r="J303" s="16"/>
    </row>
    <row r="304" spans="1:10" x14ac:dyDescent="0.25">
      <c r="A304" t="s">
        <v>29</v>
      </c>
      <c r="B304">
        <v>2016</v>
      </c>
      <c r="C304">
        <v>3</v>
      </c>
      <c r="D304">
        <v>27</v>
      </c>
      <c r="E304">
        <v>61</v>
      </c>
      <c r="F304">
        <v>0</v>
      </c>
      <c r="G304">
        <v>0</v>
      </c>
      <c r="I304" s="16"/>
      <c r="J304" s="16"/>
    </row>
    <row r="305" spans="1:10" x14ac:dyDescent="0.25">
      <c r="A305" t="s">
        <v>29</v>
      </c>
      <c r="B305">
        <v>2016</v>
      </c>
      <c r="C305">
        <v>3</v>
      </c>
      <c r="D305">
        <v>28</v>
      </c>
      <c r="E305">
        <v>52.5</v>
      </c>
      <c r="F305">
        <v>0</v>
      </c>
      <c r="G305">
        <v>2.5</v>
      </c>
      <c r="I305" s="16"/>
      <c r="J305" s="16"/>
    </row>
    <row r="306" spans="1:10" x14ac:dyDescent="0.25">
      <c r="A306" t="s">
        <v>29</v>
      </c>
      <c r="B306">
        <v>2016</v>
      </c>
      <c r="C306">
        <v>3</v>
      </c>
      <c r="D306">
        <v>29</v>
      </c>
      <c r="E306">
        <v>59</v>
      </c>
      <c r="F306">
        <v>0</v>
      </c>
      <c r="G306">
        <v>0</v>
      </c>
      <c r="I306" s="16"/>
      <c r="J306" s="16"/>
    </row>
    <row r="307" spans="1:10" ht="15.75" thickBot="1" x14ac:dyDescent="0.3">
      <c r="A307" t="s">
        <v>29</v>
      </c>
      <c r="B307">
        <v>2016</v>
      </c>
      <c r="C307">
        <v>3</v>
      </c>
      <c r="D307">
        <v>30</v>
      </c>
      <c r="E307">
        <v>68</v>
      </c>
      <c r="F307">
        <v>3</v>
      </c>
      <c r="G307">
        <v>0</v>
      </c>
      <c r="I307" s="16"/>
      <c r="J307" s="16"/>
    </row>
    <row r="308" spans="1:10" ht="15.75" thickBot="1" x14ac:dyDescent="0.3">
      <c r="A308" s="17" t="s">
        <v>29</v>
      </c>
      <c r="B308" s="18">
        <v>2016</v>
      </c>
      <c r="C308" s="18">
        <v>3</v>
      </c>
      <c r="D308" s="18">
        <v>31</v>
      </c>
      <c r="E308" s="18">
        <v>72.5</v>
      </c>
      <c r="F308" s="18">
        <v>7.5</v>
      </c>
      <c r="G308" s="18">
        <v>0</v>
      </c>
      <c r="H308" s="18"/>
      <c r="I308" s="19">
        <f>(30.435*(F308+2*F307+3*F306+4*F305+5*F304+6*F303+7*F302+8*F301+9*F300+10*F299+11*F298+12*F297+13*F296+14*F295+15*F294+16*F293+17*F292+18*F291+19*F290+20*F289+21*F288+22*F287+23*F286+24*F285+25*F284+26*F283+27*F282+28*F281+29*F280+30*F279+30*F278+29*F277+28*F276+27*F275+26*F274+25*F273+24*F272+23*F271+22*F270+21*F269+20*F268+19*F267+18*F266+17*F265+16*F264+15*F263+14*F262+13*F261+12*F260+11*F259+10*F258+9*F257+8*F256+7*F255+6*F254+5*F253+4*F252+3*F251+2*F250+1*F249)/930)</f>
        <v>11.814016129032257</v>
      </c>
      <c r="J308" s="20">
        <f>(30.435*(G308+2*G307+3*G306+4*G305+5*G304+6*G303+7*G302+8*G301+9*G300+10*G299+11*G298+12*G297+13*G296+14*G295+15*G294+16*G293+17*G292+18*G291+19*G290+20*G289+21*G288+22*G287+23*G286+24*G285+25*G284+26*G283+27*G282+28*G281+29*G280+30*G279+30*G278+29*G277+28*G276+27*G275+26*G274+25*G273+24*G272+23*G271+22*G270+21*G269+20*G268+19*G267+18*G266+17*G265+16*G264+15*G263+14*G262+13*G261+12*G260+11*G259+10*G258+9*G257+8*G256+7*G255+6*G254+5*G253+4*G252+3*G251+2*G250+1*G249)/930)</f>
        <v>70.524112903225813</v>
      </c>
    </row>
    <row r="309" spans="1:10" x14ac:dyDescent="0.25">
      <c r="A309" t="s">
        <v>29</v>
      </c>
      <c r="B309">
        <v>2016</v>
      </c>
      <c r="C309">
        <v>4</v>
      </c>
      <c r="D309">
        <v>1</v>
      </c>
      <c r="E309">
        <v>54</v>
      </c>
      <c r="F309">
        <v>0</v>
      </c>
      <c r="G309">
        <v>1</v>
      </c>
      <c r="I309" s="16"/>
      <c r="J309" s="16"/>
    </row>
    <row r="310" spans="1:10" x14ac:dyDescent="0.25">
      <c r="A310" t="s">
        <v>29</v>
      </c>
      <c r="B310">
        <v>2016</v>
      </c>
      <c r="C310">
        <v>4</v>
      </c>
      <c r="D310">
        <v>2</v>
      </c>
      <c r="E310">
        <v>53.5</v>
      </c>
      <c r="F310">
        <v>0</v>
      </c>
      <c r="G310">
        <v>1.5</v>
      </c>
      <c r="I310" s="16"/>
      <c r="J310" s="16"/>
    </row>
    <row r="311" spans="1:10" x14ac:dyDescent="0.25">
      <c r="A311" t="s">
        <v>29</v>
      </c>
      <c r="B311">
        <v>2016</v>
      </c>
      <c r="C311">
        <v>4</v>
      </c>
      <c r="D311">
        <v>3</v>
      </c>
      <c r="E311">
        <v>58</v>
      </c>
      <c r="F311">
        <v>0</v>
      </c>
      <c r="G311">
        <v>0</v>
      </c>
      <c r="I311" s="16"/>
      <c r="J311" s="16"/>
    </row>
    <row r="312" spans="1:10" x14ac:dyDescent="0.25">
      <c r="A312" t="s">
        <v>29</v>
      </c>
      <c r="B312">
        <v>2016</v>
      </c>
      <c r="C312">
        <v>4</v>
      </c>
      <c r="D312">
        <v>4</v>
      </c>
      <c r="E312">
        <v>67</v>
      </c>
      <c r="F312">
        <v>2</v>
      </c>
      <c r="G312">
        <v>0</v>
      </c>
      <c r="I312" s="16"/>
      <c r="J312" s="16"/>
    </row>
    <row r="313" spans="1:10" x14ac:dyDescent="0.25">
      <c r="A313" t="s">
        <v>29</v>
      </c>
      <c r="B313">
        <v>2016</v>
      </c>
      <c r="C313">
        <v>4</v>
      </c>
      <c r="D313">
        <v>5</v>
      </c>
      <c r="E313">
        <v>68.5</v>
      </c>
      <c r="F313">
        <v>3.5</v>
      </c>
      <c r="G313">
        <v>0</v>
      </c>
      <c r="I313" s="16"/>
      <c r="J313" s="16"/>
    </row>
    <row r="314" spans="1:10" x14ac:dyDescent="0.25">
      <c r="A314" t="s">
        <v>29</v>
      </c>
      <c r="B314">
        <v>2016</v>
      </c>
      <c r="C314">
        <v>4</v>
      </c>
      <c r="D314">
        <v>6</v>
      </c>
      <c r="E314">
        <v>67.5</v>
      </c>
      <c r="F314">
        <v>2.5</v>
      </c>
      <c r="G314">
        <v>0</v>
      </c>
      <c r="I314" s="16"/>
      <c r="J314" s="16"/>
    </row>
    <row r="315" spans="1:10" x14ac:dyDescent="0.25">
      <c r="A315" t="s">
        <v>29</v>
      </c>
      <c r="B315">
        <v>2016</v>
      </c>
      <c r="C315">
        <v>4</v>
      </c>
      <c r="D315">
        <v>7</v>
      </c>
      <c r="E315">
        <v>66</v>
      </c>
      <c r="F315">
        <v>1</v>
      </c>
      <c r="G315">
        <v>0</v>
      </c>
      <c r="I315" s="16"/>
      <c r="J315" s="16"/>
    </row>
    <row r="316" spans="1:10" x14ac:dyDescent="0.25">
      <c r="A316" t="s">
        <v>29</v>
      </c>
      <c r="B316">
        <v>2016</v>
      </c>
      <c r="C316">
        <v>4</v>
      </c>
      <c r="D316">
        <v>8</v>
      </c>
      <c r="E316">
        <v>60</v>
      </c>
      <c r="F316">
        <v>0</v>
      </c>
      <c r="G316">
        <v>0</v>
      </c>
      <c r="I316" s="16"/>
      <c r="J316" s="16"/>
    </row>
    <row r="317" spans="1:10" x14ac:dyDescent="0.25">
      <c r="A317" t="s">
        <v>29</v>
      </c>
      <c r="B317">
        <v>2016</v>
      </c>
      <c r="C317">
        <v>4</v>
      </c>
      <c r="D317">
        <v>9</v>
      </c>
      <c r="E317">
        <v>60.5</v>
      </c>
      <c r="F317">
        <v>0</v>
      </c>
      <c r="G317">
        <v>0</v>
      </c>
      <c r="I317" s="16"/>
      <c r="J317" s="16"/>
    </row>
    <row r="318" spans="1:10" x14ac:dyDescent="0.25">
      <c r="A318" t="s">
        <v>29</v>
      </c>
      <c r="B318">
        <v>2016</v>
      </c>
      <c r="C318">
        <v>4</v>
      </c>
      <c r="D318">
        <v>10</v>
      </c>
      <c r="E318">
        <v>70</v>
      </c>
      <c r="F318">
        <v>5</v>
      </c>
      <c r="G318">
        <v>0</v>
      </c>
      <c r="I318" s="16"/>
      <c r="J318" s="16"/>
    </row>
    <row r="319" spans="1:10" x14ac:dyDescent="0.25">
      <c r="A319" t="s">
        <v>29</v>
      </c>
      <c r="B319">
        <v>2016</v>
      </c>
      <c r="C319">
        <v>4</v>
      </c>
      <c r="D319">
        <v>11</v>
      </c>
      <c r="E319">
        <v>65.5</v>
      </c>
      <c r="F319">
        <v>0.5</v>
      </c>
      <c r="G319">
        <v>0</v>
      </c>
      <c r="I319" s="16"/>
      <c r="J319" s="16"/>
    </row>
    <row r="320" spans="1:10" x14ac:dyDescent="0.25">
      <c r="A320" t="s">
        <v>29</v>
      </c>
      <c r="B320">
        <v>2016</v>
      </c>
      <c r="C320">
        <v>4</v>
      </c>
      <c r="D320">
        <v>12</v>
      </c>
      <c r="E320">
        <v>60</v>
      </c>
      <c r="F320">
        <v>0</v>
      </c>
      <c r="G320">
        <v>0</v>
      </c>
      <c r="I320" s="16"/>
      <c r="J320" s="16"/>
    </row>
    <row r="321" spans="1:10" x14ac:dyDescent="0.25">
      <c r="A321" t="s">
        <v>29</v>
      </c>
      <c r="B321">
        <v>2016</v>
      </c>
      <c r="C321">
        <v>4</v>
      </c>
      <c r="D321">
        <v>13</v>
      </c>
      <c r="E321">
        <v>57</v>
      </c>
      <c r="F321">
        <v>0</v>
      </c>
      <c r="G321">
        <v>0</v>
      </c>
      <c r="I321" s="16"/>
      <c r="J321" s="16"/>
    </row>
    <row r="322" spans="1:10" x14ac:dyDescent="0.25">
      <c r="A322" t="s">
        <v>29</v>
      </c>
      <c r="B322">
        <v>2016</v>
      </c>
      <c r="C322">
        <v>4</v>
      </c>
      <c r="D322">
        <v>14</v>
      </c>
      <c r="E322">
        <v>60.5</v>
      </c>
      <c r="F322">
        <v>0</v>
      </c>
      <c r="G322">
        <v>0</v>
      </c>
      <c r="I322" s="16"/>
      <c r="J322" s="16"/>
    </row>
    <row r="323" spans="1:10" x14ac:dyDescent="0.25">
      <c r="A323" t="s">
        <v>29</v>
      </c>
      <c r="B323">
        <v>2016</v>
      </c>
      <c r="C323">
        <v>4</v>
      </c>
      <c r="D323">
        <v>15</v>
      </c>
      <c r="E323">
        <v>63</v>
      </c>
      <c r="F323">
        <v>0</v>
      </c>
      <c r="G323">
        <v>0</v>
      </c>
      <c r="I323" s="16"/>
      <c r="J323" s="16"/>
    </row>
    <row r="324" spans="1:10" x14ac:dyDescent="0.25">
      <c r="A324" t="s">
        <v>29</v>
      </c>
      <c r="B324">
        <v>2016</v>
      </c>
      <c r="C324">
        <v>4</v>
      </c>
      <c r="D324">
        <v>16</v>
      </c>
      <c r="E324">
        <v>64</v>
      </c>
      <c r="F324">
        <v>0</v>
      </c>
      <c r="G324">
        <v>0</v>
      </c>
      <c r="I324" s="16"/>
      <c r="J324" s="16"/>
    </row>
    <row r="325" spans="1:10" x14ac:dyDescent="0.25">
      <c r="A325" t="s">
        <v>29</v>
      </c>
      <c r="B325">
        <v>2016</v>
      </c>
      <c r="C325">
        <v>4</v>
      </c>
      <c r="D325">
        <v>17</v>
      </c>
      <c r="E325">
        <v>67.5</v>
      </c>
      <c r="F325">
        <v>2.5</v>
      </c>
      <c r="G325">
        <v>0</v>
      </c>
      <c r="I325" s="16"/>
      <c r="J325" s="16"/>
    </row>
    <row r="326" spans="1:10" x14ac:dyDescent="0.25">
      <c r="A326" t="s">
        <v>29</v>
      </c>
      <c r="B326">
        <v>2016</v>
      </c>
      <c r="C326">
        <v>4</v>
      </c>
      <c r="D326">
        <v>18</v>
      </c>
      <c r="E326">
        <v>65</v>
      </c>
      <c r="F326">
        <v>0</v>
      </c>
      <c r="G326">
        <v>0</v>
      </c>
      <c r="I326" s="16"/>
      <c r="J326" s="16"/>
    </row>
    <row r="327" spans="1:10" x14ac:dyDescent="0.25">
      <c r="A327" t="s">
        <v>29</v>
      </c>
      <c r="B327">
        <v>2016</v>
      </c>
      <c r="C327">
        <v>4</v>
      </c>
      <c r="D327">
        <v>19</v>
      </c>
      <c r="E327">
        <v>67.5</v>
      </c>
      <c r="F327">
        <v>2.5</v>
      </c>
      <c r="G327">
        <v>0</v>
      </c>
      <c r="I327" s="16"/>
      <c r="J327" s="16"/>
    </row>
    <row r="328" spans="1:10" x14ac:dyDescent="0.25">
      <c r="A328" t="s">
        <v>29</v>
      </c>
      <c r="B328">
        <v>2016</v>
      </c>
      <c r="C328">
        <v>4</v>
      </c>
      <c r="D328">
        <v>20</v>
      </c>
      <c r="E328">
        <v>67.5</v>
      </c>
      <c r="F328">
        <v>2.5</v>
      </c>
      <c r="G328">
        <v>0</v>
      </c>
      <c r="I328" s="16"/>
      <c r="J328" s="16"/>
    </row>
    <row r="329" spans="1:10" x14ac:dyDescent="0.25">
      <c r="A329" t="s">
        <v>29</v>
      </c>
      <c r="B329">
        <v>2016</v>
      </c>
      <c r="C329">
        <v>4</v>
      </c>
      <c r="D329">
        <v>21</v>
      </c>
      <c r="E329">
        <v>66.5</v>
      </c>
      <c r="F329">
        <v>1.5</v>
      </c>
      <c r="G329">
        <v>0</v>
      </c>
      <c r="I329" s="16"/>
      <c r="J329" s="16"/>
    </row>
    <row r="330" spans="1:10" x14ac:dyDescent="0.25">
      <c r="A330" t="s">
        <v>29</v>
      </c>
      <c r="B330">
        <v>2016</v>
      </c>
      <c r="C330">
        <v>4</v>
      </c>
      <c r="D330">
        <v>22</v>
      </c>
      <c r="E330">
        <v>67</v>
      </c>
      <c r="F330">
        <v>2</v>
      </c>
      <c r="G330">
        <v>0</v>
      </c>
      <c r="I330" s="16"/>
      <c r="J330" s="16"/>
    </row>
    <row r="331" spans="1:10" x14ac:dyDescent="0.25">
      <c r="A331" t="s">
        <v>29</v>
      </c>
      <c r="B331">
        <v>2016</v>
      </c>
      <c r="C331">
        <v>4</v>
      </c>
      <c r="D331">
        <v>23</v>
      </c>
      <c r="E331">
        <v>68.5</v>
      </c>
      <c r="F331">
        <v>3.5</v>
      </c>
      <c r="G331">
        <v>0</v>
      </c>
      <c r="I331" s="16"/>
      <c r="J331" s="16"/>
    </row>
    <row r="332" spans="1:10" x14ac:dyDescent="0.25">
      <c r="A332" t="s">
        <v>29</v>
      </c>
      <c r="B332">
        <v>2016</v>
      </c>
      <c r="C332">
        <v>4</v>
      </c>
      <c r="D332">
        <v>24</v>
      </c>
      <c r="E332">
        <v>72</v>
      </c>
      <c r="F332">
        <v>7</v>
      </c>
      <c r="G332">
        <v>0</v>
      </c>
      <c r="I332" s="16"/>
      <c r="J332" s="16"/>
    </row>
    <row r="333" spans="1:10" x14ac:dyDescent="0.25">
      <c r="A333" t="s">
        <v>29</v>
      </c>
      <c r="B333">
        <v>2016</v>
      </c>
      <c r="C333">
        <v>4</v>
      </c>
      <c r="D333">
        <v>25</v>
      </c>
      <c r="E333">
        <v>72</v>
      </c>
      <c r="F333">
        <v>7</v>
      </c>
      <c r="G333">
        <v>0</v>
      </c>
      <c r="I333" s="16"/>
      <c r="J333" s="16"/>
    </row>
    <row r="334" spans="1:10" x14ac:dyDescent="0.25">
      <c r="A334" t="s">
        <v>29</v>
      </c>
      <c r="B334">
        <v>2016</v>
      </c>
      <c r="C334">
        <v>4</v>
      </c>
      <c r="D334">
        <v>26</v>
      </c>
      <c r="E334">
        <v>76</v>
      </c>
      <c r="F334">
        <v>11</v>
      </c>
      <c r="G334">
        <v>0</v>
      </c>
      <c r="I334" s="16"/>
      <c r="J334" s="16"/>
    </row>
    <row r="335" spans="1:10" x14ac:dyDescent="0.25">
      <c r="A335" t="s">
        <v>29</v>
      </c>
      <c r="B335">
        <v>2016</v>
      </c>
      <c r="C335">
        <v>4</v>
      </c>
      <c r="D335">
        <v>27</v>
      </c>
      <c r="E335">
        <v>71.5</v>
      </c>
      <c r="F335">
        <v>6.5</v>
      </c>
      <c r="G335">
        <v>0</v>
      </c>
      <c r="I335" s="16"/>
      <c r="J335" s="16"/>
    </row>
    <row r="336" spans="1:10" x14ac:dyDescent="0.25">
      <c r="A336" t="s">
        <v>29</v>
      </c>
      <c r="B336">
        <v>2016</v>
      </c>
      <c r="C336">
        <v>4</v>
      </c>
      <c r="D336">
        <v>28</v>
      </c>
      <c r="E336">
        <v>69.5</v>
      </c>
      <c r="F336">
        <v>4.5</v>
      </c>
      <c r="G336">
        <v>0</v>
      </c>
      <c r="I336" s="16"/>
      <c r="J336" s="16"/>
    </row>
    <row r="337" spans="1:10" ht="15.75" thickBot="1" x14ac:dyDescent="0.3">
      <c r="A337" t="s">
        <v>29</v>
      </c>
      <c r="B337">
        <v>2016</v>
      </c>
      <c r="C337">
        <v>4</v>
      </c>
      <c r="D337">
        <v>29</v>
      </c>
      <c r="E337">
        <v>73.5</v>
      </c>
      <c r="F337">
        <v>8.5</v>
      </c>
      <c r="G337">
        <v>0</v>
      </c>
      <c r="I337" s="16"/>
      <c r="J337" s="16"/>
    </row>
    <row r="338" spans="1:10" ht="15.75" thickBot="1" x14ac:dyDescent="0.3">
      <c r="A338" s="17" t="s">
        <v>29</v>
      </c>
      <c r="B338" s="18">
        <v>2016</v>
      </c>
      <c r="C338" s="18">
        <v>4</v>
      </c>
      <c r="D338" s="18">
        <v>30</v>
      </c>
      <c r="E338" s="18">
        <v>72</v>
      </c>
      <c r="F338" s="18">
        <v>7</v>
      </c>
      <c r="G338" s="18">
        <v>0</v>
      </c>
      <c r="H338" s="18"/>
      <c r="I338" s="19">
        <f>(30.435*(F338+2*F337+3*F336+4*F335+5*F334+6*F333+7*F332+8*F331+9*F330+10*F329+11*F328+12*F327+13*F326+14*F325+15*F324+16*F323+17*F322+18*F321+19*F320+20*F319+21*F318+22*F317+23*F316+24*F315+25*F314+26*F313+27*F312+28*F311+29*F310+30*F309+30*F308+29*F307+28*F306+27*F305+26*F304+25*F303+24*F302+23*F301+22*F300+21*F299+20*F298+19*F297+18*F296+17*F295+16*F294+15*F293+14*F292+13*F291+12*F290+11*F289+10*F288+9*F287+8*F286+7*F285+6*F284+5*F283+4*F282+3*F281+2*F280+1*F279)/930)</f>
        <v>42.379919354838705</v>
      </c>
      <c r="J338" s="20">
        <f>(30.435*(G338+2*G337+3*G336+4*G335+5*G334+6*G333+7*G332+8*G331+9*G330+10*G329+11*G328+12*G327+13*G326+14*G325+15*G324+16*G323+17*G322+18*G321+19*G320+20*G319+21*G318+22*G317+23*G316+24*G315+25*G314+26*G313+27*G312+28*G311+29*G310+30*G309+30*G308+29*G307+28*G306+27*G305+26*G304+25*G303+24*G302+23*G301+22*G300+21*G299+20*G298+19*G297+18*G296+17*G295+16*G294+15*G293+14*G292+13*G291+12*G290+11*G289+10*G288+9*G287+8*G286+7*G285+6*G284+5*G283+4*G282+3*G281+2*G280+1*G279)/930)</f>
        <v>20.110008064516126</v>
      </c>
    </row>
    <row r="339" spans="1:10" x14ac:dyDescent="0.25">
      <c r="A339" t="s">
        <v>29</v>
      </c>
      <c r="B339">
        <v>2016</v>
      </c>
      <c r="C339">
        <v>5</v>
      </c>
      <c r="D339">
        <v>1</v>
      </c>
      <c r="E339">
        <v>72</v>
      </c>
      <c r="F339">
        <v>7</v>
      </c>
      <c r="G339">
        <v>0</v>
      </c>
      <c r="I339" s="16"/>
      <c r="J339" s="16"/>
    </row>
    <row r="340" spans="1:10" x14ac:dyDescent="0.25">
      <c r="A340" t="s">
        <v>29</v>
      </c>
      <c r="B340">
        <v>2016</v>
      </c>
      <c r="C340">
        <v>5</v>
      </c>
      <c r="D340">
        <v>2</v>
      </c>
      <c r="E340">
        <v>61.5</v>
      </c>
      <c r="F340">
        <v>0</v>
      </c>
      <c r="G340">
        <v>0</v>
      </c>
      <c r="I340" s="16"/>
      <c r="J340" s="16"/>
    </row>
    <row r="341" spans="1:10" x14ac:dyDescent="0.25">
      <c r="A341" t="s">
        <v>29</v>
      </c>
      <c r="B341">
        <v>2016</v>
      </c>
      <c r="C341">
        <v>5</v>
      </c>
      <c r="D341">
        <v>3</v>
      </c>
      <c r="E341">
        <v>60.5</v>
      </c>
      <c r="F341">
        <v>0</v>
      </c>
      <c r="G341">
        <v>0</v>
      </c>
      <c r="I341" s="16"/>
      <c r="J341" s="16"/>
    </row>
    <row r="342" spans="1:10" x14ac:dyDescent="0.25">
      <c r="A342" t="s">
        <v>29</v>
      </c>
      <c r="B342">
        <v>2016</v>
      </c>
      <c r="C342">
        <v>5</v>
      </c>
      <c r="D342">
        <v>4</v>
      </c>
      <c r="E342">
        <v>65</v>
      </c>
      <c r="F342">
        <v>0</v>
      </c>
      <c r="G342">
        <v>0</v>
      </c>
      <c r="I342" s="16"/>
      <c r="J342" s="16"/>
    </row>
    <row r="343" spans="1:10" x14ac:dyDescent="0.25">
      <c r="A343" t="s">
        <v>29</v>
      </c>
      <c r="B343">
        <v>2016</v>
      </c>
      <c r="C343">
        <v>5</v>
      </c>
      <c r="D343">
        <v>5</v>
      </c>
      <c r="E343">
        <v>66.5</v>
      </c>
      <c r="F343">
        <v>1.5</v>
      </c>
      <c r="G343">
        <v>0</v>
      </c>
      <c r="I343" s="16"/>
      <c r="J343" s="16"/>
    </row>
    <row r="344" spans="1:10" x14ac:dyDescent="0.25">
      <c r="A344" t="s">
        <v>29</v>
      </c>
      <c r="B344">
        <v>2016</v>
      </c>
      <c r="C344">
        <v>5</v>
      </c>
      <c r="D344">
        <v>6</v>
      </c>
      <c r="E344">
        <v>64.5</v>
      </c>
      <c r="F344">
        <v>0</v>
      </c>
      <c r="G344">
        <v>0</v>
      </c>
      <c r="I344" s="16"/>
      <c r="J344" s="16"/>
    </row>
    <row r="345" spans="1:10" x14ac:dyDescent="0.25">
      <c r="A345" t="s">
        <v>29</v>
      </c>
      <c r="B345">
        <v>2016</v>
      </c>
      <c r="C345">
        <v>5</v>
      </c>
      <c r="D345">
        <v>7</v>
      </c>
      <c r="E345">
        <v>68</v>
      </c>
      <c r="F345">
        <v>3</v>
      </c>
      <c r="G345">
        <v>0</v>
      </c>
      <c r="I345" s="16"/>
      <c r="J345" s="16"/>
    </row>
    <row r="346" spans="1:10" x14ac:dyDescent="0.25">
      <c r="A346" t="s">
        <v>29</v>
      </c>
      <c r="B346">
        <v>2016</v>
      </c>
      <c r="C346">
        <v>5</v>
      </c>
      <c r="D346">
        <v>8</v>
      </c>
      <c r="E346">
        <v>67.5</v>
      </c>
      <c r="F346">
        <v>2.5</v>
      </c>
      <c r="G346">
        <v>0</v>
      </c>
      <c r="I346" s="16"/>
      <c r="J346" s="16"/>
    </row>
    <row r="347" spans="1:10" x14ac:dyDescent="0.25">
      <c r="A347" t="s">
        <v>29</v>
      </c>
      <c r="B347">
        <v>2016</v>
      </c>
      <c r="C347">
        <v>5</v>
      </c>
      <c r="D347">
        <v>9</v>
      </c>
      <c r="E347">
        <v>70.5</v>
      </c>
      <c r="F347">
        <v>5.5</v>
      </c>
      <c r="G347">
        <v>0</v>
      </c>
      <c r="I347" s="16"/>
      <c r="J347" s="16"/>
    </row>
    <row r="348" spans="1:10" x14ac:dyDescent="0.25">
      <c r="A348" t="s">
        <v>29</v>
      </c>
      <c r="B348">
        <v>2016</v>
      </c>
      <c r="C348">
        <v>5</v>
      </c>
      <c r="D348">
        <v>10</v>
      </c>
      <c r="E348">
        <v>75</v>
      </c>
      <c r="F348">
        <v>10</v>
      </c>
      <c r="G348">
        <v>0</v>
      </c>
      <c r="I348" s="16"/>
      <c r="J348" s="16"/>
    </row>
    <row r="349" spans="1:10" x14ac:dyDescent="0.25">
      <c r="A349" t="s">
        <v>29</v>
      </c>
      <c r="B349">
        <v>2016</v>
      </c>
      <c r="C349">
        <v>5</v>
      </c>
      <c r="D349">
        <v>11</v>
      </c>
      <c r="E349">
        <v>77.5</v>
      </c>
      <c r="F349">
        <v>12.5</v>
      </c>
      <c r="G349">
        <v>0</v>
      </c>
      <c r="I349" s="16"/>
      <c r="J349" s="16"/>
    </row>
    <row r="350" spans="1:10" x14ac:dyDescent="0.25">
      <c r="A350" t="s">
        <v>29</v>
      </c>
      <c r="B350">
        <v>2016</v>
      </c>
      <c r="C350">
        <v>5</v>
      </c>
      <c r="D350">
        <v>12</v>
      </c>
      <c r="E350">
        <v>75.5</v>
      </c>
      <c r="F350">
        <v>10.5</v>
      </c>
      <c r="G350">
        <v>0</v>
      </c>
      <c r="I350" s="16"/>
      <c r="J350" s="16"/>
    </row>
    <row r="351" spans="1:10" x14ac:dyDescent="0.25">
      <c r="A351" t="s">
        <v>29</v>
      </c>
      <c r="B351">
        <v>2016</v>
      </c>
      <c r="C351">
        <v>5</v>
      </c>
      <c r="D351">
        <v>13</v>
      </c>
      <c r="E351">
        <v>67.5</v>
      </c>
      <c r="F351">
        <v>2.5</v>
      </c>
      <c r="G351">
        <v>0</v>
      </c>
      <c r="I351" s="16"/>
      <c r="J351" s="16"/>
    </row>
    <row r="352" spans="1:10" x14ac:dyDescent="0.25">
      <c r="A352" t="s">
        <v>29</v>
      </c>
      <c r="B352">
        <v>2016</v>
      </c>
      <c r="C352">
        <v>5</v>
      </c>
      <c r="D352">
        <v>14</v>
      </c>
      <c r="E352">
        <v>66.5</v>
      </c>
      <c r="F352">
        <v>1.5</v>
      </c>
      <c r="G352">
        <v>0</v>
      </c>
      <c r="I352" s="16"/>
      <c r="J352" s="16"/>
    </row>
    <row r="353" spans="1:10" x14ac:dyDescent="0.25">
      <c r="A353" t="s">
        <v>29</v>
      </c>
      <c r="B353">
        <v>2016</v>
      </c>
      <c r="C353">
        <v>5</v>
      </c>
      <c r="D353">
        <v>15</v>
      </c>
      <c r="E353">
        <v>63</v>
      </c>
      <c r="F353">
        <v>0</v>
      </c>
      <c r="G353">
        <v>0</v>
      </c>
      <c r="I353" s="16"/>
      <c r="J353" s="16"/>
    </row>
    <row r="354" spans="1:10" x14ac:dyDescent="0.25">
      <c r="A354" t="s">
        <v>29</v>
      </c>
      <c r="B354">
        <v>2016</v>
      </c>
      <c r="C354">
        <v>5</v>
      </c>
      <c r="D354">
        <v>16</v>
      </c>
      <c r="E354">
        <v>63</v>
      </c>
      <c r="F354">
        <v>0</v>
      </c>
      <c r="G354">
        <v>0</v>
      </c>
      <c r="I354" s="16"/>
      <c r="J354" s="16"/>
    </row>
    <row r="355" spans="1:10" x14ac:dyDescent="0.25">
      <c r="A355" t="s">
        <v>29</v>
      </c>
      <c r="B355">
        <v>2016</v>
      </c>
      <c r="C355">
        <v>5</v>
      </c>
      <c r="D355">
        <v>17</v>
      </c>
      <c r="E355">
        <v>74</v>
      </c>
      <c r="F355">
        <v>9</v>
      </c>
      <c r="G355">
        <v>0</v>
      </c>
      <c r="I355" s="16"/>
      <c r="J355" s="16"/>
    </row>
    <row r="356" spans="1:10" x14ac:dyDescent="0.25">
      <c r="A356" t="s">
        <v>29</v>
      </c>
      <c r="B356">
        <v>2016</v>
      </c>
      <c r="C356">
        <v>5</v>
      </c>
      <c r="D356">
        <v>18</v>
      </c>
      <c r="E356">
        <v>62</v>
      </c>
      <c r="F356">
        <v>0</v>
      </c>
      <c r="G356">
        <v>0</v>
      </c>
      <c r="I356" s="16"/>
      <c r="J356" s="16"/>
    </row>
    <row r="357" spans="1:10" x14ac:dyDescent="0.25">
      <c r="A357" t="s">
        <v>29</v>
      </c>
      <c r="B357">
        <v>2016</v>
      </c>
      <c r="C357">
        <v>5</v>
      </c>
      <c r="D357">
        <v>19</v>
      </c>
      <c r="E357">
        <v>63.5</v>
      </c>
      <c r="F357">
        <v>0</v>
      </c>
      <c r="G357">
        <v>0</v>
      </c>
      <c r="I357" s="16"/>
      <c r="J357" s="16"/>
    </row>
    <row r="358" spans="1:10" x14ac:dyDescent="0.25">
      <c r="A358" t="s">
        <v>29</v>
      </c>
      <c r="B358">
        <v>2016</v>
      </c>
      <c r="C358">
        <v>5</v>
      </c>
      <c r="D358">
        <v>20</v>
      </c>
      <c r="E358">
        <v>65.5</v>
      </c>
      <c r="F358">
        <v>0.5</v>
      </c>
      <c r="G358">
        <v>0</v>
      </c>
      <c r="I358" s="16"/>
      <c r="J358" s="16"/>
    </row>
    <row r="359" spans="1:10" x14ac:dyDescent="0.25">
      <c r="A359" t="s">
        <v>29</v>
      </c>
      <c r="B359">
        <v>2016</v>
      </c>
      <c r="C359">
        <v>5</v>
      </c>
      <c r="D359">
        <v>21</v>
      </c>
      <c r="E359">
        <v>69</v>
      </c>
      <c r="F359">
        <v>4</v>
      </c>
      <c r="G359">
        <v>0</v>
      </c>
      <c r="I359" s="16"/>
      <c r="J359" s="16"/>
    </row>
    <row r="360" spans="1:10" x14ac:dyDescent="0.25">
      <c r="A360" t="s">
        <v>29</v>
      </c>
      <c r="B360">
        <v>2016</v>
      </c>
      <c r="C360">
        <v>5</v>
      </c>
      <c r="D360">
        <v>22</v>
      </c>
      <c r="E360">
        <v>72</v>
      </c>
      <c r="F360">
        <v>7</v>
      </c>
      <c r="G360">
        <v>0</v>
      </c>
      <c r="I360" s="16"/>
      <c r="J360" s="16"/>
    </row>
    <row r="361" spans="1:10" x14ac:dyDescent="0.25">
      <c r="A361" t="s">
        <v>29</v>
      </c>
      <c r="B361">
        <v>2016</v>
      </c>
      <c r="C361">
        <v>5</v>
      </c>
      <c r="D361">
        <v>23</v>
      </c>
      <c r="E361">
        <v>72.5</v>
      </c>
      <c r="F361">
        <v>7.5</v>
      </c>
      <c r="G361">
        <v>0</v>
      </c>
      <c r="I361" s="16"/>
      <c r="J361" s="16"/>
    </row>
    <row r="362" spans="1:10" x14ac:dyDescent="0.25">
      <c r="A362" t="s">
        <v>29</v>
      </c>
      <c r="B362">
        <v>2016</v>
      </c>
      <c r="C362">
        <v>5</v>
      </c>
      <c r="D362">
        <v>24</v>
      </c>
      <c r="E362">
        <v>76</v>
      </c>
      <c r="F362">
        <v>11</v>
      </c>
      <c r="G362">
        <v>0</v>
      </c>
      <c r="I362" s="16"/>
      <c r="J362" s="16"/>
    </row>
    <row r="363" spans="1:10" x14ac:dyDescent="0.25">
      <c r="A363" t="s">
        <v>29</v>
      </c>
      <c r="B363">
        <v>2016</v>
      </c>
      <c r="C363">
        <v>5</v>
      </c>
      <c r="D363">
        <v>25</v>
      </c>
      <c r="E363">
        <v>81</v>
      </c>
      <c r="F363">
        <v>16</v>
      </c>
      <c r="G363">
        <v>0</v>
      </c>
      <c r="I363" s="16"/>
      <c r="J363" s="16"/>
    </row>
    <row r="364" spans="1:10" x14ac:dyDescent="0.25">
      <c r="A364" t="s">
        <v>29</v>
      </c>
      <c r="B364">
        <v>2016</v>
      </c>
      <c r="C364">
        <v>5</v>
      </c>
      <c r="D364">
        <v>26</v>
      </c>
      <c r="E364">
        <v>75.5</v>
      </c>
      <c r="F364">
        <v>10.5</v>
      </c>
      <c r="G364">
        <v>0</v>
      </c>
      <c r="I364" s="16"/>
      <c r="J364" s="16"/>
    </row>
    <row r="365" spans="1:10" x14ac:dyDescent="0.25">
      <c r="A365" t="s">
        <v>29</v>
      </c>
      <c r="B365">
        <v>2016</v>
      </c>
      <c r="C365">
        <v>5</v>
      </c>
      <c r="D365">
        <v>27</v>
      </c>
      <c r="E365">
        <v>69.5</v>
      </c>
      <c r="F365">
        <v>4.5</v>
      </c>
      <c r="G365">
        <v>0</v>
      </c>
      <c r="I365" s="16"/>
      <c r="J365" s="16"/>
    </row>
    <row r="366" spans="1:10" x14ac:dyDescent="0.25">
      <c r="A366" t="s">
        <v>29</v>
      </c>
      <c r="B366">
        <v>2016</v>
      </c>
      <c r="C366">
        <v>5</v>
      </c>
      <c r="D366">
        <v>28</v>
      </c>
      <c r="E366">
        <v>72</v>
      </c>
      <c r="F366">
        <v>7</v>
      </c>
      <c r="G366">
        <v>0</v>
      </c>
      <c r="I366" s="16"/>
      <c r="J366" s="16"/>
    </row>
    <row r="367" spans="1:10" x14ac:dyDescent="0.25">
      <c r="A367" t="s">
        <v>29</v>
      </c>
      <c r="B367">
        <v>2016</v>
      </c>
      <c r="C367">
        <v>5</v>
      </c>
      <c r="D367">
        <v>29</v>
      </c>
      <c r="E367">
        <v>78</v>
      </c>
      <c r="F367">
        <v>13</v>
      </c>
      <c r="G367">
        <v>0</v>
      </c>
      <c r="I367" s="16"/>
      <c r="J367" s="16"/>
    </row>
    <row r="368" spans="1:10" ht="15.75" thickBot="1" x14ac:dyDescent="0.3">
      <c r="A368" t="s">
        <v>29</v>
      </c>
      <c r="B368">
        <v>2016</v>
      </c>
      <c r="C368">
        <v>5</v>
      </c>
      <c r="D368">
        <v>30</v>
      </c>
      <c r="E368">
        <v>73.5</v>
      </c>
      <c r="F368">
        <v>8.5</v>
      </c>
      <c r="G368">
        <v>0</v>
      </c>
      <c r="I368" s="16"/>
      <c r="J368" s="16"/>
    </row>
    <row r="369" spans="1:10" ht="15.75" thickBot="1" x14ac:dyDescent="0.3">
      <c r="A369" s="17" t="s">
        <v>29</v>
      </c>
      <c r="B369" s="18">
        <v>2016</v>
      </c>
      <c r="C369" s="18">
        <v>5</v>
      </c>
      <c r="D369" s="18">
        <v>31</v>
      </c>
      <c r="E369" s="18">
        <v>75.5</v>
      </c>
      <c r="F369" s="18">
        <v>10.5</v>
      </c>
      <c r="G369" s="18">
        <v>0</v>
      </c>
      <c r="H369" s="18"/>
      <c r="I369" s="19">
        <f>(30.435*(F369+2*F368+3*F367+4*F366+5*F365+6*F364+7*F363+8*F362+9*F361+10*F360+11*F359+12*F358+13*F357+14*F356+15*F355+16*F354+17*F353+18*F352+19*F351+20*F350+21*F349+22*F348+23*F347+24*F346+25*F345+26*F344+27*F343+28*F342+29*F341+30*F340+30*F339+29*F338+28*F337+27*F336+26*F335+25*F334+24*F333+23*F332+22*F331+21*F330+20*F329+19*F328+18*F327+17*F326+16*F325+15*F324+14*F323+13*F322+12*F321+11*F320+10*F319+9*F318+8*F317+7*F316+6*F315+5*F314+4*F313+3*F312+2*F311+1*F310)/930)</f>
        <v>120.66004838709678</v>
      </c>
      <c r="J369" s="20">
        <f>(30.435*(G369+2*G368+3*G367+4*G366+5*G365+6*G364+7*G363+8*G362+9*G361+10*G360+11*G359+12*G358+13*G357+14*G356+15*G355+16*G354+17*G353+18*G352+19*G351+20*G350+21*G349+22*G348+23*G347+24*G346+25*G345+26*G344+27*G343+28*G342+29*G341+30*G340+30*G339+29*G338+28*G337+27*G336+26*G335+25*G334+24*G333+23*G332+22*G331+21*G330+20*G329+19*G328+18*G327+17*G326+16*G325+15*G324+14*G323+13*G322+12*G321+11*G320+10*G319+9*G318+8*G317+7*G316+6*G315+5*G314+4*G313+3*G312+2*G311+1*G310)/930)</f>
        <v>4.9088709677419351E-2</v>
      </c>
    </row>
    <row r="370" spans="1:10" x14ac:dyDescent="0.25">
      <c r="A370" t="s">
        <v>29</v>
      </c>
      <c r="B370">
        <v>2016</v>
      </c>
      <c r="C370">
        <v>6</v>
      </c>
      <c r="D370">
        <v>1</v>
      </c>
      <c r="E370">
        <v>72</v>
      </c>
      <c r="F370">
        <v>7</v>
      </c>
      <c r="G370">
        <v>0</v>
      </c>
      <c r="I370" s="16"/>
      <c r="J370" s="16"/>
    </row>
    <row r="371" spans="1:10" x14ac:dyDescent="0.25">
      <c r="A371" t="s">
        <v>29</v>
      </c>
      <c r="B371">
        <v>2016</v>
      </c>
      <c r="C371">
        <v>6</v>
      </c>
      <c r="D371">
        <v>2</v>
      </c>
      <c r="E371">
        <v>72.5</v>
      </c>
      <c r="F371">
        <v>7.5</v>
      </c>
      <c r="G371">
        <v>0</v>
      </c>
      <c r="I371" s="16"/>
      <c r="J371" s="16"/>
    </row>
    <row r="372" spans="1:10" x14ac:dyDescent="0.25">
      <c r="A372" t="s">
        <v>29</v>
      </c>
      <c r="B372">
        <v>2016</v>
      </c>
      <c r="C372">
        <v>6</v>
      </c>
      <c r="D372">
        <v>3</v>
      </c>
      <c r="E372">
        <v>73.5</v>
      </c>
      <c r="F372">
        <v>8.5</v>
      </c>
      <c r="G372">
        <v>0</v>
      </c>
      <c r="I372" s="16"/>
      <c r="J372" s="16"/>
    </row>
    <row r="373" spans="1:10" x14ac:dyDescent="0.25">
      <c r="A373" t="s">
        <v>29</v>
      </c>
      <c r="B373">
        <v>2016</v>
      </c>
      <c r="C373">
        <v>6</v>
      </c>
      <c r="D373">
        <v>4</v>
      </c>
      <c r="E373">
        <v>74.5</v>
      </c>
      <c r="F373">
        <v>9.5</v>
      </c>
      <c r="G373">
        <v>0</v>
      </c>
      <c r="I373" s="16"/>
      <c r="J373" s="16"/>
    </row>
    <row r="374" spans="1:10" x14ac:dyDescent="0.25">
      <c r="A374" t="s">
        <v>29</v>
      </c>
      <c r="B374">
        <v>2016</v>
      </c>
      <c r="C374">
        <v>6</v>
      </c>
      <c r="D374">
        <v>5</v>
      </c>
      <c r="E374">
        <v>78.5</v>
      </c>
      <c r="F374">
        <v>13.5</v>
      </c>
      <c r="G374">
        <v>0</v>
      </c>
      <c r="I374" s="16"/>
      <c r="J374" s="16"/>
    </row>
    <row r="375" spans="1:10" x14ac:dyDescent="0.25">
      <c r="A375" t="s">
        <v>29</v>
      </c>
      <c r="B375">
        <v>2016</v>
      </c>
      <c r="C375">
        <v>6</v>
      </c>
      <c r="D375">
        <v>6</v>
      </c>
      <c r="E375">
        <v>77</v>
      </c>
      <c r="F375">
        <v>12</v>
      </c>
      <c r="G375">
        <v>0</v>
      </c>
      <c r="I375" s="16"/>
      <c r="J375" s="16"/>
    </row>
    <row r="376" spans="1:10" x14ac:dyDescent="0.25">
      <c r="A376" t="s">
        <v>29</v>
      </c>
      <c r="B376">
        <v>2016</v>
      </c>
      <c r="C376">
        <v>6</v>
      </c>
      <c r="D376">
        <v>7</v>
      </c>
      <c r="E376">
        <v>78</v>
      </c>
      <c r="F376">
        <v>13</v>
      </c>
      <c r="G376">
        <v>0</v>
      </c>
      <c r="I376" s="16"/>
      <c r="J376" s="16"/>
    </row>
    <row r="377" spans="1:10" x14ac:dyDescent="0.25">
      <c r="A377" t="s">
        <v>29</v>
      </c>
      <c r="B377">
        <v>2016</v>
      </c>
      <c r="C377">
        <v>6</v>
      </c>
      <c r="D377">
        <v>8</v>
      </c>
      <c r="E377">
        <v>79</v>
      </c>
      <c r="F377">
        <v>14</v>
      </c>
      <c r="G377">
        <v>0</v>
      </c>
      <c r="I377" s="16"/>
      <c r="J377" s="16"/>
    </row>
    <row r="378" spans="1:10" x14ac:dyDescent="0.25">
      <c r="A378" t="s">
        <v>29</v>
      </c>
      <c r="B378">
        <v>2016</v>
      </c>
      <c r="C378">
        <v>6</v>
      </c>
      <c r="D378">
        <v>9</v>
      </c>
      <c r="E378">
        <v>80</v>
      </c>
      <c r="F378">
        <v>15</v>
      </c>
      <c r="G378">
        <v>0</v>
      </c>
      <c r="I378" s="16"/>
      <c r="J378" s="16"/>
    </row>
    <row r="379" spans="1:10" x14ac:dyDescent="0.25">
      <c r="A379" t="s">
        <v>29</v>
      </c>
      <c r="B379">
        <v>2016</v>
      </c>
      <c r="C379">
        <v>6</v>
      </c>
      <c r="D379">
        <v>10</v>
      </c>
      <c r="E379">
        <v>80.5</v>
      </c>
      <c r="F379">
        <v>15.5</v>
      </c>
      <c r="G379">
        <v>0</v>
      </c>
      <c r="I379" s="16"/>
      <c r="J379" s="16"/>
    </row>
    <row r="380" spans="1:10" x14ac:dyDescent="0.25">
      <c r="A380" t="s">
        <v>29</v>
      </c>
      <c r="B380">
        <v>2016</v>
      </c>
      <c r="C380">
        <v>6</v>
      </c>
      <c r="D380">
        <v>11</v>
      </c>
      <c r="E380">
        <v>81.5</v>
      </c>
      <c r="F380">
        <v>16.5</v>
      </c>
      <c r="G380">
        <v>0</v>
      </c>
      <c r="I380" s="16"/>
      <c r="J380" s="16"/>
    </row>
    <row r="381" spans="1:10" x14ac:dyDescent="0.25">
      <c r="A381" t="s">
        <v>29</v>
      </c>
      <c r="B381">
        <v>2016</v>
      </c>
      <c r="C381">
        <v>6</v>
      </c>
      <c r="D381">
        <v>12</v>
      </c>
      <c r="E381">
        <v>81.5</v>
      </c>
      <c r="F381">
        <v>16.5</v>
      </c>
      <c r="G381">
        <v>0</v>
      </c>
      <c r="I381" s="16"/>
      <c r="J381" s="16"/>
    </row>
    <row r="382" spans="1:10" x14ac:dyDescent="0.25">
      <c r="A382" t="s">
        <v>29</v>
      </c>
      <c r="B382">
        <v>2016</v>
      </c>
      <c r="C382">
        <v>6</v>
      </c>
      <c r="D382">
        <v>13</v>
      </c>
      <c r="E382">
        <v>78</v>
      </c>
      <c r="F382">
        <v>13</v>
      </c>
      <c r="G382">
        <v>0</v>
      </c>
      <c r="I382" s="16"/>
      <c r="J382" s="16"/>
    </row>
    <row r="383" spans="1:10" x14ac:dyDescent="0.25">
      <c r="A383" t="s">
        <v>29</v>
      </c>
      <c r="B383">
        <v>2016</v>
      </c>
      <c r="C383">
        <v>6</v>
      </c>
      <c r="D383">
        <v>14</v>
      </c>
      <c r="E383">
        <v>83.5</v>
      </c>
      <c r="F383">
        <v>18.5</v>
      </c>
      <c r="G383">
        <v>0</v>
      </c>
      <c r="I383" s="16"/>
      <c r="J383" s="16"/>
    </row>
    <row r="384" spans="1:10" x14ac:dyDescent="0.25">
      <c r="A384" t="s">
        <v>29</v>
      </c>
      <c r="B384">
        <v>2016</v>
      </c>
      <c r="C384">
        <v>6</v>
      </c>
      <c r="D384">
        <v>15</v>
      </c>
      <c r="E384">
        <v>84</v>
      </c>
      <c r="F384">
        <v>19</v>
      </c>
      <c r="G384">
        <v>0</v>
      </c>
      <c r="I384" s="16"/>
      <c r="J384" s="16"/>
    </row>
    <row r="385" spans="1:10" x14ac:dyDescent="0.25">
      <c r="A385" t="s">
        <v>29</v>
      </c>
      <c r="B385">
        <v>2016</v>
      </c>
      <c r="C385">
        <v>6</v>
      </c>
      <c r="D385">
        <v>16</v>
      </c>
      <c r="E385">
        <v>85</v>
      </c>
      <c r="F385">
        <v>20</v>
      </c>
      <c r="G385">
        <v>0</v>
      </c>
      <c r="I385" s="16"/>
      <c r="J385" s="16"/>
    </row>
    <row r="386" spans="1:10" x14ac:dyDescent="0.25">
      <c r="A386" t="s">
        <v>29</v>
      </c>
      <c r="B386">
        <v>2016</v>
      </c>
      <c r="C386">
        <v>6</v>
      </c>
      <c r="D386">
        <v>17</v>
      </c>
      <c r="E386">
        <v>84.5</v>
      </c>
      <c r="F386">
        <v>19.5</v>
      </c>
      <c r="G386">
        <v>0</v>
      </c>
      <c r="I386" s="16"/>
      <c r="J386" s="16"/>
    </row>
    <row r="387" spans="1:10" x14ac:dyDescent="0.25">
      <c r="A387" t="s">
        <v>29</v>
      </c>
      <c r="B387">
        <v>2016</v>
      </c>
      <c r="C387">
        <v>6</v>
      </c>
      <c r="D387">
        <v>18</v>
      </c>
      <c r="E387">
        <v>84</v>
      </c>
      <c r="F387">
        <v>19</v>
      </c>
      <c r="G387">
        <v>0</v>
      </c>
      <c r="I387" s="16"/>
      <c r="J387" s="16"/>
    </row>
    <row r="388" spans="1:10" x14ac:dyDescent="0.25">
      <c r="A388" t="s">
        <v>29</v>
      </c>
      <c r="B388">
        <v>2016</v>
      </c>
      <c r="C388">
        <v>6</v>
      </c>
      <c r="D388">
        <v>19</v>
      </c>
      <c r="E388">
        <v>80</v>
      </c>
      <c r="F388">
        <v>15</v>
      </c>
      <c r="G388">
        <v>0</v>
      </c>
      <c r="I388" s="16"/>
      <c r="J388" s="16"/>
    </row>
    <row r="389" spans="1:10" x14ac:dyDescent="0.25">
      <c r="A389" t="s">
        <v>29</v>
      </c>
      <c r="B389">
        <v>2016</v>
      </c>
      <c r="C389">
        <v>6</v>
      </c>
      <c r="D389">
        <v>20</v>
      </c>
      <c r="E389">
        <v>81</v>
      </c>
      <c r="F389">
        <v>16</v>
      </c>
      <c r="G389">
        <v>0</v>
      </c>
      <c r="I389" s="16"/>
      <c r="J389" s="16"/>
    </row>
    <row r="390" spans="1:10" x14ac:dyDescent="0.25">
      <c r="A390" t="s">
        <v>29</v>
      </c>
      <c r="B390">
        <v>2016</v>
      </c>
      <c r="C390">
        <v>6</v>
      </c>
      <c r="D390">
        <v>21</v>
      </c>
      <c r="E390">
        <v>83.5</v>
      </c>
      <c r="F390">
        <v>18.5</v>
      </c>
      <c r="G390">
        <v>0</v>
      </c>
      <c r="I390" s="16"/>
      <c r="J390" s="16"/>
    </row>
    <row r="391" spans="1:10" x14ac:dyDescent="0.25">
      <c r="A391" t="s">
        <v>29</v>
      </c>
      <c r="B391">
        <v>2016</v>
      </c>
      <c r="C391">
        <v>6</v>
      </c>
      <c r="D391">
        <v>22</v>
      </c>
      <c r="E391">
        <v>84.5</v>
      </c>
      <c r="F391">
        <v>19.5</v>
      </c>
      <c r="G391">
        <v>0</v>
      </c>
      <c r="I391" s="16"/>
      <c r="J391" s="16"/>
    </row>
    <row r="392" spans="1:10" x14ac:dyDescent="0.25">
      <c r="A392" t="s">
        <v>29</v>
      </c>
      <c r="B392">
        <v>2016</v>
      </c>
      <c r="C392">
        <v>6</v>
      </c>
      <c r="D392">
        <v>23</v>
      </c>
      <c r="E392">
        <v>85</v>
      </c>
      <c r="F392">
        <v>20</v>
      </c>
      <c r="G392">
        <v>0</v>
      </c>
      <c r="I392" s="16"/>
      <c r="J392" s="16"/>
    </row>
    <row r="393" spans="1:10" x14ac:dyDescent="0.25">
      <c r="A393" t="s">
        <v>29</v>
      </c>
      <c r="B393">
        <v>2016</v>
      </c>
      <c r="C393">
        <v>6</v>
      </c>
      <c r="D393">
        <v>24</v>
      </c>
      <c r="E393">
        <v>84.5</v>
      </c>
      <c r="F393">
        <v>19.5</v>
      </c>
      <c r="G393">
        <v>0</v>
      </c>
      <c r="I393" s="16"/>
      <c r="J393" s="16"/>
    </row>
    <row r="394" spans="1:10" x14ac:dyDescent="0.25">
      <c r="A394" t="s">
        <v>29</v>
      </c>
      <c r="B394">
        <v>2016</v>
      </c>
      <c r="C394">
        <v>6</v>
      </c>
      <c r="D394">
        <v>25</v>
      </c>
      <c r="E394">
        <v>83.5</v>
      </c>
      <c r="F394">
        <v>18.5</v>
      </c>
      <c r="G394">
        <v>0</v>
      </c>
      <c r="I394" s="16"/>
      <c r="J394" s="16"/>
    </row>
    <row r="395" spans="1:10" x14ac:dyDescent="0.25">
      <c r="A395" t="s">
        <v>29</v>
      </c>
      <c r="B395">
        <v>2016</v>
      </c>
      <c r="C395">
        <v>6</v>
      </c>
      <c r="D395">
        <v>26</v>
      </c>
      <c r="E395">
        <v>85.5</v>
      </c>
      <c r="F395">
        <v>20.5</v>
      </c>
      <c r="G395">
        <v>0</v>
      </c>
      <c r="I395" s="16"/>
      <c r="J395" s="16"/>
    </row>
    <row r="396" spans="1:10" x14ac:dyDescent="0.25">
      <c r="A396" t="s">
        <v>29</v>
      </c>
      <c r="B396">
        <v>2016</v>
      </c>
      <c r="C396">
        <v>6</v>
      </c>
      <c r="D396">
        <v>27</v>
      </c>
      <c r="E396">
        <v>85</v>
      </c>
      <c r="F396">
        <v>20</v>
      </c>
      <c r="G396">
        <v>0</v>
      </c>
      <c r="I396" s="16"/>
      <c r="J396" s="16"/>
    </row>
    <row r="397" spans="1:10" x14ac:dyDescent="0.25">
      <c r="A397" t="s">
        <v>29</v>
      </c>
      <c r="B397">
        <v>2016</v>
      </c>
      <c r="C397">
        <v>6</v>
      </c>
      <c r="D397">
        <v>28</v>
      </c>
      <c r="E397">
        <v>82.5</v>
      </c>
      <c r="F397">
        <v>17.5</v>
      </c>
      <c r="G397">
        <v>0</v>
      </c>
      <c r="I397" s="16"/>
      <c r="J397" s="16"/>
    </row>
    <row r="398" spans="1:10" ht="15.75" thickBot="1" x14ac:dyDescent="0.3">
      <c r="A398" t="s">
        <v>29</v>
      </c>
      <c r="B398">
        <v>2016</v>
      </c>
      <c r="C398">
        <v>6</v>
      </c>
      <c r="D398">
        <v>29</v>
      </c>
      <c r="E398">
        <v>81</v>
      </c>
      <c r="F398">
        <v>16</v>
      </c>
      <c r="G398">
        <v>0</v>
      </c>
      <c r="I398" s="16"/>
      <c r="J398" s="16"/>
    </row>
    <row r="399" spans="1:10" ht="15.75" thickBot="1" x14ac:dyDescent="0.3">
      <c r="A399" s="17" t="s">
        <v>29</v>
      </c>
      <c r="B399" s="18">
        <v>2016</v>
      </c>
      <c r="C399" s="18">
        <v>6</v>
      </c>
      <c r="D399" s="18">
        <v>30</v>
      </c>
      <c r="E399" s="18">
        <v>82</v>
      </c>
      <c r="F399" s="18">
        <v>17</v>
      </c>
      <c r="G399" s="18">
        <v>0</v>
      </c>
      <c r="H399" s="18"/>
      <c r="I399" s="19">
        <f>(30.435*(F399+2*F398+3*F397+4*F396+5*F395+6*F394+7*F393+8*F392+9*F391+10*F390+11*F389+12*F388+13*F387+14*F386+15*F385+16*F384+17*F383+18*F382+19*F381+20*F380+21*F379+22*F378+23*F377+24*F376+25*F375+26*F374+27*F373+28*F372+29*F371+30*F370+30*F369+29*F368+28*F367+27*F366+26*F365+25*F364+24*F363+23*F362+22*F361+21*F360+20*F359+19*F358+18*F357+17*F356+16*F355+15*F354+14*F353+13*F352+12*F351+11*F350+10*F349+9*F348+8*F347+7*F346+6*F345+5*F344+4*F343+3*F342+2*F341+1*F340)/930)</f>
        <v>318.37300806451611</v>
      </c>
      <c r="J399" s="20">
        <f>(30.435*(G399+2*G398+3*G397+4*G396+5*G395+6*G394+7*G393+8*G392+9*G391+10*G390+11*G389+12*G388+13*G387+14*G386+15*G385+16*G384+17*G383+18*G382+19*G381+20*G380+21*G379+22*G378+23*G377+24*G376+25*G375+26*G374+27*G373+28*G372+29*G371+30*G370+30*G369+29*G368+28*G367+27*G366+26*G365+25*G364+24*G363+23*G362+22*G361+21*G360+20*G359+19*G358+18*G357+17*G356+16*G355+15*G354+14*G353+13*G352+12*G351+11*G350+10*G349+9*G348+8*G347+7*G346+6*G345+5*G344+4*G343+3*G342+2*G341+1*G340)/930)</f>
        <v>0</v>
      </c>
    </row>
    <row r="402" spans="1:2" x14ac:dyDescent="0.25">
      <c r="A402" t="s">
        <v>30</v>
      </c>
    </row>
    <row r="403" spans="1:2" x14ac:dyDescent="0.25">
      <c r="B403" t="s">
        <v>31</v>
      </c>
    </row>
    <row r="404" spans="1:2" x14ac:dyDescent="0.25">
      <c r="B404" t="s">
        <v>32</v>
      </c>
    </row>
    <row r="405" spans="1:2" x14ac:dyDescent="0.25">
      <c r="B405" t="s">
        <v>33</v>
      </c>
    </row>
    <row r="406" spans="1:2" x14ac:dyDescent="0.25">
      <c r="B406" t="s">
        <v>34</v>
      </c>
    </row>
    <row r="407" spans="1:2" x14ac:dyDescent="0.25">
      <c r="B407" t="s">
        <v>35</v>
      </c>
    </row>
    <row r="408" spans="1:2" x14ac:dyDescent="0.25">
      <c r="B408" t="s">
        <v>36</v>
      </c>
    </row>
    <row r="409" spans="1:2" x14ac:dyDescent="0.25">
      <c r="B409" t="s">
        <v>37</v>
      </c>
    </row>
    <row r="410" spans="1:2" x14ac:dyDescent="0.25">
      <c r="B410" t="s">
        <v>38</v>
      </c>
    </row>
    <row r="411" spans="1:2" x14ac:dyDescent="0.25">
      <c r="B411" t="s">
        <v>39</v>
      </c>
    </row>
    <row r="412" spans="1:2" x14ac:dyDescent="0.25">
      <c r="B412" t="s">
        <v>40</v>
      </c>
    </row>
    <row r="413" spans="1:2" x14ac:dyDescent="0.25">
      <c r="B413" t="s">
        <v>41</v>
      </c>
    </row>
    <row r="414" spans="1:2" x14ac:dyDescent="0.25">
      <c r="B414" t="s">
        <v>42</v>
      </c>
    </row>
    <row r="415" spans="1:2" x14ac:dyDescent="0.25">
      <c r="B415" t="s">
        <v>43</v>
      </c>
    </row>
    <row r="416" spans="1:2" x14ac:dyDescent="0.25">
      <c r="B416" t="s">
        <v>44</v>
      </c>
    </row>
    <row r="417" spans="1:10" x14ac:dyDescent="0.25">
      <c r="B417" t="s">
        <v>45</v>
      </c>
    </row>
    <row r="418" spans="1:10" x14ac:dyDescent="0.25">
      <c r="B418" t="s">
        <v>46</v>
      </c>
    </row>
    <row r="419" spans="1:10" x14ac:dyDescent="0.25">
      <c r="B419" t="s">
        <v>47</v>
      </c>
    </row>
    <row r="420" spans="1:10" x14ac:dyDescent="0.25">
      <c r="B420" t="s">
        <v>48</v>
      </c>
    </row>
    <row r="421" spans="1:10" x14ac:dyDescent="0.25">
      <c r="B421" t="s">
        <v>49</v>
      </c>
    </row>
    <row r="422" spans="1:10" x14ac:dyDescent="0.25">
      <c r="B422" t="s">
        <v>50</v>
      </c>
    </row>
    <row r="424" spans="1:10" ht="15" customHeight="1" x14ac:dyDescent="0.25">
      <c r="A424" s="21" t="s">
        <v>51</v>
      </c>
      <c r="B424" s="21"/>
      <c r="C424" s="21"/>
      <c r="D424" s="21"/>
      <c r="E424" s="21"/>
      <c r="F424" s="21"/>
      <c r="G424" s="21"/>
      <c r="H424" s="21"/>
      <c r="I424" s="21"/>
      <c r="J424" s="21"/>
    </row>
    <row r="425" spans="1:10" x14ac:dyDescent="0.25">
      <c r="A425" s="21"/>
      <c r="B425" s="21"/>
      <c r="C425" s="21"/>
      <c r="D425" s="21"/>
      <c r="E425" s="21"/>
      <c r="F425" s="21"/>
      <c r="G425" s="21"/>
      <c r="H425" s="21"/>
      <c r="I425" s="21"/>
      <c r="J425" s="21"/>
    </row>
    <row r="426" spans="1:10" x14ac:dyDescent="0.25">
      <c r="A426" s="21"/>
      <c r="B426" s="21"/>
      <c r="C426" s="21"/>
      <c r="D426" s="21"/>
      <c r="E426" s="21"/>
      <c r="F426" s="21"/>
      <c r="G426" s="21"/>
      <c r="H426" s="21"/>
      <c r="I426" s="21"/>
      <c r="J426" s="21"/>
    </row>
    <row r="427" spans="1:10" x14ac:dyDescent="0.25">
      <c r="A427" s="21"/>
      <c r="B427" s="21"/>
      <c r="C427" s="21"/>
      <c r="D427" s="21"/>
      <c r="E427" s="21"/>
      <c r="F427" s="21"/>
      <c r="G427" s="21"/>
      <c r="H427" s="21"/>
      <c r="I427" s="21"/>
      <c r="J427" s="21"/>
    </row>
    <row r="430" spans="1:10" x14ac:dyDescent="0.25">
      <c r="A430" t="s">
        <v>52</v>
      </c>
    </row>
  </sheetData>
  <mergeCells count="2">
    <mergeCell ref="A1:D1"/>
    <mergeCell ref="A2:D2"/>
  </mergeCells>
  <pageMargins left="0.7" right="0.7" top="0.75" bottom="0.75" header="0.3" footer="0.3"/>
  <pageSetup scale="82" orientation="portrait" r:id="rId1"/>
  <headerFooter>
    <oddHeader>&amp;RSchedule H-5.2
Page &amp;P of &amp;N</oddHeader>
    <oddFooter>&amp;LSponsored by: Chad Burnett</oddFooter>
  </headerFooter>
  <colBreaks count="1" manualBreakCount="1">
    <brk id="10" max="398"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2"/>
  <sheetViews>
    <sheetView view="pageBreakPreview" zoomScale="60" zoomScaleNormal="100" workbookViewId="0">
      <selection activeCell="O7" sqref="O7"/>
    </sheetView>
  </sheetViews>
  <sheetFormatPr defaultRowHeight="15" x14ac:dyDescent="0.25"/>
  <sheetData>
    <row r="1" spans="1:11" ht="63.75" customHeight="1" x14ac:dyDescent="0.25">
      <c r="A1" s="23" t="s">
        <v>57</v>
      </c>
      <c r="B1" s="22"/>
      <c r="C1" s="22"/>
      <c r="D1" s="22"/>
      <c r="E1" s="22"/>
      <c r="F1" s="22"/>
      <c r="G1" s="22"/>
      <c r="H1" s="22"/>
      <c r="I1" s="22"/>
      <c r="J1" s="22"/>
      <c r="K1" s="22"/>
    </row>
    <row r="2" spans="1:11" x14ac:dyDescent="0.25">
      <c r="A2" s="22" t="s">
        <v>0</v>
      </c>
      <c r="B2" s="22"/>
      <c r="C2" s="22"/>
      <c r="D2" s="22"/>
      <c r="E2" s="22"/>
      <c r="F2" s="22"/>
      <c r="G2" s="22"/>
      <c r="H2" s="22"/>
      <c r="I2" s="22"/>
      <c r="J2" s="22"/>
      <c r="K2" s="22"/>
    </row>
    <row r="3" spans="1:11" x14ac:dyDescent="0.25">
      <c r="A3" s="22"/>
      <c r="B3" s="22"/>
      <c r="C3" s="22"/>
      <c r="D3" s="22"/>
      <c r="E3" s="22"/>
    </row>
    <row r="4" spans="1:11" x14ac:dyDescent="0.25">
      <c r="A4">
        <v>1</v>
      </c>
      <c r="B4" t="s">
        <v>18</v>
      </c>
      <c r="C4" s="3"/>
      <c r="D4" s="3"/>
      <c r="E4" s="3"/>
    </row>
    <row r="5" spans="1:11" x14ac:dyDescent="0.25">
      <c r="A5">
        <v>2</v>
      </c>
      <c r="B5" t="s">
        <v>19</v>
      </c>
    </row>
    <row r="6" spans="1:11" x14ac:dyDescent="0.25">
      <c r="D6" s="27" t="s">
        <v>17</v>
      </c>
      <c r="E6" s="28"/>
      <c r="F6" s="28"/>
      <c r="G6" s="29"/>
      <c r="H6" s="27" t="s">
        <v>16</v>
      </c>
      <c r="I6" s="28"/>
      <c r="J6" s="28"/>
      <c r="K6" s="29"/>
    </row>
    <row r="7" spans="1:11" x14ac:dyDescent="0.25">
      <c r="D7" s="24" t="s">
        <v>14</v>
      </c>
      <c r="E7" s="25"/>
      <c r="F7" s="25" t="s">
        <v>15</v>
      </c>
      <c r="G7" s="26"/>
      <c r="H7" s="24" t="s">
        <v>14</v>
      </c>
      <c r="I7" s="25"/>
      <c r="J7" s="25" t="s">
        <v>15</v>
      </c>
      <c r="K7" s="26"/>
    </row>
    <row r="8" spans="1:11" x14ac:dyDescent="0.25">
      <c r="A8" t="s">
        <v>3</v>
      </c>
      <c r="B8" t="s">
        <v>4</v>
      </c>
      <c r="C8" t="s">
        <v>5</v>
      </c>
      <c r="D8" s="4" t="s">
        <v>6</v>
      </c>
      <c r="E8" s="5" t="s">
        <v>7</v>
      </c>
      <c r="F8" s="5" t="s">
        <v>6</v>
      </c>
      <c r="G8" s="6" t="s">
        <v>7</v>
      </c>
      <c r="H8" s="4" t="s">
        <v>6</v>
      </c>
      <c r="I8" s="5" t="s">
        <v>7</v>
      </c>
      <c r="J8" s="5" t="s">
        <v>6</v>
      </c>
      <c r="K8" s="6" t="s">
        <v>7</v>
      </c>
    </row>
    <row r="9" spans="1:11" x14ac:dyDescent="0.25">
      <c r="A9">
        <v>2018</v>
      </c>
      <c r="B9">
        <v>1</v>
      </c>
      <c r="C9" t="s">
        <v>8</v>
      </c>
      <c r="D9" s="7">
        <v>6</v>
      </c>
      <c r="E9" s="8">
        <v>365.5</v>
      </c>
      <c r="F9" s="8">
        <v>31.850000000000005</v>
      </c>
      <c r="G9" s="9">
        <v>267.04999999999995</v>
      </c>
      <c r="H9" s="7">
        <v>16.771975806448609</v>
      </c>
      <c r="I9" s="8">
        <v>361.76742741838098</v>
      </c>
      <c r="J9" s="8">
        <v>44.454735483508557</v>
      </c>
      <c r="K9" s="9">
        <v>254.13879515975714</v>
      </c>
    </row>
    <row r="10" spans="1:11" x14ac:dyDescent="0.25">
      <c r="A10">
        <v>2018</v>
      </c>
      <c r="B10">
        <v>2</v>
      </c>
      <c r="C10" t="s">
        <v>8</v>
      </c>
      <c r="D10" s="7">
        <v>106.5</v>
      </c>
      <c r="E10" s="8">
        <v>115</v>
      </c>
      <c r="F10" s="8">
        <v>70.3</v>
      </c>
      <c r="G10" s="9">
        <v>156.00000000000006</v>
      </c>
      <c r="H10" s="7">
        <v>23.137145161163062</v>
      </c>
      <c r="I10" s="8">
        <v>275.07676612585783</v>
      </c>
      <c r="J10" s="8">
        <v>40.660178225487471</v>
      </c>
      <c r="K10" s="9">
        <v>234.86656773835421</v>
      </c>
    </row>
    <row r="11" spans="1:11" x14ac:dyDescent="0.25">
      <c r="A11">
        <v>2018</v>
      </c>
      <c r="B11">
        <v>3</v>
      </c>
      <c r="C11" t="s">
        <v>8</v>
      </c>
      <c r="D11" s="7">
        <v>196.5</v>
      </c>
      <c r="E11" s="8">
        <v>28.5</v>
      </c>
      <c r="F11" s="8">
        <v>143.74999999999997</v>
      </c>
      <c r="G11" s="9">
        <v>71.2</v>
      </c>
      <c r="H11" s="7">
        <v>141.34275806322694</v>
      </c>
      <c r="I11" s="8">
        <v>85.610709676519036</v>
      </c>
      <c r="J11" s="8">
        <v>97.560537901706994</v>
      </c>
      <c r="K11" s="9">
        <v>133.46402015909553</v>
      </c>
    </row>
    <row r="12" spans="1:11" x14ac:dyDescent="0.25">
      <c r="A12">
        <v>2018</v>
      </c>
      <c r="B12">
        <v>4</v>
      </c>
      <c r="C12" t="s">
        <v>8</v>
      </c>
      <c r="D12" s="7">
        <v>192</v>
      </c>
      <c r="E12" s="8">
        <v>18</v>
      </c>
      <c r="F12" s="8">
        <v>287.59999999999997</v>
      </c>
      <c r="G12" s="9">
        <v>5.1000000000000005</v>
      </c>
      <c r="H12" s="7">
        <v>211.8832338694483</v>
      </c>
      <c r="I12" s="8">
        <v>23.006241935305297</v>
      </c>
      <c r="J12" s="8">
        <v>196.94063064269722</v>
      </c>
      <c r="K12" s="9">
        <v>33.733761290088296</v>
      </c>
    </row>
    <row r="13" spans="1:11" x14ac:dyDescent="0.25">
      <c r="A13">
        <v>2018</v>
      </c>
      <c r="B13">
        <v>5</v>
      </c>
      <c r="C13" t="s">
        <v>8</v>
      </c>
      <c r="D13" s="7">
        <v>460</v>
      </c>
      <c r="E13" s="8">
        <v>0</v>
      </c>
      <c r="F13" s="8">
        <v>438.34999999999991</v>
      </c>
      <c r="G13" s="9">
        <v>0.35</v>
      </c>
      <c r="H13" s="7">
        <v>278.23480644822121</v>
      </c>
      <c r="I13" s="8">
        <v>7.5923870967235416</v>
      </c>
      <c r="J13" s="8">
        <v>333.79668064042926</v>
      </c>
      <c r="K13" s="9">
        <v>3.3543951612664387</v>
      </c>
    </row>
    <row r="14" spans="1:11" x14ac:dyDescent="0.25">
      <c r="A14">
        <v>2018</v>
      </c>
      <c r="B14">
        <v>6</v>
      </c>
      <c r="C14" t="s">
        <v>8</v>
      </c>
      <c r="D14" s="7">
        <v>553.5</v>
      </c>
      <c r="E14" s="8">
        <v>0</v>
      </c>
      <c r="F14" s="8">
        <v>570.35000000000014</v>
      </c>
      <c r="G14" s="9">
        <v>0</v>
      </c>
      <c r="H14" s="7">
        <v>503.71561289951205</v>
      </c>
      <c r="I14" s="8">
        <v>0</v>
      </c>
      <c r="J14" s="8">
        <v>488.44738790020347</v>
      </c>
      <c r="K14" s="9">
        <v>9.1632258063327754E-2</v>
      </c>
    </row>
    <row r="15" spans="1:11" x14ac:dyDescent="0.25">
      <c r="A15">
        <v>2018</v>
      </c>
      <c r="B15">
        <v>7</v>
      </c>
      <c r="C15" t="s">
        <v>8</v>
      </c>
      <c r="D15" s="7">
        <v>562.5</v>
      </c>
      <c r="E15" s="8">
        <v>0</v>
      </c>
      <c r="F15" s="8">
        <v>621.25000000000011</v>
      </c>
      <c r="G15" s="9">
        <v>0</v>
      </c>
      <c r="H15" s="7">
        <v>540.38487903028727</v>
      </c>
      <c r="I15" s="8">
        <v>0</v>
      </c>
      <c r="J15" s="8">
        <v>595.05824757367373</v>
      </c>
      <c r="K15" s="9">
        <v>0</v>
      </c>
    </row>
    <row r="16" spans="1:11" x14ac:dyDescent="0.25">
      <c r="A16">
        <v>2018</v>
      </c>
      <c r="B16">
        <v>8</v>
      </c>
      <c r="C16" t="s">
        <v>8</v>
      </c>
      <c r="D16" s="7">
        <v>617</v>
      </c>
      <c r="E16" s="8">
        <v>0</v>
      </c>
      <c r="F16" s="8">
        <v>651.25</v>
      </c>
      <c r="G16" s="9">
        <v>0</v>
      </c>
      <c r="H16" s="7">
        <v>575.45058064162731</v>
      </c>
      <c r="I16" s="8">
        <v>0</v>
      </c>
      <c r="J16" s="8">
        <v>634.76446854323149</v>
      </c>
      <c r="K16" s="9">
        <v>0</v>
      </c>
    </row>
    <row r="17" spans="1:11" x14ac:dyDescent="0.25">
      <c r="A17">
        <v>2018</v>
      </c>
      <c r="B17">
        <v>9</v>
      </c>
      <c r="C17" t="s">
        <v>8</v>
      </c>
      <c r="D17" s="7">
        <v>495.5</v>
      </c>
      <c r="E17" s="8">
        <v>0</v>
      </c>
      <c r="F17" s="8">
        <v>519.45000000000005</v>
      </c>
      <c r="G17" s="9">
        <v>0</v>
      </c>
      <c r="H17" s="7">
        <v>584.09019354730844</v>
      </c>
      <c r="I17" s="8">
        <v>0</v>
      </c>
      <c r="J17" s="8">
        <v>612.79727096110582</v>
      </c>
      <c r="K17" s="9">
        <v>0</v>
      </c>
    </row>
    <row r="18" spans="1:11" x14ac:dyDescent="0.25">
      <c r="A18">
        <v>2018</v>
      </c>
      <c r="B18">
        <v>10</v>
      </c>
      <c r="C18" t="s">
        <v>8</v>
      </c>
      <c r="D18" s="7">
        <v>294.5</v>
      </c>
      <c r="E18" s="8">
        <v>32</v>
      </c>
      <c r="F18" s="8">
        <v>341.15</v>
      </c>
      <c r="G18" s="9">
        <v>6.55</v>
      </c>
      <c r="H18" s="7">
        <v>459.40487096458673</v>
      </c>
      <c r="I18" s="8">
        <v>9.1959516128990799</v>
      </c>
      <c r="J18" s="8">
        <v>472.42483305931091</v>
      </c>
      <c r="K18" s="9">
        <v>0.92614032257552026</v>
      </c>
    </row>
    <row r="19" spans="1:11" x14ac:dyDescent="0.25">
      <c r="A19">
        <v>2018</v>
      </c>
      <c r="B19">
        <v>11</v>
      </c>
      <c r="C19" t="s">
        <v>8</v>
      </c>
      <c r="D19" s="7">
        <v>91.5</v>
      </c>
      <c r="E19" s="8">
        <v>161</v>
      </c>
      <c r="F19" s="8">
        <v>133.15</v>
      </c>
      <c r="G19" s="9">
        <v>81.90000000000002</v>
      </c>
      <c r="H19" s="7">
        <v>196.94390322454274</v>
      </c>
      <c r="I19" s="8">
        <v>70.196854838170111</v>
      </c>
      <c r="J19" s="8">
        <v>259.99671451374888</v>
      </c>
      <c r="K19" s="9">
        <v>27.558401612564921</v>
      </c>
    </row>
    <row r="20" spans="1:11" x14ac:dyDescent="0.25">
      <c r="A20">
        <v>2018</v>
      </c>
      <c r="B20">
        <v>12</v>
      </c>
      <c r="C20" t="s">
        <v>8</v>
      </c>
      <c r="D20" s="7">
        <v>24</v>
      </c>
      <c r="E20" s="8">
        <v>186.5</v>
      </c>
      <c r="F20" s="8">
        <v>59.15</v>
      </c>
      <c r="G20" s="9">
        <v>219.89999999999995</v>
      </c>
      <c r="H20" s="7">
        <v>50.135935483500361</v>
      </c>
      <c r="I20" s="8">
        <v>174.72308064438403</v>
      </c>
      <c r="J20" s="8">
        <v>93.212914515286684</v>
      </c>
      <c r="K20" s="9">
        <v>145.30748951435089</v>
      </c>
    </row>
    <row r="21" spans="1:11" x14ac:dyDescent="0.25">
      <c r="A21">
        <v>2018</v>
      </c>
      <c r="B21">
        <v>1</v>
      </c>
      <c r="C21" t="s">
        <v>9</v>
      </c>
      <c r="D21" s="7">
        <v>3</v>
      </c>
      <c r="E21" s="8">
        <v>347</v>
      </c>
      <c r="F21" s="8">
        <v>41.300000000000011</v>
      </c>
      <c r="G21" s="9">
        <v>238.24999999999997</v>
      </c>
      <c r="H21" s="7">
        <v>11.257677419343963</v>
      </c>
      <c r="I21" s="8">
        <v>367.59262096509337</v>
      </c>
      <c r="J21" s="8">
        <v>38.035568547900766</v>
      </c>
      <c r="K21" s="9">
        <v>251.4880048353225</v>
      </c>
    </row>
    <row r="22" spans="1:11" x14ac:dyDescent="0.25">
      <c r="A22">
        <v>2018</v>
      </c>
      <c r="B22">
        <v>2</v>
      </c>
      <c r="C22" t="s">
        <v>9</v>
      </c>
      <c r="D22" s="7">
        <v>124.5</v>
      </c>
      <c r="E22" s="8">
        <v>114.5</v>
      </c>
      <c r="F22" s="8">
        <v>106.05</v>
      </c>
      <c r="G22" s="9">
        <v>132.5</v>
      </c>
      <c r="H22" s="7">
        <v>26.671532257925719</v>
      </c>
      <c r="I22" s="8">
        <v>264.09725806117058</v>
      </c>
      <c r="J22" s="8">
        <v>51.965308064129204</v>
      </c>
      <c r="K22" s="9">
        <v>209.48443225584924</v>
      </c>
    </row>
    <row r="23" spans="1:11" x14ac:dyDescent="0.25">
      <c r="A23">
        <v>2018</v>
      </c>
      <c r="B23">
        <v>3</v>
      </c>
      <c r="C23" t="s">
        <v>9</v>
      </c>
      <c r="D23" s="7">
        <v>267</v>
      </c>
      <c r="E23" s="8">
        <v>8.5</v>
      </c>
      <c r="F23" s="8">
        <v>228.2</v>
      </c>
      <c r="G23" s="9">
        <v>48.95</v>
      </c>
      <c r="H23" s="7">
        <v>173.07042741775513</v>
      </c>
      <c r="I23" s="8">
        <v>73.600338709540665</v>
      </c>
      <c r="J23" s="8">
        <v>143.33739596605301</v>
      </c>
      <c r="K23" s="9">
        <v>110.46595967654139</v>
      </c>
    </row>
    <row r="24" spans="1:11" x14ac:dyDescent="0.25">
      <c r="A24">
        <v>2018</v>
      </c>
      <c r="B24">
        <v>4</v>
      </c>
      <c r="C24" t="s">
        <v>9</v>
      </c>
      <c r="D24" s="7">
        <v>298.5</v>
      </c>
      <c r="E24" s="8">
        <v>1.5</v>
      </c>
      <c r="F24" s="8">
        <v>407.95</v>
      </c>
      <c r="G24" s="9">
        <v>1.4</v>
      </c>
      <c r="H24" s="7">
        <v>301.58466935157776</v>
      </c>
      <c r="I24" s="8">
        <v>4.4016209677211009</v>
      </c>
      <c r="J24" s="8">
        <v>292.52780241519213</v>
      </c>
      <c r="K24" s="9">
        <v>21.445220967521891</v>
      </c>
    </row>
    <row r="25" spans="1:11" x14ac:dyDescent="0.25">
      <c r="A25">
        <v>2018</v>
      </c>
      <c r="B25">
        <v>5</v>
      </c>
      <c r="C25" t="s">
        <v>9</v>
      </c>
      <c r="D25" s="7">
        <v>629.5</v>
      </c>
      <c r="E25" s="8">
        <v>0</v>
      </c>
      <c r="F25" s="8">
        <v>566.4</v>
      </c>
      <c r="G25" s="9">
        <v>0.2</v>
      </c>
      <c r="H25" s="7">
        <v>395.83499193191528</v>
      </c>
      <c r="I25" s="8">
        <v>0.58906451612710953</v>
      </c>
      <c r="J25" s="8">
        <v>449.68857902660966</v>
      </c>
      <c r="K25" s="9">
        <v>1.1503120967536233</v>
      </c>
    </row>
    <row r="26" spans="1:11" x14ac:dyDescent="0.25">
      <c r="A26">
        <v>2018</v>
      </c>
      <c r="B26">
        <v>6</v>
      </c>
      <c r="C26" t="s">
        <v>9</v>
      </c>
      <c r="D26" s="7">
        <v>713.5</v>
      </c>
      <c r="E26" s="8">
        <v>0</v>
      </c>
      <c r="F26" s="8">
        <v>709.6</v>
      </c>
      <c r="G26" s="9">
        <v>0</v>
      </c>
      <c r="H26" s="7">
        <v>680.41860483586788</v>
      </c>
      <c r="I26" s="8">
        <v>0</v>
      </c>
      <c r="J26" s="8">
        <v>613.68741289526224</v>
      </c>
      <c r="K26" s="9">
        <v>6.0542741935023514E-2</v>
      </c>
    </row>
    <row r="27" spans="1:11" x14ac:dyDescent="0.25">
      <c r="A27">
        <v>2018</v>
      </c>
      <c r="B27">
        <v>7</v>
      </c>
      <c r="C27" t="s">
        <v>9</v>
      </c>
      <c r="D27" s="7">
        <v>766</v>
      </c>
      <c r="E27" s="8">
        <v>0</v>
      </c>
      <c r="F27" s="8">
        <v>750.8</v>
      </c>
      <c r="G27" s="9">
        <v>0</v>
      </c>
      <c r="H27" s="7">
        <v>713.35712902992964</v>
      </c>
      <c r="I27" s="8">
        <v>0</v>
      </c>
      <c r="J27" s="8">
        <v>726.70598547905684</v>
      </c>
      <c r="K27" s="9">
        <v>0</v>
      </c>
    </row>
    <row r="28" spans="1:11" x14ac:dyDescent="0.25">
      <c r="A28">
        <v>2018</v>
      </c>
      <c r="B28">
        <v>8</v>
      </c>
      <c r="C28" t="s">
        <v>9</v>
      </c>
      <c r="D28" s="7">
        <v>777.5</v>
      </c>
      <c r="E28" s="8">
        <v>0</v>
      </c>
      <c r="F28" s="8">
        <v>775.34999999999991</v>
      </c>
      <c r="G28" s="9">
        <v>0</v>
      </c>
      <c r="H28" s="7">
        <v>761.709508061409</v>
      </c>
      <c r="I28" s="8">
        <v>0</v>
      </c>
      <c r="J28" s="8">
        <v>768.69810402393341</v>
      </c>
      <c r="K28" s="9">
        <v>0</v>
      </c>
    </row>
    <row r="29" spans="1:11" x14ac:dyDescent="0.25">
      <c r="A29">
        <v>2018</v>
      </c>
      <c r="B29">
        <v>9</v>
      </c>
      <c r="C29" t="s">
        <v>9</v>
      </c>
      <c r="D29" s="7">
        <v>505</v>
      </c>
      <c r="E29" s="8">
        <v>0</v>
      </c>
      <c r="F29" s="8">
        <v>580.65</v>
      </c>
      <c r="G29" s="9">
        <v>0</v>
      </c>
      <c r="H29" s="7">
        <v>702.27944354712963</v>
      </c>
      <c r="I29" s="8">
        <v>0</v>
      </c>
      <c r="J29" s="8">
        <v>717.08296208828688</v>
      </c>
      <c r="K29" s="9">
        <v>0</v>
      </c>
    </row>
    <row r="30" spans="1:11" x14ac:dyDescent="0.25">
      <c r="A30">
        <v>2018</v>
      </c>
      <c r="B30">
        <v>10</v>
      </c>
      <c r="C30" t="s">
        <v>9</v>
      </c>
      <c r="D30" s="7">
        <v>304</v>
      </c>
      <c r="E30" s="8">
        <v>51</v>
      </c>
      <c r="F30" s="8">
        <v>398.05</v>
      </c>
      <c r="G30" s="9">
        <v>5.4</v>
      </c>
      <c r="H30" s="7">
        <v>459.61758870631456</v>
      </c>
      <c r="I30" s="8">
        <v>13.499395161285065</v>
      </c>
      <c r="J30" s="8">
        <v>524.24451128393412</v>
      </c>
      <c r="K30" s="9">
        <v>1.6313814516033744</v>
      </c>
    </row>
    <row r="31" spans="1:11" x14ac:dyDescent="0.25">
      <c r="A31">
        <v>2018</v>
      </c>
      <c r="B31">
        <v>11</v>
      </c>
      <c r="C31" t="s">
        <v>9</v>
      </c>
      <c r="D31" s="7">
        <v>81</v>
      </c>
      <c r="E31" s="8">
        <v>162.5</v>
      </c>
      <c r="F31" s="8">
        <v>154.9</v>
      </c>
      <c r="G31" s="9">
        <v>69.649999999999991</v>
      </c>
      <c r="H31" s="7">
        <v>191.03689515963197</v>
      </c>
      <c r="I31" s="8">
        <v>88.130596773698926</v>
      </c>
      <c r="J31" s="8">
        <v>296.22581854462624</v>
      </c>
      <c r="K31" s="9">
        <v>26.836797580355778</v>
      </c>
    </row>
    <row r="32" spans="1:11" x14ac:dyDescent="0.25">
      <c r="A32">
        <v>2018</v>
      </c>
      <c r="B32">
        <v>12</v>
      </c>
      <c r="C32" t="s">
        <v>9</v>
      </c>
      <c r="D32" s="7">
        <v>25</v>
      </c>
      <c r="E32" s="8">
        <v>191</v>
      </c>
      <c r="F32" s="8">
        <v>50.4</v>
      </c>
      <c r="G32" s="9">
        <v>221.99999999999994</v>
      </c>
      <c r="H32" s="7">
        <v>49.399604838341475</v>
      </c>
      <c r="I32" s="8">
        <v>175.36123386956751</v>
      </c>
      <c r="J32" s="8">
        <v>100.58603870868683</v>
      </c>
      <c r="K32" s="9">
        <v>136.62696935236454</v>
      </c>
    </row>
    <row r="33" spans="1:11" x14ac:dyDescent="0.25">
      <c r="A33">
        <v>2018</v>
      </c>
      <c r="B33">
        <v>1</v>
      </c>
      <c r="C33" t="s">
        <v>10</v>
      </c>
      <c r="D33" s="7">
        <v>36.5</v>
      </c>
      <c r="E33" s="8">
        <v>241.5</v>
      </c>
      <c r="F33" s="8">
        <v>71.05</v>
      </c>
      <c r="G33" s="9">
        <v>170.55000000000007</v>
      </c>
      <c r="H33" s="7">
        <v>55.715685483533889</v>
      </c>
      <c r="I33" s="8">
        <v>253.4286451600492</v>
      </c>
      <c r="J33" s="8">
        <v>83.593163709156215</v>
      </c>
      <c r="K33" s="9">
        <v>169.98274757899344</v>
      </c>
    </row>
    <row r="34" spans="1:11" x14ac:dyDescent="0.25">
      <c r="A34">
        <v>2018</v>
      </c>
      <c r="B34">
        <v>2</v>
      </c>
      <c r="C34" t="s">
        <v>10</v>
      </c>
      <c r="D34" s="7">
        <v>221.5</v>
      </c>
      <c r="E34" s="8">
        <v>67</v>
      </c>
      <c r="F34" s="8">
        <v>144.70000000000002</v>
      </c>
      <c r="G34" s="9">
        <v>94.699999999999974</v>
      </c>
      <c r="H34" s="7">
        <v>75.007548386231065</v>
      </c>
      <c r="I34" s="8">
        <v>173.2176935467869</v>
      </c>
      <c r="J34" s="8">
        <v>88.325315321795642</v>
      </c>
      <c r="K34" s="9">
        <v>145.35821451433003</v>
      </c>
    </row>
    <row r="35" spans="1:11" x14ac:dyDescent="0.25">
      <c r="A35">
        <v>2018</v>
      </c>
      <c r="B35">
        <v>3</v>
      </c>
      <c r="C35" t="s">
        <v>10</v>
      </c>
      <c r="D35" s="7">
        <v>360</v>
      </c>
      <c r="E35" s="8">
        <v>0</v>
      </c>
      <c r="F35" s="8">
        <v>251.70000000000002</v>
      </c>
      <c r="G35" s="9">
        <v>31.800000000000008</v>
      </c>
      <c r="H35" s="7">
        <v>282.45643548294902</v>
      </c>
      <c r="I35" s="8">
        <v>39.254604838322848</v>
      </c>
      <c r="J35" s="8">
        <v>190.77017983607948</v>
      </c>
      <c r="K35" s="9">
        <v>75.221902418881655</v>
      </c>
    </row>
    <row r="36" spans="1:11" x14ac:dyDescent="0.25">
      <c r="A36">
        <v>2018</v>
      </c>
      <c r="B36">
        <v>4</v>
      </c>
      <c r="C36" t="s">
        <v>10</v>
      </c>
      <c r="D36" s="7">
        <v>356</v>
      </c>
      <c r="E36" s="8">
        <v>0</v>
      </c>
      <c r="F36" s="8">
        <v>412.70000000000005</v>
      </c>
      <c r="G36" s="9">
        <v>1.5</v>
      </c>
      <c r="H36" s="7">
        <v>376.69039515778422</v>
      </c>
      <c r="I36" s="8">
        <v>0</v>
      </c>
      <c r="J36" s="8">
        <v>321.13670241460204</v>
      </c>
      <c r="K36" s="9">
        <v>13.548483870807104</v>
      </c>
    </row>
    <row r="37" spans="1:11" x14ac:dyDescent="0.25">
      <c r="A37">
        <v>2018</v>
      </c>
      <c r="B37">
        <v>5</v>
      </c>
      <c r="C37" t="s">
        <v>10</v>
      </c>
      <c r="D37" s="7">
        <v>628.5</v>
      </c>
      <c r="E37" s="8">
        <v>0</v>
      </c>
      <c r="F37" s="8">
        <v>552.94999999999993</v>
      </c>
      <c r="G37" s="9">
        <v>0</v>
      </c>
      <c r="H37" s="7">
        <v>439.98210483789444</v>
      </c>
      <c r="I37" s="8">
        <v>0</v>
      </c>
      <c r="J37" s="8">
        <v>455.00488628447056</v>
      </c>
      <c r="K37" s="9">
        <v>1.1094048387021758</v>
      </c>
    </row>
    <row r="38" spans="1:11" x14ac:dyDescent="0.25">
      <c r="A38">
        <v>2018</v>
      </c>
      <c r="B38">
        <v>6</v>
      </c>
      <c r="C38" t="s">
        <v>10</v>
      </c>
      <c r="D38" s="7">
        <v>695.5</v>
      </c>
      <c r="E38" s="8">
        <v>0</v>
      </c>
      <c r="F38" s="8">
        <v>656.94999999999982</v>
      </c>
      <c r="G38" s="9">
        <v>0</v>
      </c>
      <c r="H38" s="7">
        <v>671.66445160657167</v>
      </c>
      <c r="I38" s="8">
        <v>0</v>
      </c>
      <c r="J38" s="8">
        <v>596.93343628197908</v>
      </c>
      <c r="K38" s="9">
        <v>0</v>
      </c>
    </row>
    <row r="39" spans="1:11" x14ac:dyDescent="0.25">
      <c r="A39">
        <v>2018</v>
      </c>
      <c r="B39">
        <v>7</v>
      </c>
      <c r="C39" t="s">
        <v>10</v>
      </c>
      <c r="D39" s="7">
        <v>761.5</v>
      </c>
      <c r="E39" s="8">
        <v>0</v>
      </c>
      <c r="F39" s="8">
        <v>712.75</v>
      </c>
      <c r="G39" s="9">
        <v>0</v>
      </c>
      <c r="H39" s="7">
        <v>693.93436289578676</v>
      </c>
      <c r="I39" s="8">
        <v>0</v>
      </c>
      <c r="J39" s="8">
        <v>680.49223789572716</v>
      </c>
      <c r="K39" s="9">
        <v>0</v>
      </c>
    </row>
    <row r="40" spans="1:11" x14ac:dyDescent="0.25">
      <c r="A40">
        <v>2018</v>
      </c>
      <c r="B40">
        <v>8</v>
      </c>
      <c r="C40" t="s">
        <v>10</v>
      </c>
      <c r="D40" s="7">
        <v>804</v>
      </c>
      <c r="E40" s="8">
        <v>0</v>
      </c>
      <c r="F40" s="8">
        <v>747.45</v>
      </c>
      <c r="G40" s="9">
        <v>0</v>
      </c>
      <c r="H40" s="7">
        <v>768.5819274187088</v>
      </c>
      <c r="I40" s="8">
        <v>0</v>
      </c>
      <c r="J40" s="8">
        <v>745.47587176412344</v>
      </c>
      <c r="K40" s="9">
        <v>0</v>
      </c>
    </row>
    <row r="41" spans="1:11" x14ac:dyDescent="0.25">
      <c r="A41">
        <v>2018</v>
      </c>
      <c r="B41">
        <v>9</v>
      </c>
      <c r="C41" t="s">
        <v>10</v>
      </c>
      <c r="D41" s="7">
        <v>649.5</v>
      </c>
      <c r="E41" s="8">
        <v>0</v>
      </c>
      <c r="F41" s="8">
        <v>587.70000000000005</v>
      </c>
      <c r="G41" s="9">
        <v>0</v>
      </c>
      <c r="H41" s="7">
        <v>767.12562903016806</v>
      </c>
      <c r="I41" s="8">
        <v>0</v>
      </c>
      <c r="J41" s="8">
        <v>709.65256773680449</v>
      </c>
      <c r="K41" s="9">
        <v>0</v>
      </c>
    </row>
    <row r="42" spans="1:11" x14ac:dyDescent="0.25">
      <c r="A42">
        <v>2018</v>
      </c>
      <c r="B42">
        <v>10</v>
      </c>
      <c r="C42" t="s">
        <v>10</v>
      </c>
      <c r="D42" s="7">
        <v>398</v>
      </c>
      <c r="E42" s="8">
        <v>19</v>
      </c>
      <c r="F42" s="8">
        <v>433.54999999999995</v>
      </c>
      <c r="G42" s="9">
        <v>2.15</v>
      </c>
      <c r="H42" s="7">
        <v>594.79153225570917</v>
      </c>
      <c r="I42" s="8">
        <v>5.6942903225426562</v>
      </c>
      <c r="J42" s="8">
        <v>559.36257418990135</v>
      </c>
      <c r="K42" s="9">
        <v>0.56942903224990005</v>
      </c>
    </row>
    <row r="43" spans="1:11" x14ac:dyDescent="0.25">
      <c r="A43">
        <v>2018</v>
      </c>
      <c r="B43">
        <v>11</v>
      </c>
      <c r="C43" t="s">
        <v>10</v>
      </c>
      <c r="D43" s="7">
        <v>151</v>
      </c>
      <c r="E43" s="8">
        <v>120</v>
      </c>
      <c r="F43" s="8">
        <v>204.24999999999997</v>
      </c>
      <c r="G43" s="9">
        <v>44.5</v>
      </c>
      <c r="H43" s="7">
        <v>285.28721773996949</v>
      </c>
      <c r="I43" s="8">
        <v>50.152298386674374</v>
      </c>
      <c r="J43" s="8">
        <v>348.81291693076491</v>
      </c>
      <c r="K43" s="9">
        <v>15.163502419251017</v>
      </c>
    </row>
    <row r="44" spans="1:11" x14ac:dyDescent="0.25">
      <c r="A44">
        <v>2018</v>
      </c>
      <c r="B44">
        <v>12</v>
      </c>
      <c r="C44" t="s">
        <v>10</v>
      </c>
      <c r="D44" s="7">
        <v>90.5</v>
      </c>
      <c r="E44" s="8">
        <v>98.5</v>
      </c>
      <c r="F44" s="8">
        <v>101.7</v>
      </c>
      <c r="G44" s="9">
        <v>144</v>
      </c>
      <c r="H44" s="7">
        <v>110.58049999922514</v>
      </c>
      <c r="I44" s="8">
        <v>110.53141129016876</v>
      </c>
      <c r="J44" s="8">
        <v>153.48894112743437</v>
      </c>
      <c r="K44" s="9">
        <v>87.024464515037835</v>
      </c>
    </row>
    <row r="45" spans="1:11" x14ac:dyDescent="0.25">
      <c r="A45" t="s">
        <v>11</v>
      </c>
      <c r="D45" s="7"/>
      <c r="E45" s="8"/>
      <c r="F45" s="8"/>
      <c r="G45" s="9"/>
      <c r="H45" s="7"/>
      <c r="I45" s="8"/>
      <c r="J45" s="8"/>
      <c r="K45" s="9"/>
    </row>
    <row r="46" spans="1:11" x14ac:dyDescent="0.25">
      <c r="A46">
        <v>2018</v>
      </c>
      <c r="B46">
        <v>1</v>
      </c>
      <c r="D46" s="7">
        <v>16.482505</v>
      </c>
      <c r="E46" s="8">
        <v>315.82911000000001</v>
      </c>
      <c r="F46" s="8">
        <v>48.379989000000002</v>
      </c>
      <c r="G46" s="9">
        <v>225.085351</v>
      </c>
      <c r="H46" s="7">
        <v>29.769591740565374</v>
      </c>
      <c r="I46" s="8">
        <v>323.42252783477306</v>
      </c>
      <c r="J46" s="8">
        <v>57.315754179377109</v>
      </c>
      <c r="K46" s="9">
        <v>222.70417788997293</v>
      </c>
    </row>
    <row r="47" spans="1:11" x14ac:dyDescent="0.25">
      <c r="A47">
        <v>2018</v>
      </c>
      <c r="B47">
        <v>2</v>
      </c>
      <c r="D47" s="7">
        <v>152.75939</v>
      </c>
      <c r="E47" s="8">
        <v>97.303190000000015</v>
      </c>
      <c r="F47" s="8">
        <v>105.76661100000001</v>
      </c>
      <c r="G47" s="9">
        <v>128.14659300000002</v>
      </c>
      <c r="H47" s="7">
        <v>42.948886625468731</v>
      </c>
      <c r="I47" s="8">
        <v>235.24393506720662</v>
      </c>
      <c r="J47" s="8">
        <v>60.717134026810527</v>
      </c>
      <c r="K47" s="9">
        <v>196.24824594333768</v>
      </c>
    </row>
    <row r="48" spans="1:11" x14ac:dyDescent="0.25">
      <c r="A48">
        <v>2018</v>
      </c>
      <c r="B48">
        <v>3</v>
      </c>
      <c r="D48" s="7">
        <v>272.58790499999998</v>
      </c>
      <c r="E48" s="8">
        <v>13.465135</v>
      </c>
      <c r="F48" s="8">
        <v>202.69592649999998</v>
      </c>
      <c r="G48" s="9">
        <v>51.655569000000007</v>
      </c>
      <c r="H48" s="7">
        <v>200.32167082838714</v>
      </c>
      <c r="I48" s="8">
        <v>65.871188994497061</v>
      </c>
      <c r="J48" s="8">
        <v>142.22090409137309</v>
      </c>
      <c r="K48" s="9">
        <v>106.84602051414549</v>
      </c>
    </row>
    <row r="49" spans="1:11" x14ac:dyDescent="0.25">
      <c r="A49">
        <v>2018</v>
      </c>
      <c r="B49">
        <v>4</v>
      </c>
      <c r="D49" s="7">
        <v>276.54313000000002</v>
      </c>
      <c r="E49" s="8">
        <v>7.6154099999999998</v>
      </c>
      <c r="F49" s="8">
        <v>361.07690200000002</v>
      </c>
      <c r="G49" s="9">
        <v>2.9311700000000003</v>
      </c>
      <c r="H49" s="7">
        <v>292.86204482242465</v>
      </c>
      <c r="I49" s="8">
        <v>10.30431577085983</v>
      </c>
      <c r="J49" s="8">
        <v>264.39643010124564</v>
      </c>
      <c r="K49" s="9">
        <v>23.516435228753835</v>
      </c>
    </row>
    <row r="50" spans="1:11" x14ac:dyDescent="0.25">
      <c r="A50">
        <v>2018</v>
      </c>
      <c r="B50">
        <v>5</v>
      </c>
      <c r="D50" s="7">
        <v>560.66757500000006</v>
      </c>
      <c r="E50" s="8">
        <v>0</v>
      </c>
      <c r="F50" s="8">
        <v>509.75016299999993</v>
      </c>
      <c r="G50" s="9">
        <v>0.18733149999999998</v>
      </c>
      <c r="H50" s="7">
        <v>364.50339499488473</v>
      </c>
      <c r="I50" s="8">
        <v>3.2021481644769665</v>
      </c>
      <c r="J50" s="8">
        <v>404.82367469370365</v>
      </c>
      <c r="K50" s="9">
        <v>2.025623449444538</v>
      </c>
    </row>
    <row r="51" spans="1:11" x14ac:dyDescent="0.25">
      <c r="A51">
        <v>2018</v>
      </c>
      <c r="B51">
        <v>6</v>
      </c>
      <c r="D51" s="7">
        <v>642.27797999999996</v>
      </c>
      <c r="E51" s="8">
        <v>0</v>
      </c>
      <c r="F51" s="8">
        <v>634.06757900000002</v>
      </c>
      <c r="G51" s="9">
        <v>0</v>
      </c>
      <c r="H51" s="7">
        <v>605.83640651404858</v>
      </c>
      <c r="I51" s="8">
        <v>0</v>
      </c>
      <c r="J51" s="8">
        <v>556.96239550411701</v>
      </c>
      <c r="K51" s="9">
        <v>5.0924529241001437E-2</v>
      </c>
    </row>
    <row r="52" spans="1:11" x14ac:dyDescent="0.25">
      <c r="A52">
        <v>2018</v>
      </c>
      <c r="B52">
        <v>7</v>
      </c>
      <c r="D52" s="7">
        <v>682.15193999999997</v>
      </c>
      <c r="E52" s="8">
        <v>0</v>
      </c>
      <c r="F52" s="8">
        <v>684.53353400000003</v>
      </c>
      <c r="G52" s="9">
        <v>0</v>
      </c>
      <c r="H52" s="7">
        <v>636.37408307939768</v>
      </c>
      <c r="I52" s="8">
        <v>0</v>
      </c>
      <c r="J52" s="8">
        <v>656.60188110172749</v>
      </c>
      <c r="K52" s="9">
        <v>0</v>
      </c>
    </row>
    <row r="53" spans="1:11" x14ac:dyDescent="0.25">
      <c r="A53">
        <v>2018</v>
      </c>
      <c r="B53">
        <v>8</v>
      </c>
      <c r="D53" s="7">
        <v>722.37592000000006</v>
      </c>
      <c r="E53" s="8">
        <v>0</v>
      </c>
      <c r="F53" s="8">
        <v>715.00279599999999</v>
      </c>
      <c r="G53" s="9">
        <v>0</v>
      </c>
      <c r="H53" s="7">
        <v>688.99123799055815</v>
      </c>
      <c r="I53" s="8">
        <v>0</v>
      </c>
      <c r="J53" s="8">
        <v>706.09221918880939</v>
      </c>
      <c r="K53" s="9">
        <v>0</v>
      </c>
    </row>
    <row r="54" spans="1:11" x14ac:dyDescent="0.25">
      <c r="A54">
        <v>2018</v>
      </c>
      <c r="B54">
        <v>9</v>
      </c>
      <c r="D54" s="7">
        <v>554.09157000000005</v>
      </c>
      <c r="E54" s="8">
        <v>0</v>
      </c>
      <c r="F54" s="8">
        <v>558.51182850000009</v>
      </c>
      <c r="G54" s="9">
        <v>0</v>
      </c>
      <c r="H54" s="7">
        <v>678.29176907241344</v>
      </c>
      <c r="I54" s="8">
        <v>0</v>
      </c>
      <c r="J54" s="8">
        <v>672.23716372251511</v>
      </c>
      <c r="K54" s="9">
        <v>0</v>
      </c>
    </row>
    <row r="55" spans="1:11" x14ac:dyDescent="0.25">
      <c r="A55">
        <v>2018</v>
      </c>
      <c r="B55">
        <v>10</v>
      </c>
      <c r="D55" s="7">
        <v>334.59392500000001</v>
      </c>
      <c r="E55" s="8">
        <v>31.604050000000001</v>
      </c>
      <c r="F55" s="8">
        <v>388.06967799999995</v>
      </c>
      <c r="G55" s="9">
        <v>4.6740770000000005</v>
      </c>
      <c r="H55" s="7">
        <v>509.04452940821648</v>
      </c>
      <c r="I55" s="8">
        <v>8.9021733573172241</v>
      </c>
      <c r="J55" s="8">
        <v>516.1763839200139</v>
      </c>
      <c r="K55" s="9">
        <v>0.95753085066826316</v>
      </c>
    </row>
    <row r="56" spans="1:11" x14ac:dyDescent="0.25">
      <c r="A56">
        <v>2018</v>
      </c>
      <c r="B56">
        <v>11</v>
      </c>
      <c r="D56" s="7">
        <v>110.88156499999999</v>
      </c>
      <c r="E56" s="8">
        <v>146.32678000000001</v>
      </c>
      <c r="F56" s="8">
        <v>164.190934</v>
      </c>
      <c r="G56" s="9">
        <v>65.385949000000011</v>
      </c>
      <c r="H56" s="7">
        <v>227.9458635840565</v>
      </c>
      <c r="I56" s="8">
        <v>66.975549477152526</v>
      </c>
      <c r="J56" s="8">
        <v>300.85392481833696</v>
      </c>
      <c r="K56" s="9">
        <v>22.852463812334463</v>
      </c>
    </row>
    <row r="57" spans="1:11" x14ac:dyDescent="0.25">
      <c r="A57">
        <v>2018</v>
      </c>
      <c r="B57">
        <v>12</v>
      </c>
      <c r="D57" s="10">
        <v>48.588065</v>
      </c>
      <c r="E57" s="11">
        <v>155.30049</v>
      </c>
      <c r="F57" s="11">
        <v>72.725064500000002</v>
      </c>
      <c r="G57" s="12">
        <v>192.58112699999998</v>
      </c>
      <c r="H57" s="10">
        <v>72.106980963610113</v>
      </c>
      <c r="I57" s="11">
        <v>151.35694892331958</v>
      </c>
      <c r="J57" s="11">
        <v>116.98561677988619</v>
      </c>
      <c r="K57" s="12">
        <v>121.96439036447555</v>
      </c>
    </row>
    <row r="59" spans="1:11" x14ac:dyDescent="0.25">
      <c r="A59" t="s">
        <v>12</v>
      </c>
    </row>
    <row r="60" spans="1:11" x14ac:dyDescent="0.25">
      <c r="B60" t="s">
        <v>8</v>
      </c>
      <c r="C60">
        <v>0.40393000000000001</v>
      </c>
    </row>
    <row r="61" spans="1:11" x14ac:dyDescent="0.25">
      <c r="B61" t="s">
        <v>9</v>
      </c>
      <c r="C61">
        <v>0.22978000000000001</v>
      </c>
    </row>
    <row r="62" spans="1:11" x14ac:dyDescent="0.25">
      <c r="B62" t="s">
        <v>10</v>
      </c>
      <c r="C62">
        <v>0.36629</v>
      </c>
    </row>
  </sheetData>
  <mergeCells count="9">
    <mergeCell ref="A1:K1"/>
    <mergeCell ref="A2:K2"/>
    <mergeCell ref="D7:E7"/>
    <mergeCell ref="F7:G7"/>
    <mergeCell ref="H7:I7"/>
    <mergeCell ref="J7:K7"/>
    <mergeCell ref="A3:E3"/>
    <mergeCell ref="H6:K6"/>
    <mergeCell ref="D6:G6"/>
  </mergeCells>
  <pageMargins left="0.7" right="0.7" top="0.75" bottom="0.75" header="0.3" footer="0.3"/>
  <pageSetup scale="90" orientation="portrait" r:id="rId1"/>
  <headerFooter>
    <oddHeader>&amp;RSchedule II-H-5.3
TCD Additional Weather Information
Page &amp;P of &amp;N</oddHeader>
    <oddFooter>&amp;LSponsored by: Chad Burnett</oddFooter>
  </headerFooter>
  <rowBreaks count="1" manualBreakCount="1">
    <brk id="44" max="16383"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68D7645638A6BA4A903C04B5C9F7EDEE" ma:contentTypeVersion="0" ma:contentTypeDescription="Create a new document." ma:contentTypeScope="" ma:versionID="3a0828b1569d7c9c8f13eba4d0d5b75f">
  <xsd:schema xmlns:xsd="http://www.w3.org/2001/XMLSchema" xmlns:xs="http://www.w3.org/2001/XMLSchema" xmlns:p="http://schemas.microsoft.com/office/2006/metadata/properties" targetNamespace="http://schemas.microsoft.com/office/2006/metadata/properties" ma:root="true" ma:fieldsID="1b05d82d297216baf5b26c55225140df">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sisl xmlns:xsi="http://www.w3.org/2001/XMLSchema-instance" xmlns:xsd="http://www.w3.org/2001/XMLSchema" xmlns="http://www.boldonjames.com/2008/01/sie/internal/label" sislVersion="0" policy="e9c0b8d7-bdb4-4fd3-b62a-f50327aaefce" origin="autoSelectedSuggestion">
  <element uid="936e22d5-45a7-4cb7-95ab-1aa8c7c88789" value=""/>
  <element uid="c64218ab-b8d1-40b6-a478-cb8be1e10ecc" value=""/>
</sisl>
</file>

<file path=customXml/itemProps1.xml><?xml version="1.0" encoding="utf-8"?>
<ds:datastoreItem xmlns:ds="http://schemas.openxmlformats.org/officeDocument/2006/customXml" ds:itemID="{68DD4451-1C0A-4299-86E3-BD835EE7549F}">
  <ds:schemaRefs>
    <ds:schemaRef ds:uri="http://schemas.microsoft.com/office/2006/metadata/propertie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http://www.w3.org/XML/1998/namespace"/>
    <ds:schemaRef ds:uri="http://purl.org/dc/dcmitype/"/>
  </ds:schemaRefs>
</ds:datastoreItem>
</file>

<file path=customXml/itemProps2.xml><?xml version="1.0" encoding="utf-8"?>
<ds:datastoreItem xmlns:ds="http://schemas.openxmlformats.org/officeDocument/2006/customXml" ds:itemID="{75C8B09B-855E-4C1C-A45D-7D7084E730E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3.xml><?xml version="1.0" encoding="utf-8"?>
<ds:datastoreItem xmlns:ds="http://schemas.openxmlformats.org/officeDocument/2006/customXml" ds:itemID="{2999816B-5F33-4810-98AA-B5A3353A430C}">
  <ds:schemaRefs>
    <ds:schemaRef ds:uri="http://schemas.microsoft.com/sharepoint/v3/contenttype/forms"/>
  </ds:schemaRefs>
</ds:datastoreItem>
</file>

<file path=customXml/itemProps4.xml><?xml version="1.0" encoding="utf-8"?>
<ds:datastoreItem xmlns:ds="http://schemas.openxmlformats.org/officeDocument/2006/customXml" ds:itemID="{06E5ADE1-AF7B-4245-80D6-388327D2D89F}">
  <ds:schemaRefs>
    <ds:schemaRef ds:uri="http://www.w3.org/2001/XMLSchema"/>
    <ds:schemaRef ds:uri="http://www.boldonjames.com/2008/01/sie/internal/label"/>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5</vt:i4>
      </vt:variant>
    </vt:vector>
  </HeadingPairs>
  <TitlesOfParts>
    <vt:vector size="9" baseType="lpstr">
      <vt:lpstr>TCC H-5.1</vt:lpstr>
      <vt:lpstr>TCC H-5.2</vt:lpstr>
      <vt:lpstr>H-5.2 Billing Cycle Weighting</vt:lpstr>
      <vt:lpstr>TCC H-5.3</vt:lpstr>
      <vt:lpstr>'H-5.2 Billing Cycle Weighting'!Print_Area</vt:lpstr>
      <vt:lpstr>'H-5.2 Billing Cycle Weighting'!Print_Titles</vt:lpstr>
      <vt:lpstr>'TCC H-5.1'!Print_Titles</vt:lpstr>
      <vt:lpstr>'TCC H-5.2'!Print_Titles</vt:lpstr>
      <vt:lpstr>'TCC H-5.3'!Print_Titles</vt:lpstr>
    </vt:vector>
  </TitlesOfParts>
  <Company>American Electric Power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dtsoe70</dc:creator>
  <cp:lastModifiedBy>s254353</cp:lastModifiedBy>
  <cp:lastPrinted>2019-04-28T00:05:25Z</cp:lastPrinted>
  <dcterms:created xsi:type="dcterms:W3CDTF">2019-03-14T12:42:45Z</dcterms:created>
  <dcterms:modified xsi:type="dcterms:W3CDTF">2019-04-28T00:07:09Z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7ac01d57-a965-425b-99fc-557764b65fe2</vt:lpwstr>
  </property>
  <property fmtid="{D5CDD505-2E9C-101B-9397-08002B2CF9AE}" pid="3" name="bjDocumentSecurityLabel">
    <vt:lpwstr>Uncategorized</vt:lpwstr>
  </property>
  <property fmtid="{D5CDD505-2E9C-101B-9397-08002B2CF9AE}" pid="4" name="bjSaver">
    <vt:lpwstr>RaYlehO4S0LzcORw10qmNqPUpaPtsmRS</vt:lpwstr>
  </property>
  <property fmtid="{D5CDD505-2E9C-101B-9397-08002B2CF9AE}" pid="5" name="bjDocumentLabelXML">
    <vt:lpwstr>&lt;?xml version="1.0" encoding="us-ascii"?&gt;&lt;sisl xmlns:xsi="http://www.w3.org/2001/XMLSchema-instance" xmlns:xsd="http://www.w3.org/2001/XMLSchema" sislVersion="0" policy="e9c0b8d7-bdb4-4fd3-b62a-f50327aaefce" origin="autoSelectedSuggestion" xmlns="http://w</vt:lpwstr>
  </property>
  <property fmtid="{D5CDD505-2E9C-101B-9397-08002B2CF9AE}" pid="6" name="bjDocumentLabelXML-0">
    <vt:lpwstr>ww.boldonjames.com/2008/01/sie/internal/label"&gt;&lt;element uid="936e22d5-45a7-4cb7-95ab-1aa8c7c88789" value="" /&gt;&lt;element uid="c64218ab-b8d1-40b6-a478-cb8be1e10ecc" value="" /&gt;&lt;/sisl&gt;</vt:lpwstr>
  </property>
  <property fmtid="{D5CDD505-2E9C-101B-9397-08002B2CF9AE}" pid="7" name="Visual Markings Removed">
    <vt:lpwstr>No</vt:lpwstr>
  </property>
  <property fmtid="{D5CDD505-2E9C-101B-9397-08002B2CF9AE}" pid="8" name="ContentTypeId">
    <vt:lpwstr>0x01010068D7645638A6BA4A903C04B5C9F7EDEE</vt:lpwstr>
  </property>
</Properties>
</file>