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Combined Companies\"/>
    </mc:Choice>
  </mc:AlternateContent>
  <bookViews>
    <workbookView xWindow="-15" yWindow="-15" windowWidth="19170" windowHeight="4275"/>
  </bookViews>
  <sheets>
    <sheet name="Combined Rates" sheetId="3" r:id="rId1"/>
  </sheets>
  <calcPr calcId="162913"/>
</workbook>
</file>

<file path=xl/calcChain.xml><?xml version="1.0" encoding="utf-8"?>
<calcChain xmlns="http://schemas.openxmlformats.org/spreadsheetml/2006/main">
  <c r="H53" i="3" l="1"/>
  <c r="H52" i="3"/>
  <c r="H51" i="3"/>
  <c r="H50" i="3"/>
  <c r="H49" i="3"/>
  <c r="H48" i="3"/>
  <c r="H47" i="3"/>
  <c r="H46" i="3"/>
  <c r="H45" i="3"/>
  <c r="H44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18" i="3"/>
  <c r="H17" i="3"/>
  <c r="H16" i="3"/>
  <c r="H15" i="3"/>
  <c r="H14" i="3"/>
  <c r="H13" i="3"/>
  <c r="H12" i="3"/>
  <c r="H11" i="3"/>
  <c r="H10" i="3"/>
  <c r="E53" i="3"/>
  <c r="E52" i="3"/>
  <c r="E51" i="3"/>
  <c r="E50" i="3"/>
  <c r="E49" i="3"/>
  <c r="E48" i="3"/>
  <c r="E47" i="3"/>
  <c r="E46" i="3"/>
  <c r="E45" i="3"/>
  <c r="E44" i="3"/>
  <c r="F20" i="3"/>
  <c r="G20" i="3"/>
  <c r="F40" i="3"/>
  <c r="G40" i="3"/>
  <c r="F55" i="3"/>
  <c r="G55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18" i="3"/>
  <c r="E17" i="3"/>
  <c r="E16" i="3"/>
  <c r="E15" i="3"/>
  <c r="E14" i="3"/>
  <c r="E13" i="3"/>
  <c r="E12" i="3"/>
  <c r="E11" i="3"/>
  <c r="E10" i="3"/>
  <c r="H55" i="3" l="1"/>
  <c r="G57" i="3"/>
  <c r="H20" i="3"/>
  <c r="H40" i="3"/>
  <c r="F57" i="3"/>
  <c r="I25" i="3"/>
  <c r="I26" i="3"/>
  <c r="I28" i="3"/>
  <c r="I29" i="3"/>
  <c r="I30" i="3"/>
  <c r="I31" i="3"/>
  <c r="I32" i="3"/>
  <c r="I33" i="3"/>
  <c r="I34" i="3"/>
  <c r="I35" i="3"/>
  <c r="H57" i="3" l="1"/>
  <c r="D20" i="3"/>
  <c r="C20" i="3"/>
  <c r="I18" i="3"/>
  <c r="I17" i="3"/>
  <c r="I15" i="3"/>
  <c r="I13" i="3"/>
  <c r="I12" i="3"/>
  <c r="D40" i="3"/>
  <c r="D55" i="3"/>
  <c r="C40" i="3"/>
  <c r="C55" i="3"/>
  <c r="C57" i="3" l="1"/>
  <c r="D57" i="3"/>
  <c r="I16" i="3"/>
  <c r="I14" i="3"/>
  <c r="E20" i="3"/>
  <c r="I20" i="3" s="1"/>
  <c r="I11" i="3"/>
  <c r="I10" i="3"/>
  <c r="I46" i="3"/>
  <c r="I52" i="3"/>
  <c r="I53" i="3"/>
  <c r="I50" i="3"/>
  <c r="I48" i="3"/>
  <c r="I44" i="3"/>
  <c r="I51" i="3"/>
  <c r="I38" i="3"/>
  <c r="I37" i="3"/>
  <c r="E55" i="3"/>
  <c r="I55" i="3" s="1"/>
  <c r="I49" i="3"/>
  <c r="I36" i="3"/>
  <c r="E40" i="3"/>
  <c r="I40" i="3" s="1"/>
  <c r="I45" i="3"/>
  <c r="I47" i="3"/>
  <c r="I24" i="3"/>
  <c r="E57" i="3" l="1"/>
  <c r="I57" i="3" s="1"/>
</calcChain>
</file>

<file path=xl/sharedStrings.xml><?xml version="1.0" encoding="utf-8"?>
<sst xmlns="http://schemas.openxmlformats.org/spreadsheetml/2006/main" count="92" uniqueCount="86">
  <si>
    <t xml:space="preserve"> NO.</t>
  </si>
  <si>
    <t xml:space="preserve"> TITLE</t>
  </si>
  <si>
    <t xml:space="preserve">DISTRIBUTION PLANT </t>
  </si>
  <si>
    <t>361.0</t>
  </si>
  <si>
    <t>Structures &amp; Improvements</t>
  </si>
  <si>
    <t>362.0</t>
  </si>
  <si>
    <t>Station Equipment</t>
  </si>
  <si>
    <t>364.0</t>
  </si>
  <si>
    <t>Poles, Towers, &amp; Fixtures</t>
  </si>
  <si>
    <t>365.0</t>
  </si>
  <si>
    <t>366.0</t>
  </si>
  <si>
    <t>Underground Conduit</t>
  </si>
  <si>
    <t>367.0</t>
  </si>
  <si>
    <t>Underground Conductor</t>
  </si>
  <si>
    <t>368.0</t>
  </si>
  <si>
    <t>Line Transformers</t>
  </si>
  <si>
    <t>369.0</t>
  </si>
  <si>
    <t>Services</t>
  </si>
  <si>
    <t>370.0</t>
  </si>
  <si>
    <t>371.0</t>
  </si>
  <si>
    <t>Installations on Custs. Prem.</t>
  </si>
  <si>
    <t>Leased Property on Custs. Prem.</t>
  </si>
  <si>
    <t>373.0</t>
  </si>
  <si>
    <t>Street Lighting &amp; Signal Sys.</t>
  </si>
  <si>
    <t>Total Distribution Plant</t>
  </si>
  <si>
    <t>390.0</t>
  </si>
  <si>
    <t>391.0</t>
  </si>
  <si>
    <t>Office Furniture &amp; Equipment</t>
  </si>
  <si>
    <t>392.0</t>
  </si>
  <si>
    <t>393.0</t>
  </si>
  <si>
    <t>Stores Equipment</t>
  </si>
  <si>
    <t>394.0</t>
  </si>
  <si>
    <t>Tools Shop &amp; Garage Equipment</t>
  </si>
  <si>
    <t>395.0</t>
  </si>
  <si>
    <t>Laboratory Equipment</t>
  </si>
  <si>
    <t>396.0</t>
  </si>
  <si>
    <t>Power Operated Equipment</t>
  </si>
  <si>
    <t>397.0</t>
  </si>
  <si>
    <t>Communication Equipment</t>
  </si>
  <si>
    <t>398.0</t>
  </si>
  <si>
    <t>Miscellaneous Equipment</t>
  </si>
  <si>
    <t>Total General Plant</t>
  </si>
  <si>
    <t xml:space="preserve">Total Depreciable Plant </t>
  </si>
  <si>
    <t>Meters</t>
  </si>
  <si>
    <t xml:space="preserve">Transportation Equipment </t>
  </si>
  <si>
    <t>Storage Battery Equipment</t>
  </si>
  <si>
    <t>Overhead Conductor &amp; Devices</t>
  </si>
  <si>
    <t>BASED ON PLANT IN SERVICE AT DECEMBER 31, 2018</t>
  </si>
  <si>
    <t>GENERAL PLANT</t>
  </si>
  <si>
    <t xml:space="preserve"> </t>
  </si>
  <si>
    <t>Land Rights</t>
  </si>
  <si>
    <t>352.0</t>
  </si>
  <si>
    <t>353.0</t>
  </si>
  <si>
    <t>354.0</t>
  </si>
  <si>
    <t xml:space="preserve">Towers &amp; Fixtures  </t>
  </si>
  <si>
    <t>355.0</t>
  </si>
  <si>
    <t>Poles &amp; Fixtures</t>
  </si>
  <si>
    <t>356.0</t>
  </si>
  <si>
    <t>OH Conductor &amp; Devices</t>
  </si>
  <si>
    <t>358.0</t>
  </si>
  <si>
    <t>Underground Conductor &amp; Devices</t>
  </si>
  <si>
    <t>Roads and Trails</t>
  </si>
  <si>
    <t>Total Transmission Plant</t>
  </si>
  <si>
    <t>TRANSMISSION PLANT</t>
  </si>
  <si>
    <t>AMI Meters (1)</t>
  </si>
  <si>
    <t>AMI Communication Equipment (1)</t>
  </si>
  <si>
    <t>Notes:</t>
  </si>
  <si>
    <t>(1)  A useful life of 7 years was approved for AMI meters in Docket No. 36928 and AEP Texas (TCC and TNC) is using a rate of 14.29% (1 divided by 7) for AMI meters in account 370.16 and the related communication equipment in account 397.16.</t>
  </si>
  <si>
    <t>AEP TEXAS (COMBINED COMPANIES) - ORIGINAL COST</t>
  </si>
  <si>
    <t>AEP TEXAS (COMBINED COMPANIES) ANNUAL ACCRUAL</t>
  </si>
  <si>
    <t>AEP TEXAS (COMBINED COMPANIES) DEPRECIATION RATES</t>
  </si>
  <si>
    <t>SCHEDULE I - CALCULATION OF WEIGHTED AVERAGE TRANSMISSION, DISTRIBUTION AND GENERAL PLANT DEPRECIATION RATES</t>
  </si>
  <si>
    <t>(I)</t>
  </si>
  <si>
    <t>(II)</t>
  </si>
  <si>
    <t>(III)</t>
  </si>
  <si>
    <t>(V)</t>
  </si>
  <si>
    <t>(VII)</t>
  </si>
  <si>
    <t>(IX)</t>
  </si>
  <si>
    <t>(VI)</t>
  </si>
  <si>
    <t>(IV)</t>
  </si>
  <si>
    <t>(VIII)</t>
  </si>
  <si>
    <t>AEP TEXAS INC.</t>
  </si>
  <si>
    <t>AEP TEXAS CENTRAL DIVISION - ORIGINAL COST</t>
  </si>
  <si>
    <t>AEP TEXAS NORTH DIVISION - ORIGINAL COST</t>
  </si>
  <si>
    <t>AEP TEXAS CENTRAL DIVISION ANNUAL ACCRUAL - USING DEPRECIATION STUDY RATES</t>
  </si>
  <si>
    <t>AEP TEXAS NORTH DIVISION ANNUAL ACCRUAL - USING DEPRECIATION STUDY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</si>
</sst>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b/>
      <u val="doubleAccounting"/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3" fontId="3" fillId="0" borderId="0" xfId="0" applyNumberFormat="1" applyFont="1"/>
    <xf numFmtId="1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 textRotation="180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5" fillId="0" borderId="0" xfId="0" applyNumberFormat="1" applyFont="1"/>
    <xf numFmtId="10" fontId="1" fillId="0" borderId="0" xfId="0" applyNumberFormat="1" applyFont="1" applyAlignment="1">
      <alignment horizontal="center"/>
    </xf>
    <xf numFmtId="3" fontId="6" fillId="0" borderId="0" xfId="0" applyNumberFormat="1" applyFont="1"/>
    <xf numFmtId="14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3" fontId="2" fillId="0" borderId="0" xfId="0" applyNumberFormat="1" applyFont="1" applyFill="1"/>
    <xf numFmtId="10" fontId="2" fillId="0" borderId="0" xfId="0" applyNumberFormat="1" applyFont="1" applyFill="1" applyAlignment="1">
      <alignment horizontal="center"/>
    </xf>
    <xf numFmtId="0" fontId="0" fillId="0" borderId="0" xfId="0" applyFill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66"/>
  <sheetViews>
    <sheetView tabSelected="1" zoomScale="75" workbookViewId="0">
      <pane ySplit="6" topLeftCell="A7" activePane="bottomLeft" state="frozen"/>
      <selection pane="bottomLeft" activeCell="B8" sqref="B8"/>
    </sheetView>
  </sheetViews>
  <sheetFormatPr defaultColWidth="12.42578125" defaultRowHeight="12.75" x14ac:dyDescent="0.2"/>
  <cols>
    <col min="1" max="1" width="9.7109375" style="1" customWidth="1"/>
    <col min="2" max="2" width="39.28515625" style="1" customWidth="1"/>
    <col min="3" max="9" width="21.7109375" style="1" customWidth="1"/>
    <col min="10" max="16384" width="12.42578125" style="1"/>
  </cols>
  <sheetData>
    <row r="1" spans="1:9" ht="15.75" x14ac:dyDescent="0.25">
      <c r="A1" s="27" t="s">
        <v>81</v>
      </c>
      <c r="B1" s="27"/>
      <c r="C1" s="27"/>
      <c r="D1" s="27"/>
      <c r="E1" s="27"/>
      <c r="F1" s="27"/>
      <c r="G1" s="27"/>
      <c r="H1" s="27"/>
      <c r="I1" s="27"/>
    </row>
    <row r="2" spans="1:9" ht="15.75" x14ac:dyDescent="0.25">
      <c r="A2" s="27" t="s">
        <v>71</v>
      </c>
      <c r="B2" s="27"/>
      <c r="C2" s="27"/>
      <c r="D2" s="27"/>
      <c r="E2" s="27"/>
      <c r="F2" s="27"/>
      <c r="G2" s="27"/>
      <c r="H2" s="27"/>
      <c r="I2" s="27"/>
    </row>
    <row r="3" spans="1:9" ht="15.75" x14ac:dyDescent="0.25">
      <c r="A3" s="27" t="s">
        <v>47</v>
      </c>
      <c r="B3" s="27"/>
      <c r="C3" s="27"/>
      <c r="D3" s="27"/>
      <c r="E3" s="27"/>
      <c r="F3" s="27"/>
      <c r="G3" s="27"/>
      <c r="H3" s="27"/>
      <c r="I3" s="27"/>
    </row>
    <row r="4" spans="1:9" ht="15.75" x14ac:dyDescent="0.25">
      <c r="A4" s="3"/>
      <c r="B4" s="3"/>
      <c r="C4" s="3"/>
      <c r="D4" s="3"/>
      <c r="E4" s="3"/>
      <c r="F4" s="3"/>
      <c r="G4" s="3"/>
    </row>
    <row r="5" spans="1:9" ht="98.25" customHeight="1" x14ac:dyDescent="0.25">
      <c r="A5" s="12" t="s">
        <v>0</v>
      </c>
      <c r="B5" s="12" t="s">
        <v>1</v>
      </c>
      <c r="C5" s="18" t="s">
        <v>82</v>
      </c>
      <c r="D5" s="18" t="s">
        <v>83</v>
      </c>
      <c r="E5" s="18" t="s">
        <v>68</v>
      </c>
      <c r="F5" s="18" t="s">
        <v>84</v>
      </c>
      <c r="G5" s="18" t="s">
        <v>85</v>
      </c>
      <c r="H5" s="18" t="s">
        <v>69</v>
      </c>
      <c r="I5" s="18" t="s">
        <v>70</v>
      </c>
    </row>
    <row r="6" spans="1:9" ht="15.75" x14ac:dyDescent="0.25">
      <c r="A6" s="20" t="s">
        <v>72</v>
      </c>
      <c r="B6" s="20" t="s">
        <v>73</v>
      </c>
      <c r="C6" s="20" t="s">
        <v>74</v>
      </c>
      <c r="D6" s="20" t="s">
        <v>79</v>
      </c>
      <c r="E6" s="20" t="s">
        <v>75</v>
      </c>
      <c r="F6" s="20" t="s">
        <v>78</v>
      </c>
      <c r="G6" s="20" t="s">
        <v>76</v>
      </c>
      <c r="H6" s="20" t="s">
        <v>80</v>
      </c>
      <c r="I6" s="20" t="s">
        <v>77</v>
      </c>
    </row>
    <row r="7" spans="1:9" ht="15" x14ac:dyDescent="0.2">
      <c r="A7" s="4"/>
      <c r="B7" s="4"/>
      <c r="C7" s="4"/>
      <c r="D7" s="4"/>
      <c r="E7" s="4"/>
      <c r="F7" s="4"/>
      <c r="G7" s="4"/>
    </row>
    <row r="8" spans="1:9" ht="15.75" x14ac:dyDescent="0.25">
      <c r="A8" s="21" t="s">
        <v>63</v>
      </c>
      <c r="C8" s="4"/>
      <c r="D8" s="4"/>
      <c r="E8" s="4"/>
      <c r="F8" s="4"/>
      <c r="G8" s="4"/>
    </row>
    <row r="9" spans="1:9" ht="15" x14ac:dyDescent="0.2">
      <c r="A9" s="5" t="s">
        <v>49</v>
      </c>
      <c r="B9" s="5" t="s">
        <v>49</v>
      </c>
      <c r="C9" s="4"/>
      <c r="D9" s="4"/>
      <c r="E9" s="4"/>
      <c r="F9" s="4"/>
      <c r="G9" s="4"/>
    </row>
    <row r="10" spans="1:9" ht="15" x14ac:dyDescent="0.2">
      <c r="A10" s="6">
        <v>350.1</v>
      </c>
      <c r="B10" s="5" t="s">
        <v>50</v>
      </c>
      <c r="C10" s="11">
        <v>60036747</v>
      </c>
      <c r="D10" s="11">
        <v>29581044</v>
      </c>
      <c r="E10" s="11">
        <f>SUM(C10:D10)</f>
        <v>89617791</v>
      </c>
      <c r="F10" s="11">
        <v>720691</v>
      </c>
      <c r="G10" s="11">
        <v>354548</v>
      </c>
      <c r="H10" s="11">
        <f>SUM(F10:G10)</f>
        <v>1075239</v>
      </c>
      <c r="I10" s="13">
        <f t="shared" ref="I10:I18" si="0">ROUND(H10/E10,4)</f>
        <v>1.2E-2</v>
      </c>
    </row>
    <row r="11" spans="1:9" ht="15" x14ac:dyDescent="0.2">
      <c r="A11" s="6" t="s">
        <v>51</v>
      </c>
      <c r="B11" s="5" t="s">
        <v>4</v>
      </c>
      <c r="C11" s="11">
        <v>35979785</v>
      </c>
      <c r="D11" s="11">
        <v>21832894</v>
      </c>
      <c r="E11" s="11">
        <f t="shared" ref="E11:E18" si="1">SUM(C11:D11)</f>
        <v>57812679</v>
      </c>
      <c r="F11" s="11">
        <v>544190</v>
      </c>
      <c r="G11" s="11">
        <v>418283</v>
      </c>
      <c r="H11" s="11">
        <f t="shared" ref="H11:H18" si="2">SUM(F11:G11)</f>
        <v>962473</v>
      </c>
      <c r="I11" s="13">
        <f t="shared" si="0"/>
        <v>1.66E-2</v>
      </c>
    </row>
    <row r="12" spans="1:9" ht="15" x14ac:dyDescent="0.2">
      <c r="A12" s="6" t="s">
        <v>52</v>
      </c>
      <c r="B12" s="5" t="s">
        <v>6</v>
      </c>
      <c r="C12" s="11">
        <v>1249597777</v>
      </c>
      <c r="D12" s="11">
        <v>554765331</v>
      </c>
      <c r="E12" s="11">
        <f t="shared" si="1"/>
        <v>1804363108</v>
      </c>
      <c r="F12" s="11">
        <v>25184877</v>
      </c>
      <c r="G12" s="11">
        <v>11383734</v>
      </c>
      <c r="H12" s="11">
        <f t="shared" si="2"/>
        <v>36568611</v>
      </c>
      <c r="I12" s="13">
        <f t="shared" si="0"/>
        <v>2.0299999999999999E-2</v>
      </c>
    </row>
    <row r="13" spans="1:9" ht="15" x14ac:dyDescent="0.2">
      <c r="A13" s="6" t="s">
        <v>53</v>
      </c>
      <c r="B13" s="5" t="s">
        <v>54</v>
      </c>
      <c r="C13" s="11">
        <v>46640647</v>
      </c>
      <c r="D13" s="11">
        <v>3358476</v>
      </c>
      <c r="E13" s="11">
        <f t="shared" si="1"/>
        <v>49999123</v>
      </c>
      <c r="F13" s="11">
        <v>770773</v>
      </c>
      <c r="G13" s="11">
        <v>36796</v>
      </c>
      <c r="H13" s="11">
        <f t="shared" si="2"/>
        <v>807569</v>
      </c>
      <c r="I13" s="13">
        <f t="shared" si="0"/>
        <v>1.6199999999999999E-2</v>
      </c>
    </row>
    <row r="14" spans="1:9" ht="15" x14ac:dyDescent="0.2">
      <c r="A14" s="6" t="s">
        <v>55</v>
      </c>
      <c r="B14" s="5" t="s">
        <v>56</v>
      </c>
      <c r="C14" s="11">
        <v>562498025</v>
      </c>
      <c r="D14" s="11">
        <v>374524771</v>
      </c>
      <c r="E14" s="11">
        <f t="shared" si="1"/>
        <v>937022796</v>
      </c>
      <c r="F14" s="11">
        <v>13525763</v>
      </c>
      <c r="G14" s="11">
        <v>14606300</v>
      </c>
      <c r="H14" s="11">
        <f t="shared" si="2"/>
        <v>28132063</v>
      </c>
      <c r="I14" s="13">
        <f t="shared" si="0"/>
        <v>0.03</v>
      </c>
    </row>
    <row r="15" spans="1:9" ht="15" x14ac:dyDescent="0.2">
      <c r="A15" s="6" t="s">
        <v>57</v>
      </c>
      <c r="B15" s="5" t="s">
        <v>58</v>
      </c>
      <c r="C15" s="11">
        <v>499084207</v>
      </c>
      <c r="D15" s="11">
        <v>197972201</v>
      </c>
      <c r="E15" s="11">
        <f t="shared" si="1"/>
        <v>697056408</v>
      </c>
      <c r="F15" s="11">
        <v>10285487</v>
      </c>
      <c r="G15" s="11">
        <v>4928371</v>
      </c>
      <c r="H15" s="11">
        <f t="shared" si="2"/>
        <v>15213858</v>
      </c>
      <c r="I15" s="13">
        <f t="shared" si="0"/>
        <v>2.18E-2</v>
      </c>
    </row>
    <row r="16" spans="1:9" ht="15" x14ac:dyDescent="0.2">
      <c r="A16" s="6">
        <v>357</v>
      </c>
      <c r="B16" s="5" t="s">
        <v>11</v>
      </c>
      <c r="C16" s="11">
        <v>2640151</v>
      </c>
      <c r="D16" s="11">
        <v>2196626</v>
      </c>
      <c r="E16" s="11">
        <f t="shared" si="1"/>
        <v>4836777</v>
      </c>
      <c r="F16" s="11">
        <v>42684</v>
      </c>
      <c r="G16" s="11">
        <v>33944</v>
      </c>
      <c r="H16" s="11">
        <f t="shared" si="2"/>
        <v>76628</v>
      </c>
      <c r="I16" s="13">
        <f t="shared" si="0"/>
        <v>1.5800000000000002E-2</v>
      </c>
    </row>
    <row r="17" spans="1:9" ht="15" x14ac:dyDescent="0.2">
      <c r="A17" s="6" t="s">
        <v>59</v>
      </c>
      <c r="B17" s="5" t="s">
        <v>60</v>
      </c>
      <c r="C17" s="11">
        <v>25028080</v>
      </c>
      <c r="D17" s="11">
        <v>60896</v>
      </c>
      <c r="E17" s="11">
        <f t="shared" si="1"/>
        <v>25088976</v>
      </c>
      <c r="F17" s="11">
        <v>617678</v>
      </c>
      <c r="G17" s="11">
        <v>1225</v>
      </c>
      <c r="H17" s="11">
        <f t="shared" si="2"/>
        <v>618903</v>
      </c>
      <c r="I17" s="13">
        <f t="shared" si="0"/>
        <v>2.47E-2</v>
      </c>
    </row>
    <row r="18" spans="1:9" ht="15" x14ac:dyDescent="0.2">
      <c r="A18" s="6">
        <v>359</v>
      </c>
      <c r="B18" s="5" t="s">
        <v>61</v>
      </c>
      <c r="C18" s="7">
        <v>54376</v>
      </c>
      <c r="D18" s="7">
        <v>0</v>
      </c>
      <c r="E18" s="7">
        <f t="shared" si="1"/>
        <v>54376</v>
      </c>
      <c r="F18" s="7">
        <v>298</v>
      </c>
      <c r="G18" s="7">
        <v>0</v>
      </c>
      <c r="H18" s="7">
        <f t="shared" si="2"/>
        <v>298</v>
      </c>
      <c r="I18" s="13">
        <f t="shared" si="0"/>
        <v>5.4999999999999997E-3</v>
      </c>
    </row>
    <row r="19" spans="1:9" ht="15" x14ac:dyDescent="0.2">
      <c r="C19" s="4"/>
      <c r="D19" s="4"/>
      <c r="E19" s="4"/>
      <c r="F19" s="4"/>
      <c r="G19" s="4"/>
    </row>
    <row r="20" spans="1:9" ht="15.75" x14ac:dyDescent="0.25">
      <c r="B20" s="2" t="s">
        <v>62</v>
      </c>
      <c r="C20" s="17">
        <f>SUM(C10:C19)</f>
        <v>2481559795</v>
      </c>
      <c r="D20" s="17">
        <f t="shared" ref="D20:H20" si="3">SUM(D10:D19)</f>
        <v>1184292239</v>
      </c>
      <c r="E20" s="17">
        <f t="shared" si="3"/>
        <v>3665852034</v>
      </c>
      <c r="F20" s="17">
        <f t="shared" si="3"/>
        <v>51692441</v>
      </c>
      <c r="G20" s="17">
        <f t="shared" si="3"/>
        <v>31763201</v>
      </c>
      <c r="H20" s="17">
        <f t="shared" si="3"/>
        <v>83455642</v>
      </c>
      <c r="I20" s="16">
        <f>ROUND(H20/E20,4)</f>
        <v>2.2800000000000001E-2</v>
      </c>
    </row>
    <row r="21" spans="1:9" ht="15" x14ac:dyDescent="0.2">
      <c r="A21" s="4"/>
      <c r="B21" s="4"/>
      <c r="C21" s="4"/>
      <c r="D21" s="4"/>
      <c r="E21" s="4"/>
      <c r="F21" s="4"/>
      <c r="G21" s="4"/>
    </row>
    <row r="22" spans="1:9" ht="15.75" x14ac:dyDescent="0.25">
      <c r="A22" s="21" t="s">
        <v>2</v>
      </c>
    </row>
    <row r="23" spans="1:9" ht="15" x14ac:dyDescent="0.2">
      <c r="A23" s="5"/>
    </row>
    <row r="24" spans="1:9" ht="15" x14ac:dyDescent="0.2">
      <c r="A24" s="4">
        <v>360.1</v>
      </c>
      <c r="B24" s="5" t="s">
        <v>50</v>
      </c>
      <c r="C24" s="11">
        <v>1318356</v>
      </c>
      <c r="D24" s="11">
        <v>4252748</v>
      </c>
      <c r="E24" s="11">
        <f t="shared" ref="E24:E38" si="4">SUM(C24:D24)</f>
        <v>5571104</v>
      </c>
      <c r="F24" s="11">
        <v>21168</v>
      </c>
      <c r="G24" s="11">
        <v>70224</v>
      </c>
      <c r="H24" s="11">
        <f t="shared" ref="H24:H38" si="5">SUM(F24:G24)</f>
        <v>91392</v>
      </c>
      <c r="I24" s="13">
        <f t="shared" ref="I24:I38" si="6">ROUND(H24/E24,4)</f>
        <v>1.6400000000000001E-2</v>
      </c>
    </row>
    <row r="25" spans="1:9" ht="15" x14ac:dyDescent="0.2">
      <c r="A25" s="4" t="s">
        <v>3</v>
      </c>
      <c r="B25" s="5" t="s">
        <v>4</v>
      </c>
      <c r="C25" s="11">
        <v>12120569</v>
      </c>
      <c r="D25" s="11">
        <v>5429963</v>
      </c>
      <c r="E25" s="11">
        <f t="shared" si="4"/>
        <v>17550532</v>
      </c>
      <c r="F25" s="11">
        <v>156469</v>
      </c>
      <c r="G25" s="11">
        <v>88322</v>
      </c>
      <c r="H25" s="11">
        <f t="shared" si="5"/>
        <v>244791</v>
      </c>
      <c r="I25" s="13">
        <f t="shared" si="6"/>
        <v>1.3899999999999999E-2</v>
      </c>
    </row>
    <row r="26" spans="1:9" ht="15" x14ac:dyDescent="0.2">
      <c r="A26" s="4" t="s">
        <v>5</v>
      </c>
      <c r="B26" s="5" t="s">
        <v>6</v>
      </c>
      <c r="C26" s="11">
        <v>396652656</v>
      </c>
      <c r="D26" s="11">
        <v>151490855</v>
      </c>
      <c r="E26" s="11">
        <f t="shared" si="4"/>
        <v>548143511</v>
      </c>
      <c r="F26" s="11">
        <v>6731272</v>
      </c>
      <c r="G26" s="11">
        <v>3258706</v>
      </c>
      <c r="H26" s="11">
        <f t="shared" si="5"/>
        <v>9989978</v>
      </c>
      <c r="I26" s="13">
        <f t="shared" si="6"/>
        <v>1.8200000000000001E-2</v>
      </c>
    </row>
    <row r="27" spans="1:9" ht="15" x14ac:dyDescent="0.2">
      <c r="A27" s="6">
        <v>363</v>
      </c>
      <c r="B27" s="5" t="s">
        <v>45</v>
      </c>
      <c r="C27" s="11">
        <v>0</v>
      </c>
      <c r="D27" s="11">
        <v>0</v>
      </c>
      <c r="E27" s="11">
        <f t="shared" si="4"/>
        <v>0</v>
      </c>
      <c r="F27" s="11">
        <v>0</v>
      </c>
      <c r="G27" s="11">
        <v>0</v>
      </c>
      <c r="H27" s="11">
        <f t="shared" si="5"/>
        <v>0</v>
      </c>
      <c r="I27" s="13">
        <v>6.6699999999999995E-2</v>
      </c>
    </row>
    <row r="28" spans="1:9" ht="15" x14ac:dyDescent="0.2">
      <c r="A28" s="4" t="s">
        <v>7</v>
      </c>
      <c r="B28" s="5" t="s">
        <v>8</v>
      </c>
      <c r="C28" s="11">
        <v>612325516</v>
      </c>
      <c r="D28" s="11">
        <v>199041028</v>
      </c>
      <c r="E28" s="11">
        <f t="shared" si="4"/>
        <v>811366544</v>
      </c>
      <c r="F28" s="11">
        <v>17982247</v>
      </c>
      <c r="G28" s="11">
        <v>7684272</v>
      </c>
      <c r="H28" s="11">
        <f t="shared" si="5"/>
        <v>25666519</v>
      </c>
      <c r="I28" s="13">
        <f t="shared" si="6"/>
        <v>3.1600000000000003E-2</v>
      </c>
    </row>
    <row r="29" spans="1:9" ht="15" x14ac:dyDescent="0.2">
      <c r="A29" s="4" t="s">
        <v>9</v>
      </c>
      <c r="B29" s="5" t="s">
        <v>46</v>
      </c>
      <c r="C29" s="11">
        <v>573222951</v>
      </c>
      <c r="D29" s="11">
        <v>146765821</v>
      </c>
      <c r="E29" s="11">
        <f t="shared" si="4"/>
        <v>719988772</v>
      </c>
      <c r="F29" s="11">
        <v>19750193</v>
      </c>
      <c r="G29" s="11">
        <v>4067210</v>
      </c>
      <c r="H29" s="11">
        <f t="shared" si="5"/>
        <v>23817403</v>
      </c>
      <c r="I29" s="13">
        <f t="shared" si="6"/>
        <v>3.3099999999999997E-2</v>
      </c>
    </row>
    <row r="30" spans="1:9" ht="15" x14ac:dyDescent="0.2">
      <c r="A30" s="4" t="s">
        <v>10</v>
      </c>
      <c r="B30" s="5" t="s">
        <v>11</v>
      </c>
      <c r="C30" s="11">
        <v>57378067</v>
      </c>
      <c r="D30" s="11">
        <v>23461567</v>
      </c>
      <c r="E30" s="11">
        <f t="shared" si="4"/>
        <v>80839634</v>
      </c>
      <c r="F30" s="11">
        <v>678242</v>
      </c>
      <c r="G30" s="11">
        <v>292104</v>
      </c>
      <c r="H30" s="11">
        <f t="shared" si="5"/>
        <v>970346</v>
      </c>
      <c r="I30" s="13">
        <f t="shared" si="6"/>
        <v>1.2E-2</v>
      </c>
    </row>
    <row r="31" spans="1:9" ht="15" x14ac:dyDescent="0.2">
      <c r="A31" s="4" t="s">
        <v>12</v>
      </c>
      <c r="B31" s="5" t="s">
        <v>13</v>
      </c>
      <c r="C31" s="11">
        <v>285650353</v>
      </c>
      <c r="D31" s="11">
        <v>60559214</v>
      </c>
      <c r="E31" s="11">
        <f t="shared" si="4"/>
        <v>346209567</v>
      </c>
      <c r="F31" s="11">
        <v>7698014</v>
      </c>
      <c r="G31" s="11">
        <v>1370637</v>
      </c>
      <c r="H31" s="11">
        <f t="shared" si="5"/>
        <v>9068651</v>
      </c>
      <c r="I31" s="13">
        <f t="shared" si="6"/>
        <v>2.6200000000000001E-2</v>
      </c>
    </row>
    <row r="32" spans="1:9" ht="15" x14ac:dyDescent="0.2">
      <c r="A32" s="4" t="s">
        <v>14</v>
      </c>
      <c r="B32" s="5" t="s">
        <v>15</v>
      </c>
      <c r="C32" s="11">
        <v>540974797</v>
      </c>
      <c r="D32" s="11">
        <v>156769634</v>
      </c>
      <c r="E32" s="11">
        <f t="shared" si="4"/>
        <v>697744431</v>
      </c>
      <c r="F32" s="11">
        <v>19524503</v>
      </c>
      <c r="G32" s="11">
        <v>4238039</v>
      </c>
      <c r="H32" s="11">
        <f t="shared" si="5"/>
        <v>23762542</v>
      </c>
      <c r="I32" s="13">
        <f t="shared" si="6"/>
        <v>3.4099999999999998E-2</v>
      </c>
    </row>
    <row r="33" spans="1:9" ht="15" x14ac:dyDescent="0.2">
      <c r="A33" s="4" t="s">
        <v>16</v>
      </c>
      <c r="B33" s="5" t="s">
        <v>17</v>
      </c>
      <c r="C33" s="11">
        <v>217507781</v>
      </c>
      <c r="D33" s="11">
        <v>86266579</v>
      </c>
      <c r="E33" s="11">
        <f t="shared" si="4"/>
        <v>303774360</v>
      </c>
      <c r="F33" s="11">
        <v>4990572</v>
      </c>
      <c r="G33" s="11">
        <v>1537848</v>
      </c>
      <c r="H33" s="11">
        <f t="shared" si="5"/>
        <v>6528420</v>
      </c>
      <c r="I33" s="13">
        <f t="shared" si="6"/>
        <v>2.1499999999999998E-2</v>
      </c>
    </row>
    <row r="34" spans="1:9" ht="15" x14ac:dyDescent="0.2">
      <c r="A34" s="4" t="s">
        <v>18</v>
      </c>
      <c r="B34" s="5" t="s">
        <v>43</v>
      </c>
      <c r="C34" s="11">
        <v>31791183</v>
      </c>
      <c r="D34" s="11">
        <v>11360148</v>
      </c>
      <c r="E34" s="11">
        <f t="shared" si="4"/>
        <v>43151331</v>
      </c>
      <c r="F34" s="11">
        <v>2055901</v>
      </c>
      <c r="G34" s="11">
        <v>886171</v>
      </c>
      <c r="H34" s="11">
        <f t="shared" si="5"/>
        <v>2942072</v>
      </c>
      <c r="I34" s="13">
        <f t="shared" si="6"/>
        <v>6.8199999999999997E-2</v>
      </c>
    </row>
    <row r="35" spans="1:9" s="26" customFormat="1" ht="15" x14ac:dyDescent="0.2">
      <c r="A35" s="22">
        <v>370.16</v>
      </c>
      <c r="B35" s="23" t="s">
        <v>64</v>
      </c>
      <c r="C35" s="24">
        <v>147966156</v>
      </c>
      <c r="D35" s="24">
        <v>38689628</v>
      </c>
      <c r="E35" s="24">
        <f t="shared" si="4"/>
        <v>186655784</v>
      </c>
      <c r="F35" s="24">
        <v>21144364</v>
      </c>
      <c r="G35" s="24">
        <v>5528748</v>
      </c>
      <c r="H35" s="24">
        <f t="shared" si="5"/>
        <v>26673112</v>
      </c>
      <c r="I35" s="25">
        <f t="shared" si="6"/>
        <v>0.1429</v>
      </c>
    </row>
    <row r="36" spans="1:9" ht="15" x14ac:dyDescent="0.2">
      <c r="A36" s="4" t="s">
        <v>19</v>
      </c>
      <c r="B36" s="5" t="s">
        <v>20</v>
      </c>
      <c r="C36" s="11">
        <v>55071768</v>
      </c>
      <c r="D36" s="11">
        <v>15286891</v>
      </c>
      <c r="E36" s="11">
        <f t="shared" si="4"/>
        <v>70358659</v>
      </c>
      <c r="F36" s="11">
        <v>1412985</v>
      </c>
      <c r="G36" s="11">
        <v>455120</v>
      </c>
      <c r="H36" s="11">
        <f t="shared" si="5"/>
        <v>1868105</v>
      </c>
      <c r="I36" s="13">
        <f t="shared" si="6"/>
        <v>2.6599999999999999E-2</v>
      </c>
    </row>
    <row r="37" spans="1:9" ht="15" x14ac:dyDescent="0.2">
      <c r="A37" s="6">
        <v>372</v>
      </c>
      <c r="B37" s="5" t="s">
        <v>21</v>
      </c>
      <c r="C37" s="11">
        <v>0</v>
      </c>
      <c r="D37" s="11">
        <v>86896</v>
      </c>
      <c r="E37" s="11">
        <f t="shared" si="4"/>
        <v>86896</v>
      </c>
      <c r="F37" s="11">
        <v>0</v>
      </c>
      <c r="G37" s="11">
        <v>1351</v>
      </c>
      <c r="H37" s="11">
        <f t="shared" si="5"/>
        <v>1351</v>
      </c>
      <c r="I37" s="13">
        <f t="shared" si="6"/>
        <v>1.55E-2</v>
      </c>
    </row>
    <row r="38" spans="1:9" ht="15" x14ac:dyDescent="0.2">
      <c r="A38" s="4" t="s">
        <v>22</v>
      </c>
      <c r="B38" s="5" t="s">
        <v>23</v>
      </c>
      <c r="C38" s="7">
        <v>81090148</v>
      </c>
      <c r="D38" s="7">
        <v>21994022</v>
      </c>
      <c r="E38" s="7">
        <f t="shared" si="4"/>
        <v>103084170</v>
      </c>
      <c r="F38" s="7">
        <v>2483924</v>
      </c>
      <c r="G38" s="7">
        <v>569330</v>
      </c>
      <c r="H38" s="7">
        <f t="shared" si="5"/>
        <v>3053254</v>
      </c>
      <c r="I38" s="13">
        <f t="shared" si="6"/>
        <v>2.9600000000000001E-2</v>
      </c>
    </row>
    <row r="39" spans="1:9" ht="15" x14ac:dyDescent="0.2">
      <c r="C39" s="8"/>
      <c r="D39" s="7"/>
      <c r="E39" s="7"/>
      <c r="F39" s="7"/>
      <c r="G39" s="8"/>
      <c r="H39" s="7"/>
      <c r="I39" s="14"/>
    </row>
    <row r="40" spans="1:9" ht="15.75" x14ac:dyDescent="0.25">
      <c r="B40" s="2" t="s">
        <v>24</v>
      </c>
      <c r="C40" s="17">
        <f t="shared" ref="C40:H40" si="7">SUM(C24:C39)</f>
        <v>3013070301</v>
      </c>
      <c r="D40" s="17">
        <f t="shared" si="7"/>
        <v>921454994</v>
      </c>
      <c r="E40" s="17">
        <f t="shared" si="7"/>
        <v>3934525295</v>
      </c>
      <c r="F40" s="17">
        <f t="shared" si="7"/>
        <v>104629854</v>
      </c>
      <c r="G40" s="17">
        <f t="shared" si="7"/>
        <v>30048082</v>
      </c>
      <c r="H40" s="17">
        <f t="shared" si="7"/>
        <v>134677936</v>
      </c>
      <c r="I40" s="16">
        <f>ROUND(H40/E40,4)</f>
        <v>3.4200000000000001E-2</v>
      </c>
    </row>
    <row r="41" spans="1:9" ht="15" x14ac:dyDescent="0.2">
      <c r="C41" s="8"/>
      <c r="D41" s="8"/>
      <c r="E41" s="8"/>
      <c r="F41" s="8"/>
      <c r="G41" s="8"/>
      <c r="H41" s="8"/>
    </row>
    <row r="42" spans="1:9" ht="15.75" x14ac:dyDescent="0.25">
      <c r="A42" s="21" t="s">
        <v>48</v>
      </c>
    </row>
    <row r="44" spans="1:9" ht="15" x14ac:dyDescent="0.2">
      <c r="A44" s="4" t="s">
        <v>25</v>
      </c>
      <c r="B44" s="5" t="s">
        <v>4</v>
      </c>
      <c r="C44" s="11">
        <v>281634140</v>
      </c>
      <c r="D44" s="11">
        <v>51890892</v>
      </c>
      <c r="E44" s="11">
        <f t="shared" ref="E44:E53" si="8">SUM(C44:D44)</f>
        <v>333525032</v>
      </c>
      <c r="F44" s="11">
        <v>4304302</v>
      </c>
      <c r="G44" s="11">
        <v>693279</v>
      </c>
      <c r="H44" s="11">
        <f t="shared" ref="H44:H53" si="9">SUM(F44:G44)</f>
        <v>4997581</v>
      </c>
      <c r="I44" s="13">
        <f t="shared" ref="I44:I55" si="10">ROUND(H44/E44,4)</f>
        <v>1.4999999999999999E-2</v>
      </c>
    </row>
    <row r="45" spans="1:9" ht="15" x14ac:dyDescent="0.2">
      <c r="A45" s="4" t="s">
        <v>26</v>
      </c>
      <c r="B45" s="5" t="s">
        <v>27</v>
      </c>
      <c r="C45" s="11">
        <v>4077464</v>
      </c>
      <c r="D45" s="11">
        <v>2899958</v>
      </c>
      <c r="E45" s="11">
        <f t="shared" si="8"/>
        <v>6977422</v>
      </c>
      <c r="F45" s="11">
        <v>364500</v>
      </c>
      <c r="G45" s="11">
        <v>185963</v>
      </c>
      <c r="H45" s="11">
        <f t="shared" si="9"/>
        <v>550463</v>
      </c>
      <c r="I45" s="13">
        <f t="shared" si="10"/>
        <v>7.8899999999999998E-2</v>
      </c>
    </row>
    <row r="46" spans="1:9" ht="15" x14ac:dyDescent="0.2">
      <c r="A46" s="9" t="s">
        <v>28</v>
      </c>
      <c r="B46" s="5" t="s">
        <v>44</v>
      </c>
      <c r="C46" s="11">
        <v>185606</v>
      </c>
      <c r="D46" s="11">
        <v>78564</v>
      </c>
      <c r="E46" s="11">
        <f t="shared" si="8"/>
        <v>264170</v>
      </c>
      <c r="F46" s="11">
        <v>17640</v>
      </c>
      <c r="G46" s="11">
        <v>5020</v>
      </c>
      <c r="H46" s="11">
        <f t="shared" si="9"/>
        <v>22660</v>
      </c>
      <c r="I46" s="13">
        <f t="shared" si="10"/>
        <v>8.5800000000000001E-2</v>
      </c>
    </row>
    <row r="47" spans="1:9" ht="15" x14ac:dyDescent="0.2">
      <c r="A47" s="4" t="s">
        <v>29</v>
      </c>
      <c r="B47" s="5" t="s">
        <v>30</v>
      </c>
      <c r="C47" s="11">
        <v>1140695</v>
      </c>
      <c r="D47" s="11">
        <v>146277</v>
      </c>
      <c r="E47" s="11">
        <f t="shared" si="8"/>
        <v>1286972</v>
      </c>
      <c r="F47" s="11">
        <v>47865</v>
      </c>
      <c r="G47" s="11">
        <v>4388</v>
      </c>
      <c r="H47" s="11">
        <f t="shared" si="9"/>
        <v>52253</v>
      </c>
      <c r="I47" s="13">
        <f t="shared" si="10"/>
        <v>4.0599999999999997E-2</v>
      </c>
    </row>
    <row r="48" spans="1:9" ht="15" x14ac:dyDescent="0.2">
      <c r="A48" s="4" t="s">
        <v>31</v>
      </c>
      <c r="B48" s="5" t="s">
        <v>32</v>
      </c>
      <c r="C48" s="11">
        <v>32277620</v>
      </c>
      <c r="D48" s="11">
        <v>16521673</v>
      </c>
      <c r="E48" s="11">
        <f t="shared" si="8"/>
        <v>48799293</v>
      </c>
      <c r="F48" s="11">
        <v>949463</v>
      </c>
      <c r="G48" s="11">
        <v>487524</v>
      </c>
      <c r="H48" s="11">
        <f t="shared" si="9"/>
        <v>1436987</v>
      </c>
      <c r="I48" s="13">
        <f t="shared" si="10"/>
        <v>2.9399999999999999E-2</v>
      </c>
    </row>
    <row r="49" spans="1:11" ht="15" x14ac:dyDescent="0.2">
      <c r="A49" s="4" t="s">
        <v>33</v>
      </c>
      <c r="B49" s="5" t="s">
        <v>34</v>
      </c>
      <c r="C49" s="11">
        <v>440894</v>
      </c>
      <c r="D49" s="11">
        <v>0</v>
      </c>
      <c r="E49" s="11">
        <f t="shared" si="8"/>
        <v>440894</v>
      </c>
      <c r="F49" s="11">
        <v>15885</v>
      </c>
      <c r="G49" s="11">
        <v>0</v>
      </c>
      <c r="H49" s="11">
        <f t="shared" si="9"/>
        <v>15885</v>
      </c>
      <c r="I49" s="13">
        <f t="shared" si="10"/>
        <v>3.5999999999999997E-2</v>
      </c>
    </row>
    <row r="50" spans="1:11" ht="15" x14ac:dyDescent="0.2">
      <c r="A50" s="9" t="s">
        <v>35</v>
      </c>
      <c r="B50" s="5" t="s">
        <v>36</v>
      </c>
      <c r="C50" s="11">
        <v>192198</v>
      </c>
      <c r="D50" s="11">
        <v>0</v>
      </c>
      <c r="E50" s="11">
        <f t="shared" si="8"/>
        <v>192198</v>
      </c>
      <c r="F50" s="11">
        <v>1807</v>
      </c>
      <c r="G50" s="11">
        <v>0</v>
      </c>
      <c r="H50" s="11">
        <f t="shared" si="9"/>
        <v>1807</v>
      </c>
      <c r="I50" s="13">
        <f t="shared" si="10"/>
        <v>9.4000000000000004E-3</v>
      </c>
    </row>
    <row r="51" spans="1:11" ht="15" x14ac:dyDescent="0.2">
      <c r="A51" s="4" t="s">
        <v>37</v>
      </c>
      <c r="B51" s="5" t="s">
        <v>38</v>
      </c>
      <c r="C51" s="11">
        <v>65292628</v>
      </c>
      <c r="D51" s="11">
        <v>22343208</v>
      </c>
      <c r="E51" s="11">
        <f t="shared" si="8"/>
        <v>87635836</v>
      </c>
      <c r="F51" s="11">
        <v>3212860</v>
      </c>
      <c r="G51" s="11">
        <v>714735</v>
      </c>
      <c r="H51" s="11">
        <f t="shared" si="9"/>
        <v>3927595</v>
      </c>
      <c r="I51" s="13">
        <f t="shared" si="10"/>
        <v>4.48E-2</v>
      </c>
    </row>
    <row r="52" spans="1:11" s="26" customFormat="1" ht="15" x14ac:dyDescent="0.2">
      <c r="A52" s="22">
        <v>397.16</v>
      </c>
      <c r="B52" s="23" t="s">
        <v>65</v>
      </c>
      <c r="C52" s="24">
        <v>21769785</v>
      </c>
      <c r="D52" s="24">
        <v>13379226</v>
      </c>
      <c r="E52" s="24">
        <f t="shared" si="8"/>
        <v>35149011</v>
      </c>
      <c r="F52" s="24">
        <v>3110902</v>
      </c>
      <c r="G52" s="24">
        <v>1911891</v>
      </c>
      <c r="H52" s="24">
        <f t="shared" si="9"/>
        <v>5022793</v>
      </c>
      <c r="I52" s="25">
        <f>ROUND(H52/E52,4)</f>
        <v>0.1429</v>
      </c>
    </row>
    <row r="53" spans="1:11" ht="15" x14ac:dyDescent="0.2">
      <c r="A53" s="4" t="s">
        <v>39</v>
      </c>
      <c r="B53" s="5" t="s">
        <v>40</v>
      </c>
      <c r="C53" s="7">
        <v>3112238</v>
      </c>
      <c r="D53" s="7">
        <v>1999790</v>
      </c>
      <c r="E53" s="7">
        <f t="shared" si="8"/>
        <v>5112028</v>
      </c>
      <c r="F53" s="7">
        <v>114372</v>
      </c>
      <c r="G53" s="7">
        <v>125064</v>
      </c>
      <c r="H53" s="7">
        <f t="shared" si="9"/>
        <v>239436</v>
      </c>
      <c r="I53" s="13">
        <f t="shared" si="10"/>
        <v>4.6800000000000001E-2</v>
      </c>
    </row>
    <row r="54" spans="1:11" ht="15" x14ac:dyDescent="0.2">
      <c r="C54" s="8"/>
      <c r="D54" s="8"/>
      <c r="E54" s="8"/>
      <c r="F54" s="8"/>
      <c r="G54" s="8"/>
      <c r="H54" s="8"/>
      <c r="I54" s="14"/>
    </row>
    <row r="55" spans="1:11" ht="15.75" x14ac:dyDescent="0.25">
      <c r="B55" s="2" t="s">
        <v>41</v>
      </c>
      <c r="C55" s="17">
        <f t="shared" ref="C55:H55" si="11">SUM(C44:C54)</f>
        <v>410123268</v>
      </c>
      <c r="D55" s="17">
        <f t="shared" si="11"/>
        <v>109259588</v>
      </c>
      <c r="E55" s="17">
        <f t="shared" si="11"/>
        <v>519382856</v>
      </c>
      <c r="F55" s="17">
        <f t="shared" si="11"/>
        <v>12139596</v>
      </c>
      <c r="G55" s="17">
        <f t="shared" si="11"/>
        <v>4127864</v>
      </c>
      <c r="H55" s="17">
        <f t="shared" si="11"/>
        <v>16267460</v>
      </c>
      <c r="I55" s="16">
        <f t="shared" si="10"/>
        <v>3.1300000000000001E-2</v>
      </c>
    </row>
    <row r="56" spans="1:11" ht="15" x14ac:dyDescent="0.2">
      <c r="B56" s="5"/>
      <c r="C56" s="7"/>
      <c r="D56"/>
      <c r="E56" s="7"/>
      <c r="F56" s="7"/>
      <c r="G56" s="7"/>
      <c r="H56" s="7"/>
      <c r="I56" s="14"/>
    </row>
    <row r="57" spans="1:11" ht="18" x14ac:dyDescent="0.4">
      <c r="B57" s="2" t="s">
        <v>42</v>
      </c>
      <c r="C57" s="15">
        <f t="shared" ref="C57:H57" si="12">C20+C40+C55</f>
        <v>5904753364</v>
      </c>
      <c r="D57" s="15">
        <f t="shared" si="12"/>
        <v>2215006821</v>
      </c>
      <c r="E57" s="15">
        <f t="shared" si="12"/>
        <v>8119760185</v>
      </c>
      <c r="F57" s="15">
        <f t="shared" si="12"/>
        <v>168461891</v>
      </c>
      <c r="G57" s="15">
        <f t="shared" si="12"/>
        <v>65939147</v>
      </c>
      <c r="H57" s="15">
        <f t="shared" si="12"/>
        <v>234401038</v>
      </c>
      <c r="I57" s="16">
        <f>ROUND(H57/E57,4)</f>
        <v>2.8899999999999999E-2</v>
      </c>
    </row>
    <row r="59" spans="1:11" ht="15.75" x14ac:dyDescent="0.25">
      <c r="A59" s="2" t="s">
        <v>66</v>
      </c>
    </row>
    <row r="60" spans="1:11" ht="19.5" customHeight="1" x14ac:dyDescent="0.2">
      <c r="B60" s="28" t="s">
        <v>67</v>
      </c>
      <c r="C60" s="28"/>
      <c r="D60" s="28"/>
      <c r="E60" s="28"/>
      <c r="F60" s="28"/>
      <c r="G60" s="28"/>
      <c r="H60" s="28"/>
      <c r="I60" s="28"/>
      <c r="J60" s="19"/>
      <c r="K60" s="19"/>
    </row>
    <row r="61" spans="1:11" ht="22.5" customHeight="1" x14ac:dyDescent="0.2">
      <c r="B61" s="28"/>
      <c r="C61" s="28"/>
      <c r="D61" s="28"/>
      <c r="E61" s="28"/>
      <c r="F61" s="28"/>
      <c r="G61" s="28"/>
      <c r="H61" s="28"/>
      <c r="I61" s="28"/>
      <c r="J61" s="19"/>
      <c r="K61" s="19"/>
    </row>
    <row r="63" spans="1:11" x14ac:dyDescent="0.2">
      <c r="H63" s="10"/>
    </row>
    <row r="64" spans="1:11" x14ac:dyDescent="0.2">
      <c r="H64" s="10"/>
    </row>
    <row r="65" spans="8:8" x14ac:dyDescent="0.2">
      <c r="H65" s="10"/>
    </row>
    <row r="66" spans="8:8" x14ac:dyDescent="0.2">
      <c r="H66" s="10"/>
    </row>
  </sheetData>
  <mergeCells count="4">
    <mergeCell ref="A1:I1"/>
    <mergeCell ref="A2:I2"/>
    <mergeCell ref="A3:I3"/>
    <mergeCell ref="B60:I61"/>
  </mergeCells>
  <phoneticPr fontId="4" type="noConversion"/>
  <printOptions horizontalCentered="1"/>
  <pageMargins left="0.5" right="0.5" top="1" bottom="1" header="0.5" footer="0.5"/>
  <pageSetup scale="48" orientation="portrait" r:id="rId1"/>
  <headerFooter alignWithMargins="0">
    <oddFooter>&amp;C&amp;"Calibri,Regular"&amp;11&amp;B&amp;K000000AEP CONFIDENTIAL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1f6a98d5-4e6a-406f-8258-3f07b61a1b98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7B01E2-0D3E-449A-825D-BBD5B5A6CB4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AAA0C16-7AB7-41F0-A32B-C703DB9E5EBA}"/>
</file>

<file path=customXml/itemProps3.xml><?xml version="1.0" encoding="utf-8"?>
<ds:datastoreItem xmlns:ds="http://schemas.openxmlformats.org/officeDocument/2006/customXml" ds:itemID="{86CD6042-3ACB-4CD2-81F4-8EA88704403B}"/>
</file>

<file path=customXml/itemProps4.xml><?xml version="1.0" encoding="utf-8"?>
<ds:datastoreItem xmlns:ds="http://schemas.openxmlformats.org/officeDocument/2006/customXml" ds:itemID="{09E4598B-250A-4818-B829-442BD42A0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Rates</vt:lpstr>
    </vt:vector>
  </TitlesOfParts>
  <Company>AEP-SS-IT-WE-7/1/6-(8-835-3050)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AEP</dc:creator>
  <cp:keywords>AEP Confidential</cp:keywords>
  <cp:lastModifiedBy>s998130</cp:lastModifiedBy>
  <cp:lastPrinted>2019-04-05T13:35:59Z</cp:lastPrinted>
  <dcterms:created xsi:type="dcterms:W3CDTF">2011-08-26T20:02:18Z</dcterms:created>
  <dcterms:modified xsi:type="dcterms:W3CDTF">2019-04-05T13:36:04Z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39fd08e9-42d7-481f-9377-e0a23d95af61</vt:lpwstr>
  </property>
  <property fmtid="{D5CDD505-2E9C-101B-9397-08002B2CF9AE}" pid="3" name="bjSaver">
    <vt:lpwstr>MSLcv1Deu+j/oxKLp9zJIfjP3BgDQ2g+</vt:lpwstr>
  </property>
  <property fmtid="{D5CDD505-2E9C-101B-9397-08002B2CF9AE}" pid="4" name="bjDocumentSecurityLabel">
    <vt:lpwstr>AEP Confidential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CentreFooterLabel-first">
    <vt:lpwstr>&amp;"Calibri,Regular"&amp;11&amp;B&amp;K000000AEP CONFIDENTIAL</vt:lpwstr>
  </property>
  <property fmtid="{D5CDD505-2E9C-101B-9397-08002B2CF9AE}" pid="7" name="bjCentreFooterLabel">
    <vt:lpwstr>&amp;"Calibri,Regular"&amp;11&amp;B&amp;K000000AEP CONFIDENTIAL</vt:lpwstr>
  </property>
  <property fmtid="{D5CDD505-2E9C-101B-9397-08002B2CF9AE}" pid="8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9" name="bjDocumentLabelXML-0">
    <vt:lpwstr>ww.boldonjames.com/2008/01/sie/internal/label"&gt;&lt;element uid="1f6a98d5-4e6a-406f-8258-3f07b61a1b98" value="" /&gt;&lt;element uid="c64218ab-b8d1-40b6-a478-cb8be1e10ecc" value="" /&gt;&lt;/sisl&gt;</vt:lpwstr>
  </property>
  <property fmtid="{D5CDD505-2E9C-101B-9397-08002B2CF9AE}" pid="10" name="Visual Markings Removed">
    <vt:lpwstr>No</vt:lpwstr>
  </property>
  <property fmtid="{D5CDD505-2E9C-101B-9397-08002B2CF9AE}" pid="11" name="ContentTypeId">
    <vt:lpwstr>0x01010068D7645638A6BA4A903C04B5C9F7EDEE</vt:lpwstr>
  </property>
</Properties>
</file>