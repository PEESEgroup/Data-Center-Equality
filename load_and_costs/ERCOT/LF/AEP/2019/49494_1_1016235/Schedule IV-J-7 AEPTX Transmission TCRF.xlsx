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RegCaseMgmt\2019 AEPTX RATE CASE\SCHEDULES\For Filing\Combined\"/>
    </mc:Choice>
  </mc:AlternateContent>
  <bookViews>
    <workbookView xWindow="0" yWindow="0" windowWidth="28800" windowHeight="12000"/>
  </bookViews>
  <sheets>
    <sheet name="AEPTX ERCOT Matrix 2018" sheetId="1" r:id="rId1"/>
    <sheet name="Central TCRF" sheetId="2" r:id="rId2"/>
    <sheet name="North TCRF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0">'AEPTX ERCOT Matrix 2018'!$B$1:$M$24</definedName>
    <definedName name="_xlnm.Print_Area" localSheetId="1">'Central TCRF'!$B$1:$J$27</definedName>
    <definedName name="_xlnm.Print_Area" localSheetId="2">'North TCRF'!$B$1:$J$26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3" l="1"/>
  <c r="F15" i="3"/>
  <c r="F14" i="3"/>
  <c r="F13" i="3"/>
  <c r="F12" i="3"/>
  <c r="F11" i="3"/>
  <c r="F10" i="3"/>
  <c r="F9" i="3"/>
  <c r="F15" i="2" l="1"/>
  <c r="F14" i="2"/>
  <c r="F13" i="2"/>
  <c r="F12" i="2"/>
  <c r="F11" i="2"/>
  <c r="F16" i="2"/>
  <c r="F10" i="2"/>
  <c r="F9" i="2"/>
  <c r="F14" i="1" l="1"/>
  <c r="C19" i="1" l="1"/>
  <c r="C19" i="3" l="1"/>
  <c r="C19" i="2" l="1"/>
  <c r="D15" i="2" l="1"/>
  <c r="D14" i="2"/>
  <c r="D13" i="2"/>
  <c r="D12" i="2"/>
  <c r="D11" i="2"/>
  <c r="D10" i="2"/>
  <c r="D9" i="2"/>
  <c r="D15" i="3" l="1"/>
  <c r="D14" i="3"/>
  <c r="D13" i="3"/>
  <c r="D12" i="3"/>
  <c r="D11" i="3"/>
  <c r="D10" i="3"/>
  <c r="D9" i="3"/>
  <c r="D15" i="1"/>
  <c r="D14" i="1"/>
  <c r="D13" i="1"/>
  <c r="D12" i="1"/>
  <c r="D11" i="1"/>
  <c r="D10" i="1"/>
  <c r="D9" i="1"/>
  <c r="M15" i="1" l="1"/>
  <c r="L9" i="1" l="1"/>
  <c r="D19" i="3" l="1"/>
  <c r="D19" i="2"/>
  <c r="M14" i="1" l="1"/>
  <c r="M13" i="1"/>
  <c r="M12" i="1"/>
  <c r="M11" i="1"/>
  <c r="M10" i="1"/>
  <c r="M9" i="1"/>
  <c r="L15" i="1"/>
  <c r="L14" i="1"/>
  <c r="L13" i="1"/>
  <c r="L12" i="1"/>
  <c r="L11" i="1"/>
  <c r="L10" i="1"/>
  <c r="L16" i="1" s="1"/>
  <c r="M16" i="1" l="1"/>
  <c r="D19" i="1"/>
  <c r="C9" i="2" l="1"/>
  <c r="C10" i="2" s="1"/>
  <c r="C11" i="2" s="1"/>
  <c r="C9" i="3"/>
  <c r="E9" i="3" s="1"/>
  <c r="E10" i="2" l="1"/>
  <c r="E9" i="2"/>
  <c r="C10" i="3"/>
  <c r="C16" i="1"/>
  <c r="C12" i="1"/>
  <c r="C10" i="1"/>
  <c r="E10" i="1" s="1"/>
  <c r="C15" i="1"/>
  <c r="C11" i="1"/>
  <c r="E11" i="1" s="1"/>
  <c r="C14" i="1"/>
  <c r="C13" i="1"/>
  <c r="E11" i="2"/>
  <c r="C12" i="2"/>
  <c r="C9" i="1"/>
  <c r="E9" i="1" s="1"/>
  <c r="C11" i="3" l="1"/>
  <c r="E10" i="3"/>
  <c r="C13" i="2"/>
  <c r="E12" i="2"/>
  <c r="E12" i="1"/>
  <c r="E11" i="3" l="1"/>
  <c r="C12" i="3"/>
  <c r="E13" i="2"/>
  <c r="C14" i="2"/>
  <c r="E13" i="1"/>
  <c r="E12" i="3" l="1"/>
  <c r="C13" i="3"/>
  <c r="E14" i="2"/>
  <c r="C15" i="2"/>
  <c r="E14" i="1"/>
  <c r="E13" i="3" l="1"/>
  <c r="C14" i="3"/>
  <c r="C16" i="2"/>
  <c r="E15" i="2"/>
  <c r="E15" i="1"/>
  <c r="C15" i="3" l="1"/>
  <c r="E14" i="3"/>
  <c r="E17" i="2"/>
  <c r="E16" i="2"/>
  <c r="E17" i="3"/>
  <c r="E16" i="1"/>
  <c r="E19" i="1" s="1"/>
  <c r="C16" i="3" l="1"/>
  <c r="E16" i="3" s="1"/>
  <c r="E15" i="3"/>
  <c r="E19" i="2"/>
  <c r="E19" i="3" l="1"/>
  <c r="I15" i="3" l="1"/>
  <c r="H15" i="3" l="1"/>
  <c r="K15" i="1" l="1"/>
  <c r="I13" i="3" l="1"/>
  <c r="H13" i="3" l="1"/>
  <c r="I11" i="3"/>
  <c r="K13" i="1" l="1"/>
  <c r="H11" i="3"/>
  <c r="I14" i="3"/>
  <c r="H14" i="3" l="1"/>
  <c r="K11" i="1"/>
  <c r="K14" i="1" l="1"/>
  <c r="I12" i="3"/>
  <c r="H12" i="3" l="1"/>
  <c r="K12" i="1" l="1"/>
  <c r="I15" i="2" l="1"/>
  <c r="H15" i="2" l="1"/>
  <c r="J15" i="1"/>
  <c r="I13" i="2"/>
  <c r="I14" i="2"/>
  <c r="J14" i="1" l="1"/>
  <c r="H14" i="2"/>
  <c r="J13" i="1"/>
  <c r="H13" i="2"/>
  <c r="I11" i="2"/>
  <c r="I14" i="1" l="1"/>
  <c r="H14" i="1"/>
  <c r="H11" i="2"/>
  <c r="J11" i="1"/>
  <c r="I12" i="2" l="1"/>
  <c r="J12" i="1" l="1"/>
  <c r="H12" i="2"/>
  <c r="H16" i="3" l="1"/>
  <c r="I9" i="3"/>
  <c r="H9" i="3"/>
  <c r="H10" i="3"/>
  <c r="I10" i="3"/>
  <c r="I16" i="3" s="1"/>
  <c r="H16" i="2"/>
  <c r="I9" i="2"/>
  <c r="J9" i="1" s="1"/>
  <c r="H9" i="2"/>
  <c r="K10" i="1" l="1"/>
  <c r="K16" i="1" s="1"/>
  <c r="K9" i="1"/>
  <c r="H10" i="2"/>
  <c r="I10" i="2"/>
  <c r="J10" i="1" l="1"/>
  <c r="J16" i="1" s="1"/>
  <c r="I16" i="2"/>
  <c r="F12" i="1" l="1"/>
  <c r="F13" i="1"/>
  <c r="F15" i="1"/>
  <c r="F11" i="1"/>
  <c r="I13" i="1" l="1"/>
  <c r="H13" i="1"/>
  <c r="H11" i="1"/>
  <c r="I11" i="1"/>
  <c r="H15" i="1"/>
  <c r="I15" i="1"/>
  <c r="I12" i="1"/>
  <c r="H12" i="1"/>
  <c r="F9" i="1" l="1"/>
  <c r="F16" i="1"/>
  <c r="I9" i="1" l="1"/>
  <c r="H9" i="1"/>
  <c r="F10" i="1"/>
  <c r="I10" i="1" l="1"/>
  <c r="H10" i="1"/>
  <c r="H16" i="1" s="1"/>
  <c r="I16" i="1" l="1"/>
</calcChain>
</file>

<file path=xl/sharedStrings.xml><?xml version="1.0" encoding="utf-8"?>
<sst xmlns="http://schemas.openxmlformats.org/spreadsheetml/2006/main" count="113" uniqueCount="41">
  <si>
    <t>Public Utility Commission of Texas</t>
  </si>
  <si>
    <t>Docket No. 48928</t>
  </si>
  <si>
    <t>2019 Net Wholesale Trans. Matrix Charges for ERCOT</t>
  </si>
  <si>
    <t>TCOS</t>
  </si>
  <si>
    <t>TRANSMISSION CALCULATIONS</t>
  </si>
  <si>
    <t>CUSTOMER CLASS ALLOCATION AND PER UNIT CHARGE CALCULATOR</t>
  </si>
  <si>
    <t>Rate Class</t>
  </si>
  <si>
    <t>4CP Allocator</t>
  </si>
  <si>
    <t>Billing Determinant</t>
  </si>
  <si>
    <t>Type</t>
  </si>
  <si>
    <t>Per Unit Charge</t>
  </si>
  <si>
    <t>System-Wide</t>
  </si>
  <si>
    <t>Central</t>
  </si>
  <si>
    <t xml:space="preserve">North </t>
  </si>
  <si>
    <t>(KW, kWh)</t>
  </si>
  <si>
    <t>Rate</t>
  </si>
  <si>
    <t>Division</t>
  </si>
  <si>
    <t>Divison</t>
  </si>
  <si>
    <t>Residential</t>
  </si>
  <si>
    <t>kWh</t>
  </si>
  <si>
    <t>Secondary &lt;= 10 kW (combined with Lighting)</t>
  </si>
  <si>
    <t>4CP kW</t>
  </si>
  <si>
    <t>NCP kW</t>
  </si>
  <si>
    <t>Transmission</t>
  </si>
  <si>
    <t>Lighting</t>
  </si>
  <si>
    <t>Total</t>
  </si>
  <si>
    <t>Share of ERCOT TCOS Calculation Worksheet</t>
  </si>
  <si>
    <t>Secondary &gt; 10 kW 4CP</t>
  </si>
  <si>
    <t>Secondary &gt; 10 kW NCP</t>
  </si>
  <si>
    <t>Primary 4CP</t>
  </si>
  <si>
    <t>Primary NCP</t>
  </si>
  <si>
    <t>Present</t>
  </si>
  <si>
    <t>ERCOT TCOS</t>
  </si>
  <si>
    <t>Share of</t>
  </si>
  <si>
    <t>Central Division</t>
  </si>
  <si>
    <t>Share of ERCOT TCOS</t>
  </si>
  <si>
    <t>33309 Allocator</t>
  </si>
  <si>
    <t>North Division</t>
  </si>
  <si>
    <t>33310 Allocator</t>
  </si>
  <si>
    <t>AEP Texas System-Wide Rates</t>
  </si>
  <si>
    <t>Acct.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</si>
</sst>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&quot;$&quot;#,##0.000000_);\(&quot;$&quot;#,##0.000000\)"/>
    <numFmt numFmtId="166" formatCode="#,##0.000"/>
    <numFmt numFmtId="167" formatCode="_(* #,##0.000_);_(* \(#,##0.000\);_(* &quot;-&quot;??_);_(@_)"/>
    <numFmt numFmtId="168" formatCode="_(* #,##0_);_(* \(#,##0\);_(* &quot;-&quot;??_);_(@_)"/>
    <numFmt numFmtId="169" formatCode="&quot;$&quot;#,##0.000000"/>
    <numFmt numFmtId="170" formatCode="0.000000"/>
    <numFmt numFmtId="171" formatCode="_(&quot;$&quot;* #,##0_);_(&quot;$&quot;* \(#,##0\);_(&quot;$&quot;* &quot;-&quot;??_);_(@_)"/>
    <numFmt numFmtId="172" formatCode="#,##0.0"/>
    <numFmt numFmtId="173" formatCode="0.000"/>
    <numFmt numFmtId="174" formatCode="&quot;$&quot;#,##0.00000_);\(&quot;$&quot;#,##0.00000\)"/>
    <numFmt numFmtId="175" formatCode="0.0000000000000"/>
    <numFmt numFmtId="176" formatCode="#,##0.0000"/>
    <numFmt numFmtId="177" formatCode="0.000000%"/>
    <numFmt numFmtId="178" formatCode="_(&quot;$&quot;* #,##0.000000_);_(&quot;$&quot;* \(#,##0.000000\);_(&quot;$&quot;* &quot;-&quot;??_);_(@_)"/>
    <numFmt numFmtId="179" formatCode="0.0000%"/>
    <numFmt numFmtId="180" formatCode="&quot;$&quot;#,##0.000"/>
    <numFmt numFmtId="181" formatCode="_(&quot;$&quot;* #,##0.000_);_(&quot;$&quot;* \(#,##0.000\);_(&quot;$&quot;* &quot;-&quot;??_);_(@_)"/>
    <numFmt numFmtId="182" formatCode="&quot;$&quot;#,##0.0000000_);\(&quot;$&quot;#,##0.0000000\)"/>
    <numFmt numFmtId="183" formatCode="&quot;$&quot;#,##0.000000000_);\(&quot;$&quot;#,##0.000000000\)"/>
    <numFmt numFmtId="184" formatCode="&quot;$&quot;#,##0.00"/>
    <numFmt numFmtId="185" formatCode="_(&quot;$&quot;* #,##0.0000_);_(&quot;$&quot;* \(#,##0.0000\);_(&quot;$&quot;* &quot;-&quot;??_);_(@_)"/>
    <numFmt numFmtId="186" formatCode="&quot;$&quot;#,##0.0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i/>
      <sz val="8"/>
      <name val="Times New Roman"/>
      <family val="1"/>
    </font>
    <font>
      <i/>
      <sz val="8"/>
      <color indexed="10"/>
      <name val="Times New Roman"/>
      <family val="1"/>
    </font>
    <font>
      <b/>
      <sz val="8"/>
      <name val="Times New Roman"/>
      <family val="1"/>
    </font>
    <font>
      <sz val="11"/>
      <color rgb="FF00610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sz val="10"/>
      <color theme="4" tint="0.39997558519241921"/>
      <name val="Times New Roman"/>
      <family val="1"/>
    </font>
    <font>
      <sz val="8"/>
      <color indexed="12"/>
      <name val="Times New Roman"/>
      <family val="1"/>
    </font>
    <font>
      <sz val="9"/>
      <name val="Arial"/>
      <family val="2"/>
    </font>
    <font>
      <sz val="8"/>
      <color rgb="FFFF0000"/>
      <name val="Times New Roman"/>
      <family val="1"/>
    </font>
    <font>
      <b/>
      <sz val="9"/>
      <color indexed="10"/>
      <name val="Times New Roman"/>
      <family val="1"/>
    </font>
    <font>
      <b/>
      <sz val="8"/>
      <color indexed="10"/>
      <name val="Times New Roman"/>
      <family val="1"/>
    </font>
    <font>
      <b/>
      <sz val="9"/>
      <color rgb="FFFF0000"/>
      <name val="Times New Roman"/>
      <family val="1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8"/>
      <color rgb="FFFF0000"/>
      <name val="Times New Roman"/>
      <family val="1"/>
    </font>
    <font>
      <sz val="11"/>
      <color rgb="FF9C0006"/>
      <name val="Times New Roman"/>
      <family val="1"/>
    </font>
    <font>
      <sz val="9"/>
      <color rgb="FF0000FF"/>
      <name val="Times New Roman"/>
      <family val="1"/>
    </font>
    <font>
      <b/>
      <sz val="9"/>
      <color rgb="FF0000FF"/>
      <name val="Times New Roman"/>
      <family val="1"/>
    </font>
    <font>
      <sz val="8"/>
      <color rgb="FF0000FF"/>
      <name val="Times New Roman"/>
      <family val="1"/>
    </font>
    <font>
      <b/>
      <sz val="8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</cellStyleXfs>
  <cellXfs count="235">
    <xf numFmtId="0" fontId="0" fillId="0" borderId="0" xfId="0"/>
    <xf numFmtId="0" fontId="4" fillId="0" borderId="0" xfId="0" applyFont="1"/>
    <xf numFmtId="0" fontId="5" fillId="0" borderId="0" xfId="0" applyFont="1" applyFill="1" applyBorder="1" applyProtection="1"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6" fillId="0" borderId="0" xfId="0" applyFont="1"/>
    <xf numFmtId="0" fontId="5" fillId="0" borderId="0" xfId="0" quotePrefix="1" applyFont="1" applyFill="1" applyBorder="1" applyAlignment="1" applyProtection="1">
      <alignment horizontal="left"/>
      <protection locked="0"/>
    </xf>
    <xf numFmtId="0" fontId="6" fillId="0" borderId="0" xfId="0" applyFont="1" applyFill="1" applyBorder="1" applyProtection="1"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164" fontId="6" fillId="0" borderId="0" xfId="1" applyNumberFormat="1" applyFont="1" applyFill="1" applyBorder="1" applyAlignment="1" applyProtection="1">
      <alignment horizontal="center"/>
      <protection locked="0"/>
    </xf>
    <xf numFmtId="0" fontId="5" fillId="0" borderId="0" xfId="0" quotePrefix="1" applyFont="1" applyFill="1" applyBorder="1" applyAlignment="1" applyProtection="1">
      <alignment horizontal="center"/>
      <protection locked="0"/>
    </xf>
    <xf numFmtId="5" fontId="6" fillId="0" borderId="0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165" fontId="6" fillId="0" borderId="0" xfId="0" applyNumberFormat="1" applyFont="1" applyFill="1" applyBorder="1"/>
    <xf numFmtId="165" fontId="14" fillId="0" borderId="0" xfId="5" applyNumberFormat="1" applyFont="1" applyFill="1" applyBorder="1" applyAlignment="1" applyProtection="1">
      <alignment horizontal="right"/>
      <protection locked="0"/>
    </xf>
    <xf numFmtId="165" fontId="6" fillId="0" borderId="0" xfId="0" applyNumberFormat="1" applyFont="1" applyFill="1" applyBorder="1" applyAlignment="1" applyProtection="1">
      <alignment horizontal="center"/>
      <protection locked="0"/>
    </xf>
    <xf numFmtId="165" fontId="6" fillId="0" borderId="0" xfId="0" applyNumberFormat="1" applyFont="1" applyFill="1" applyBorder="1" applyAlignment="1" applyProtection="1">
      <alignment horizontal="right"/>
      <protection locked="0"/>
    </xf>
    <xf numFmtId="165" fontId="8" fillId="0" borderId="0" xfId="0" applyNumberFormat="1" applyFont="1" applyFill="1" applyBorder="1" applyAlignment="1" applyProtection="1">
      <alignment horizontal="center"/>
      <protection locked="0"/>
    </xf>
    <xf numFmtId="165" fontId="6" fillId="0" borderId="0" xfId="0" applyNumberFormat="1" applyFont="1" applyFill="1" applyBorder="1" applyAlignment="1" applyProtection="1">
      <protection locked="0"/>
    </xf>
    <xf numFmtId="165" fontId="16" fillId="0" borderId="0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Fill="1" applyBorder="1"/>
    <xf numFmtId="43" fontId="4" fillId="0" borderId="0" xfId="1" applyFont="1" applyFill="1" applyBorder="1"/>
    <xf numFmtId="7" fontId="10" fillId="0" borderId="0" xfId="0" quotePrefix="1" applyNumberFormat="1" applyFont="1" applyFill="1" applyBorder="1" applyAlignment="1" applyProtection="1">
      <alignment horizontal="center"/>
      <protection locked="0"/>
    </xf>
    <xf numFmtId="44" fontId="10" fillId="0" borderId="0" xfId="0" quotePrefix="1" applyNumberFormat="1" applyFont="1" applyFill="1" applyBorder="1" applyAlignment="1" applyProtection="1">
      <alignment horizontal="center"/>
      <protection locked="0"/>
    </xf>
    <xf numFmtId="0" fontId="10" fillId="0" borderId="0" xfId="0" quotePrefix="1" applyFont="1" applyFill="1" applyBorder="1" applyAlignment="1" applyProtection="1">
      <alignment horizontal="center"/>
      <protection locked="0"/>
    </xf>
    <xf numFmtId="0" fontId="10" fillId="0" borderId="0" xfId="0" quotePrefix="1" applyNumberFormat="1" applyFont="1" applyFill="1" applyBorder="1" applyAlignment="1" applyProtection="1">
      <alignment horizontal="center"/>
      <protection locked="0"/>
    </xf>
    <xf numFmtId="0" fontId="10" fillId="0" borderId="0" xfId="0" applyNumberFormat="1" applyFont="1" applyFill="1" applyBorder="1" applyAlignment="1" applyProtection="1">
      <alignment horizontal="center"/>
      <protection locked="0"/>
    </xf>
    <xf numFmtId="0" fontId="10" fillId="0" borderId="0" xfId="0" applyNumberFormat="1" applyFont="1" applyFill="1" applyBorder="1" applyAlignment="1" applyProtection="1">
      <alignment horizontal="left"/>
      <protection locked="0"/>
    </xf>
    <xf numFmtId="174" fontId="20" fillId="0" borderId="0" xfId="2" applyNumberFormat="1" applyFont="1" applyFill="1" applyBorder="1"/>
    <xf numFmtId="44" fontId="20" fillId="0" borderId="0" xfId="2" applyFont="1" applyFill="1" applyBorder="1"/>
    <xf numFmtId="10" fontId="4" fillId="0" borderId="0" xfId="6" applyNumberFormat="1" applyFont="1" applyFill="1" applyBorder="1"/>
    <xf numFmtId="176" fontId="4" fillId="0" borderId="0" xfId="0" applyNumberFormat="1" applyFont="1" applyFill="1" applyBorder="1"/>
    <xf numFmtId="0" fontId="22" fillId="0" borderId="0" xfId="0" applyFont="1"/>
    <xf numFmtId="0" fontId="23" fillId="0" borderId="0" xfId="0" applyFont="1" applyAlignment="1">
      <alignment horizontal="left"/>
    </xf>
    <xf numFmtId="0" fontId="24" fillId="0" borderId="0" xfId="0" applyFont="1"/>
    <xf numFmtId="0" fontId="24" fillId="4" borderId="6" xfId="0" applyFont="1" applyFill="1" applyBorder="1"/>
    <xf numFmtId="0" fontId="22" fillId="4" borderId="3" xfId="0" applyFont="1" applyFill="1" applyBorder="1" applyAlignment="1">
      <alignment horizontal="center"/>
    </xf>
    <xf numFmtId="0" fontId="24" fillId="4" borderId="7" xfId="0" applyFont="1" applyFill="1" applyBorder="1"/>
    <xf numFmtId="0" fontId="22" fillId="4" borderId="7" xfId="0" applyFont="1" applyFill="1" applyBorder="1" applyAlignment="1">
      <alignment horizontal="center"/>
    </xf>
    <xf numFmtId="0" fontId="22" fillId="4" borderId="8" xfId="0" applyFont="1" applyFill="1" applyBorder="1" applyAlignment="1">
      <alignment horizontal="center"/>
    </xf>
    <xf numFmtId="0" fontId="24" fillId="0" borderId="9" xfId="0" applyFont="1" applyFill="1" applyBorder="1"/>
    <xf numFmtId="0" fontId="24" fillId="0" borderId="10" xfId="0" applyFont="1" applyFill="1" applyBorder="1"/>
    <xf numFmtId="0" fontId="24" fillId="0" borderId="4" xfId="0" applyFont="1" applyFill="1" applyBorder="1"/>
    <xf numFmtId="0" fontId="24" fillId="0" borderId="5" xfId="0" applyFont="1" applyBorder="1"/>
    <xf numFmtId="0" fontId="24" fillId="0" borderId="11" xfId="0" applyFont="1" applyFill="1" applyBorder="1"/>
    <xf numFmtId="171" fontId="24" fillId="0" borderId="0" xfId="7" applyNumberFormat="1" applyFont="1" applyFill="1" applyBorder="1"/>
    <xf numFmtId="168" fontId="24" fillId="0" borderId="0" xfId="8" applyNumberFormat="1" applyFont="1" applyFill="1" applyBorder="1"/>
    <xf numFmtId="0" fontId="24" fillId="0" borderId="0" xfId="0" applyFont="1" applyFill="1" applyBorder="1"/>
    <xf numFmtId="178" fontId="24" fillId="0" borderId="12" xfId="7" applyNumberFormat="1" applyFont="1" applyFill="1" applyBorder="1"/>
    <xf numFmtId="169" fontId="24" fillId="0" borderId="5" xfId="0" applyNumberFormat="1" applyFont="1" applyBorder="1"/>
    <xf numFmtId="10" fontId="24" fillId="0" borderId="0" xfId="9" applyNumberFormat="1" applyFont="1" applyFill="1" applyBorder="1"/>
    <xf numFmtId="177" fontId="24" fillId="0" borderId="0" xfId="9" applyNumberFormat="1" applyFont="1" applyFill="1" applyBorder="1"/>
    <xf numFmtId="0" fontId="24" fillId="0" borderId="0" xfId="0" applyFont="1" applyFill="1"/>
    <xf numFmtId="10" fontId="24" fillId="0" borderId="0" xfId="0" applyNumberFormat="1" applyFont="1" applyFill="1" applyBorder="1"/>
    <xf numFmtId="0" fontId="24" fillId="0" borderId="12" xfId="0" applyFont="1" applyFill="1" applyBorder="1"/>
    <xf numFmtId="177" fontId="24" fillId="0" borderId="0" xfId="0" applyNumberFormat="1" applyFont="1" applyFill="1" applyBorder="1"/>
    <xf numFmtId="0" fontId="24" fillId="0" borderId="8" xfId="0" applyFont="1" applyBorder="1"/>
    <xf numFmtId="171" fontId="22" fillId="0" borderId="13" xfId="0" applyNumberFormat="1" applyFont="1" applyBorder="1"/>
    <xf numFmtId="10" fontId="24" fillId="0" borderId="13" xfId="0" applyNumberFormat="1" applyFont="1" applyBorder="1"/>
    <xf numFmtId="171" fontId="24" fillId="0" borderId="13" xfId="0" applyNumberFormat="1" applyFont="1" applyBorder="1"/>
    <xf numFmtId="0" fontId="24" fillId="0" borderId="13" xfId="0" applyFont="1" applyBorder="1"/>
    <xf numFmtId="0" fontId="24" fillId="0" borderId="14" xfId="0" applyFont="1" applyBorder="1"/>
    <xf numFmtId="177" fontId="24" fillId="0" borderId="13" xfId="0" applyNumberFormat="1" applyFont="1" applyBorder="1"/>
    <xf numFmtId="171" fontId="24" fillId="0" borderId="0" xfId="0" applyNumberFormat="1" applyFont="1"/>
    <xf numFmtId="0" fontId="7" fillId="0" borderId="0" xfId="10" applyFill="1"/>
    <xf numFmtId="0" fontId="5" fillId="0" borderId="0" xfId="10" applyFont="1" applyFill="1" applyBorder="1" applyAlignment="1" applyProtection="1">
      <alignment horizontal="left"/>
      <protection locked="0"/>
    </xf>
    <xf numFmtId="0" fontId="6" fillId="0" borderId="0" xfId="10" applyFont="1" applyFill="1" applyBorder="1" applyAlignment="1" applyProtection="1">
      <alignment horizontal="center"/>
      <protection locked="0"/>
    </xf>
    <xf numFmtId="178" fontId="6" fillId="0" borderId="0" xfId="7" applyNumberFormat="1" applyFont="1" applyFill="1" applyBorder="1" applyAlignment="1" applyProtection="1">
      <alignment horizontal="center"/>
      <protection locked="0"/>
    </xf>
    <xf numFmtId="5" fontId="6" fillId="0" borderId="0" xfId="10" applyNumberFormat="1" applyFont="1" applyFill="1" applyBorder="1" applyAlignment="1" applyProtection="1">
      <alignment horizontal="center"/>
      <protection locked="0"/>
    </xf>
    <xf numFmtId="7" fontId="7" fillId="0" borderId="0" xfId="10" applyNumberFormat="1" applyFill="1"/>
    <xf numFmtId="179" fontId="24" fillId="0" borderId="0" xfId="3" applyNumberFormat="1" applyFont="1" applyFill="1" applyBorder="1"/>
    <xf numFmtId="169" fontId="24" fillId="0" borderId="0" xfId="0" applyNumberFormat="1" applyFont="1" applyBorder="1"/>
    <xf numFmtId="177" fontId="24" fillId="0" borderId="5" xfId="9" applyNumberFormat="1" applyFont="1" applyFill="1" applyBorder="1"/>
    <xf numFmtId="177" fontId="24" fillId="0" borderId="5" xfId="0" applyNumberFormat="1" applyFont="1" applyFill="1" applyBorder="1"/>
    <xf numFmtId="177" fontId="24" fillId="0" borderId="15" xfId="0" applyNumberFormat="1" applyFont="1" applyBorder="1"/>
    <xf numFmtId="0" fontId="22" fillId="4" borderId="6" xfId="0" applyFont="1" applyFill="1" applyBorder="1" applyAlignment="1">
      <alignment horizontal="center"/>
    </xf>
    <xf numFmtId="0" fontId="24" fillId="0" borderId="6" xfId="0" applyFont="1" applyBorder="1"/>
    <xf numFmtId="169" fontId="24" fillId="0" borderId="3" xfId="0" applyNumberFormat="1" applyFont="1" applyBorder="1"/>
    <xf numFmtId="180" fontId="24" fillId="0" borderId="3" xfId="0" applyNumberFormat="1" applyFont="1" applyBorder="1"/>
    <xf numFmtId="0" fontId="24" fillId="0" borderId="3" xfId="0" applyFont="1" applyFill="1" applyBorder="1"/>
    <xf numFmtId="0" fontId="24" fillId="0" borderId="3" xfId="0" applyFont="1" applyBorder="1"/>
    <xf numFmtId="0" fontId="24" fillId="0" borderId="7" xfId="0" applyFont="1" applyBorder="1"/>
    <xf numFmtId="0" fontId="24" fillId="4" borderId="9" xfId="0" applyFont="1" applyFill="1" applyBorder="1"/>
    <xf numFmtId="0" fontId="22" fillId="4" borderId="11" xfId="0" applyFont="1" applyFill="1" applyBorder="1" applyAlignment="1">
      <alignment horizontal="center"/>
    </xf>
    <xf numFmtId="0" fontId="24" fillId="0" borderId="0" xfId="0" applyFont="1" applyBorder="1"/>
    <xf numFmtId="169" fontId="24" fillId="0" borderId="12" xfId="7" applyNumberFormat="1" applyFont="1" applyFill="1" applyBorder="1"/>
    <xf numFmtId="0" fontId="24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left"/>
    </xf>
    <xf numFmtId="0" fontId="22" fillId="0" borderId="0" xfId="0" applyFont="1" applyFill="1" applyBorder="1"/>
    <xf numFmtId="0" fontId="24" fillId="5" borderId="6" xfId="0" applyFont="1" applyFill="1" applyBorder="1"/>
    <xf numFmtId="0" fontId="22" fillId="5" borderId="3" xfId="0" applyFont="1" applyFill="1" applyBorder="1" applyAlignment="1">
      <alignment horizontal="center"/>
    </xf>
    <xf numFmtId="0" fontId="24" fillId="5" borderId="7" xfId="0" applyFont="1" applyFill="1" applyBorder="1"/>
    <xf numFmtId="0" fontId="22" fillId="5" borderId="7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169" fontId="24" fillId="0" borderId="0" xfId="0" applyNumberFormat="1" applyFont="1" applyFill="1" applyBorder="1"/>
    <xf numFmtId="9" fontId="24" fillId="0" borderId="0" xfId="3" applyFont="1" applyFill="1" applyBorder="1"/>
    <xf numFmtId="181" fontId="24" fillId="0" borderId="12" xfId="7" applyNumberFormat="1" applyFont="1" applyFill="1" applyBorder="1"/>
    <xf numFmtId="177" fontId="24" fillId="0" borderId="3" xfId="9" applyNumberFormat="1" applyFont="1" applyFill="1" applyBorder="1"/>
    <xf numFmtId="177" fontId="24" fillId="0" borderId="3" xfId="0" applyNumberFormat="1" applyFont="1" applyFill="1" applyBorder="1"/>
    <xf numFmtId="0" fontId="24" fillId="0" borderId="8" xfId="0" applyFont="1" applyFill="1" applyBorder="1"/>
    <xf numFmtId="171" fontId="22" fillId="0" borderId="13" xfId="0" applyNumberFormat="1" applyFont="1" applyFill="1" applyBorder="1"/>
    <xf numFmtId="10" fontId="24" fillId="0" borderId="13" xfId="0" applyNumberFormat="1" applyFont="1" applyFill="1" applyBorder="1"/>
    <xf numFmtId="171" fontId="24" fillId="0" borderId="13" xfId="0" applyNumberFormat="1" applyFont="1" applyFill="1" applyBorder="1"/>
    <xf numFmtId="0" fontId="24" fillId="0" borderId="13" xfId="0" applyFont="1" applyFill="1" applyBorder="1"/>
    <xf numFmtId="0" fontId="24" fillId="0" borderId="14" xfId="0" applyFont="1" applyFill="1" applyBorder="1"/>
    <xf numFmtId="177" fontId="24" fillId="0" borderId="7" xfId="0" applyNumberFormat="1" applyFont="1" applyFill="1" applyBorder="1"/>
    <xf numFmtId="171" fontId="24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7" fontId="7" fillId="0" borderId="0" xfId="10" applyNumberFormat="1" applyFont="1" applyFill="1" applyBorder="1"/>
    <xf numFmtId="0" fontId="7" fillId="0" borderId="0" xfId="10" applyFont="1" applyFill="1" applyBorder="1"/>
    <xf numFmtId="0" fontId="4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5" fillId="0" borderId="0" xfId="0" applyFont="1" applyFill="1" applyBorder="1" applyAlignment="1">
      <alignment horizontal="center"/>
    </xf>
    <xf numFmtId="164" fontId="6" fillId="0" borderId="0" xfId="8" applyNumberFormat="1" applyFont="1" applyFill="1" applyBorder="1" applyAlignment="1" applyProtection="1">
      <alignment horizontal="center"/>
      <protection locked="0"/>
    </xf>
    <xf numFmtId="7" fontId="6" fillId="0" borderId="0" xfId="0" applyNumberFormat="1" applyFont="1" applyFill="1" applyBorder="1"/>
    <xf numFmtId="0" fontId="25" fillId="0" borderId="0" xfId="0" applyFont="1" applyFill="1" applyBorder="1" applyAlignment="1" applyProtection="1">
      <alignment horizontal="center"/>
      <protection locked="0"/>
    </xf>
    <xf numFmtId="0" fontId="10" fillId="0" borderId="0" xfId="0" applyFont="1" applyFill="1" applyBorder="1" applyAlignment="1" applyProtection="1">
      <alignment horizontal="center"/>
      <protection locked="0"/>
    </xf>
    <xf numFmtId="0" fontId="10" fillId="0" borderId="0" xfId="0" applyFont="1" applyFill="1" applyBorder="1" applyAlignment="1" applyProtection="1">
      <alignment horizontal="center" wrapText="1"/>
      <protection locked="0"/>
    </xf>
    <xf numFmtId="0" fontId="10" fillId="0" borderId="0" xfId="0" applyFont="1" applyFill="1" applyBorder="1" applyAlignment="1" applyProtection="1">
      <alignment wrapText="1"/>
      <protection locked="0"/>
    </xf>
    <xf numFmtId="0" fontId="10" fillId="0" borderId="0" xfId="0" applyFont="1" applyFill="1" applyBorder="1" applyAlignment="1">
      <alignment horizontal="center"/>
    </xf>
    <xf numFmtId="0" fontId="11" fillId="0" borderId="0" xfId="4" applyFont="1" applyFill="1" applyBorder="1"/>
    <xf numFmtId="0" fontId="12" fillId="0" borderId="0" xfId="5" applyFont="1" applyFill="1" applyBorder="1" applyProtection="1">
      <protection locked="0"/>
    </xf>
    <xf numFmtId="0" fontId="13" fillId="0" borderId="0" xfId="0" applyFont="1" applyFill="1" applyBorder="1" applyAlignment="1" applyProtection="1">
      <alignment horizontal="center"/>
      <protection locked="0"/>
    </xf>
    <xf numFmtId="5" fontId="6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center"/>
    </xf>
    <xf numFmtId="182" fontId="6" fillId="0" borderId="0" xfId="0" applyNumberFormat="1" applyFont="1" applyFill="1" applyBorder="1"/>
    <xf numFmtId="172" fontId="6" fillId="0" borderId="0" xfId="0" applyNumberFormat="1" applyFont="1" applyFill="1" applyBorder="1" applyAlignment="1" applyProtection="1">
      <protection locked="0"/>
    </xf>
    <xf numFmtId="0" fontId="12" fillId="0" borderId="0" xfId="0" applyFont="1" applyFill="1" applyBorder="1" applyAlignment="1" applyProtection="1">
      <alignment horizontal="center"/>
      <protection locked="0"/>
    </xf>
    <xf numFmtId="167" fontId="6" fillId="0" borderId="0" xfId="8" applyNumberFormat="1" applyFont="1" applyFill="1" applyBorder="1"/>
    <xf numFmtId="43" fontId="4" fillId="0" borderId="0" xfId="8" applyFont="1" applyFill="1" applyBorder="1"/>
    <xf numFmtId="7" fontId="4" fillId="0" borderId="0" xfId="0" applyNumberFormat="1" applyFont="1" applyFill="1" applyBorder="1"/>
    <xf numFmtId="0" fontId="12" fillId="0" borderId="0" xfId="0" applyFont="1" applyFill="1" applyBorder="1" applyProtection="1">
      <protection locked="0"/>
    </xf>
    <xf numFmtId="0" fontId="13" fillId="0" borderId="0" xfId="5" applyFont="1" applyFill="1" applyBorder="1" applyAlignment="1" applyProtection="1">
      <alignment horizontal="center"/>
      <protection locked="0"/>
    </xf>
    <xf numFmtId="5" fontId="14" fillId="0" borderId="0" xfId="5" applyNumberFormat="1" applyFont="1" applyFill="1" applyBorder="1"/>
    <xf numFmtId="0" fontId="14" fillId="0" borderId="0" xfId="5" applyNumberFormat="1" applyFont="1" applyFill="1" applyBorder="1" applyAlignment="1">
      <alignment horizontal="center"/>
    </xf>
    <xf numFmtId="167" fontId="26" fillId="0" borderId="0" xfId="5" applyNumberFormat="1" applyFont="1" applyFill="1" applyBorder="1"/>
    <xf numFmtId="167" fontId="6" fillId="0" borderId="0" xfId="8" applyNumberFormat="1" applyFont="1" applyFill="1" applyBorder="1" applyAlignment="1">
      <alignment horizontal="center"/>
    </xf>
    <xf numFmtId="0" fontId="27" fillId="0" borderId="0" xfId="0" applyFont="1" applyFill="1" applyBorder="1" applyProtection="1"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182" fontId="6" fillId="0" borderId="0" xfId="0" applyNumberFormat="1" applyFont="1" applyFill="1" applyBorder="1" applyAlignment="1" applyProtection="1">
      <alignment horizontal="right"/>
      <protection locked="0"/>
    </xf>
    <xf numFmtId="0" fontId="6" fillId="0" borderId="0" xfId="0" applyFont="1" applyFill="1" applyBorder="1" applyAlignment="1">
      <alignment horizontal="center"/>
    </xf>
    <xf numFmtId="182" fontId="6" fillId="0" borderId="0" xfId="0" applyNumberFormat="1" applyFont="1" applyFill="1" applyBorder="1" applyAlignment="1" applyProtection="1">
      <alignment horizontal="center"/>
      <protection locked="0"/>
    </xf>
    <xf numFmtId="164" fontId="6" fillId="0" borderId="0" xfId="8" applyNumberFormat="1" applyFont="1" applyFill="1" applyBorder="1" applyAlignment="1">
      <alignment horizontal="center"/>
    </xf>
    <xf numFmtId="182" fontId="6" fillId="0" borderId="0" xfId="0" applyNumberFormat="1" applyFont="1" applyFill="1" applyBorder="1" applyAlignment="1" applyProtection="1">
      <protection locked="0"/>
    </xf>
    <xf numFmtId="165" fontId="29" fillId="0" borderId="0" xfId="0" applyNumberFormat="1" applyFont="1" applyFill="1" applyBorder="1" applyAlignment="1" applyProtection="1">
      <alignment horizontal="center"/>
      <protection locked="0"/>
    </xf>
    <xf numFmtId="0" fontId="14" fillId="0" borderId="0" xfId="5" applyFont="1" applyFill="1" applyBorder="1" applyAlignment="1" applyProtection="1">
      <alignment horizontal="center"/>
      <protection locked="0"/>
    </xf>
    <xf numFmtId="0" fontId="14" fillId="0" borderId="0" xfId="5" applyFont="1" applyFill="1" applyBorder="1" applyAlignment="1">
      <alignment horizontal="center"/>
    </xf>
    <xf numFmtId="0" fontId="6" fillId="0" borderId="0" xfId="0" applyFont="1" applyFill="1" applyBorder="1" applyAlignment="1" applyProtection="1">
      <alignment horizontal="center" wrapText="1"/>
      <protection locked="0"/>
    </xf>
    <xf numFmtId="5" fontId="6" fillId="0" borderId="0" xfId="5" applyNumberFormat="1" applyFont="1" applyFill="1" applyBorder="1"/>
    <xf numFmtId="183" fontId="6" fillId="0" borderId="0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Fill="1" applyBorder="1" applyAlignment="1" applyProtection="1">
      <alignment horizontal="center"/>
      <protection locked="0"/>
    </xf>
    <xf numFmtId="0" fontId="10" fillId="0" borderId="0" xfId="0" applyFont="1" applyFill="1" applyBorder="1" applyProtection="1">
      <protection locked="0"/>
    </xf>
    <xf numFmtId="171" fontId="10" fillId="0" borderId="0" xfId="7" applyNumberFormat="1" applyFont="1" applyFill="1" applyBorder="1" applyAlignment="1" applyProtection="1">
      <alignment horizontal="center"/>
      <protection locked="0"/>
    </xf>
    <xf numFmtId="3" fontId="10" fillId="0" borderId="0" xfId="0" applyNumberFormat="1" applyFont="1" applyFill="1" applyBorder="1" applyAlignment="1" applyProtection="1">
      <alignment horizontal="center"/>
      <protection locked="0"/>
    </xf>
    <xf numFmtId="165" fontId="10" fillId="0" borderId="0" xfId="0" applyNumberFormat="1" applyFont="1" applyFill="1" applyBorder="1" applyAlignment="1" applyProtection="1">
      <protection locked="0"/>
    </xf>
    <xf numFmtId="172" fontId="10" fillId="0" borderId="0" xfId="0" applyNumberFormat="1" applyFont="1" applyFill="1" applyBorder="1" applyAlignment="1" applyProtection="1">
      <protection locked="0"/>
    </xf>
    <xf numFmtId="166" fontId="18" fillId="0" borderId="0" xfId="0" applyNumberFormat="1" applyFont="1" applyFill="1" applyBorder="1"/>
    <xf numFmtId="0" fontId="10" fillId="0" borderId="0" xfId="0" quotePrefix="1" applyFont="1" applyFill="1" applyBorder="1" applyAlignment="1" applyProtection="1">
      <alignment horizontal="left"/>
      <protection locked="0"/>
    </xf>
    <xf numFmtId="165" fontId="21" fillId="0" borderId="0" xfId="7" applyNumberFormat="1" applyFont="1" applyFill="1" applyBorder="1"/>
    <xf numFmtId="44" fontId="30" fillId="0" borderId="0" xfId="7" applyFont="1" applyFill="1" applyBorder="1"/>
    <xf numFmtId="164" fontId="6" fillId="0" borderId="0" xfId="8" applyNumberFormat="1" applyFont="1" applyFill="1" applyBorder="1"/>
    <xf numFmtId="0" fontId="10" fillId="0" borderId="0" xfId="0" quotePrefix="1" applyFont="1" applyFill="1" applyBorder="1" applyAlignment="1" applyProtection="1">
      <protection locked="0"/>
    </xf>
    <xf numFmtId="0" fontId="13" fillId="0" borderId="0" xfId="0" quotePrefix="1" applyFont="1" applyFill="1" applyBorder="1" applyAlignment="1" applyProtection="1">
      <protection locked="0"/>
    </xf>
    <xf numFmtId="165" fontId="21" fillId="0" borderId="0" xfId="0" quotePrefix="1" applyNumberFormat="1" applyFont="1" applyFill="1" applyBorder="1" applyAlignment="1" applyProtection="1">
      <protection locked="0"/>
    </xf>
    <xf numFmtId="165" fontId="13" fillId="0" borderId="0" xfId="0" quotePrefix="1" applyNumberFormat="1" applyFont="1" applyFill="1" applyBorder="1" applyAlignment="1" applyProtection="1">
      <protection locked="0"/>
    </xf>
    <xf numFmtId="172" fontId="4" fillId="0" borderId="0" xfId="0" applyNumberFormat="1" applyFont="1" applyFill="1" applyBorder="1"/>
    <xf numFmtId="174" fontId="6" fillId="0" borderId="0" xfId="0" applyNumberFormat="1" applyFont="1" applyFill="1" applyBorder="1"/>
    <xf numFmtId="175" fontId="6" fillId="0" borderId="0" xfId="0" applyNumberFormat="1" applyFont="1" applyFill="1" applyBorder="1"/>
    <xf numFmtId="174" fontId="30" fillId="0" borderId="0" xfId="7" applyNumberFormat="1" applyFont="1" applyFill="1" applyBorder="1"/>
    <xf numFmtId="10" fontId="4" fillId="0" borderId="0" xfId="9" applyNumberFormat="1" applyFont="1" applyFill="1" applyBorder="1"/>
    <xf numFmtId="10" fontId="24" fillId="0" borderId="0" xfId="3" applyNumberFormat="1" applyFont="1" applyFill="1" applyBorder="1"/>
    <xf numFmtId="43" fontId="24" fillId="0" borderId="0" xfId="1" applyFont="1" applyFill="1" applyBorder="1"/>
    <xf numFmtId="43" fontId="24" fillId="0" borderId="0" xfId="0" applyNumberFormat="1" applyFont="1" applyFill="1" applyBorder="1"/>
    <xf numFmtId="44" fontId="24" fillId="0" borderId="0" xfId="7" applyNumberFormat="1" applyFont="1" applyFill="1" applyBorder="1"/>
    <xf numFmtId="184" fontId="24" fillId="0" borderId="0" xfId="0" applyNumberFormat="1" applyFont="1" applyFill="1" applyBorder="1"/>
    <xf numFmtId="171" fontId="22" fillId="0" borderId="0" xfId="0" applyNumberFormat="1" applyFont="1" applyFill="1" applyBorder="1"/>
    <xf numFmtId="43" fontId="22" fillId="0" borderId="0" xfId="0" applyNumberFormat="1" applyFont="1" applyFill="1" applyBorder="1"/>
    <xf numFmtId="185" fontId="6" fillId="0" borderId="0" xfId="10" applyNumberFormat="1" applyFont="1" applyFill="1" applyBorder="1" applyAlignment="1" applyProtection="1">
      <alignment horizontal="center"/>
      <protection locked="0"/>
    </xf>
    <xf numFmtId="43" fontId="6" fillId="0" borderId="0" xfId="1" applyFont="1" applyFill="1" applyBorder="1" applyAlignment="1" applyProtection="1">
      <alignment horizontal="center"/>
      <protection locked="0"/>
    </xf>
    <xf numFmtId="171" fontId="4" fillId="0" borderId="0" xfId="0" applyNumberFormat="1" applyFont="1" applyFill="1" applyBorder="1"/>
    <xf numFmtId="184" fontId="24" fillId="0" borderId="0" xfId="0" applyNumberFormat="1" applyFont="1"/>
    <xf numFmtId="44" fontId="6" fillId="0" borderId="0" xfId="10" applyNumberFormat="1" applyFont="1" applyFill="1" applyBorder="1" applyAlignment="1" applyProtection="1">
      <alignment horizontal="center"/>
      <protection locked="0"/>
    </xf>
    <xf numFmtId="9" fontId="24" fillId="0" borderId="0" xfId="3" applyFont="1"/>
    <xf numFmtId="169" fontId="4" fillId="0" borderId="0" xfId="0" applyNumberFormat="1" applyFont="1" applyFill="1" applyBorder="1"/>
    <xf numFmtId="0" fontId="4" fillId="0" borderId="0" xfId="0" applyFont="1" applyFill="1" applyBorder="1" applyAlignment="1">
      <alignment horizontal="center" wrapText="1"/>
    </xf>
    <xf numFmtId="10" fontId="4" fillId="0" borderId="0" xfId="3" applyNumberFormat="1" applyFont="1" applyFill="1" applyBorder="1"/>
    <xf numFmtId="171" fontId="4" fillId="0" borderId="0" xfId="0" applyNumberFormat="1" applyFont="1"/>
    <xf numFmtId="0" fontId="5" fillId="0" borderId="1" xfId="0" applyFont="1" applyFill="1" applyBorder="1" applyAlignment="1" applyProtection="1">
      <alignment horizontal="right"/>
      <protection locked="0"/>
    </xf>
    <xf numFmtId="171" fontId="24" fillId="0" borderId="2" xfId="7" applyNumberFormat="1" applyFont="1" applyFill="1" applyBorder="1"/>
    <xf numFmtId="0" fontId="5" fillId="0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180" fontId="24" fillId="0" borderId="3" xfId="0" applyNumberFormat="1" applyFont="1" applyFill="1" applyBorder="1"/>
    <xf numFmtId="169" fontId="22" fillId="0" borderId="0" xfId="0" applyNumberFormat="1" applyFont="1"/>
    <xf numFmtId="169" fontId="22" fillId="0" borderId="0" xfId="0" applyNumberFormat="1" applyFont="1" applyFill="1" applyBorder="1"/>
    <xf numFmtId="165" fontId="10" fillId="0" borderId="0" xfId="0" quotePrefix="1" applyNumberFormat="1" applyFont="1" applyFill="1" applyBorder="1" applyAlignment="1" applyProtection="1">
      <alignment horizontal="center"/>
      <protection locked="0"/>
    </xf>
    <xf numFmtId="180" fontId="24" fillId="0" borderId="12" xfId="7" applyNumberFormat="1" applyFont="1" applyFill="1" applyBorder="1"/>
    <xf numFmtId="180" fontId="22" fillId="0" borderId="0" xfId="0" applyNumberFormat="1" applyFont="1"/>
    <xf numFmtId="180" fontId="24" fillId="0" borderId="5" xfId="0" applyNumberFormat="1" applyFont="1" applyBorder="1"/>
    <xf numFmtId="180" fontId="24" fillId="0" borderId="0" xfId="0" applyNumberFormat="1" applyFont="1" applyBorder="1"/>
    <xf numFmtId="180" fontId="24" fillId="0" borderId="5" xfId="0" applyNumberFormat="1" applyFont="1" applyFill="1" applyBorder="1"/>
    <xf numFmtId="180" fontId="24" fillId="0" borderId="0" xfId="0" applyNumberFormat="1" applyFont="1" applyFill="1" applyBorder="1"/>
    <xf numFmtId="184" fontId="24" fillId="0" borderId="0" xfId="1" applyNumberFormat="1" applyFont="1"/>
    <xf numFmtId="169" fontId="24" fillId="0" borderId="0" xfId="1" applyNumberFormat="1" applyFont="1"/>
    <xf numFmtId="180" fontId="22" fillId="0" borderId="0" xfId="0" applyNumberFormat="1" applyFont="1" applyFill="1" applyBorder="1"/>
    <xf numFmtId="0" fontId="24" fillId="5" borderId="9" xfId="0" applyFont="1" applyFill="1" applyBorder="1"/>
    <xf numFmtId="0" fontId="22" fillId="5" borderId="11" xfId="0" applyFont="1" applyFill="1" applyBorder="1" applyAlignment="1">
      <alignment horizontal="center"/>
    </xf>
    <xf numFmtId="0" fontId="22" fillId="5" borderId="8" xfId="0" applyFont="1" applyFill="1" applyBorder="1" applyAlignment="1">
      <alignment horizontal="center"/>
    </xf>
    <xf numFmtId="169" fontId="22" fillId="0" borderId="11" xfId="0" applyNumberFormat="1" applyFont="1" applyFill="1" applyBorder="1"/>
    <xf numFmtId="180" fontId="22" fillId="0" borderId="11" xfId="0" applyNumberFormat="1" applyFont="1" applyFill="1" applyBorder="1"/>
    <xf numFmtId="177" fontId="24" fillId="0" borderId="11" xfId="9" applyNumberFormat="1" applyFont="1" applyFill="1" applyBorder="1"/>
    <xf numFmtId="177" fontId="24" fillId="0" borderId="11" xfId="0" applyNumberFormat="1" applyFont="1" applyFill="1" applyBorder="1"/>
    <xf numFmtId="177" fontId="24" fillId="0" borderId="8" xfId="0" applyNumberFormat="1" applyFont="1" applyFill="1" applyBorder="1"/>
    <xf numFmtId="0" fontId="24" fillId="0" borderId="6" xfId="0" applyFont="1" applyFill="1" applyBorder="1"/>
    <xf numFmtId="0" fontId="22" fillId="0" borderId="0" xfId="0" applyFont="1" applyFill="1" applyBorder="1" applyAlignment="1">
      <alignment horizontal="center"/>
    </xf>
    <xf numFmtId="178" fontId="24" fillId="0" borderId="0" xfId="7" applyNumberFormat="1" applyFont="1" applyFill="1" applyBorder="1"/>
    <xf numFmtId="181" fontId="24" fillId="0" borderId="0" xfId="7" applyNumberFormat="1" applyFont="1" applyFill="1" applyBorder="1"/>
    <xf numFmtId="167" fontId="6" fillId="0" borderId="0" xfId="1" applyNumberFormat="1" applyFont="1" applyFill="1" applyBorder="1"/>
    <xf numFmtId="168" fontId="4" fillId="0" borderId="0" xfId="1" applyNumberFormat="1" applyFont="1" applyFill="1" applyBorder="1"/>
    <xf numFmtId="167" fontId="6" fillId="0" borderId="0" xfId="1" applyNumberFormat="1" applyFont="1" applyFill="1" applyBorder="1" applyAlignment="1">
      <alignment horizontal="center"/>
    </xf>
    <xf numFmtId="43" fontId="5" fillId="0" borderId="0" xfId="1" applyFont="1" applyFill="1" applyBorder="1"/>
    <xf numFmtId="0" fontId="15" fillId="0" borderId="0" xfId="0" applyFont="1" applyFill="1" applyBorder="1"/>
    <xf numFmtId="168" fontId="15" fillId="0" borderId="0" xfId="1" applyNumberFormat="1" applyFont="1" applyFill="1" applyBorder="1"/>
    <xf numFmtId="170" fontId="4" fillId="0" borderId="0" xfId="0" applyNumberFormat="1" applyFont="1" applyFill="1" applyBorder="1"/>
    <xf numFmtId="164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left"/>
    </xf>
    <xf numFmtId="43" fontId="17" fillId="0" borderId="0" xfId="1" applyFont="1" applyFill="1" applyBorder="1"/>
    <xf numFmtId="173" fontId="4" fillId="0" borderId="0" xfId="0" applyNumberFormat="1" applyFont="1" applyFill="1" applyBorder="1"/>
    <xf numFmtId="169" fontId="6" fillId="0" borderId="0" xfId="0" applyNumberFormat="1" applyFont="1" applyFill="1" applyBorder="1"/>
    <xf numFmtId="166" fontId="6" fillId="0" borderId="0" xfId="0" applyNumberFormat="1" applyFont="1" applyFill="1" applyBorder="1" applyAlignment="1" applyProtection="1">
      <protection locked="0"/>
    </xf>
    <xf numFmtId="171" fontId="10" fillId="0" borderId="0" xfId="2" applyNumberFormat="1" applyFont="1" applyFill="1" applyBorder="1" applyAlignment="1" applyProtection="1">
      <alignment horizontal="center"/>
      <protection locked="0"/>
    </xf>
    <xf numFmtId="165" fontId="19" fillId="0" borderId="0" xfId="2" applyNumberFormat="1" applyFont="1" applyFill="1" applyBorder="1"/>
    <xf numFmtId="164" fontId="6" fillId="0" borderId="0" xfId="1" applyNumberFormat="1" applyFont="1" applyFill="1" applyBorder="1"/>
    <xf numFmtId="186" fontId="24" fillId="0" borderId="0" xfId="0" applyNumberFormat="1" applyFont="1" applyFill="1" applyBorder="1"/>
    <xf numFmtId="0" fontId="10" fillId="0" borderId="0" xfId="0" quotePrefix="1" applyNumberFormat="1" applyFont="1" applyFill="1" applyBorder="1" applyAlignment="1" applyProtection="1">
      <alignment horizontal="left" vertical="center" wrapText="1"/>
      <protection locked="0"/>
    </xf>
  </cellXfs>
  <cellStyles count="11">
    <cellStyle name="Bad" xfId="5" builtinId="27"/>
    <cellStyle name="Comma" xfId="1" builtinId="3"/>
    <cellStyle name="Comma 2 2" xfId="8"/>
    <cellStyle name="Currency" xfId="2" builtinId="4"/>
    <cellStyle name="Currency 2 2" xfId="7"/>
    <cellStyle name="Good" xfId="4" builtinId="26"/>
    <cellStyle name="Normal" xfId="0" builtinId="0"/>
    <cellStyle name="Normal_TCC 2006 FILING SCHEDULES TYE 6-30-2006_10-19-06" xfId="10"/>
    <cellStyle name="Percent" xfId="3" builtinId="5"/>
    <cellStyle name="Percent 2" xfId="6"/>
    <cellStyle name="Percent 2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Combined\Allofact\TEX%20Combined%20ALLOFACT%2012_20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Combined\Schedules\IV-J-7%20Proof%20of%20Revenue%20Statement%20AEPTX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AEP%20TX%20Rate%20Case%20Combined%20Sept%202017%20TYE%20Wholesale%20Upd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TCC\Allofact\TCC%20ALLOFACT%2012_201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TCC\Schedules\WP%20IV-J-7%20Proof%20of%20Revenue%20Statement%20Central%20Divis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Combined\AEP%20TX%20Proof%20of%20Revenu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TNC\Allofact\TNC%20ALLOFACT%2012_201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TNC\Schedules\WP%20IV-J-7%20Proof%20of%20Revenue%20Statement%20North%20Divi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RCOT 4 CP"/>
      <sheetName val="ERCOT 12 CP"/>
      <sheetName val="ERCOT 1 CP"/>
      <sheetName val="TNC 4 CP"/>
      <sheetName val="Input"/>
      <sheetName val="Data"/>
      <sheetName val="GEN"/>
    </sheetNames>
    <sheetDataSet>
      <sheetData sheetId="0">
        <row r="25">
          <cell r="J25">
            <v>0.47417219728720583</v>
          </cell>
        </row>
        <row r="26">
          <cell r="J26">
            <v>1.9536677051140212E-2</v>
          </cell>
        </row>
        <row r="27">
          <cell r="J27">
            <v>0.27766491331587723</v>
          </cell>
        </row>
        <row r="28">
          <cell r="J28">
            <v>3.0574787047327832E-2</v>
          </cell>
        </row>
        <row r="29">
          <cell r="J29">
            <v>7.7088631641886451E-3</v>
          </cell>
        </row>
        <row r="30">
          <cell r="J30">
            <v>9.6863323052284483E-2</v>
          </cell>
        </row>
        <row r="31">
          <cell r="J31">
            <v>9.3479239081975904E-2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ing Units"/>
      <sheetName val="Rate Summary"/>
      <sheetName val="Revenue Summary"/>
      <sheetName val="AEPTX RS"/>
      <sheetName val="AEPTX Sec LT 10"/>
      <sheetName val="AEPTX Sec GT 10"/>
      <sheetName val="AEPTX Primary "/>
      <sheetName val="AEPTX Trans"/>
      <sheetName val="AEPTX Lighting"/>
    </sheetNames>
    <sheetDataSet>
      <sheetData sheetId="0">
        <row r="9">
          <cell r="H9">
            <v>11997181582.389523</v>
          </cell>
        </row>
        <row r="11">
          <cell r="J11">
            <v>579303384.19882727</v>
          </cell>
        </row>
        <row r="13">
          <cell r="J13">
            <v>29307091.499536801</v>
          </cell>
        </row>
        <row r="14">
          <cell r="J14">
            <v>2191434.0324172671</v>
          </cell>
        </row>
        <row r="18">
          <cell r="J18">
            <v>6724400.4367353208</v>
          </cell>
        </row>
        <row r="21">
          <cell r="J21">
            <v>6571184.2405388178</v>
          </cell>
        </row>
        <row r="23">
          <cell r="J23">
            <v>262226045.43853968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 By Division"/>
      <sheetName val="Central Billing Units"/>
      <sheetName val="Proof of Revenue Central"/>
      <sheetName val="Proof of Revenue North"/>
      <sheetName val="North Billing Units"/>
      <sheetName val="Summary"/>
      <sheetName val="Sept 2017 TYE"/>
      <sheetName val="ERCOT Matrix Central"/>
      <sheetName val="ERCOT Matrix North"/>
      <sheetName val="ERCOT Matrix Combined"/>
      <sheetName val="RS"/>
      <sheetName val="Sec&lt;=10 kW"/>
      <sheetName val="Sec&gt;10 kW"/>
      <sheetName val="Primary"/>
      <sheetName val="Transmission"/>
      <sheetName val="MSL"/>
      <sheetName val="Non Roadway"/>
      <sheetName val="Central TC - NDC Rates"/>
      <sheetName val="Allocators"/>
      <sheetName val="Notes"/>
      <sheetName val="Central Lighting WP"/>
      <sheetName val="Sheet1"/>
      <sheetName val="North Lighting WP"/>
      <sheetName val="AEPTX Lighting"/>
    </sheetNames>
    <sheetDataSet>
      <sheetData sheetId="0">
        <row r="7">
          <cell r="C7">
            <v>5.1900000000000002E-3</v>
          </cell>
          <cell r="D7">
            <v>5.803E-3</v>
          </cell>
        </row>
        <row r="20">
          <cell r="C20">
            <v>2.5119999999999999E-3</v>
          </cell>
          <cell r="D20">
            <v>3.1480000000000002E-3</v>
          </cell>
        </row>
        <row r="35">
          <cell r="C35">
            <v>1.286</v>
          </cell>
          <cell r="D35">
            <v>1.2450000000000001</v>
          </cell>
        </row>
        <row r="36">
          <cell r="C36">
            <v>1.7929999999999999</v>
          </cell>
          <cell r="D36">
            <v>1.9530000000000001</v>
          </cell>
        </row>
        <row r="53">
          <cell r="C53">
            <v>1.6279999999999999</v>
          </cell>
          <cell r="D53">
            <v>1.1890000000000001</v>
          </cell>
        </row>
        <row r="54">
          <cell r="C54">
            <v>1.925</v>
          </cell>
          <cell r="D54">
            <v>1.9630000000000001</v>
          </cell>
        </row>
        <row r="69">
          <cell r="C69">
            <v>1.718</v>
          </cell>
          <cell r="D69">
            <v>1.3560000000000001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RCOT 4 CP"/>
      <sheetName val="ERCOT 12 CP"/>
      <sheetName val="ERCOT 1 CP"/>
      <sheetName val="TNC 4 CP"/>
      <sheetName val="Input"/>
      <sheetName val="Data"/>
      <sheetName val="GEN"/>
    </sheetNames>
    <sheetDataSet>
      <sheetData sheetId="0"/>
      <sheetData sheetId="1">
        <row r="20">
          <cell r="H20">
            <v>0.48329651792460415</v>
          </cell>
        </row>
        <row r="21">
          <cell r="H21">
            <v>1.794138335041362E-2</v>
          </cell>
        </row>
        <row r="22">
          <cell r="H22">
            <v>0.28077946460677561</v>
          </cell>
        </row>
        <row r="23">
          <cell r="H23">
            <v>2.4639531376948364E-2</v>
          </cell>
        </row>
        <row r="24">
          <cell r="H24">
            <v>6.043343935107086E-3</v>
          </cell>
        </row>
        <row r="25">
          <cell r="H25">
            <v>7.5534881894632436E-2</v>
          </cell>
        </row>
        <row r="26">
          <cell r="H26">
            <v>0.11176487691151868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ing Units"/>
      <sheetName val="Rate Summary"/>
      <sheetName val="Central RS"/>
      <sheetName val="Central Sec LT 10"/>
      <sheetName val="Central Sec 4CP"/>
      <sheetName val="Central Sec NCP"/>
      <sheetName val="Central Pri 4CP"/>
      <sheetName val="Central Pri NCP"/>
      <sheetName val="Central Trans"/>
      <sheetName val="Central Lighting"/>
    </sheetNames>
    <sheetDataSet>
      <sheetData sheetId="0">
        <row r="9">
          <cell r="D9">
            <v>725305</v>
          </cell>
          <cell r="J9">
            <v>10123921366.933681</v>
          </cell>
        </row>
        <row r="11">
          <cell r="J11">
            <v>437930616.34718335</v>
          </cell>
        </row>
        <row r="13">
          <cell r="J13">
            <v>23834663.973250702</v>
          </cell>
        </row>
        <row r="14">
          <cell r="J14">
            <v>1483657.1019502641</v>
          </cell>
        </row>
        <row r="18">
          <cell r="J18">
            <v>4355162.5998815829</v>
          </cell>
        </row>
        <row r="21">
          <cell r="J21">
            <v>6327149.8870359799</v>
          </cell>
        </row>
        <row r="23">
          <cell r="J23">
            <v>222504553.85898465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al"/>
      <sheetName val="North"/>
      <sheetName val="AEPTX"/>
      <sheetName val="Central RS"/>
      <sheetName val="Central TCRF"/>
      <sheetName val="North TCRF"/>
      <sheetName val="AEPTX TCRF"/>
      <sheetName val="MSL"/>
      <sheetName val="Non Roadway Lighting"/>
      <sheetName val="Rates By Division"/>
      <sheetName val="Bill Impact Central"/>
      <sheetName val="Bill Impact North"/>
      <sheetName val="Unadjusted North"/>
      <sheetName val="Unadjusted Central"/>
      <sheetName val="Bill Impact AEPTX "/>
      <sheetName val="North RS"/>
    </sheetNames>
    <sheetDataSet>
      <sheetData sheetId="0">
        <row r="9">
          <cell r="I9">
            <v>10123921366.933681</v>
          </cell>
        </row>
        <row r="17">
          <cell r="I17">
            <v>468222.38051948312</v>
          </cell>
        </row>
      </sheetData>
      <sheetData sheetId="1">
        <row r="9">
          <cell r="I9">
            <v>1873260215.4558413</v>
          </cell>
        </row>
        <row r="14">
          <cell r="I14">
            <v>707695.96421524801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E5">
            <v>27764675.399999999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RCOT 4 CP"/>
      <sheetName val="ERCOT 12 CP"/>
      <sheetName val="ERCOT 1 CP"/>
      <sheetName val="TNC 4 CP"/>
      <sheetName val="Input"/>
      <sheetName val="Data"/>
      <sheetName val="GEN"/>
    </sheetNames>
    <sheetDataSet>
      <sheetData sheetId="0"/>
      <sheetData sheetId="1">
        <row r="20">
          <cell r="H20">
            <v>0.43844936130781315</v>
          </cell>
        </row>
        <row r="21">
          <cell r="H21">
            <v>2.6045790243179889E-2</v>
          </cell>
        </row>
        <row r="22">
          <cell r="H22">
            <v>0.2644926224527962</v>
          </cell>
        </row>
        <row r="23">
          <cell r="H23">
            <v>5.5162765610544E-2</v>
          </cell>
        </row>
        <row r="24">
          <cell r="H24">
            <v>1.4253836249703474E-2</v>
          </cell>
        </row>
        <row r="25">
          <cell r="H25">
            <v>0.18196034375533085</v>
          </cell>
        </row>
        <row r="26">
          <cell r="H26">
            <v>1.9635280380632284E-2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ing Units"/>
      <sheetName val="Rate Summary"/>
      <sheetName val="North RS"/>
      <sheetName val="North Sec LT 10"/>
      <sheetName val="North Sec 4CP"/>
      <sheetName val="North Sec NCP"/>
      <sheetName val="North Pri 4CP"/>
      <sheetName val="North Pri NCP"/>
      <sheetName val="North Trans"/>
      <sheetName val="North Lighting"/>
    </sheetNames>
    <sheetDataSet>
      <sheetData sheetId="0">
        <row r="9">
          <cell r="J9">
            <v>1873260215.4558413</v>
          </cell>
        </row>
        <row r="11">
          <cell r="J11">
            <v>141372767.85164386</v>
          </cell>
        </row>
        <row r="13">
          <cell r="J13">
            <v>5472427.5262860982</v>
          </cell>
        </row>
        <row r="17">
          <cell r="J17">
            <v>338521.87116203929</v>
          </cell>
        </row>
        <row r="18">
          <cell r="J18">
            <v>2369237.8368537384</v>
          </cell>
        </row>
        <row r="21">
          <cell r="J21">
            <v>244034.35350283771</v>
          </cell>
        </row>
        <row r="23">
          <cell r="J23">
            <v>39721491.579555027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48"/>
  <sheetViews>
    <sheetView tabSelected="1" zoomScaleNormal="100" workbookViewId="0">
      <selection activeCell="F16" sqref="F16"/>
    </sheetView>
  </sheetViews>
  <sheetFormatPr defaultColWidth="9.1796875" defaultRowHeight="13" outlineLevelCol="1" x14ac:dyDescent="0.3"/>
  <cols>
    <col min="1" max="1" width="1.81640625" style="1" customWidth="1"/>
    <col min="2" max="2" width="39.453125" style="1" customWidth="1"/>
    <col min="3" max="3" width="18.1796875" style="1" customWidth="1"/>
    <col min="4" max="4" width="16.26953125" style="1" bestFit="1" customWidth="1"/>
    <col min="5" max="5" width="12.453125" style="1" bestFit="1" customWidth="1"/>
    <col min="6" max="6" width="15.453125" style="1" customWidth="1"/>
    <col min="7" max="7" width="13.7265625" style="1" customWidth="1"/>
    <col min="8" max="8" width="15.1796875" style="13" customWidth="1" outlineLevel="1"/>
    <col min="9" max="9" width="15.453125" style="4" customWidth="1"/>
    <col min="10" max="10" width="12.26953125" style="1" bestFit="1" customWidth="1"/>
    <col min="11" max="11" width="10.81640625" style="1" customWidth="1"/>
    <col min="12" max="12" width="10.7265625" style="1" customWidth="1"/>
    <col min="13" max="13" width="11.1796875" style="1" customWidth="1"/>
    <col min="14" max="14" width="13.26953125" style="1" customWidth="1"/>
    <col min="15" max="16" width="9.1796875" style="1"/>
    <col min="17" max="17" width="12.453125" style="1" customWidth="1"/>
    <col min="18" max="18" width="11.54296875" style="1" customWidth="1"/>
    <col min="19" max="16384" width="9.1796875" style="1"/>
  </cols>
  <sheetData>
    <row r="1" spans="2:15" s="33" customFormat="1" x14ac:dyDescent="0.3">
      <c r="B1" s="34" t="s">
        <v>4</v>
      </c>
    </row>
    <row r="2" spans="2:15" s="33" customFormat="1" x14ac:dyDescent="0.3">
      <c r="B2" s="34" t="s">
        <v>39</v>
      </c>
    </row>
    <row r="3" spans="2:15" s="35" customFormat="1" ht="10" x14ac:dyDescent="0.2"/>
    <row r="4" spans="2:15" s="35" customFormat="1" ht="11" thickBot="1" x14ac:dyDescent="0.3">
      <c r="B4" s="33" t="s">
        <v>5</v>
      </c>
    </row>
    <row r="5" spans="2:15" s="35" customFormat="1" ht="10.5" x14ac:dyDescent="0.25">
      <c r="B5" s="36"/>
      <c r="C5" s="36"/>
      <c r="D5" s="36"/>
      <c r="E5" s="36"/>
      <c r="F5" s="36"/>
      <c r="G5" s="36"/>
      <c r="H5" s="36"/>
      <c r="I5" s="36"/>
      <c r="J5" s="36"/>
      <c r="K5" s="83"/>
      <c r="L5" s="76" t="s">
        <v>31</v>
      </c>
      <c r="M5" s="76" t="s">
        <v>31</v>
      </c>
    </row>
    <row r="6" spans="2:15" s="35" customFormat="1" ht="10.5" x14ac:dyDescent="0.25">
      <c r="B6" s="37" t="s">
        <v>6</v>
      </c>
      <c r="C6" s="37" t="s">
        <v>33</v>
      </c>
      <c r="D6" s="37" t="s">
        <v>7</v>
      </c>
      <c r="E6" s="37" t="s">
        <v>3</v>
      </c>
      <c r="F6" s="37" t="s">
        <v>8</v>
      </c>
      <c r="G6" s="37" t="s">
        <v>9</v>
      </c>
      <c r="H6" s="37" t="s">
        <v>10</v>
      </c>
      <c r="I6" s="37" t="s">
        <v>11</v>
      </c>
      <c r="J6" s="37" t="s">
        <v>12</v>
      </c>
      <c r="K6" s="84" t="s">
        <v>13</v>
      </c>
      <c r="L6" s="37" t="s">
        <v>12</v>
      </c>
      <c r="M6" s="37" t="s">
        <v>13</v>
      </c>
    </row>
    <row r="7" spans="2:15" s="35" customFormat="1" ht="11" thickBot="1" x14ac:dyDescent="0.3">
      <c r="B7" s="38"/>
      <c r="C7" s="37" t="s">
        <v>32</v>
      </c>
      <c r="D7" s="38"/>
      <c r="E7" s="38"/>
      <c r="F7" s="38"/>
      <c r="G7" s="39" t="s">
        <v>14</v>
      </c>
      <c r="H7" s="38"/>
      <c r="I7" s="40" t="s">
        <v>15</v>
      </c>
      <c r="J7" s="40" t="s">
        <v>16</v>
      </c>
      <c r="K7" s="40" t="s">
        <v>17</v>
      </c>
      <c r="L7" s="39" t="s">
        <v>16</v>
      </c>
      <c r="M7" s="39" t="s">
        <v>17</v>
      </c>
    </row>
    <row r="8" spans="2:15" s="35" customFormat="1" ht="10" x14ac:dyDescent="0.2">
      <c r="B8" s="41"/>
      <c r="C8" s="42"/>
      <c r="D8" s="42"/>
      <c r="E8" s="42"/>
      <c r="F8" s="42"/>
      <c r="G8" s="42"/>
      <c r="H8" s="43"/>
      <c r="J8" s="44"/>
      <c r="K8" s="85"/>
      <c r="L8" s="81"/>
      <c r="M8" s="77"/>
      <c r="N8" s="203"/>
    </row>
    <row r="9" spans="2:15" s="35" customFormat="1" ht="10.5" x14ac:dyDescent="0.25">
      <c r="B9" s="45" t="s">
        <v>18</v>
      </c>
      <c r="C9" s="46">
        <f>C19</f>
        <v>327388729</v>
      </c>
      <c r="D9" s="56">
        <f>[1]Summary!$J$25</f>
        <v>0.47417219728720583</v>
      </c>
      <c r="E9" s="46">
        <f t="shared" ref="E9:E16" si="0">+D9*C9</f>
        <v>155238632.99699557</v>
      </c>
      <c r="F9" s="47">
        <f>'[2]Billing Units'!$H$9</f>
        <v>11997181582.389523</v>
      </c>
      <c r="G9" s="87" t="s">
        <v>19</v>
      </c>
      <c r="H9" s="86">
        <f t="shared" ref="H9:H10" si="1">ROUND(E9/F9,6)</f>
        <v>1.294E-2</v>
      </c>
      <c r="I9" s="193">
        <f t="shared" ref="I9:I10" si="2">ROUND(E9/F9,6)</f>
        <v>1.294E-2</v>
      </c>
      <c r="J9" s="50">
        <f>'Central TCRF'!I9</f>
        <v>1.2614999999999999E-2</v>
      </c>
      <c r="K9" s="72">
        <f>'North TCRF'!I9</f>
        <v>1.4777E-2</v>
      </c>
      <c r="L9" s="78">
        <f>'[3]Rates By Division'!$C$7+0.006325</f>
        <v>1.1515000000000001E-2</v>
      </c>
      <c r="M9" s="78">
        <f>'[3]Rates By Division'!$D$7+0.007189</f>
        <v>1.2992E-2</v>
      </c>
      <c r="N9" s="203"/>
      <c r="O9" s="183"/>
    </row>
    <row r="10" spans="2:15" s="35" customFormat="1" ht="10.5" x14ac:dyDescent="0.25">
      <c r="B10" s="45" t="s">
        <v>20</v>
      </c>
      <c r="C10" s="46">
        <f>C19</f>
        <v>327388729</v>
      </c>
      <c r="D10" s="56">
        <f>[1]Summary!$J$26</f>
        <v>1.9536677051140212E-2</v>
      </c>
      <c r="E10" s="46">
        <f t="shared" si="0"/>
        <v>6396087.8686562618</v>
      </c>
      <c r="F10" s="47">
        <f>'[2]Billing Units'!$J$11+'[2]Billing Units'!$J$23</f>
        <v>841529429.63736701</v>
      </c>
      <c r="G10" s="87" t="s">
        <v>19</v>
      </c>
      <c r="H10" s="86">
        <f t="shared" si="1"/>
        <v>7.6010000000000001E-3</v>
      </c>
      <c r="I10" s="193">
        <f t="shared" si="2"/>
        <v>7.6010000000000001E-3</v>
      </c>
      <c r="J10" s="50">
        <f>'Central TCRF'!I10</f>
        <v>7.1789999999999996E-3</v>
      </c>
      <c r="K10" s="72">
        <f>'North TCRF'!I10</f>
        <v>9.0799999999999995E-3</v>
      </c>
      <c r="L10" s="78">
        <f>'[3]Rates By Division'!$C$20+0.004087</f>
        <v>6.5990000000000007E-3</v>
      </c>
      <c r="M10" s="78">
        <f>'[3]Rates By Division'!$D$20+0.005287</f>
        <v>8.4349999999999998E-3</v>
      </c>
      <c r="N10" s="202"/>
      <c r="O10" s="183"/>
    </row>
    <row r="11" spans="2:15" s="35" customFormat="1" ht="10.5" x14ac:dyDescent="0.25">
      <c r="B11" s="45" t="s">
        <v>27</v>
      </c>
      <c r="C11" s="46">
        <f>C19</f>
        <v>327388729</v>
      </c>
      <c r="D11" s="56">
        <f>[1]Summary!$J$28</f>
        <v>3.0574787047327832E-2</v>
      </c>
      <c r="E11" s="46">
        <f t="shared" si="0"/>
        <v>10009840.670870321</v>
      </c>
      <c r="F11" s="47">
        <f>'[2]Billing Units'!$J$14</f>
        <v>2191434.0324172671</v>
      </c>
      <c r="G11" s="87" t="s">
        <v>21</v>
      </c>
      <c r="H11" s="196">
        <f>ROUND(E11/F11,3)</f>
        <v>4.5679999999999996</v>
      </c>
      <c r="I11" s="197">
        <f>ROUND(E11/F11,3)</f>
        <v>4.5679999999999996</v>
      </c>
      <c r="J11" s="198">
        <f>'Central TCRF'!I11</f>
        <v>4.3890000000000002</v>
      </c>
      <c r="K11" s="199">
        <f>'North TCRF'!I11</f>
        <v>4.9210000000000003</v>
      </c>
      <c r="L11" s="79">
        <f>'[3]Rates By Division'!$C$36+2.274853</f>
        <v>4.0678529999999995</v>
      </c>
      <c r="M11" s="79">
        <f>'[3]Rates By Division'!$D$36+3.032018</f>
        <v>4.9850180000000002</v>
      </c>
      <c r="N11" s="202"/>
      <c r="O11" s="183"/>
    </row>
    <row r="12" spans="2:15" s="35" customFormat="1" ht="10.5" x14ac:dyDescent="0.25">
      <c r="B12" s="45" t="s">
        <v>28</v>
      </c>
      <c r="C12" s="46">
        <f>C19</f>
        <v>327388729</v>
      </c>
      <c r="D12" s="56">
        <f>[1]Summary!$J$27</f>
        <v>0.27766491331587723</v>
      </c>
      <c r="E12" s="46">
        <f t="shared" si="0"/>
        <v>90904363.058380216</v>
      </c>
      <c r="F12" s="47">
        <f>'[2]Billing Units'!$J$13</f>
        <v>29307091.499536801</v>
      </c>
      <c r="G12" s="87" t="s">
        <v>22</v>
      </c>
      <c r="H12" s="196">
        <f>ROUND(E12/F12,3)</f>
        <v>3.1019999999999999</v>
      </c>
      <c r="I12" s="197">
        <f>ROUND(E12/F12,3)</f>
        <v>3.1019999999999999</v>
      </c>
      <c r="J12" s="198">
        <f>'Central TCRF'!I12</f>
        <v>3.113</v>
      </c>
      <c r="K12" s="199">
        <f>'North TCRF'!I12</f>
        <v>3.0510000000000002</v>
      </c>
      <c r="L12" s="79">
        <f>'[3]Rates By Division'!$C$35+2.01959</f>
        <v>3.30559</v>
      </c>
      <c r="M12" s="79">
        <f>'[3]Rates By Division'!$D$35+1.964856</f>
        <v>3.2098560000000003</v>
      </c>
      <c r="N12" s="202"/>
      <c r="O12" s="183"/>
    </row>
    <row r="13" spans="2:15" s="35" customFormat="1" ht="10.5" x14ac:dyDescent="0.25">
      <c r="B13" s="45" t="s">
        <v>29</v>
      </c>
      <c r="C13" s="46">
        <f>C19</f>
        <v>327388729</v>
      </c>
      <c r="D13" s="56">
        <f>[1]Summary!$J$30</f>
        <v>9.6863323052284483E-2</v>
      </c>
      <c r="E13" s="46">
        <f t="shared" si="0"/>
        <v>31711960.220803816</v>
      </c>
      <c r="F13" s="47">
        <f>'[2]Billing Units'!$J$18</f>
        <v>6724400.4367353208</v>
      </c>
      <c r="G13" s="87" t="s">
        <v>21</v>
      </c>
      <c r="H13" s="196">
        <f>ROUND(E13/F13,3)</f>
        <v>4.7160000000000002</v>
      </c>
      <c r="I13" s="197">
        <f>ROUND(E13/F13,3)</f>
        <v>4.7160000000000002</v>
      </c>
      <c r="J13" s="200">
        <f>'Central TCRF'!I13</f>
        <v>4.5830000000000002</v>
      </c>
      <c r="K13" s="201">
        <f>'North TCRF'!I13</f>
        <v>4.8490000000000002</v>
      </c>
      <c r="L13" s="192">
        <f>'[3]Rates By Division'!$C$54+3.863659</f>
        <v>5.788659</v>
      </c>
      <c r="M13" s="192">
        <f>'[3]Rates By Division'!$D$54+1.949929</f>
        <v>3.9129290000000001</v>
      </c>
      <c r="N13" s="202"/>
      <c r="O13" s="183"/>
    </row>
    <row r="14" spans="2:15" s="35" customFormat="1" ht="10.5" x14ac:dyDescent="0.25">
      <c r="B14" s="45" t="s">
        <v>30</v>
      </c>
      <c r="C14" s="46">
        <f>C19</f>
        <v>327388729</v>
      </c>
      <c r="D14" s="56">
        <f>[1]Summary!$J$29</f>
        <v>7.7088631641886451E-3</v>
      </c>
      <c r="E14" s="46">
        <f t="shared" si="0"/>
        <v>2523794.913358639</v>
      </c>
      <c r="F14" s="47">
        <f>'Central TCRF'!F14+'North TCRF'!F14</f>
        <v>806744.25168152247</v>
      </c>
      <c r="G14" s="87" t="s">
        <v>22</v>
      </c>
      <c r="H14" s="196">
        <f>ROUND(E14/F14,3)</f>
        <v>3.1280000000000001</v>
      </c>
      <c r="I14" s="197">
        <f>ROUND(E14/F14,3)</f>
        <v>3.1280000000000001</v>
      </c>
      <c r="J14" s="200">
        <f>'Central TCRF'!I14</f>
        <v>3.411</v>
      </c>
      <c r="K14" s="201">
        <f>'North TCRF'!I14</f>
        <v>2.6579999999999999</v>
      </c>
      <c r="L14" s="192">
        <f>'[3]Rates By Division'!$C$53+3.573573</f>
        <v>5.2015729999999998</v>
      </c>
      <c r="M14" s="192">
        <f>'[3]Rates By Division'!$D$53+0.593211</f>
        <v>1.7822110000000002</v>
      </c>
      <c r="N14" s="202"/>
      <c r="O14" s="183"/>
    </row>
    <row r="15" spans="2:15" s="35" customFormat="1" ht="10.5" x14ac:dyDescent="0.25">
      <c r="B15" s="45" t="s">
        <v>23</v>
      </c>
      <c r="C15" s="46">
        <f>C19</f>
        <v>327388729</v>
      </c>
      <c r="D15" s="56">
        <f>[1]Summary!$J$31</f>
        <v>9.3479239081975904E-2</v>
      </c>
      <c r="E15" s="46">
        <f t="shared" si="0"/>
        <v>30604049.270935219</v>
      </c>
      <c r="F15" s="47">
        <f>'[2]Billing Units'!$J$21</f>
        <v>6571184.2405388178</v>
      </c>
      <c r="G15" s="87" t="s">
        <v>21</v>
      </c>
      <c r="H15" s="196">
        <f>ROUND(E15/F15,3)</f>
        <v>4.657</v>
      </c>
      <c r="I15" s="197">
        <f>ROUND(E15/F15,3)</f>
        <v>4.657</v>
      </c>
      <c r="J15" s="198">
        <f>'Central TCRF'!I15</f>
        <v>4.6680000000000001</v>
      </c>
      <c r="K15" s="199">
        <f>'North TCRF'!I15</f>
        <v>5.08</v>
      </c>
      <c r="L15" s="79">
        <f>'[3]Rates By Division'!$C$69+2.440815</f>
        <v>4.1588150000000006</v>
      </c>
      <c r="M15" s="79">
        <f>'[3]Rates By Division'!$D$69+0.924893</f>
        <v>2.2808929999999998</v>
      </c>
      <c r="N15" s="203"/>
      <c r="O15" s="183"/>
    </row>
    <row r="16" spans="2:15" s="35" customFormat="1" ht="10.5" x14ac:dyDescent="0.25">
      <c r="B16" s="45" t="s">
        <v>24</v>
      </c>
      <c r="C16" s="46">
        <f>C19</f>
        <v>327388729</v>
      </c>
      <c r="D16" s="71">
        <v>0</v>
      </c>
      <c r="E16" s="46">
        <f t="shared" si="0"/>
        <v>0</v>
      </c>
      <c r="F16" s="47">
        <f>'[2]Billing Units'!$J$23</f>
        <v>262226045.43853968</v>
      </c>
      <c r="G16" s="87" t="s">
        <v>19</v>
      </c>
      <c r="H16" s="86">
        <f t="shared" ref="H16:M16" si="3">H10</f>
        <v>7.6010000000000001E-3</v>
      </c>
      <c r="I16" s="193">
        <f t="shared" si="3"/>
        <v>7.6010000000000001E-3</v>
      </c>
      <c r="J16" s="50">
        <f>J10</f>
        <v>7.1789999999999996E-3</v>
      </c>
      <c r="K16" s="72">
        <f>K10</f>
        <v>9.0799999999999995E-3</v>
      </c>
      <c r="L16" s="78">
        <f t="shared" si="3"/>
        <v>6.5990000000000007E-3</v>
      </c>
      <c r="M16" s="78">
        <f t="shared" si="3"/>
        <v>8.4349999999999998E-3</v>
      </c>
      <c r="N16" s="181"/>
    </row>
    <row r="17" spans="2:15" s="53" customFormat="1" ht="10" x14ac:dyDescent="0.2">
      <c r="B17" s="45"/>
      <c r="C17" s="46"/>
      <c r="D17" s="51"/>
      <c r="E17" s="46"/>
      <c r="F17" s="47"/>
      <c r="G17" s="47"/>
      <c r="H17" s="49"/>
      <c r="I17" s="52"/>
      <c r="J17" s="73"/>
      <c r="K17" s="48"/>
      <c r="L17" s="80"/>
      <c r="M17" s="80"/>
    </row>
    <row r="18" spans="2:15" s="35" customFormat="1" ht="10" x14ac:dyDescent="0.2">
      <c r="B18" s="45"/>
      <c r="C18" s="48"/>
      <c r="D18" s="54"/>
      <c r="E18" s="48"/>
      <c r="F18" s="48"/>
      <c r="G18" s="48"/>
      <c r="H18" s="55"/>
      <c r="I18" s="56"/>
      <c r="J18" s="74"/>
      <c r="K18" s="85"/>
      <c r="L18" s="81"/>
      <c r="M18" s="81"/>
    </row>
    <row r="19" spans="2:15" s="35" customFormat="1" ht="11" thickBot="1" x14ac:dyDescent="0.3">
      <c r="B19" s="57" t="s">
        <v>25</v>
      </c>
      <c r="C19" s="58">
        <f>C24</f>
        <v>327388729</v>
      </c>
      <c r="D19" s="59">
        <f>SUM(D9:D18)</f>
        <v>1.0000000000000002</v>
      </c>
      <c r="E19" s="60">
        <f>SUM(E9:E17)</f>
        <v>327388729.00000006</v>
      </c>
      <c r="F19" s="61"/>
      <c r="G19" s="61"/>
      <c r="H19" s="62"/>
      <c r="I19" s="63"/>
      <c r="J19" s="75"/>
      <c r="K19" s="61"/>
      <c r="L19" s="82"/>
      <c r="M19" s="82"/>
    </row>
    <row r="20" spans="2:15" s="35" customFormat="1" ht="10" x14ac:dyDescent="0.2">
      <c r="E20" s="64"/>
    </row>
    <row r="21" spans="2:15" s="35" customFormat="1" ht="10" x14ac:dyDescent="0.2">
      <c r="E21" s="46"/>
      <c r="N21" s="183"/>
      <c r="O21" s="183"/>
    </row>
    <row r="22" spans="2:15" s="33" customFormat="1" ht="10.5" x14ac:dyDescent="0.25">
      <c r="N22" s="183"/>
      <c r="O22" s="183"/>
    </row>
    <row r="23" spans="2:15" s="65" customFormat="1" x14ac:dyDescent="0.3">
      <c r="B23" s="66" t="s">
        <v>26</v>
      </c>
      <c r="C23" s="46"/>
      <c r="D23" s="1"/>
      <c r="E23" s="67"/>
      <c r="F23" s="68"/>
      <c r="G23" s="69"/>
      <c r="H23" s="70"/>
      <c r="N23" s="183"/>
      <c r="O23" s="183"/>
    </row>
    <row r="24" spans="2:15" x14ac:dyDescent="0.3">
      <c r="B24" s="191" t="s">
        <v>40</v>
      </c>
      <c r="C24" s="189">
        <v>327388729</v>
      </c>
      <c r="N24" s="183"/>
      <c r="O24" s="183"/>
    </row>
    <row r="25" spans="2:15" x14ac:dyDescent="0.3">
      <c r="C25" s="187"/>
      <c r="N25" s="183"/>
      <c r="O25" s="183"/>
    </row>
    <row r="26" spans="2:15" s="21" customFormat="1" x14ac:dyDescent="0.3">
      <c r="B26" s="2"/>
      <c r="G26" s="113"/>
      <c r="H26" s="3"/>
      <c r="I26" s="112"/>
      <c r="N26" s="96"/>
      <c r="O26" s="96"/>
    </row>
    <row r="27" spans="2:15" s="21" customFormat="1" x14ac:dyDescent="0.3">
      <c r="B27" s="5"/>
      <c r="C27" s="6"/>
      <c r="D27" s="7"/>
      <c r="E27" s="7"/>
      <c r="F27" s="8"/>
      <c r="G27" s="7"/>
      <c r="H27" s="9"/>
      <c r="I27" s="115"/>
      <c r="N27" s="96"/>
      <c r="O27" s="96"/>
    </row>
    <row r="28" spans="2:15" s="21" customFormat="1" x14ac:dyDescent="0.3">
      <c r="B28" s="108"/>
      <c r="C28" s="6"/>
      <c r="D28" s="7"/>
      <c r="E28" s="7"/>
      <c r="F28" s="10"/>
      <c r="G28" s="7"/>
      <c r="H28" s="113"/>
      <c r="I28" s="115"/>
      <c r="N28" s="96"/>
      <c r="O28" s="96"/>
    </row>
    <row r="29" spans="2:15" s="21" customFormat="1" x14ac:dyDescent="0.3">
      <c r="B29" s="2"/>
      <c r="C29" s="6"/>
      <c r="D29" s="11"/>
      <c r="E29" s="11"/>
      <c r="F29" s="12"/>
      <c r="G29" s="12"/>
      <c r="H29" s="3"/>
      <c r="I29" s="115"/>
    </row>
    <row r="30" spans="2:15" s="21" customFormat="1" x14ac:dyDescent="0.3">
      <c r="B30" s="112"/>
      <c r="C30" s="6"/>
      <c r="D30" s="112"/>
      <c r="E30" s="112"/>
      <c r="F30" s="112"/>
      <c r="G30" s="7"/>
      <c r="H30" s="111"/>
      <c r="I30" s="112"/>
    </row>
    <row r="31" spans="2:15" s="21" customFormat="1" x14ac:dyDescent="0.3">
      <c r="B31" s="6"/>
      <c r="C31" s="6"/>
      <c r="D31" s="7"/>
      <c r="E31" s="117"/>
      <c r="F31" s="118"/>
      <c r="G31" s="118"/>
      <c r="H31" s="7"/>
      <c r="I31" s="112"/>
    </row>
    <row r="32" spans="2:15" s="21" customFormat="1" ht="12.75" customHeight="1" x14ac:dyDescent="0.3">
      <c r="B32" s="119"/>
      <c r="C32" s="6"/>
      <c r="D32" s="117"/>
      <c r="E32" s="117"/>
      <c r="F32" s="118"/>
      <c r="G32" s="118"/>
      <c r="H32" s="118"/>
      <c r="I32" s="120"/>
    </row>
    <row r="33" spans="1:14" s="21" customFormat="1" ht="14" x14ac:dyDescent="0.3">
      <c r="A33" s="121"/>
      <c r="B33" s="132"/>
      <c r="C33" s="123"/>
      <c r="D33" s="124"/>
      <c r="E33" s="125"/>
      <c r="F33" s="14"/>
      <c r="G33" s="229"/>
      <c r="H33" s="128"/>
      <c r="I33" s="217"/>
      <c r="J33" s="22"/>
      <c r="K33" s="22"/>
      <c r="L33" s="131"/>
      <c r="N33" s="218"/>
    </row>
    <row r="34" spans="1:14" s="21" customFormat="1" x14ac:dyDescent="0.3">
      <c r="B34" s="132"/>
      <c r="C34" s="123"/>
      <c r="D34" s="124"/>
      <c r="E34" s="125"/>
      <c r="F34" s="14"/>
      <c r="G34" s="229"/>
      <c r="H34" s="128"/>
      <c r="I34" s="217"/>
      <c r="J34" s="22"/>
      <c r="K34" s="22"/>
      <c r="L34" s="131"/>
      <c r="N34" s="218"/>
    </row>
    <row r="35" spans="1:14" s="21" customFormat="1" x14ac:dyDescent="0.3">
      <c r="B35" s="132"/>
      <c r="C35" s="123"/>
      <c r="D35" s="124"/>
      <c r="E35" s="125"/>
      <c r="F35" s="14"/>
      <c r="G35" s="229"/>
      <c r="H35" s="128"/>
      <c r="I35" s="217"/>
      <c r="J35" s="22"/>
      <c r="K35" s="22"/>
      <c r="L35" s="131"/>
    </row>
    <row r="36" spans="1:14" s="21" customFormat="1" x14ac:dyDescent="0.3">
      <c r="B36" s="132"/>
      <c r="C36" s="123"/>
      <c r="D36" s="124"/>
      <c r="E36" s="125"/>
      <c r="F36" s="14"/>
      <c r="G36" s="229"/>
      <c r="H36" s="128"/>
      <c r="I36" s="217"/>
      <c r="J36" s="22"/>
      <c r="K36" s="22"/>
      <c r="L36" s="131"/>
    </row>
    <row r="37" spans="1:14" s="21" customFormat="1" ht="14" x14ac:dyDescent="0.3">
      <c r="B37" s="122"/>
      <c r="C37" s="133"/>
      <c r="D37" s="134"/>
      <c r="E37" s="135"/>
      <c r="F37" s="15"/>
      <c r="G37" s="229"/>
      <c r="H37" s="128"/>
      <c r="I37" s="7"/>
      <c r="J37" s="22"/>
      <c r="K37" s="22"/>
      <c r="L37" s="131"/>
    </row>
    <row r="38" spans="1:14" s="21" customFormat="1" x14ac:dyDescent="0.3">
      <c r="B38" s="132"/>
      <c r="C38" s="123"/>
      <c r="D38" s="124"/>
      <c r="E38" s="125"/>
      <c r="F38" s="16"/>
      <c r="G38" s="229"/>
      <c r="H38" s="128"/>
      <c r="I38" s="217"/>
      <c r="J38" s="22"/>
      <c r="K38" s="22"/>
      <c r="L38" s="131"/>
    </row>
    <row r="39" spans="1:14" s="21" customFormat="1" x14ac:dyDescent="0.3">
      <c r="B39" s="132"/>
      <c r="C39" s="123"/>
      <c r="D39" s="124"/>
      <c r="E39" s="125"/>
      <c r="F39" s="16"/>
      <c r="G39" s="229"/>
      <c r="H39" s="128"/>
      <c r="I39" s="217"/>
      <c r="J39" s="22"/>
      <c r="K39" s="22"/>
      <c r="L39" s="131"/>
    </row>
    <row r="40" spans="1:14" s="21" customFormat="1" x14ac:dyDescent="0.3">
      <c r="B40" s="132"/>
      <c r="C40" s="123"/>
      <c r="D40" s="124"/>
      <c r="E40" s="125"/>
      <c r="F40" s="16"/>
      <c r="G40" s="229"/>
      <c r="H40" s="128"/>
      <c r="I40" s="219"/>
      <c r="J40" s="22"/>
      <c r="K40" s="22"/>
      <c r="L40" s="131"/>
    </row>
    <row r="41" spans="1:14" s="21" customFormat="1" x14ac:dyDescent="0.3">
      <c r="B41" s="132"/>
      <c r="C41" s="123"/>
      <c r="D41" s="124"/>
      <c r="E41" s="125"/>
      <c r="F41" s="16"/>
      <c r="G41" s="229"/>
      <c r="H41" s="128"/>
      <c r="I41" s="217"/>
      <c r="J41" s="22"/>
      <c r="K41" s="22"/>
      <c r="L41" s="131"/>
    </row>
    <row r="42" spans="1:14" s="21" customFormat="1" x14ac:dyDescent="0.3">
      <c r="B42" s="132"/>
      <c r="C42" s="123"/>
      <c r="D42" s="124"/>
      <c r="E42" s="125"/>
      <c r="F42" s="16"/>
      <c r="G42" s="229"/>
      <c r="H42" s="128"/>
      <c r="I42" s="217"/>
      <c r="J42" s="22"/>
      <c r="K42" s="22"/>
      <c r="L42" s="131"/>
    </row>
    <row r="43" spans="1:14" s="21" customFormat="1" x14ac:dyDescent="0.3">
      <c r="B43" s="132"/>
      <c r="C43" s="123"/>
      <c r="D43" s="124"/>
      <c r="E43" s="125"/>
      <c r="F43" s="17"/>
      <c r="G43" s="229"/>
      <c r="H43" s="128"/>
      <c r="I43" s="219"/>
      <c r="J43" s="22"/>
      <c r="K43" s="220"/>
      <c r="L43" s="131"/>
    </row>
    <row r="44" spans="1:14" s="21" customFormat="1" x14ac:dyDescent="0.3">
      <c r="B44" s="132"/>
      <c r="C44" s="123"/>
      <c r="D44" s="124"/>
      <c r="E44" s="125"/>
      <c r="F44" s="16"/>
      <c r="G44" s="229"/>
      <c r="H44" s="128"/>
      <c r="I44" s="217"/>
      <c r="J44" s="22"/>
      <c r="K44" s="22"/>
      <c r="L44" s="131"/>
    </row>
    <row r="45" spans="1:14" s="21" customFormat="1" x14ac:dyDescent="0.3">
      <c r="B45" s="132"/>
      <c r="C45" s="123"/>
      <c r="D45" s="124"/>
      <c r="E45" s="125"/>
      <c r="F45" s="16"/>
      <c r="G45" s="229"/>
      <c r="H45" s="128"/>
      <c r="I45" s="217"/>
      <c r="J45" s="22"/>
      <c r="K45" s="22"/>
      <c r="L45" s="131"/>
    </row>
    <row r="46" spans="1:14" s="21" customFormat="1" x14ac:dyDescent="0.3">
      <c r="B46" s="132"/>
      <c r="C46" s="123"/>
      <c r="D46" s="124"/>
      <c r="E46" s="125"/>
      <c r="F46" s="14"/>
      <c r="G46" s="229"/>
      <c r="H46" s="128"/>
      <c r="I46" s="217"/>
      <c r="J46" s="22"/>
      <c r="K46" s="22"/>
      <c r="L46" s="131"/>
    </row>
    <row r="47" spans="1:14" s="21" customFormat="1" x14ac:dyDescent="0.3">
      <c r="B47" s="132"/>
      <c r="C47" s="123"/>
      <c r="D47" s="124"/>
      <c r="E47" s="125"/>
      <c r="F47" s="14"/>
      <c r="G47" s="229"/>
      <c r="H47" s="128"/>
      <c r="I47" s="219"/>
      <c r="J47" s="22"/>
      <c r="K47" s="22"/>
      <c r="L47" s="131"/>
    </row>
    <row r="48" spans="1:14" s="21" customFormat="1" x14ac:dyDescent="0.3">
      <c r="B48" s="132"/>
      <c r="C48" s="123"/>
      <c r="D48" s="124"/>
      <c r="E48" s="125"/>
      <c r="F48" s="16"/>
      <c r="G48" s="229"/>
      <c r="H48" s="128"/>
      <c r="I48" s="217"/>
      <c r="J48" s="22"/>
      <c r="K48" s="22"/>
      <c r="L48" s="131"/>
    </row>
    <row r="49" spans="2:23" s="21" customFormat="1" x14ac:dyDescent="0.3">
      <c r="B49" s="132"/>
      <c r="C49" s="123"/>
      <c r="D49" s="124"/>
      <c r="E49" s="125"/>
      <c r="F49" s="14"/>
      <c r="G49" s="229"/>
      <c r="H49" s="128"/>
      <c r="I49" s="217"/>
      <c r="J49" s="22"/>
      <c r="K49" s="22"/>
      <c r="L49" s="131"/>
    </row>
    <row r="50" spans="2:23" s="21" customFormat="1" x14ac:dyDescent="0.3">
      <c r="B50" s="132"/>
      <c r="C50" s="123"/>
      <c r="D50" s="124"/>
      <c r="E50" s="125"/>
      <c r="F50" s="18"/>
      <c r="G50" s="229"/>
      <c r="H50" s="128"/>
      <c r="I50" s="219"/>
      <c r="J50" s="22"/>
      <c r="K50" s="22"/>
      <c r="L50" s="131"/>
    </row>
    <row r="51" spans="2:23" s="21" customFormat="1" x14ac:dyDescent="0.3">
      <c r="B51" s="132"/>
      <c r="C51" s="123"/>
      <c r="D51" s="124"/>
      <c r="E51" s="125"/>
      <c r="F51" s="14"/>
      <c r="G51" s="229"/>
      <c r="H51" s="128"/>
      <c r="I51" s="7"/>
      <c r="J51" s="22"/>
      <c r="K51" s="22"/>
      <c r="L51" s="131"/>
    </row>
    <row r="52" spans="2:23" s="21" customFormat="1" x14ac:dyDescent="0.3">
      <c r="B52" s="132"/>
      <c r="C52" s="123"/>
      <c r="D52" s="124"/>
      <c r="E52" s="125"/>
      <c r="F52" s="14"/>
      <c r="G52" s="229"/>
      <c r="H52" s="128"/>
      <c r="I52" s="217"/>
      <c r="J52" s="22"/>
      <c r="K52" s="22"/>
      <c r="L52" s="131"/>
    </row>
    <row r="53" spans="2:23" s="21" customFormat="1" x14ac:dyDescent="0.3">
      <c r="B53" s="132"/>
      <c r="C53" s="123"/>
      <c r="D53" s="124"/>
      <c r="E53" s="125"/>
      <c r="F53" s="228"/>
      <c r="G53" s="229"/>
      <c r="H53" s="128"/>
      <c r="I53" s="217"/>
      <c r="J53" s="22"/>
      <c r="K53" s="22"/>
      <c r="L53" s="131"/>
    </row>
    <row r="54" spans="2:23" s="21" customFormat="1" x14ac:dyDescent="0.3">
      <c r="B54" s="132"/>
      <c r="C54" s="123"/>
      <c r="D54" s="124"/>
      <c r="E54" s="125"/>
      <c r="F54" s="14"/>
      <c r="G54" s="229"/>
      <c r="H54" s="128"/>
      <c r="I54" s="219"/>
      <c r="J54" s="22"/>
      <c r="K54" s="22"/>
      <c r="L54" s="131"/>
      <c r="M54" s="131"/>
    </row>
    <row r="55" spans="2:23" s="21" customFormat="1" x14ac:dyDescent="0.3">
      <c r="B55" s="122"/>
      <c r="C55" s="123"/>
      <c r="D55" s="124"/>
      <c r="E55" s="125"/>
      <c r="F55" s="16"/>
      <c r="G55" s="229"/>
      <c r="H55" s="128"/>
      <c r="I55" s="217"/>
      <c r="J55" s="22"/>
      <c r="K55" s="22"/>
      <c r="L55" s="131"/>
    </row>
    <row r="56" spans="2:23" s="21" customFormat="1" x14ac:dyDescent="0.3">
      <c r="B56" s="122"/>
      <c r="C56" s="123"/>
      <c r="D56" s="124"/>
      <c r="E56" s="125"/>
      <c r="F56" s="16"/>
      <c r="G56" s="229"/>
      <c r="H56" s="128"/>
      <c r="I56" s="7"/>
      <c r="J56" s="22"/>
      <c r="K56" s="22"/>
      <c r="L56" s="131"/>
    </row>
    <row r="57" spans="2:23" s="21" customFormat="1" x14ac:dyDescent="0.3">
      <c r="B57" s="132"/>
      <c r="C57" s="123"/>
      <c r="D57" s="124"/>
      <c r="E57" s="125"/>
      <c r="F57" s="14"/>
      <c r="G57" s="229"/>
      <c r="H57" s="128"/>
      <c r="I57" s="7"/>
      <c r="J57" s="22"/>
      <c r="K57" s="22"/>
      <c r="L57" s="131"/>
    </row>
    <row r="58" spans="2:23" s="21" customFormat="1" x14ac:dyDescent="0.3">
      <c r="B58" s="122"/>
      <c r="C58" s="123"/>
      <c r="D58" s="124"/>
      <c r="E58" s="125"/>
      <c r="F58" s="17"/>
      <c r="G58" s="229"/>
      <c r="H58" s="128"/>
      <c r="I58" s="7"/>
      <c r="J58" s="22"/>
      <c r="K58" s="22"/>
      <c r="L58" s="131"/>
      <c r="M58" s="221"/>
      <c r="N58" s="222"/>
      <c r="O58" s="221"/>
      <c r="P58" s="221"/>
      <c r="Q58" s="221"/>
      <c r="R58" s="221"/>
      <c r="S58" s="221"/>
      <c r="T58" s="221"/>
      <c r="U58" s="221"/>
      <c r="V58" s="221"/>
      <c r="W58" s="221"/>
    </row>
    <row r="59" spans="2:23" s="21" customFormat="1" x14ac:dyDescent="0.3">
      <c r="B59" s="132"/>
      <c r="C59" s="123"/>
      <c r="D59" s="124"/>
      <c r="E59" s="125"/>
      <c r="F59" s="14"/>
      <c r="G59" s="229"/>
      <c r="H59" s="128"/>
      <c r="I59" s="219"/>
      <c r="J59" s="22"/>
      <c r="K59" s="22"/>
      <c r="M59" s="131"/>
    </row>
    <row r="60" spans="2:23" s="21" customFormat="1" x14ac:dyDescent="0.3">
      <c r="B60" s="122"/>
      <c r="C60" s="123"/>
      <c r="D60" s="124"/>
      <c r="E60" s="125"/>
      <c r="F60" s="17"/>
      <c r="G60" s="229"/>
      <c r="H60" s="128"/>
      <c r="I60" s="7"/>
      <c r="J60" s="22"/>
      <c r="K60" s="22"/>
      <c r="M60" s="131"/>
      <c r="N60" s="131"/>
    </row>
    <row r="61" spans="2:23" s="21" customFormat="1" x14ac:dyDescent="0.3">
      <c r="B61" s="132"/>
      <c r="C61" s="123"/>
      <c r="D61" s="124"/>
      <c r="E61" s="125"/>
      <c r="F61" s="14"/>
      <c r="G61" s="229"/>
      <c r="H61" s="128"/>
      <c r="I61" s="7"/>
      <c r="J61" s="22"/>
      <c r="K61" s="22"/>
      <c r="M61" s="131"/>
    </row>
    <row r="62" spans="2:23" s="21" customFormat="1" x14ac:dyDescent="0.3">
      <c r="B62" s="132"/>
      <c r="C62" s="123"/>
      <c r="D62" s="124"/>
      <c r="E62" s="125"/>
      <c r="F62" s="14"/>
      <c r="G62" s="229"/>
      <c r="H62" s="128"/>
      <c r="I62" s="7"/>
      <c r="J62" s="22"/>
      <c r="K62" s="22"/>
      <c r="M62" s="131"/>
    </row>
    <row r="63" spans="2:23" s="21" customFormat="1" x14ac:dyDescent="0.3">
      <c r="B63" s="132"/>
      <c r="C63" s="123"/>
      <c r="D63" s="124"/>
      <c r="E63" s="125"/>
      <c r="F63" s="14"/>
      <c r="G63" s="229"/>
      <c r="H63" s="128"/>
      <c r="I63" s="7"/>
      <c r="J63" s="22"/>
      <c r="K63" s="22"/>
      <c r="M63" s="131"/>
    </row>
    <row r="64" spans="2:23" s="21" customFormat="1" x14ac:dyDescent="0.3">
      <c r="B64" s="132"/>
      <c r="C64" s="123"/>
      <c r="D64" s="124"/>
      <c r="E64" s="125"/>
      <c r="F64" s="16"/>
      <c r="G64" s="229"/>
      <c r="H64" s="128"/>
      <c r="I64" s="141"/>
      <c r="J64" s="22"/>
      <c r="K64" s="22"/>
      <c r="M64" s="131"/>
    </row>
    <row r="65" spans="2:16" s="21" customFormat="1" x14ac:dyDescent="0.3">
      <c r="B65" s="132"/>
      <c r="C65" s="123"/>
      <c r="D65" s="124"/>
      <c r="E65" s="125"/>
      <c r="F65" s="16"/>
      <c r="G65" s="229"/>
      <c r="H65" s="128"/>
      <c r="I65" s="112"/>
      <c r="J65" s="22"/>
      <c r="K65" s="22"/>
      <c r="M65" s="131"/>
    </row>
    <row r="66" spans="2:16" s="21" customFormat="1" x14ac:dyDescent="0.3">
      <c r="B66" s="132"/>
      <c r="C66" s="123"/>
      <c r="D66" s="124"/>
      <c r="E66" s="125"/>
      <c r="F66" s="14"/>
      <c r="G66" s="229"/>
      <c r="H66" s="128"/>
      <c r="I66" s="7"/>
      <c r="J66" s="22"/>
      <c r="K66" s="22"/>
      <c r="M66" s="131"/>
    </row>
    <row r="67" spans="2:16" s="21" customFormat="1" x14ac:dyDescent="0.3">
      <c r="B67" s="132"/>
      <c r="C67" s="123"/>
      <c r="D67" s="124"/>
      <c r="E67" s="125"/>
      <c r="F67" s="16"/>
      <c r="G67" s="229"/>
      <c r="H67" s="128"/>
      <c r="I67" s="217"/>
      <c r="J67" s="22"/>
      <c r="K67" s="22"/>
      <c r="M67" s="131"/>
    </row>
    <row r="68" spans="2:16" s="21" customFormat="1" x14ac:dyDescent="0.3">
      <c r="B68" s="122"/>
      <c r="C68" s="123"/>
      <c r="D68" s="124"/>
      <c r="E68" s="125"/>
      <c r="F68" s="17"/>
      <c r="G68" s="229"/>
      <c r="H68" s="128"/>
      <c r="I68" s="7"/>
      <c r="J68" s="22"/>
      <c r="K68" s="22"/>
      <c r="L68" s="131"/>
      <c r="M68" s="131"/>
      <c r="N68" s="218"/>
      <c r="P68" s="223"/>
    </row>
    <row r="69" spans="2:16" s="21" customFormat="1" x14ac:dyDescent="0.3">
      <c r="B69" s="132"/>
      <c r="C69" s="123"/>
      <c r="D69" s="124"/>
      <c r="E69" s="125"/>
      <c r="F69" s="16"/>
      <c r="G69" s="229"/>
      <c r="H69" s="128"/>
      <c r="I69" s="217"/>
      <c r="J69" s="22"/>
      <c r="K69" s="22"/>
      <c r="M69" s="131"/>
    </row>
    <row r="70" spans="2:16" s="21" customFormat="1" x14ac:dyDescent="0.3">
      <c r="B70" s="132"/>
      <c r="C70" s="123"/>
      <c r="D70" s="124"/>
      <c r="E70" s="125"/>
      <c r="F70" s="14"/>
      <c r="G70" s="229"/>
      <c r="H70" s="128"/>
      <c r="I70" s="224"/>
      <c r="J70" s="22"/>
      <c r="K70" s="22"/>
      <c r="L70" s="131"/>
      <c r="M70" s="131"/>
    </row>
    <row r="71" spans="2:16" s="21" customFormat="1" x14ac:dyDescent="0.3">
      <c r="B71" s="132"/>
      <c r="C71" s="123"/>
      <c r="D71" s="124"/>
      <c r="E71" s="125"/>
      <c r="F71" s="16"/>
      <c r="G71" s="229"/>
      <c r="H71" s="128"/>
      <c r="I71" s="217"/>
      <c r="J71" s="22"/>
      <c r="K71" s="22"/>
      <c r="M71" s="131"/>
    </row>
    <row r="72" spans="2:16" s="21" customFormat="1" x14ac:dyDescent="0.3">
      <c r="B72" s="132"/>
      <c r="C72" s="123"/>
      <c r="D72" s="124"/>
      <c r="E72" s="125"/>
      <c r="F72" s="19"/>
      <c r="G72" s="229"/>
      <c r="H72" s="128"/>
      <c r="I72" s="7"/>
      <c r="J72" s="22"/>
      <c r="K72" s="22"/>
      <c r="M72" s="131"/>
      <c r="N72" s="218"/>
      <c r="P72" s="223"/>
    </row>
    <row r="73" spans="2:16" s="21" customFormat="1" x14ac:dyDescent="0.3">
      <c r="B73" s="132"/>
      <c r="C73" s="123"/>
      <c r="D73" s="124"/>
      <c r="E73" s="125"/>
      <c r="F73" s="20"/>
      <c r="G73" s="229"/>
      <c r="H73" s="128"/>
      <c r="I73" s="217"/>
      <c r="J73" s="22"/>
      <c r="K73" s="22"/>
      <c r="L73" s="131"/>
    </row>
    <row r="74" spans="2:16" s="21" customFormat="1" x14ac:dyDescent="0.3">
      <c r="B74" s="132"/>
      <c r="C74" s="123"/>
      <c r="D74" s="124"/>
      <c r="E74" s="125"/>
      <c r="F74" s="16"/>
      <c r="G74" s="229"/>
      <c r="H74" s="128"/>
      <c r="I74" s="217"/>
      <c r="J74" s="22"/>
      <c r="K74" s="22"/>
      <c r="L74" s="131"/>
    </row>
    <row r="75" spans="2:16" s="21" customFormat="1" x14ac:dyDescent="0.3">
      <c r="B75" s="132"/>
      <c r="C75" s="123"/>
      <c r="D75" s="124"/>
      <c r="E75" s="125"/>
      <c r="F75" s="16"/>
      <c r="G75" s="229"/>
      <c r="H75" s="128"/>
      <c r="I75" s="217"/>
      <c r="J75" s="22"/>
      <c r="K75" s="22"/>
      <c r="L75" s="131"/>
    </row>
    <row r="76" spans="2:16" s="21" customFormat="1" x14ac:dyDescent="0.3">
      <c r="B76" s="132"/>
      <c r="C76" s="123"/>
      <c r="D76" s="124"/>
      <c r="E76" s="125"/>
      <c r="F76" s="16"/>
      <c r="G76" s="229"/>
      <c r="H76" s="128"/>
      <c r="I76" s="217"/>
      <c r="J76" s="22"/>
      <c r="K76" s="22"/>
      <c r="L76" s="131"/>
    </row>
    <row r="77" spans="2:16" s="21" customFormat="1" x14ac:dyDescent="0.3">
      <c r="B77" s="132"/>
      <c r="C77" s="123"/>
      <c r="D77" s="124"/>
      <c r="E77" s="125"/>
      <c r="F77" s="14"/>
      <c r="G77" s="229"/>
      <c r="H77" s="128"/>
      <c r="I77" s="7"/>
      <c r="J77" s="22"/>
      <c r="K77" s="22"/>
      <c r="L77" s="131"/>
    </row>
    <row r="78" spans="2:16" s="21" customFormat="1" x14ac:dyDescent="0.3">
      <c r="B78" s="132"/>
      <c r="C78" s="123"/>
      <c r="D78" s="124"/>
      <c r="E78" s="125"/>
      <c r="F78" s="14"/>
      <c r="G78" s="229"/>
      <c r="H78" s="128"/>
      <c r="I78" s="7"/>
      <c r="J78" s="22"/>
      <c r="K78" s="22"/>
      <c r="L78" s="131"/>
    </row>
    <row r="79" spans="2:16" s="21" customFormat="1" x14ac:dyDescent="0.3">
      <c r="B79" s="122"/>
      <c r="C79" s="123"/>
      <c r="D79" s="124"/>
      <c r="E79" s="125"/>
      <c r="F79" s="16"/>
      <c r="G79" s="229"/>
      <c r="H79" s="128"/>
      <c r="I79" s="219"/>
      <c r="J79" s="22"/>
      <c r="K79" s="22"/>
      <c r="L79" s="131"/>
      <c r="N79" s="218"/>
    </row>
    <row r="80" spans="2:16" s="21" customFormat="1" x14ac:dyDescent="0.3">
      <c r="B80" s="132"/>
      <c r="C80" s="123"/>
      <c r="D80" s="124"/>
      <c r="E80" s="125"/>
      <c r="F80" s="16"/>
      <c r="G80" s="229"/>
      <c r="H80" s="128"/>
      <c r="I80" s="217"/>
      <c r="J80" s="22"/>
      <c r="K80" s="22"/>
      <c r="L80" s="131"/>
    </row>
    <row r="81" spans="2:15" s="21" customFormat="1" x14ac:dyDescent="0.3">
      <c r="B81" s="132"/>
      <c r="C81" s="123"/>
      <c r="D81" s="124"/>
      <c r="E81" s="125"/>
      <c r="F81" s="16"/>
      <c r="G81" s="229"/>
      <c r="H81" s="128"/>
      <c r="I81" s="217"/>
      <c r="J81" s="22"/>
      <c r="K81" s="22"/>
      <c r="L81" s="131"/>
    </row>
    <row r="82" spans="2:15" s="21" customFormat="1" x14ac:dyDescent="0.3">
      <c r="B82" s="132"/>
      <c r="C82" s="123"/>
      <c r="D82" s="124"/>
      <c r="E82" s="125"/>
      <c r="F82" s="16"/>
      <c r="G82" s="229"/>
      <c r="H82" s="128"/>
      <c r="I82" s="217"/>
      <c r="J82" s="22"/>
      <c r="K82" s="22"/>
      <c r="L82" s="131"/>
    </row>
    <row r="83" spans="2:15" s="21" customFormat="1" x14ac:dyDescent="0.3">
      <c r="B83" s="132"/>
      <c r="C83" s="123"/>
      <c r="D83" s="124"/>
      <c r="E83" s="125"/>
      <c r="F83" s="16"/>
      <c r="G83" s="229"/>
      <c r="H83" s="128"/>
      <c r="I83" s="112"/>
      <c r="J83" s="22"/>
      <c r="K83" s="22"/>
      <c r="L83" s="131"/>
    </row>
    <row r="84" spans="2:15" s="21" customFormat="1" x14ac:dyDescent="0.3">
      <c r="B84" s="132"/>
      <c r="C84" s="123"/>
      <c r="D84" s="124"/>
      <c r="E84" s="125"/>
      <c r="F84" s="14"/>
      <c r="G84" s="229"/>
      <c r="H84" s="128"/>
      <c r="I84" s="7"/>
      <c r="J84" s="22"/>
      <c r="K84" s="22"/>
      <c r="L84" s="131"/>
    </row>
    <row r="85" spans="2:15" s="21" customFormat="1" x14ac:dyDescent="0.3">
      <c r="B85" s="132"/>
      <c r="C85" s="123"/>
      <c r="D85" s="124"/>
      <c r="E85" s="125"/>
      <c r="F85" s="16"/>
      <c r="G85" s="229"/>
      <c r="H85" s="128"/>
      <c r="I85" s="219"/>
      <c r="J85" s="22"/>
      <c r="K85" s="22"/>
      <c r="L85" s="131"/>
      <c r="M85" s="131"/>
    </row>
    <row r="86" spans="2:15" s="21" customFormat="1" x14ac:dyDescent="0.3">
      <c r="B86" s="132"/>
      <c r="C86" s="123"/>
      <c r="D86" s="124"/>
      <c r="E86" s="125"/>
      <c r="F86" s="16"/>
      <c r="G86" s="229"/>
      <c r="H86" s="128"/>
      <c r="I86" s="217"/>
      <c r="J86" s="22"/>
      <c r="K86" s="22"/>
      <c r="L86" s="131"/>
    </row>
    <row r="87" spans="2:15" s="21" customFormat="1" x14ac:dyDescent="0.3">
      <c r="B87" s="132"/>
      <c r="C87" s="123"/>
      <c r="D87" s="124"/>
      <c r="E87" s="125"/>
      <c r="F87" s="19"/>
      <c r="G87" s="229"/>
      <c r="H87" s="128"/>
      <c r="I87" s="7"/>
      <c r="J87" s="22"/>
      <c r="K87" s="22"/>
      <c r="L87" s="131"/>
      <c r="M87" s="131"/>
    </row>
    <row r="88" spans="2:15" s="21" customFormat="1" x14ac:dyDescent="0.3">
      <c r="B88" s="132"/>
      <c r="C88" s="123"/>
      <c r="D88" s="124"/>
      <c r="E88" s="125"/>
      <c r="F88" s="16"/>
      <c r="G88" s="229"/>
      <c r="H88" s="128"/>
      <c r="I88" s="217"/>
      <c r="J88" s="22"/>
      <c r="K88" s="22"/>
      <c r="L88" s="131"/>
    </row>
    <row r="89" spans="2:15" s="21" customFormat="1" x14ac:dyDescent="0.3">
      <c r="B89" s="132"/>
      <c r="C89" s="123"/>
      <c r="D89" s="124"/>
      <c r="E89" s="125"/>
      <c r="F89" s="16"/>
      <c r="G89" s="229"/>
      <c r="H89" s="128"/>
      <c r="I89" s="217"/>
      <c r="J89" s="22"/>
      <c r="K89" s="22"/>
      <c r="L89" s="131"/>
    </row>
    <row r="90" spans="2:15" s="21" customFormat="1" x14ac:dyDescent="0.3">
      <c r="B90" s="132"/>
      <c r="C90" s="123"/>
      <c r="D90" s="124"/>
      <c r="E90" s="125"/>
      <c r="F90" s="16"/>
      <c r="G90" s="229"/>
      <c r="H90" s="128"/>
      <c r="I90" s="7"/>
      <c r="J90" s="22"/>
      <c r="K90" s="22"/>
      <c r="L90" s="131"/>
    </row>
    <row r="91" spans="2:15" s="21" customFormat="1" x14ac:dyDescent="0.3">
      <c r="B91" s="132"/>
      <c r="C91" s="123"/>
      <c r="D91" s="124"/>
      <c r="E91" s="125"/>
      <c r="F91" s="16"/>
      <c r="G91" s="229"/>
      <c r="H91" s="128"/>
      <c r="I91" s="217"/>
      <c r="J91" s="22"/>
      <c r="K91" s="22"/>
      <c r="L91" s="131"/>
    </row>
    <row r="92" spans="2:15" s="21" customFormat="1" x14ac:dyDescent="0.3">
      <c r="B92" s="132"/>
      <c r="C92" s="123"/>
      <c r="D92" s="124"/>
      <c r="E92" s="125"/>
      <c r="F92" s="16"/>
      <c r="G92" s="229"/>
      <c r="H92" s="128"/>
      <c r="I92" s="112"/>
      <c r="J92" s="22"/>
      <c r="K92" s="22"/>
      <c r="L92" s="131"/>
    </row>
    <row r="93" spans="2:15" s="21" customFormat="1" ht="14" x14ac:dyDescent="0.3">
      <c r="B93" s="122"/>
      <c r="C93" s="123"/>
      <c r="D93" s="124"/>
      <c r="E93" s="125"/>
      <c r="F93" s="17"/>
      <c r="G93" s="229"/>
      <c r="H93" s="146"/>
      <c r="I93" s="225"/>
      <c r="J93" s="22"/>
      <c r="K93" s="22"/>
      <c r="L93" s="131"/>
      <c r="O93" s="17"/>
    </row>
    <row r="94" spans="2:15" s="21" customFormat="1" ht="13.5" customHeight="1" x14ac:dyDescent="0.3">
      <c r="B94" s="132"/>
      <c r="C94" s="123"/>
      <c r="D94" s="149"/>
      <c r="E94" s="125"/>
      <c r="F94" s="17"/>
      <c r="G94" s="229"/>
      <c r="H94" s="128"/>
      <c r="I94" s="225"/>
      <c r="J94" s="22"/>
      <c r="K94" s="22"/>
    </row>
    <row r="95" spans="2:15" s="21" customFormat="1" x14ac:dyDescent="0.3">
      <c r="B95" s="132"/>
      <c r="C95" s="123"/>
      <c r="D95" s="124"/>
      <c r="E95" s="125"/>
      <c r="F95" s="16"/>
      <c r="G95" s="229"/>
      <c r="H95" s="128"/>
      <c r="I95" s="112"/>
      <c r="J95" s="22"/>
      <c r="K95" s="22"/>
      <c r="L95" s="131"/>
    </row>
    <row r="96" spans="2:15" s="21" customFormat="1" x14ac:dyDescent="0.3">
      <c r="B96" s="132"/>
      <c r="C96" s="123"/>
      <c r="D96" s="124"/>
      <c r="E96" s="125"/>
      <c r="F96" s="17"/>
      <c r="G96" s="229"/>
      <c r="H96" s="128"/>
      <c r="I96" s="217"/>
      <c r="J96" s="22"/>
      <c r="K96" s="22"/>
      <c r="L96" s="131"/>
    </row>
    <row r="97" spans="2:14" s="21" customFormat="1" x14ac:dyDescent="0.3">
      <c r="B97" s="132"/>
      <c r="C97" s="123"/>
      <c r="D97" s="124"/>
      <c r="E97" s="125"/>
      <c r="F97" s="14"/>
      <c r="G97" s="229"/>
      <c r="H97" s="128"/>
      <c r="I97" s="7"/>
      <c r="J97" s="22"/>
      <c r="K97" s="22"/>
      <c r="L97" s="131"/>
    </row>
    <row r="98" spans="2:14" s="21" customFormat="1" x14ac:dyDescent="0.3">
      <c r="B98" s="132"/>
      <c r="C98" s="123"/>
      <c r="D98" s="124"/>
      <c r="E98" s="125"/>
      <c r="F98" s="16"/>
      <c r="G98" s="229"/>
      <c r="H98" s="128"/>
      <c r="I98" s="217"/>
      <c r="J98" s="22"/>
      <c r="K98" s="22"/>
      <c r="L98" s="131"/>
    </row>
    <row r="99" spans="2:14" s="21" customFormat="1" x14ac:dyDescent="0.3">
      <c r="B99" s="132"/>
      <c r="C99" s="123"/>
      <c r="D99" s="124"/>
      <c r="E99" s="125"/>
      <c r="F99" s="14"/>
      <c r="G99" s="229"/>
      <c r="H99" s="128"/>
      <c r="I99" s="7"/>
      <c r="J99" s="22"/>
      <c r="K99" s="22"/>
      <c r="L99" s="131"/>
    </row>
    <row r="100" spans="2:14" s="21" customFormat="1" x14ac:dyDescent="0.3">
      <c r="B100" s="132"/>
      <c r="C100" s="123"/>
      <c r="D100" s="124"/>
      <c r="E100" s="125"/>
      <c r="F100" s="16"/>
      <c r="G100" s="229"/>
      <c r="H100" s="128"/>
      <c r="I100" s="217"/>
      <c r="J100" s="22"/>
      <c r="K100" s="22"/>
      <c r="L100" s="131"/>
    </row>
    <row r="101" spans="2:14" s="21" customFormat="1" x14ac:dyDescent="0.3">
      <c r="B101" s="132"/>
      <c r="C101" s="123"/>
      <c r="D101" s="124"/>
      <c r="E101" s="125"/>
      <c r="F101" s="16"/>
      <c r="G101" s="229"/>
      <c r="H101" s="128"/>
      <c r="I101" s="219"/>
      <c r="J101" s="22"/>
      <c r="K101" s="22"/>
      <c r="L101" s="131"/>
    </row>
    <row r="102" spans="2:14" s="21" customFormat="1" x14ac:dyDescent="0.3">
      <c r="B102" s="122"/>
      <c r="C102" s="123"/>
      <c r="D102" s="149"/>
      <c r="E102" s="125"/>
      <c r="F102" s="150"/>
      <c r="G102" s="229"/>
      <c r="H102" s="151"/>
      <c r="I102" s="219"/>
      <c r="J102" s="150"/>
      <c r="K102" s="22"/>
      <c r="L102" s="131"/>
    </row>
    <row r="103" spans="2:14" s="21" customFormat="1" x14ac:dyDescent="0.3">
      <c r="B103" s="132"/>
      <c r="C103" s="123"/>
      <c r="D103" s="124"/>
      <c r="E103" s="125"/>
      <c r="F103" s="16"/>
      <c r="G103" s="229"/>
      <c r="H103" s="128"/>
      <c r="I103" s="217"/>
      <c r="J103" s="22"/>
      <c r="K103" s="22"/>
      <c r="L103" s="131"/>
    </row>
    <row r="104" spans="2:14" s="21" customFormat="1" x14ac:dyDescent="0.3">
      <c r="B104" s="132"/>
      <c r="C104" s="123"/>
      <c r="D104" s="149"/>
      <c r="E104" s="125"/>
      <c r="F104" s="16"/>
      <c r="G104" s="229"/>
      <c r="H104" s="128"/>
      <c r="I104" s="219"/>
      <c r="J104" s="22"/>
      <c r="K104" s="22"/>
      <c r="L104" s="131"/>
    </row>
    <row r="105" spans="2:14" s="21" customFormat="1" x14ac:dyDescent="0.3">
      <c r="B105" s="122"/>
      <c r="C105" s="123"/>
      <c r="D105" s="149"/>
      <c r="E105" s="125"/>
      <c r="F105" s="17"/>
      <c r="G105" s="229"/>
      <c r="H105" s="151"/>
      <c r="I105" s="219"/>
      <c r="J105" s="22"/>
      <c r="K105" s="22"/>
      <c r="L105" s="131"/>
      <c r="N105" s="218"/>
    </row>
    <row r="106" spans="2:14" s="21" customFormat="1" x14ac:dyDescent="0.3">
      <c r="B106" s="132"/>
      <c r="C106" s="123"/>
      <c r="D106" s="124"/>
      <c r="E106" s="125"/>
      <c r="F106" s="14"/>
      <c r="G106" s="229"/>
      <c r="H106" s="128"/>
      <c r="I106" s="217"/>
      <c r="J106" s="22"/>
      <c r="K106" s="22"/>
      <c r="L106" s="226"/>
    </row>
    <row r="107" spans="2:14" s="21" customFormat="1" x14ac:dyDescent="0.3">
      <c r="B107" s="132"/>
      <c r="C107" s="123"/>
      <c r="D107" s="124"/>
      <c r="E107" s="125"/>
      <c r="F107" s="14"/>
      <c r="G107" s="229"/>
      <c r="H107" s="128"/>
      <c r="I107" s="217"/>
      <c r="J107" s="22"/>
      <c r="K107" s="22"/>
      <c r="L107" s="131"/>
    </row>
    <row r="108" spans="2:14" s="21" customFormat="1" x14ac:dyDescent="0.3">
      <c r="B108" s="132"/>
      <c r="C108" s="123"/>
      <c r="D108" s="124"/>
      <c r="E108" s="125"/>
      <c r="F108" s="14"/>
      <c r="G108" s="229"/>
      <c r="H108" s="128"/>
      <c r="I108" s="217"/>
      <c r="J108" s="22"/>
      <c r="K108" s="22"/>
      <c r="L108" s="131"/>
    </row>
    <row r="109" spans="2:14" s="21" customFormat="1" x14ac:dyDescent="0.3">
      <c r="B109" s="132"/>
      <c r="C109" s="123"/>
      <c r="D109" s="124"/>
      <c r="E109" s="125"/>
      <c r="F109" s="14"/>
      <c r="G109" s="229"/>
      <c r="H109" s="128"/>
      <c r="I109" s="219"/>
      <c r="J109" s="22"/>
      <c r="K109" s="22"/>
      <c r="L109" s="131"/>
    </row>
    <row r="110" spans="2:14" s="21" customFormat="1" x14ac:dyDescent="0.3">
      <c r="B110" s="132"/>
      <c r="C110" s="123"/>
      <c r="D110" s="124"/>
      <c r="E110" s="125"/>
      <c r="F110" s="17"/>
      <c r="G110" s="229"/>
      <c r="H110" s="128"/>
      <c r="I110" s="217"/>
      <c r="J110" s="22"/>
      <c r="K110" s="22"/>
      <c r="L110" s="131"/>
    </row>
    <row r="111" spans="2:14" s="21" customFormat="1" x14ac:dyDescent="0.3">
      <c r="B111" s="132"/>
      <c r="C111" s="123"/>
      <c r="D111" s="124"/>
      <c r="E111" s="125"/>
      <c r="F111" s="17"/>
      <c r="G111" s="229"/>
      <c r="H111" s="128"/>
      <c r="I111" s="217"/>
      <c r="J111" s="22"/>
      <c r="K111" s="22"/>
      <c r="L111" s="131"/>
    </row>
    <row r="112" spans="2:14" s="21" customFormat="1" x14ac:dyDescent="0.3">
      <c r="B112" s="132"/>
      <c r="C112" s="123"/>
      <c r="D112" s="124"/>
      <c r="E112" s="125"/>
      <c r="F112" s="16"/>
      <c r="G112" s="229"/>
      <c r="H112" s="128"/>
      <c r="I112" s="217"/>
      <c r="J112" s="22"/>
      <c r="K112" s="22"/>
      <c r="L112" s="131"/>
    </row>
    <row r="113" spans="2:12" s="21" customFormat="1" x14ac:dyDescent="0.3">
      <c r="B113" s="132"/>
      <c r="C113" s="123"/>
      <c r="D113" s="124"/>
      <c r="E113" s="125"/>
      <c r="F113" s="14"/>
      <c r="G113" s="229"/>
      <c r="H113" s="128"/>
      <c r="I113" s="7"/>
      <c r="J113" s="22"/>
      <c r="K113" s="22"/>
      <c r="L113" s="131"/>
    </row>
    <row r="114" spans="2:12" s="21" customFormat="1" x14ac:dyDescent="0.3">
      <c r="B114" s="132"/>
      <c r="C114" s="123"/>
      <c r="D114" s="124"/>
      <c r="E114" s="125"/>
      <c r="F114" s="16"/>
      <c r="G114" s="229"/>
      <c r="H114" s="128"/>
      <c r="I114" s="217"/>
      <c r="J114" s="22"/>
      <c r="K114" s="22"/>
      <c r="L114" s="131"/>
    </row>
    <row r="115" spans="2:12" s="21" customFormat="1" x14ac:dyDescent="0.3">
      <c r="B115" s="132"/>
      <c r="C115" s="123"/>
      <c r="D115" s="124"/>
      <c r="E115" s="125"/>
      <c r="F115" s="16"/>
      <c r="G115" s="229"/>
      <c r="H115" s="128"/>
      <c r="I115" s="217"/>
      <c r="J115" s="22"/>
      <c r="K115" s="22"/>
      <c r="L115" s="131"/>
    </row>
    <row r="116" spans="2:12" s="21" customFormat="1" x14ac:dyDescent="0.3">
      <c r="B116" s="132"/>
      <c r="C116" s="123"/>
      <c r="D116" s="124"/>
      <c r="E116" s="125"/>
      <c r="F116" s="16"/>
      <c r="G116" s="229"/>
      <c r="H116" s="128"/>
      <c r="I116" s="217"/>
      <c r="J116" s="22"/>
      <c r="K116" s="22"/>
      <c r="L116" s="131"/>
    </row>
    <row r="117" spans="2:12" s="21" customFormat="1" x14ac:dyDescent="0.3">
      <c r="B117" s="132"/>
      <c r="C117" s="123"/>
      <c r="D117" s="124"/>
      <c r="E117" s="125"/>
      <c r="F117" s="16"/>
      <c r="G117" s="229"/>
      <c r="H117" s="128"/>
      <c r="I117" s="217"/>
      <c r="J117" s="22"/>
      <c r="K117" s="22"/>
      <c r="L117" s="131"/>
    </row>
    <row r="118" spans="2:12" s="21" customFormat="1" x14ac:dyDescent="0.3">
      <c r="B118" s="122"/>
      <c r="C118" s="123"/>
      <c r="D118" s="124"/>
      <c r="E118" s="125"/>
      <c r="F118" s="17"/>
      <c r="G118" s="229"/>
      <c r="H118" s="128"/>
      <c r="I118" s="219"/>
      <c r="J118" s="22"/>
      <c r="K118" s="22"/>
      <c r="L118" s="131"/>
    </row>
    <row r="119" spans="2:12" s="21" customFormat="1" x14ac:dyDescent="0.3">
      <c r="B119" s="132"/>
      <c r="C119" s="123"/>
      <c r="D119" s="124"/>
      <c r="E119" s="125"/>
      <c r="F119" s="17"/>
      <c r="G119" s="229"/>
      <c r="H119" s="128"/>
      <c r="I119" s="219"/>
      <c r="J119" s="22"/>
      <c r="K119" s="22"/>
      <c r="L119" s="131"/>
    </row>
    <row r="120" spans="2:12" s="21" customFormat="1" x14ac:dyDescent="0.3">
      <c r="B120" s="132"/>
      <c r="C120" s="123"/>
      <c r="D120" s="124"/>
      <c r="E120" s="125"/>
      <c r="F120" s="16"/>
      <c r="G120" s="229"/>
      <c r="H120" s="128"/>
      <c r="I120" s="217"/>
      <c r="J120" s="22"/>
      <c r="K120" s="22"/>
      <c r="L120" s="131"/>
    </row>
    <row r="121" spans="2:12" s="21" customFormat="1" x14ac:dyDescent="0.3">
      <c r="B121" s="132"/>
      <c r="C121" s="123"/>
      <c r="D121" s="124"/>
      <c r="E121" s="125"/>
      <c r="F121" s="16"/>
      <c r="G121" s="229"/>
      <c r="H121" s="128"/>
      <c r="I121" s="217"/>
      <c r="J121" s="22"/>
      <c r="K121" s="22"/>
      <c r="L121" s="131"/>
    </row>
    <row r="122" spans="2:12" s="21" customFormat="1" x14ac:dyDescent="0.3">
      <c r="B122" s="122"/>
      <c r="C122" s="123"/>
      <c r="D122" s="124"/>
      <c r="E122" s="125"/>
      <c r="F122" s="17"/>
      <c r="G122" s="229"/>
      <c r="H122" s="151"/>
      <c r="I122" s="219"/>
      <c r="J122" s="22"/>
      <c r="K122" s="22"/>
      <c r="L122" s="131"/>
    </row>
    <row r="123" spans="2:12" s="21" customFormat="1" x14ac:dyDescent="0.3">
      <c r="B123" s="122"/>
      <c r="C123" s="123"/>
      <c r="D123" s="124"/>
      <c r="E123" s="125"/>
      <c r="F123" s="17"/>
      <c r="G123" s="229"/>
      <c r="H123" s="128"/>
      <c r="I123" s="7"/>
      <c r="J123" s="22"/>
      <c r="K123" s="22"/>
      <c r="L123" s="131"/>
    </row>
    <row r="124" spans="2:12" s="21" customFormat="1" x14ac:dyDescent="0.3">
      <c r="B124" s="132"/>
      <c r="C124" s="123"/>
      <c r="D124" s="124"/>
      <c r="E124" s="125"/>
      <c r="F124" s="14"/>
      <c r="G124" s="229"/>
      <c r="H124" s="128"/>
      <c r="I124" s="217"/>
      <c r="J124" s="22"/>
      <c r="K124" s="22"/>
      <c r="L124" s="131"/>
    </row>
    <row r="125" spans="2:12" s="21" customFormat="1" x14ac:dyDescent="0.3">
      <c r="B125" s="132"/>
      <c r="C125" s="123"/>
      <c r="D125" s="124"/>
      <c r="E125" s="125"/>
      <c r="F125" s="14"/>
      <c r="G125" s="229"/>
      <c r="H125" s="128"/>
      <c r="I125" s="217"/>
      <c r="J125" s="22"/>
      <c r="K125" s="22"/>
      <c r="L125" s="131"/>
    </row>
    <row r="126" spans="2:12" s="21" customFormat="1" x14ac:dyDescent="0.3">
      <c r="B126" s="132"/>
      <c r="C126" s="123"/>
      <c r="D126" s="124"/>
      <c r="E126" s="125"/>
      <c r="F126" s="14"/>
      <c r="G126" s="229"/>
      <c r="H126" s="128"/>
      <c r="I126" s="219"/>
      <c r="J126" s="22"/>
      <c r="K126" s="22"/>
      <c r="L126" s="131"/>
    </row>
    <row r="127" spans="2:12" s="21" customFormat="1" x14ac:dyDescent="0.3">
      <c r="B127" s="122"/>
      <c r="C127" s="123"/>
      <c r="D127" s="124"/>
      <c r="E127" s="125"/>
      <c r="F127" s="17"/>
      <c r="G127" s="229"/>
      <c r="H127" s="128"/>
      <c r="I127" s="217"/>
      <c r="J127" s="22"/>
      <c r="K127" s="22"/>
      <c r="L127" s="131"/>
    </row>
    <row r="128" spans="2:12" s="21" customFormat="1" x14ac:dyDescent="0.3">
      <c r="B128" s="132"/>
      <c r="C128" s="123"/>
      <c r="D128" s="124"/>
      <c r="E128" s="125"/>
      <c r="F128" s="16"/>
      <c r="G128" s="229"/>
      <c r="H128" s="128"/>
      <c r="I128" s="7"/>
      <c r="J128" s="22"/>
      <c r="K128" s="22"/>
      <c r="L128" s="131"/>
    </row>
    <row r="129" spans="2:17" s="21" customFormat="1" x14ac:dyDescent="0.3">
      <c r="B129" s="122"/>
      <c r="C129" s="123"/>
      <c r="D129" s="124"/>
      <c r="E129" s="125"/>
      <c r="F129" s="17"/>
      <c r="G129" s="229"/>
      <c r="H129" s="128"/>
      <c r="I129" s="7"/>
      <c r="J129" s="22"/>
      <c r="K129" s="22"/>
      <c r="L129" s="131"/>
      <c r="M129" s="221"/>
      <c r="N129" s="221"/>
      <c r="O129" s="221"/>
      <c r="P129" s="221"/>
      <c r="Q129" s="221"/>
    </row>
    <row r="130" spans="2:17" s="21" customFormat="1" x14ac:dyDescent="0.3">
      <c r="B130" s="132"/>
      <c r="C130" s="123"/>
      <c r="D130" s="124"/>
      <c r="E130" s="125"/>
      <c r="F130" s="16"/>
      <c r="G130" s="229"/>
      <c r="H130" s="128"/>
      <c r="I130" s="217"/>
      <c r="J130" s="22"/>
      <c r="K130" s="22"/>
      <c r="L130" s="131"/>
    </row>
    <row r="131" spans="2:17" s="21" customFormat="1" x14ac:dyDescent="0.3">
      <c r="B131" s="132"/>
      <c r="C131" s="123"/>
      <c r="D131" s="124"/>
      <c r="E131" s="125"/>
      <c r="F131" s="17"/>
      <c r="G131" s="229"/>
      <c r="H131" s="128"/>
      <c r="I131" s="219"/>
      <c r="J131" s="22"/>
      <c r="K131" s="22"/>
      <c r="L131" s="131"/>
    </row>
    <row r="132" spans="2:17" s="21" customFormat="1" x14ac:dyDescent="0.3">
      <c r="B132" s="132"/>
      <c r="C132" s="123"/>
      <c r="D132" s="124"/>
      <c r="E132" s="125"/>
      <c r="F132" s="16"/>
      <c r="G132" s="229"/>
      <c r="H132" s="128"/>
      <c r="I132" s="217"/>
      <c r="J132" s="22"/>
      <c r="K132" s="22"/>
      <c r="L132" s="131"/>
    </row>
    <row r="133" spans="2:17" s="21" customFormat="1" x14ac:dyDescent="0.3">
      <c r="B133" s="132"/>
      <c r="C133" s="123"/>
      <c r="D133" s="124"/>
      <c r="E133" s="125"/>
      <c r="F133" s="16"/>
      <c r="G133" s="229"/>
      <c r="H133" s="128"/>
      <c r="I133" s="217"/>
      <c r="J133" s="22"/>
      <c r="K133" s="22"/>
      <c r="L133" s="131"/>
    </row>
    <row r="134" spans="2:17" s="21" customFormat="1" x14ac:dyDescent="0.3">
      <c r="B134" s="132"/>
      <c r="C134" s="123"/>
      <c r="D134" s="124"/>
      <c r="E134" s="125"/>
      <c r="F134" s="16"/>
      <c r="G134" s="229"/>
      <c r="H134" s="128"/>
      <c r="I134" s="217"/>
      <c r="J134" s="22"/>
      <c r="K134" s="22"/>
      <c r="L134" s="131"/>
    </row>
    <row r="135" spans="2:17" s="21" customFormat="1" x14ac:dyDescent="0.3">
      <c r="B135" s="122"/>
      <c r="C135" s="123"/>
      <c r="D135" s="124"/>
      <c r="E135" s="125"/>
      <c r="F135" s="17"/>
      <c r="G135" s="229"/>
      <c r="H135" s="128"/>
      <c r="I135" s="225"/>
      <c r="J135" s="22"/>
      <c r="K135" s="22"/>
      <c r="L135" s="131"/>
      <c r="O135" s="17"/>
    </row>
    <row r="136" spans="2:17" s="21" customFormat="1" x14ac:dyDescent="0.3">
      <c r="B136" s="132"/>
      <c r="C136" s="123"/>
      <c r="D136" s="124"/>
      <c r="E136" s="125"/>
      <c r="F136" s="17"/>
      <c r="G136" s="229"/>
      <c r="H136" s="128"/>
      <c r="I136" s="217"/>
      <c r="J136" s="22"/>
      <c r="K136" s="22"/>
      <c r="L136" s="131"/>
    </row>
    <row r="137" spans="2:17" s="21" customFormat="1" x14ac:dyDescent="0.3">
      <c r="B137" s="152"/>
      <c r="C137" s="117"/>
      <c r="D137" s="230"/>
      <c r="E137" s="154"/>
      <c r="F137" s="155"/>
      <c r="G137" s="156"/>
      <c r="H137" s="23"/>
      <c r="I137" s="157"/>
      <c r="J137" s="22"/>
      <c r="K137" s="22"/>
      <c r="L137" s="131"/>
    </row>
    <row r="138" spans="2:17" s="21" customFormat="1" x14ac:dyDescent="0.3">
      <c r="B138" s="158"/>
      <c r="C138" s="112"/>
      <c r="D138" s="231"/>
      <c r="E138" s="30"/>
      <c r="F138" s="112"/>
      <c r="G138" s="232"/>
      <c r="H138" s="24"/>
      <c r="I138" s="112"/>
      <c r="J138" s="22"/>
      <c r="K138" s="22"/>
      <c r="L138" s="131"/>
    </row>
    <row r="139" spans="2:17" s="21" customFormat="1" x14ac:dyDescent="0.3">
      <c r="B139" s="162"/>
      <c r="C139" s="163"/>
      <c r="E139" s="164"/>
      <c r="F139" s="165"/>
      <c r="G139" s="163"/>
      <c r="H139" s="195"/>
      <c r="I139" s="14"/>
      <c r="L139" s="131"/>
    </row>
    <row r="140" spans="2:17" s="21" customFormat="1" x14ac:dyDescent="0.3">
      <c r="B140" s="162"/>
      <c r="C140" s="163"/>
      <c r="E140" s="164"/>
      <c r="F140" s="165"/>
      <c r="G140" s="163"/>
      <c r="H140" s="25"/>
      <c r="I140" s="112"/>
      <c r="L140" s="131"/>
      <c r="O140" s="227"/>
    </row>
    <row r="141" spans="2:17" s="21" customFormat="1" ht="13.15" customHeight="1" x14ac:dyDescent="0.3">
      <c r="B141" s="234"/>
      <c r="C141" s="234"/>
      <c r="D141" s="234"/>
      <c r="E141" s="234"/>
      <c r="F141" s="234"/>
      <c r="G141" s="166"/>
      <c r="H141" s="26"/>
      <c r="I141" s="167"/>
      <c r="L141" s="131"/>
    </row>
    <row r="142" spans="2:17" s="21" customFormat="1" ht="27" customHeight="1" x14ac:dyDescent="0.3">
      <c r="B142" s="234"/>
      <c r="C142" s="234"/>
      <c r="D142" s="234"/>
      <c r="E142" s="234"/>
      <c r="F142" s="234"/>
      <c r="G142" s="166"/>
      <c r="H142" s="27"/>
      <c r="I142" s="168"/>
      <c r="L142" s="131"/>
    </row>
    <row r="143" spans="2:17" s="21" customFormat="1" ht="25.5" customHeight="1" x14ac:dyDescent="0.3">
      <c r="B143" s="234"/>
      <c r="C143" s="234"/>
      <c r="D143" s="234"/>
      <c r="E143" s="234"/>
      <c r="F143" s="234"/>
      <c r="G143" s="166"/>
      <c r="H143" s="27"/>
      <c r="I143" s="112"/>
      <c r="L143" s="131"/>
    </row>
    <row r="144" spans="2:17" s="21" customFormat="1" x14ac:dyDescent="0.3">
      <c r="B144" s="234"/>
      <c r="C144" s="234"/>
      <c r="D144" s="234"/>
      <c r="E144" s="234"/>
      <c r="F144" s="234"/>
      <c r="G144" s="166"/>
      <c r="H144" s="27"/>
      <c r="I144" s="112"/>
      <c r="L144" s="131"/>
    </row>
    <row r="145" spans="2:9" s="21" customFormat="1" x14ac:dyDescent="0.3">
      <c r="B145" s="28"/>
      <c r="D145" s="29"/>
      <c r="E145" s="30"/>
      <c r="G145" s="31"/>
      <c r="H145" s="27"/>
      <c r="I145" s="112"/>
    </row>
    <row r="146" spans="2:9" s="21" customFormat="1" x14ac:dyDescent="0.3">
      <c r="B146" s="28"/>
      <c r="D146" s="29"/>
      <c r="E146" s="30"/>
      <c r="G146" s="32"/>
      <c r="H146" s="27"/>
      <c r="I146" s="112"/>
    </row>
    <row r="147" spans="2:9" s="21" customFormat="1" x14ac:dyDescent="0.3">
      <c r="G147" s="32"/>
      <c r="H147" s="111"/>
      <c r="I147" s="112"/>
    </row>
    <row r="148" spans="2:9" s="21" customFormat="1" x14ac:dyDescent="0.3">
      <c r="G148" s="32"/>
      <c r="H148" s="111"/>
      <c r="I148" s="112"/>
    </row>
  </sheetData>
  <mergeCells count="2">
    <mergeCell ref="B141:F142"/>
    <mergeCell ref="B143:F144"/>
  </mergeCells>
  <printOptions horizontalCentered="1"/>
  <pageMargins left="0.7" right="0.7" top="0.75" bottom="0.75" header="0.3" footer="0.3"/>
  <pageSetup scale="64" orientation="landscape" r:id="rId1"/>
  <headerFooter>
    <oddHeader>&amp;CPUBLIC UTILITY COMMISSION OF TEXAS
AEP TEXAS INC
SCHEDULE IV-J-7 PROOF OF REVENUE
TEST YEAR ENDING DECEMBER 31, 2018&amp;RSchedule IV-J-7
ERCOT Matrix Transmission Calculations
&amp;A
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50"/>
  <sheetViews>
    <sheetView workbookViewId="0">
      <selection activeCell="L9" sqref="L9"/>
    </sheetView>
  </sheetViews>
  <sheetFormatPr defaultRowHeight="13" outlineLevelCol="1" x14ac:dyDescent="0.3"/>
  <cols>
    <col min="1" max="1" width="1.81640625" style="21" customWidth="1"/>
    <col min="2" max="2" width="45.26953125" style="21" customWidth="1"/>
    <col min="3" max="3" width="16.7265625" style="21" bestFit="1" customWidth="1"/>
    <col min="4" max="4" width="15.1796875" style="21" customWidth="1"/>
    <col min="5" max="5" width="11.54296875" style="21" bestFit="1" customWidth="1"/>
    <col min="6" max="6" width="15.453125" style="21" customWidth="1"/>
    <col min="7" max="7" width="17.1796875" style="21" customWidth="1"/>
    <col min="8" max="8" width="13.453125" style="111" bestFit="1" customWidth="1" outlineLevel="1"/>
    <col min="9" max="9" width="17.54296875" style="112" bestFit="1" customWidth="1"/>
    <col min="10" max="10" width="12.7265625" style="21" bestFit="1" customWidth="1"/>
    <col min="11" max="11" width="10" style="21" customWidth="1"/>
    <col min="12" max="256" width="9.1796875" style="21"/>
    <col min="257" max="257" width="1.81640625" style="21" customWidth="1"/>
    <col min="258" max="258" width="38" style="21" customWidth="1"/>
    <col min="259" max="259" width="16.7265625" style="21" bestFit="1" customWidth="1"/>
    <col min="260" max="260" width="15.1796875" style="21" customWidth="1"/>
    <col min="261" max="261" width="10.81640625" style="21" customWidth="1"/>
    <col min="262" max="262" width="15.453125" style="21" customWidth="1"/>
    <col min="263" max="263" width="17.1796875" style="21" customWidth="1"/>
    <col min="264" max="264" width="0" style="21" hidden="1" customWidth="1"/>
    <col min="265" max="265" width="17.54296875" style="21" bestFit="1" customWidth="1"/>
    <col min="266" max="267" width="16.453125" style="21" bestFit="1" customWidth="1"/>
    <col min="268" max="512" width="9.1796875" style="21"/>
    <col min="513" max="513" width="1.81640625" style="21" customWidth="1"/>
    <col min="514" max="514" width="38" style="21" customWidth="1"/>
    <col min="515" max="515" width="16.7265625" style="21" bestFit="1" customWidth="1"/>
    <col min="516" max="516" width="15.1796875" style="21" customWidth="1"/>
    <col min="517" max="517" width="10.81640625" style="21" customWidth="1"/>
    <col min="518" max="518" width="15.453125" style="21" customWidth="1"/>
    <col min="519" max="519" width="17.1796875" style="21" customWidth="1"/>
    <col min="520" max="520" width="0" style="21" hidden="1" customWidth="1"/>
    <col min="521" max="521" width="17.54296875" style="21" bestFit="1" customWidth="1"/>
    <col min="522" max="523" width="16.453125" style="21" bestFit="1" customWidth="1"/>
    <col min="524" max="768" width="9.1796875" style="21"/>
    <col min="769" max="769" width="1.81640625" style="21" customWidth="1"/>
    <col min="770" max="770" width="38" style="21" customWidth="1"/>
    <col min="771" max="771" width="16.7265625" style="21" bestFit="1" customWidth="1"/>
    <col min="772" max="772" width="15.1796875" style="21" customWidth="1"/>
    <col min="773" max="773" width="10.81640625" style="21" customWidth="1"/>
    <col min="774" max="774" width="15.453125" style="21" customWidth="1"/>
    <col min="775" max="775" width="17.1796875" style="21" customWidth="1"/>
    <col min="776" max="776" width="0" style="21" hidden="1" customWidth="1"/>
    <col min="777" max="777" width="17.54296875" style="21" bestFit="1" customWidth="1"/>
    <col min="778" max="779" width="16.453125" style="21" bestFit="1" customWidth="1"/>
    <col min="780" max="1024" width="9.1796875" style="21"/>
    <col min="1025" max="1025" width="1.81640625" style="21" customWidth="1"/>
    <col min="1026" max="1026" width="38" style="21" customWidth="1"/>
    <col min="1027" max="1027" width="16.7265625" style="21" bestFit="1" customWidth="1"/>
    <col min="1028" max="1028" width="15.1796875" style="21" customWidth="1"/>
    <col min="1029" max="1029" width="10.81640625" style="21" customWidth="1"/>
    <col min="1030" max="1030" width="15.453125" style="21" customWidth="1"/>
    <col min="1031" max="1031" width="17.1796875" style="21" customWidth="1"/>
    <col min="1032" max="1032" width="0" style="21" hidden="1" customWidth="1"/>
    <col min="1033" max="1033" width="17.54296875" style="21" bestFit="1" customWidth="1"/>
    <col min="1034" max="1035" width="16.453125" style="21" bestFit="1" customWidth="1"/>
    <col min="1036" max="1280" width="9.1796875" style="21"/>
    <col min="1281" max="1281" width="1.81640625" style="21" customWidth="1"/>
    <col min="1282" max="1282" width="38" style="21" customWidth="1"/>
    <col min="1283" max="1283" width="16.7265625" style="21" bestFit="1" customWidth="1"/>
    <col min="1284" max="1284" width="15.1796875" style="21" customWidth="1"/>
    <col min="1285" max="1285" width="10.81640625" style="21" customWidth="1"/>
    <col min="1286" max="1286" width="15.453125" style="21" customWidth="1"/>
    <col min="1287" max="1287" width="17.1796875" style="21" customWidth="1"/>
    <col min="1288" max="1288" width="0" style="21" hidden="1" customWidth="1"/>
    <col min="1289" max="1289" width="17.54296875" style="21" bestFit="1" customWidth="1"/>
    <col min="1290" max="1291" width="16.453125" style="21" bestFit="1" customWidth="1"/>
    <col min="1292" max="1536" width="9.1796875" style="21"/>
    <col min="1537" max="1537" width="1.81640625" style="21" customWidth="1"/>
    <col min="1538" max="1538" width="38" style="21" customWidth="1"/>
    <col min="1539" max="1539" width="16.7265625" style="21" bestFit="1" customWidth="1"/>
    <col min="1540" max="1540" width="15.1796875" style="21" customWidth="1"/>
    <col min="1541" max="1541" width="10.81640625" style="21" customWidth="1"/>
    <col min="1542" max="1542" width="15.453125" style="21" customWidth="1"/>
    <col min="1543" max="1543" width="17.1796875" style="21" customWidth="1"/>
    <col min="1544" max="1544" width="0" style="21" hidden="1" customWidth="1"/>
    <col min="1545" max="1545" width="17.54296875" style="21" bestFit="1" customWidth="1"/>
    <col min="1546" max="1547" width="16.453125" style="21" bestFit="1" customWidth="1"/>
    <col min="1548" max="1792" width="9.1796875" style="21"/>
    <col min="1793" max="1793" width="1.81640625" style="21" customWidth="1"/>
    <col min="1794" max="1794" width="38" style="21" customWidth="1"/>
    <col min="1795" max="1795" width="16.7265625" style="21" bestFit="1" customWidth="1"/>
    <col min="1796" max="1796" width="15.1796875" style="21" customWidth="1"/>
    <col min="1797" max="1797" width="10.81640625" style="21" customWidth="1"/>
    <col min="1798" max="1798" width="15.453125" style="21" customWidth="1"/>
    <col min="1799" max="1799" width="17.1796875" style="21" customWidth="1"/>
    <col min="1800" max="1800" width="0" style="21" hidden="1" customWidth="1"/>
    <col min="1801" max="1801" width="17.54296875" style="21" bestFit="1" customWidth="1"/>
    <col min="1802" max="1803" width="16.453125" style="21" bestFit="1" customWidth="1"/>
    <col min="1804" max="2048" width="9.1796875" style="21"/>
    <col min="2049" max="2049" width="1.81640625" style="21" customWidth="1"/>
    <col min="2050" max="2050" width="38" style="21" customWidth="1"/>
    <col min="2051" max="2051" width="16.7265625" style="21" bestFit="1" customWidth="1"/>
    <col min="2052" max="2052" width="15.1796875" style="21" customWidth="1"/>
    <col min="2053" max="2053" width="10.81640625" style="21" customWidth="1"/>
    <col min="2054" max="2054" width="15.453125" style="21" customWidth="1"/>
    <col min="2055" max="2055" width="17.1796875" style="21" customWidth="1"/>
    <col min="2056" max="2056" width="0" style="21" hidden="1" customWidth="1"/>
    <col min="2057" max="2057" width="17.54296875" style="21" bestFit="1" customWidth="1"/>
    <col min="2058" max="2059" width="16.453125" style="21" bestFit="1" customWidth="1"/>
    <col min="2060" max="2304" width="9.1796875" style="21"/>
    <col min="2305" max="2305" width="1.81640625" style="21" customWidth="1"/>
    <col min="2306" max="2306" width="38" style="21" customWidth="1"/>
    <col min="2307" max="2307" width="16.7265625" style="21" bestFit="1" customWidth="1"/>
    <col min="2308" max="2308" width="15.1796875" style="21" customWidth="1"/>
    <col min="2309" max="2309" width="10.81640625" style="21" customWidth="1"/>
    <col min="2310" max="2310" width="15.453125" style="21" customWidth="1"/>
    <col min="2311" max="2311" width="17.1796875" style="21" customWidth="1"/>
    <col min="2312" max="2312" width="0" style="21" hidden="1" customWidth="1"/>
    <col min="2313" max="2313" width="17.54296875" style="21" bestFit="1" customWidth="1"/>
    <col min="2314" max="2315" width="16.453125" style="21" bestFit="1" customWidth="1"/>
    <col min="2316" max="2560" width="9.1796875" style="21"/>
    <col min="2561" max="2561" width="1.81640625" style="21" customWidth="1"/>
    <col min="2562" max="2562" width="38" style="21" customWidth="1"/>
    <col min="2563" max="2563" width="16.7265625" style="21" bestFit="1" customWidth="1"/>
    <col min="2564" max="2564" width="15.1796875" style="21" customWidth="1"/>
    <col min="2565" max="2565" width="10.81640625" style="21" customWidth="1"/>
    <col min="2566" max="2566" width="15.453125" style="21" customWidth="1"/>
    <col min="2567" max="2567" width="17.1796875" style="21" customWidth="1"/>
    <col min="2568" max="2568" width="0" style="21" hidden="1" customWidth="1"/>
    <col min="2569" max="2569" width="17.54296875" style="21" bestFit="1" customWidth="1"/>
    <col min="2570" max="2571" width="16.453125" style="21" bestFit="1" customWidth="1"/>
    <col min="2572" max="2816" width="9.1796875" style="21"/>
    <col min="2817" max="2817" width="1.81640625" style="21" customWidth="1"/>
    <col min="2818" max="2818" width="38" style="21" customWidth="1"/>
    <col min="2819" max="2819" width="16.7265625" style="21" bestFit="1" customWidth="1"/>
    <col min="2820" max="2820" width="15.1796875" style="21" customWidth="1"/>
    <col min="2821" max="2821" width="10.81640625" style="21" customWidth="1"/>
    <col min="2822" max="2822" width="15.453125" style="21" customWidth="1"/>
    <col min="2823" max="2823" width="17.1796875" style="21" customWidth="1"/>
    <col min="2824" max="2824" width="0" style="21" hidden="1" customWidth="1"/>
    <col min="2825" max="2825" width="17.54296875" style="21" bestFit="1" customWidth="1"/>
    <col min="2826" max="2827" width="16.453125" style="21" bestFit="1" customWidth="1"/>
    <col min="2828" max="3072" width="9.1796875" style="21"/>
    <col min="3073" max="3073" width="1.81640625" style="21" customWidth="1"/>
    <col min="3074" max="3074" width="38" style="21" customWidth="1"/>
    <col min="3075" max="3075" width="16.7265625" style="21" bestFit="1" customWidth="1"/>
    <col min="3076" max="3076" width="15.1796875" style="21" customWidth="1"/>
    <col min="3077" max="3077" width="10.81640625" style="21" customWidth="1"/>
    <col min="3078" max="3078" width="15.453125" style="21" customWidth="1"/>
    <col min="3079" max="3079" width="17.1796875" style="21" customWidth="1"/>
    <col min="3080" max="3080" width="0" style="21" hidden="1" customWidth="1"/>
    <col min="3081" max="3081" width="17.54296875" style="21" bestFit="1" customWidth="1"/>
    <col min="3082" max="3083" width="16.453125" style="21" bestFit="1" customWidth="1"/>
    <col min="3084" max="3328" width="9.1796875" style="21"/>
    <col min="3329" max="3329" width="1.81640625" style="21" customWidth="1"/>
    <col min="3330" max="3330" width="38" style="21" customWidth="1"/>
    <col min="3331" max="3331" width="16.7265625" style="21" bestFit="1" customWidth="1"/>
    <col min="3332" max="3332" width="15.1796875" style="21" customWidth="1"/>
    <col min="3333" max="3333" width="10.81640625" style="21" customWidth="1"/>
    <col min="3334" max="3334" width="15.453125" style="21" customWidth="1"/>
    <col min="3335" max="3335" width="17.1796875" style="21" customWidth="1"/>
    <col min="3336" max="3336" width="0" style="21" hidden="1" customWidth="1"/>
    <col min="3337" max="3337" width="17.54296875" style="21" bestFit="1" customWidth="1"/>
    <col min="3338" max="3339" width="16.453125" style="21" bestFit="1" customWidth="1"/>
    <col min="3340" max="3584" width="9.1796875" style="21"/>
    <col min="3585" max="3585" width="1.81640625" style="21" customWidth="1"/>
    <col min="3586" max="3586" width="38" style="21" customWidth="1"/>
    <col min="3587" max="3587" width="16.7265625" style="21" bestFit="1" customWidth="1"/>
    <col min="3588" max="3588" width="15.1796875" style="21" customWidth="1"/>
    <col min="3589" max="3589" width="10.81640625" style="21" customWidth="1"/>
    <col min="3590" max="3590" width="15.453125" style="21" customWidth="1"/>
    <col min="3591" max="3591" width="17.1796875" style="21" customWidth="1"/>
    <col min="3592" max="3592" width="0" style="21" hidden="1" customWidth="1"/>
    <col min="3593" max="3593" width="17.54296875" style="21" bestFit="1" customWidth="1"/>
    <col min="3594" max="3595" width="16.453125" style="21" bestFit="1" customWidth="1"/>
    <col min="3596" max="3840" width="9.1796875" style="21"/>
    <col min="3841" max="3841" width="1.81640625" style="21" customWidth="1"/>
    <col min="3842" max="3842" width="38" style="21" customWidth="1"/>
    <col min="3843" max="3843" width="16.7265625" style="21" bestFit="1" customWidth="1"/>
    <col min="3844" max="3844" width="15.1796875" style="21" customWidth="1"/>
    <col min="3845" max="3845" width="10.81640625" style="21" customWidth="1"/>
    <col min="3846" max="3846" width="15.453125" style="21" customWidth="1"/>
    <col min="3847" max="3847" width="17.1796875" style="21" customWidth="1"/>
    <col min="3848" max="3848" width="0" style="21" hidden="1" customWidth="1"/>
    <col min="3849" max="3849" width="17.54296875" style="21" bestFit="1" customWidth="1"/>
    <col min="3850" max="3851" width="16.453125" style="21" bestFit="1" customWidth="1"/>
    <col min="3852" max="4096" width="9.1796875" style="21"/>
    <col min="4097" max="4097" width="1.81640625" style="21" customWidth="1"/>
    <col min="4098" max="4098" width="38" style="21" customWidth="1"/>
    <col min="4099" max="4099" width="16.7265625" style="21" bestFit="1" customWidth="1"/>
    <col min="4100" max="4100" width="15.1796875" style="21" customWidth="1"/>
    <col min="4101" max="4101" width="10.81640625" style="21" customWidth="1"/>
    <col min="4102" max="4102" width="15.453125" style="21" customWidth="1"/>
    <col min="4103" max="4103" width="17.1796875" style="21" customWidth="1"/>
    <col min="4104" max="4104" width="0" style="21" hidden="1" customWidth="1"/>
    <col min="4105" max="4105" width="17.54296875" style="21" bestFit="1" customWidth="1"/>
    <col min="4106" max="4107" width="16.453125" style="21" bestFit="1" customWidth="1"/>
    <col min="4108" max="4352" width="9.1796875" style="21"/>
    <col min="4353" max="4353" width="1.81640625" style="21" customWidth="1"/>
    <col min="4354" max="4354" width="38" style="21" customWidth="1"/>
    <col min="4355" max="4355" width="16.7265625" style="21" bestFit="1" customWidth="1"/>
    <col min="4356" max="4356" width="15.1796875" style="21" customWidth="1"/>
    <col min="4357" max="4357" width="10.81640625" style="21" customWidth="1"/>
    <col min="4358" max="4358" width="15.453125" style="21" customWidth="1"/>
    <col min="4359" max="4359" width="17.1796875" style="21" customWidth="1"/>
    <col min="4360" max="4360" width="0" style="21" hidden="1" customWidth="1"/>
    <col min="4361" max="4361" width="17.54296875" style="21" bestFit="1" customWidth="1"/>
    <col min="4362" max="4363" width="16.453125" style="21" bestFit="1" customWidth="1"/>
    <col min="4364" max="4608" width="9.1796875" style="21"/>
    <col min="4609" max="4609" width="1.81640625" style="21" customWidth="1"/>
    <col min="4610" max="4610" width="38" style="21" customWidth="1"/>
    <col min="4611" max="4611" width="16.7265625" style="21" bestFit="1" customWidth="1"/>
    <col min="4612" max="4612" width="15.1796875" style="21" customWidth="1"/>
    <col min="4613" max="4613" width="10.81640625" style="21" customWidth="1"/>
    <col min="4614" max="4614" width="15.453125" style="21" customWidth="1"/>
    <col min="4615" max="4615" width="17.1796875" style="21" customWidth="1"/>
    <col min="4616" max="4616" width="0" style="21" hidden="1" customWidth="1"/>
    <col min="4617" max="4617" width="17.54296875" style="21" bestFit="1" customWidth="1"/>
    <col min="4618" max="4619" width="16.453125" style="21" bestFit="1" customWidth="1"/>
    <col min="4620" max="4864" width="9.1796875" style="21"/>
    <col min="4865" max="4865" width="1.81640625" style="21" customWidth="1"/>
    <col min="4866" max="4866" width="38" style="21" customWidth="1"/>
    <col min="4867" max="4867" width="16.7265625" style="21" bestFit="1" customWidth="1"/>
    <col min="4868" max="4868" width="15.1796875" style="21" customWidth="1"/>
    <col min="4869" max="4869" width="10.81640625" style="21" customWidth="1"/>
    <col min="4870" max="4870" width="15.453125" style="21" customWidth="1"/>
    <col min="4871" max="4871" width="17.1796875" style="21" customWidth="1"/>
    <col min="4872" max="4872" width="0" style="21" hidden="1" customWidth="1"/>
    <col min="4873" max="4873" width="17.54296875" style="21" bestFit="1" customWidth="1"/>
    <col min="4874" max="4875" width="16.453125" style="21" bestFit="1" customWidth="1"/>
    <col min="4876" max="5120" width="9.1796875" style="21"/>
    <col min="5121" max="5121" width="1.81640625" style="21" customWidth="1"/>
    <col min="5122" max="5122" width="38" style="21" customWidth="1"/>
    <col min="5123" max="5123" width="16.7265625" style="21" bestFit="1" customWidth="1"/>
    <col min="5124" max="5124" width="15.1796875" style="21" customWidth="1"/>
    <col min="5125" max="5125" width="10.81640625" style="21" customWidth="1"/>
    <col min="5126" max="5126" width="15.453125" style="21" customWidth="1"/>
    <col min="5127" max="5127" width="17.1796875" style="21" customWidth="1"/>
    <col min="5128" max="5128" width="0" style="21" hidden="1" customWidth="1"/>
    <col min="5129" max="5129" width="17.54296875" style="21" bestFit="1" customWidth="1"/>
    <col min="5130" max="5131" width="16.453125" style="21" bestFit="1" customWidth="1"/>
    <col min="5132" max="5376" width="9.1796875" style="21"/>
    <col min="5377" max="5377" width="1.81640625" style="21" customWidth="1"/>
    <col min="5378" max="5378" width="38" style="21" customWidth="1"/>
    <col min="5379" max="5379" width="16.7265625" style="21" bestFit="1" customWidth="1"/>
    <col min="5380" max="5380" width="15.1796875" style="21" customWidth="1"/>
    <col min="5381" max="5381" width="10.81640625" style="21" customWidth="1"/>
    <col min="5382" max="5382" width="15.453125" style="21" customWidth="1"/>
    <col min="5383" max="5383" width="17.1796875" style="21" customWidth="1"/>
    <col min="5384" max="5384" width="0" style="21" hidden="1" customWidth="1"/>
    <col min="5385" max="5385" width="17.54296875" style="21" bestFit="1" customWidth="1"/>
    <col min="5386" max="5387" width="16.453125" style="21" bestFit="1" customWidth="1"/>
    <col min="5388" max="5632" width="9.1796875" style="21"/>
    <col min="5633" max="5633" width="1.81640625" style="21" customWidth="1"/>
    <col min="5634" max="5634" width="38" style="21" customWidth="1"/>
    <col min="5635" max="5635" width="16.7265625" style="21" bestFit="1" customWidth="1"/>
    <col min="5636" max="5636" width="15.1796875" style="21" customWidth="1"/>
    <col min="5637" max="5637" width="10.81640625" style="21" customWidth="1"/>
    <col min="5638" max="5638" width="15.453125" style="21" customWidth="1"/>
    <col min="5639" max="5639" width="17.1796875" style="21" customWidth="1"/>
    <col min="5640" max="5640" width="0" style="21" hidden="1" customWidth="1"/>
    <col min="5641" max="5641" width="17.54296875" style="21" bestFit="1" customWidth="1"/>
    <col min="5642" max="5643" width="16.453125" style="21" bestFit="1" customWidth="1"/>
    <col min="5644" max="5888" width="9.1796875" style="21"/>
    <col min="5889" max="5889" width="1.81640625" style="21" customWidth="1"/>
    <col min="5890" max="5890" width="38" style="21" customWidth="1"/>
    <col min="5891" max="5891" width="16.7265625" style="21" bestFit="1" customWidth="1"/>
    <col min="5892" max="5892" width="15.1796875" style="21" customWidth="1"/>
    <col min="5893" max="5893" width="10.81640625" style="21" customWidth="1"/>
    <col min="5894" max="5894" width="15.453125" style="21" customWidth="1"/>
    <col min="5895" max="5895" width="17.1796875" style="21" customWidth="1"/>
    <col min="5896" max="5896" width="0" style="21" hidden="1" customWidth="1"/>
    <col min="5897" max="5897" width="17.54296875" style="21" bestFit="1" customWidth="1"/>
    <col min="5898" max="5899" width="16.453125" style="21" bestFit="1" customWidth="1"/>
    <col min="5900" max="6144" width="9.1796875" style="21"/>
    <col min="6145" max="6145" width="1.81640625" style="21" customWidth="1"/>
    <col min="6146" max="6146" width="38" style="21" customWidth="1"/>
    <col min="6147" max="6147" width="16.7265625" style="21" bestFit="1" customWidth="1"/>
    <col min="6148" max="6148" width="15.1796875" style="21" customWidth="1"/>
    <col min="6149" max="6149" width="10.81640625" style="21" customWidth="1"/>
    <col min="6150" max="6150" width="15.453125" style="21" customWidth="1"/>
    <col min="6151" max="6151" width="17.1796875" style="21" customWidth="1"/>
    <col min="6152" max="6152" width="0" style="21" hidden="1" customWidth="1"/>
    <col min="6153" max="6153" width="17.54296875" style="21" bestFit="1" customWidth="1"/>
    <col min="6154" max="6155" width="16.453125" style="21" bestFit="1" customWidth="1"/>
    <col min="6156" max="6400" width="9.1796875" style="21"/>
    <col min="6401" max="6401" width="1.81640625" style="21" customWidth="1"/>
    <col min="6402" max="6402" width="38" style="21" customWidth="1"/>
    <col min="6403" max="6403" width="16.7265625" style="21" bestFit="1" customWidth="1"/>
    <col min="6404" max="6404" width="15.1796875" style="21" customWidth="1"/>
    <col min="6405" max="6405" width="10.81640625" style="21" customWidth="1"/>
    <col min="6406" max="6406" width="15.453125" style="21" customWidth="1"/>
    <col min="6407" max="6407" width="17.1796875" style="21" customWidth="1"/>
    <col min="6408" max="6408" width="0" style="21" hidden="1" customWidth="1"/>
    <col min="6409" max="6409" width="17.54296875" style="21" bestFit="1" customWidth="1"/>
    <col min="6410" max="6411" width="16.453125" style="21" bestFit="1" customWidth="1"/>
    <col min="6412" max="6656" width="9.1796875" style="21"/>
    <col min="6657" max="6657" width="1.81640625" style="21" customWidth="1"/>
    <col min="6658" max="6658" width="38" style="21" customWidth="1"/>
    <col min="6659" max="6659" width="16.7265625" style="21" bestFit="1" customWidth="1"/>
    <col min="6660" max="6660" width="15.1796875" style="21" customWidth="1"/>
    <col min="6661" max="6661" width="10.81640625" style="21" customWidth="1"/>
    <col min="6662" max="6662" width="15.453125" style="21" customWidth="1"/>
    <col min="6663" max="6663" width="17.1796875" style="21" customWidth="1"/>
    <col min="6664" max="6664" width="0" style="21" hidden="1" customWidth="1"/>
    <col min="6665" max="6665" width="17.54296875" style="21" bestFit="1" customWidth="1"/>
    <col min="6666" max="6667" width="16.453125" style="21" bestFit="1" customWidth="1"/>
    <col min="6668" max="6912" width="9.1796875" style="21"/>
    <col min="6913" max="6913" width="1.81640625" style="21" customWidth="1"/>
    <col min="6914" max="6914" width="38" style="21" customWidth="1"/>
    <col min="6915" max="6915" width="16.7265625" style="21" bestFit="1" customWidth="1"/>
    <col min="6916" max="6916" width="15.1796875" style="21" customWidth="1"/>
    <col min="6917" max="6917" width="10.81640625" style="21" customWidth="1"/>
    <col min="6918" max="6918" width="15.453125" style="21" customWidth="1"/>
    <col min="6919" max="6919" width="17.1796875" style="21" customWidth="1"/>
    <col min="6920" max="6920" width="0" style="21" hidden="1" customWidth="1"/>
    <col min="6921" max="6921" width="17.54296875" style="21" bestFit="1" customWidth="1"/>
    <col min="6922" max="6923" width="16.453125" style="21" bestFit="1" customWidth="1"/>
    <col min="6924" max="7168" width="9.1796875" style="21"/>
    <col min="7169" max="7169" width="1.81640625" style="21" customWidth="1"/>
    <col min="7170" max="7170" width="38" style="21" customWidth="1"/>
    <col min="7171" max="7171" width="16.7265625" style="21" bestFit="1" customWidth="1"/>
    <col min="7172" max="7172" width="15.1796875" style="21" customWidth="1"/>
    <col min="7173" max="7173" width="10.81640625" style="21" customWidth="1"/>
    <col min="7174" max="7174" width="15.453125" style="21" customWidth="1"/>
    <col min="7175" max="7175" width="17.1796875" style="21" customWidth="1"/>
    <col min="7176" max="7176" width="0" style="21" hidden="1" customWidth="1"/>
    <col min="7177" max="7177" width="17.54296875" style="21" bestFit="1" customWidth="1"/>
    <col min="7178" max="7179" width="16.453125" style="21" bestFit="1" customWidth="1"/>
    <col min="7180" max="7424" width="9.1796875" style="21"/>
    <col min="7425" max="7425" width="1.81640625" style="21" customWidth="1"/>
    <col min="7426" max="7426" width="38" style="21" customWidth="1"/>
    <col min="7427" max="7427" width="16.7265625" style="21" bestFit="1" customWidth="1"/>
    <col min="7428" max="7428" width="15.1796875" style="21" customWidth="1"/>
    <col min="7429" max="7429" width="10.81640625" style="21" customWidth="1"/>
    <col min="7430" max="7430" width="15.453125" style="21" customWidth="1"/>
    <col min="7431" max="7431" width="17.1796875" style="21" customWidth="1"/>
    <col min="7432" max="7432" width="0" style="21" hidden="1" customWidth="1"/>
    <col min="7433" max="7433" width="17.54296875" style="21" bestFit="1" customWidth="1"/>
    <col min="7434" max="7435" width="16.453125" style="21" bestFit="1" customWidth="1"/>
    <col min="7436" max="7680" width="9.1796875" style="21"/>
    <col min="7681" max="7681" width="1.81640625" style="21" customWidth="1"/>
    <col min="7682" max="7682" width="38" style="21" customWidth="1"/>
    <col min="7683" max="7683" width="16.7265625" style="21" bestFit="1" customWidth="1"/>
    <col min="7684" max="7684" width="15.1796875" style="21" customWidth="1"/>
    <col min="7685" max="7685" width="10.81640625" style="21" customWidth="1"/>
    <col min="7686" max="7686" width="15.453125" style="21" customWidth="1"/>
    <col min="7687" max="7687" width="17.1796875" style="21" customWidth="1"/>
    <col min="7688" max="7688" width="0" style="21" hidden="1" customWidth="1"/>
    <col min="7689" max="7689" width="17.54296875" style="21" bestFit="1" customWidth="1"/>
    <col min="7690" max="7691" width="16.453125" style="21" bestFit="1" customWidth="1"/>
    <col min="7692" max="7936" width="9.1796875" style="21"/>
    <col min="7937" max="7937" width="1.81640625" style="21" customWidth="1"/>
    <col min="7938" max="7938" width="38" style="21" customWidth="1"/>
    <col min="7939" max="7939" width="16.7265625" style="21" bestFit="1" customWidth="1"/>
    <col min="7940" max="7940" width="15.1796875" style="21" customWidth="1"/>
    <col min="7941" max="7941" width="10.81640625" style="21" customWidth="1"/>
    <col min="7942" max="7942" width="15.453125" style="21" customWidth="1"/>
    <col min="7943" max="7943" width="17.1796875" style="21" customWidth="1"/>
    <col min="7944" max="7944" width="0" style="21" hidden="1" customWidth="1"/>
    <col min="7945" max="7945" width="17.54296875" style="21" bestFit="1" customWidth="1"/>
    <col min="7946" max="7947" width="16.453125" style="21" bestFit="1" customWidth="1"/>
    <col min="7948" max="8192" width="9.1796875" style="21"/>
    <col min="8193" max="8193" width="1.81640625" style="21" customWidth="1"/>
    <col min="8194" max="8194" width="38" style="21" customWidth="1"/>
    <col min="8195" max="8195" width="16.7265625" style="21" bestFit="1" customWidth="1"/>
    <col min="8196" max="8196" width="15.1796875" style="21" customWidth="1"/>
    <col min="8197" max="8197" width="10.81640625" style="21" customWidth="1"/>
    <col min="8198" max="8198" width="15.453125" style="21" customWidth="1"/>
    <col min="8199" max="8199" width="17.1796875" style="21" customWidth="1"/>
    <col min="8200" max="8200" width="0" style="21" hidden="1" customWidth="1"/>
    <col min="8201" max="8201" width="17.54296875" style="21" bestFit="1" customWidth="1"/>
    <col min="8202" max="8203" width="16.453125" style="21" bestFit="1" customWidth="1"/>
    <col min="8204" max="8448" width="9.1796875" style="21"/>
    <col min="8449" max="8449" width="1.81640625" style="21" customWidth="1"/>
    <col min="8450" max="8450" width="38" style="21" customWidth="1"/>
    <col min="8451" max="8451" width="16.7265625" style="21" bestFit="1" customWidth="1"/>
    <col min="8452" max="8452" width="15.1796875" style="21" customWidth="1"/>
    <col min="8453" max="8453" width="10.81640625" style="21" customWidth="1"/>
    <col min="8454" max="8454" width="15.453125" style="21" customWidth="1"/>
    <col min="8455" max="8455" width="17.1796875" style="21" customWidth="1"/>
    <col min="8456" max="8456" width="0" style="21" hidden="1" customWidth="1"/>
    <col min="8457" max="8457" width="17.54296875" style="21" bestFit="1" customWidth="1"/>
    <col min="8458" max="8459" width="16.453125" style="21" bestFit="1" customWidth="1"/>
    <col min="8460" max="8704" width="9.1796875" style="21"/>
    <col min="8705" max="8705" width="1.81640625" style="21" customWidth="1"/>
    <col min="8706" max="8706" width="38" style="21" customWidth="1"/>
    <col min="8707" max="8707" width="16.7265625" style="21" bestFit="1" customWidth="1"/>
    <col min="8708" max="8708" width="15.1796875" style="21" customWidth="1"/>
    <col min="8709" max="8709" width="10.81640625" style="21" customWidth="1"/>
    <col min="8710" max="8710" width="15.453125" style="21" customWidth="1"/>
    <col min="8711" max="8711" width="17.1796875" style="21" customWidth="1"/>
    <col min="8712" max="8712" width="0" style="21" hidden="1" customWidth="1"/>
    <col min="8713" max="8713" width="17.54296875" style="21" bestFit="1" customWidth="1"/>
    <col min="8714" max="8715" width="16.453125" style="21" bestFit="1" customWidth="1"/>
    <col min="8716" max="8960" width="9.1796875" style="21"/>
    <col min="8961" max="8961" width="1.81640625" style="21" customWidth="1"/>
    <col min="8962" max="8962" width="38" style="21" customWidth="1"/>
    <col min="8963" max="8963" width="16.7265625" style="21" bestFit="1" customWidth="1"/>
    <col min="8964" max="8964" width="15.1796875" style="21" customWidth="1"/>
    <col min="8965" max="8965" width="10.81640625" style="21" customWidth="1"/>
    <col min="8966" max="8966" width="15.453125" style="21" customWidth="1"/>
    <col min="8967" max="8967" width="17.1796875" style="21" customWidth="1"/>
    <col min="8968" max="8968" width="0" style="21" hidden="1" customWidth="1"/>
    <col min="8969" max="8969" width="17.54296875" style="21" bestFit="1" customWidth="1"/>
    <col min="8970" max="8971" width="16.453125" style="21" bestFit="1" customWidth="1"/>
    <col min="8972" max="9216" width="9.1796875" style="21"/>
    <col min="9217" max="9217" width="1.81640625" style="21" customWidth="1"/>
    <col min="9218" max="9218" width="38" style="21" customWidth="1"/>
    <col min="9219" max="9219" width="16.7265625" style="21" bestFit="1" customWidth="1"/>
    <col min="9220" max="9220" width="15.1796875" style="21" customWidth="1"/>
    <col min="9221" max="9221" width="10.81640625" style="21" customWidth="1"/>
    <col min="9222" max="9222" width="15.453125" style="21" customWidth="1"/>
    <col min="9223" max="9223" width="17.1796875" style="21" customWidth="1"/>
    <col min="9224" max="9224" width="0" style="21" hidden="1" customWidth="1"/>
    <col min="9225" max="9225" width="17.54296875" style="21" bestFit="1" customWidth="1"/>
    <col min="9226" max="9227" width="16.453125" style="21" bestFit="1" customWidth="1"/>
    <col min="9228" max="9472" width="9.1796875" style="21"/>
    <col min="9473" max="9473" width="1.81640625" style="21" customWidth="1"/>
    <col min="9474" max="9474" width="38" style="21" customWidth="1"/>
    <col min="9475" max="9475" width="16.7265625" style="21" bestFit="1" customWidth="1"/>
    <col min="9476" max="9476" width="15.1796875" style="21" customWidth="1"/>
    <col min="9477" max="9477" width="10.81640625" style="21" customWidth="1"/>
    <col min="9478" max="9478" width="15.453125" style="21" customWidth="1"/>
    <col min="9479" max="9479" width="17.1796875" style="21" customWidth="1"/>
    <col min="9480" max="9480" width="0" style="21" hidden="1" customWidth="1"/>
    <col min="9481" max="9481" width="17.54296875" style="21" bestFit="1" customWidth="1"/>
    <col min="9482" max="9483" width="16.453125" style="21" bestFit="1" customWidth="1"/>
    <col min="9484" max="9728" width="9.1796875" style="21"/>
    <col min="9729" max="9729" width="1.81640625" style="21" customWidth="1"/>
    <col min="9730" max="9730" width="38" style="21" customWidth="1"/>
    <col min="9731" max="9731" width="16.7265625" style="21" bestFit="1" customWidth="1"/>
    <col min="9732" max="9732" width="15.1796875" style="21" customWidth="1"/>
    <col min="9733" max="9733" width="10.81640625" style="21" customWidth="1"/>
    <col min="9734" max="9734" width="15.453125" style="21" customWidth="1"/>
    <col min="9735" max="9735" width="17.1796875" style="21" customWidth="1"/>
    <col min="9736" max="9736" width="0" style="21" hidden="1" customWidth="1"/>
    <col min="9737" max="9737" width="17.54296875" style="21" bestFit="1" customWidth="1"/>
    <col min="9738" max="9739" width="16.453125" style="21" bestFit="1" customWidth="1"/>
    <col min="9740" max="9984" width="9.1796875" style="21"/>
    <col min="9985" max="9985" width="1.81640625" style="21" customWidth="1"/>
    <col min="9986" max="9986" width="38" style="21" customWidth="1"/>
    <col min="9987" max="9987" width="16.7265625" style="21" bestFit="1" customWidth="1"/>
    <col min="9988" max="9988" width="15.1796875" style="21" customWidth="1"/>
    <col min="9989" max="9989" width="10.81640625" style="21" customWidth="1"/>
    <col min="9990" max="9990" width="15.453125" style="21" customWidth="1"/>
    <col min="9991" max="9991" width="17.1796875" style="21" customWidth="1"/>
    <col min="9992" max="9992" width="0" style="21" hidden="1" customWidth="1"/>
    <col min="9993" max="9993" width="17.54296875" style="21" bestFit="1" customWidth="1"/>
    <col min="9994" max="9995" width="16.453125" style="21" bestFit="1" customWidth="1"/>
    <col min="9996" max="10240" width="9.1796875" style="21"/>
    <col min="10241" max="10241" width="1.81640625" style="21" customWidth="1"/>
    <col min="10242" max="10242" width="38" style="21" customWidth="1"/>
    <col min="10243" max="10243" width="16.7265625" style="21" bestFit="1" customWidth="1"/>
    <col min="10244" max="10244" width="15.1796875" style="21" customWidth="1"/>
    <col min="10245" max="10245" width="10.81640625" style="21" customWidth="1"/>
    <col min="10246" max="10246" width="15.453125" style="21" customWidth="1"/>
    <col min="10247" max="10247" width="17.1796875" style="21" customWidth="1"/>
    <col min="10248" max="10248" width="0" style="21" hidden="1" customWidth="1"/>
    <col min="10249" max="10249" width="17.54296875" style="21" bestFit="1" customWidth="1"/>
    <col min="10250" max="10251" width="16.453125" style="21" bestFit="1" customWidth="1"/>
    <col min="10252" max="10496" width="9.1796875" style="21"/>
    <col min="10497" max="10497" width="1.81640625" style="21" customWidth="1"/>
    <col min="10498" max="10498" width="38" style="21" customWidth="1"/>
    <col min="10499" max="10499" width="16.7265625" style="21" bestFit="1" customWidth="1"/>
    <col min="10500" max="10500" width="15.1796875" style="21" customWidth="1"/>
    <col min="10501" max="10501" width="10.81640625" style="21" customWidth="1"/>
    <col min="10502" max="10502" width="15.453125" style="21" customWidth="1"/>
    <col min="10503" max="10503" width="17.1796875" style="21" customWidth="1"/>
    <col min="10504" max="10504" width="0" style="21" hidden="1" customWidth="1"/>
    <col min="10505" max="10505" width="17.54296875" style="21" bestFit="1" customWidth="1"/>
    <col min="10506" max="10507" width="16.453125" style="21" bestFit="1" customWidth="1"/>
    <col min="10508" max="10752" width="9.1796875" style="21"/>
    <col min="10753" max="10753" width="1.81640625" style="21" customWidth="1"/>
    <col min="10754" max="10754" width="38" style="21" customWidth="1"/>
    <col min="10755" max="10755" width="16.7265625" style="21" bestFit="1" customWidth="1"/>
    <col min="10756" max="10756" width="15.1796875" style="21" customWidth="1"/>
    <col min="10757" max="10757" width="10.81640625" style="21" customWidth="1"/>
    <col min="10758" max="10758" width="15.453125" style="21" customWidth="1"/>
    <col min="10759" max="10759" width="17.1796875" style="21" customWidth="1"/>
    <col min="10760" max="10760" width="0" style="21" hidden="1" customWidth="1"/>
    <col min="10761" max="10761" width="17.54296875" style="21" bestFit="1" customWidth="1"/>
    <col min="10762" max="10763" width="16.453125" style="21" bestFit="1" customWidth="1"/>
    <col min="10764" max="11008" width="9.1796875" style="21"/>
    <col min="11009" max="11009" width="1.81640625" style="21" customWidth="1"/>
    <col min="11010" max="11010" width="38" style="21" customWidth="1"/>
    <col min="11011" max="11011" width="16.7265625" style="21" bestFit="1" customWidth="1"/>
    <col min="11012" max="11012" width="15.1796875" style="21" customWidth="1"/>
    <col min="11013" max="11013" width="10.81640625" style="21" customWidth="1"/>
    <col min="11014" max="11014" width="15.453125" style="21" customWidth="1"/>
    <col min="11015" max="11015" width="17.1796875" style="21" customWidth="1"/>
    <col min="11016" max="11016" width="0" style="21" hidden="1" customWidth="1"/>
    <col min="11017" max="11017" width="17.54296875" style="21" bestFit="1" customWidth="1"/>
    <col min="11018" max="11019" width="16.453125" style="21" bestFit="1" customWidth="1"/>
    <col min="11020" max="11264" width="9.1796875" style="21"/>
    <col min="11265" max="11265" width="1.81640625" style="21" customWidth="1"/>
    <col min="11266" max="11266" width="38" style="21" customWidth="1"/>
    <col min="11267" max="11267" width="16.7265625" style="21" bestFit="1" customWidth="1"/>
    <col min="11268" max="11268" width="15.1796875" style="21" customWidth="1"/>
    <col min="11269" max="11269" width="10.81640625" style="21" customWidth="1"/>
    <col min="11270" max="11270" width="15.453125" style="21" customWidth="1"/>
    <col min="11271" max="11271" width="17.1796875" style="21" customWidth="1"/>
    <col min="11272" max="11272" width="0" style="21" hidden="1" customWidth="1"/>
    <col min="11273" max="11273" width="17.54296875" style="21" bestFit="1" customWidth="1"/>
    <col min="11274" max="11275" width="16.453125" style="21" bestFit="1" customWidth="1"/>
    <col min="11276" max="11520" width="9.1796875" style="21"/>
    <col min="11521" max="11521" width="1.81640625" style="21" customWidth="1"/>
    <col min="11522" max="11522" width="38" style="21" customWidth="1"/>
    <col min="11523" max="11523" width="16.7265625" style="21" bestFit="1" customWidth="1"/>
    <col min="11524" max="11524" width="15.1796875" style="21" customWidth="1"/>
    <col min="11525" max="11525" width="10.81640625" style="21" customWidth="1"/>
    <col min="11526" max="11526" width="15.453125" style="21" customWidth="1"/>
    <col min="11527" max="11527" width="17.1796875" style="21" customWidth="1"/>
    <col min="11528" max="11528" width="0" style="21" hidden="1" customWidth="1"/>
    <col min="11529" max="11529" width="17.54296875" style="21" bestFit="1" customWidth="1"/>
    <col min="11530" max="11531" width="16.453125" style="21" bestFit="1" customWidth="1"/>
    <col min="11532" max="11776" width="9.1796875" style="21"/>
    <col min="11777" max="11777" width="1.81640625" style="21" customWidth="1"/>
    <col min="11778" max="11778" width="38" style="21" customWidth="1"/>
    <col min="11779" max="11779" width="16.7265625" style="21" bestFit="1" customWidth="1"/>
    <col min="11780" max="11780" width="15.1796875" style="21" customWidth="1"/>
    <col min="11781" max="11781" width="10.81640625" style="21" customWidth="1"/>
    <col min="11782" max="11782" width="15.453125" style="21" customWidth="1"/>
    <col min="11783" max="11783" width="17.1796875" style="21" customWidth="1"/>
    <col min="11784" max="11784" width="0" style="21" hidden="1" customWidth="1"/>
    <col min="11785" max="11785" width="17.54296875" style="21" bestFit="1" customWidth="1"/>
    <col min="11786" max="11787" width="16.453125" style="21" bestFit="1" customWidth="1"/>
    <col min="11788" max="12032" width="9.1796875" style="21"/>
    <col min="12033" max="12033" width="1.81640625" style="21" customWidth="1"/>
    <col min="12034" max="12034" width="38" style="21" customWidth="1"/>
    <col min="12035" max="12035" width="16.7265625" style="21" bestFit="1" customWidth="1"/>
    <col min="12036" max="12036" width="15.1796875" style="21" customWidth="1"/>
    <col min="12037" max="12037" width="10.81640625" style="21" customWidth="1"/>
    <col min="12038" max="12038" width="15.453125" style="21" customWidth="1"/>
    <col min="12039" max="12039" width="17.1796875" style="21" customWidth="1"/>
    <col min="12040" max="12040" width="0" style="21" hidden="1" customWidth="1"/>
    <col min="12041" max="12041" width="17.54296875" style="21" bestFit="1" customWidth="1"/>
    <col min="12042" max="12043" width="16.453125" style="21" bestFit="1" customWidth="1"/>
    <col min="12044" max="12288" width="9.1796875" style="21"/>
    <col min="12289" max="12289" width="1.81640625" style="21" customWidth="1"/>
    <col min="12290" max="12290" width="38" style="21" customWidth="1"/>
    <col min="12291" max="12291" width="16.7265625" style="21" bestFit="1" customWidth="1"/>
    <col min="12292" max="12292" width="15.1796875" style="21" customWidth="1"/>
    <col min="12293" max="12293" width="10.81640625" style="21" customWidth="1"/>
    <col min="12294" max="12294" width="15.453125" style="21" customWidth="1"/>
    <col min="12295" max="12295" width="17.1796875" style="21" customWidth="1"/>
    <col min="12296" max="12296" width="0" style="21" hidden="1" customWidth="1"/>
    <col min="12297" max="12297" width="17.54296875" style="21" bestFit="1" customWidth="1"/>
    <col min="12298" max="12299" width="16.453125" style="21" bestFit="1" customWidth="1"/>
    <col min="12300" max="12544" width="9.1796875" style="21"/>
    <col min="12545" max="12545" width="1.81640625" style="21" customWidth="1"/>
    <col min="12546" max="12546" width="38" style="21" customWidth="1"/>
    <col min="12547" max="12547" width="16.7265625" style="21" bestFit="1" customWidth="1"/>
    <col min="12548" max="12548" width="15.1796875" style="21" customWidth="1"/>
    <col min="12549" max="12549" width="10.81640625" style="21" customWidth="1"/>
    <col min="12550" max="12550" width="15.453125" style="21" customWidth="1"/>
    <col min="12551" max="12551" width="17.1796875" style="21" customWidth="1"/>
    <col min="12552" max="12552" width="0" style="21" hidden="1" customWidth="1"/>
    <col min="12553" max="12553" width="17.54296875" style="21" bestFit="1" customWidth="1"/>
    <col min="12554" max="12555" width="16.453125" style="21" bestFit="1" customWidth="1"/>
    <col min="12556" max="12800" width="9.1796875" style="21"/>
    <col min="12801" max="12801" width="1.81640625" style="21" customWidth="1"/>
    <col min="12802" max="12802" width="38" style="21" customWidth="1"/>
    <col min="12803" max="12803" width="16.7265625" style="21" bestFit="1" customWidth="1"/>
    <col min="12804" max="12804" width="15.1796875" style="21" customWidth="1"/>
    <col min="12805" max="12805" width="10.81640625" style="21" customWidth="1"/>
    <col min="12806" max="12806" width="15.453125" style="21" customWidth="1"/>
    <col min="12807" max="12807" width="17.1796875" style="21" customWidth="1"/>
    <col min="12808" max="12808" width="0" style="21" hidden="1" customWidth="1"/>
    <col min="12809" max="12809" width="17.54296875" style="21" bestFit="1" customWidth="1"/>
    <col min="12810" max="12811" width="16.453125" style="21" bestFit="1" customWidth="1"/>
    <col min="12812" max="13056" width="9.1796875" style="21"/>
    <col min="13057" max="13057" width="1.81640625" style="21" customWidth="1"/>
    <col min="13058" max="13058" width="38" style="21" customWidth="1"/>
    <col min="13059" max="13059" width="16.7265625" style="21" bestFit="1" customWidth="1"/>
    <col min="13060" max="13060" width="15.1796875" style="21" customWidth="1"/>
    <col min="13061" max="13061" width="10.81640625" style="21" customWidth="1"/>
    <col min="13062" max="13062" width="15.453125" style="21" customWidth="1"/>
    <col min="13063" max="13063" width="17.1796875" style="21" customWidth="1"/>
    <col min="13064" max="13064" width="0" style="21" hidden="1" customWidth="1"/>
    <col min="13065" max="13065" width="17.54296875" style="21" bestFit="1" customWidth="1"/>
    <col min="13066" max="13067" width="16.453125" style="21" bestFit="1" customWidth="1"/>
    <col min="13068" max="13312" width="9.1796875" style="21"/>
    <col min="13313" max="13313" width="1.81640625" style="21" customWidth="1"/>
    <col min="13314" max="13314" width="38" style="21" customWidth="1"/>
    <col min="13315" max="13315" width="16.7265625" style="21" bestFit="1" customWidth="1"/>
    <col min="13316" max="13316" width="15.1796875" style="21" customWidth="1"/>
    <col min="13317" max="13317" width="10.81640625" style="21" customWidth="1"/>
    <col min="13318" max="13318" width="15.453125" style="21" customWidth="1"/>
    <col min="13319" max="13319" width="17.1796875" style="21" customWidth="1"/>
    <col min="13320" max="13320" width="0" style="21" hidden="1" customWidth="1"/>
    <col min="13321" max="13321" width="17.54296875" style="21" bestFit="1" customWidth="1"/>
    <col min="13322" max="13323" width="16.453125" style="21" bestFit="1" customWidth="1"/>
    <col min="13324" max="13568" width="9.1796875" style="21"/>
    <col min="13569" max="13569" width="1.81640625" style="21" customWidth="1"/>
    <col min="13570" max="13570" width="38" style="21" customWidth="1"/>
    <col min="13571" max="13571" width="16.7265625" style="21" bestFit="1" customWidth="1"/>
    <col min="13572" max="13572" width="15.1796875" style="21" customWidth="1"/>
    <col min="13573" max="13573" width="10.81640625" style="21" customWidth="1"/>
    <col min="13574" max="13574" width="15.453125" style="21" customWidth="1"/>
    <col min="13575" max="13575" width="17.1796875" style="21" customWidth="1"/>
    <col min="13576" max="13576" width="0" style="21" hidden="1" customWidth="1"/>
    <col min="13577" max="13577" width="17.54296875" style="21" bestFit="1" customWidth="1"/>
    <col min="13578" max="13579" width="16.453125" style="21" bestFit="1" customWidth="1"/>
    <col min="13580" max="13824" width="9.1796875" style="21"/>
    <col min="13825" max="13825" width="1.81640625" style="21" customWidth="1"/>
    <col min="13826" max="13826" width="38" style="21" customWidth="1"/>
    <col min="13827" max="13827" width="16.7265625" style="21" bestFit="1" customWidth="1"/>
    <col min="13828" max="13828" width="15.1796875" style="21" customWidth="1"/>
    <col min="13829" max="13829" width="10.81640625" style="21" customWidth="1"/>
    <col min="13830" max="13830" width="15.453125" style="21" customWidth="1"/>
    <col min="13831" max="13831" width="17.1796875" style="21" customWidth="1"/>
    <col min="13832" max="13832" width="0" style="21" hidden="1" customWidth="1"/>
    <col min="13833" max="13833" width="17.54296875" style="21" bestFit="1" customWidth="1"/>
    <col min="13834" max="13835" width="16.453125" style="21" bestFit="1" customWidth="1"/>
    <col min="13836" max="14080" width="9.1796875" style="21"/>
    <col min="14081" max="14081" width="1.81640625" style="21" customWidth="1"/>
    <col min="14082" max="14082" width="38" style="21" customWidth="1"/>
    <col min="14083" max="14083" width="16.7265625" style="21" bestFit="1" customWidth="1"/>
    <col min="14084" max="14084" width="15.1796875" style="21" customWidth="1"/>
    <col min="14085" max="14085" width="10.81640625" style="21" customWidth="1"/>
    <col min="14086" max="14086" width="15.453125" style="21" customWidth="1"/>
    <col min="14087" max="14087" width="17.1796875" style="21" customWidth="1"/>
    <col min="14088" max="14088" width="0" style="21" hidden="1" customWidth="1"/>
    <col min="14089" max="14089" width="17.54296875" style="21" bestFit="1" customWidth="1"/>
    <col min="14090" max="14091" width="16.453125" style="21" bestFit="1" customWidth="1"/>
    <col min="14092" max="14336" width="9.1796875" style="21"/>
    <col min="14337" max="14337" width="1.81640625" style="21" customWidth="1"/>
    <col min="14338" max="14338" width="38" style="21" customWidth="1"/>
    <col min="14339" max="14339" width="16.7265625" style="21" bestFit="1" customWidth="1"/>
    <col min="14340" max="14340" width="15.1796875" style="21" customWidth="1"/>
    <col min="14341" max="14341" width="10.81640625" style="21" customWidth="1"/>
    <col min="14342" max="14342" width="15.453125" style="21" customWidth="1"/>
    <col min="14343" max="14343" width="17.1796875" style="21" customWidth="1"/>
    <col min="14344" max="14344" width="0" style="21" hidden="1" customWidth="1"/>
    <col min="14345" max="14345" width="17.54296875" style="21" bestFit="1" customWidth="1"/>
    <col min="14346" max="14347" width="16.453125" style="21" bestFit="1" customWidth="1"/>
    <col min="14348" max="14592" width="9.1796875" style="21"/>
    <col min="14593" max="14593" width="1.81640625" style="21" customWidth="1"/>
    <col min="14594" max="14594" width="38" style="21" customWidth="1"/>
    <col min="14595" max="14595" width="16.7265625" style="21" bestFit="1" customWidth="1"/>
    <col min="14596" max="14596" width="15.1796875" style="21" customWidth="1"/>
    <col min="14597" max="14597" width="10.81640625" style="21" customWidth="1"/>
    <col min="14598" max="14598" width="15.453125" style="21" customWidth="1"/>
    <col min="14599" max="14599" width="17.1796875" style="21" customWidth="1"/>
    <col min="14600" max="14600" width="0" style="21" hidden="1" customWidth="1"/>
    <col min="14601" max="14601" width="17.54296875" style="21" bestFit="1" customWidth="1"/>
    <col min="14602" max="14603" width="16.453125" style="21" bestFit="1" customWidth="1"/>
    <col min="14604" max="14848" width="9.1796875" style="21"/>
    <col min="14849" max="14849" width="1.81640625" style="21" customWidth="1"/>
    <col min="14850" max="14850" width="38" style="21" customWidth="1"/>
    <col min="14851" max="14851" width="16.7265625" style="21" bestFit="1" customWidth="1"/>
    <col min="14852" max="14852" width="15.1796875" style="21" customWidth="1"/>
    <col min="14853" max="14853" width="10.81640625" style="21" customWidth="1"/>
    <col min="14854" max="14854" width="15.453125" style="21" customWidth="1"/>
    <col min="14855" max="14855" width="17.1796875" style="21" customWidth="1"/>
    <col min="14856" max="14856" width="0" style="21" hidden="1" customWidth="1"/>
    <col min="14857" max="14857" width="17.54296875" style="21" bestFit="1" customWidth="1"/>
    <col min="14858" max="14859" width="16.453125" style="21" bestFit="1" customWidth="1"/>
    <col min="14860" max="15104" width="9.1796875" style="21"/>
    <col min="15105" max="15105" width="1.81640625" style="21" customWidth="1"/>
    <col min="15106" max="15106" width="38" style="21" customWidth="1"/>
    <col min="15107" max="15107" width="16.7265625" style="21" bestFit="1" customWidth="1"/>
    <col min="15108" max="15108" width="15.1796875" style="21" customWidth="1"/>
    <col min="15109" max="15109" width="10.81640625" style="21" customWidth="1"/>
    <col min="15110" max="15110" width="15.453125" style="21" customWidth="1"/>
    <col min="15111" max="15111" width="17.1796875" style="21" customWidth="1"/>
    <col min="15112" max="15112" width="0" style="21" hidden="1" customWidth="1"/>
    <col min="15113" max="15113" width="17.54296875" style="21" bestFit="1" customWidth="1"/>
    <col min="15114" max="15115" width="16.453125" style="21" bestFit="1" customWidth="1"/>
    <col min="15116" max="15360" width="9.1796875" style="21"/>
    <col min="15361" max="15361" width="1.81640625" style="21" customWidth="1"/>
    <col min="15362" max="15362" width="38" style="21" customWidth="1"/>
    <col min="15363" max="15363" width="16.7265625" style="21" bestFit="1" customWidth="1"/>
    <col min="15364" max="15364" width="15.1796875" style="21" customWidth="1"/>
    <col min="15365" max="15365" width="10.81640625" style="21" customWidth="1"/>
    <col min="15366" max="15366" width="15.453125" style="21" customWidth="1"/>
    <col min="15367" max="15367" width="17.1796875" style="21" customWidth="1"/>
    <col min="15368" max="15368" width="0" style="21" hidden="1" customWidth="1"/>
    <col min="15369" max="15369" width="17.54296875" style="21" bestFit="1" customWidth="1"/>
    <col min="15370" max="15371" width="16.453125" style="21" bestFit="1" customWidth="1"/>
    <col min="15372" max="15616" width="9.1796875" style="21"/>
    <col min="15617" max="15617" width="1.81640625" style="21" customWidth="1"/>
    <col min="15618" max="15618" width="38" style="21" customWidth="1"/>
    <col min="15619" max="15619" width="16.7265625" style="21" bestFit="1" customWidth="1"/>
    <col min="15620" max="15620" width="15.1796875" style="21" customWidth="1"/>
    <col min="15621" max="15621" width="10.81640625" style="21" customWidth="1"/>
    <col min="15622" max="15622" width="15.453125" style="21" customWidth="1"/>
    <col min="15623" max="15623" width="17.1796875" style="21" customWidth="1"/>
    <col min="15624" max="15624" width="0" style="21" hidden="1" customWidth="1"/>
    <col min="15625" max="15625" width="17.54296875" style="21" bestFit="1" customWidth="1"/>
    <col min="15626" max="15627" width="16.453125" style="21" bestFit="1" customWidth="1"/>
    <col min="15628" max="15872" width="9.1796875" style="21"/>
    <col min="15873" max="15873" width="1.81640625" style="21" customWidth="1"/>
    <col min="15874" max="15874" width="38" style="21" customWidth="1"/>
    <col min="15875" max="15875" width="16.7265625" style="21" bestFit="1" customWidth="1"/>
    <col min="15876" max="15876" width="15.1796875" style="21" customWidth="1"/>
    <col min="15877" max="15877" width="10.81640625" style="21" customWidth="1"/>
    <col min="15878" max="15878" width="15.453125" style="21" customWidth="1"/>
    <col min="15879" max="15879" width="17.1796875" style="21" customWidth="1"/>
    <col min="15880" max="15880" width="0" style="21" hidden="1" customWidth="1"/>
    <col min="15881" max="15881" width="17.54296875" style="21" bestFit="1" customWidth="1"/>
    <col min="15882" max="15883" width="16.453125" style="21" bestFit="1" customWidth="1"/>
    <col min="15884" max="16128" width="9.1796875" style="21"/>
    <col min="16129" max="16129" width="1.81640625" style="21" customWidth="1"/>
    <col min="16130" max="16130" width="38" style="21" customWidth="1"/>
    <col min="16131" max="16131" width="16.7265625" style="21" bestFit="1" customWidth="1"/>
    <col min="16132" max="16132" width="15.1796875" style="21" customWidth="1"/>
    <col min="16133" max="16133" width="10.81640625" style="21" customWidth="1"/>
    <col min="16134" max="16134" width="15.453125" style="21" customWidth="1"/>
    <col min="16135" max="16135" width="17.1796875" style="21" customWidth="1"/>
    <col min="16136" max="16136" width="0" style="21" hidden="1" customWidth="1"/>
    <col min="16137" max="16137" width="17.54296875" style="21" bestFit="1" customWidth="1"/>
    <col min="16138" max="16139" width="16.453125" style="21" bestFit="1" customWidth="1"/>
    <col min="16140" max="16384" width="9.1796875" style="21"/>
  </cols>
  <sheetData>
    <row r="1" spans="2:13" s="89" customFormat="1" x14ac:dyDescent="0.3">
      <c r="B1" s="88" t="s">
        <v>4</v>
      </c>
    </row>
    <row r="2" spans="2:13" s="89" customFormat="1" x14ac:dyDescent="0.3">
      <c r="B2" s="88" t="s">
        <v>34</v>
      </c>
    </row>
    <row r="3" spans="2:13" s="48" customFormat="1" ht="10" x14ac:dyDescent="0.2"/>
    <row r="4" spans="2:13" s="48" customFormat="1" ht="11" thickBot="1" x14ac:dyDescent="0.3">
      <c r="B4" s="89" t="s">
        <v>5</v>
      </c>
    </row>
    <row r="5" spans="2:13" s="48" customFormat="1" ht="10" x14ac:dyDescent="0.2">
      <c r="B5" s="90"/>
      <c r="C5" s="90"/>
      <c r="D5" s="90"/>
      <c r="E5" s="90"/>
      <c r="F5" s="90"/>
      <c r="G5" s="90"/>
      <c r="H5" s="90"/>
      <c r="I5" s="205"/>
      <c r="J5" s="90"/>
    </row>
    <row r="6" spans="2:13" s="48" customFormat="1" ht="10.5" x14ac:dyDescent="0.25">
      <c r="B6" s="91" t="s">
        <v>6</v>
      </c>
      <c r="C6" s="91" t="s">
        <v>35</v>
      </c>
      <c r="D6" s="91" t="s">
        <v>7</v>
      </c>
      <c r="E6" s="91" t="s">
        <v>3</v>
      </c>
      <c r="F6" s="91" t="s">
        <v>8</v>
      </c>
      <c r="G6" s="91" t="s">
        <v>9</v>
      </c>
      <c r="H6" s="91" t="s">
        <v>10</v>
      </c>
      <c r="I6" s="206"/>
      <c r="J6" s="91"/>
    </row>
    <row r="7" spans="2:13" s="48" customFormat="1" ht="11" thickBot="1" x14ac:dyDescent="0.3">
      <c r="B7" s="92"/>
      <c r="C7" s="92"/>
      <c r="D7" s="92"/>
      <c r="E7" s="92"/>
      <c r="F7" s="92"/>
      <c r="G7" s="93" t="s">
        <v>14</v>
      </c>
      <c r="H7" s="92"/>
      <c r="I7" s="207" t="s">
        <v>15</v>
      </c>
      <c r="J7" s="93" t="s">
        <v>36</v>
      </c>
      <c r="L7" s="94"/>
    </row>
    <row r="8" spans="2:13" s="48" customFormat="1" ht="10" x14ac:dyDescent="0.2">
      <c r="B8" s="41"/>
      <c r="C8" s="42"/>
      <c r="D8" s="42"/>
      <c r="E8" s="42"/>
      <c r="F8" s="42"/>
      <c r="G8" s="42"/>
      <c r="H8" s="43"/>
      <c r="I8" s="45"/>
      <c r="J8" s="213"/>
      <c r="K8" s="94"/>
      <c r="L8" s="94"/>
    </row>
    <row r="9" spans="2:13" s="48" customFormat="1" ht="10.5" x14ac:dyDescent="0.25">
      <c r="B9" s="45" t="s">
        <v>18</v>
      </c>
      <c r="C9" s="46">
        <f>C19</f>
        <v>264256554.11000001</v>
      </c>
      <c r="D9" s="56">
        <f>'[4]ERCOT 4 CP'!$H$20</f>
        <v>0.48329651792460415</v>
      </c>
      <c r="E9" s="46">
        <f t="shared" ref="E9:E17" si="0">+D9*C9</f>
        <v>127714272.44011775</v>
      </c>
      <c r="F9" s="47">
        <f>'[5]Billing Units'!$J$9</f>
        <v>10123921366.933681</v>
      </c>
      <c r="G9" s="48" t="s">
        <v>19</v>
      </c>
      <c r="H9" s="49">
        <f>ROUND(E9/F9,6)</f>
        <v>1.2614999999999999E-2</v>
      </c>
      <c r="I9" s="208">
        <f t="shared" ref="I9:I10" si="1">ROUND(E9/F9,6)</f>
        <v>1.2614999999999999E-2</v>
      </c>
      <c r="J9" s="98">
        <v>0.47208569981221071</v>
      </c>
      <c r="K9" s="95"/>
      <c r="L9" s="95"/>
      <c r="M9" s="96"/>
    </row>
    <row r="10" spans="2:13" s="48" customFormat="1" ht="10.5" x14ac:dyDescent="0.25">
      <c r="B10" s="45" t="s">
        <v>20</v>
      </c>
      <c r="C10" s="46">
        <f>+C9</f>
        <v>264256554.11000001</v>
      </c>
      <c r="D10" s="56">
        <f>'[4]ERCOT 4 CP'!$H$21</f>
        <v>1.794138335041362E-2</v>
      </c>
      <c r="E10" s="46">
        <f t="shared" si="0"/>
        <v>4741128.1401468301</v>
      </c>
      <c r="F10" s="47">
        <f>'[5]Billing Units'!$J$11+'[5]Billing Units'!$J$23</f>
        <v>660435170.20616794</v>
      </c>
      <c r="G10" s="48" t="s">
        <v>19</v>
      </c>
      <c r="H10" s="49">
        <f>ROUND(E10/F10,6)</f>
        <v>7.1789999999999996E-3</v>
      </c>
      <c r="I10" s="208">
        <f t="shared" si="1"/>
        <v>7.1789999999999996E-3</v>
      </c>
      <c r="J10" s="98">
        <v>1.7188206944653978E-2</v>
      </c>
      <c r="K10" s="95"/>
      <c r="L10" s="95"/>
      <c r="M10" s="96"/>
    </row>
    <row r="11" spans="2:13" s="48" customFormat="1" ht="10.5" x14ac:dyDescent="0.25">
      <c r="B11" s="45" t="s">
        <v>27</v>
      </c>
      <c r="C11" s="46">
        <f t="shared" ref="C11:C16" si="2">+C10</f>
        <v>264256554.11000001</v>
      </c>
      <c r="D11" s="56">
        <f>'[4]ERCOT 4 CP'!$H$23</f>
        <v>2.4639531376948364E-2</v>
      </c>
      <c r="E11" s="46">
        <f t="shared" si="0"/>
        <v>6511157.6565575982</v>
      </c>
      <c r="F11" s="47">
        <f>'[5]Billing Units'!$J$14</f>
        <v>1483657.1019502641</v>
      </c>
      <c r="G11" s="48" t="s">
        <v>21</v>
      </c>
      <c r="H11" s="97">
        <f>ROUND(E11/F11,3)</f>
        <v>4.3890000000000002</v>
      </c>
      <c r="I11" s="209">
        <f>ROUND(E11/F11,3)</f>
        <v>4.3890000000000002</v>
      </c>
      <c r="J11" s="98">
        <v>2.0228932912344528E-2</v>
      </c>
      <c r="K11" s="95"/>
      <c r="L11" s="95"/>
      <c r="M11" s="96"/>
    </row>
    <row r="12" spans="2:13" s="48" customFormat="1" ht="10.5" x14ac:dyDescent="0.25">
      <c r="B12" s="45" t="s">
        <v>28</v>
      </c>
      <c r="C12" s="46">
        <f t="shared" si="2"/>
        <v>264256554.11000001</v>
      </c>
      <c r="D12" s="56">
        <f>'[4]ERCOT 4 CP'!$H$22</f>
        <v>0.28077946460677561</v>
      </c>
      <c r="E12" s="46">
        <f t="shared" si="0"/>
        <v>74197813.78183724</v>
      </c>
      <c r="F12" s="47">
        <f>'[5]Billing Units'!$J$13</f>
        <v>23834663.973250702</v>
      </c>
      <c r="G12" s="48" t="s">
        <v>22</v>
      </c>
      <c r="H12" s="97">
        <f>ROUND(E12/F12,3)</f>
        <v>3.113</v>
      </c>
      <c r="I12" s="209">
        <f>ROUND(E12/F12,3)</f>
        <v>3.113</v>
      </c>
      <c r="J12" s="98">
        <v>0.29224832795962441</v>
      </c>
      <c r="K12" s="95"/>
      <c r="L12" s="95"/>
      <c r="M12" s="96"/>
    </row>
    <row r="13" spans="2:13" s="48" customFormat="1" ht="10.5" x14ac:dyDescent="0.25">
      <c r="B13" s="45" t="s">
        <v>29</v>
      </c>
      <c r="C13" s="46">
        <f t="shared" si="2"/>
        <v>264256554.11000001</v>
      </c>
      <c r="D13" s="56">
        <f>'[4]ERCOT 4 CP'!$H$25</f>
        <v>7.5534881894632436E-2</v>
      </c>
      <c r="E13" s="46">
        <f t="shared" si="0"/>
        <v>19960587.604581397</v>
      </c>
      <c r="F13" s="47">
        <f>'[5]Billing Units'!$J$18</f>
        <v>4355162.5998815829</v>
      </c>
      <c r="G13" s="48" t="s">
        <v>21</v>
      </c>
      <c r="H13" s="97">
        <f>ROUND(E13/F13,3)</f>
        <v>4.5830000000000002</v>
      </c>
      <c r="I13" s="209">
        <f>ROUND(E13/F13,3)</f>
        <v>4.5830000000000002</v>
      </c>
      <c r="J13" s="98">
        <v>9.7656739800775716E-2</v>
      </c>
      <c r="K13" s="95"/>
      <c r="L13" s="95"/>
      <c r="M13" s="96"/>
    </row>
    <row r="14" spans="2:13" s="48" customFormat="1" ht="10.5" x14ac:dyDescent="0.25">
      <c r="B14" s="45" t="s">
        <v>30</v>
      </c>
      <c r="C14" s="46">
        <f t="shared" si="2"/>
        <v>264256554.11000001</v>
      </c>
      <c r="D14" s="56">
        <f>'[4]ERCOT 4 CP'!$H$24</f>
        <v>6.043343935107086E-3</v>
      </c>
      <c r="E14" s="46">
        <f t="shared" si="0"/>
        <v>1596993.2435929661</v>
      </c>
      <c r="F14" s="47">
        <f>[6]Central!I17</f>
        <v>468222.38051948312</v>
      </c>
      <c r="G14" s="48" t="s">
        <v>22</v>
      </c>
      <c r="H14" s="97">
        <f>ROUND(E14/F14,3)</f>
        <v>3.411</v>
      </c>
      <c r="I14" s="209">
        <f>ROUND(E14/F14,3)</f>
        <v>3.411</v>
      </c>
      <c r="J14" s="98">
        <v>1.0476549626578305E-2</v>
      </c>
      <c r="K14" s="95"/>
      <c r="L14" s="95"/>
      <c r="M14" s="96"/>
    </row>
    <row r="15" spans="2:13" s="48" customFormat="1" ht="10.5" x14ac:dyDescent="0.25">
      <c r="B15" s="45" t="s">
        <v>23</v>
      </c>
      <c r="C15" s="46">
        <f t="shared" si="2"/>
        <v>264256554.11000001</v>
      </c>
      <c r="D15" s="56">
        <f>'[4]ERCOT 4 CP'!$H$26</f>
        <v>0.11176487691151868</v>
      </c>
      <c r="E15" s="46">
        <f t="shared" si="0"/>
        <v>29534601.243166227</v>
      </c>
      <c r="F15" s="47">
        <f>'[5]Billing Units'!$J$21</f>
        <v>6327149.8870359799</v>
      </c>
      <c r="G15" s="48" t="s">
        <v>21</v>
      </c>
      <c r="H15" s="97">
        <f>+E15/F15</f>
        <v>4.6679155339248686</v>
      </c>
      <c r="I15" s="209">
        <f>ROUND(E15/F15,3)</f>
        <v>4.6680000000000001</v>
      </c>
      <c r="J15" s="98">
        <v>9.0115542943812271E-2</v>
      </c>
      <c r="K15" s="95"/>
      <c r="L15" s="95"/>
      <c r="M15" s="96"/>
    </row>
    <row r="16" spans="2:13" s="48" customFormat="1" ht="10.5" x14ac:dyDescent="0.25">
      <c r="B16" s="45" t="s">
        <v>24</v>
      </c>
      <c r="C16" s="46">
        <f t="shared" si="2"/>
        <v>264256554.11000001</v>
      </c>
      <c r="D16" s="51">
        <v>0</v>
      </c>
      <c r="E16" s="46">
        <f t="shared" si="0"/>
        <v>0</v>
      </c>
      <c r="F16" s="47">
        <f>'[5]Billing Units'!$J$23</f>
        <v>222504553.85898465</v>
      </c>
      <c r="G16" s="48" t="s">
        <v>19</v>
      </c>
      <c r="H16" s="49">
        <f>ROUND(E16/F16,6)</f>
        <v>0</v>
      </c>
      <c r="I16" s="208">
        <f>I10</f>
        <v>7.1789999999999996E-3</v>
      </c>
      <c r="J16" s="98">
        <v>0</v>
      </c>
      <c r="L16" s="95"/>
    </row>
    <row r="17" spans="2:10" s="48" customFormat="1" ht="10" x14ac:dyDescent="0.2">
      <c r="B17" s="45"/>
      <c r="C17" s="46"/>
      <c r="D17" s="51"/>
      <c r="E17" s="46">
        <f t="shared" si="0"/>
        <v>0</v>
      </c>
      <c r="F17" s="47">
        <v>0</v>
      </c>
      <c r="G17" s="47">
        <v>0</v>
      </c>
      <c r="H17" s="49">
        <v>0</v>
      </c>
      <c r="I17" s="210"/>
      <c r="J17" s="98">
        <v>0</v>
      </c>
    </row>
    <row r="18" spans="2:10" s="48" customFormat="1" ht="10" x14ac:dyDescent="0.2">
      <c r="B18" s="45"/>
      <c r="D18" s="54"/>
      <c r="H18" s="55"/>
      <c r="I18" s="211"/>
      <c r="J18" s="99"/>
    </row>
    <row r="19" spans="2:10" s="48" customFormat="1" ht="11" thickBot="1" x14ac:dyDescent="0.3">
      <c r="B19" s="100" t="s">
        <v>25</v>
      </c>
      <c r="C19" s="101">
        <f>C27</f>
        <v>264256554.11000001</v>
      </c>
      <c r="D19" s="102">
        <f>SUM(D9:D18)</f>
        <v>1</v>
      </c>
      <c r="E19" s="103">
        <f>SUM(E9:E17)</f>
        <v>264256554.11000001</v>
      </c>
      <c r="F19" s="104"/>
      <c r="G19" s="104"/>
      <c r="H19" s="105"/>
      <c r="I19" s="212"/>
      <c r="J19" s="106">
        <v>0.99999999999999989</v>
      </c>
    </row>
    <row r="20" spans="2:10" s="48" customFormat="1" ht="10" x14ac:dyDescent="0.2">
      <c r="E20" s="107"/>
    </row>
    <row r="21" spans="2:10" s="48" customFormat="1" ht="10" x14ac:dyDescent="0.2"/>
    <row r="22" spans="2:10" s="89" customFormat="1" x14ac:dyDescent="0.3">
      <c r="B22" s="2" t="s">
        <v>0</v>
      </c>
    </row>
    <row r="23" spans="2:10" s="89" customFormat="1" x14ac:dyDescent="0.3">
      <c r="B23" s="5" t="s">
        <v>1</v>
      </c>
    </row>
    <row r="24" spans="2:10" s="89" customFormat="1" x14ac:dyDescent="0.3">
      <c r="B24" s="108" t="s">
        <v>2</v>
      </c>
    </row>
    <row r="25" spans="2:10" s="110" customFormat="1" x14ac:dyDescent="0.3">
      <c r="B25" s="66" t="s">
        <v>26</v>
      </c>
      <c r="C25" s="46"/>
      <c r="D25" s="46"/>
      <c r="E25" s="67"/>
      <c r="F25" s="68"/>
      <c r="G25" s="69"/>
      <c r="H25" s="109"/>
    </row>
    <row r="26" spans="2:10" x14ac:dyDescent="0.3">
      <c r="C26" s="46"/>
    </row>
    <row r="27" spans="2:10" x14ac:dyDescent="0.3">
      <c r="B27" s="188" t="s">
        <v>40</v>
      </c>
      <c r="C27" s="189">
        <v>264256554.11000001</v>
      </c>
    </row>
    <row r="28" spans="2:10" x14ac:dyDescent="0.3">
      <c r="B28" s="5"/>
      <c r="C28" s="180"/>
      <c r="G28" s="113"/>
      <c r="H28" s="3"/>
    </row>
    <row r="29" spans="2:10" x14ac:dyDescent="0.3">
      <c r="B29" s="108"/>
      <c r="C29" s="6"/>
      <c r="D29" s="7"/>
      <c r="E29" s="7"/>
      <c r="F29" s="114"/>
      <c r="G29" s="7"/>
      <c r="H29" s="9"/>
      <c r="I29" s="115"/>
    </row>
    <row r="30" spans="2:10" x14ac:dyDescent="0.3">
      <c r="B30" s="108"/>
      <c r="C30" s="6"/>
      <c r="D30" s="7"/>
      <c r="E30" s="7"/>
      <c r="F30" s="10"/>
      <c r="G30" s="7"/>
      <c r="H30" s="113"/>
      <c r="I30" s="115"/>
    </row>
    <row r="31" spans="2:10" x14ac:dyDescent="0.3">
      <c r="B31" s="2"/>
      <c r="C31" s="6"/>
      <c r="D31" s="11"/>
      <c r="E31" s="11"/>
      <c r="F31" s="116"/>
      <c r="G31" s="116"/>
      <c r="H31" s="3"/>
      <c r="I31" s="115"/>
    </row>
    <row r="32" spans="2:10" x14ac:dyDescent="0.3">
      <c r="B32" s="112"/>
      <c r="C32" s="6"/>
      <c r="D32" s="112"/>
      <c r="E32" s="112"/>
      <c r="F32" s="112"/>
      <c r="G32" s="7"/>
    </row>
    <row r="33" spans="1:11" x14ac:dyDescent="0.3">
      <c r="B33" s="6"/>
      <c r="C33" s="6"/>
      <c r="D33" s="7"/>
      <c r="E33" s="117"/>
      <c r="F33" s="118"/>
      <c r="G33" s="118"/>
      <c r="H33" s="7"/>
    </row>
    <row r="34" spans="1:11" ht="12.75" customHeight="1" x14ac:dyDescent="0.3">
      <c r="B34" s="119"/>
      <c r="C34" s="6"/>
      <c r="D34" s="117"/>
      <c r="E34" s="117"/>
      <c r="F34" s="118"/>
      <c r="G34" s="118"/>
      <c r="H34" s="118"/>
      <c r="I34" s="120"/>
    </row>
    <row r="35" spans="1:11" ht="14" x14ac:dyDescent="0.3">
      <c r="A35" s="121"/>
      <c r="B35" s="122"/>
      <c r="C35" s="123"/>
      <c r="D35" s="124"/>
      <c r="E35" s="125"/>
      <c r="F35" s="126"/>
      <c r="G35" s="127"/>
      <c r="H35" s="128"/>
      <c r="I35" s="129"/>
      <c r="J35" s="130"/>
      <c r="K35" s="131"/>
    </row>
    <row r="36" spans="1:11" x14ac:dyDescent="0.3">
      <c r="B36" s="122"/>
      <c r="C36" s="123"/>
      <c r="D36" s="124"/>
      <c r="E36" s="125"/>
      <c r="F36" s="126"/>
      <c r="G36" s="127"/>
      <c r="H36" s="128"/>
      <c r="I36" s="129"/>
      <c r="J36" s="130"/>
      <c r="K36" s="131"/>
    </row>
    <row r="37" spans="1:11" x14ac:dyDescent="0.3">
      <c r="B37" s="132"/>
      <c r="C37" s="123"/>
      <c r="D37" s="124"/>
      <c r="E37" s="125"/>
      <c r="F37" s="126"/>
      <c r="G37" s="127"/>
      <c r="H37" s="128"/>
      <c r="I37" s="129"/>
      <c r="J37" s="130"/>
      <c r="K37" s="131"/>
    </row>
    <row r="38" spans="1:11" x14ac:dyDescent="0.3">
      <c r="B38" s="132"/>
      <c r="C38" s="123"/>
      <c r="D38" s="124"/>
      <c r="E38" s="125"/>
      <c r="F38" s="126"/>
      <c r="G38" s="127"/>
      <c r="H38" s="128"/>
      <c r="I38" s="129"/>
      <c r="J38" s="130"/>
      <c r="K38" s="131"/>
    </row>
    <row r="39" spans="1:11" ht="14" x14ac:dyDescent="0.3">
      <c r="B39" s="122"/>
      <c r="C39" s="133"/>
      <c r="D39" s="134"/>
      <c r="E39" s="135"/>
      <c r="F39" s="15"/>
      <c r="G39" s="127"/>
      <c r="H39" s="128"/>
      <c r="I39" s="136"/>
      <c r="J39" s="130"/>
      <c r="K39" s="131"/>
    </row>
    <row r="40" spans="1:11" x14ac:dyDescent="0.3">
      <c r="B40" s="132"/>
      <c r="C40" s="123"/>
      <c r="D40" s="124"/>
      <c r="E40" s="125"/>
      <c r="F40" s="16"/>
      <c r="G40" s="127"/>
      <c r="H40" s="128"/>
      <c r="I40" s="129"/>
      <c r="J40" s="130"/>
      <c r="K40" s="131"/>
    </row>
    <row r="41" spans="1:11" x14ac:dyDescent="0.3">
      <c r="B41" s="132"/>
      <c r="C41" s="123"/>
      <c r="D41" s="124"/>
      <c r="E41" s="125"/>
      <c r="F41" s="16"/>
      <c r="G41" s="127"/>
      <c r="H41" s="128"/>
      <c r="I41" s="129"/>
      <c r="J41" s="130"/>
      <c r="K41" s="131"/>
    </row>
    <row r="42" spans="1:11" x14ac:dyDescent="0.3">
      <c r="B42" s="132"/>
      <c r="C42" s="123"/>
      <c r="D42" s="124"/>
      <c r="E42" s="125"/>
      <c r="F42" s="16"/>
      <c r="G42" s="127"/>
      <c r="H42" s="128"/>
      <c r="I42" s="137"/>
      <c r="J42" s="130"/>
      <c r="K42" s="131"/>
    </row>
    <row r="43" spans="1:11" x14ac:dyDescent="0.3">
      <c r="B43" s="132"/>
      <c r="C43" s="123"/>
      <c r="D43" s="124"/>
      <c r="E43" s="125"/>
      <c r="F43" s="16"/>
      <c r="G43" s="127"/>
      <c r="H43" s="128"/>
      <c r="I43" s="129"/>
      <c r="J43" s="130"/>
      <c r="K43" s="131"/>
    </row>
    <row r="44" spans="1:11" x14ac:dyDescent="0.3">
      <c r="B44" s="132"/>
      <c r="C44" s="123"/>
      <c r="D44" s="124"/>
      <c r="E44" s="125"/>
      <c r="F44" s="16"/>
      <c r="G44" s="127"/>
      <c r="H44" s="128"/>
      <c r="I44" s="129"/>
      <c r="J44" s="130"/>
      <c r="K44" s="131"/>
    </row>
    <row r="45" spans="1:11" x14ac:dyDescent="0.3">
      <c r="B45" s="132"/>
      <c r="C45" s="123"/>
      <c r="D45" s="124"/>
      <c r="E45" s="125"/>
      <c r="F45" s="17"/>
      <c r="G45" s="127"/>
      <c r="H45" s="128"/>
      <c r="I45" s="137"/>
      <c r="J45" s="130"/>
      <c r="K45" s="131"/>
    </row>
    <row r="46" spans="1:11" x14ac:dyDescent="0.3">
      <c r="B46" s="132"/>
      <c r="C46" s="123"/>
      <c r="D46" s="124"/>
      <c r="E46" s="125"/>
      <c r="F46" s="16"/>
      <c r="G46" s="127"/>
      <c r="H46" s="128"/>
      <c r="I46" s="129"/>
      <c r="J46" s="130"/>
      <c r="K46" s="131"/>
    </row>
    <row r="47" spans="1:11" x14ac:dyDescent="0.3">
      <c r="B47" s="132"/>
      <c r="C47" s="123"/>
      <c r="D47" s="124"/>
      <c r="E47" s="125"/>
      <c r="F47" s="16"/>
      <c r="G47" s="127"/>
      <c r="H47" s="128"/>
      <c r="I47" s="129"/>
      <c r="J47" s="130"/>
      <c r="K47" s="131"/>
    </row>
    <row r="48" spans="1:11" x14ac:dyDescent="0.3">
      <c r="B48" s="132"/>
      <c r="C48" s="123"/>
      <c r="D48" s="124"/>
      <c r="E48" s="125"/>
      <c r="F48" s="14"/>
      <c r="G48" s="127"/>
      <c r="H48" s="128"/>
      <c r="I48" s="129"/>
      <c r="J48" s="130"/>
      <c r="K48" s="131"/>
    </row>
    <row r="49" spans="2:11" x14ac:dyDescent="0.3">
      <c r="B49" s="138"/>
      <c r="C49" s="139"/>
      <c r="D49" s="124"/>
      <c r="E49" s="125"/>
      <c r="F49" s="14"/>
      <c r="G49" s="127"/>
      <c r="H49" s="128"/>
      <c r="I49" s="137"/>
      <c r="J49" s="130"/>
      <c r="K49" s="131"/>
    </row>
    <row r="50" spans="2:11" x14ac:dyDescent="0.3">
      <c r="B50" s="132"/>
      <c r="C50" s="123"/>
      <c r="D50" s="124"/>
      <c r="E50" s="125"/>
      <c r="F50" s="16"/>
      <c r="G50" s="127"/>
      <c r="H50" s="128"/>
      <c r="I50" s="129"/>
      <c r="J50" s="130"/>
      <c r="K50" s="131"/>
    </row>
    <row r="51" spans="2:11" x14ac:dyDescent="0.3">
      <c r="B51" s="132"/>
      <c r="C51" s="123"/>
      <c r="D51" s="124"/>
      <c r="E51" s="125"/>
      <c r="F51" s="14"/>
      <c r="G51" s="127"/>
      <c r="H51" s="128"/>
      <c r="I51" s="129"/>
      <c r="J51" s="130"/>
      <c r="K51" s="131"/>
    </row>
    <row r="52" spans="2:11" x14ac:dyDescent="0.3">
      <c r="B52" s="132"/>
      <c r="C52" s="123"/>
      <c r="D52" s="124"/>
      <c r="E52" s="125"/>
      <c r="F52" s="18"/>
      <c r="G52" s="127"/>
      <c r="H52" s="128"/>
      <c r="I52" s="137"/>
      <c r="J52" s="130"/>
      <c r="K52" s="131"/>
    </row>
    <row r="53" spans="2:11" x14ac:dyDescent="0.3">
      <c r="B53" s="132"/>
      <c r="C53" s="123"/>
      <c r="D53" s="124"/>
      <c r="E53" s="125"/>
      <c r="F53" s="126"/>
      <c r="G53" s="127"/>
      <c r="H53" s="128"/>
      <c r="I53" s="7"/>
      <c r="J53" s="130"/>
      <c r="K53" s="131"/>
    </row>
    <row r="54" spans="2:11" x14ac:dyDescent="0.3">
      <c r="B54" s="132"/>
      <c r="C54" s="123"/>
      <c r="D54" s="124"/>
      <c r="E54" s="125"/>
      <c r="F54" s="126"/>
      <c r="G54" s="127"/>
      <c r="H54" s="128"/>
      <c r="I54" s="129"/>
      <c r="J54" s="130"/>
      <c r="K54" s="131"/>
    </row>
    <row r="55" spans="2:11" x14ac:dyDescent="0.3">
      <c r="B55" s="132"/>
      <c r="C55" s="123"/>
      <c r="D55" s="124"/>
      <c r="E55" s="125"/>
      <c r="F55" s="126"/>
      <c r="G55" s="127"/>
      <c r="H55" s="128"/>
      <c r="I55" s="129"/>
      <c r="J55" s="130"/>
      <c r="K55" s="131"/>
    </row>
    <row r="56" spans="2:11" x14ac:dyDescent="0.3">
      <c r="B56" s="122"/>
      <c r="C56" s="123"/>
      <c r="D56" s="124"/>
      <c r="E56" s="125"/>
      <c r="F56" s="140"/>
      <c r="G56" s="127"/>
      <c r="H56" s="128"/>
      <c r="I56" s="137"/>
      <c r="J56" s="130"/>
      <c r="K56" s="131"/>
    </row>
    <row r="57" spans="2:11" x14ac:dyDescent="0.3">
      <c r="B57" s="122"/>
      <c r="C57" s="123"/>
      <c r="D57" s="124"/>
      <c r="E57" s="125"/>
      <c r="F57" s="16"/>
      <c r="G57" s="127"/>
      <c r="H57" s="128"/>
      <c r="I57" s="129"/>
      <c r="J57" s="130"/>
      <c r="K57" s="131"/>
    </row>
    <row r="58" spans="2:11" x14ac:dyDescent="0.3">
      <c r="B58" s="122"/>
      <c r="C58" s="123"/>
      <c r="D58" s="124"/>
      <c r="E58" s="125"/>
      <c r="F58" s="16"/>
      <c r="G58" s="127"/>
      <c r="H58" s="128"/>
      <c r="I58" s="7"/>
      <c r="J58" s="130"/>
      <c r="K58" s="131"/>
    </row>
    <row r="59" spans="2:11" x14ac:dyDescent="0.3">
      <c r="B59" s="132"/>
      <c r="C59" s="123"/>
      <c r="D59" s="124"/>
      <c r="E59" s="125"/>
      <c r="F59" s="126"/>
      <c r="G59" s="127"/>
      <c r="H59" s="128"/>
      <c r="I59" s="7"/>
      <c r="J59" s="130"/>
      <c r="K59" s="131"/>
    </row>
    <row r="60" spans="2:11" x14ac:dyDescent="0.3">
      <c r="B60" s="122"/>
      <c r="C60" s="123"/>
      <c r="D60" s="124"/>
      <c r="E60" s="125"/>
      <c r="F60" s="140"/>
      <c r="G60" s="127"/>
      <c r="H60" s="128"/>
      <c r="I60" s="7"/>
      <c r="J60" s="130"/>
      <c r="K60" s="131"/>
    </row>
    <row r="61" spans="2:11" x14ac:dyDescent="0.3">
      <c r="B61" s="132"/>
      <c r="C61" s="123"/>
      <c r="D61" s="124"/>
      <c r="E61" s="125"/>
      <c r="F61" s="126"/>
      <c r="G61" s="127"/>
      <c r="H61" s="128"/>
      <c r="I61" s="137"/>
      <c r="J61" s="130"/>
      <c r="K61" s="131"/>
    </row>
    <row r="62" spans="2:11" x14ac:dyDescent="0.3">
      <c r="B62" s="122"/>
      <c r="C62" s="123"/>
      <c r="D62" s="124"/>
      <c r="E62" s="125"/>
      <c r="F62" s="140"/>
      <c r="G62" s="127"/>
      <c r="H62" s="128"/>
      <c r="I62" s="7"/>
      <c r="J62" s="130"/>
      <c r="K62" s="131"/>
    </row>
    <row r="63" spans="2:11" x14ac:dyDescent="0.3">
      <c r="B63" s="132"/>
      <c r="C63" s="123"/>
      <c r="D63" s="124"/>
      <c r="E63" s="125"/>
      <c r="F63" s="126"/>
      <c r="G63" s="127"/>
      <c r="H63" s="128"/>
      <c r="I63" s="7"/>
      <c r="J63" s="130"/>
      <c r="K63" s="131"/>
    </row>
    <row r="64" spans="2:11" x14ac:dyDescent="0.3">
      <c r="B64" s="132"/>
      <c r="C64" s="123"/>
      <c r="D64" s="124"/>
      <c r="E64" s="125"/>
      <c r="F64" s="126"/>
      <c r="G64" s="127"/>
      <c r="H64" s="128"/>
      <c r="I64" s="7"/>
      <c r="J64" s="130"/>
      <c r="K64" s="131"/>
    </row>
    <row r="65" spans="2:11" x14ac:dyDescent="0.3">
      <c r="B65" s="132"/>
      <c r="C65" s="123"/>
      <c r="D65" s="124"/>
      <c r="E65" s="125"/>
      <c r="F65" s="14"/>
      <c r="G65" s="127"/>
      <c r="H65" s="128"/>
      <c r="I65" s="7"/>
      <c r="J65" s="130"/>
      <c r="K65" s="131"/>
    </row>
    <row r="66" spans="2:11" x14ac:dyDescent="0.3">
      <c r="B66" s="132"/>
      <c r="C66" s="123"/>
      <c r="D66" s="124"/>
      <c r="E66" s="125"/>
      <c r="F66" s="16"/>
      <c r="G66" s="127"/>
      <c r="H66" s="128"/>
      <c r="I66" s="141"/>
      <c r="J66" s="130"/>
      <c r="K66" s="131"/>
    </row>
    <row r="67" spans="2:11" x14ac:dyDescent="0.3">
      <c r="B67" s="132"/>
      <c r="C67" s="123"/>
      <c r="D67" s="124"/>
      <c r="E67" s="125"/>
      <c r="F67" s="16"/>
      <c r="G67" s="127"/>
      <c r="H67" s="128"/>
      <c r="J67" s="130"/>
      <c r="K67" s="131"/>
    </row>
    <row r="68" spans="2:11" x14ac:dyDescent="0.3">
      <c r="B68" s="138"/>
      <c r="C68" s="139"/>
      <c r="D68" s="124"/>
      <c r="E68" s="125"/>
      <c r="F68" s="126"/>
      <c r="G68" s="127"/>
      <c r="H68" s="128"/>
      <c r="I68" s="7"/>
      <c r="J68" s="130"/>
      <c r="K68" s="131"/>
    </row>
    <row r="69" spans="2:11" x14ac:dyDescent="0.3">
      <c r="B69" s="132"/>
      <c r="C69" s="123"/>
      <c r="D69" s="124"/>
      <c r="E69" s="125"/>
      <c r="F69" s="142"/>
      <c r="G69" s="127"/>
      <c r="H69" s="128"/>
      <c r="I69" s="129"/>
      <c r="J69" s="130"/>
      <c r="K69" s="131"/>
    </row>
    <row r="70" spans="2:11" x14ac:dyDescent="0.3">
      <c r="B70" s="138"/>
      <c r="C70" s="139"/>
      <c r="D70" s="124"/>
      <c r="E70" s="125"/>
      <c r="F70" s="126"/>
      <c r="G70" s="127"/>
      <c r="H70" s="128"/>
      <c r="I70" s="7"/>
      <c r="J70" s="130"/>
      <c r="K70" s="131"/>
    </row>
    <row r="71" spans="2:11" x14ac:dyDescent="0.3">
      <c r="B71" s="132"/>
      <c r="C71" s="123"/>
      <c r="D71" s="124"/>
      <c r="E71" s="125"/>
      <c r="F71" s="142"/>
      <c r="G71" s="127"/>
      <c r="H71" s="128"/>
      <c r="I71" s="129"/>
      <c r="J71" s="130"/>
      <c r="K71" s="131"/>
    </row>
    <row r="72" spans="2:11" x14ac:dyDescent="0.3">
      <c r="B72" s="138"/>
      <c r="C72" s="139"/>
      <c r="D72" s="124"/>
      <c r="E72" s="125"/>
      <c r="F72" s="126"/>
      <c r="G72" s="127"/>
      <c r="H72" s="128"/>
      <c r="I72" s="143"/>
      <c r="J72" s="130"/>
      <c r="K72" s="131"/>
    </row>
    <row r="73" spans="2:11" x14ac:dyDescent="0.3">
      <c r="B73" s="132"/>
      <c r="C73" s="123"/>
      <c r="D73" s="124"/>
      <c r="E73" s="125"/>
      <c r="F73" s="142"/>
      <c r="G73" s="127"/>
      <c r="H73" s="128"/>
      <c r="I73" s="129"/>
      <c r="J73" s="130"/>
      <c r="K73" s="131"/>
    </row>
    <row r="74" spans="2:11" x14ac:dyDescent="0.3">
      <c r="B74" s="132"/>
      <c r="C74" s="123"/>
      <c r="D74" s="124"/>
      <c r="E74" s="125"/>
      <c r="F74" s="144"/>
      <c r="G74" s="127"/>
      <c r="H74" s="128"/>
      <c r="I74" s="7"/>
      <c r="J74" s="130"/>
      <c r="K74" s="131"/>
    </row>
    <row r="75" spans="2:11" x14ac:dyDescent="0.3">
      <c r="B75" s="132"/>
      <c r="C75" s="123"/>
      <c r="D75" s="124"/>
      <c r="E75" s="125"/>
      <c r="F75" s="145"/>
      <c r="G75" s="127"/>
      <c r="H75" s="128"/>
      <c r="I75" s="129"/>
      <c r="J75" s="130"/>
      <c r="K75" s="131"/>
    </row>
    <row r="76" spans="2:11" x14ac:dyDescent="0.3">
      <c r="B76" s="132"/>
      <c r="C76" s="123"/>
      <c r="D76" s="124"/>
      <c r="E76" s="125"/>
      <c r="F76" s="16"/>
      <c r="G76" s="127"/>
      <c r="H76" s="128"/>
      <c r="I76" s="129"/>
      <c r="J76" s="130"/>
      <c r="K76" s="131"/>
    </row>
    <row r="77" spans="2:11" x14ac:dyDescent="0.3">
      <c r="B77" s="132"/>
      <c r="C77" s="123"/>
      <c r="D77" s="124"/>
      <c r="E77" s="125"/>
      <c r="F77" s="16"/>
      <c r="G77" s="127"/>
      <c r="H77" s="128"/>
      <c r="I77" s="129"/>
      <c r="J77" s="130"/>
      <c r="K77" s="131"/>
    </row>
    <row r="78" spans="2:11" x14ac:dyDescent="0.3">
      <c r="B78" s="132"/>
      <c r="C78" s="123"/>
      <c r="D78" s="124"/>
      <c r="E78" s="125"/>
      <c r="F78" s="16"/>
      <c r="G78" s="127"/>
      <c r="H78" s="128"/>
      <c r="I78" s="129"/>
      <c r="J78" s="130"/>
      <c r="K78" s="131"/>
    </row>
    <row r="79" spans="2:11" x14ac:dyDescent="0.3">
      <c r="B79" s="132"/>
      <c r="C79" s="123"/>
      <c r="D79" s="124"/>
      <c r="E79" s="125"/>
      <c r="F79" s="126"/>
      <c r="G79" s="127"/>
      <c r="H79" s="128"/>
      <c r="I79" s="7"/>
      <c r="J79" s="130"/>
      <c r="K79" s="131"/>
    </row>
    <row r="80" spans="2:11" x14ac:dyDescent="0.3">
      <c r="B80" s="132"/>
      <c r="C80" s="123"/>
      <c r="D80" s="124"/>
      <c r="E80" s="125"/>
      <c r="F80" s="14"/>
      <c r="G80" s="127"/>
      <c r="H80" s="128"/>
      <c r="I80" s="7"/>
      <c r="J80" s="130"/>
      <c r="K80" s="131"/>
    </row>
    <row r="81" spans="2:11" x14ac:dyDescent="0.3">
      <c r="B81" s="132"/>
      <c r="C81" s="123"/>
      <c r="D81" s="124"/>
      <c r="E81" s="125"/>
      <c r="F81" s="16"/>
      <c r="G81" s="127"/>
      <c r="H81" s="128"/>
      <c r="I81" s="137"/>
      <c r="J81" s="130"/>
      <c r="K81" s="131"/>
    </row>
    <row r="82" spans="2:11" x14ac:dyDescent="0.3">
      <c r="B82" s="132"/>
      <c r="C82" s="123"/>
      <c r="D82" s="124"/>
      <c r="E82" s="125"/>
      <c r="F82" s="16"/>
      <c r="G82" s="127"/>
      <c r="H82" s="128"/>
      <c r="I82" s="129"/>
      <c r="J82" s="130"/>
      <c r="K82" s="131"/>
    </row>
    <row r="83" spans="2:11" x14ac:dyDescent="0.3">
      <c r="B83" s="132"/>
      <c r="C83" s="123"/>
      <c r="D83" s="124"/>
      <c r="E83" s="125"/>
      <c r="F83" s="16"/>
      <c r="G83" s="127"/>
      <c r="H83" s="128"/>
      <c r="I83" s="129"/>
      <c r="J83" s="130"/>
      <c r="K83" s="131"/>
    </row>
    <row r="84" spans="2:11" x14ac:dyDescent="0.3">
      <c r="B84" s="132"/>
      <c r="C84" s="123"/>
      <c r="D84" s="124"/>
      <c r="E84" s="125"/>
      <c r="F84" s="16"/>
      <c r="G84" s="127"/>
      <c r="H84" s="128"/>
      <c r="I84" s="129"/>
      <c r="J84" s="130"/>
      <c r="K84" s="131"/>
    </row>
    <row r="85" spans="2:11" x14ac:dyDescent="0.3">
      <c r="B85" s="132"/>
      <c r="C85" s="123"/>
      <c r="D85" s="124"/>
      <c r="E85" s="125"/>
      <c r="F85" s="16"/>
      <c r="G85" s="127"/>
      <c r="H85" s="128"/>
      <c r="J85" s="130"/>
      <c r="K85" s="131"/>
    </row>
    <row r="86" spans="2:11" x14ac:dyDescent="0.3">
      <c r="B86" s="132"/>
      <c r="C86" s="123"/>
      <c r="D86" s="124"/>
      <c r="E86" s="125"/>
      <c r="F86" s="14"/>
      <c r="G86" s="127"/>
      <c r="H86" s="128"/>
      <c r="I86" s="7"/>
      <c r="J86" s="130"/>
      <c r="K86" s="131"/>
    </row>
    <row r="87" spans="2:11" x14ac:dyDescent="0.3">
      <c r="B87" s="132"/>
      <c r="C87" s="123"/>
      <c r="D87" s="124"/>
      <c r="E87" s="125"/>
      <c r="F87" s="16"/>
      <c r="G87" s="127"/>
      <c r="H87" s="128"/>
      <c r="I87" s="137"/>
      <c r="J87" s="130"/>
      <c r="K87" s="131"/>
    </row>
    <row r="88" spans="2:11" x14ac:dyDescent="0.3">
      <c r="B88" s="132"/>
      <c r="C88" s="123"/>
      <c r="D88" s="124"/>
      <c r="E88" s="125"/>
      <c r="F88" s="16"/>
      <c r="G88" s="127"/>
      <c r="H88" s="128"/>
      <c r="I88" s="129"/>
      <c r="J88" s="130"/>
      <c r="K88" s="131"/>
    </row>
    <row r="89" spans="2:11" x14ac:dyDescent="0.3">
      <c r="B89" s="132"/>
      <c r="C89" s="123"/>
      <c r="D89" s="124"/>
      <c r="E89" s="125"/>
      <c r="F89" s="19"/>
      <c r="G89" s="127"/>
      <c r="H89" s="128"/>
      <c r="I89" s="7"/>
      <c r="J89" s="130"/>
      <c r="K89" s="131"/>
    </row>
    <row r="90" spans="2:11" x14ac:dyDescent="0.3">
      <c r="B90" s="132"/>
      <c r="C90" s="123"/>
      <c r="D90" s="124"/>
      <c r="E90" s="125"/>
      <c r="F90" s="16"/>
      <c r="G90" s="127"/>
      <c r="H90" s="128"/>
      <c r="I90" s="129"/>
      <c r="J90" s="130"/>
      <c r="K90" s="131"/>
    </row>
    <row r="91" spans="2:11" x14ac:dyDescent="0.3">
      <c r="B91" s="132"/>
      <c r="C91" s="123"/>
      <c r="D91" s="124"/>
      <c r="E91" s="125"/>
      <c r="F91" s="16"/>
      <c r="G91" s="127"/>
      <c r="H91" s="128"/>
      <c r="I91" s="129"/>
      <c r="J91" s="130"/>
      <c r="K91" s="131"/>
    </row>
    <row r="92" spans="2:11" x14ac:dyDescent="0.3">
      <c r="B92" s="132"/>
      <c r="C92" s="123"/>
      <c r="D92" s="124"/>
      <c r="E92" s="125"/>
      <c r="F92" s="16"/>
      <c r="G92" s="127"/>
      <c r="H92" s="128"/>
      <c r="I92" s="7"/>
      <c r="J92" s="130"/>
      <c r="K92" s="131"/>
    </row>
    <row r="93" spans="2:11" x14ac:dyDescent="0.3">
      <c r="B93" s="132"/>
      <c r="C93" s="123"/>
      <c r="D93" s="124"/>
      <c r="E93" s="125"/>
      <c r="F93" s="16"/>
      <c r="G93" s="127"/>
      <c r="H93" s="128"/>
      <c r="I93" s="129"/>
      <c r="J93" s="130"/>
      <c r="K93" s="131"/>
    </row>
    <row r="94" spans="2:11" x14ac:dyDescent="0.3">
      <c r="B94" s="132"/>
      <c r="C94" s="123"/>
      <c r="D94" s="124"/>
      <c r="E94" s="125"/>
      <c r="F94" s="16"/>
      <c r="G94" s="127"/>
      <c r="H94" s="128"/>
      <c r="J94" s="130"/>
      <c r="K94" s="131"/>
    </row>
    <row r="95" spans="2:11" ht="14" x14ac:dyDescent="0.3">
      <c r="B95" s="122"/>
      <c r="C95" s="123"/>
      <c r="D95" s="124"/>
      <c r="E95" s="125"/>
      <c r="F95" s="140"/>
      <c r="G95" s="127"/>
      <c r="H95" s="146"/>
      <c r="I95" s="147"/>
      <c r="J95" s="130"/>
      <c r="K95" s="131"/>
    </row>
    <row r="96" spans="2:11" ht="13.5" customHeight="1" x14ac:dyDescent="0.3">
      <c r="B96" s="122"/>
      <c r="C96" s="123"/>
      <c r="D96" s="124"/>
      <c r="E96" s="125"/>
      <c r="F96" s="140"/>
      <c r="G96" s="127"/>
      <c r="H96" s="128"/>
      <c r="I96" s="148"/>
      <c r="J96" s="130"/>
      <c r="K96" s="131"/>
    </row>
    <row r="97" spans="2:11" x14ac:dyDescent="0.3">
      <c r="B97" s="132"/>
      <c r="C97" s="123"/>
      <c r="D97" s="124"/>
      <c r="E97" s="125"/>
      <c r="F97" s="16"/>
      <c r="G97" s="127"/>
      <c r="H97" s="128"/>
      <c r="J97" s="130"/>
      <c r="K97" s="131"/>
    </row>
    <row r="98" spans="2:11" x14ac:dyDescent="0.3">
      <c r="B98" s="132"/>
      <c r="C98" s="123"/>
      <c r="D98" s="124"/>
      <c r="E98" s="125"/>
      <c r="F98" s="140"/>
      <c r="G98" s="127"/>
      <c r="H98" s="128"/>
      <c r="I98" s="129"/>
      <c r="J98" s="130"/>
      <c r="K98" s="131"/>
    </row>
    <row r="99" spans="2:11" x14ac:dyDescent="0.3">
      <c r="B99" s="132"/>
      <c r="C99" s="123"/>
      <c r="D99" s="124"/>
      <c r="E99" s="125"/>
      <c r="F99" s="14"/>
      <c r="G99" s="127"/>
      <c r="H99" s="128"/>
      <c r="I99" s="7"/>
      <c r="J99" s="130"/>
      <c r="K99" s="131"/>
    </row>
    <row r="100" spans="2:11" x14ac:dyDescent="0.3">
      <c r="B100" s="132"/>
      <c r="C100" s="123"/>
      <c r="D100" s="124"/>
      <c r="E100" s="125"/>
      <c r="F100" s="16"/>
      <c r="G100" s="127"/>
      <c r="H100" s="128"/>
      <c r="I100" s="129"/>
      <c r="J100" s="130"/>
      <c r="K100" s="131"/>
    </row>
    <row r="101" spans="2:11" x14ac:dyDescent="0.3">
      <c r="B101" s="132"/>
      <c r="C101" s="123"/>
      <c r="D101" s="124"/>
      <c r="E101" s="125"/>
      <c r="F101" s="14"/>
      <c r="G101" s="127"/>
      <c r="H101" s="128"/>
      <c r="I101" s="7"/>
      <c r="J101" s="130"/>
      <c r="K101" s="131"/>
    </row>
    <row r="102" spans="2:11" x14ac:dyDescent="0.3">
      <c r="B102" s="132"/>
      <c r="C102" s="123"/>
      <c r="D102" s="124"/>
      <c r="E102" s="125"/>
      <c r="F102" s="16"/>
      <c r="G102" s="127"/>
      <c r="H102" s="128"/>
      <c r="I102" s="129"/>
      <c r="J102" s="130"/>
      <c r="K102" s="131"/>
    </row>
    <row r="103" spans="2:11" x14ac:dyDescent="0.3">
      <c r="B103" s="132"/>
      <c r="C103" s="123"/>
      <c r="D103" s="149"/>
      <c r="E103" s="125"/>
      <c r="F103" s="18"/>
      <c r="G103" s="127"/>
      <c r="H103" s="128"/>
      <c r="I103" s="137"/>
      <c r="J103" s="130"/>
      <c r="K103" s="131"/>
    </row>
    <row r="104" spans="2:11" x14ac:dyDescent="0.3">
      <c r="B104" s="122"/>
      <c r="C104" s="123"/>
      <c r="D104" s="149"/>
      <c r="E104" s="125"/>
      <c r="F104" s="150"/>
      <c r="G104" s="127"/>
      <c r="H104" s="151"/>
      <c r="I104" s="137"/>
      <c r="J104" s="130"/>
      <c r="K104" s="131"/>
    </row>
    <row r="105" spans="2:11" x14ac:dyDescent="0.3">
      <c r="B105" s="132"/>
      <c r="C105" s="123"/>
      <c r="D105" s="124"/>
      <c r="E105" s="125"/>
      <c r="F105" s="16"/>
      <c r="G105" s="127"/>
      <c r="H105" s="128"/>
      <c r="I105" s="129"/>
      <c r="J105" s="130"/>
      <c r="K105" s="131"/>
    </row>
    <row r="106" spans="2:11" x14ac:dyDescent="0.3">
      <c r="B106" s="132"/>
      <c r="C106" s="123"/>
      <c r="D106" s="149"/>
      <c r="E106" s="125"/>
      <c r="F106" s="16"/>
      <c r="G106" s="127"/>
      <c r="H106" s="128"/>
      <c r="I106" s="137"/>
      <c r="J106" s="130"/>
      <c r="K106" s="131"/>
    </row>
    <row r="107" spans="2:11" x14ac:dyDescent="0.3">
      <c r="B107" s="122"/>
      <c r="C107" s="123"/>
      <c r="D107" s="124"/>
      <c r="E107" s="125"/>
      <c r="F107" s="140"/>
      <c r="G107" s="127"/>
      <c r="H107" s="151"/>
      <c r="I107" s="137"/>
      <c r="J107" s="130"/>
      <c r="K107" s="131"/>
    </row>
    <row r="108" spans="2:11" x14ac:dyDescent="0.3">
      <c r="B108" s="132"/>
      <c r="C108" s="123"/>
      <c r="D108" s="124"/>
      <c r="E108" s="125"/>
      <c r="F108" s="126"/>
      <c r="G108" s="127"/>
      <c r="H108" s="128"/>
      <c r="I108" s="129"/>
      <c r="J108" s="130"/>
      <c r="K108" s="131"/>
    </row>
    <row r="109" spans="2:11" x14ac:dyDescent="0.3">
      <c r="B109" s="132"/>
      <c r="C109" s="123"/>
      <c r="D109" s="124"/>
      <c r="E109" s="125"/>
      <c r="F109" s="14"/>
      <c r="G109" s="127"/>
      <c r="H109" s="128"/>
      <c r="I109" s="129"/>
      <c r="J109" s="130"/>
      <c r="K109" s="131"/>
    </row>
    <row r="110" spans="2:11" x14ac:dyDescent="0.3">
      <c r="B110" s="132"/>
      <c r="C110" s="123"/>
      <c r="D110" s="124"/>
      <c r="E110" s="125"/>
      <c r="F110" s="14"/>
      <c r="G110" s="127"/>
      <c r="H110" s="128"/>
      <c r="I110" s="129"/>
      <c r="J110" s="130"/>
      <c r="K110" s="131"/>
    </row>
    <row r="111" spans="2:11" x14ac:dyDescent="0.3">
      <c r="B111" s="138"/>
      <c r="C111" s="139"/>
      <c r="D111" s="124"/>
      <c r="E111" s="125"/>
      <c r="F111" s="126"/>
      <c r="G111" s="127"/>
      <c r="H111" s="128"/>
      <c r="I111" s="137"/>
      <c r="J111" s="130"/>
      <c r="K111" s="131"/>
    </row>
    <row r="112" spans="2:11" x14ac:dyDescent="0.3">
      <c r="B112" s="132"/>
      <c r="C112" s="123"/>
      <c r="D112" s="124"/>
      <c r="E112" s="125"/>
      <c r="F112" s="140"/>
      <c r="G112" s="127"/>
      <c r="H112" s="128"/>
      <c r="I112" s="129"/>
      <c r="J112" s="130"/>
      <c r="K112" s="131"/>
    </row>
    <row r="113" spans="2:11" x14ac:dyDescent="0.3">
      <c r="B113" s="132"/>
      <c r="C113" s="123"/>
      <c r="D113" s="124"/>
      <c r="E113" s="125"/>
      <c r="F113" s="17"/>
      <c r="G113" s="127"/>
      <c r="H113" s="128"/>
      <c r="I113" s="129"/>
      <c r="J113" s="130"/>
      <c r="K113" s="131"/>
    </row>
    <row r="114" spans="2:11" x14ac:dyDescent="0.3">
      <c r="B114" s="132"/>
      <c r="C114" s="123"/>
      <c r="D114" s="124"/>
      <c r="E114" s="125"/>
      <c r="F114" s="16"/>
      <c r="G114" s="127"/>
      <c r="H114" s="128"/>
      <c r="I114" s="129"/>
      <c r="J114" s="130"/>
      <c r="K114" s="131"/>
    </row>
    <row r="115" spans="2:11" x14ac:dyDescent="0.3">
      <c r="B115" s="132"/>
      <c r="C115" s="123"/>
      <c r="D115" s="124"/>
      <c r="E115" s="125"/>
      <c r="F115" s="126"/>
      <c r="G115" s="127"/>
      <c r="H115" s="128"/>
      <c r="I115" s="7"/>
      <c r="J115" s="130"/>
      <c r="K115" s="131"/>
    </row>
    <row r="116" spans="2:11" x14ac:dyDescent="0.3">
      <c r="B116" s="132"/>
      <c r="C116" s="123"/>
      <c r="D116" s="124"/>
      <c r="E116" s="125"/>
      <c r="F116" s="16"/>
      <c r="G116" s="127"/>
      <c r="H116" s="128"/>
      <c r="I116" s="129"/>
      <c r="J116" s="130"/>
      <c r="K116" s="131"/>
    </row>
    <row r="117" spans="2:11" x14ac:dyDescent="0.3">
      <c r="B117" s="132"/>
      <c r="C117" s="123"/>
      <c r="D117" s="124"/>
      <c r="E117" s="125"/>
      <c r="F117" s="16"/>
      <c r="G117" s="127"/>
      <c r="H117" s="128"/>
      <c r="I117" s="129"/>
      <c r="J117" s="130"/>
      <c r="K117" s="131"/>
    </row>
    <row r="118" spans="2:11" x14ac:dyDescent="0.3">
      <c r="B118" s="132"/>
      <c r="C118" s="123"/>
      <c r="D118" s="124"/>
      <c r="E118" s="125"/>
      <c r="F118" s="16"/>
      <c r="G118" s="127"/>
      <c r="H118" s="128"/>
      <c r="I118" s="129"/>
      <c r="J118" s="130"/>
      <c r="K118" s="131"/>
    </row>
    <row r="119" spans="2:11" x14ac:dyDescent="0.3">
      <c r="B119" s="132"/>
      <c r="C119" s="123"/>
      <c r="D119" s="124"/>
      <c r="E119" s="125"/>
      <c r="F119" s="16"/>
      <c r="G119" s="127"/>
      <c r="H119" s="128"/>
      <c r="I119" s="129"/>
      <c r="J119" s="130"/>
      <c r="K119" s="131"/>
    </row>
    <row r="120" spans="2:11" x14ac:dyDescent="0.3">
      <c r="B120" s="122"/>
      <c r="C120" s="123"/>
      <c r="D120" s="124"/>
      <c r="E120" s="125"/>
      <c r="F120" s="140"/>
      <c r="G120" s="127"/>
      <c r="H120" s="128"/>
      <c r="I120" s="137"/>
      <c r="J120" s="130"/>
      <c r="K120" s="131"/>
    </row>
    <row r="121" spans="2:11" x14ac:dyDescent="0.3">
      <c r="B121" s="132"/>
      <c r="C121" s="123"/>
      <c r="D121" s="124"/>
      <c r="E121" s="125"/>
      <c r="F121" s="17"/>
      <c r="G121" s="127"/>
      <c r="H121" s="128"/>
      <c r="I121" s="137"/>
      <c r="J121" s="130"/>
      <c r="K121" s="131"/>
    </row>
    <row r="122" spans="2:11" x14ac:dyDescent="0.3">
      <c r="B122" s="132"/>
      <c r="C122" s="123"/>
      <c r="D122" s="124"/>
      <c r="E122" s="125"/>
      <c r="F122" s="16"/>
      <c r="G122" s="127"/>
      <c r="H122" s="128"/>
      <c r="I122" s="129"/>
      <c r="J122" s="130"/>
      <c r="K122" s="131"/>
    </row>
    <row r="123" spans="2:11" x14ac:dyDescent="0.3">
      <c r="B123" s="132"/>
      <c r="C123" s="123"/>
      <c r="D123" s="124"/>
      <c r="E123" s="125"/>
      <c r="F123" s="16"/>
      <c r="G123" s="127"/>
      <c r="H123" s="128"/>
      <c r="I123" s="129"/>
      <c r="J123" s="130"/>
      <c r="K123" s="131"/>
    </row>
    <row r="124" spans="2:11" x14ac:dyDescent="0.3">
      <c r="B124" s="122"/>
      <c r="C124" s="123"/>
      <c r="D124" s="124"/>
      <c r="E124" s="125"/>
      <c r="F124" s="140"/>
      <c r="G124" s="127"/>
      <c r="H124" s="151"/>
      <c r="I124" s="137"/>
      <c r="J124" s="130"/>
      <c r="K124" s="131"/>
    </row>
    <row r="125" spans="2:11" x14ac:dyDescent="0.3">
      <c r="B125" s="122"/>
      <c r="C125" s="123"/>
      <c r="D125" s="124"/>
      <c r="E125" s="125"/>
      <c r="F125" s="140"/>
      <c r="G125" s="127"/>
      <c r="H125" s="128"/>
      <c r="I125" s="7"/>
      <c r="J125" s="130"/>
      <c r="K125" s="131"/>
    </row>
    <row r="126" spans="2:11" x14ac:dyDescent="0.3">
      <c r="B126" s="132"/>
      <c r="C126" s="123"/>
      <c r="D126" s="124"/>
      <c r="E126" s="125"/>
      <c r="F126" s="126"/>
      <c r="G126" s="127"/>
      <c r="H126" s="128"/>
      <c r="I126" s="129"/>
      <c r="J126" s="130"/>
      <c r="K126" s="131"/>
    </row>
    <row r="127" spans="2:11" x14ac:dyDescent="0.3">
      <c r="B127" s="132"/>
      <c r="C127" s="123"/>
      <c r="D127" s="124"/>
      <c r="E127" s="125"/>
      <c r="F127" s="126"/>
      <c r="G127" s="127"/>
      <c r="H127" s="128"/>
      <c r="I127" s="129"/>
      <c r="J127" s="130"/>
      <c r="K127" s="131"/>
    </row>
    <row r="128" spans="2:11" x14ac:dyDescent="0.3">
      <c r="B128" s="138"/>
      <c r="C128" s="139"/>
      <c r="D128" s="124"/>
      <c r="E128" s="125"/>
      <c r="F128" s="126"/>
      <c r="G128" s="127"/>
      <c r="H128" s="128"/>
      <c r="I128" s="137"/>
      <c r="J128" s="130"/>
      <c r="K128" s="131"/>
    </row>
    <row r="129" spans="2:11" x14ac:dyDescent="0.3">
      <c r="B129" s="122"/>
      <c r="C129" s="123"/>
      <c r="D129" s="124"/>
      <c r="E129" s="125"/>
      <c r="F129" s="140"/>
      <c r="G129" s="127"/>
      <c r="H129" s="128"/>
      <c r="I129" s="129"/>
      <c r="J129" s="130"/>
      <c r="K129" s="131"/>
    </row>
    <row r="130" spans="2:11" x14ac:dyDescent="0.3">
      <c r="B130" s="132"/>
      <c r="C130" s="123"/>
      <c r="D130" s="124"/>
      <c r="E130" s="125"/>
      <c r="F130" s="16"/>
      <c r="G130" s="127"/>
      <c r="H130" s="128"/>
      <c r="I130" s="7"/>
      <c r="J130" s="130"/>
      <c r="K130" s="131"/>
    </row>
    <row r="131" spans="2:11" x14ac:dyDescent="0.3">
      <c r="B131" s="132"/>
      <c r="C131" s="123"/>
      <c r="D131" s="124"/>
      <c r="E131" s="125"/>
      <c r="F131" s="126"/>
      <c r="G131" s="127"/>
      <c r="H131" s="128"/>
      <c r="I131" s="7"/>
      <c r="J131" s="130"/>
      <c r="K131" s="131"/>
    </row>
    <row r="132" spans="2:11" x14ac:dyDescent="0.3">
      <c r="B132" s="132"/>
      <c r="C132" s="123"/>
      <c r="D132" s="124"/>
      <c r="E132" s="125"/>
      <c r="F132" s="16"/>
      <c r="G132" s="127"/>
      <c r="H132" s="128"/>
      <c r="I132" s="129"/>
      <c r="J132" s="130"/>
      <c r="K132" s="131"/>
    </row>
    <row r="133" spans="2:11" x14ac:dyDescent="0.3">
      <c r="B133" s="132"/>
      <c r="C133" s="123"/>
      <c r="D133" s="124"/>
      <c r="E133" s="125"/>
      <c r="F133" s="140"/>
      <c r="G133" s="127"/>
      <c r="H133" s="128"/>
      <c r="I133" s="137"/>
      <c r="J133" s="130"/>
      <c r="K133" s="131"/>
    </row>
    <row r="134" spans="2:11" x14ac:dyDescent="0.3">
      <c r="B134" s="132"/>
      <c r="C134" s="123"/>
      <c r="D134" s="124"/>
      <c r="E134" s="125"/>
      <c r="F134" s="16"/>
      <c r="G134" s="127"/>
      <c r="H134" s="128"/>
      <c r="I134" s="129"/>
      <c r="J134" s="130"/>
      <c r="K134" s="131"/>
    </row>
    <row r="135" spans="2:11" x14ac:dyDescent="0.3">
      <c r="B135" s="132"/>
      <c r="C135" s="123"/>
      <c r="D135" s="124"/>
      <c r="E135" s="125"/>
      <c r="F135" s="16"/>
      <c r="G135" s="127"/>
      <c r="H135" s="128"/>
      <c r="I135" s="129"/>
      <c r="J135" s="130"/>
      <c r="K135" s="131"/>
    </row>
    <row r="136" spans="2:11" x14ac:dyDescent="0.3">
      <c r="B136" s="132"/>
      <c r="C136" s="123"/>
      <c r="D136" s="124"/>
      <c r="E136" s="125"/>
      <c r="F136" s="16"/>
      <c r="G136" s="127"/>
      <c r="H136" s="128"/>
      <c r="I136" s="129"/>
      <c r="J136" s="130"/>
      <c r="K136" s="131"/>
    </row>
    <row r="137" spans="2:11" x14ac:dyDescent="0.3">
      <c r="B137" s="122"/>
      <c r="C137" s="123"/>
      <c r="D137" s="124"/>
      <c r="E137" s="125"/>
      <c r="F137" s="17"/>
      <c r="G137" s="127"/>
      <c r="H137" s="128"/>
      <c r="I137" s="137"/>
      <c r="J137" s="130"/>
      <c r="K137" s="131"/>
    </row>
    <row r="138" spans="2:11" x14ac:dyDescent="0.3">
      <c r="B138" s="132"/>
      <c r="C138" s="123"/>
      <c r="D138" s="124"/>
      <c r="E138" s="125"/>
      <c r="F138" s="17"/>
      <c r="G138" s="127"/>
      <c r="H138" s="128"/>
      <c r="I138" s="129"/>
      <c r="J138" s="130"/>
      <c r="K138" s="131"/>
    </row>
    <row r="139" spans="2:11" x14ac:dyDescent="0.3">
      <c r="B139" s="152"/>
      <c r="C139" s="117"/>
      <c r="D139" s="153"/>
      <c r="E139" s="154"/>
      <c r="F139" s="155"/>
      <c r="G139" s="156"/>
      <c r="H139" s="23"/>
      <c r="I139" s="157"/>
      <c r="J139" s="130"/>
      <c r="K139" s="131"/>
    </row>
    <row r="140" spans="2:11" x14ac:dyDescent="0.3">
      <c r="B140" s="158"/>
      <c r="C140" s="112"/>
      <c r="D140" s="159"/>
      <c r="E140" s="160"/>
      <c r="F140" s="112"/>
      <c r="G140" s="161"/>
      <c r="H140" s="24"/>
      <c r="I140" s="155"/>
      <c r="J140" s="130"/>
      <c r="K140" s="131"/>
    </row>
    <row r="141" spans="2:11" x14ac:dyDescent="0.3">
      <c r="B141" s="162"/>
      <c r="C141" s="163"/>
      <c r="E141" s="164"/>
      <c r="F141" s="165"/>
      <c r="G141" s="163"/>
      <c r="H141" s="25"/>
      <c r="K141" s="131"/>
    </row>
    <row r="142" spans="2:11" x14ac:dyDescent="0.3">
      <c r="B142" s="162"/>
      <c r="C142" s="163"/>
      <c r="E142" s="164"/>
      <c r="F142" s="165"/>
      <c r="G142" s="163"/>
      <c r="H142" s="25"/>
      <c r="K142" s="131"/>
    </row>
    <row r="143" spans="2:11" ht="13.15" customHeight="1" x14ac:dyDescent="0.3">
      <c r="B143" s="234"/>
      <c r="C143" s="234"/>
      <c r="D143" s="234"/>
      <c r="E143" s="234"/>
      <c r="F143" s="234"/>
      <c r="G143" s="166"/>
      <c r="H143" s="26"/>
      <c r="I143" s="167"/>
      <c r="K143" s="131"/>
    </row>
    <row r="144" spans="2:11" ht="27" customHeight="1" x14ac:dyDescent="0.3">
      <c r="B144" s="234"/>
      <c r="C144" s="234"/>
      <c r="D144" s="234"/>
      <c r="E144" s="234"/>
      <c r="F144" s="234"/>
      <c r="G144" s="166"/>
      <c r="H144" s="27"/>
      <c r="I144" s="168"/>
      <c r="K144" s="131"/>
    </row>
    <row r="145" spans="2:11" ht="25.5" customHeight="1" x14ac:dyDescent="0.3">
      <c r="B145" s="234"/>
      <c r="C145" s="234"/>
      <c r="D145" s="234"/>
      <c r="E145" s="234"/>
      <c r="F145" s="234"/>
      <c r="G145" s="166"/>
      <c r="H145" s="27"/>
      <c r="K145" s="131"/>
    </row>
    <row r="146" spans="2:11" x14ac:dyDescent="0.3">
      <c r="B146" s="234"/>
      <c r="C146" s="234"/>
      <c r="D146" s="234"/>
      <c r="E146" s="234"/>
      <c r="F146" s="234"/>
      <c r="G146" s="166"/>
      <c r="H146" s="27"/>
      <c r="K146" s="131"/>
    </row>
    <row r="147" spans="2:11" x14ac:dyDescent="0.3">
      <c r="B147" s="28"/>
      <c r="D147" s="169"/>
      <c r="E147" s="160"/>
      <c r="G147" s="170"/>
      <c r="H147" s="27"/>
    </row>
    <row r="148" spans="2:11" x14ac:dyDescent="0.3">
      <c r="B148" s="28"/>
      <c r="D148" s="169"/>
      <c r="E148" s="160"/>
      <c r="G148" s="32"/>
      <c r="H148" s="27"/>
    </row>
    <row r="149" spans="2:11" x14ac:dyDescent="0.3">
      <c r="G149" s="32"/>
    </row>
    <row r="150" spans="2:11" x14ac:dyDescent="0.3">
      <c r="G150" s="32"/>
    </row>
  </sheetData>
  <mergeCells count="2">
    <mergeCell ref="B143:F144"/>
    <mergeCell ref="B145:F146"/>
  </mergeCells>
  <printOptions horizontalCentered="1"/>
  <pageMargins left="0.7" right="0.7" top="0.75" bottom="0.75" header="0.3" footer="0.3"/>
  <pageSetup scale="74" orientation="landscape" r:id="rId1"/>
  <headerFooter>
    <oddHeader>&amp;CPUBLIC UTILITY COMMISSION OF TEXAS
AEP TEXAS INC
SCHEDULE IV-J-7 PROOF OF REVENUE
TEST YEAR ENDING DECEMBER 31, 2018&amp;RSchedule IV-J-7
ERCOT Matrix Transmission Calculations
&amp;A
Page &amp;P of &amp;N</oddHeader>
    <oddFooter xml:space="preserve">&amp;LSponsored by: Jennifer L. Jackson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50"/>
  <sheetViews>
    <sheetView workbookViewId="0">
      <selection activeCell="F24" sqref="F24"/>
    </sheetView>
  </sheetViews>
  <sheetFormatPr defaultRowHeight="13" outlineLevelCol="1" x14ac:dyDescent="0.3"/>
  <cols>
    <col min="1" max="1" width="1.81640625" style="21" customWidth="1"/>
    <col min="2" max="2" width="42.54296875" style="21" customWidth="1"/>
    <col min="3" max="3" width="16.7265625" style="21" bestFit="1" customWidth="1"/>
    <col min="4" max="4" width="15.1796875" style="21" customWidth="1"/>
    <col min="5" max="5" width="14.1796875" style="21" bestFit="1" customWidth="1"/>
    <col min="6" max="6" width="15.453125" style="21" customWidth="1"/>
    <col min="7" max="7" width="17.1796875" style="21" customWidth="1"/>
    <col min="8" max="8" width="15.1796875" style="111" hidden="1" customWidth="1" outlineLevel="1"/>
    <col min="9" max="9" width="17.54296875" style="112" bestFit="1" customWidth="1" collapsed="1"/>
    <col min="10" max="10" width="12.7265625" style="21" bestFit="1" customWidth="1"/>
    <col min="11" max="11" width="8.26953125" style="21" bestFit="1" customWidth="1"/>
    <col min="12" max="12" width="9.54296875" style="21" bestFit="1" customWidth="1"/>
    <col min="13" max="13" width="9.1796875" style="21" customWidth="1"/>
    <col min="14" max="15" width="9.1796875" style="21"/>
    <col min="16" max="17" width="12.26953125" style="21" bestFit="1" customWidth="1"/>
    <col min="18" max="18" width="11.26953125" style="21" bestFit="1" customWidth="1"/>
    <col min="19" max="256" width="9.1796875" style="21"/>
    <col min="257" max="257" width="1.81640625" style="21" customWidth="1"/>
    <col min="258" max="258" width="38" style="21" customWidth="1"/>
    <col min="259" max="259" width="16.7265625" style="21" bestFit="1" customWidth="1"/>
    <col min="260" max="260" width="15.1796875" style="21" customWidth="1"/>
    <col min="261" max="261" width="10.81640625" style="21" customWidth="1"/>
    <col min="262" max="262" width="15.453125" style="21" customWidth="1"/>
    <col min="263" max="263" width="17.1796875" style="21" customWidth="1"/>
    <col min="264" max="264" width="0" style="21" hidden="1" customWidth="1"/>
    <col min="265" max="265" width="17.54296875" style="21" bestFit="1" customWidth="1"/>
    <col min="266" max="266" width="16.453125" style="21" bestFit="1" customWidth="1"/>
    <col min="267" max="267" width="8.26953125" style="21" bestFit="1" customWidth="1"/>
    <col min="268" max="512" width="9.1796875" style="21"/>
    <col min="513" max="513" width="1.81640625" style="21" customWidth="1"/>
    <col min="514" max="514" width="38" style="21" customWidth="1"/>
    <col min="515" max="515" width="16.7265625" style="21" bestFit="1" customWidth="1"/>
    <col min="516" max="516" width="15.1796875" style="21" customWidth="1"/>
    <col min="517" max="517" width="10.81640625" style="21" customWidth="1"/>
    <col min="518" max="518" width="15.453125" style="21" customWidth="1"/>
    <col min="519" max="519" width="17.1796875" style="21" customWidth="1"/>
    <col min="520" max="520" width="0" style="21" hidden="1" customWidth="1"/>
    <col min="521" max="521" width="17.54296875" style="21" bestFit="1" customWidth="1"/>
    <col min="522" max="522" width="16.453125" style="21" bestFit="1" customWidth="1"/>
    <col min="523" max="523" width="8.26953125" style="21" bestFit="1" customWidth="1"/>
    <col min="524" max="768" width="9.1796875" style="21"/>
    <col min="769" max="769" width="1.81640625" style="21" customWidth="1"/>
    <col min="770" max="770" width="38" style="21" customWidth="1"/>
    <col min="771" max="771" width="16.7265625" style="21" bestFit="1" customWidth="1"/>
    <col min="772" max="772" width="15.1796875" style="21" customWidth="1"/>
    <col min="773" max="773" width="10.81640625" style="21" customWidth="1"/>
    <col min="774" max="774" width="15.453125" style="21" customWidth="1"/>
    <col min="775" max="775" width="17.1796875" style="21" customWidth="1"/>
    <col min="776" max="776" width="0" style="21" hidden="1" customWidth="1"/>
    <col min="777" max="777" width="17.54296875" style="21" bestFit="1" customWidth="1"/>
    <col min="778" max="778" width="16.453125" style="21" bestFit="1" customWidth="1"/>
    <col min="779" max="779" width="8.26953125" style="21" bestFit="1" customWidth="1"/>
    <col min="780" max="1024" width="9.1796875" style="21"/>
    <col min="1025" max="1025" width="1.81640625" style="21" customWidth="1"/>
    <col min="1026" max="1026" width="38" style="21" customWidth="1"/>
    <col min="1027" max="1027" width="16.7265625" style="21" bestFit="1" customWidth="1"/>
    <col min="1028" max="1028" width="15.1796875" style="21" customWidth="1"/>
    <col min="1029" max="1029" width="10.81640625" style="21" customWidth="1"/>
    <col min="1030" max="1030" width="15.453125" style="21" customWidth="1"/>
    <col min="1031" max="1031" width="17.1796875" style="21" customWidth="1"/>
    <col min="1032" max="1032" width="0" style="21" hidden="1" customWidth="1"/>
    <col min="1033" max="1033" width="17.54296875" style="21" bestFit="1" customWidth="1"/>
    <col min="1034" max="1034" width="16.453125" style="21" bestFit="1" customWidth="1"/>
    <col min="1035" max="1035" width="8.26953125" style="21" bestFit="1" customWidth="1"/>
    <col min="1036" max="1280" width="9.1796875" style="21"/>
    <col min="1281" max="1281" width="1.81640625" style="21" customWidth="1"/>
    <col min="1282" max="1282" width="38" style="21" customWidth="1"/>
    <col min="1283" max="1283" width="16.7265625" style="21" bestFit="1" customWidth="1"/>
    <col min="1284" max="1284" width="15.1796875" style="21" customWidth="1"/>
    <col min="1285" max="1285" width="10.81640625" style="21" customWidth="1"/>
    <col min="1286" max="1286" width="15.453125" style="21" customWidth="1"/>
    <col min="1287" max="1287" width="17.1796875" style="21" customWidth="1"/>
    <col min="1288" max="1288" width="0" style="21" hidden="1" customWidth="1"/>
    <col min="1289" max="1289" width="17.54296875" style="21" bestFit="1" customWidth="1"/>
    <col min="1290" max="1290" width="16.453125" style="21" bestFit="1" customWidth="1"/>
    <col min="1291" max="1291" width="8.26953125" style="21" bestFit="1" customWidth="1"/>
    <col min="1292" max="1536" width="9.1796875" style="21"/>
    <col min="1537" max="1537" width="1.81640625" style="21" customWidth="1"/>
    <col min="1538" max="1538" width="38" style="21" customWidth="1"/>
    <col min="1539" max="1539" width="16.7265625" style="21" bestFit="1" customWidth="1"/>
    <col min="1540" max="1540" width="15.1796875" style="21" customWidth="1"/>
    <col min="1541" max="1541" width="10.81640625" style="21" customWidth="1"/>
    <col min="1542" max="1542" width="15.453125" style="21" customWidth="1"/>
    <col min="1543" max="1543" width="17.1796875" style="21" customWidth="1"/>
    <col min="1544" max="1544" width="0" style="21" hidden="1" customWidth="1"/>
    <col min="1545" max="1545" width="17.54296875" style="21" bestFit="1" customWidth="1"/>
    <col min="1546" max="1546" width="16.453125" style="21" bestFit="1" customWidth="1"/>
    <col min="1547" max="1547" width="8.26953125" style="21" bestFit="1" customWidth="1"/>
    <col min="1548" max="1792" width="9.1796875" style="21"/>
    <col min="1793" max="1793" width="1.81640625" style="21" customWidth="1"/>
    <col min="1794" max="1794" width="38" style="21" customWidth="1"/>
    <col min="1795" max="1795" width="16.7265625" style="21" bestFit="1" customWidth="1"/>
    <col min="1796" max="1796" width="15.1796875" style="21" customWidth="1"/>
    <col min="1797" max="1797" width="10.81640625" style="21" customWidth="1"/>
    <col min="1798" max="1798" width="15.453125" style="21" customWidth="1"/>
    <col min="1799" max="1799" width="17.1796875" style="21" customWidth="1"/>
    <col min="1800" max="1800" width="0" style="21" hidden="1" customWidth="1"/>
    <col min="1801" max="1801" width="17.54296875" style="21" bestFit="1" customWidth="1"/>
    <col min="1802" max="1802" width="16.453125" style="21" bestFit="1" customWidth="1"/>
    <col min="1803" max="1803" width="8.26953125" style="21" bestFit="1" customWidth="1"/>
    <col min="1804" max="2048" width="9.1796875" style="21"/>
    <col min="2049" max="2049" width="1.81640625" style="21" customWidth="1"/>
    <col min="2050" max="2050" width="38" style="21" customWidth="1"/>
    <col min="2051" max="2051" width="16.7265625" style="21" bestFit="1" customWidth="1"/>
    <col min="2052" max="2052" width="15.1796875" style="21" customWidth="1"/>
    <col min="2053" max="2053" width="10.81640625" style="21" customWidth="1"/>
    <col min="2054" max="2054" width="15.453125" style="21" customWidth="1"/>
    <col min="2055" max="2055" width="17.1796875" style="21" customWidth="1"/>
    <col min="2056" max="2056" width="0" style="21" hidden="1" customWidth="1"/>
    <col min="2057" max="2057" width="17.54296875" style="21" bestFit="1" customWidth="1"/>
    <col min="2058" max="2058" width="16.453125" style="21" bestFit="1" customWidth="1"/>
    <col min="2059" max="2059" width="8.26953125" style="21" bestFit="1" customWidth="1"/>
    <col min="2060" max="2304" width="9.1796875" style="21"/>
    <col min="2305" max="2305" width="1.81640625" style="21" customWidth="1"/>
    <col min="2306" max="2306" width="38" style="21" customWidth="1"/>
    <col min="2307" max="2307" width="16.7265625" style="21" bestFit="1" customWidth="1"/>
    <col min="2308" max="2308" width="15.1796875" style="21" customWidth="1"/>
    <col min="2309" max="2309" width="10.81640625" style="21" customWidth="1"/>
    <col min="2310" max="2310" width="15.453125" style="21" customWidth="1"/>
    <col min="2311" max="2311" width="17.1796875" style="21" customWidth="1"/>
    <col min="2312" max="2312" width="0" style="21" hidden="1" customWidth="1"/>
    <col min="2313" max="2313" width="17.54296875" style="21" bestFit="1" customWidth="1"/>
    <col min="2314" max="2314" width="16.453125" style="21" bestFit="1" customWidth="1"/>
    <col min="2315" max="2315" width="8.26953125" style="21" bestFit="1" customWidth="1"/>
    <col min="2316" max="2560" width="9.1796875" style="21"/>
    <col min="2561" max="2561" width="1.81640625" style="21" customWidth="1"/>
    <col min="2562" max="2562" width="38" style="21" customWidth="1"/>
    <col min="2563" max="2563" width="16.7265625" style="21" bestFit="1" customWidth="1"/>
    <col min="2564" max="2564" width="15.1796875" style="21" customWidth="1"/>
    <col min="2565" max="2565" width="10.81640625" style="21" customWidth="1"/>
    <col min="2566" max="2566" width="15.453125" style="21" customWidth="1"/>
    <col min="2567" max="2567" width="17.1796875" style="21" customWidth="1"/>
    <col min="2568" max="2568" width="0" style="21" hidden="1" customWidth="1"/>
    <col min="2569" max="2569" width="17.54296875" style="21" bestFit="1" customWidth="1"/>
    <col min="2570" max="2570" width="16.453125" style="21" bestFit="1" customWidth="1"/>
    <col min="2571" max="2571" width="8.26953125" style="21" bestFit="1" customWidth="1"/>
    <col min="2572" max="2816" width="9.1796875" style="21"/>
    <col min="2817" max="2817" width="1.81640625" style="21" customWidth="1"/>
    <col min="2818" max="2818" width="38" style="21" customWidth="1"/>
    <col min="2819" max="2819" width="16.7265625" style="21" bestFit="1" customWidth="1"/>
    <col min="2820" max="2820" width="15.1796875" style="21" customWidth="1"/>
    <col min="2821" max="2821" width="10.81640625" style="21" customWidth="1"/>
    <col min="2822" max="2822" width="15.453125" style="21" customWidth="1"/>
    <col min="2823" max="2823" width="17.1796875" style="21" customWidth="1"/>
    <col min="2824" max="2824" width="0" style="21" hidden="1" customWidth="1"/>
    <col min="2825" max="2825" width="17.54296875" style="21" bestFit="1" customWidth="1"/>
    <col min="2826" max="2826" width="16.453125" style="21" bestFit="1" customWidth="1"/>
    <col min="2827" max="2827" width="8.26953125" style="21" bestFit="1" customWidth="1"/>
    <col min="2828" max="3072" width="9.1796875" style="21"/>
    <col min="3073" max="3073" width="1.81640625" style="21" customWidth="1"/>
    <col min="3074" max="3074" width="38" style="21" customWidth="1"/>
    <col min="3075" max="3075" width="16.7265625" style="21" bestFit="1" customWidth="1"/>
    <col min="3076" max="3076" width="15.1796875" style="21" customWidth="1"/>
    <col min="3077" max="3077" width="10.81640625" style="21" customWidth="1"/>
    <col min="3078" max="3078" width="15.453125" style="21" customWidth="1"/>
    <col min="3079" max="3079" width="17.1796875" style="21" customWidth="1"/>
    <col min="3080" max="3080" width="0" style="21" hidden="1" customWidth="1"/>
    <col min="3081" max="3081" width="17.54296875" style="21" bestFit="1" customWidth="1"/>
    <col min="3082" max="3082" width="16.453125" style="21" bestFit="1" customWidth="1"/>
    <col min="3083" max="3083" width="8.26953125" style="21" bestFit="1" customWidth="1"/>
    <col min="3084" max="3328" width="9.1796875" style="21"/>
    <col min="3329" max="3329" width="1.81640625" style="21" customWidth="1"/>
    <col min="3330" max="3330" width="38" style="21" customWidth="1"/>
    <col min="3331" max="3331" width="16.7265625" style="21" bestFit="1" customWidth="1"/>
    <col min="3332" max="3332" width="15.1796875" style="21" customWidth="1"/>
    <col min="3333" max="3333" width="10.81640625" style="21" customWidth="1"/>
    <col min="3334" max="3334" width="15.453125" style="21" customWidth="1"/>
    <col min="3335" max="3335" width="17.1796875" style="21" customWidth="1"/>
    <col min="3336" max="3336" width="0" style="21" hidden="1" customWidth="1"/>
    <col min="3337" max="3337" width="17.54296875" style="21" bestFit="1" customWidth="1"/>
    <col min="3338" max="3338" width="16.453125" style="21" bestFit="1" customWidth="1"/>
    <col min="3339" max="3339" width="8.26953125" style="21" bestFit="1" customWidth="1"/>
    <col min="3340" max="3584" width="9.1796875" style="21"/>
    <col min="3585" max="3585" width="1.81640625" style="21" customWidth="1"/>
    <col min="3586" max="3586" width="38" style="21" customWidth="1"/>
    <col min="3587" max="3587" width="16.7265625" style="21" bestFit="1" customWidth="1"/>
    <col min="3588" max="3588" width="15.1796875" style="21" customWidth="1"/>
    <col min="3589" max="3589" width="10.81640625" style="21" customWidth="1"/>
    <col min="3590" max="3590" width="15.453125" style="21" customWidth="1"/>
    <col min="3591" max="3591" width="17.1796875" style="21" customWidth="1"/>
    <col min="3592" max="3592" width="0" style="21" hidden="1" customWidth="1"/>
    <col min="3593" max="3593" width="17.54296875" style="21" bestFit="1" customWidth="1"/>
    <col min="3594" max="3594" width="16.453125" style="21" bestFit="1" customWidth="1"/>
    <col min="3595" max="3595" width="8.26953125" style="21" bestFit="1" customWidth="1"/>
    <col min="3596" max="3840" width="9.1796875" style="21"/>
    <col min="3841" max="3841" width="1.81640625" style="21" customWidth="1"/>
    <col min="3842" max="3842" width="38" style="21" customWidth="1"/>
    <col min="3843" max="3843" width="16.7265625" style="21" bestFit="1" customWidth="1"/>
    <col min="3844" max="3844" width="15.1796875" style="21" customWidth="1"/>
    <col min="3845" max="3845" width="10.81640625" style="21" customWidth="1"/>
    <col min="3846" max="3846" width="15.453125" style="21" customWidth="1"/>
    <col min="3847" max="3847" width="17.1796875" style="21" customWidth="1"/>
    <col min="3848" max="3848" width="0" style="21" hidden="1" customWidth="1"/>
    <col min="3849" max="3849" width="17.54296875" style="21" bestFit="1" customWidth="1"/>
    <col min="3850" max="3850" width="16.453125" style="21" bestFit="1" customWidth="1"/>
    <col min="3851" max="3851" width="8.26953125" style="21" bestFit="1" customWidth="1"/>
    <col min="3852" max="4096" width="9.1796875" style="21"/>
    <col min="4097" max="4097" width="1.81640625" style="21" customWidth="1"/>
    <col min="4098" max="4098" width="38" style="21" customWidth="1"/>
    <col min="4099" max="4099" width="16.7265625" style="21" bestFit="1" customWidth="1"/>
    <col min="4100" max="4100" width="15.1796875" style="21" customWidth="1"/>
    <col min="4101" max="4101" width="10.81640625" style="21" customWidth="1"/>
    <col min="4102" max="4102" width="15.453125" style="21" customWidth="1"/>
    <col min="4103" max="4103" width="17.1796875" style="21" customWidth="1"/>
    <col min="4104" max="4104" width="0" style="21" hidden="1" customWidth="1"/>
    <col min="4105" max="4105" width="17.54296875" style="21" bestFit="1" customWidth="1"/>
    <col min="4106" max="4106" width="16.453125" style="21" bestFit="1" customWidth="1"/>
    <col min="4107" max="4107" width="8.26953125" style="21" bestFit="1" customWidth="1"/>
    <col min="4108" max="4352" width="9.1796875" style="21"/>
    <col min="4353" max="4353" width="1.81640625" style="21" customWidth="1"/>
    <col min="4354" max="4354" width="38" style="21" customWidth="1"/>
    <col min="4355" max="4355" width="16.7265625" style="21" bestFit="1" customWidth="1"/>
    <col min="4356" max="4356" width="15.1796875" style="21" customWidth="1"/>
    <col min="4357" max="4357" width="10.81640625" style="21" customWidth="1"/>
    <col min="4358" max="4358" width="15.453125" style="21" customWidth="1"/>
    <col min="4359" max="4359" width="17.1796875" style="21" customWidth="1"/>
    <col min="4360" max="4360" width="0" style="21" hidden="1" customWidth="1"/>
    <col min="4361" max="4361" width="17.54296875" style="21" bestFit="1" customWidth="1"/>
    <col min="4362" max="4362" width="16.453125" style="21" bestFit="1" customWidth="1"/>
    <col min="4363" max="4363" width="8.26953125" style="21" bestFit="1" customWidth="1"/>
    <col min="4364" max="4608" width="9.1796875" style="21"/>
    <col min="4609" max="4609" width="1.81640625" style="21" customWidth="1"/>
    <col min="4610" max="4610" width="38" style="21" customWidth="1"/>
    <col min="4611" max="4611" width="16.7265625" style="21" bestFit="1" customWidth="1"/>
    <col min="4612" max="4612" width="15.1796875" style="21" customWidth="1"/>
    <col min="4613" max="4613" width="10.81640625" style="21" customWidth="1"/>
    <col min="4614" max="4614" width="15.453125" style="21" customWidth="1"/>
    <col min="4615" max="4615" width="17.1796875" style="21" customWidth="1"/>
    <col min="4616" max="4616" width="0" style="21" hidden="1" customWidth="1"/>
    <col min="4617" max="4617" width="17.54296875" style="21" bestFit="1" customWidth="1"/>
    <col min="4618" max="4618" width="16.453125" style="21" bestFit="1" customWidth="1"/>
    <col min="4619" max="4619" width="8.26953125" style="21" bestFit="1" customWidth="1"/>
    <col min="4620" max="4864" width="9.1796875" style="21"/>
    <col min="4865" max="4865" width="1.81640625" style="21" customWidth="1"/>
    <col min="4866" max="4866" width="38" style="21" customWidth="1"/>
    <col min="4867" max="4867" width="16.7265625" style="21" bestFit="1" customWidth="1"/>
    <col min="4868" max="4868" width="15.1796875" style="21" customWidth="1"/>
    <col min="4869" max="4869" width="10.81640625" style="21" customWidth="1"/>
    <col min="4870" max="4870" width="15.453125" style="21" customWidth="1"/>
    <col min="4871" max="4871" width="17.1796875" style="21" customWidth="1"/>
    <col min="4872" max="4872" width="0" style="21" hidden="1" customWidth="1"/>
    <col min="4873" max="4873" width="17.54296875" style="21" bestFit="1" customWidth="1"/>
    <col min="4874" max="4874" width="16.453125" style="21" bestFit="1" customWidth="1"/>
    <col min="4875" max="4875" width="8.26953125" style="21" bestFit="1" customWidth="1"/>
    <col min="4876" max="5120" width="9.1796875" style="21"/>
    <col min="5121" max="5121" width="1.81640625" style="21" customWidth="1"/>
    <col min="5122" max="5122" width="38" style="21" customWidth="1"/>
    <col min="5123" max="5123" width="16.7265625" style="21" bestFit="1" customWidth="1"/>
    <col min="5124" max="5124" width="15.1796875" style="21" customWidth="1"/>
    <col min="5125" max="5125" width="10.81640625" style="21" customWidth="1"/>
    <col min="5126" max="5126" width="15.453125" style="21" customWidth="1"/>
    <col min="5127" max="5127" width="17.1796875" style="21" customWidth="1"/>
    <col min="5128" max="5128" width="0" style="21" hidden="1" customWidth="1"/>
    <col min="5129" max="5129" width="17.54296875" style="21" bestFit="1" customWidth="1"/>
    <col min="5130" max="5130" width="16.453125" style="21" bestFit="1" customWidth="1"/>
    <col min="5131" max="5131" width="8.26953125" style="21" bestFit="1" customWidth="1"/>
    <col min="5132" max="5376" width="9.1796875" style="21"/>
    <col min="5377" max="5377" width="1.81640625" style="21" customWidth="1"/>
    <col min="5378" max="5378" width="38" style="21" customWidth="1"/>
    <col min="5379" max="5379" width="16.7265625" style="21" bestFit="1" customWidth="1"/>
    <col min="5380" max="5380" width="15.1796875" style="21" customWidth="1"/>
    <col min="5381" max="5381" width="10.81640625" style="21" customWidth="1"/>
    <col min="5382" max="5382" width="15.453125" style="21" customWidth="1"/>
    <col min="5383" max="5383" width="17.1796875" style="21" customWidth="1"/>
    <col min="5384" max="5384" width="0" style="21" hidden="1" customWidth="1"/>
    <col min="5385" max="5385" width="17.54296875" style="21" bestFit="1" customWidth="1"/>
    <col min="5386" max="5386" width="16.453125" style="21" bestFit="1" customWidth="1"/>
    <col min="5387" max="5387" width="8.26953125" style="21" bestFit="1" customWidth="1"/>
    <col min="5388" max="5632" width="9.1796875" style="21"/>
    <col min="5633" max="5633" width="1.81640625" style="21" customWidth="1"/>
    <col min="5634" max="5634" width="38" style="21" customWidth="1"/>
    <col min="5635" max="5635" width="16.7265625" style="21" bestFit="1" customWidth="1"/>
    <col min="5636" max="5636" width="15.1796875" style="21" customWidth="1"/>
    <col min="5637" max="5637" width="10.81640625" style="21" customWidth="1"/>
    <col min="5638" max="5638" width="15.453125" style="21" customWidth="1"/>
    <col min="5639" max="5639" width="17.1796875" style="21" customWidth="1"/>
    <col min="5640" max="5640" width="0" style="21" hidden="1" customWidth="1"/>
    <col min="5641" max="5641" width="17.54296875" style="21" bestFit="1" customWidth="1"/>
    <col min="5642" max="5642" width="16.453125" style="21" bestFit="1" customWidth="1"/>
    <col min="5643" max="5643" width="8.26953125" style="21" bestFit="1" customWidth="1"/>
    <col min="5644" max="5888" width="9.1796875" style="21"/>
    <col min="5889" max="5889" width="1.81640625" style="21" customWidth="1"/>
    <col min="5890" max="5890" width="38" style="21" customWidth="1"/>
    <col min="5891" max="5891" width="16.7265625" style="21" bestFit="1" customWidth="1"/>
    <col min="5892" max="5892" width="15.1796875" style="21" customWidth="1"/>
    <col min="5893" max="5893" width="10.81640625" style="21" customWidth="1"/>
    <col min="5894" max="5894" width="15.453125" style="21" customWidth="1"/>
    <col min="5895" max="5895" width="17.1796875" style="21" customWidth="1"/>
    <col min="5896" max="5896" width="0" style="21" hidden="1" customWidth="1"/>
    <col min="5897" max="5897" width="17.54296875" style="21" bestFit="1" customWidth="1"/>
    <col min="5898" max="5898" width="16.453125" style="21" bestFit="1" customWidth="1"/>
    <col min="5899" max="5899" width="8.26953125" style="21" bestFit="1" customWidth="1"/>
    <col min="5900" max="6144" width="9.1796875" style="21"/>
    <col min="6145" max="6145" width="1.81640625" style="21" customWidth="1"/>
    <col min="6146" max="6146" width="38" style="21" customWidth="1"/>
    <col min="6147" max="6147" width="16.7265625" style="21" bestFit="1" customWidth="1"/>
    <col min="6148" max="6148" width="15.1796875" style="21" customWidth="1"/>
    <col min="6149" max="6149" width="10.81640625" style="21" customWidth="1"/>
    <col min="6150" max="6150" width="15.453125" style="21" customWidth="1"/>
    <col min="6151" max="6151" width="17.1796875" style="21" customWidth="1"/>
    <col min="6152" max="6152" width="0" style="21" hidden="1" customWidth="1"/>
    <col min="6153" max="6153" width="17.54296875" style="21" bestFit="1" customWidth="1"/>
    <col min="6154" max="6154" width="16.453125" style="21" bestFit="1" customWidth="1"/>
    <col min="6155" max="6155" width="8.26953125" style="21" bestFit="1" customWidth="1"/>
    <col min="6156" max="6400" width="9.1796875" style="21"/>
    <col min="6401" max="6401" width="1.81640625" style="21" customWidth="1"/>
    <col min="6402" max="6402" width="38" style="21" customWidth="1"/>
    <col min="6403" max="6403" width="16.7265625" style="21" bestFit="1" customWidth="1"/>
    <col min="6404" max="6404" width="15.1796875" style="21" customWidth="1"/>
    <col min="6405" max="6405" width="10.81640625" style="21" customWidth="1"/>
    <col min="6406" max="6406" width="15.453125" style="21" customWidth="1"/>
    <col min="6407" max="6407" width="17.1796875" style="21" customWidth="1"/>
    <col min="6408" max="6408" width="0" style="21" hidden="1" customWidth="1"/>
    <col min="6409" max="6409" width="17.54296875" style="21" bestFit="1" customWidth="1"/>
    <col min="6410" max="6410" width="16.453125" style="21" bestFit="1" customWidth="1"/>
    <col min="6411" max="6411" width="8.26953125" style="21" bestFit="1" customWidth="1"/>
    <col min="6412" max="6656" width="9.1796875" style="21"/>
    <col min="6657" max="6657" width="1.81640625" style="21" customWidth="1"/>
    <col min="6658" max="6658" width="38" style="21" customWidth="1"/>
    <col min="6659" max="6659" width="16.7265625" style="21" bestFit="1" customWidth="1"/>
    <col min="6660" max="6660" width="15.1796875" style="21" customWidth="1"/>
    <col min="6661" max="6661" width="10.81640625" style="21" customWidth="1"/>
    <col min="6662" max="6662" width="15.453125" style="21" customWidth="1"/>
    <col min="6663" max="6663" width="17.1796875" style="21" customWidth="1"/>
    <col min="6664" max="6664" width="0" style="21" hidden="1" customWidth="1"/>
    <col min="6665" max="6665" width="17.54296875" style="21" bestFit="1" customWidth="1"/>
    <col min="6666" max="6666" width="16.453125" style="21" bestFit="1" customWidth="1"/>
    <col min="6667" max="6667" width="8.26953125" style="21" bestFit="1" customWidth="1"/>
    <col min="6668" max="6912" width="9.1796875" style="21"/>
    <col min="6913" max="6913" width="1.81640625" style="21" customWidth="1"/>
    <col min="6914" max="6914" width="38" style="21" customWidth="1"/>
    <col min="6915" max="6915" width="16.7265625" style="21" bestFit="1" customWidth="1"/>
    <col min="6916" max="6916" width="15.1796875" style="21" customWidth="1"/>
    <col min="6917" max="6917" width="10.81640625" style="21" customWidth="1"/>
    <col min="6918" max="6918" width="15.453125" style="21" customWidth="1"/>
    <col min="6919" max="6919" width="17.1796875" style="21" customWidth="1"/>
    <col min="6920" max="6920" width="0" style="21" hidden="1" customWidth="1"/>
    <col min="6921" max="6921" width="17.54296875" style="21" bestFit="1" customWidth="1"/>
    <col min="6922" max="6922" width="16.453125" style="21" bestFit="1" customWidth="1"/>
    <col min="6923" max="6923" width="8.26953125" style="21" bestFit="1" customWidth="1"/>
    <col min="6924" max="7168" width="9.1796875" style="21"/>
    <col min="7169" max="7169" width="1.81640625" style="21" customWidth="1"/>
    <col min="7170" max="7170" width="38" style="21" customWidth="1"/>
    <col min="7171" max="7171" width="16.7265625" style="21" bestFit="1" customWidth="1"/>
    <col min="7172" max="7172" width="15.1796875" style="21" customWidth="1"/>
    <col min="7173" max="7173" width="10.81640625" style="21" customWidth="1"/>
    <col min="7174" max="7174" width="15.453125" style="21" customWidth="1"/>
    <col min="7175" max="7175" width="17.1796875" style="21" customWidth="1"/>
    <col min="7176" max="7176" width="0" style="21" hidden="1" customWidth="1"/>
    <col min="7177" max="7177" width="17.54296875" style="21" bestFit="1" customWidth="1"/>
    <col min="7178" max="7178" width="16.453125" style="21" bestFit="1" customWidth="1"/>
    <col min="7179" max="7179" width="8.26953125" style="21" bestFit="1" customWidth="1"/>
    <col min="7180" max="7424" width="9.1796875" style="21"/>
    <col min="7425" max="7425" width="1.81640625" style="21" customWidth="1"/>
    <col min="7426" max="7426" width="38" style="21" customWidth="1"/>
    <col min="7427" max="7427" width="16.7265625" style="21" bestFit="1" customWidth="1"/>
    <col min="7428" max="7428" width="15.1796875" style="21" customWidth="1"/>
    <col min="7429" max="7429" width="10.81640625" style="21" customWidth="1"/>
    <col min="7430" max="7430" width="15.453125" style="21" customWidth="1"/>
    <col min="7431" max="7431" width="17.1796875" style="21" customWidth="1"/>
    <col min="7432" max="7432" width="0" style="21" hidden="1" customWidth="1"/>
    <col min="7433" max="7433" width="17.54296875" style="21" bestFit="1" customWidth="1"/>
    <col min="7434" max="7434" width="16.453125" style="21" bestFit="1" customWidth="1"/>
    <col min="7435" max="7435" width="8.26953125" style="21" bestFit="1" customWidth="1"/>
    <col min="7436" max="7680" width="9.1796875" style="21"/>
    <col min="7681" max="7681" width="1.81640625" style="21" customWidth="1"/>
    <col min="7682" max="7682" width="38" style="21" customWidth="1"/>
    <col min="7683" max="7683" width="16.7265625" style="21" bestFit="1" customWidth="1"/>
    <col min="7684" max="7684" width="15.1796875" style="21" customWidth="1"/>
    <col min="7685" max="7685" width="10.81640625" style="21" customWidth="1"/>
    <col min="7686" max="7686" width="15.453125" style="21" customWidth="1"/>
    <col min="7687" max="7687" width="17.1796875" style="21" customWidth="1"/>
    <col min="7688" max="7688" width="0" style="21" hidden="1" customWidth="1"/>
    <col min="7689" max="7689" width="17.54296875" style="21" bestFit="1" customWidth="1"/>
    <col min="7690" max="7690" width="16.453125" style="21" bestFit="1" customWidth="1"/>
    <col min="7691" max="7691" width="8.26953125" style="21" bestFit="1" customWidth="1"/>
    <col min="7692" max="7936" width="9.1796875" style="21"/>
    <col min="7937" max="7937" width="1.81640625" style="21" customWidth="1"/>
    <col min="7938" max="7938" width="38" style="21" customWidth="1"/>
    <col min="7939" max="7939" width="16.7265625" style="21" bestFit="1" customWidth="1"/>
    <col min="7940" max="7940" width="15.1796875" style="21" customWidth="1"/>
    <col min="7941" max="7941" width="10.81640625" style="21" customWidth="1"/>
    <col min="7942" max="7942" width="15.453125" style="21" customWidth="1"/>
    <col min="7943" max="7943" width="17.1796875" style="21" customWidth="1"/>
    <col min="7944" max="7944" width="0" style="21" hidden="1" customWidth="1"/>
    <col min="7945" max="7945" width="17.54296875" style="21" bestFit="1" customWidth="1"/>
    <col min="7946" max="7946" width="16.453125" style="21" bestFit="1" customWidth="1"/>
    <col min="7947" max="7947" width="8.26953125" style="21" bestFit="1" customWidth="1"/>
    <col min="7948" max="8192" width="9.1796875" style="21"/>
    <col min="8193" max="8193" width="1.81640625" style="21" customWidth="1"/>
    <col min="8194" max="8194" width="38" style="21" customWidth="1"/>
    <col min="8195" max="8195" width="16.7265625" style="21" bestFit="1" customWidth="1"/>
    <col min="8196" max="8196" width="15.1796875" style="21" customWidth="1"/>
    <col min="8197" max="8197" width="10.81640625" style="21" customWidth="1"/>
    <col min="8198" max="8198" width="15.453125" style="21" customWidth="1"/>
    <col min="8199" max="8199" width="17.1796875" style="21" customWidth="1"/>
    <col min="8200" max="8200" width="0" style="21" hidden="1" customWidth="1"/>
    <col min="8201" max="8201" width="17.54296875" style="21" bestFit="1" customWidth="1"/>
    <col min="8202" max="8202" width="16.453125" style="21" bestFit="1" customWidth="1"/>
    <col min="8203" max="8203" width="8.26953125" style="21" bestFit="1" customWidth="1"/>
    <col min="8204" max="8448" width="9.1796875" style="21"/>
    <col min="8449" max="8449" width="1.81640625" style="21" customWidth="1"/>
    <col min="8450" max="8450" width="38" style="21" customWidth="1"/>
    <col min="8451" max="8451" width="16.7265625" style="21" bestFit="1" customWidth="1"/>
    <col min="8452" max="8452" width="15.1796875" style="21" customWidth="1"/>
    <col min="8453" max="8453" width="10.81640625" style="21" customWidth="1"/>
    <col min="8454" max="8454" width="15.453125" style="21" customWidth="1"/>
    <col min="8455" max="8455" width="17.1796875" style="21" customWidth="1"/>
    <col min="8456" max="8456" width="0" style="21" hidden="1" customWidth="1"/>
    <col min="8457" max="8457" width="17.54296875" style="21" bestFit="1" customWidth="1"/>
    <col min="8458" max="8458" width="16.453125" style="21" bestFit="1" customWidth="1"/>
    <col min="8459" max="8459" width="8.26953125" style="21" bestFit="1" customWidth="1"/>
    <col min="8460" max="8704" width="9.1796875" style="21"/>
    <col min="8705" max="8705" width="1.81640625" style="21" customWidth="1"/>
    <col min="8706" max="8706" width="38" style="21" customWidth="1"/>
    <col min="8707" max="8707" width="16.7265625" style="21" bestFit="1" customWidth="1"/>
    <col min="8708" max="8708" width="15.1796875" style="21" customWidth="1"/>
    <col min="8709" max="8709" width="10.81640625" style="21" customWidth="1"/>
    <col min="8710" max="8710" width="15.453125" style="21" customWidth="1"/>
    <col min="8711" max="8711" width="17.1796875" style="21" customWidth="1"/>
    <col min="8712" max="8712" width="0" style="21" hidden="1" customWidth="1"/>
    <col min="8713" max="8713" width="17.54296875" style="21" bestFit="1" customWidth="1"/>
    <col min="8714" max="8714" width="16.453125" style="21" bestFit="1" customWidth="1"/>
    <col min="8715" max="8715" width="8.26953125" style="21" bestFit="1" customWidth="1"/>
    <col min="8716" max="8960" width="9.1796875" style="21"/>
    <col min="8961" max="8961" width="1.81640625" style="21" customWidth="1"/>
    <col min="8962" max="8962" width="38" style="21" customWidth="1"/>
    <col min="8963" max="8963" width="16.7265625" style="21" bestFit="1" customWidth="1"/>
    <col min="8964" max="8964" width="15.1796875" style="21" customWidth="1"/>
    <col min="8965" max="8965" width="10.81640625" style="21" customWidth="1"/>
    <col min="8966" max="8966" width="15.453125" style="21" customWidth="1"/>
    <col min="8967" max="8967" width="17.1796875" style="21" customWidth="1"/>
    <col min="8968" max="8968" width="0" style="21" hidden="1" customWidth="1"/>
    <col min="8969" max="8969" width="17.54296875" style="21" bestFit="1" customWidth="1"/>
    <col min="8970" max="8970" width="16.453125" style="21" bestFit="1" customWidth="1"/>
    <col min="8971" max="8971" width="8.26953125" style="21" bestFit="1" customWidth="1"/>
    <col min="8972" max="9216" width="9.1796875" style="21"/>
    <col min="9217" max="9217" width="1.81640625" style="21" customWidth="1"/>
    <col min="9218" max="9218" width="38" style="21" customWidth="1"/>
    <col min="9219" max="9219" width="16.7265625" style="21" bestFit="1" customWidth="1"/>
    <col min="9220" max="9220" width="15.1796875" style="21" customWidth="1"/>
    <col min="9221" max="9221" width="10.81640625" style="21" customWidth="1"/>
    <col min="9222" max="9222" width="15.453125" style="21" customWidth="1"/>
    <col min="9223" max="9223" width="17.1796875" style="21" customWidth="1"/>
    <col min="9224" max="9224" width="0" style="21" hidden="1" customWidth="1"/>
    <col min="9225" max="9225" width="17.54296875" style="21" bestFit="1" customWidth="1"/>
    <col min="9226" max="9226" width="16.453125" style="21" bestFit="1" customWidth="1"/>
    <col min="9227" max="9227" width="8.26953125" style="21" bestFit="1" customWidth="1"/>
    <col min="9228" max="9472" width="9.1796875" style="21"/>
    <col min="9473" max="9473" width="1.81640625" style="21" customWidth="1"/>
    <col min="9474" max="9474" width="38" style="21" customWidth="1"/>
    <col min="9475" max="9475" width="16.7265625" style="21" bestFit="1" customWidth="1"/>
    <col min="9476" max="9476" width="15.1796875" style="21" customWidth="1"/>
    <col min="9477" max="9477" width="10.81640625" style="21" customWidth="1"/>
    <col min="9478" max="9478" width="15.453125" style="21" customWidth="1"/>
    <col min="9479" max="9479" width="17.1796875" style="21" customWidth="1"/>
    <col min="9480" max="9480" width="0" style="21" hidden="1" customWidth="1"/>
    <col min="9481" max="9481" width="17.54296875" style="21" bestFit="1" customWidth="1"/>
    <col min="9482" max="9482" width="16.453125" style="21" bestFit="1" customWidth="1"/>
    <col min="9483" max="9483" width="8.26953125" style="21" bestFit="1" customWidth="1"/>
    <col min="9484" max="9728" width="9.1796875" style="21"/>
    <col min="9729" max="9729" width="1.81640625" style="21" customWidth="1"/>
    <col min="9730" max="9730" width="38" style="21" customWidth="1"/>
    <col min="9731" max="9731" width="16.7265625" style="21" bestFit="1" customWidth="1"/>
    <col min="9732" max="9732" width="15.1796875" style="21" customWidth="1"/>
    <col min="9733" max="9733" width="10.81640625" style="21" customWidth="1"/>
    <col min="9734" max="9734" width="15.453125" style="21" customWidth="1"/>
    <col min="9735" max="9735" width="17.1796875" style="21" customWidth="1"/>
    <col min="9736" max="9736" width="0" style="21" hidden="1" customWidth="1"/>
    <col min="9737" max="9737" width="17.54296875" style="21" bestFit="1" customWidth="1"/>
    <col min="9738" max="9738" width="16.453125" style="21" bestFit="1" customWidth="1"/>
    <col min="9739" max="9739" width="8.26953125" style="21" bestFit="1" customWidth="1"/>
    <col min="9740" max="9984" width="9.1796875" style="21"/>
    <col min="9985" max="9985" width="1.81640625" style="21" customWidth="1"/>
    <col min="9986" max="9986" width="38" style="21" customWidth="1"/>
    <col min="9987" max="9987" width="16.7265625" style="21" bestFit="1" customWidth="1"/>
    <col min="9988" max="9988" width="15.1796875" style="21" customWidth="1"/>
    <col min="9989" max="9989" width="10.81640625" style="21" customWidth="1"/>
    <col min="9990" max="9990" width="15.453125" style="21" customWidth="1"/>
    <col min="9991" max="9991" width="17.1796875" style="21" customWidth="1"/>
    <col min="9992" max="9992" width="0" style="21" hidden="1" customWidth="1"/>
    <col min="9993" max="9993" width="17.54296875" style="21" bestFit="1" customWidth="1"/>
    <col min="9994" max="9994" width="16.453125" style="21" bestFit="1" customWidth="1"/>
    <col min="9995" max="9995" width="8.26953125" style="21" bestFit="1" customWidth="1"/>
    <col min="9996" max="10240" width="9.1796875" style="21"/>
    <col min="10241" max="10241" width="1.81640625" style="21" customWidth="1"/>
    <col min="10242" max="10242" width="38" style="21" customWidth="1"/>
    <col min="10243" max="10243" width="16.7265625" style="21" bestFit="1" customWidth="1"/>
    <col min="10244" max="10244" width="15.1796875" style="21" customWidth="1"/>
    <col min="10245" max="10245" width="10.81640625" style="21" customWidth="1"/>
    <col min="10246" max="10246" width="15.453125" style="21" customWidth="1"/>
    <col min="10247" max="10247" width="17.1796875" style="21" customWidth="1"/>
    <col min="10248" max="10248" width="0" style="21" hidden="1" customWidth="1"/>
    <col min="10249" max="10249" width="17.54296875" style="21" bestFit="1" customWidth="1"/>
    <col min="10250" max="10250" width="16.453125" style="21" bestFit="1" customWidth="1"/>
    <col min="10251" max="10251" width="8.26953125" style="21" bestFit="1" customWidth="1"/>
    <col min="10252" max="10496" width="9.1796875" style="21"/>
    <col min="10497" max="10497" width="1.81640625" style="21" customWidth="1"/>
    <col min="10498" max="10498" width="38" style="21" customWidth="1"/>
    <col min="10499" max="10499" width="16.7265625" style="21" bestFit="1" customWidth="1"/>
    <col min="10500" max="10500" width="15.1796875" style="21" customWidth="1"/>
    <col min="10501" max="10501" width="10.81640625" style="21" customWidth="1"/>
    <col min="10502" max="10502" width="15.453125" style="21" customWidth="1"/>
    <col min="10503" max="10503" width="17.1796875" style="21" customWidth="1"/>
    <col min="10504" max="10504" width="0" style="21" hidden="1" customWidth="1"/>
    <col min="10505" max="10505" width="17.54296875" style="21" bestFit="1" customWidth="1"/>
    <col min="10506" max="10506" width="16.453125" style="21" bestFit="1" customWidth="1"/>
    <col min="10507" max="10507" width="8.26953125" style="21" bestFit="1" customWidth="1"/>
    <col min="10508" max="10752" width="9.1796875" style="21"/>
    <col min="10753" max="10753" width="1.81640625" style="21" customWidth="1"/>
    <col min="10754" max="10754" width="38" style="21" customWidth="1"/>
    <col min="10755" max="10755" width="16.7265625" style="21" bestFit="1" customWidth="1"/>
    <col min="10756" max="10756" width="15.1796875" style="21" customWidth="1"/>
    <col min="10757" max="10757" width="10.81640625" style="21" customWidth="1"/>
    <col min="10758" max="10758" width="15.453125" style="21" customWidth="1"/>
    <col min="10759" max="10759" width="17.1796875" style="21" customWidth="1"/>
    <col min="10760" max="10760" width="0" style="21" hidden="1" customWidth="1"/>
    <col min="10761" max="10761" width="17.54296875" style="21" bestFit="1" customWidth="1"/>
    <col min="10762" max="10762" width="16.453125" style="21" bestFit="1" customWidth="1"/>
    <col min="10763" max="10763" width="8.26953125" style="21" bestFit="1" customWidth="1"/>
    <col min="10764" max="11008" width="9.1796875" style="21"/>
    <col min="11009" max="11009" width="1.81640625" style="21" customWidth="1"/>
    <col min="11010" max="11010" width="38" style="21" customWidth="1"/>
    <col min="11011" max="11011" width="16.7265625" style="21" bestFit="1" customWidth="1"/>
    <col min="11012" max="11012" width="15.1796875" style="21" customWidth="1"/>
    <col min="11013" max="11013" width="10.81640625" style="21" customWidth="1"/>
    <col min="11014" max="11014" width="15.453125" style="21" customWidth="1"/>
    <col min="11015" max="11015" width="17.1796875" style="21" customWidth="1"/>
    <col min="11016" max="11016" width="0" style="21" hidden="1" customWidth="1"/>
    <col min="11017" max="11017" width="17.54296875" style="21" bestFit="1" customWidth="1"/>
    <col min="11018" max="11018" width="16.453125" style="21" bestFit="1" customWidth="1"/>
    <col min="11019" max="11019" width="8.26953125" style="21" bestFit="1" customWidth="1"/>
    <col min="11020" max="11264" width="9.1796875" style="21"/>
    <col min="11265" max="11265" width="1.81640625" style="21" customWidth="1"/>
    <col min="11266" max="11266" width="38" style="21" customWidth="1"/>
    <col min="11267" max="11267" width="16.7265625" style="21" bestFit="1" customWidth="1"/>
    <col min="11268" max="11268" width="15.1796875" style="21" customWidth="1"/>
    <col min="11269" max="11269" width="10.81640625" style="21" customWidth="1"/>
    <col min="11270" max="11270" width="15.453125" style="21" customWidth="1"/>
    <col min="11271" max="11271" width="17.1796875" style="21" customWidth="1"/>
    <col min="11272" max="11272" width="0" style="21" hidden="1" customWidth="1"/>
    <col min="11273" max="11273" width="17.54296875" style="21" bestFit="1" customWidth="1"/>
    <col min="11274" max="11274" width="16.453125" style="21" bestFit="1" customWidth="1"/>
    <col min="11275" max="11275" width="8.26953125" style="21" bestFit="1" customWidth="1"/>
    <col min="11276" max="11520" width="9.1796875" style="21"/>
    <col min="11521" max="11521" width="1.81640625" style="21" customWidth="1"/>
    <col min="11522" max="11522" width="38" style="21" customWidth="1"/>
    <col min="11523" max="11523" width="16.7265625" style="21" bestFit="1" customWidth="1"/>
    <col min="11524" max="11524" width="15.1796875" style="21" customWidth="1"/>
    <col min="11525" max="11525" width="10.81640625" style="21" customWidth="1"/>
    <col min="11526" max="11526" width="15.453125" style="21" customWidth="1"/>
    <col min="11527" max="11527" width="17.1796875" style="21" customWidth="1"/>
    <col min="11528" max="11528" width="0" style="21" hidden="1" customWidth="1"/>
    <col min="11529" max="11529" width="17.54296875" style="21" bestFit="1" customWidth="1"/>
    <col min="11530" max="11530" width="16.453125" style="21" bestFit="1" customWidth="1"/>
    <col min="11531" max="11531" width="8.26953125" style="21" bestFit="1" customWidth="1"/>
    <col min="11532" max="11776" width="9.1796875" style="21"/>
    <col min="11777" max="11777" width="1.81640625" style="21" customWidth="1"/>
    <col min="11778" max="11778" width="38" style="21" customWidth="1"/>
    <col min="11779" max="11779" width="16.7265625" style="21" bestFit="1" customWidth="1"/>
    <col min="11780" max="11780" width="15.1796875" style="21" customWidth="1"/>
    <col min="11781" max="11781" width="10.81640625" style="21" customWidth="1"/>
    <col min="11782" max="11782" width="15.453125" style="21" customWidth="1"/>
    <col min="11783" max="11783" width="17.1796875" style="21" customWidth="1"/>
    <col min="11784" max="11784" width="0" style="21" hidden="1" customWidth="1"/>
    <col min="11785" max="11785" width="17.54296875" style="21" bestFit="1" customWidth="1"/>
    <col min="11786" max="11786" width="16.453125" style="21" bestFit="1" customWidth="1"/>
    <col min="11787" max="11787" width="8.26953125" style="21" bestFit="1" customWidth="1"/>
    <col min="11788" max="12032" width="9.1796875" style="21"/>
    <col min="12033" max="12033" width="1.81640625" style="21" customWidth="1"/>
    <col min="12034" max="12034" width="38" style="21" customWidth="1"/>
    <col min="12035" max="12035" width="16.7265625" style="21" bestFit="1" customWidth="1"/>
    <col min="12036" max="12036" width="15.1796875" style="21" customWidth="1"/>
    <col min="12037" max="12037" width="10.81640625" style="21" customWidth="1"/>
    <col min="12038" max="12038" width="15.453125" style="21" customWidth="1"/>
    <col min="12039" max="12039" width="17.1796875" style="21" customWidth="1"/>
    <col min="12040" max="12040" width="0" style="21" hidden="1" customWidth="1"/>
    <col min="12041" max="12041" width="17.54296875" style="21" bestFit="1" customWidth="1"/>
    <col min="12042" max="12042" width="16.453125" style="21" bestFit="1" customWidth="1"/>
    <col min="12043" max="12043" width="8.26953125" style="21" bestFit="1" customWidth="1"/>
    <col min="12044" max="12288" width="9.1796875" style="21"/>
    <col min="12289" max="12289" width="1.81640625" style="21" customWidth="1"/>
    <col min="12290" max="12290" width="38" style="21" customWidth="1"/>
    <col min="12291" max="12291" width="16.7265625" style="21" bestFit="1" customWidth="1"/>
    <col min="12292" max="12292" width="15.1796875" style="21" customWidth="1"/>
    <col min="12293" max="12293" width="10.81640625" style="21" customWidth="1"/>
    <col min="12294" max="12294" width="15.453125" style="21" customWidth="1"/>
    <col min="12295" max="12295" width="17.1796875" style="21" customWidth="1"/>
    <col min="12296" max="12296" width="0" style="21" hidden="1" customWidth="1"/>
    <col min="12297" max="12297" width="17.54296875" style="21" bestFit="1" customWidth="1"/>
    <col min="12298" max="12298" width="16.453125" style="21" bestFit="1" customWidth="1"/>
    <col min="12299" max="12299" width="8.26953125" style="21" bestFit="1" customWidth="1"/>
    <col min="12300" max="12544" width="9.1796875" style="21"/>
    <col min="12545" max="12545" width="1.81640625" style="21" customWidth="1"/>
    <col min="12546" max="12546" width="38" style="21" customWidth="1"/>
    <col min="12547" max="12547" width="16.7265625" style="21" bestFit="1" customWidth="1"/>
    <col min="12548" max="12548" width="15.1796875" style="21" customWidth="1"/>
    <col min="12549" max="12549" width="10.81640625" style="21" customWidth="1"/>
    <col min="12550" max="12550" width="15.453125" style="21" customWidth="1"/>
    <col min="12551" max="12551" width="17.1796875" style="21" customWidth="1"/>
    <col min="12552" max="12552" width="0" style="21" hidden="1" customWidth="1"/>
    <col min="12553" max="12553" width="17.54296875" style="21" bestFit="1" customWidth="1"/>
    <col min="12554" max="12554" width="16.453125" style="21" bestFit="1" customWidth="1"/>
    <col min="12555" max="12555" width="8.26953125" style="21" bestFit="1" customWidth="1"/>
    <col min="12556" max="12800" width="9.1796875" style="21"/>
    <col min="12801" max="12801" width="1.81640625" style="21" customWidth="1"/>
    <col min="12802" max="12802" width="38" style="21" customWidth="1"/>
    <col min="12803" max="12803" width="16.7265625" style="21" bestFit="1" customWidth="1"/>
    <col min="12804" max="12804" width="15.1796875" style="21" customWidth="1"/>
    <col min="12805" max="12805" width="10.81640625" style="21" customWidth="1"/>
    <col min="12806" max="12806" width="15.453125" style="21" customWidth="1"/>
    <col min="12807" max="12807" width="17.1796875" style="21" customWidth="1"/>
    <col min="12808" max="12808" width="0" style="21" hidden="1" customWidth="1"/>
    <col min="12809" max="12809" width="17.54296875" style="21" bestFit="1" customWidth="1"/>
    <col min="12810" max="12810" width="16.453125" style="21" bestFit="1" customWidth="1"/>
    <col min="12811" max="12811" width="8.26953125" style="21" bestFit="1" customWidth="1"/>
    <col min="12812" max="13056" width="9.1796875" style="21"/>
    <col min="13057" max="13057" width="1.81640625" style="21" customWidth="1"/>
    <col min="13058" max="13058" width="38" style="21" customWidth="1"/>
    <col min="13059" max="13059" width="16.7265625" style="21" bestFit="1" customWidth="1"/>
    <col min="13060" max="13060" width="15.1796875" style="21" customWidth="1"/>
    <col min="13061" max="13061" width="10.81640625" style="21" customWidth="1"/>
    <col min="13062" max="13062" width="15.453125" style="21" customWidth="1"/>
    <col min="13063" max="13063" width="17.1796875" style="21" customWidth="1"/>
    <col min="13064" max="13064" width="0" style="21" hidden="1" customWidth="1"/>
    <col min="13065" max="13065" width="17.54296875" style="21" bestFit="1" customWidth="1"/>
    <col min="13066" max="13066" width="16.453125" style="21" bestFit="1" customWidth="1"/>
    <col min="13067" max="13067" width="8.26953125" style="21" bestFit="1" customWidth="1"/>
    <col min="13068" max="13312" width="9.1796875" style="21"/>
    <col min="13313" max="13313" width="1.81640625" style="21" customWidth="1"/>
    <col min="13314" max="13314" width="38" style="21" customWidth="1"/>
    <col min="13315" max="13315" width="16.7265625" style="21" bestFit="1" customWidth="1"/>
    <col min="13316" max="13316" width="15.1796875" style="21" customWidth="1"/>
    <col min="13317" max="13317" width="10.81640625" style="21" customWidth="1"/>
    <col min="13318" max="13318" width="15.453125" style="21" customWidth="1"/>
    <col min="13319" max="13319" width="17.1796875" style="21" customWidth="1"/>
    <col min="13320" max="13320" width="0" style="21" hidden="1" customWidth="1"/>
    <col min="13321" max="13321" width="17.54296875" style="21" bestFit="1" customWidth="1"/>
    <col min="13322" max="13322" width="16.453125" style="21" bestFit="1" customWidth="1"/>
    <col min="13323" max="13323" width="8.26953125" style="21" bestFit="1" customWidth="1"/>
    <col min="13324" max="13568" width="9.1796875" style="21"/>
    <col min="13569" max="13569" width="1.81640625" style="21" customWidth="1"/>
    <col min="13570" max="13570" width="38" style="21" customWidth="1"/>
    <col min="13571" max="13571" width="16.7265625" style="21" bestFit="1" customWidth="1"/>
    <col min="13572" max="13572" width="15.1796875" style="21" customWidth="1"/>
    <col min="13573" max="13573" width="10.81640625" style="21" customWidth="1"/>
    <col min="13574" max="13574" width="15.453125" style="21" customWidth="1"/>
    <col min="13575" max="13575" width="17.1796875" style="21" customWidth="1"/>
    <col min="13576" max="13576" width="0" style="21" hidden="1" customWidth="1"/>
    <col min="13577" max="13577" width="17.54296875" style="21" bestFit="1" customWidth="1"/>
    <col min="13578" max="13578" width="16.453125" style="21" bestFit="1" customWidth="1"/>
    <col min="13579" max="13579" width="8.26953125" style="21" bestFit="1" customWidth="1"/>
    <col min="13580" max="13824" width="9.1796875" style="21"/>
    <col min="13825" max="13825" width="1.81640625" style="21" customWidth="1"/>
    <col min="13826" max="13826" width="38" style="21" customWidth="1"/>
    <col min="13827" max="13827" width="16.7265625" style="21" bestFit="1" customWidth="1"/>
    <col min="13828" max="13828" width="15.1796875" style="21" customWidth="1"/>
    <col min="13829" max="13829" width="10.81640625" style="21" customWidth="1"/>
    <col min="13830" max="13830" width="15.453125" style="21" customWidth="1"/>
    <col min="13831" max="13831" width="17.1796875" style="21" customWidth="1"/>
    <col min="13832" max="13832" width="0" style="21" hidden="1" customWidth="1"/>
    <col min="13833" max="13833" width="17.54296875" style="21" bestFit="1" customWidth="1"/>
    <col min="13834" max="13834" width="16.453125" style="21" bestFit="1" customWidth="1"/>
    <col min="13835" max="13835" width="8.26953125" style="21" bestFit="1" customWidth="1"/>
    <col min="13836" max="14080" width="9.1796875" style="21"/>
    <col min="14081" max="14081" width="1.81640625" style="21" customWidth="1"/>
    <col min="14082" max="14082" width="38" style="21" customWidth="1"/>
    <col min="14083" max="14083" width="16.7265625" style="21" bestFit="1" customWidth="1"/>
    <col min="14084" max="14084" width="15.1796875" style="21" customWidth="1"/>
    <col min="14085" max="14085" width="10.81640625" style="21" customWidth="1"/>
    <col min="14086" max="14086" width="15.453125" style="21" customWidth="1"/>
    <col min="14087" max="14087" width="17.1796875" style="21" customWidth="1"/>
    <col min="14088" max="14088" width="0" style="21" hidden="1" customWidth="1"/>
    <col min="14089" max="14089" width="17.54296875" style="21" bestFit="1" customWidth="1"/>
    <col min="14090" max="14090" width="16.453125" style="21" bestFit="1" customWidth="1"/>
    <col min="14091" max="14091" width="8.26953125" style="21" bestFit="1" customWidth="1"/>
    <col min="14092" max="14336" width="9.1796875" style="21"/>
    <col min="14337" max="14337" width="1.81640625" style="21" customWidth="1"/>
    <col min="14338" max="14338" width="38" style="21" customWidth="1"/>
    <col min="14339" max="14339" width="16.7265625" style="21" bestFit="1" customWidth="1"/>
    <col min="14340" max="14340" width="15.1796875" style="21" customWidth="1"/>
    <col min="14341" max="14341" width="10.81640625" style="21" customWidth="1"/>
    <col min="14342" max="14342" width="15.453125" style="21" customWidth="1"/>
    <col min="14343" max="14343" width="17.1796875" style="21" customWidth="1"/>
    <col min="14344" max="14344" width="0" style="21" hidden="1" customWidth="1"/>
    <col min="14345" max="14345" width="17.54296875" style="21" bestFit="1" customWidth="1"/>
    <col min="14346" max="14346" width="16.453125" style="21" bestFit="1" customWidth="1"/>
    <col min="14347" max="14347" width="8.26953125" style="21" bestFit="1" customWidth="1"/>
    <col min="14348" max="14592" width="9.1796875" style="21"/>
    <col min="14593" max="14593" width="1.81640625" style="21" customWidth="1"/>
    <col min="14594" max="14594" width="38" style="21" customWidth="1"/>
    <col min="14595" max="14595" width="16.7265625" style="21" bestFit="1" customWidth="1"/>
    <col min="14596" max="14596" width="15.1796875" style="21" customWidth="1"/>
    <col min="14597" max="14597" width="10.81640625" style="21" customWidth="1"/>
    <col min="14598" max="14598" width="15.453125" style="21" customWidth="1"/>
    <col min="14599" max="14599" width="17.1796875" style="21" customWidth="1"/>
    <col min="14600" max="14600" width="0" style="21" hidden="1" customWidth="1"/>
    <col min="14601" max="14601" width="17.54296875" style="21" bestFit="1" customWidth="1"/>
    <col min="14602" max="14602" width="16.453125" style="21" bestFit="1" customWidth="1"/>
    <col min="14603" max="14603" width="8.26953125" style="21" bestFit="1" customWidth="1"/>
    <col min="14604" max="14848" width="9.1796875" style="21"/>
    <col min="14849" max="14849" width="1.81640625" style="21" customWidth="1"/>
    <col min="14850" max="14850" width="38" style="21" customWidth="1"/>
    <col min="14851" max="14851" width="16.7265625" style="21" bestFit="1" customWidth="1"/>
    <col min="14852" max="14852" width="15.1796875" style="21" customWidth="1"/>
    <col min="14853" max="14853" width="10.81640625" style="21" customWidth="1"/>
    <col min="14854" max="14854" width="15.453125" style="21" customWidth="1"/>
    <col min="14855" max="14855" width="17.1796875" style="21" customWidth="1"/>
    <col min="14856" max="14856" width="0" style="21" hidden="1" customWidth="1"/>
    <col min="14857" max="14857" width="17.54296875" style="21" bestFit="1" customWidth="1"/>
    <col min="14858" max="14858" width="16.453125" style="21" bestFit="1" customWidth="1"/>
    <col min="14859" max="14859" width="8.26953125" style="21" bestFit="1" customWidth="1"/>
    <col min="14860" max="15104" width="9.1796875" style="21"/>
    <col min="15105" max="15105" width="1.81640625" style="21" customWidth="1"/>
    <col min="15106" max="15106" width="38" style="21" customWidth="1"/>
    <col min="15107" max="15107" width="16.7265625" style="21" bestFit="1" customWidth="1"/>
    <col min="15108" max="15108" width="15.1796875" style="21" customWidth="1"/>
    <col min="15109" max="15109" width="10.81640625" style="21" customWidth="1"/>
    <col min="15110" max="15110" width="15.453125" style="21" customWidth="1"/>
    <col min="15111" max="15111" width="17.1796875" style="21" customWidth="1"/>
    <col min="15112" max="15112" width="0" style="21" hidden="1" customWidth="1"/>
    <col min="15113" max="15113" width="17.54296875" style="21" bestFit="1" customWidth="1"/>
    <col min="15114" max="15114" width="16.453125" style="21" bestFit="1" customWidth="1"/>
    <col min="15115" max="15115" width="8.26953125" style="21" bestFit="1" customWidth="1"/>
    <col min="15116" max="15360" width="9.1796875" style="21"/>
    <col min="15361" max="15361" width="1.81640625" style="21" customWidth="1"/>
    <col min="15362" max="15362" width="38" style="21" customWidth="1"/>
    <col min="15363" max="15363" width="16.7265625" style="21" bestFit="1" customWidth="1"/>
    <col min="15364" max="15364" width="15.1796875" style="21" customWidth="1"/>
    <col min="15365" max="15365" width="10.81640625" style="21" customWidth="1"/>
    <col min="15366" max="15366" width="15.453125" style="21" customWidth="1"/>
    <col min="15367" max="15367" width="17.1796875" style="21" customWidth="1"/>
    <col min="15368" max="15368" width="0" style="21" hidden="1" customWidth="1"/>
    <col min="15369" max="15369" width="17.54296875" style="21" bestFit="1" customWidth="1"/>
    <col min="15370" max="15370" width="16.453125" style="21" bestFit="1" customWidth="1"/>
    <col min="15371" max="15371" width="8.26953125" style="21" bestFit="1" customWidth="1"/>
    <col min="15372" max="15616" width="9.1796875" style="21"/>
    <col min="15617" max="15617" width="1.81640625" style="21" customWidth="1"/>
    <col min="15618" max="15618" width="38" style="21" customWidth="1"/>
    <col min="15619" max="15619" width="16.7265625" style="21" bestFit="1" customWidth="1"/>
    <col min="15620" max="15620" width="15.1796875" style="21" customWidth="1"/>
    <col min="15621" max="15621" width="10.81640625" style="21" customWidth="1"/>
    <col min="15622" max="15622" width="15.453125" style="21" customWidth="1"/>
    <col min="15623" max="15623" width="17.1796875" style="21" customWidth="1"/>
    <col min="15624" max="15624" width="0" style="21" hidden="1" customWidth="1"/>
    <col min="15625" max="15625" width="17.54296875" style="21" bestFit="1" customWidth="1"/>
    <col min="15626" max="15626" width="16.453125" style="21" bestFit="1" customWidth="1"/>
    <col min="15627" max="15627" width="8.26953125" style="21" bestFit="1" customWidth="1"/>
    <col min="15628" max="15872" width="9.1796875" style="21"/>
    <col min="15873" max="15873" width="1.81640625" style="21" customWidth="1"/>
    <col min="15874" max="15874" width="38" style="21" customWidth="1"/>
    <col min="15875" max="15875" width="16.7265625" style="21" bestFit="1" customWidth="1"/>
    <col min="15876" max="15876" width="15.1796875" style="21" customWidth="1"/>
    <col min="15877" max="15877" width="10.81640625" style="21" customWidth="1"/>
    <col min="15878" max="15878" width="15.453125" style="21" customWidth="1"/>
    <col min="15879" max="15879" width="17.1796875" style="21" customWidth="1"/>
    <col min="15880" max="15880" width="0" style="21" hidden="1" customWidth="1"/>
    <col min="15881" max="15881" width="17.54296875" style="21" bestFit="1" customWidth="1"/>
    <col min="15882" max="15882" width="16.453125" style="21" bestFit="1" customWidth="1"/>
    <col min="15883" max="15883" width="8.26953125" style="21" bestFit="1" customWidth="1"/>
    <col min="15884" max="16128" width="9.1796875" style="21"/>
    <col min="16129" max="16129" width="1.81640625" style="21" customWidth="1"/>
    <col min="16130" max="16130" width="38" style="21" customWidth="1"/>
    <col min="16131" max="16131" width="16.7265625" style="21" bestFit="1" customWidth="1"/>
    <col min="16132" max="16132" width="15.1796875" style="21" customWidth="1"/>
    <col min="16133" max="16133" width="10.81640625" style="21" customWidth="1"/>
    <col min="16134" max="16134" width="15.453125" style="21" customWidth="1"/>
    <col min="16135" max="16135" width="17.1796875" style="21" customWidth="1"/>
    <col min="16136" max="16136" width="0" style="21" hidden="1" customWidth="1"/>
    <col min="16137" max="16137" width="17.54296875" style="21" bestFit="1" customWidth="1"/>
    <col min="16138" max="16138" width="16.453125" style="21" bestFit="1" customWidth="1"/>
    <col min="16139" max="16139" width="8.26953125" style="21" bestFit="1" customWidth="1"/>
    <col min="16140" max="16384" width="9.1796875" style="21"/>
  </cols>
  <sheetData>
    <row r="1" spans="2:18" s="89" customFormat="1" x14ac:dyDescent="0.3">
      <c r="B1" s="88" t="s">
        <v>4</v>
      </c>
    </row>
    <row r="2" spans="2:18" s="89" customFormat="1" x14ac:dyDescent="0.3">
      <c r="B2" s="88" t="s">
        <v>37</v>
      </c>
    </row>
    <row r="3" spans="2:18" s="48" customFormat="1" ht="10" x14ac:dyDescent="0.2"/>
    <row r="4" spans="2:18" s="48" customFormat="1" ht="11" thickBot="1" x14ac:dyDescent="0.3">
      <c r="B4" s="89" t="s">
        <v>5</v>
      </c>
    </row>
    <row r="5" spans="2:18" s="48" customFormat="1" ht="10" x14ac:dyDescent="0.2">
      <c r="B5" s="90"/>
      <c r="C5" s="90"/>
      <c r="D5" s="90"/>
      <c r="E5" s="90"/>
      <c r="F5" s="90"/>
      <c r="G5" s="90"/>
      <c r="H5" s="90"/>
      <c r="I5" s="90"/>
      <c r="J5" s="90"/>
    </row>
    <row r="6" spans="2:18" s="48" customFormat="1" ht="10.5" x14ac:dyDescent="0.25">
      <c r="B6" s="91" t="s">
        <v>6</v>
      </c>
      <c r="C6" s="91" t="s">
        <v>35</v>
      </c>
      <c r="D6" s="91" t="s">
        <v>7</v>
      </c>
      <c r="E6" s="91" t="s">
        <v>3</v>
      </c>
      <c r="F6" s="91" t="s">
        <v>8</v>
      </c>
      <c r="G6" s="91" t="s">
        <v>9</v>
      </c>
      <c r="H6" s="91" t="s">
        <v>10</v>
      </c>
      <c r="I6" s="91"/>
      <c r="J6" s="91"/>
    </row>
    <row r="7" spans="2:18" s="48" customFormat="1" ht="11" thickBot="1" x14ac:dyDescent="0.3">
      <c r="B7" s="92"/>
      <c r="C7" s="92"/>
      <c r="D7" s="92"/>
      <c r="E7" s="92"/>
      <c r="F7" s="92"/>
      <c r="G7" s="93" t="s">
        <v>14</v>
      </c>
      <c r="H7" s="92"/>
      <c r="I7" s="93" t="s">
        <v>15</v>
      </c>
      <c r="J7" s="93" t="s">
        <v>38</v>
      </c>
      <c r="M7" s="94"/>
    </row>
    <row r="8" spans="2:18" s="48" customFormat="1" ht="10.5" x14ac:dyDescent="0.25">
      <c r="B8" s="41"/>
      <c r="C8" s="42"/>
      <c r="D8" s="42"/>
      <c r="E8" s="42"/>
      <c r="F8" s="42"/>
      <c r="G8" s="42"/>
      <c r="H8" s="43"/>
      <c r="I8" s="89"/>
      <c r="J8" s="213"/>
      <c r="K8" s="94"/>
      <c r="M8" s="94"/>
    </row>
    <row r="9" spans="2:18" s="48" customFormat="1" ht="10.5" x14ac:dyDescent="0.25">
      <c r="B9" s="45" t="s">
        <v>18</v>
      </c>
      <c r="C9" s="46">
        <f>C19</f>
        <v>63132174.909999996</v>
      </c>
      <c r="D9" s="52">
        <f>'[7]ERCOT 4 CP'!$H$20</f>
        <v>0.43844936130781315</v>
      </c>
      <c r="E9" s="46">
        <f>+D9*C9</f>
        <v>27680261.767262645</v>
      </c>
      <c r="F9" s="47">
        <f>'[8]Billing Units'!$J$9</f>
        <v>1873260215.4558413</v>
      </c>
      <c r="G9" s="48" t="s">
        <v>19</v>
      </c>
      <c r="H9" s="49">
        <f>ROUND(E9/F9,6)</f>
        <v>1.4777E-2</v>
      </c>
      <c r="I9" s="194">
        <f t="shared" ref="I9:I10" si="0">ROUND(E9/F9,6)</f>
        <v>1.4777E-2</v>
      </c>
      <c r="J9" s="98">
        <v>0.46553446999999998</v>
      </c>
      <c r="K9" s="95"/>
      <c r="L9" s="94"/>
      <c r="M9" s="95"/>
      <c r="N9" s="171"/>
      <c r="O9" s="171"/>
      <c r="P9" s="172"/>
      <c r="Q9" s="172"/>
      <c r="R9" s="173"/>
    </row>
    <row r="10" spans="2:18" s="48" customFormat="1" ht="10.5" x14ac:dyDescent="0.25">
      <c r="B10" s="45" t="s">
        <v>20</v>
      </c>
      <c r="C10" s="46">
        <f>+C9</f>
        <v>63132174.909999996</v>
      </c>
      <c r="D10" s="52">
        <f>'[7]ERCOT 4 CP'!$H$21</f>
        <v>2.6045790243179889E-2</v>
      </c>
      <c r="E10" s="46">
        <f t="shared" ref="E10:E17" si="1">+D10*C10</f>
        <v>1644327.3853016042</v>
      </c>
      <c r="F10" s="47">
        <f>'[8]Billing Units'!$J$11+'[8]Billing Units'!$J$23</f>
        <v>181094259.43119889</v>
      </c>
      <c r="G10" s="48" t="s">
        <v>19</v>
      </c>
      <c r="H10" s="49">
        <f>ROUND(E10/F10,6)</f>
        <v>9.0799999999999995E-3</v>
      </c>
      <c r="I10" s="194">
        <f t="shared" si="0"/>
        <v>9.0799999999999995E-3</v>
      </c>
      <c r="J10" s="98">
        <v>2.8971029999999998E-2</v>
      </c>
      <c r="K10" s="95"/>
      <c r="M10" s="95"/>
      <c r="N10" s="171"/>
      <c r="O10" s="171"/>
    </row>
    <row r="11" spans="2:18" s="48" customFormat="1" ht="10.5" x14ac:dyDescent="0.25">
      <c r="B11" s="45" t="s">
        <v>27</v>
      </c>
      <c r="C11" s="46">
        <f t="shared" ref="C11:C16" si="2">+C10</f>
        <v>63132174.909999996</v>
      </c>
      <c r="D11" s="52">
        <f>'[7]ERCOT 4 CP'!$H$23</f>
        <v>5.5162765610544E-2</v>
      </c>
      <c r="E11" s="46">
        <f t="shared" si="1"/>
        <v>3482545.3670441965</v>
      </c>
      <c r="F11" s="47">
        <f>[6]North!I14</f>
        <v>707695.96421524801</v>
      </c>
      <c r="G11" s="48" t="s">
        <v>21</v>
      </c>
      <c r="H11" s="97">
        <f>ROUND(E11/F11,3)</f>
        <v>4.9210000000000003</v>
      </c>
      <c r="I11" s="204">
        <f>ROUND(E11/F11,3)</f>
        <v>4.9210000000000003</v>
      </c>
      <c r="J11" s="98">
        <v>5.9940060000000003E-2</v>
      </c>
      <c r="K11" s="95"/>
      <c r="M11" s="95"/>
      <c r="N11" s="171"/>
      <c r="O11" s="171"/>
    </row>
    <row r="12" spans="2:18" s="48" customFormat="1" ht="10.5" x14ac:dyDescent="0.25">
      <c r="B12" s="45" t="s">
        <v>28</v>
      </c>
      <c r="C12" s="46">
        <f t="shared" si="2"/>
        <v>63132174.909999996</v>
      </c>
      <c r="D12" s="52">
        <f>'[7]ERCOT 4 CP'!$H$22</f>
        <v>0.2644926224527962</v>
      </c>
      <c r="E12" s="46">
        <f t="shared" si="1"/>
        <v>16697994.503094522</v>
      </c>
      <c r="F12" s="47">
        <f>'[8]Billing Units'!$J$13</f>
        <v>5472427.5262860982</v>
      </c>
      <c r="G12" s="48" t="s">
        <v>22</v>
      </c>
      <c r="H12" s="97">
        <f>ROUND(E12/F12,3)</f>
        <v>3.0510000000000002</v>
      </c>
      <c r="I12" s="204">
        <f>ROUND(E12/F12,3)</f>
        <v>3.0510000000000002</v>
      </c>
      <c r="J12" s="98">
        <v>0.30869131</v>
      </c>
      <c r="K12" s="95"/>
      <c r="M12" s="95"/>
      <c r="N12" s="171"/>
      <c r="O12" s="171"/>
    </row>
    <row r="13" spans="2:18" s="48" customFormat="1" ht="10.5" x14ac:dyDescent="0.25">
      <c r="B13" s="45" t="s">
        <v>29</v>
      </c>
      <c r="C13" s="46">
        <f t="shared" si="2"/>
        <v>63132174.909999996</v>
      </c>
      <c r="D13" s="52">
        <f>'[7]ERCOT 4 CP'!$H$25</f>
        <v>0.18196034375533085</v>
      </c>
      <c r="E13" s="46">
        <f t="shared" si="1"/>
        <v>11487552.248645272</v>
      </c>
      <c r="F13" s="47">
        <f>'[8]Billing Units'!$J$18</f>
        <v>2369237.8368537384</v>
      </c>
      <c r="G13" s="48" t="s">
        <v>21</v>
      </c>
      <c r="H13" s="97">
        <f>ROUND(E13/F13,3)</f>
        <v>4.8490000000000002</v>
      </c>
      <c r="I13" s="204">
        <f>ROUND(E13/F13,3)</f>
        <v>4.8490000000000002</v>
      </c>
      <c r="J13" s="98">
        <v>0.12387612000000001</v>
      </c>
      <c r="K13" s="95"/>
      <c r="M13" s="95"/>
      <c r="N13" s="171"/>
      <c r="O13" s="171"/>
    </row>
    <row r="14" spans="2:18" s="48" customFormat="1" ht="10.5" x14ac:dyDescent="0.25">
      <c r="B14" s="45" t="s">
        <v>30</v>
      </c>
      <c r="C14" s="46">
        <f t="shared" si="2"/>
        <v>63132174.909999996</v>
      </c>
      <c r="D14" s="52">
        <f>'[7]ERCOT 4 CP'!$H$24</f>
        <v>1.4253836249703474E-2</v>
      </c>
      <c r="E14" s="46">
        <f t="shared" si="1"/>
        <v>899875.68325477804</v>
      </c>
      <c r="F14" s="47">
        <f>'[8]Billing Units'!$J$17</f>
        <v>338521.87116203929</v>
      </c>
      <c r="G14" s="48" t="s">
        <v>22</v>
      </c>
      <c r="H14" s="97">
        <f>ROUND(E14/F14,3)</f>
        <v>2.6579999999999999</v>
      </c>
      <c r="I14" s="204">
        <f>ROUND(E14/F14,3)</f>
        <v>2.6579999999999999</v>
      </c>
      <c r="J14" s="98">
        <v>6.99301E-3</v>
      </c>
      <c r="K14" s="95"/>
      <c r="M14" s="95"/>
      <c r="N14" s="171"/>
      <c r="O14" s="171"/>
    </row>
    <row r="15" spans="2:18" s="48" customFormat="1" ht="10.5" x14ac:dyDescent="0.25">
      <c r="B15" s="45" t="s">
        <v>23</v>
      </c>
      <c r="C15" s="46">
        <f t="shared" si="2"/>
        <v>63132174.909999996</v>
      </c>
      <c r="D15" s="52">
        <f>'[7]ERCOT 4 CP'!$H$26</f>
        <v>1.9635280380632284E-2</v>
      </c>
      <c r="E15" s="174">
        <f>+D15*C15</f>
        <v>1239617.9553969686</v>
      </c>
      <c r="F15" s="47">
        <f>'[8]Billing Units'!$J$21</f>
        <v>244034.35350283771</v>
      </c>
      <c r="G15" s="48" t="s">
        <v>21</v>
      </c>
      <c r="H15" s="97">
        <f>+E15/F15</f>
        <v>5.0796862720500293</v>
      </c>
      <c r="I15" s="204">
        <f>ROUND(E15/F15,3)</f>
        <v>5.08</v>
      </c>
      <c r="J15" s="98">
        <v>5.9940100000000001E-3</v>
      </c>
      <c r="K15" s="95"/>
      <c r="M15" s="95"/>
      <c r="N15" s="171"/>
      <c r="O15" s="171"/>
      <c r="P15" s="175"/>
      <c r="R15" s="96"/>
    </row>
    <row r="16" spans="2:18" s="48" customFormat="1" ht="10.5" x14ac:dyDescent="0.25">
      <c r="B16" s="45" t="s">
        <v>24</v>
      </c>
      <c r="C16" s="46">
        <f t="shared" si="2"/>
        <v>63132174.909999996</v>
      </c>
      <c r="D16" s="52">
        <v>0</v>
      </c>
      <c r="E16" s="46">
        <f t="shared" si="1"/>
        <v>0</v>
      </c>
      <c r="F16" s="47">
        <f>'[8]Billing Units'!$J$23</f>
        <v>39721491.579555027</v>
      </c>
      <c r="G16" s="48" t="s">
        <v>19</v>
      </c>
      <c r="H16" s="49">
        <f>ROUND(E16/F16,6)</f>
        <v>0</v>
      </c>
      <c r="I16" s="194">
        <f>I10</f>
        <v>9.0799999999999995E-3</v>
      </c>
      <c r="J16" s="98">
        <v>0</v>
      </c>
      <c r="L16" s="233"/>
      <c r="M16" s="95"/>
    </row>
    <row r="17" spans="2:15" s="48" customFormat="1" ht="10" x14ac:dyDescent="0.2">
      <c r="B17" s="45"/>
      <c r="C17" s="46"/>
      <c r="D17" s="51"/>
      <c r="E17" s="46">
        <f t="shared" si="1"/>
        <v>0</v>
      </c>
      <c r="F17" s="47">
        <v>0</v>
      </c>
      <c r="G17" s="47">
        <v>0</v>
      </c>
      <c r="H17" s="49">
        <v>0</v>
      </c>
      <c r="J17" s="98">
        <v>0</v>
      </c>
      <c r="M17" s="175"/>
      <c r="O17" s="171"/>
    </row>
    <row r="18" spans="2:15" s="48" customFormat="1" ht="10" x14ac:dyDescent="0.2">
      <c r="B18" s="45"/>
      <c r="D18" s="54"/>
      <c r="H18" s="55"/>
      <c r="J18" s="99"/>
    </row>
    <row r="19" spans="2:15" s="48" customFormat="1" ht="11" thickBot="1" x14ac:dyDescent="0.3">
      <c r="B19" s="100" t="s">
        <v>25</v>
      </c>
      <c r="C19" s="101">
        <f>C26</f>
        <v>63132174.909999996</v>
      </c>
      <c r="D19" s="102">
        <f>SUM(D9:D18)</f>
        <v>0.99999999999999978</v>
      </c>
      <c r="E19" s="103">
        <f>SUM(E9:E17)</f>
        <v>63132174.909999982</v>
      </c>
      <c r="F19" s="104"/>
      <c r="G19" s="104"/>
      <c r="H19" s="105"/>
      <c r="I19" s="104"/>
      <c r="J19" s="106">
        <v>1</v>
      </c>
    </row>
    <row r="20" spans="2:15" s="48" customFormat="1" ht="10" x14ac:dyDescent="0.2">
      <c r="E20" s="107"/>
    </row>
    <row r="21" spans="2:15" s="48" customFormat="1" ht="10" x14ac:dyDescent="0.2"/>
    <row r="22" spans="2:15" s="89" customFormat="1" x14ac:dyDescent="0.3">
      <c r="B22" s="2" t="s">
        <v>0</v>
      </c>
      <c r="E22" s="176"/>
      <c r="F22" s="177"/>
    </row>
    <row r="23" spans="2:15" s="89" customFormat="1" x14ac:dyDescent="0.3">
      <c r="B23" s="5" t="s">
        <v>1</v>
      </c>
      <c r="E23" s="176"/>
      <c r="F23" s="177"/>
    </row>
    <row r="24" spans="2:15" s="89" customFormat="1" x14ac:dyDescent="0.3">
      <c r="B24" s="108" t="s">
        <v>2</v>
      </c>
      <c r="E24" s="176"/>
      <c r="F24" s="177"/>
    </row>
    <row r="25" spans="2:15" s="110" customFormat="1" x14ac:dyDescent="0.3">
      <c r="B25" s="66" t="s">
        <v>26</v>
      </c>
      <c r="C25" s="46"/>
      <c r="D25" s="178"/>
      <c r="E25" s="182"/>
      <c r="F25" s="179"/>
      <c r="G25" s="69"/>
      <c r="H25" s="109"/>
    </row>
    <row r="26" spans="2:15" x14ac:dyDescent="0.3">
      <c r="B26" s="190" t="s">
        <v>40</v>
      </c>
      <c r="C26" s="189">
        <v>63132174.909999996</v>
      </c>
      <c r="D26" s="180"/>
    </row>
    <row r="27" spans="2:15" x14ac:dyDescent="0.3">
      <c r="F27" s="22"/>
    </row>
    <row r="28" spans="2:15" x14ac:dyDescent="0.3">
      <c r="B28" s="2"/>
      <c r="G28" s="113"/>
      <c r="H28" s="3"/>
    </row>
    <row r="29" spans="2:15" x14ac:dyDescent="0.3">
      <c r="B29" s="89"/>
      <c r="C29" s="48"/>
      <c r="D29" s="48"/>
      <c r="E29" s="48"/>
      <c r="F29" s="48"/>
      <c r="G29" s="48"/>
      <c r="H29" s="48"/>
      <c r="I29" s="48"/>
      <c r="J29" s="48"/>
    </row>
    <row r="30" spans="2:15" x14ac:dyDescent="0.3">
      <c r="B30" s="48"/>
      <c r="C30" s="48"/>
      <c r="D30" s="48"/>
      <c r="E30" s="48"/>
      <c r="F30" s="48"/>
      <c r="G30" s="48"/>
      <c r="H30" s="48"/>
      <c r="I30" s="48"/>
      <c r="J30" s="48"/>
    </row>
    <row r="31" spans="2:15" x14ac:dyDescent="0.3">
      <c r="B31" s="214"/>
      <c r="C31" s="214"/>
      <c r="D31" s="214"/>
      <c r="E31" s="214"/>
      <c r="F31" s="214"/>
      <c r="G31" s="214"/>
      <c r="H31" s="214"/>
      <c r="I31" s="214"/>
      <c r="J31" s="48"/>
    </row>
    <row r="32" spans="2:15" x14ac:dyDescent="0.3">
      <c r="B32" s="48"/>
      <c r="C32" s="48"/>
      <c r="D32" s="48"/>
      <c r="E32" s="48"/>
      <c r="F32" s="48"/>
      <c r="G32" s="214"/>
      <c r="H32" s="48"/>
      <c r="I32" s="214"/>
      <c r="J32" s="111"/>
      <c r="K32" s="111"/>
      <c r="L32" s="185"/>
      <c r="M32" s="185"/>
      <c r="N32" s="111"/>
      <c r="O32" s="111"/>
    </row>
    <row r="33" spans="1:15" x14ac:dyDescent="0.3">
      <c r="B33" s="48"/>
      <c r="C33" s="48"/>
      <c r="D33" s="48"/>
      <c r="E33" s="48"/>
      <c r="F33" s="48"/>
      <c r="G33" s="48"/>
      <c r="H33" s="48"/>
      <c r="I33" s="48"/>
    </row>
    <row r="34" spans="1:15" ht="12.75" customHeight="1" x14ac:dyDescent="0.3">
      <c r="B34" s="48"/>
      <c r="C34" s="46"/>
      <c r="D34" s="52"/>
      <c r="E34" s="46"/>
      <c r="F34" s="47"/>
      <c r="G34" s="48"/>
      <c r="H34" s="215"/>
      <c r="I34" s="95"/>
      <c r="J34" s="184"/>
      <c r="L34" s="186"/>
      <c r="M34" s="186"/>
      <c r="N34" s="186"/>
      <c r="O34" s="186"/>
    </row>
    <row r="35" spans="1:15" ht="14" x14ac:dyDescent="0.3">
      <c r="A35" s="121"/>
      <c r="B35" s="48"/>
      <c r="C35" s="46"/>
      <c r="D35" s="52"/>
      <c r="E35" s="46"/>
      <c r="F35" s="47"/>
      <c r="G35" s="48"/>
      <c r="H35" s="215"/>
      <c r="I35" s="95"/>
      <c r="J35" s="184"/>
      <c r="L35" s="186"/>
      <c r="M35" s="186"/>
      <c r="N35" s="186"/>
      <c r="O35" s="186"/>
    </row>
    <row r="36" spans="1:15" x14ac:dyDescent="0.3">
      <c r="B36" s="48"/>
      <c r="C36" s="46"/>
      <c r="D36" s="52"/>
      <c r="E36" s="46"/>
      <c r="F36" s="47"/>
      <c r="G36" s="48"/>
      <c r="H36" s="216"/>
      <c r="I36" s="95"/>
      <c r="J36" s="184"/>
      <c r="L36" s="186"/>
      <c r="M36" s="186"/>
      <c r="N36" s="186"/>
      <c r="O36" s="186"/>
    </row>
    <row r="37" spans="1:15" x14ac:dyDescent="0.3">
      <c r="B37" s="48"/>
      <c r="C37" s="46"/>
      <c r="D37" s="52"/>
      <c r="E37" s="46"/>
      <c r="F37" s="47"/>
      <c r="G37" s="48"/>
      <c r="H37" s="216"/>
      <c r="I37" s="95"/>
      <c r="J37" s="184"/>
      <c r="L37" s="186"/>
      <c r="M37" s="186"/>
      <c r="N37" s="186"/>
      <c r="O37" s="186"/>
    </row>
    <row r="38" spans="1:15" x14ac:dyDescent="0.3">
      <c r="B38" s="48"/>
      <c r="C38" s="46"/>
      <c r="D38" s="52"/>
      <c r="E38" s="46"/>
      <c r="F38" s="47"/>
      <c r="G38" s="48"/>
      <c r="H38" s="216"/>
      <c r="I38" s="95"/>
      <c r="J38" s="184"/>
      <c r="L38" s="186"/>
      <c r="M38" s="186"/>
      <c r="N38" s="186"/>
      <c r="O38" s="186"/>
    </row>
    <row r="39" spans="1:15" x14ac:dyDescent="0.3">
      <c r="B39" s="48"/>
      <c r="C39" s="46"/>
      <c r="D39" s="52"/>
      <c r="E39" s="46"/>
      <c r="F39" s="47"/>
      <c r="G39" s="48"/>
      <c r="H39" s="216"/>
      <c r="I39" s="95"/>
      <c r="J39" s="184"/>
      <c r="L39" s="186"/>
      <c r="M39" s="186"/>
      <c r="N39" s="186"/>
      <c r="O39" s="186"/>
    </row>
    <row r="40" spans="1:15" x14ac:dyDescent="0.3">
      <c r="B40" s="48"/>
      <c r="C40" s="46"/>
      <c r="D40" s="52"/>
      <c r="E40" s="174"/>
      <c r="F40" s="47"/>
      <c r="G40" s="48"/>
      <c r="H40" s="216"/>
      <c r="I40" s="95"/>
      <c r="J40" s="184"/>
      <c r="L40" s="186"/>
      <c r="M40" s="186"/>
      <c r="N40" s="186"/>
      <c r="O40" s="186"/>
    </row>
    <row r="41" spans="1:15" x14ac:dyDescent="0.3">
      <c r="B41" s="48"/>
      <c r="C41" s="46"/>
      <c r="D41" s="52"/>
      <c r="E41" s="46"/>
      <c r="F41" s="47"/>
      <c r="G41" s="48"/>
      <c r="H41" s="215"/>
      <c r="I41" s="95"/>
      <c r="J41" s="52"/>
      <c r="K41" s="131"/>
    </row>
    <row r="42" spans="1:15" x14ac:dyDescent="0.3">
      <c r="B42" s="48"/>
      <c r="C42" s="46"/>
      <c r="D42" s="51"/>
      <c r="E42" s="46"/>
      <c r="F42" s="47"/>
      <c r="G42" s="47"/>
      <c r="H42" s="215"/>
      <c r="I42" s="48"/>
      <c r="J42" s="52"/>
      <c r="K42" s="131"/>
    </row>
    <row r="43" spans="1:15" x14ac:dyDescent="0.3">
      <c r="B43" s="48"/>
      <c r="C43" s="48"/>
      <c r="D43" s="54"/>
      <c r="E43" s="48"/>
      <c r="F43" s="48"/>
      <c r="G43" s="48"/>
      <c r="H43" s="48"/>
      <c r="I43" s="48"/>
      <c r="J43" s="56"/>
      <c r="K43" s="131"/>
    </row>
    <row r="44" spans="1:15" x14ac:dyDescent="0.3">
      <c r="B44" s="48"/>
      <c r="C44" s="176"/>
      <c r="D44" s="54"/>
      <c r="E44" s="107"/>
      <c r="F44" s="48"/>
      <c r="G44" s="48"/>
      <c r="H44" s="48"/>
      <c r="I44" s="48"/>
      <c r="J44" s="56"/>
      <c r="K44" s="131"/>
    </row>
    <row r="45" spans="1:15" x14ac:dyDescent="0.3">
      <c r="B45" s="132"/>
      <c r="C45" s="123"/>
      <c r="D45" s="124"/>
      <c r="E45" s="125"/>
      <c r="F45" s="14"/>
      <c r="G45" s="127"/>
      <c r="H45" s="128"/>
      <c r="I45" s="137"/>
      <c r="J45" s="130"/>
      <c r="K45" s="131"/>
    </row>
    <row r="46" spans="1:15" x14ac:dyDescent="0.3">
      <c r="B46" s="132"/>
      <c r="C46" s="123"/>
      <c r="D46" s="124"/>
      <c r="E46" s="125"/>
      <c r="F46" s="16"/>
      <c r="G46" s="127"/>
      <c r="H46" s="128"/>
      <c r="I46" s="129"/>
      <c r="J46" s="130"/>
      <c r="K46" s="131"/>
    </row>
    <row r="47" spans="1:15" x14ac:dyDescent="0.3">
      <c r="B47" s="132"/>
      <c r="C47" s="123"/>
      <c r="D47" s="124"/>
      <c r="E47" s="125"/>
      <c r="F47" s="16"/>
      <c r="G47" s="127"/>
      <c r="H47" s="128"/>
      <c r="I47" s="129"/>
      <c r="J47" s="130"/>
      <c r="K47" s="131"/>
    </row>
    <row r="48" spans="1:15" x14ac:dyDescent="0.3">
      <c r="B48" s="132"/>
      <c r="C48" s="123"/>
      <c r="D48" s="124"/>
      <c r="E48" s="125"/>
      <c r="F48" s="14"/>
      <c r="G48" s="127"/>
      <c r="H48" s="128"/>
      <c r="I48" s="129"/>
      <c r="J48" s="130"/>
      <c r="K48" s="131"/>
    </row>
    <row r="49" spans="2:11" x14ac:dyDescent="0.3">
      <c r="B49" s="138"/>
      <c r="C49" s="139"/>
      <c r="D49" s="124"/>
      <c r="E49" s="125"/>
      <c r="F49" s="14"/>
      <c r="G49" s="127"/>
      <c r="H49" s="128"/>
      <c r="I49" s="137"/>
      <c r="J49" s="130"/>
      <c r="K49" s="131"/>
    </row>
    <row r="50" spans="2:11" x14ac:dyDescent="0.3">
      <c r="B50" s="132"/>
      <c r="C50" s="123"/>
      <c r="D50" s="124"/>
      <c r="E50" s="125"/>
      <c r="F50" s="16"/>
      <c r="G50" s="127"/>
      <c r="H50" s="128"/>
      <c r="I50" s="129"/>
      <c r="J50" s="130"/>
      <c r="K50" s="131"/>
    </row>
    <row r="51" spans="2:11" x14ac:dyDescent="0.3">
      <c r="B51" s="132"/>
      <c r="C51" s="123"/>
      <c r="D51" s="124"/>
      <c r="E51" s="125"/>
      <c r="F51" s="14"/>
      <c r="G51" s="127"/>
      <c r="H51" s="128"/>
      <c r="I51" s="129"/>
      <c r="J51" s="130"/>
      <c r="K51" s="131"/>
    </row>
    <row r="52" spans="2:11" x14ac:dyDescent="0.3">
      <c r="B52" s="132"/>
      <c r="C52" s="123"/>
      <c r="D52" s="124"/>
      <c r="E52" s="125"/>
      <c r="F52" s="18"/>
      <c r="G52" s="127"/>
      <c r="H52" s="128"/>
      <c r="I52" s="137"/>
      <c r="J52" s="130"/>
      <c r="K52" s="131"/>
    </row>
    <row r="53" spans="2:11" x14ac:dyDescent="0.3">
      <c r="B53" s="132"/>
      <c r="C53" s="123"/>
      <c r="D53" s="124"/>
      <c r="E53" s="125"/>
      <c r="F53" s="14"/>
      <c r="G53" s="127"/>
      <c r="H53" s="128"/>
      <c r="I53" s="7"/>
      <c r="J53" s="130"/>
      <c r="K53" s="131"/>
    </row>
    <row r="54" spans="2:11" x14ac:dyDescent="0.3">
      <c r="B54" s="132"/>
      <c r="C54" s="123"/>
      <c r="D54" s="124"/>
      <c r="E54" s="125"/>
      <c r="F54" s="14"/>
      <c r="G54" s="127"/>
      <c r="H54" s="128"/>
      <c r="I54" s="129"/>
      <c r="J54" s="130"/>
      <c r="K54" s="131"/>
    </row>
    <row r="55" spans="2:11" x14ac:dyDescent="0.3">
      <c r="B55" s="132"/>
      <c r="C55" s="123"/>
      <c r="D55" s="124"/>
      <c r="E55" s="125"/>
      <c r="F55" s="14"/>
      <c r="G55" s="127"/>
      <c r="H55" s="128"/>
      <c r="I55" s="129"/>
      <c r="J55" s="130"/>
      <c r="K55" s="131"/>
    </row>
    <row r="56" spans="2:11" x14ac:dyDescent="0.3">
      <c r="B56" s="122"/>
      <c r="C56" s="123"/>
      <c r="D56" s="124"/>
      <c r="E56" s="125"/>
      <c r="F56" s="14"/>
      <c r="G56" s="127"/>
      <c r="H56" s="128"/>
      <c r="I56" s="137"/>
      <c r="J56" s="130"/>
      <c r="K56" s="131"/>
    </row>
    <row r="57" spans="2:11" x14ac:dyDescent="0.3">
      <c r="B57" s="122"/>
      <c r="C57" s="123"/>
      <c r="D57" s="124"/>
      <c r="E57" s="125"/>
      <c r="F57" s="16"/>
      <c r="G57" s="127"/>
      <c r="H57" s="128"/>
      <c r="I57" s="129"/>
      <c r="J57" s="130"/>
      <c r="K57" s="131"/>
    </row>
    <row r="58" spans="2:11" x14ac:dyDescent="0.3">
      <c r="B58" s="122"/>
      <c r="C58" s="123"/>
      <c r="D58" s="124"/>
      <c r="E58" s="125"/>
      <c r="F58" s="16"/>
      <c r="G58" s="127"/>
      <c r="H58" s="128"/>
      <c r="I58" s="7"/>
      <c r="J58" s="130"/>
      <c r="K58" s="131"/>
    </row>
    <row r="59" spans="2:11" x14ac:dyDescent="0.3">
      <c r="B59" s="132"/>
      <c r="C59" s="123"/>
      <c r="D59" s="124"/>
      <c r="E59" s="125"/>
      <c r="F59" s="14"/>
      <c r="G59" s="127"/>
      <c r="H59" s="128"/>
      <c r="I59" s="7"/>
      <c r="J59" s="130"/>
      <c r="K59" s="131"/>
    </row>
    <row r="60" spans="2:11" x14ac:dyDescent="0.3">
      <c r="B60" s="122"/>
      <c r="C60" s="123"/>
      <c r="D60" s="124"/>
      <c r="E60" s="125"/>
      <c r="F60" s="14"/>
      <c r="G60" s="127"/>
      <c r="H60" s="128"/>
      <c r="I60" s="7"/>
      <c r="J60" s="130"/>
      <c r="K60" s="131"/>
    </row>
    <row r="61" spans="2:11" x14ac:dyDescent="0.3">
      <c r="B61" s="132"/>
      <c r="C61" s="123"/>
      <c r="D61" s="124"/>
      <c r="E61" s="125"/>
      <c r="F61" s="14"/>
      <c r="G61" s="127"/>
      <c r="H61" s="128"/>
      <c r="I61" s="137"/>
      <c r="J61" s="130"/>
      <c r="K61" s="131"/>
    </row>
    <row r="62" spans="2:11" x14ac:dyDescent="0.3">
      <c r="B62" s="122"/>
      <c r="C62" s="123"/>
      <c r="D62" s="124"/>
      <c r="E62" s="125"/>
      <c r="F62" s="14"/>
      <c r="G62" s="127"/>
      <c r="H62" s="128"/>
      <c r="I62" s="7"/>
      <c r="J62" s="130"/>
      <c r="K62" s="131"/>
    </row>
    <row r="63" spans="2:11" x14ac:dyDescent="0.3">
      <c r="B63" s="132"/>
      <c r="C63" s="123"/>
      <c r="D63" s="124"/>
      <c r="E63" s="125"/>
      <c r="F63" s="14"/>
      <c r="G63" s="127"/>
      <c r="H63" s="128"/>
      <c r="I63" s="7"/>
      <c r="J63" s="130"/>
      <c r="K63" s="131"/>
    </row>
    <row r="64" spans="2:11" x14ac:dyDescent="0.3">
      <c r="B64" s="132"/>
      <c r="C64" s="123"/>
      <c r="D64" s="124"/>
      <c r="E64" s="125"/>
      <c r="F64" s="14"/>
      <c r="G64" s="127"/>
      <c r="H64" s="128"/>
      <c r="I64" s="7"/>
      <c r="J64" s="130"/>
      <c r="K64" s="131"/>
    </row>
    <row r="65" spans="2:11" x14ac:dyDescent="0.3">
      <c r="B65" s="132"/>
      <c r="C65" s="123"/>
      <c r="D65" s="124"/>
      <c r="E65" s="125"/>
      <c r="F65" s="14"/>
      <c r="G65" s="127"/>
      <c r="H65" s="128"/>
      <c r="I65" s="7"/>
      <c r="J65" s="130"/>
      <c r="K65" s="131"/>
    </row>
    <row r="66" spans="2:11" x14ac:dyDescent="0.3">
      <c r="B66" s="132"/>
      <c r="C66" s="123"/>
      <c r="D66" s="124"/>
      <c r="E66" s="125"/>
      <c r="F66" s="16"/>
      <c r="G66" s="127"/>
      <c r="H66" s="128"/>
      <c r="I66" s="141"/>
      <c r="J66" s="130"/>
      <c r="K66" s="131"/>
    </row>
    <row r="67" spans="2:11" x14ac:dyDescent="0.3">
      <c r="B67" s="132"/>
      <c r="C67" s="123"/>
      <c r="D67" s="124"/>
      <c r="E67" s="125"/>
      <c r="F67" s="16"/>
      <c r="G67" s="127"/>
      <c r="H67" s="128"/>
      <c r="J67" s="130"/>
      <c r="K67" s="131"/>
    </row>
    <row r="68" spans="2:11" x14ac:dyDescent="0.3">
      <c r="B68" s="138"/>
      <c r="C68" s="139"/>
      <c r="D68" s="124"/>
      <c r="E68" s="125"/>
      <c r="F68" s="14"/>
      <c r="G68" s="127"/>
      <c r="H68" s="128"/>
      <c r="I68" s="7"/>
      <c r="J68" s="130"/>
      <c r="K68" s="131"/>
    </row>
    <row r="69" spans="2:11" x14ac:dyDescent="0.3">
      <c r="B69" s="132"/>
      <c r="C69" s="123"/>
      <c r="D69" s="124"/>
      <c r="E69" s="125"/>
      <c r="F69" s="16"/>
      <c r="G69" s="127"/>
      <c r="H69" s="128"/>
      <c r="I69" s="129"/>
      <c r="J69" s="130"/>
      <c r="K69" s="131"/>
    </row>
    <row r="70" spans="2:11" x14ac:dyDescent="0.3">
      <c r="B70" s="138"/>
      <c r="C70" s="139"/>
      <c r="D70" s="124"/>
      <c r="E70" s="125"/>
      <c r="F70" s="14"/>
      <c r="G70" s="127"/>
      <c r="H70" s="128"/>
      <c r="I70" s="7"/>
      <c r="J70" s="130"/>
      <c r="K70" s="131"/>
    </row>
    <row r="71" spans="2:11" x14ac:dyDescent="0.3">
      <c r="B71" s="132"/>
      <c r="C71" s="123"/>
      <c r="D71" s="124"/>
      <c r="E71" s="125"/>
      <c r="F71" s="16"/>
      <c r="G71" s="127"/>
      <c r="H71" s="128"/>
      <c r="I71" s="129"/>
      <c r="J71" s="130"/>
      <c r="K71" s="131"/>
    </row>
    <row r="72" spans="2:11" x14ac:dyDescent="0.3">
      <c r="B72" s="138"/>
      <c r="C72" s="139"/>
      <c r="D72" s="124"/>
      <c r="E72" s="125"/>
      <c r="F72" s="14"/>
      <c r="G72" s="127"/>
      <c r="H72" s="128"/>
      <c r="I72" s="143"/>
      <c r="J72" s="130"/>
      <c r="K72" s="131"/>
    </row>
    <row r="73" spans="2:11" x14ac:dyDescent="0.3">
      <c r="B73" s="132"/>
      <c r="C73" s="123"/>
      <c r="D73" s="124"/>
      <c r="E73" s="125"/>
      <c r="F73" s="16"/>
      <c r="G73" s="127"/>
      <c r="H73" s="128"/>
      <c r="I73" s="129"/>
      <c r="J73" s="130"/>
      <c r="K73" s="131"/>
    </row>
    <row r="74" spans="2:11" x14ac:dyDescent="0.3">
      <c r="B74" s="132"/>
      <c r="C74" s="123"/>
      <c r="D74" s="124"/>
      <c r="E74" s="125"/>
      <c r="F74" s="14"/>
      <c r="G74" s="127"/>
      <c r="H74" s="128"/>
      <c r="I74" s="7"/>
      <c r="J74" s="130"/>
      <c r="K74" s="131"/>
    </row>
    <row r="75" spans="2:11" x14ac:dyDescent="0.3">
      <c r="B75" s="132"/>
      <c r="C75" s="123"/>
      <c r="D75" s="124"/>
      <c r="E75" s="125"/>
      <c r="F75" s="145"/>
      <c r="G75" s="127"/>
      <c r="H75" s="128"/>
      <c r="I75" s="129"/>
      <c r="J75" s="130"/>
      <c r="K75" s="131"/>
    </row>
    <row r="76" spans="2:11" x14ac:dyDescent="0.3">
      <c r="B76" s="132"/>
      <c r="C76" s="123"/>
      <c r="D76" s="124"/>
      <c r="E76" s="125"/>
      <c r="F76" s="16"/>
      <c r="G76" s="127"/>
      <c r="H76" s="128"/>
      <c r="I76" s="129"/>
      <c r="J76" s="130"/>
      <c r="K76" s="131"/>
    </row>
    <row r="77" spans="2:11" x14ac:dyDescent="0.3">
      <c r="B77" s="132"/>
      <c r="C77" s="123"/>
      <c r="D77" s="124"/>
      <c r="E77" s="125"/>
      <c r="F77" s="16"/>
      <c r="G77" s="127"/>
      <c r="H77" s="128"/>
      <c r="I77" s="129"/>
      <c r="J77" s="130"/>
      <c r="K77" s="131"/>
    </row>
    <row r="78" spans="2:11" x14ac:dyDescent="0.3">
      <c r="B78" s="132"/>
      <c r="C78" s="123"/>
      <c r="D78" s="124"/>
      <c r="E78" s="125"/>
      <c r="F78" s="16"/>
      <c r="G78" s="127"/>
      <c r="H78" s="128"/>
      <c r="I78" s="129"/>
      <c r="J78" s="130"/>
      <c r="K78" s="131"/>
    </row>
    <row r="79" spans="2:11" x14ac:dyDescent="0.3">
      <c r="B79" s="132"/>
      <c r="C79" s="123"/>
      <c r="D79" s="124"/>
      <c r="E79" s="125"/>
      <c r="F79" s="14"/>
      <c r="G79" s="127"/>
      <c r="H79" s="128"/>
      <c r="I79" s="7"/>
      <c r="J79" s="130"/>
      <c r="K79" s="131"/>
    </row>
    <row r="80" spans="2:11" x14ac:dyDescent="0.3">
      <c r="B80" s="132"/>
      <c r="C80" s="123"/>
      <c r="D80" s="124"/>
      <c r="E80" s="125"/>
      <c r="F80" s="14"/>
      <c r="G80" s="127"/>
      <c r="H80" s="128"/>
      <c r="I80" s="7"/>
      <c r="J80" s="130"/>
      <c r="K80" s="131"/>
    </row>
    <row r="81" spans="2:11" x14ac:dyDescent="0.3">
      <c r="B81" s="132"/>
      <c r="C81" s="123"/>
      <c r="D81" s="124"/>
      <c r="E81" s="125"/>
      <c r="F81" s="16"/>
      <c r="G81" s="127"/>
      <c r="H81" s="128"/>
      <c r="I81" s="137"/>
      <c r="J81" s="130"/>
      <c r="K81" s="131"/>
    </row>
    <row r="82" spans="2:11" x14ac:dyDescent="0.3">
      <c r="B82" s="132"/>
      <c r="C82" s="123"/>
      <c r="D82" s="124"/>
      <c r="E82" s="125"/>
      <c r="F82" s="16"/>
      <c r="G82" s="127"/>
      <c r="H82" s="128"/>
      <c r="I82" s="129"/>
      <c r="J82" s="130"/>
      <c r="K82" s="131"/>
    </row>
    <row r="83" spans="2:11" x14ac:dyDescent="0.3">
      <c r="B83" s="132"/>
      <c r="C83" s="123"/>
      <c r="D83" s="124"/>
      <c r="E83" s="125"/>
      <c r="F83" s="16"/>
      <c r="G83" s="127"/>
      <c r="H83" s="128"/>
      <c r="I83" s="129"/>
      <c r="J83" s="130"/>
      <c r="K83" s="131"/>
    </row>
    <row r="84" spans="2:11" x14ac:dyDescent="0.3">
      <c r="B84" s="132"/>
      <c r="C84" s="123"/>
      <c r="D84" s="124"/>
      <c r="E84" s="125"/>
      <c r="F84" s="16"/>
      <c r="G84" s="127"/>
      <c r="H84" s="128"/>
      <c r="I84" s="129"/>
      <c r="J84" s="130"/>
      <c r="K84" s="131"/>
    </row>
    <row r="85" spans="2:11" x14ac:dyDescent="0.3">
      <c r="B85" s="132"/>
      <c r="C85" s="123"/>
      <c r="D85" s="124"/>
      <c r="E85" s="125"/>
      <c r="F85" s="16"/>
      <c r="G85" s="127"/>
      <c r="H85" s="128"/>
      <c r="J85" s="130"/>
      <c r="K85" s="131"/>
    </row>
    <row r="86" spans="2:11" x14ac:dyDescent="0.3">
      <c r="B86" s="132"/>
      <c r="C86" s="123"/>
      <c r="D86" s="124"/>
      <c r="E86" s="125"/>
      <c r="F86" s="14"/>
      <c r="G86" s="127"/>
      <c r="H86" s="128"/>
      <c r="I86" s="7"/>
      <c r="J86" s="130"/>
      <c r="K86" s="131"/>
    </row>
    <row r="87" spans="2:11" x14ac:dyDescent="0.3">
      <c r="B87" s="132"/>
      <c r="C87" s="123"/>
      <c r="D87" s="124"/>
      <c r="E87" s="125"/>
      <c r="F87" s="16"/>
      <c r="G87" s="127"/>
      <c r="H87" s="128"/>
      <c r="I87" s="137"/>
      <c r="J87" s="130"/>
      <c r="K87" s="131"/>
    </row>
    <row r="88" spans="2:11" x14ac:dyDescent="0.3">
      <c r="B88" s="132"/>
      <c r="C88" s="123"/>
      <c r="D88" s="124"/>
      <c r="E88" s="125"/>
      <c r="F88" s="16"/>
      <c r="G88" s="127"/>
      <c r="H88" s="128"/>
      <c r="I88" s="129"/>
      <c r="J88" s="130"/>
      <c r="K88" s="131"/>
    </row>
    <row r="89" spans="2:11" x14ac:dyDescent="0.3">
      <c r="B89" s="132"/>
      <c r="C89" s="123"/>
      <c r="D89" s="124"/>
      <c r="E89" s="125"/>
      <c r="F89" s="14"/>
      <c r="G89" s="127"/>
      <c r="H89" s="128"/>
      <c r="I89" s="7"/>
      <c r="J89" s="130"/>
      <c r="K89" s="131"/>
    </row>
    <row r="90" spans="2:11" x14ac:dyDescent="0.3">
      <c r="B90" s="132"/>
      <c r="C90" s="123"/>
      <c r="D90" s="124"/>
      <c r="E90" s="125"/>
      <c r="F90" s="16"/>
      <c r="G90" s="127"/>
      <c r="H90" s="128"/>
      <c r="I90" s="129"/>
      <c r="J90" s="130"/>
      <c r="K90" s="131"/>
    </row>
    <row r="91" spans="2:11" x14ac:dyDescent="0.3">
      <c r="B91" s="132"/>
      <c r="C91" s="123"/>
      <c r="D91" s="124"/>
      <c r="E91" s="125"/>
      <c r="F91" s="16"/>
      <c r="G91" s="127"/>
      <c r="H91" s="128"/>
      <c r="I91" s="129"/>
      <c r="J91" s="130"/>
      <c r="K91" s="131"/>
    </row>
    <row r="92" spans="2:11" x14ac:dyDescent="0.3">
      <c r="B92" s="132"/>
      <c r="C92" s="123"/>
      <c r="D92" s="124"/>
      <c r="E92" s="125"/>
      <c r="F92" s="16"/>
      <c r="G92" s="127"/>
      <c r="H92" s="128"/>
      <c r="I92" s="7"/>
      <c r="J92" s="130"/>
      <c r="K92" s="131"/>
    </row>
    <row r="93" spans="2:11" x14ac:dyDescent="0.3">
      <c r="B93" s="132"/>
      <c r="C93" s="123"/>
      <c r="D93" s="124"/>
      <c r="E93" s="125"/>
      <c r="F93" s="16"/>
      <c r="G93" s="127"/>
      <c r="H93" s="128"/>
      <c r="I93" s="129"/>
      <c r="J93" s="130"/>
      <c r="K93" s="131"/>
    </row>
    <row r="94" spans="2:11" x14ac:dyDescent="0.3">
      <c r="B94" s="132"/>
      <c r="C94" s="123"/>
      <c r="D94" s="124"/>
      <c r="E94" s="125"/>
      <c r="F94" s="16"/>
      <c r="G94" s="127"/>
      <c r="H94" s="128"/>
      <c r="J94" s="130"/>
      <c r="K94" s="131"/>
    </row>
    <row r="95" spans="2:11" ht="14" x14ac:dyDescent="0.3">
      <c r="B95" s="122"/>
      <c r="C95" s="123"/>
      <c r="D95" s="124"/>
      <c r="E95" s="125"/>
      <c r="F95" s="14"/>
      <c r="G95" s="127"/>
      <c r="H95" s="146"/>
      <c r="I95" s="147"/>
      <c r="J95" s="130"/>
      <c r="K95" s="131"/>
    </row>
    <row r="96" spans="2:11" ht="13.5" customHeight="1" x14ac:dyDescent="0.3">
      <c r="B96" s="122"/>
      <c r="C96" s="123"/>
      <c r="D96" s="124"/>
      <c r="E96" s="125"/>
      <c r="F96" s="14"/>
      <c r="G96" s="127"/>
      <c r="H96" s="128"/>
      <c r="I96" s="148"/>
      <c r="J96" s="130"/>
      <c r="K96" s="131"/>
    </row>
    <row r="97" spans="2:11" x14ac:dyDescent="0.3">
      <c r="B97" s="132"/>
      <c r="C97" s="123"/>
      <c r="D97" s="124"/>
      <c r="E97" s="125"/>
      <c r="F97" s="16"/>
      <c r="G97" s="127"/>
      <c r="H97" s="128"/>
      <c r="J97" s="130"/>
      <c r="K97" s="131"/>
    </row>
    <row r="98" spans="2:11" x14ac:dyDescent="0.3">
      <c r="B98" s="132"/>
      <c r="C98" s="123"/>
      <c r="D98" s="124"/>
      <c r="E98" s="125"/>
      <c r="F98" s="14"/>
      <c r="G98" s="127"/>
      <c r="H98" s="128"/>
      <c r="I98" s="129"/>
      <c r="J98" s="130"/>
      <c r="K98" s="131"/>
    </row>
    <row r="99" spans="2:11" x14ac:dyDescent="0.3">
      <c r="B99" s="132"/>
      <c r="C99" s="123"/>
      <c r="D99" s="124"/>
      <c r="E99" s="125"/>
      <c r="F99" s="14"/>
      <c r="G99" s="127"/>
      <c r="H99" s="128"/>
      <c r="I99" s="7"/>
      <c r="J99" s="130"/>
      <c r="K99" s="131"/>
    </row>
    <row r="100" spans="2:11" x14ac:dyDescent="0.3">
      <c r="B100" s="132"/>
      <c r="C100" s="123"/>
      <c r="D100" s="124"/>
      <c r="E100" s="125"/>
      <c r="F100" s="16"/>
      <c r="G100" s="127"/>
      <c r="H100" s="128"/>
      <c r="I100" s="129"/>
      <c r="J100" s="130"/>
      <c r="K100" s="131"/>
    </row>
    <row r="101" spans="2:11" x14ac:dyDescent="0.3">
      <c r="B101" s="132"/>
      <c r="C101" s="123"/>
      <c r="D101" s="124"/>
      <c r="E101" s="125"/>
      <c r="F101" s="14"/>
      <c r="G101" s="127"/>
      <c r="H101" s="128"/>
      <c r="I101" s="7"/>
      <c r="J101" s="130"/>
      <c r="K101" s="131"/>
    </row>
    <row r="102" spans="2:11" x14ac:dyDescent="0.3">
      <c r="B102" s="132"/>
      <c r="C102" s="123"/>
      <c r="D102" s="124"/>
      <c r="E102" s="125"/>
      <c r="F102" s="16"/>
      <c r="G102" s="127"/>
      <c r="H102" s="128"/>
      <c r="I102" s="129"/>
      <c r="J102" s="130"/>
      <c r="K102" s="131"/>
    </row>
    <row r="103" spans="2:11" x14ac:dyDescent="0.3">
      <c r="B103" s="132"/>
      <c r="C103" s="123"/>
      <c r="D103" s="149"/>
      <c r="E103" s="125"/>
      <c r="F103" s="18"/>
      <c r="G103" s="127"/>
      <c r="H103" s="128"/>
      <c r="I103" s="137"/>
      <c r="J103" s="130"/>
      <c r="K103" s="131"/>
    </row>
    <row r="104" spans="2:11" x14ac:dyDescent="0.3">
      <c r="B104" s="122"/>
      <c r="C104" s="123"/>
      <c r="D104" s="149"/>
      <c r="E104" s="125"/>
      <c r="F104" s="14"/>
      <c r="G104" s="127"/>
      <c r="H104" s="151"/>
      <c r="I104" s="137"/>
      <c r="J104" s="130"/>
      <c r="K104" s="131"/>
    </row>
    <row r="105" spans="2:11" x14ac:dyDescent="0.3">
      <c r="B105" s="132"/>
      <c r="C105" s="123"/>
      <c r="D105" s="124"/>
      <c r="E105" s="125"/>
      <c r="F105" s="16"/>
      <c r="G105" s="127"/>
      <c r="H105" s="128"/>
      <c r="I105" s="129"/>
      <c r="J105" s="130"/>
      <c r="K105" s="131"/>
    </row>
    <row r="106" spans="2:11" x14ac:dyDescent="0.3">
      <c r="B106" s="132"/>
      <c r="C106" s="123"/>
      <c r="D106" s="149"/>
      <c r="E106" s="125"/>
      <c r="F106" s="16"/>
      <c r="G106" s="127"/>
      <c r="H106" s="128"/>
      <c r="I106" s="137"/>
      <c r="J106" s="130"/>
      <c r="K106" s="131"/>
    </row>
    <row r="107" spans="2:11" x14ac:dyDescent="0.3">
      <c r="B107" s="122"/>
      <c r="C107" s="123"/>
      <c r="D107" s="124"/>
      <c r="E107" s="125"/>
      <c r="F107" s="14"/>
      <c r="G107" s="127"/>
      <c r="H107" s="151"/>
      <c r="I107" s="137"/>
      <c r="J107" s="130"/>
      <c r="K107" s="131"/>
    </row>
    <row r="108" spans="2:11" x14ac:dyDescent="0.3">
      <c r="B108" s="132"/>
      <c r="C108" s="123"/>
      <c r="D108" s="124"/>
      <c r="E108" s="125"/>
      <c r="F108" s="14"/>
      <c r="G108" s="127"/>
      <c r="H108" s="128"/>
      <c r="I108" s="129"/>
      <c r="J108" s="130"/>
      <c r="K108" s="131"/>
    </row>
    <row r="109" spans="2:11" x14ac:dyDescent="0.3">
      <c r="B109" s="132"/>
      <c r="C109" s="123"/>
      <c r="D109" s="124"/>
      <c r="E109" s="125"/>
      <c r="F109" s="14"/>
      <c r="G109" s="127"/>
      <c r="H109" s="128"/>
      <c r="I109" s="129"/>
      <c r="J109" s="130"/>
      <c r="K109" s="131"/>
    </row>
    <row r="110" spans="2:11" x14ac:dyDescent="0.3">
      <c r="B110" s="132"/>
      <c r="C110" s="123"/>
      <c r="D110" s="124"/>
      <c r="E110" s="125"/>
      <c r="F110" s="14"/>
      <c r="G110" s="127"/>
      <c r="H110" s="128"/>
      <c r="I110" s="129"/>
      <c r="J110" s="130"/>
      <c r="K110" s="131"/>
    </row>
    <row r="111" spans="2:11" x14ac:dyDescent="0.3">
      <c r="B111" s="138"/>
      <c r="C111" s="139"/>
      <c r="D111" s="124"/>
      <c r="E111" s="125"/>
      <c r="F111" s="14"/>
      <c r="G111" s="127"/>
      <c r="H111" s="128"/>
      <c r="I111" s="137"/>
      <c r="J111" s="130"/>
      <c r="K111" s="131"/>
    </row>
    <row r="112" spans="2:11" x14ac:dyDescent="0.3">
      <c r="B112" s="132"/>
      <c r="C112" s="123"/>
      <c r="D112" s="124"/>
      <c r="E112" s="125"/>
      <c r="F112" s="14"/>
      <c r="G112" s="127"/>
      <c r="H112" s="128"/>
      <c r="I112" s="129"/>
      <c r="J112" s="130"/>
      <c r="K112" s="131"/>
    </row>
    <row r="113" spans="2:11" x14ac:dyDescent="0.3">
      <c r="B113" s="132"/>
      <c r="C113" s="123"/>
      <c r="D113" s="124"/>
      <c r="E113" s="125"/>
      <c r="F113" s="17"/>
      <c r="G113" s="127"/>
      <c r="H113" s="128"/>
      <c r="I113" s="129"/>
      <c r="J113" s="130"/>
      <c r="K113" s="131"/>
    </row>
    <row r="114" spans="2:11" x14ac:dyDescent="0.3">
      <c r="B114" s="132"/>
      <c r="C114" s="123"/>
      <c r="D114" s="124"/>
      <c r="E114" s="125"/>
      <c r="F114" s="16"/>
      <c r="G114" s="127"/>
      <c r="H114" s="128"/>
      <c r="I114" s="129"/>
      <c r="J114" s="130"/>
      <c r="K114" s="131"/>
    </row>
    <row r="115" spans="2:11" x14ac:dyDescent="0.3">
      <c r="B115" s="132"/>
      <c r="C115" s="123"/>
      <c r="D115" s="124"/>
      <c r="E115" s="125"/>
      <c r="F115" s="14"/>
      <c r="G115" s="127"/>
      <c r="H115" s="128"/>
      <c r="I115" s="7"/>
      <c r="J115" s="130"/>
      <c r="K115" s="131"/>
    </row>
    <row r="116" spans="2:11" x14ac:dyDescent="0.3">
      <c r="B116" s="132"/>
      <c r="C116" s="123"/>
      <c r="D116" s="124"/>
      <c r="E116" s="125"/>
      <c r="F116" s="16"/>
      <c r="G116" s="127"/>
      <c r="H116" s="128"/>
      <c r="I116" s="129"/>
      <c r="J116" s="130"/>
      <c r="K116" s="131"/>
    </row>
    <row r="117" spans="2:11" x14ac:dyDescent="0.3">
      <c r="B117" s="132"/>
      <c r="C117" s="123"/>
      <c r="D117" s="124"/>
      <c r="E117" s="125"/>
      <c r="F117" s="16"/>
      <c r="G117" s="127"/>
      <c r="H117" s="128"/>
      <c r="I117" s="129"/>
      <c r="J117" s="130"/>
      <c r="K117" s="131"/>
    </row>
    <row r="118" spans="2:11" x14ac:dyDescent="0.3">
      <c r="B118" s="132"/>
      <c r="C118" s="123"/>
      <c r="D118" s="124"/>
      <c r="E118" s="125"/>
      <c r="F118" s="16"/>
      <c r="G118" s="127"/>
      <c r="H118" s="128"/>
      <c r="I118" s="129"/>
      <c r="J118" s="130"/>
      <c r="K118" s="131"/>
    </row>
    <row r="119" spans="2:11" x14ac:dyDescent="0.3">
      <c r="B119" s="132"/>
      <c r="C119" s="123"/>
      <c r="D119" s="124"/>
      <c r="E119" s="125"/>
      <c r="F119" s="16"/>
      <c r="G119" s="127"/>
      <c r="H119" s="128"/>
      <c r="I119" s="129"/>
      <c r="J119" s="130"/>
      <c r="K119" s="131"/>
    </row>
    <row r="120" spans="2:11" x14ac:dyDescent="0.3">
      <c r="B120" s="122"/>
      <c r="C120" s="123"/>
      <c r="D120" s="124"/>
      <c r="E120" s="125"/>
      <c r="F120" s="14"/>
      <c r="G120" s="127"/>
      <c r="H120" s="128"/>
      <c r="I120" s="137"/>
      <c r="J120" s="130"/>
      <c r="K120" s="131"/>
    </row>
    <row r="121" spans="2:11" x14ac:dyDescent="0.3">
      <c r="B121" s="132"/>
      <c r="C121" s="123"/>
      <c r="D121" s="124"/>
      <c r="E121" s="125"/>
      <c r="F121" s="17"/>
      <c r="G121" s="127"/>
      <c r="H121" s="128"/>
      <c r="I121" s="137"/>
      <c r="J121" s="130"/>
      <c r="K121" s="131"/>
    </row>
    <row r="122" spans="2:11" x14ac:dyDescent="0.3">
      <c r="B122" s="132"/>
      <c r="C122" s="123"/>
      <c r="D122" s="124"/>
      <c r="E122" s="125"/>
      <c r="F122" s="16"/>
      <c r="G122" s="127"/>
      <c r="H122" s="128"/>
      <c r="I122" s="129"/>
      <c r="J122" s="130"/>
      <c r="K122" s="131"/>
    </row>
    <row r="123" spans="2:11" x14ac:dyDescent="0.3">
      <c r="B123" s="132"/>
      <c r="C123" s="123"/>
      <c r="D123" s="124"/>
      <c r="E123" s="125"/>
      <c r="F123" s="16"/>
      <c r="G123" s="127"/>
      <c r="H123" s="128"/>
      <c r="I123" s="129"/>
      <c r="J123" s="130"/>
      <c r="K123" s="131"/>
    </row>
    <row r="124" spans="2:11" x14ac:dyDescent="0.3">
      <c r="B124" s="122"/>
      <c r="C124" s="123"/>
      <c r="D124" s="124"/>
      <c r="E124" s="125"/>
      <c r="F124" s="14"/>
      <c r="G124" s="127"/>
      <c r="H124" s="151"/>
      <c r="I124" s="137"/>
      <c r="J124" s="130"/>
      <c r="K124" s="131"/>
    </row>
    <row r="125" spans="2:11" x14ac:dyDescent="0.3">
      <c r="B125" s="122"/>
      <c r="C125" s="123"/>
      <c r="D125" s="124"/>
      <c r="E125" s="125"/>
      <c r="F125" s="17"/>
      <c r="G125" s="127"/>
      <c r="H125" s="128"/>
      <c r="I125" s="7"/>
      <c r="J125" s="130"/>
      <c r="K125" s="131"/>
    </row>
    <row r="126" spans="2:11" x14ac:dyDescent="0.3">
      <c r="B126" s="132"/>
      <c r="C126" s="123"/>
      <c r="D126" s="124"/>
      <c r="E126" s="125"/>
      <c r="F126" s="14"/>
      <c r="G126" s="127"/>
      <c r="H126" s="128"/>
      <c r="I126" s="129"/>
      <c r="J126" s="130"/>
      <c r="K126" s="131"/>
    </row>
    <row r="127" spans="2:11" x14ac:dyDescent="0.3">
      <c r="B127" s="132"/>
      <c r="C127" s="123"/>
      <c r="D127" s="124"/>
      <c r="E127" s="125"/>
      <c r="F127" s="14"/>
      <c r="G127" s="127"/>
      <c r="H127" s="128"/>
      <c r="I127" s="129"/>
      <c r="J127" s="130"/>
      <c r="K127" s="131"/>
    </row>
    <row r="128" spans="2:11" x14ac:dyDescent="0.3">
      <c r="B128" s="138"/>
      <c r="C128" s="139"/>
      <c r="D128" s="124"/>
      <c r="E128" s="125"/>
      <c r="F128" s="14"/>
      <c r="G128" s="127"/>
      <c r="H128" s="128"/>
      <c r="I128" s="137"/>
      <c r="J128" s="130"/>
      <c r="K128" s="131"/>
    </row>
    <row r="129" spans="2:11" x14ac:dyDescent="0.3">
      <c r="B129" s="122"/>
      <c r="C129" s="123"/>
      <c r="D129" s="124"/>
      <c r="E129" s="125"/>
      <c r="F129" s="14"/>
      <c r="G129" s="127"/>
      <c r="H129" s="128"/>
      <c r="I129" s="129"/>
      <c r="J129" s="130"/>
      <c r="K129" s="131"/>
    </row>
    <row r="130" spans="2:11" x14ac:dyDescent="0.3">
      <c r="B130" s="132"/>
      <c r="C130" s="123"/>
      <c r="D130" s="124"/>
      <c r="E130" s="125"/>
      <c r="F130" s="16"/>
      <c r="G130" s="127"/>
      <c r="H130" s="128"/>
      <c r="I130" s="7"/>
      <c r="J130" s="130"/>
      <c r="K130" s="131"/>
    </row>
    <row r="131" spans="2:11" x14ac:dyDescent="0.3">
      <c r="B131" s="132"/>
      <c r="C131" s="123"/>
      <c r="D131" s="124"/>
      <c r="E131" s="125"/>
      <c r="F131" s="14"/>
      <c r="G131" s="127"/>
      <c r="H131" s="128"/>
      <c r="I131" s="7"/>
      <c r="J131" s="130"/>
      <c r="K131" s="131"/>
    </row>
    <row r="132" spans="2:11" x14ac:dyDescent="0.3">
      <c r="B132" s="132"/>
      <c r="C132" s="123"/>
      <c r="D132" s="124"/>
      <c r="E132" s="125"/>
      <c r="F132" s="16"/>
      <c r="G132" s="127"/>
      <c r="H132" s="128"/>
      <c r="I132" s="129"/>
      <c r="J132" s="130"/>
      <c r="K132" s="131"/>
    </row>
    <row r="133" spans="2:11" x14ac:dyDescent="0.3">
      <c r="B133" s="132"/>
      <c r="C133" s="123"/>
      <c r="D133" s="124"/>
      <c r="E133" s="125"/>
      <c r="F133" s="14"/>
      <c r="G133" s="127"/>
      <c r="H133" s="128"/>
      <c r="I133" s="137"/>
      <c r="J133" s="130"/>
      <c r="K133" s="131"/>
    </row>
    <row r="134" spans="2:11" x14ac:dyDescent="0.3">
      <c r="B134" s="132"/>
      <c r="C134" s="123"/>
      <c r="D134" s="124"/>
      <c r="E134" s="125"/>
      <c r="F134" s="16"/>
      <c r="G134" s="127"/>
      <c r="H134" s="128"/>
      <c r="I134" s="129"/>
      <c r="J134" s="130"/>
      <c r="K134" s="131"/>
    </row>
    <row r="135" spans="2:11" x14ac:dyDescent="0.3">
      <c r="B135" s="132"/>
      <c r="C135" s="123"/>
      <c r="D135" s="124"/>
      <c r="E135" s="125"/>
      <c r="F135" s="16"/>
      <c r="G135" s="127"/>
      <c r="H135" s="128"/>
      <c r="I135" s="129"/>
      <c r="J135" s="130"/>
      <c r="K135" s="131"/>
    </row>
    <row r="136" spans="2:11" x14ac:dyDescent="0.3">
      <c r="B136" s="132"/>
      <c r="C136" s="123"/>
      <c r="D136" s="124"/>
      <c r="E136" s="125"/>
      <c r="F136" s="16"/>
      <c r="G136" s="127"/>
      <c r="H136" s="128"/>
      <c r="I136" s="129"/>
      <c r="J136" s="130"/>
      <c r="K136" s="131"/>
    </row>
    <row r="137" spans="2:11" x14ac:dyDescent="0.3">
      <c r="B137" s="122"/>
      <c r="C137" s="123"/>
      <c r="D137" s="124"/>
      <c r="E137" s="125"/>
      <c r="F137" s="14"/>
      <c r="G137" s="127"/>
      <c r="H137" s="128"/>
      <c r="I137" s="137"/>
      <c r="J137" s="130"/>
      <c r="K137" s="131"/>
    </row>
    <row r="138" spans="2:11" x14ac:dyDescent="0.3">
      <c r="B138" s="132"/>
      <c r="C138" s="123"/>
      <c r="D138" s="124"/>
      <c r="E138" s="125"/>
      <c r="F138" s="17"/>
      <c r="G138" s="127"/>
      <c r="H138" s="128"/>
      <c r="I138" s="129"/>
      <c r="J138" s="130"/>
      <c r="K138" s="131"/>
    </row>
    <row r="139" spans="2:11" x14ac:dyDescent="0.3">
      <c r="B139" s="152"/>
      <c r="C139" s="117"/>
      <c r="D139" s="153"/>
      <c r="E139" s="154"/>
      <c r="F139" s="155"/>
      <c r="G139" s="156"/>
      <c r="H139" s="23"/>
      <c r="I139" s="157"/>
      <c r="J139" s="130"/>
      <c r="K139" s="131"/>
    </row>
    <row r="140" spans="2:11" x14ac:dyDescent="0.3">
      <c r="B140" s="158"/>
      <c r="C140" s="112"/>
      <c r="D140" s="159"/>
      <c r="E140" s="160"/>
      <c r="F140" s="112"/>
      <c r="G140" s="161"/>
      <c r="H140" s="24"/>
      <c r="J140" s="130"/>
      <c r="K140" s="131"/>
    </row>
    <row r="141" spans="2:11" x14ac:dyDescent="0.3">
      <c r="B141" s="162"/>
      <c r="C141" s="163"/>
      <c r="E141" s="164"/>
      <c r="F141" s="165"/>
      <c r="G141" s="163"/>
      <c r="H141" s="25"/>
      <c r="K141" s="131"/>
    </row>
    <row r="142" spans="2:11" x14ac:dyDescent="0.3">
      <c r="B142" s="162"/>
      <c r="C142" s="163"/>
      <c r="E142" s="164"/>
      <c r="F142" s="165"/>
      <c r="G142" s="163"/>
      <c r="H142" s="25"/>
      <c r="K142" s="131"/>
    </row>
    <row r="143" spans="2:11" ht="13.15" customHeight="1" x14ac:dyDescent="0.3">
      <c r="B143" s="234"/>
      <c r="C143" s="234"/>
      <c r="D143" s="234"/>
      <c r="E143" s="234"/>
      <c r="F143" s="234"/>
      <c r="G143" s="166"/>
      <c r="H143" s="26"/>
      <c r="I143" s="167"/>
      <c r="K143" s="131"/>
    </row>
    <row r="144" spans="2:11" ht="27" customHeight="1" x14ac:dyDescent="0.3">
      <c r="B144" s="234"/>
      <c r="C144" s="234"/>
      <c r="D144" s="234"/>
      <c r="E144" s="234"/>
      <c r="F144" s="234"/>
      <c r="G144" s="166"/>
      <c r="H144" s="27"/>
      <c r="I144" s="168"/>
      <c r="K144" s="131"/>
    </row>
    <row r="145" spans="2:11" ht="25.5" customHeight="1" x14ac:dyDescent="0.3">
      <c r="B145" s="234"/>
      <c r="C145" s="234"/>
      <c r="D145" s="234"/>
      <c r="E145" s="234"/>
      <c r="F145" s="234"/>
      <c r="G145" s="166"/>
      <c r="H145" s="27"/>
      <c r="K145" s="131"/>
    </row>
    <row r="146" spans="2:11" x14ac:dyDescent="0.3">
      <c r="B146" s="234"/>
      <c r="C146" s="234"/>
      <c r="D146" s="234"/>
      <c r="E146" s="234"/>
      <c r="F146" s="234"/>
      <c r="G146" s="166"/>
      <c r="H146" s="27"/>
      <c r="K146" s="131"/>
    </row>
    <row r="147" spans="2:11" x14ac:dyDescent="0.3">
      <c r="B147" s="28"/>
      <c r="D147" s="169"/>
      <c r="E147" s="160"/>
      <c r="G147" s="170"/>
      <c r="H147" s="27"/>
    </row>
    <row r="148" spans="2:11" x14ac:dyDescent="0.3">
      <c r="B148" s="28"/>
      <c r="D148" s="169"/>
      <c r="E148" s="160"/>
      <c r="G148" s="32"/>
      <c r="H148" s="27"/>
    </row>
    <row r="149" spans="2:11" x14ac:dyDescent="0.3">
      <c r="G149" s="32"/>
    </row>
    <row r="150" spans="2:11" x14ac:dyDescent="0.3">
      <c r="G150" s="32"/>
    </row>
  </sheetData>
  <mergeCells count="2">
    <mergeCell ref="B143:F144"/>
    <mergeCell ref="B145:F146"/>
  </mergeCells>
  <printOptions horizontalCentered="1"/>
  <pageMargins left="0.7" right="0.7" top="0.75" bottom="0.75" header="0.3" footer="0.3"/>
  <pageSetup scale="80" orientation="landscape" r:id="rId1"/>
  <headerFooter>
    <oddHeader>&amp;CPUBLIC UTILITY COMMISSION OF TEXAS
AEP TEXAS INC
SCHEDULE IV-J-7 PROOF OF REVENUE
TEST YEAR ENDING DECEMBER 31, 2018&amp;RSchedule IV-J-7
ERCOT Matrix Transmission Calculations
&amp;A
Page &amp;P of &amp;N</oddHeader>
    <oddFooter>&amp;LSponsored by: Jennifer L. Jackson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50c31824-0780-4910-87d1-eaaffd182d42" value=""/>
  <element uid="c64218ab-b8d1-40b6-a478-cb8be1e10ecc" value=""/>
</sisl>
</file>

<file path=customXml/itemProps1.xml><?xml version="1.0" encoding="utf-8"?>
<ds:datastoreItem xmlns:ds="http://schemas.openxmlformats.org/officeDocument/2006/customXml" ds:itemID="{8223EAD7-3678-4C92-9192-B388D55AF84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AEPTX ERCOT Matrix 2018</vt:lpstr>
      <vt:lpstr>Central TCRF</vt:lpstr>
      <vt:lpstr>North TCRF</vt:lpstr>
      <vt:lpstr>'AEPTX ERCOT Matrix 2018'!Print_Area</vt:lpstr>
      <vt:lpstr>'Central TCRF'!Print_Area</vt:lpstr>
      <vt:lpstr>'North TCRF'!Print_Area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dtsoa12</dc:creator>
  <cp:keywords>AEP Internal</cp:keywords>
  <cp:lastModifiedBy>s254353</cp:lastModifiedBy>
  <cp:lastPrinted>2019-04-27T01:53:11Z</cp:lastPrinted>
  <dcterms:created xsi:type="dcterms:W3CDTF">2019-03-13T17:12:03Z</dcterms:created>
  <dcterms:modified xsi:type="dcterms:W3CDTF">2019-04-27T01:53:28Z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54007042-4809-47a8-b7ad-a38e8a9a391b</vt:lpwstr>
  </property>
  <property fmtid="{D5CDD505-2E9C-101B-9397-08002B2CF9AE}" pid="3" name="bjSaver">
    <vt:lpwstr>UhaBZRC4hf8PDNfVc3fDEeb6MeC3iUVD</vt:lpwstr>
  </property>
  <property fmtid="{D5CDD505-2E9C-101B-9397-08002B2CF9AE}" pid="4" name="bjDocumentSecurityLabel">
    <vt:lpwstr>AEP Internal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uid="50c31824-0780-4910-87d1-eaaffd182d42" value="" /&gt;&lt;element uid="c64218ab-b8d1-40b6-a478-cb8be1e10ecc" value="" /&gt;&lt;/sisl&gt;</vt:lpwstr>
  </property>
  <property fmtid="{D5CDD505-2E9C-101B-9397-08002B2CF9AE}" pid="7" name="Visual Markings Removed">
    <vt:lpwstr>No</vt:lpwstr>
  </property>
</Properties>
</file>