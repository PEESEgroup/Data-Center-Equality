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gCaseMgmt\2019 AEPTX RATE CASE\SCHEDULES\For Filing\Combined\"/>
    </mc:Choice>
  </mc:AlternateContent>
  <bookViews>
    <workbookView xWindow="0" yWindow="0" windowWidth="19200" windowHeight="6465" tabRatio="613"/>
  </bookViews>
  <sheets>
    <sheet name="II-H-1" sheetId="72" r:id="rId1"/>
    <sheet name="II-H-1.1" sheetId="65" r:id="rId2"/>
    <sheet name="II-H-1.2" sheetId="70" r:id="rId3"/>
    <sheet name="II-H-1.3" sheetId="73" r:id="rId4"/>
    <sheet name="Sch II-H-1.5" sheetId="78" r:id="rId5"/>
    <sheet name="II-H-3.1-3" sheetId="44" r:id="rId6"/>
    <sheet name="II-H-4.1 Monthly" sheetId="74" r:id="rId7"/>
    <sheet name="II-H-4.1 Functions" sheetId="76" r:id="rId8"/>
    <sheet name="II-H-4.1 Dist kW" sheetId="10" r:id="rId9"/>
    <sheet name="II-H-4.1 Tran kW" sheetId="75" r:id="rId10"/>
    <sheet name="Sch II-H-4.2" sheetId="79" r:id="rId11"/>
    <sheet name="Riders" sheetId="77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a" localSheetId="7">#REF!</definedName>
    <definedName name="a">#REF!</definedName>
    <definedName name="_xlnm.Criteria" localSheetId="7">[1]DECAPAR!#REF!</definedName>
    <definedName name="_xlnm.Criteria">[1]DECAPAR!#REF!</definedName>
    <definedName name="_xlnm.Data_Form" localSheetId="7">[1]DECAPAR!#REF!</definedName>
    <definedName name="_xlnm.Data_Form">[1]DECAPAR!#REF!</definedName>
    <definedName name="_xlnm.Extract" localSheetId="7">[1]DECAPAR!#REF!</definedName>
    <definedName name="_xlnm.Extract">[1]DECAPAR!#REF!</definedName>
    <definedName name="page1">#REF!</definedName>
    <definedName name="page10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_xlnm.Print_Area" localSheetId="2">'II-H-1.2'!$A$7:$P$317</definedName>
    <definedName name="_xlnm.Print_Area" localSheetId="5">'II-H-3.1-3'!$A$7:$Q$171</definedName>
    <definedName name="_xlnm.Print_Area" localSheetId="8">'II-H-4.1 Dist kW'!$A$8:$P$160</definedName>
    <definedName name="_xlnm.Print_Area" localSheetId="7">'II-H-4.1 Functions'!$A$1:$U$201</definedName>
    <definedName name="_xlnm.Print_Area" localSheetId="6">'II-H-4.1 Monthly'!$A$8:$P$485</definedName>
    <definedName name="_xlnm.Print_Area" localSheetId="9">'II-H-4.1 Tran kW'!$A$8:$P$159</definedName>
    <definedName name="_xlnm.Print_Area" localSheetId="11">Riders!$A$1:$P$234</definedName>
    <definedName name="_xlnm.Print_Area" localSheetId="4">'Sch II-H-1.5'!$A$1:$B$28</definedName>
    <definedName name="_xlnm.Print_Area" localSheetId="10">'Sch II-H-4.2'!$A$1:$B$34</definedName>
    <definedName name="_xlnm.Print_Titles" localSheetId="2">'II-H-1.2'!$1:$6</definedName>
    <definedName name="_xlnm.Print_Titles" localSheetId="5">'II-H-3.1-3'!$1:$6</definedName>
    <definedName name="_xlnm.Print_Titles" localSheetId="8">'II-H-4.1 Dist kW'!$1:$6</definedName>
    <definedName name="_xlnm.Print_Titles" localSheetId="7">'II-H-4.1 Functions'!$1:$6</definedName>
    <definedName name="_xlnm.Print_Titles" localSheetId="6">'II-H-4.1 Monthly'!$1:$6</definedName>
    <definedName name="_xlnm.Print_Titles" localSheetId="9">'II-H-4.1 Tran kW'!$1:$6</definedName>
    <definedName name="_xlnm.Print_Titles" localSheetId="11">Riders!$1:$6</definedName>
    <definedName name="q" localSheetId="7">[2]Summary!#REF!</definedName>
    <definedName name="q">[2]Summary!#REF!</definedName>
    <definedName name="ResBasic" localSheetId="7">[3]Summary!#REF!</definedName>
    <definedName name="ResBasic">[3]Summary!#REF!</definedName>
    <definedName name="ResEconomy1" localSheetId="7">[3]Summary!#REF!</definedName>
    <definedName name="ResEconomy1">[3]Summary!#REF!</definedName>
    <definedName name="ResEconomy2" localSheetId="7">[3]Summary!#REF!</definedName>
    <definedName name="ResEconomy2">[3]Summary!#REF!</definedName>
    <definedName name="ResWaterHeating" localSheetId="7">[3]Summary!#REF!</definedName>
    <definedName name="ResWaterHeating">[3]Summary!#REF!</definedName>
    <definedName name="test" localSheetId="7">[2]Summary!#REF!</definedName>
    <definedName name="test">[2]Summary!#REF!</definedName>
    <definedName name="test1" localSheetId="7">[2]Summary!#REF!</definedName>
    <definedName name="test1">[2]Summary!#REF!</definedName>
    <definedName name="total">#REF!</definedName>
    <definedName name="w" localSheetId="7">[2]Summary!#REF!</definedName>
    <definedName name="w">[2]Summary!#REF!</definedName>
  </definedNames>
  <calcPr calcId="162913"/>
</workbook>
</file>

<file path=xl/calcChain.xml><?xml version="1.0" encoding="utf-8"?>
<calcChain xmlns="http://schemas.openxmlformats.org/spreadsheetml/2006/main">
  <c r="B99" i="70" l="1"/>
  <c r="A172" i="76"/>
  <c r="A140" i="76"/>
  <c r="A107" i="76"/>
  <c r="A75" i="76"/>
  <c r="A42" i="76"/>
  <c r="B135" i="44"/>
  <c r="B103" i="44"/>
  <c r="B70" i="44"/>
  <c r="D34" i="73" l="1"/>
  <c r="Q67" i="76" l="1"/>
  <c r="R67" i="76"/>
  <c r="Q68" i="76"/>
  <c r="R68" i="76"/>
  <c r="Q69" i="76"/>
  <c r="R69" i="76"/>
  <c r="N29" i="76"/>
  <c r="N24" i="76"/>
  <c r="N23" i="76"/>
  <c r="N20" i="76"/>
  <c r="N19" i="76"/>
  <c r="N17" i="76"/>
  <c r="N15" i="76"/>
  <c r="M69" i="76" l="1"/>
  <c r="M67" i="76"/>
  <c r="S67" i="76" s="1"/>
  <c r="R177" i="76"/>
  <c r="R145" i="76"/>
  <c r="R112" i="76"/>
  <c r="R80" i="76"/>
  <c r="R47" i="76"/>
  <c r="R35" i="76"/>
  <c r="E54" i="44" l="1"/>
  <c r="F54" i="44"/>
  <c r="G54" i="44"/>
  <c r="H54" i="44"/>
  <c r="I54" i="44"/>
  <c r="J54" i="44"/>
  <c r="K54" i="44"/>
  <c r="L54" i="44"/>
  <c r="M54" i="44"/>
  <c r="N54" i="44"/>
  <c r="O54" i="44"/>
  <c r="E55" i="44"/>
  <c r="F55" i="44"/>
  <c r="G55" i="44"/>
  <c r="G56" i="44" s="1"/>
  <c r="H55" i="44"/>
  <c r="I55" i="44"/>
  <c r="J55" i="44"/>
  <c r="K55" i="44"/>
  <c r="L55" i="44"/>
  <c r="M55" i="44"/>
  <c r="N55" i="44"/>
  <c r="O55" i="44"/>
  <c r="O56" i="44" s="1"/>
  <c r="E58" i="44"/>
  <c r="F58" i="44"/>
  <c r="G58" i="44"/>
  <c r="H58" i="44"/>
  <c r="I58" i="44"/>
  <c r="J58" i="44"/>
  <c r="K58" i="44"/>
  <c r="L58" i="44"/>
  <c r="M58" i="44"/>
  <c r="N58" i="44"/>
  <c r="O58" i="44"/>
  <c r="E60" i="44"/>
  <c r="F60" i="44"/>
  <c r="G60" i="44"/>
  <c r="H60" i="44"/>
  <c r="I60" i="44"/>
  <c r="J60" i="44"/>
  <c r="K60" i="44"/>
  <c r="L60" i="44"/>
  <c r="M60" i="44"/>
  <c r="N60" i="44"/>
  <c r="O60" i="44"/>
  <c r="D60" i="44"/>
  <c r="D58" i="44"/>
  <c r="D55" i="44"/>
  <c r="D54" i="44"/>
  <c r="M56" i="44" l="1"/>
  <c r="I56" i="44"/>
  <c r="L56" i="44"/>
  <c r="H56" i="44"/>
  <c r="K56" i="44"/>
  <c r="N56" i="44"/>
  <c r="J56" i="44"/>
  <c r="F56" i="44"/>
  <c r="E56" i="44"/>
  <c r="E94" i="75" l="1"/>
  <c r="F94" i="75"/>
  <c r="G94" i="75"/>
  <c r="H94" i="75"/>
  <c r="I94" i="75"/>
  <c r="J94" i="75"/>
  <c r="K94" i="75"/>
  <c r="L94" i="75"/>
  <c r="M94" i="75"/>
  <c r="N94" i="75"/>
  <c r="O94" i="75"/>
  <c r="D94" i="75"/>
  <c r="E85" i="75"/>
  <c r="F85" i="75"/>
  <c r="G85" i="75"/>
  <c r="H85" i="75"/>
  <c r="I85" i="75"/>
  <c r="J85" i="75"/>
  <c r="K85" i="75"/>
  <c r="L85" i="75"/>
  <c r="M85" i="75"/>
  <c r="N85" i="75"/>
  <c r="O85" i="75"/>
  <c r="E88" i="75"/>
  <c r="F88" i="75"/>
  <c r="G88" i="75"/>
  <c r="H88" i="75"/>
  <c r="I88" i="75"/>
  <c r="J88" i="75"/>
  <c r="K88" i="75"/>
  <c r="L88" i="75"/>
  <c r="M88" i="75"/>
  <c r="N88" i="75"/>
  <c r="O88" i="75"/>
  <c r="E90" i="75"/>
  <c r="F90" i="75"/>
  <c r="G90" i="75"/>
  <c r="H90" i="75"/>
  <c r="I90" i="75"/>
  <c r="J90" i="75"/>
  <c r="K90" i="75"/>
  <c r="L90" i="75"/>
  <c r="M90" i="75"/>
  <c r="N90" i="75"/>
  <c r="O90" i="75"/>
  <c r="D90" i="75"/>
  <c r="D88" i="75"/>
  <c r="D85" i="75"/>
  <c r="E55" i="75"/>
  <c r="F55" i="75"/>
  <c r="G55" i="75"/>
  <c r="H55" i="75"/>
  <c r="I55" i="75"/>
  <c r="J55" i="75"/>
  <c r="K55" i="75"/>
  <c r="L55" i="75"/>
  <c r="M55" i="75"/>
  <c r="N55" i="75"/>
  <c r="O55" i="75"/>
  <c r="D55" i="75"/>
  <c r="E19" i="75"/>
  <c r="F19" i="75"/>
  <c r="G19" i="75"/>
  <c r="H19" i="75"/>
  <c r="I19" i="75"/>
  <c r="J19" i="75"/>
  <c r="K19" i="75"/>
  <c r="L19" i="75"/>
  <c r="M19" i="75"/>
  <c r="N19" i="75"/>
  <c r="O19" i="75"/>
  <c r="E20" i="75"/>
  <c r="F20" i="75"/>
  <c r="G20" i="75"/>
  <c r="H20" i="75"/>
  <c r="I20" i="75"/>
  <c r="J20" i="75"/>
  <c r="K20" i="75"/>
  <c r="L20" i="75"/>
  <c r="M20" i="75"/>
  <c r="N20" i="75"/>
  <c r="O20" i="75"/>
  <c r="F21" i="75"/>
  <c r="N21" i="75"/>
  <c r="E23" i="75"/>
  <c r="F23" i="75"/>
  <c r="G23" i="75"/>
  <c r="H23" i="75"/>
  <c r="I23" i="75"/>
  <c r="J23" i="75"/>
  <c r="K23" i="75"/>
  <c r="L23" i="75"/>
  <c r="M23" i="75"/>
  <c r="N23" i="75"/>
  <c r="O23" i="75"/>
  <c r="E24" i="75"/>
  <c r="E25" i="75" s="1"/>
  <c r="F24" i="75"/>
  <c r="G24" i="75"/>
  <c r="H24" i="75"/>
  <c r="I24" i="75"/>
  <c r="I25" i="75" s="1"/>
  <c r="J24" i="75"/>
  <c r="K24" i="75"/>
  <c r="L24" i="75"/>
  <c r="M24" i="75"/>
  <c r="M25" i="75" s="1"/>
  <c r="N24" i="75"/>
  <c r="O24" i="75"/>
  <c r="E27" i="75"/>
  <c r="F27" i="75"/>
  <c r="G27" i="75"/>
  <c r="H27" i="75"/>
  <c r="I27" i="75"/>
  <c r="J27" i="75"/>
  <c r="K27" i="75"/>
  <c r="L27" i="75"/>
  <c r="M27" i="75"/>
  <c r="N27" i="75"/>
  <c r="O27" i="75"/>
  <c r="D27" i="75"/>
  <c r="D24" i="75"/>
  <c r="D23" i="75"/>
  <c r="D20" i="75"/>
  <c r="D19" i="75"/>
  <c r="E85" i="10"/>
  <c r="F85" i="10"/>
  <c r="G85" i="10"/>
  <c r="H85" i="10"/>
  <c r="I85" i="10"/>
  <c r="J85" i="10"/>
  <c r="K85" i="10"/>
  <c r="L85" i="10"/>
  <c r="M85" i="10"/>
  <c r="N85" i="10"/>
  <c r="O85" i="10"/>
  <c r="E88" i="10"/>
  <c r="F88" i="10"/>
  <c r="G88" i="10"/>
  <c r="H88" i="10"/>
  <c r="I88" i="10"/>
  <c r="J88" i="10"/>
  <c r="K88" i="10"/>
  <c r="L88" i="10"/>
  <c r="M88" i="10"/>
  <c r="N88" i="10"/>
  <c r="O88" i="10"/>
  <c r="D88" i="10"/>
  <c r="D85" i="10"/>
  <c r="E55" i="10"/>
  <c r="F55" i="10"/>
  <c r="G55" i="10"/>
  <c r="H55" i="10"/>
  <c r="I55" i="10"/>
  <c r="J55" i="10"/>
  <c r="K55" i="10"/>
  <c r="L55" i="10"/>
  <c r="M55" i="10"/>
  <c r="N55" i="10"/>
  <c r="O55" i="10"/>
  <c r="D55" i="10"/>
  <c r="N25" i="75" l="1"/>
  <c r="J25" i="75"/>
  <c r="O25" i="75"/>
  <c r="K25" i="75"/>
  <c r="G25" i="75"/>
  <c r="O21" i="75"/>
  <c r="K21" i="75"/>
  <c r="G21" i="75"/>
  <c r="F25" i="75"/>
  <c r="J21" i="75"/>
  <c r="L25" i="75"/>
  <c r="H25" i="75"/>
  <c r="M21" i="75"/>
  <c r="I21" i="75"/>
  <c r="E21" i="75"/>
  <c r="L21" i="75"/>
  <c r="H21" i="75"/>
  <c r="E92" i="70"/>
  <c r="F92" i="70"/>
  <c r="G92" i="70"/>
  <c r="H92" i="70"/>
  <c r="I92" i="70"/>
  <c r="J92" i="70"/>
  <c r="K92" i="70"/>
  <c r="L92" i="70"/>
  <c r="M92" i="70"/>
  <c r="N92" i="70"/>
  <c r="O92" i="70"/>
  <c r="D92" i="70"/>
  <c r="E83" i="70"/>
  <c r="F83" i="70"/>
  <c r="G83" i="70"/>
  <c r="H83" i="70"/>
  <c r="I83" i="70"/>
  <c r="J83" i="70"/>
  <c r="K83" i="70"/>
  <c r="L83" i="70"/>
  <c r="M83" i="70"/>
  <c r="N83" i="70"/>
  <c r="O83" i="70"/>
  <c r="D83" i="70"/>
  <c r="E75" i="70"/>
  <c r="F75" i="70"/>
  <c r="G75" i="70"/>
  <c r="H75" i="70"/>
  <c r="I75" i="70"/>
  <c r="J75" i="70"/>
  <c r="K75" i="70"/>
  <c r="L75" i="70"/>
  <c r="M75" i="70"/>
  <c r="N75" i="70"/>
  <c r="O75" i="70"/>
  <c r="E77" i="70"/>
  <c r="F77" i="70"/>
  <c r="G77" i="70"/>
  <c r="H77" i="70"/>
  <c r="I77" i="70"/>
  <c r="J77" i="70"/>
  <c r="K77" i="70"/>
  <c r="L77" i="70"/>
  <c r="M77" i="70"/>
  <c r="N77" i="70"/>
  <c r="O77" i="70"/>
  <c r="D75" i="70"/>
  <c r="D77" i="70"/>
  <c r="E29" i="65"/>
  <c r="E27" i="65" l="1"/>
  <c r="E286" i="74" l="1"/>
  <c r="F286" i="74"/>
  <c r="G286" i="74"/>
  <c r="H286" i="74"/>
  <c r="I286" i="74"/>
  <c r="J286" i="74"/>
  <c r="K286" i="74"/>
  <c r="D286" i="74"/>
  <c r="E183" i="77" l="1"/>
  <c r="F183" i="77"/>
  <c r="G183" i="77"/>
  <c r="H183" i="77"/>
  <c r="I183" i="77"/>
  <c r="J183" i="77"/>
  <c r="K183" i="77"/>
  <c r="L183" i="77"/>
  <c r="M183" i="77"/>
  <c r="N183" i="77"/>
  <c r="O183" i="77"/>
  <c r="E185" i="77"/>
  <c r="F185" i="77"/>
  <c r="G185" i="77"/>
  <c r="H185" i="77"/>
  <c r="I185" i="77"/>
  <c r="J185" i="77"/>
  <c r="K185" i="77"/>
  <c r="L185" i="77"/>
  <c r="M185" i="77"/>
  <c r="N185" i="77"/>
  <c r="O185" i="77"/>
  <c r="D183" i="77"/>
  <c r="D185" i="77"/>
  <c r="M82" i="77"/>
  <c r="N82" i="77"/>
  <c r="O82" i="77"/>
  <c r="L82" i="77"/>
  <c r="E23" i="77"/>
  <c r="F23" i="77"/>
  <c r="G23" i="77"/>
  <c r="H23" i="77"/>
  <c r="I23" i="77"/>
  <c r="J23" i="77"/>
  <c r="K23" i="77"/>
  <c r="L23" i="77"/>
  <c r="M23" i="77"/>
  <c r="N23" i="77"/>
  <c r="O23" i="77"/>
  <c r="D23" i="77"/>
  <c r="E19" i="77"/>
  <c r="E248" i="74" s="1"/>
  <c r="F19" i="77"/>
  <c r="F248" i="74" s="1"/>
  <c r="G19" i="77"/>
  <c r="G248" i="74" s="1"/>
  <c r="H19" i="77"/>
  <c r="H248" i="74" s="1"/>
  <c r="I19" i="77"/>
  <c r="I248" i="74" s="1"/>
  <c r="J19" i="77"/>
  <c r="J248" i="74" s="1"/>
  <c r="K19" i="77"/>
  <c r="K248" i="74" s="1"/>
  <c r="L19" i="77"/>
  <c r="L248" i="74" s="1"/>
  <c r="M19" i="77"/>
  <c r="M248" i="74" s="1"/>
  <c r="N19" i="77"/>
  <c r="N248" i="74" s="1"/>
  <c r="O19" i="77"/>
  <c r="O248" i="74" s="1"/>
  <c r="D19" i="77"/>
  <c r="D248" i="74" s="1"/>
  <c r="B485" i="74" l="1"/>
  <c r="B451" i="74"/>
  <c r="B420" i="74"/>
  <c r="B390" i="74"/>
  <c r="B358" i="74"/>
  <c r="B327" i="74"/>
  <c r="B296" i="74"/>
  <c r="B265" i="74"/>
  <c r="B234" i="74"/>
  <c r="B201" i="74"/>
  <c r="B168" i="74"/>
  <c r="B135" i="74"/>
  <c r="B102" i="74"/>
  <c r="B70" i="74"/>
  <c r="B167" i="44"/>
  <c r="B133" i="44"/>
  <c r="B101" i="44"/>
  <c r="B68" i="44"/>
  <c r="B159" i="75"/>
  <c r="B128" i="75"/>
  <c r="B98" i="75"/>
  <c r="B68" i="75"/>
  <c r="B160" i="10"/>
  <c r="B129" i="10"/>
  <c r="B98" i="10"/>
  <c r="B68" i="10"/>
  <c r="B317" i="70"/>
  <c r="B286" i="70"/>
  <c r="B253" i="70"/>
  <c r="B220" i="70"/>
  <c r="B189" i="70"/>
  <c r="B158" i="70"/>
  <c r="B128" i="70"/>
  <c r="B96" i="70"/>
  <c r="B66" i="70"/>
  <c r="E96" i="76" l="1"/>
  <c r="D96" i="76"/>
  <c r="D220" i="74"/>
  <c r="E17" i="10"/>
  <c r="F17" i="10"/>
  <c r="G17" i="10"/>
  <c r="H17" i="10"/>
  <c r="I17" i="10"/>
  <c r="J17" i="10"/>
  <c r="K17" i="10"/>
  <c r="L17" i="10"/>
  <c r="M17" i="10"/>
  <c r="N17" i="10"/>
  <c r="O17" i="10"/>
  <c r="D17" i="10"/>
  <c r="E15" i="10"/>
  <c r="F15" i="10"/>
  <c r="G15" i="10"/>
  <c r="H15" i="10"/>
  <c r="I15" i="10"/>
  <c r="J15" i="10"/>
  <c r="K15" i="10"/>
  <c r="L15" i="10"/>
  <c r="M15" i="10"/>
  <c r="N15" i="10"/>
  <c r="O15" i="10"/>
  <c r="D15" i="10"/>
  <c r="E23" i="70"/>
  <c r="E154" i="44" s="1"/>
  <c r="F23" i="70"/>
  <c r="F154" i="44" s="1"/>
  <c r="G23" i="70"/>
  <c r="G154" i="44" s="1"/>
  <c r="H23" i="70"/>
  <c r="H154" i="44" s="1"/>
  <c r="I23" i="70"/>
  <c r="I154" i="44" s="1"/>
  <c r="J23" i="70"/>
  <c r="J154" i="44" s="1"/>
  <c r="K23" i="70"/>
  <c r="K154" i="44" s="1"/>
  <c r="L23" i="70"/>
  <c r="L154" i="44" s="1"/>
  <c r="M23" i="70"/>
  <c r="M154" i="44" s="1"/>
  <c r="N23" i="70"/>
  <c r="N154" i="44" s="1"/>
  <c r="O23" i="70"/>
  <c r="O154" i="44" s="1"/>
  <c r="D23" i="70"/>
  <c r="D154" i="44" s="1"/>
  <c r="D22" i="70"/>
  <c r="E22" i="70"/>
  <c r="F22" i="70"/>
  <c r="G22" i="70"/>
  <c r="H22" i="70"/>
  <c r="I22" i="70"/>
  <c r="J22" i="70"/>
  <c r="K22" i="70"/>
  <c r="L22" i="70"/>
  <c r="M22" i="70"/>
  <c r="N22" i="70"/>
  <c r="O22" i="70"/>
  <c r="K288" i="74" l="1"/>
  <c r="J288" i="74"/>
  <c r="I288" i="74"/>
  <c r="H288" i="74"/>
  <c r="G288" i="74"/>
  <c r="F288" i="74"/>
  <c r="E288" i="74"/>
  <c r="D288" i="74"/>
  <c r="K283" i="74"/>
  <c r="K282" i="74"/>
  <c r="J283" i="74"/>
  <c r="J282" i="74"/>
  <c r="I283" i="74"/>
  <c r="I282" i="74"/>
  <c r="H283" i="74"/>
  <c r="H282" i="74"/>
  <c r="G283" i="74"/>
  <c r="G282" i="74"/>
  <c r="F283" i="74"/>
  <c r="F282" i="74"/>
  <c r="E283" i="74"/>
  <c r="E282" i="74"/>
  <c r="D283" i="74"/>
  <c r="D282" i="74"/>
  <c r="K279" i="74"/>
  <c r="K278" i="74"/>
  <c r="J279" i="74"/>
  <c r="J278" i="74"/>
  <c r="I279" i="74"/>
  <c r="I278" i="74"/>
  <c r="H279" i="74"/>
  <c r="H278" i="74"/>
  <c r="G279" i="74"/>
  <c r="G278" i="74"/>
  <c r="F279" i="74"/>
  <c r="F278" i="74"/>
  <c r="E279" i="74"/>
  <c r="E278" i="74"/>
  <c r="D279" i="74"/>
  <c r="D278" i="74"/>
  <c r="K276" i="74"/>
  <c r="J276" i="74"/>
  <c r="I276" i="74"/>
  <c r="H276" i="74"/>
  <c r="G276" i="74"/>
  <c r="F276" i="74"/>
  <c r="E276" i="74"/>
  <c r="D276" i="74"/>
  <c r="K274" i="74"/>
  <c r="J274" i="74"/>
  <c r="I274" i="74"/>
  <c r="H274" i="74"/>
  <c r="G274" i="74"/>
  <c r="F274" i="74"/>
  <c r="E274" i="74"/>
  <c r="D274" i="74"/>
  <c r="N112" i="77" l="1"/>
  <c r="E166" i="77"/>
  <c r="F166" i="77"/>
  <c r="G166" i="77"/>
  <c r="H166" i="77"/>
  <c r="I166" i="77"/>
  <c r="J166" i="77"/>
  <c r="K166" i="77"/>
  <c r="L166" i="77"/>
  <c r="M166" i="77"/>
  <c r="N166" i="77"/>
  <c r="O166" i="77"/>
  <c r="E168" i="77"/>
  <c r="F168" i="77"/>
  <c r="G168" i="77"/>
  <c r="H168" i="77"/>
  <c r="I168" i="77"/>
  <c r="J168" i="77"/>
  <c r="K168" i="77"/>
  <c r="L168" i="77"/>
  <c r="M168" i="77"/>
  <c r="N168" i="77"/>
  <c r="O168" i="77"/>
  <c r="D168" i="77"/>
  <c r="D166" i="77"/>
  <c r="E162" i="77"/>
  <c r="F162" i="77"/>
  <c r="G162" i="77"/>
  <c r="H162" i="77"/>
  <c r="I162" i="77"/>
  <c r="J162" i="77"/>
  <c r="K162" i="77"/>
  <c r="L162" i="77"/>
  <c r="M162" i="77"/>
  <c r="N162" i="77"/>
  <c r="O162" i="77"/>
  <c r="E163" i="77"/>
  <c r="F163" i="77"/>
  <c r="G163" i="77"/>
  <c r="H163" i="77"/>
  <c r="I163" i="77"/>
  <c r="J163" i="77"/>
  <c r="K163" i="77"/>
  <c r="L163" i="77"/>
  <c r="M163" i="77"/>
  <c r="N163" i="77"/>
  <c r="O163" i="77"/>
  <c r="D163" i="77"/>
  <c r="D162" i="77"/>
  <c r="E158" i="77"/>
  <c r="F158" i="77"/>
  <c r="G158" i="77"/>
  <c r="H158" i="77"/>
  <c r="I158" i="77"/>
  <c r="J158" i="77"/>
  <c r="K158" i="77"/>
  <c r="L158" i="77"/>
  <c r="M158" i="77"/>
  <c r="N158" i="77"/>
  <c r="O158" i="77"/>
  <c r="E159" i="77"/>
  <c r="F159" i="77"/>
  <c r="G159" i="77"/>
  <c r="H159" i="77"/>
  <c r="I159" i="77"/>
  <c r="J159" i="77"/>
  <c r="K159" i="77"/>
  <c r="L159" i="77"/>
  <c r="M159" i="77"/>
  <c r="N159" i="77"/>
  <c r="O159" i="77"/>
  <c r="D159" i="77"/>
  <c r="D158" i="77"/>
  <c r="E156" i="77"/>
  <c r="F156" i="77"/>
  <c r="G156" i="77"/>
  <c r="H156" i="77"/>
  <c r="I156" i="77"/>
  <c r="J156" i="77"/>
  <c r="K156" i="77"/>
  <c r="L156" i="77"/>
  <c r="M156" i="77"/>
  <c r="N156" i="77"/>
  <c r="O156" i="77"/>
  <c r="D156" i="77"/>
  <c r="E154" i="77"/>
  <c r="F154" i="77"/>
  <c r="G154" i="77"/>
  <c r="H154" i="77"/>
  <c r="I154" i="77"/>
  <c r="J154" i="77"/>
  <c r="K154" i="77"/>
  <c r="L154" i="77"/>
  <c r="M154" i="77"/>
  <c r="N154" i="77"/>
  <c r="O154" i="77"/>
  <c r="D154" i="77"/>
  <c r="E140" i="77"/>
  <c r="F140" i="77"/>
  <c r="G140" i="77"/>
  <c r="H140" i="77"/>
  <c r="I140" i="77"/>
  <c r="J140" i="77"/>
  <c r="K140" i="77"/>
  <c r="L140" i="77"/>
  <c r="M140" i="77"/>
  <c r="N140" i="77"/>
  <c r="O140" i="77"/>
  <c r="D140" i="77"/>
  <c r="E138" i="77"/>
  <c r="F138" i="77"/>
  <c r="G138" i="77"/>
  <c r="H138" i="77"/>
  <c r="I138" i="77"/>
  <c r="J138" i="77"/>
  <c r="K138" i="77"/>
  <c r="L138" i="77"/>
  <c r="M138" i="77"/>
  <c r="N138" i="77"/>
  <c r="O138" i="77"/>
  <c r="D138" i="77"/>
  <c r="E134" i="77"/>
  <c r="F134" i="77"/>
  <c r="G134" i="77"/>
  <c r="H134" i="77"/>
  <c r="I134" i="77"/>
  <c r="J134" i="77"/>
  <c r="K134" i="77"/>
  <c r="L134" i="77"/>
  <c r="M134" i="77"/>
  <c r="N134" i="77"/>
  <c r="O134" i="77"/>
  <c r="E135" i="77"/>
  <c r="F135" i="77"/>
  <c r="G135" i="77"/>
  <c r="H135" i="77"/>
  <c r="I135" i="77"/>
  <c r="J135" i="77"/>
  <c r="K135" i="77"/>
  <c r="L135" i="77"/>
  <c r="M135" i="77"/>
  <c r="N135" i="77"/>
  <c r="O135" i="77"/>
  <c r="D135" i="77"/>
  <c r="D134" i="77"/>
  <c r="E130" i="77"/>
  <c r="F130" i="77"/>
  <c r="G130" i="77"/>
  <c r="H130" i="77"/>
  <c r="I130" i="77"/>
  <c r="J130" i="77"/>
  <c r="K130" i="77"/>
  <c r="L130" i="77"/>
  <c r="M130" i="77"/>
  <c r="N130" i="77"/>
  <c r="O130" i="77"/>
  <c r="E131" i="77"/>
  <c r="F131" i="77"/>
  <c r="G131" i="77"/>
  <c r="H131" i="77"/>
  <c r="I131" i="77"/>
  <c r="J131" i="77"/>
  <c r="K131" i="77"/>
  <c r="L131" i="77"/>
  <c r="M131" i="77"/>
  <c r="N131" i="77"/>
  <c r="O131" i="77"/>
  <c r="D131" i="77"/>
  <c r="D130" i="77"/>
  <c r="E128" i="77"/>
  <c r="F128" i="77"/>
  <c r="G128" i="77"/>
  <c r="H128" i="77"/>
  <c r="I128" i="77"/>
  <c r="J128" i="77"/>
  <c r="K128" i="77"/>
  <c r="L128" i="77"/>
  <c r="M128" i="77"/>
  <c r="N128" i="77"/>
  <c r="O128" i="77"/>
  <c r="D128" i="77"/>
  <c r="E126" i="77"/>
  <c r="F126" i="77"/>
  <c r="G126" i="77"/>
  <c r="H126" i="77"/>
  <c r="I126" i="77"/>
  <c r="J126" i="77"/>
  <c r="K126" i="77"/>
  <c r="L126" i="77"/>
  <c r="M126" i="77"/>
  <c r="N126" i="77"/>
  <c r="O126" i="77"/>
  <c r="D126" i="77"/>
  <c r="K79" i="77"/>
  <c r="J79" i="77"/>
  <c r="I79" i="77"/>
  <c r="H79" i="77"/>
  <c r="G79" i="77"/>
  <c r="F79" i="77"/>
  <c r="E79" i="77"/>
  <c r="D79" i="77"/>
  <c r="D91" i="77" s="1"/>
  <c r="K75" i="77"/>
  <c r="K85" i="77" s="1"/>
  <c r="K91" i="77" s="1"/>
  <c r="J75" i="77"/>
  <c r="I75" i="77"/>
  <c r="I85" i="77" s="1"/>
  <c r="I91" i="77" s="1"/>
  <c r="H75" i="77"/>
  <c r="H85" i="77" s="1"/>
  <c r="H91" i="77" s="1"/>
  <c r="G75" i="77"/>
  <c r="F75" i="77"/>
  <c r="E75" i="77"/>
  <c r="E85" i="77" s="1"/>
  <c r="E91" i="77" s="1"/>
  <c r="D75" i="77"/>
  <c r="D104" i="77"/>
  <c r="E104" i="77"/>
  <c r="F104" i="77"/>
  <c r="G104" i="77"/>
  <c r="H104" i="77"/>
  <c r="I104" i="77"/>
  <c r="J104" i="77"/>
  <c r="K104" i="77"/>
  <c r="L104" i="77"/>
  <c r="M104" i="77"/>
  <c r="P106" i="77"/>
  <c r="P108" i="77" s="1"/>
  <c r="P107" i="77"/>
  <c r="D108" i="77"/>
  <c r="E108" i="77"/>
  <c r="F108" i="77"/>
  <c r="G108" i="77"/>
  <c r="H108" i="77"/>
  <c r="I108" i="77"/>
  <c r="J108" i="77"/>
  <c r="K108" i="77"/>
  <c r="L108" i="77"/>
  <c r="M108" i="77"/>
  <c r="N108" i="77"/>
  <c r="O108" i="77"/>
  <c r="J85" i="77" l="1"/>
  <c r="J91" i="77" s="1"/>
  <c r="G85" i="77"/>
  <c r="G91" i="77" s="1"/>
  <c r="F85" i="77"/>
  <c r="F91" i="77" s="1"/>
  <c r="P112" i="77"/>
  <c r="E56" i="70" l="1"/>
  <c r="F56" i="70"/>
  <c r="G56" i="70"/>
  <c r="H56" i="70"/>
  <c r="I56" i="70"/>
  <c r="J56" i="70"/>
  <c r="K56" i="70"/>
  <c r="L56" i="70"/>
  <c r="M56" i="70"/>
  <c r="N56" i="70"/>
  <c r="O56" i="70"/>
  <c r="D56" i="70"/>
  <c r="O257" i="74" l="1"/>
  <c r="O255" i="74"/>
  <c r="O252" i="74"/>
  <c r="N257" i="74"/>
  <c r="N255" i="74"/>
  <c r="N252" i="74"/>
  <c r="M257" i="74"/>
  <c r="M255" i="74"/>
  <c r="M252" i="74"/>
  <c r="L257" i="74"/>
  <c r="L255" i="74"/>
  <c r="L252" i="74"/>
  <c r="K257" i="74"/>
  <c r="K255" i="74"/>
  <c r="K252" i="74"/>
  <c r="J257" i="74"/>
  <c r="J255" i="74"/>
  <c r="J252" i="74"/>
  <c r="I257" i="74"/>
  <c r="I255" i="74"/>
  <c r="I252" i="74"/>
  <c r="H257" i="74"/>
  <c r="H255" i="74"/>
  <c r="H252" i="74"/>
  <c r="G257" i="74"/>
  <c r="G255" i="74"/>
  <c r="G252" i="74"/>
  <c r="F257" i="74"/>
  <c r="F255" i="74"/>
  <c r="F252" i="74"/>
  <c r="E257" i="74"/>
  <c r="E255" i="74"/>
  <c r="E252" i="74"/>
  <c r="D257" i="74"/>
  <c r="D255" i="74"/>
  <c r="D252" i="74"/>
  <c r="O241" i="74"/>
  <c r="N241" i="74"/>
  <c r="M241" i="74"/>
  <c r="L241" i="74"/>
  <c r="K241" i="74"/>
  <c r="J241" i="74"/>
  <c r="I241" i="74"/>
  <c r="H241" i="74"/>
  <c r="G241" i="74"/>
  <c r="F241" i="74"/>
  <c r="E241" i="74"/>
  <c r="D241" i="74"/>
  <c r="B238" i="74"/>
  <c r="O263" i="74"/>
  <c r="N263" i="74"/>
  <c r="M263" i="74"/>
  <c r="L263" i="74"/>
  <c r="K263" i="74"/>
  <c r="J263" i="74"/>
  <c r="I263" i="74"/>
  <c r="H263" i="74"/>
  <c r="G263" i="74"/>
  <c r="F263" i="74"/>
  <c r="E263" i="74"/>
  <c r="D263" i="74"/>
  <c r="P262" i="74"/>
  <c r="P261" i="74"/>
  <c r="P263" i="74" s="1"/>
  <c r="B269" i="74"/>
  <c r="O272" i="74"/>
  <c r="N272" i="74"/>
  <c r="M272" i="74"/>
  <c r="L272" i="74"/>
  <c r="K272" i="74"/>
  <c r="J272" i="74"/>
  <c r="I272" i="74"/>
  <c r="H272" i="74"/>
  <c r="G272" i="74"/>
  <c r="F272" i="74"/>
  <c r="E272" i="74"/>
  <c r="D272" i="74"/>
  <c r="O294" i="74"/>
  <c r="N294" i="74"/>
  <c r="M294" i="74"/>
  <c r="L294" i="74"/>
  <c r="K294" i="74"/>
  <c r="J294" i="74"/>
  <c r="I294" i="74"/>
  <c r="H294" i="74"/>
  <c r="G294" i="74"/>
  <c r="F294" i="74"/>
  <c r="E294" i="74"/>
  <c r="D294" i="74"/>
  <c r="P293" i="74"/>
  <c r="P292" i="74"/>
  <c r="P294" i="74" s="1"/>
  <c r="O334" i="74"/>
  <c r="N334" i="74"/>
  <c r="M334" i="74"/>
  <c r="L334" i="74"/>
  <c r="K334" i="74"/>
  <c r="J334" i="74"/>
  <c r="I334" i="74"/>
  <c r="H334" i="74"/>
  <c r="G334" i="74"/>
  <c r="F334" i="74"/>
  <c r="E334" i="74"/>
  <c r="D334" i="74"/>
  <c r="O356" i="74"/>
  <c r="N356" i="74"/>
  <c r="M356" i="74"/>
  <c r="L356" i="74"/>
  <c r="K356" i="74"/>
  <c r="J356" i="74"/>
  <c r="I356" i="74"/>
  <c r="H356" i="74"/>
  <c r="G356" i="74"/>
  <c r="F356" i="74"/>
  <c r="E356" i="74"/>
  <c r="D356" i="74"/>
  <c r="P355" i="74"/>
  <c r="P354" i="74"/>
  <c r="P356" i="74" s="1"/>
  <c r="B331" i="74"/>
  <c r="P248" i="74" l="1"/>
  <c r="Q20" i="76" s="1"/>
  <c r="Q54" i="76" s="1"/>
  <c r="P255" i="74"/>
  <c r="Q27" i="76" s="1"/>
  <c r="Q61" i="76" s="1"/>
  <c r="P252" i="74"/>
  <c r="Q24" i="76" s="1"/>
  <c r="Q58" i="76" s="1"/>
  <c r="P257" i="74"/>
  <c r="Q29" i="76" s="1"/>
  <c r="Q63" i="76" s="1"/>
  <c r="O221" i="74"/>
  <c r="O220" i="74"/>
  <c r="N221" i="74"/>
  <c r="N220" i="74"/>
  <c r="M221" i="74"/>
  <c r="M220" i="74"/>
  <c r="L221" i="74"/>
  <c r="L220" i="74"/>
  <c r="K221" i="74"/>
  <c r="K220" i="74"/>
  <c r="J221" i="74"/>
  <c r="J220" i="74"/>
  <c r="I221" i="74"/>
  <c r="I220" i="74"/>
  <c r="H221" i="74"/>
  <c r="H220" i="74"/>
  <c r="G221" i="74"/>
  <c r="G220" i="74"/>
  <c r="F221" i="74"/>
  <c r="F220" i="74"/>
  <c r="E221" i="74"/>
  <c r="E220" i="74"/>
  <c r="D221" i="74"/>
  <c r="G160" i="77" l="1"/>
  <c r="N160" i="74"/>
  <c r="J160" i="74"/>
  <c r="F160" i="74"/>
  <c r="N158" i="74"/>
  <c r="J158" i="74"/>
  <c r="F158" i="74"/>
  <c r="K154" i="74"/>
  <c r="I154" i="74"/>
  <c r="O150" i="74"/>
  <c r="N148" i="74"/>
  <c r="J148" i="74"/>
  <c r="F148" i="74"/>
  <c r="N146" i="74"/>
  <c r="J146" i="74"/>
  <c r="F146" i="74"/>
  <c r="P56" i="77"/>
  <c r="P19" i="77"/>
  <c r="P28" i="77"/>
  <c r="P26" i="77"/>
  <c r="P23" i="77"/>
  <c r="J284" i="74" l="1"/>
  <c r="K136" i="77"/>
  <c r="E280" i="74"/>
  <c r="K280" i="74"/>
  <c r="E284" i="74"/>
  <c r="G284" i="74"/>
  <c r="I284" i="74"/>
  <c r="E146" i="74"/>
  <c r="I146" i="74"/>
  <c r="M146" i="74"/>
  <c r="E148" i="74"/>
  <c r="I148" i="74"/>
  <c r="M148" i="74"/>
  <c r="D151" i="74"/>
  <c r="F151" i="74"/>
  <c r="H151" i="74"/>
  <c r="J151" i="74"/>
  <c r="L151" i="74"/>
  <c r="N151" i="74"/>
  <c r="F155" i="74"/>
  <c r="H155" i="74"/>
  <c r="J155" i="74"/>
  <c r="L155" i="74"/>
  <c r="N155" i="74"/>
  <c r="E158" i="74"/>
  <c r="I158" i="74"/>
  <c r="M158" i="74"/>
  <c r="E160" i="74"/>
  <c r="I160" i="74"/>
  <c r="M160" i="74"/>
  <c r="D160" i="77"/>
  <c r="G146" i="74"/>
  <c r="K146" i="74"/>
  <c r="O146" i="74"/>
  <c r="G148" i="74"/>
  <c r="K148" i="74"/>
  <c r="O148" i="74"/>
  <c r="E151" i="74"/>
  <c r="G151" i="74"/>
  <c r="I151" i="74"/>
  <c r="K151" i="74"/>
  <c r="M151" i="74"/>
  <c r="O151" i="74"/>
  <c r="O152" i="74" s="1"/>
  <c r="E155" i="74"/>
  <c r="G155" i="74"/>
  <c r="I155" i="74"/>
  <c r="I156" i="74" s="1"/>
  <c r="K155" i="74"/>
  <c r="K156" i="74" s="1"/>
  <c r="M155" i="74"/>
  <c r="O155" i="74"/>
  <c r="G158" i="74"/>
  <c r="K158" i="74"/>
  <c r="O158" i="74"/>
  <c r="G160" i="74"/>
  <c r="K160" i="74"/>
  <c r="O160" i="74"/>
  <c r="O160" i="77"/>
  <c r="G164" i="77"/>
  <c r="G170" i="77" s="1"/>
  <c r="G176" i="77" s="1"/>
  <c r="O164" i="77"/>
  <c r="E132" i="77"/>
  <c r="E150" i="74"/>
  <c r="G132" i="77"/>
  <c r="G150" i="74"/>
  <c r="I132" i="77"/>
  <c r="I150" i="74"/>
  <c r="I152" i="74" s="1"/>
  <c r="M132" i="77"/>
  <c r="M150" i="74"/>
  <c r="I136" i="77"/>
  <c r="H164" i="77"/>
  <c r="N164" i="77"/>
  <c r="E136" i="77"/>
  <c r="E154" i="74"/>
  <c r="G136" i="77"/>
  <c r="G154" i="74"/>
  <c r="M136" i="77"/>
  <c r="M154" i="74"/>
  <c r="G280" i="74"/>
  <c r="G290" i="74" s="1"/>
  <c r="G296" i="74" s="1"/>
  <c r="I280" i="74"/>
  <c r="K284" i="74"/>
  <c r="D146" i="74"/>
  <c r="H146" i="74"/>
  <c r="L146" i="74"/>
  <c r="D148" i="74"/>
  <c r="H148" i="74"/>
  <c r="L148" i="74"/>
  <c r="D150" i="74"/>
  <c r="F150" i="74"/>
  <c r="H150" i="74"/>
  <c r="J150" i="74"/>
  <c r="L150" i="74"/>
  <c r="N150" i="74"/>
  <c r="D154" i="74"/>
  <c r="F154" i="74"/>
  <c r="H154" i="74"/>
  <c r="H156" i="74" s="1"/>
  <c r="J154" i="74"/>
  <c r="L154" i="74"/>
  <c r="N154" i="74"/>
  <c r="D158" i="74"/>
  <c r="H158" i="74"/>
  <c r="L158" i="74"/>
  <c r="D160" i="74"/>
  <c r="H160" i="74"/>
  <c r="L160" i="74"/>
  <c r="K132" i="77"/>
  <c r="K150" i="74"/>
  <c r="O136" i="77"/>
  <c r="O154" i="74"/>
  <c r="D280" i="74"/>
  <c r="F280" i="74"/>
  <c r="J280" i="74"/>
  <c r="J290" i="74" s="1"/>
  <c r="J296" i="74" s="1"/>
  <c r="D284" i="74"/>
  <c r="F284" i="74"/>
  <c r="H284" i="74"/>
  <c r="O132" i="77"/>
  <c r="P135" i="77"/>
  <c r="D155" i="74"/>
  <c r="P166" i="77"/>
  <c r="D132" i="77"/>
  <c r="F132" i="77"/>
  <c r="H136" i="77"/>
  <c r="F160" i="77"/>
  <c r="H160" i="77"/>
  <c r="J160" i="77"/>
  <c r="L160" i="77"/>
  <c r="N160" i="77"/>
  <c r="D164" i="77"/>
  <c r="F164" i="77"/>
  <c r="J164" i="77"/>
  <c r="L164" i="77"/>
  <c r="J132" i="77"/>
  <c r="F136" i="77"/>
  <c r="N136" i="77"/>
  <c r="P140" i="77"/>
  <c r="E160" i="77"/>
  <c r="K160" i="77"/>
  <c r="E164" i="77"/>
  <c r="I164" i="77"/>
  <c r="M164" i="77"/>
  <c r="L132" i="77"/>
  <c r="D136" i="77"/>
  <c r="L136" i="77"/>
  <c r="I160" i="77"/>
  <c r="M160" i="77"/>
  <c r="K164" i="77"/>
  <c r="P163" i="77"/>
  <c r="H132" i="77"/>
  <c r="N132" i="77"/>
  <c r="J136" i="77"/>
  <c r="P158" i="77"/>
  <c r="P159" i="77"/>
  <c r="P156" i="77"/>
  <c r="P154" i="77"/>
  <c r="P168" i="77"/>
  <c r="P162" i="77"/>
  <c r="P138" i="77"/>
  <c r="P130" i="77"/>
  <c r="P131" i="77"/>
  <c r="P128" i="77"/>
  <c r="P126" i="77"/>
  <c r="P134" i="77"/>
  <c r="K290" i="74" l="1"/>
  <c r="K296" i="74" s="1"/>
  <c r="I290" i="74"/>
  <c r="I296" i="74" s="1"/>
  <c r="K142" i="77"/>
  <c r="K148" i="77" s="1"/>
  <c r="G152" i="74"/>
  <c r="N156" i="74"/>
  <c r="F156" i="74"/>
  <c r="H152" i="74"/>
  <c r="E142" i="77"/>
  <c r="E148" i="77" s="1"/>
  <c r="J152" i="74"/>
  <c r="K170" i="77"/>
  <c r="K176" i="77" s="1"/>
  <c r="O142" i="77"/>
  <c r="O148" i="77" s="1"/>
  <c r="E290" i="74"/>
  <c r="E296" i="74" s="1"/>
  <c r="P136" i="77"/>
  <c r="M142" i="77"/>
  <c r="M148" i="77" s="1"/>
  <c r="P160" i="77"/>
  <c r="J170" i="77"/>
  <c r="J176" i="77" s="1"/>
  <c r="O156" i="74"/>
  <c r="L156" i="74"/>
  <c r="J156" i="74"/>
  <c r="I142" i="77"/>
  <c r="I148" i="77" s="1"/>
  <c r="O170" i="77"/>
  <c r="O176" i="77" s="1"/>
  <c r="N152" i="74"/>
  <c r="F142" i="77"/>
  <c r="F148" i="77" s="1"/>
  <c r="D170" i="77"/>
  <c r="D176" i="77" s="1"/>
  <c r="L152" i="74"/>
  <c r="M156" i="74"/>
  <c r="E156" i="74"/>
  <c r="N170" i="77"/>
  <c r="N176" i="77" s="1"/>
  <c r="H280" i="74"/>
  <c r="H290" i="74" s="1"/>
  <c r="H296" i="74" s="1"/>
  <c r="F152" i="74"/>
  <c r="F170" i="77"/>
  <c r="F176" i="77" s="1"/>
  <c r="I170" i="77"/>
  <c r="I176" i="77" s="1"/>
  <c r="F290" i="74"/>
  <c r="F296" i="74" s="1"/>
  <c r="K152" i="74"/>
  <c r="G156" i="74"/>
  <c r="E152" i="74"/>
  <c r="H170" i="77"/>
  <c r="H176" i="77" s="1"/>
  <c r="D290" i="74"/>
  <c r="D296" i="74" s="1"/>
  <c r="G142" i="77"/>
  <c r="G148" i="77" s="1"/>
  <c r="M152" i="74"/>
  <c r="D142" i="77"/>
  <c r="D148" i="77" s="1"/>
  <c r="M170" i="77"/>
  <c r="M176" i="77" s="1"/>
  <c r="L142" i="77"/>
  <c r="L148" i="77" s="1"/>
  <c r="E170" i="77"/>
  <c r="E176" i="77" s="1"/>
  <c r="N142" i="77"/>
  <c r="N148" i="77" s="1"/>
  <c r="L170" i="77"/>
  <c r="L176" i="77" s="1"/>
  <c r="H142" i="77"/>
  <c r="H148" i="77" s="1"/>
  <c r="J142" i="77"/>
  <c r="J148" i="77" s="1"/>
  <c r="P164" i="77"/>
  <c r="P132" i="77"/>
  <c r="P170" i="77" l="1"/>
  <c r="P176" i="77" s="1"/>
  <c r="P142" i="77"/>
  <c r="P148" i="77" s="1"/>
  <c r="A44" i="76" l="1"/>
  <c r="E461" i="74"/>
  <c r="F461" i="74"/>
  <c r="G461" i="74"/>
  <c r="H461" i="74"/>
  <c r="I461" i="74"/>
  <c r="J461" i="74"/>
  <c r="K461" i="74"/>
  <c r="L461" i="74"/>
  <c r="M461" i="74"/>
  <c r="N461" i="74"/>
  <c r="O461" i="74"/>
  <c r="D461" i="74"/>
  <c r="E303" i="74"/>
  <c r="F303" i="74"/>
  <c r="G303" i="74"/>
  <c r="H303" i="74"/>
  <c r="I303" i="74"/>
  <c r="J303" i="74"/>
  <c r="K303" i="74"/>
  <c r="L303" i="74"/>
  <c r="M303" i="74"/>
  <c r="N303" i="74"/>
  <c r="O303" i="74"/>
  <c r="D303" i="74"/>
  <c r="E210" i="74"/>
  <c r="F210" i="74"/>
  <c r="G210" i="74"/>
  <c r="H210" i="74"/>
  <c r="I210" i="74"/>
  <c r="J210" i="74"/>
  <c r="K210" i="74"/>
  <c r="L210" i="74"/>
  <c r="M210" i="74"/>
  <c r="N210" i="74"/>
  <c r="O210" i="74"/>
  <c r="D210" i="74"/>
  <c r="E177" i="74"/>
  <c r="F177" i="74"/>
  <c r="G177" i="74"/>
  <c r="H177" i="74"/>
  <c r="I177" i="74"/>
  <c r="J177" i="74"/>
  <c r="K177" i="74"/>
  <c r="L177" i="74"/>
  <c r="M177" i="74"/>
  <c r="N177" i="74"/>
  <c r="O177" i="74"/>
  <c r="D177" i="74"/>
  <c r="E144" i="74"/>
  <c r="F144" i="74"/>
  <c r="G144" i="74"/>
  <c r="H144" i="74"/>
  <c r="I144" i="74"/>
  <c r="J144" i="74"/>
  <c r="K144" i="74"/>
  <c r="L144" i="74"/>
  <c r="M144" i="74"/>
  <c r="N144" i="74"/>
  <c r="O144" i="74"/>
  <c r="D144" i="74"/>
  <c r="E111" i="74"/>
  <c r="F111" i="74"/>
  <c r="G111" i="74"/>
  <c r="H111" i="74"/>
  <c r="I111" i="74"/>
  <c r="J111" i="74"/>
  <c r="K111" i="74"/>
  <c r="L111" i="74"/>
  <c r="M111" i="74"/>
  <c r="N111" i="74"/>
  <c r="O111" i="74"/>
  <c r="D111" i="74"/>
  <c r="E78" i="74"/>
  <c r="F78" i="74"/>
  <c r="G78" i="74"/>
  <c r="H78" i="74"/>
  <c r="I78" i="74"/>
  <c r="J78" i="74"/>
  <c r="K78" i="74"/>
  <c r="L78" i="74"/>
  <c r="M78" i="74"/>
  <c r="N78" i="74"/>
  <c r="O78" i="74"/>
  <c r="D78" i="74"/>
  <c r="E46" i="74"/>
  <c r="F46" i="74"/>
  <c r="G46" i="74"/>
  <c r="H46" i="74"/>
  <c r="I46" i="74"/>
  <c r="J46" i="74"/>
  <c r="K46" i="74"/>
  <c r="L46" i="74"/>
  <c r="M46" i="74"/>
  <c r="N46" i="74"/>
  <c r="O46" i="74"/>
  <c r="D46" i="74"/>
  <c r="E293" i="70"/>
  <c r="F293" i="70"/>
  <c r="G293" i="70"/>
  <c r="H293" i="70"/>
  <c r="I293" i="70"/>
  <c r="J293" i="70"/>
  <c r="K293" i="70"/>
  <c r="L293" i="70"/>
  <c r="M293" i="70"/>
  <c r="N293" i="70"/>
  <c r="O293" i="70"/>
  <c r="D293" i="70"/>
  <c r="E262" i="70"/>
  <c r="F262" i="70"/>
  <c r="G262" i="70"/>
  <c r="H262" i="70"/>
  <c r="I262" i="70"/>
  <c r="J262" i="70"/>
  <c r="K262" i="70"/>
  <c r="L262" i="70"/>
  <c r="M262" i="70"/>
  <c r="N262" i="70"/>
  <c r="O262" i="70"/>
  <c r="D262" i="70"/>
  <c r="E229" i="70"/>
  <c r="F229" i="70"/>
  <c r="G229" i="70"/>
  <c r="H229" i="70"/>
  <c r="I229" i="70"/>
  <c r="J229" i="70"/>
  <c r="K229" i="70"/>
  <c r="L229" i="70"/>
  <c r="M229" i="70"/>
  <c r="N229" i="70"/>
  <c r="O229" i="70"/>
  <c r="D229" i="70"/>
  <c r="E196" i="70"/>
  <c r="F196" i="70"/>
  <c r="G196" i="70"/>
  <c r="H196" i="70"/>
  <c r="I196" i="70"/>
  <c r="J196" i="70"/>
  <c r="K196" i="70"/>
  <c r="L196" i="70"/>
  <c r="M196" i="70"/>
  <c r="N196" i="70"/>
  <c r="O196" i="70"/>
  <c r="D196" i="70"/>
  <c r="I18" i="76" l="1"/>
  <c r="M116" i="75" l="1"/>
  <c r="L116" i="75"/>
  <c r="K116" i="75"/>
  <c r="J116" i="75"/>
  <c r="I116" i="75"/>
  <c r="H116" i="75"/>
  <c r="F116" i="75"/>
  <c r="E116" i="75"/>
  <c r="D116" i="75"/>
  <c r="M117" i="10"/>
  <c r="L117" i="10"/>
  <c r="K117" i="10"/>
  <c r="I117" i="10"/>
  <c r="H117" i="10"/>
  <c r="G117" i="10"/>
  <c r="F117" i="10"/>
  <c r="E117" i="10"/>
  <c r="D117" i="10"/>
  <c r="M273" i="70"/>
  <c r="L273" i="70"/>
  <c r="J273" i="70"/>
  <c r="I273" i="70"/>
  <c r="H273" i="70"/>
  <c r="G273" i="70"/>
  <c r="E273" i="70"/>
  <c r="D273" i="70"/>
  <c r="I176" i="70"/>
  <c r="O481" i="74"/>
  <c r="O483" i="74" s="1"/>
  <c r="N481" i="74"/>
  <c r="N483" i="74" s="1"/>
  <c r="M481" i="74"/>
  <c r="M483" i="74" s="1"/>
  <c r="L481" i="74"/>
  <c r="L483" i="74" s="1"/>
  <c r="K481" i="74"/>
  <c r="K483" i="74" s="1"/>
  <c r="J481" i="74"/>
  <c r="J483" i="74" s="1"/>
  <c r="I481" i="74"/>
  <c r="I483" i="74" s="1"/>
  <c r="H481" i="74"/>
  <c r="H483" i="74" s="1"/>
  <c r="G481" i="74"/>
  <c r="G483" i="74" s="1"/>
  <c r="F481" i="74"/>
  <c r="F483" i="74" s="1"/>
  <c r="E481" i="74"/>
  <c r="E483" i="74" s="1"/>
  <c r="D481" i="74"/>
  <c r="D483" i="74" s="1"/>
  <c r="B75" i="74"/>
  <c r="O100" i="74"/>
  <c r="N100" i="74"/>
  <c r="M100" i="74"/>
  <c r="L100" i="74"/>
  <c r="K100" i="74"/>
  <c r="J100" i="74"/>
  <c r="I100" i="74"/>
  <c r="H100" i="74"/>
  <c r="G100" i="74"/>
  <c r="F100" i="74"/>
  <c r="E100" i="74"/>
  <c r="D100" i="74"/>
  <c r="P99" i="74"/>
  <c r="P98" i="74"/>
  <c r="B43" i="74"/>
  <c r="O68" i="74"/>
  <c r="N68" i="74"/>
  <c r="M68" i="74"/>
  <c r="L68" i="74"/>
  <c r="K68" i="74"/>
  <c r="J68" i="74"/>
  <c r="I68" i="74"/>
  <c r="H68" i="74"/>
  <c r="G68" i="74"/>
  <c r="F68" i="74"/>
  <c r="E68" i="74"/>
  <c r="D68" i="74"/>
  <c r="P67" i="74"/>
  <c r="P66" i="74"/>
  <c r="Q198" i="76"/>
  <c r="H198" i="76"/>
  <c r="G198" i="76"/>
  <c r="F198" i="76"/>
  <c r="I198" i="76" s="1"/>
  <c r="E198" i="76"/>
  <c r="D198" i="76"/>
  <c r="Q197" i="76"/>
  <c r="N197" i="76"/>
  <c r="H197" i="76"/>
  <c r="G197" i="76"/>
  <c r="E197" i="76"/>
  <c r="E199" i="76" s="1"/>
  <c r="D197" i="76"/>
  <c r="D199" i="76"/>
  <c r="Q193" i="76"/>
  <c r="E193" i="76"/>
  <c r="Q191" i="76"/>
  <c r="G191" i="76"/>
  <c r="Q188" i="76"/>
  <c r="G188" i="76"/>
  <c r="G187" i="76"/>
  <c r="Q184" i="76"/>
  <c r="G184" i="76"/>
  <c r="G181" i="76"/>
  <c r="G179" i="76"/>
  <c r="H67" i="76"/>
  <c r="I67" i="76" s="1"/>
  <c r="I69" i="76" s="1"/>
  <c r="O68" i="76"/>
  <c r="O67" i="76"/>
  <c r="O197" i="76" s="1"/>
  <c r="G199" i="76"/>
  <c r="A142" i="76"/>
  <c r="Q167" i="76"/>
  <c r="P167" i="76"/>
  <c r="O167" i="76"/>
  <c r="N167" i="76"/>
  <c r="L167" i="76"/>
  <c r="K167" i="76"/>
  <c r="H167" i="76"/>
  <c r="H169" i="76" s="1"/>
  <c r="G167" i="76"/>
  <c r="F167" i="76"/>
  <c r="E167" i="76"/>
  <c r="D167" i="76"/>
  <c r="I167" i="76" s="1"/>
  <c r="S166" i="76"/>
  <c r="U166" i="76"/>
  <c r="I166" i="76"/>
  <c r="S165" i="76"/>
  <c r="U165" i="76" s="1"/>
  <c r="I165" i="76"/>
  <c r="S161" i="76"/>
  <c r="U161" i="76" s="1"/>
  <c r="I161" i="76"/>
  <c r="S159" i="76"/>
  <c r="I159" i="76"/>
  <c r="P157" i="76"/>
  <c r="O157" i="76"/>
  <c r="O163" i="76" s="1"/>
  <c r="N157" i="76"/>
  <c r="L157" i="76"/>
  <c r="K157" i="76"/>
  <c r="G157" i="76"/>
  <c r="S156" i="76"/>
  <c r="H157" i="76"/>
  <c r="Q153" i="76"/>
  <c r="P153" i="76"/>
  <c r="P163" i="76" s="1"/>
  <c r="P169" i="76" s="1"/>
  <c r="O153" i="76"/>
  <c r="N153" i="76"/>
  <c r="L153" i="76"/>
  <c r="S153" i="76" s="1"/>
  <c r="K153" i="76"/>
  <c r="D153" i="76"/>
  <c r="S152" i="76"/>
  <c r="H153" i="76"/>
  <c r="I152" i="76"/>
  <c r="U152" i="76"/>
  <c r="S151" i="76"/>
  <c r="F153" i="76"/>
  <c r="E153" i="76"/>
  <c r="S149" i="76"/>
  <c r="U149" i="76" s="1"/>
  <c r="I149" i="76"/>
  <c r="S147" i="76"/>
  <c r="I147" i="76"/>
  <c r="U147" i="76" s="1"/>
  <c r="P366" i="74"/>
  <c r="O366" i="74"/>
  <c r="N366" i="74"/>
  <c r="M366" i="74"/>
  <c r="L366" i="74"/>
  <c r="K366" i="74"/>
  <c r="J366" i="74"/>
  <c r="I366" i="74"/>
  <c r="H366" i="74"/>
  <c r="G366" i="74"/>
  <c r="F366" i="74"/>
  <c r="E366" i="74"/>
  <c r="D366" i="74"/>
  <c r="B361" i="74"/>
  <c r="F197" i="76"/>
  <c r="O427" i="74"/>
  <c r="N427" i="74"/>
  <c r="M427" i="74"/>
  <c r="L427" i="74"/>
  <c r="K427" i="74"/>
  <c r="J427" i="74"/>
  <c r="I427" i="74"/>
  <c r="H427" i="74"/>
  <c r="G427" i="74"/>
  <c r="F427" i="74"/>
  <c r="E427" i="74"/>
  <c r="D427" i="74"/>
  <c r="B422" i="74"/>
  <c r="B424" i="74"/>
  <c r="O449" i="74"/>
  <c r="N449" i="74"/>
  <c r="M449" i="74"/>
  <c r="L449" i="74"/>
  <c r="K449" i="74"/>
  <c r="J449" i="74"/>
  <c r="I449" i="74"/>
  <c r="H449" i="74"/>
  <c r="G449" i="74"/>
  <c r="F449" i="74"/>
  <c r="E449" i="74"/>
  <c r="D449" i="74"/>
  <c r="P448" i="74"/>
  <c r="P447" i="74"/>
  <c r="P443" i="74"/>
  <c r="P441" i="74"/>
  <c r="O439" i="74"/>
  <c r="N439" i="74"/>
  <c r="L435" i="74"/>
  <c r="H435" i="74"/>
  <c r="O435" i="74"/>
  <c r="N435" i="74"/>
  <c r="K435" i="74"/>
  <c r="J435" i="74"/>
  <c r="G435" i="74"/>
  <c r="F435" i="74"/>
  <c r="P482" i="74"/>
  <c r="P102" i="76"/>
  <c r="P104" i="76" s="1"/>
  <c r="O102" i="76"/>
  <c r="N102" i="76"/>
  <c r="L102" i="76"/>
  <c r="K102" i="76"/>
  <c r="K104" i="76" s="1"/>
  <c r="P92" i="76"/>
  <c r="O92" i="76"/>
  <c r="N92" i="76"/>
  <c r="N98" i="76" s="1"/>
  <c r="N104" i="76" s="1"/>
  <c r="L92" i="76"/>
  <c r="K92" i="76"/>
  <c r="P88" i="76"/>
  <c r="P98" i="76" s="1"/>
  <c r="O88" i="76"/>
  <c r="O98" i="76"/>
  <c r="O104" i="76" s="1"/>
  <c r="N88" i="76"/>
  <c r="L88" i="76"/>
  <c r="K88" i="76"/>
  <c r="K98" i="76" s="1"/>
  <c r="G92" i="76"/>
  <c r="G88" i="76"/>
  <c r="Q134" i="76"/>
  <c r="P134" i="76"/>
  <c r="Q124" i="76"/>
  <c r="Q130" i="76" s="1"/>
  <c r="Q136" i="76" s="1"/>
  <c r="P124" i="76"/>
  <c r="P130" i="76"/>
  <c r="P136" i="76" s="1"/>
  <c r="Q120" i="76"/>
  <c r="P120" i="76"/>
  <c r="O134" i="76"/>
  <c r="N134" i="76"/>
  <c r="L134" i="76"/>
  <c r="K134" i="76"/>
  <c r="O124" i="76"/>
  <c r="O130" i="76" s="1"/>
  <c r="N124" i="76"/>
  <c r="L124" i="76"/>
  <c r="S124" i="76" s="1"/>
  <c r="U124" i="76" s="1"/>
  <c r="K124" i="76"/>
  <c r="K130" i="76" s="1"/>
  <c r="O120" i="76"/>
  <c r="N120" i="76"/>
  <c r="N130" i="76" s="1"/>
  <c r="N136" i="76" s="1"/>
  <c r="L120" i="76"/>
  <c r="K120" i="76"/>
  <c r="S120" i="76" s="1"/>
  <c r="I133" i="76"/>
  <c r="I132" i="76"/>
  <c r="I128" i="76"/>
  <c r="I126" i="76"/>
  <c r="I123" i="76"/>
  <c r="I122" i="76"/>
  <c r="H124" i="76"/>
  <c r="H130" i="76" s="1"/>
  <c r="H136" i="76" s="1"/>
  <c r="G124" i="76"/>
  <c r="F124" i="76"/>
  <c r="E124" i="76"/>
  <c r="D124" i="76"/>
  <c r="D130" i="76" s="1"/>
  <c r="D136" i="76" s="1"/>
  <c r="G120" i="76"/>
  <c r="G130" i="76" s="1"/>
  <c r="G136" i="76" s="1"/>
  <c r="E120" i="76"/>
  <c r="D120" i="76"/>
  <c r="G69" i="76"/>
  <c r="F69" i="76"/>
  <c r="E69" i="76"/>
  <c r="D69" i="76"/>
  <c r="G59" i="76"/>
  <c r="E59" i="76"/>
  <c r="E65" i="76" s="1"/>
  <c r="D59" i="76"/>
  <c r="G55" i="76"/>
  <c r="E55" i="76"/>
  <c r="D55" i="76"/>
  <c r="G102" i="76"/>
  <c r="G134" i="76"/>
  <c r="G35" i="76"/>
  <c r="S133" i="76"/>
  <c r="S132" i="76"/>
  <c r="U132" i="76"/>
  <c r="S128" i="76"/>
  <c r="U128" i="76" s="1"/>
  <c r="S126" i="76"/>
  <c r="U126" i="76" s="1"/>
  <c r="S123" i="76"/>
  <c r="U123" i="76" s="1"/>
  <c r="S122" i="76"/>
  <c r="U122" i="76" s="1"/>
  <c r="S119" i="76"/>
  <c r="S118" i="76"/>
  <c r="S116" i="76"/>
  <c r="S114" i="76"/>
  <c r="S101" i="76"/>
  <c r="S100" i="76"/>
  <c r="U100" i="76" s="1"/>
  <c r="S96" i="76"/>
  <c r="S94" i="76"/>
  <c r="S91" i="76"/>
  <c r="S87" i="76"/>
  <c r="I101" i="76"/>
  <c r="I100" i="76"/>
  <c r="A174" i="76"/>
  <c r="H134" i="76"/>
  <c r="F134" i="76"/>
  <c r="E134" i="76"/>
  <c r="E136" i="76" s="1"/>
  <c r="D134" i="76"/>
  <c r="A109" i="76"/>
  <c r="H102" i="76"/>
  <c r="F102" i="76"/>
  <c r="E102" i="76"/>
  <c r="I102" i="76" s="1"/>
  <c r="D102" i="76"/>
  <c r="A77" i="76"/>
  <c r="H35" i="76"/>
  <c r="D35" i="76"/>
  <c r="E34" i="65"/>
  <c r="E33" i="65"/>
  <c r="M222" i="74"/>
  <c r="D156" i="74"/>
  <c r="D152" i="74"/>
  <c r="K176" i="70"/>
  <c r="E176" i="70"/>
  <c r="D176" i="70"/>
  <c r="N175" i="70"/>
  <c r="M175" i="70"/>
  <c r="L175" i="70"/>
  <c r="J175" i="70"/>
  <c r="F175" i="70"/>
  <c r="O127" i="74"/>
  <c r="N127" i="74"/>
  <c r="M127" i="74"/>
  <c r="L127" i="74"/>
  <c r="K127" i="74"/>
  <c r="J127" i="74"/>
  <c r="I127" i="74"/>
  <c r="H127" i="74"/>
  <c r="G127" i="74"/>
  <c r="F127" i="74"/>
  <c r="E127" i="74"/>
  <c r="D127" i="74"/>
  <c r="L189" i="74"/>
  <c r="O189" i="74"/>
  <c r="N189" i="74"/>
  <c r="M189" i="74"/>
  <c r="K189" i="74"/>
  <c r="J189" i="74"/>
  <c r="I189" i="74"/>
  <c r="H189" i="74"/>
  <c r="G189" i="74"/>
  <c r="F189" i="74"/>
  <c r="E189" i="74"/>
  <c r="L185" i="74"/>
  <c r="M185" i="74"/>
  <c r="I185" i="74"/>
  <c r="H185" i="74"/>
  <c r="E185" i="74"/>
  <c r="D185" i="74"/>
  <c r="D189" i="74"/>
  <c r="D34" i="65"/>
  <c r="D33" i="65"/>
  <c r="P156" i="75"/>
  <c r="O129" i="44"/>
  <c r="O131" i="44" s="1"/>
  <c r="E35" i="65" s="1"/>
  <c r="O155" i="75"/>
  <c r="O157" i="75" s="1"/>
  <c r="N129" i="44"/>
  <c r="N131" i="44" s="1"/>
  <c r="M129" i="44"/>
  <c r="M131" i="44" s="1"/>
  <c r="K66" i="44"/>
  <c r="H66" i="44"/>
  <c r="F185" i="74"/>
  <c r="J185" i="74"/>
  <c r="N185" i="74"/>
  <c r="G185" i="74"/>
  <c r="K185" i="74"/>
  <c r="O185" i="74"/>
  <c r="I94" i="10"/>
  <c r="I96" i="10" s="1"/>
  <c r="D96" i="75"/>
  <c r="P407" i="74"/>
  <c r="D408" i="74"/>
  <c r="O217" i="70"/>
  <c r="N217" i="70"/>
  <c r="M217" i="70"/>
  <c r="L217" i="70"/>
  <c r="K217" i="70"/>
  <c r="J217" i="70"/>
  <c r="I217" i="70"/>
  <c r="H217" i="70"/>
  <c r="G217" i="70"/>
  <c r="F217" i="70"/>
  <c r="E217" i="70"/>
  <c r="O216" i="70"/>
  <c r="N216" i="70"/>
  <c r="M216" i="70"/>
  <c r="L216" i="70"/>
  <c r="K216" i="70"/>
  <c r="J216" i="70"/>
  <c r="I216" i="70"/>
  <c r="H216" i="70"/>
  <c r="G216" i="70"/>
  <c r="F216" i="70"/>
  <c r="E216" i="70"/>
  <c r="D217" i="70"/>
  <c r="D216" i="70"/>
  <c r="O212" i="70"/>
  <c r="N212" i="70"/>
  <c r="M212" i="70"/>
  <c r="L212" i="70"/>
  <c r="K212" i="70"/>
  <c r="J212" i="70"/>
  <c r="I212" i="70"/>
  <c r="H212" i="70"/>
  <c r="G212" i="70"/>
  <c r="F212" i="70"/>
  <c r="E212" i="70"/>
  <c r="D212" i="70"/>
  <c r="O210" i="70"/>
  <c r="N210" i="70"/>
  <c r="M210" i="70"/>
  <c r="L210" i="70"/>
  <c r="K210" i="70"/>
  <c r="J210" i="70"/>
  <c r="I210" i="70"/>
  <c r="H210" i="70"/>
  <c r="G210" i="70"/>
  <c r="F210" i="70"/>
  <c r="E210" i="70"/>
  <c r="D210" i="70"/>
  <c r="O207" i="70"/>
  <c r="N207" i="70"/>
  <c r="M207" i="70"/>
  <c r="L207" i="70"/>
  <c r="K207" i="70"/>
  <c r="J207" i="70"/>
  <c r="I207" i="70"/>
  <c r="H207" i="70"/>
  <c r="G207" i="70"/>
  <c r="F207" i="70"/>
  <c r="E207" i="70"/>
  <c r="D207" i="70"/>
  <c r="P106" i="70"/>
  <c r="I15" i="65" s="1"/>
  <c r="P108" i="70"/>
  <c r="I17" i="65" s="1"/>
  <c r="P110" i="70"/>
  <c r="I19" i="65" s="1"/>
  <c r="I21" i="65" s="1"/>
  <c r="P111" i="70"/>
  <c r="I20" i="65" s="1"/>
  <c r="P114" i="70"/>
  <c r="I23" i="65" s="1"/>
  <c r="P53" i="70"/>
  <c r="P56" i="70"/>
  <c r="G27" i="65" s="1"/>
  <c r="P118" i="70"/>
  <c r="I27" i="65" s="1"/>
  <c r="P58" i="70"/>
  <c r="G29" i="65" s="1"/>
  <c r="P120" i="70"/>
  <c r="I29" i="65" s="1"/>
  <c r="P32" i="70"/>
  <c r="F32" i="73" s="1"/>
  <c r="P62" i="70"/>
  <c r="G33" i="65" s="1"/>
  <c r="P124" i="70"/>
  <c r="P33" i="70"/>
  <c r="F33" i="73" s="1"/>
  <c r="P63" i="70"/>
  <c r="P93" i="70"/>
  <c r="H34" i="65" s="1"/>
  <c r="P125" i="70"/>
  <c r="I34" i="65" s="1"/>
  <c r="D34" i="70"/>
  <c r="E34" i="70"/>
  <c r="F34" i="70"/>
  <c r="G34" i="70"/>
  <c r="H34" i="70"/>
  <c r="I34" i="70"/>
  <c r="J34" i="70"/>
  <c r="K34" i="70"/>
  <c r="L34" i="70"/>
  <c r="M34" i="70"/>
  <c r="N34" i="70"/>
  <c r="O34" i="70"/>
  <c r="B37" i="70"/>
  <c r="B39" i="70"/>
  <c r="D42" i="70"/>
  <c r="D104" i="70" s="1"/>
  <c r="E42" i="70"/>
  <c r="E104" i="70" s="1"/>
  <c r="F42" i="70"/>
  <c r="F104" i="70" s="1"/>
  <c r="G42" i="70"/>
  <c r="G104" i="70" s="1"/>
  <c r="H42" i="70"/>
  <c r="H104" i="70" s="1"/>
  <c r="I42" i="70"/>
  <c r="I104" i="70" s="1"/>
  <c r="J42" i="70"/>
  <c r="J104" i="70" s="1"/>
  <c r="K42" i="70"/>
  <c r="K104" i="70" s="1"/>
  <c r="L42" i="70"/>
  <c r="L104" i="70" s="1"/>
  <c r="M42" i="70"/>
  <c r="M104" i="70" s="1"/>
  <c r="N42" i="70"/>
  <c r="N104" i="70" s="1"/>
  <c r="O42" i="70"/>
  <c r="O104" i="70" s="1"/>
  <c r="P42" i="70"/>
  <c r="P104" i="70" s="1"/>
  <c r="D64" i="70"/>
  <c r="E64" i="70"/>
  <c r="F64" i="70"/>
  <c r="G64" i="70"/>
  <c r="H64" i="70"/>
  <c r="I64" i="70"/>
  <c r="J64" i="70"/>
  <c r="K64" i="70"/>
  <c r="L64" i="70"/>
  <c r="M64" i="70"/>
  <c r="N64" i="70"/>
  <c r="O64" i="70"/>
  <c r="B67" i="70"/>
  <c r="D72" i="70"/>
  <c r="E72" i="70"/>
  <c r="F72" i="70"/>
  <c r="G72" i="70"/>
  <c r="H72" i="70"/>
  <c r="I72" i="70"/>
  <c r="J72" i="70"/>
  <c r="K72" i="70"/>
  <c r="L72" i="70"/>
  <c r="M72" i="70"/>
  <c r="N72" i="70"/>
  <c r="O72" i="70"/>
  <c r="P72" i="70"/>
  <c r="B104" i="70"/>
  <c r="C104" i="70"/>
  <c r="D122" i="70"/>
  <c r="E122" i="70"/>
  <c r="F122" i="70"/>
  <c r="G122" i="70"/>
  <c r="H122" i="70"/>
  <c r="I122" i="70"/>
  <c r="J122" i="70"/>
  <c r="K122" i="70"/>
  <c r="L122" i="70"/>
  <c r="M122" i="70"/>
  <c r="N122" i="70"/>
  <c r="O122" i="70"/>
  <c r="D126" i="70"/>
  <c r="D128" i="70" s="1"/>
  <c r="E126" i="70"/>
  <c r="E128" i="70" s="1"/>
  <c r="F126" i="70"/>
  <c r="G126" i="70"/>
  <c r="G128" i="70" s="1"/>
  <c r="H126" i="70"/>
  <c r="H128" i="70" s="1"/>
  <c r="I126" i="70"/>
  <c r="I128" i="70" s="1"/>
  <c r="J126" i="70"/>
  <c r="J128" i="70" s="1"/>
  <c r="K126" i="70"/>
  <c r="K128" i="70" s="1"/>
  <c r="L126" i="70"/>
  <c r="M126" i="70"/>
  <c r="M128" i="70" s="1"/>
  <c r="N126" i="70"/>
  <c r="O126" i="70"/>
  <c r="O128" i="70" s="1"/>
  <c r="B129" i="70"/>
  <c r="B131" i="70"/>
  <c r="D134" i="70"/>
  <c r="E134" i="70"/>
  <c r="F134" i="70"/>
  <c r="G134" i="70"/>
  <c r="H134" i="70"/>
  <c r="I134" i="70"/>
  <c r="J134" i="70"/>
  <c r="K134" i="70"/>
  <c r="L134" i="70"/>
  <c r="M134" i="70"/>
  <c r="N134" i="70"/>
  <c r="O134" i="70"/>
  <c r="P155" i="70"/>
  <c r="B160" i="70"/>
  <c r="B162" i="70"/>
  <c r="D165" i="70"/>
  <c r="E165" i="70"/>
  <c r="F165" i="70"/>
  <c r="G165" i="70"/>
  <c r="H165" i="70"/>
  <c r="I165" i="70"/>
  <c r="J165" i="70"/>
  <c r="K165" i="70"/>
  <c r="L165" i="70"/>
  <c r="M165" i="70"/>
  <c r="N165" i="70"/>
  <c r="D185" i="70"/>
  <c r="E185" i="70"/>
  <c r="F185" i="70"/>
  <c r="G185" i="70"/>
  <c r="H185" i="70"/>
  <c r="I185" i="70"/>
  <c r="J185" i="70"/>
  <c r="K185" i="70"/>
  <c r="L185" i="70"/>
  <c r="M185" i="70"/>
  <c r="N185" i="70"/>
  <c r="O185" i="70"/>
  <c r="D186" i="70"/>
  <c r="E186" i="70"/>
  <c r="F186" i="70"/>
  <c r="G186" i="70"/>
  <c r="G187" i="70" s="1"/>
  <c r="H186" i="70"/>
  <c r="H187" i="70" s="1"/>
  <c r="I186" i="70"/>
  <c r="J186" i="70"/>
  <c r="K186" i="70"/>
  <c r="L186" i="70"/>
  <c r="M186" i="70"/>
  <c r="N186" i="70"/>
  <c r="O186" i="70"/>
  <c r="B191" i="70"/>
  <c r="B193" i="70"/>
  <c r="B224" i="70"/>
  <c r="B226" i="70"/>
  <c r="D250" i="70"/>
  <c r="E250" i="70"/>
  <c r="F250" i="70"/>
  <c r="G250" i="70"/>
  <c r="H250" i="70"/>
  <c r="I250" i="70"/>
  <c r="J250" i="70"/>
  <c r="K250" i="70"/>
  <c r="L250" i="70"/>
  <c r="M250" i="70"/>
  <c r="N250" i="70"/>
  <c r="O250" i="70"/>
  <c r="B257" i="70"/>
  <c r="B259" i="70"/>
  <c r="D264" i="70"/>
  <c r="E264" i="70"/>
  <c r="F264" i="70"/>
  <c r="G264" i="70"/>
  <c r="H264" i="70"/>
  <c r="I264" i="70"/>
  <c r="J264" i="70"/>
  <c r="K264" i="70"/>
  <c r="L264" i="70"/>
  <c r="M264" i="70"/>
  <c r="N264" i="70"/>
  <c r="O264" i="70"/>
  <c r="D266" i="70"/>
  <c r="E266" i="70"/>
  <c r="F266" i="70"/>
  <c r="G266" i="70"/>
  <c r="H266" i="70"/>
  <c r="I266" i="70"/>
  <c r="J266" i="70"/>
  <c r="K266" i="70"/>
  <c r="L266" i="70"/>
  <c r="M266" i="70"/>
  <c r="N266" i="70"/>
  <c r="O266" i="70"/>
  <c r="D268" i="70"/>
  <c r="D270" i="70" s="1"/>
  <c r="E268" i="70"/>
  <c r="F268" i="70"/>
  <c r="G268" i="70"/>
  <c r="H268" i="70"/>
  <c r="I268" i="70"/>
  <c r="J268" i="70"/>
  <c r="K268" i="70"/>
  <c r="L268" i="70"/>
  <c r="M268" i="70"/>
  <c r="N268" i="70"/>
  <c r="O268" i="70"/>
  <c r="E269" i="70"/>
  <c r="F269" i="70"/>
  <c r="G269" i="70"/>
  <c r="H269" i="70"/>
  <c r="I269" i="70"/>
  <c r="J269" i="70"/>
  <c r="K269" i="70"/>
  <c r="L269" i="70"/>
  <c r="M269" i="70"/>
  <c r="N269" i="70"/>
  <c r="O269" i="70"/>
  <c r="D272" i="70"/>
  <c r="E272" i="70"/>
  <c r="F272" i="70"/>
  <c r="G272" i="70"/>
  <c r="H272" i="70"/>
  <c r="I272" i="70"/>
  <c r="J272" i="70"/>
  <c r="K272" i="70"/>
  <c r="L272" i="70"/>
  <c r="M272" i="70"/>
  <c r="N272" i="70"/>
  <c r="O272" i="70"/>
  <c r="K273" i="70"/>
  <c r="N273" i="70"/>
  <c r="O273" i="70"/>
  <c r="D276" i="70"/>
  <c r="E276" i="70"/>
  <c r="F276" i="70"/>
  <c r="G276" i="70"/>
  <c r="H276" i="70"/>
  <c r="I276" i="70"/>
  <c r="J276" i="70"/>
  <c r="K276" i="70"/>
  <c r="L276" i="70"/>
  <c r="M276" i="70"/>
  <c r="N276" i="70"/>
  <c r="O276" i="70"/>
  <c r="D278" i="70"/>
  <c r="E278" i="70"/>
  <c r="F278" i="70"/>
  <c r="G278" i="70"/>
  <c r="H278" i="70"/>
  <c r="I278" i="70"/>
  <c r="J278" i="70"/>
  <c r="K278" i="70"/>
  <c r="L278" i="70"/>
  <c r="M278" i="70"/>
  <c r="N278" i="70"/>
  <c r="O278" i="70"/>
  <c r="D282" i="70"/>
  <c r="E282" i="70"/>
  <c r="F282" i="70"/>
  <c r="G282" i="70"/>
  <c r="H282" i="70"/>
  <c r="I282" i="70"/>
  <c r="J282" i="70"/>
  <c r="K282" i="70"/>
  <c r="L282" i="70"/>
  <c r="M282" i="70"/>
  <c r="N282" i="70"/>
  <c r="O282" i="70"/>
  <c r="D283" i="70"/>
  <c r="E283" i="70"/>
  <c r="F283" i="70"/>
  <c r="G283" i="70"/>
  <c r="H283" i="70"/>
  <c r="I283" i="70"/>
  <c r="J283" i="70"/>
  <c r="K283" i="70"/>
  <c r="L283" i="70"/>
  <c r="M283" i="70"/>
  <c r="N283" i="70"/>
  <c r="O283" i="70"/>
  <c r="B288" i="70"/>
  <c r="B290" i="70"/>
  <c r="P314" i="70"/>
  <c r="B8" i="10"/>
  <c r="B39" i="10" s="1"/>
  <c r="B10" i="10"/>
  <c r="B41" i="10" s="1"/>
  <c r="D74" i="10"/>
  <c r="E74" i="10"/>
  <c r="F105" i="10"/>
  <c r="G74" i="10"/>
  <c r="H74" i="10"/>
  <c r="I74" i="10"/>
  <c r="J136" i="10"/>
  <c r="K74" i="10"/>
  <c r="L74" i="10"/>
  <c r="M74" i="10"/>
  <c r="N74" i="10"/>
  <c r="O74" i="10"/>
  <c r="P15" i="10"/>
  <c r="P17" i="10"/>
  <c r="P29" i="10"/>
  <c r="P33" i="10"/>
  <c r="P34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44" i="10"/>
  <c r="P46" i="10"/>
  <c r="P48" i="10"/>
  <c r="P58" i="10"/>
  <c r="P60" i="10"/>
  <c r="P64" i="10"/>
  <c r="P65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95" i="10"/>
  <c r="P107" i="10"/>
  <c r="P109" i="10"/>
  <c r="P111" i="10"/>
  <c r="P112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5" i="10"/>
  <c r="J117" i="10"/>
  <c r="N117" i="10"/>
  <c r="O117" i="10"/>
  <c r="P119" i="10"/>
  <c r="P121" i="10"/>
  <c r="P125" i="10"/>
  <c r="P126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B8" i="75"/>
  <c r="B10" i="75"/>
  <c r="B41" i="75" s="1"/>
  <c r="D74" i="75"/>
  <c r="E74" i="75"/>
  <c r="F74" i="75"/>
  <c r="G74" i="75"/>
  <c r="H74" i="75"/>
  <c r="I74" i="75"/>
  <c r="J74" i="75"/>
  <c r="K135" i="75"/>
  <c r="L104" i="75"/>
  <c r="N74" i="75"/>
  <c r="O74" i="75"/>
  <c r="P29" i="75"/>
  <c r="P33" i="75"/>
  <c r="P34" i="75"/>
  <c r="P35" i="75" s="1"/>
  <c r="D35" i="75"/>
  <c r="E35" i="75"/>
  <c r="F35" i="75"/>
  <c r="G35" i="75"/>
  <c r="H35" i="75"/>
  <c r="I35" i="75"/>
  <c r="J35" i="75"/>
  <c r="K35" i="75"/>
  <c r="L35" i="75"/>
  <c r="M35" i="75"/>
  <c r="N35" i="75"/>
  <c r="O35" i="75"/>
  <c r="P44" i="75"/>
  <c r="P58" i="75"/>
  <c r="P60" i="75"/>
  <c r="P64" i="75"/>
  <c r="P65" i="75"/>
  <c r="D66" i="75"/>
  <c r="E66" i="75"/>
  <c r="F66" i="75"/>
  <c r="G66" i="75"/>
  <c r="H66" i="75"/>
  <c r="I66" i="75"/>
  <c r="J66" i="75"/>
  <c r="K66" i="75"/>
  <c r="L66" i="75"/>
  <c r="M66" i="75"/>
  <c r="N66" i="75"/>
  <c r="O66" i="75"/>
  <c r="P95" i="75"/>
  <c r="P106" i="75"/>
  <c r="P108" i="75"/>
  <c r="P110" i="75"/>
  <c r="P111" i="75"/>
  <c r="D112" i="75"/>
  <c r="E112" i="75"/>
  <c r="F112" i="75"/>
  <c r="G112" i="75"/>
  <c r="H112" i="75"/>
  <c r="I112" i="75"/>
  <c r="J112" i="75"/>
  <c r="K112" i="75"/>
  <c r="L112" i="75"/>
  <c r="M112" i="75"/>
  <c r="N112" i="75"/>
  <c r="O112" i="75"/>
  <c r="P114" i="75"/>
  <c r="G116" i="75"/>
  <c r="N116" i="75"/>
  <c r="O116" i="75"/>
  <c r="O122" i="75" s="1"/>
  <c r="P118" i="75"/>
  <c r="P120" i="75"/>
  <c r="P124" i="75"/>
  <c r="P125" i="75"/>
  <c r="D126" i="75"/>
  <c r="E126" i="75"/>
  <c r="F126" i="75"/>
  <c r="G126" i="75"/>
  <c r="H126" i="75"/>
  <c r="I126" i="75"/>
  <c r="J126" i="75"/>
  <c r="K126" i="75"/>
  <c r="L126" i="75"/>
  <c r="M126" i="75"/>
  <c r="N126" i="75"/>
  <c r="O126" i="75"/>
  <c r="O128" i="75" s="1"/>
  <c r="B7" i="44"/>
  <c r="B138" i="44" s="1"/>
  <c r="B9" i="44"/>
  <c r="B41" i="44" s="1"/>
  <c r="B74" i="44" s="1"/>
  <c r="D11" i="44"/>
  <c r="D142" i="44" s="1"/>
  <c r="G11" i="44"/>
  <c r="G142" i="44" s="1"/>
  <c r="D12" i="44"/>
  <c r="D109" i="44" s="1"/>
  <c r="E12" i="44"/>
  <c r="E109" i="44" s="1"/>
  <c r="F12" i="44"/>
  <c r="F44" i="44" s="1"/>
  <c r="F77" i="44" s="1"/>
  <c r="G12" i="44"/>
  <c r="G44" i="44" s="1"/>
  <c r="G77" i="44" s="1"/>
  <c r="H12" i="44"/>
  <c r="H143" i="44" s="1"/>
  <c r="I12" i="44"/>
  <c r="I109" i="44" s="1"/>
  <c r="J12" i="44"/>
  <c r="J44" i="44" s="1"/>
  <c r="J77" i="44" s="1"/>
  <c r="K12" i="44"/>
  <c r="K109" i="44" s="1"/>
  <c r="L12" i="44"/>
  <c r="L109" i="44" s="1"/>
  <c r="M12" i="44"/>
  <c r="M44" i="44" s="1"/>
  <c r="M77" i="44" s="1"/>
  <c r="N12" i="44"/>
  <c r="N143" i="44" s="1"/>
  <c r="O12" i="44"/>
  <c r="O44" i="44" s="1"/>
  <c r="O77" i="44" s="1"/>
  <c r="P79" i="44"/>
  <c r="Q79" i="44" s="1"/>
  <c r="P81" i="44"/>
  <c r="Q81" i="44" s="1"/>
  <c r="P83" i="44"/>
  <c r="Q83" i="44" s="1"/>
  <c r="P84" i="44"/>
  <c r="Q84" i="44" s="1"/>
  <c r="D85" i="44"/>
  <c r="E85" i="44"/>
  <c r="F85" i="44"/>
  <c r="G85" i="44"/>
  <c r="H85" i="44"/>
  <c r="I85" i="44"/>
  <c r="J85" i="44"/>
  <c r="K85" i="44"/>
  <c r="L85" i="44"/>
  <c r="M85" i="44"/>
  <c r="N85" i="44"/>
  <c r="O85" i="44"/>
  <c r="O95" i="44" s="1"/>
  <c r="P87" i="44"/>
  <c r="Q87" i="44" s="1"/>
  <c r="P88" i="44"/>
  <c r="Q88" i="44" s="1"/>
  <c r="D89" i="44"/>
  <c r="E89" i="44"/>
  <c r="F89" i="44"/>
  <c r="G89" i="44"/>
  <c r="H89" i="44"/>
  <c r="I89" i="44"/>
  <c r="J89" i="44"/>
  <c r="K89" i="44"/>
  <c r="L89" i="44"/>
  <c r="M89" i="44"/>
  <c r="N89" i="44"/>
  <c r="P91" i="44"/>
  <c r="Q91" i="44" s="1"/>
  <c r="Q93" i="44"/>
  <c r="P97" i="44"/>
  <c r="Q97" i="44" s="1"/>
  <c r="P98" i="44"/>
  <c r="Q98" i="44" s="1"/>
  <c r="D99" i="44"/>
  <c r="E99" i="44"/>
  <c r="F99" i="44"/>
  <c r="G99" i="44"/>
  <c r="H99" i="44"/>
  <c r="I99" i="44"/>
  <c r="J99" i="44"/>
  <c r="K99" i="44"/>
  <c r="L99" i="44"/>
  <c r="M99" i="44"/>
  <c r="N99" i="44"/>
  <c r="O99" i="44"/>
  <c r="P109" i="44"/>
  <c r="P130" i="44"/>
  <c r="Q130" i="44" s="1"/>
  <c r="P181" i="74"/>
  <c r="N51" i="76" s="1"/>
  <c r="P179" i="74"/>
  <c r="N49" i="76" s="1"/>
  <c r="N179" i="76" s="1"/>
  <c r="P33" i="74"/>
  <c r="P34" i="74"/>
  <c r="D35" i="74"/>
  <c r="E35" i="74"/>
  <c r="F35" i="74"/>
  <c r="G35" i="74"/>
  <c r="H35" i="74"/>
  <c r="I35" i="74"/>
  <c r="J35" i="74"/>
  <c r="K35" i="74"/>
  <c r="L35" i="74"/>
  <c r="M35" i="74"/>
  <c r="N35" i="74"/>
  <c r="O35" i="74"/>
  <c r="B108" i="74"/>
  <c r="P131" i="74"/>
  <c r="P132" i="74"/>
  <c r="K68" i="76"/>
  <c r="K198" i="76" s="1"/>
  <c r="D133" i="74"/>
  <c r="E133" i="74"/>
  <c r="F133" i="74"/>
  <c r="G133" i="74"/>
  <c r="H133" i="74"/>
  <c r="I133" i="74"/>
  <c r="J133" i="74"/>
  <c r="K133" i="74"/>
  <c r="L133" i="74"/>
  <c r="M133" i="74"/>
  <c r="N133" i="74"/>
  <c r="O133" i="74"/>
  <c r="B141" i="74"/>
  <c r="P164" i="74"/>
  <c r="P165" i="74"/>
  <c r="L68" i="76"/>
  <c r="L198" i="76" s="1"/>
  <c r="D166" i="74"/>
  <c r="E166" i="74"/>
  <c r="F166" i="74"/>
  <c r="G166" i="74"/>
  <c r="H166" i="74"/>
  <c r="I166" i="74"/>
  <c r="J166" i="74"/>
  <c r="K166" i="74"/>
  <c r="L166" i="74"/>
  <c r="M166" i="74"/>
  <c r="N166" i="74"/>
  <c r="O166" i="74"/>
  <c r="B174" i="74"/>
  <c r="P184" i="74"/>
  <c r="N54" i="76"/>
  <c r="N184" i="76" s="1"/>
  <c r="P187" i="74"/>
  <c r="N57" i="76" s="1"/>
  <c r="N187" i="76" s="1"/>
  <c r="P188" i="74"/>
  <c r="N58" i="76"/>
  <c r="N188" i="76" s="1"/>
  <c r="P197" i="74"/>
  <c r="P198" i="74"/>
  <c r="D199" i="74"/>
  <c r="E199" i="74"/>
  <c r="F199" i="74"/>
  <c r="G199" i="74"/>
  <c r="H199" i="74"/>
  <c r="I199" i="74"/>
  <c r="J199" i="74"/>
  <c r="K199" i="74"/>
  <c r="L199" i="74"/>
  <c r="M199" i="74"/>
  <c r="N199" i="74"/>
  <c r="O199" i="74"/>
  <c r="B207" i="74"/>
  <c r="P224" i="74"/>
  <c r="P27" i="76" s="1"/>
  <c r="P61" i="76" s="1"/>
  <c r="P191" i="76" s="1"/>
  <c r="P230" i="74"/>
  <c r="P231" i="74"/>
  <c r="P68" i="76"/>
  <c r="P198" i="76" s="1"/>
  <c r="D232" i="74"/>
  <c r="E232" i="74"/>
  <c r="F232" i="74"/>
  <c r="G232" i="74"/>
  <c r="H232" i="74"/>
  <c r="I232" i="74"/>
  <c r="J232" i="74"/>
  <c r="K232" i="74"/>
  <c r="L232" i="74"/>
  <c r="M232" i="74"/>
  <c r="N232" i="74"/>
  <c r="O232" i="74"/>
  <c r="B300" i="74"/>
  <c r="P323" i="74"/>
  <c r="P324" i="74"/>
  <c r="D325" i="74"/>
  <c r="E325" i="74"/>
  <c r="F325" i="74"/>
  <c r="G325" i="74"/>
  <c r="H325" i="74"/>
  <c r="I325" i="74"/>
  <c r="J325" i="74"/>
  <c r="K325" i="74"/>
  <c r="L325" i="74"/>
  <c r="M325" i="74"/>
  <c r="N325" i="74"/>
  <c r="O325" i="74"/>
  <c r="B363" i="74"/>
  <c r="P386" i="74"/>
  <c r="P387" i="74"/>
  <c r="D388" i="74"/>
  <c r="E388" i="74"/>
  <c r="F388" i="74"/>
  <c r="G388" i="74"/>
  <c r="H388" i="74"/>
  <c r="I388" i="74"/>
  <c r="J388" i="74"/>
  <c r="K388" i="74"/>
  <c r="L388" i="74"/>
  <c r="M388" i="74"/>
  <c r="N388" i="74"/>
  <c r="O388" i="74"/>
  <c r="B391" i="74"/>
  <c r="B393" i="74"/>
  <c r="D396" i="74"/>
  <c r="E396" i="74"/>
  <c r="F396" i="74"/>
  <c r="G396" i="74"/>
  <c r="H396" i="74"/>
  <c r="I396" i="74"/>
  <c r="J396" i="74"/>
  <c r="K396" i="74"/>
  <c r="L396" i="74"/>
  <c r="M396" i="74"/>
  <c r="N396" i="74"/>
  <c r="O396" i="74"/>
  <c r="P406" i="74"/>
  <c r="E408" i="74"/>
  <c r="F408" i="74"/>
  <c r="G408" i="74"/>
  <c r="I408" i="74"/>
  <c r="J408" i="74"/>
  <c r="K408" i="74"/>
  <c r="M408" i="74"/>
  <c r="N408" i="74"/>
  <c r="O408" i="74"/>
  <c r="P410" i="74"/>
  <c r="P412" i="74"/>
  <c r="P416" i="74"/>
  <c r="P417" i="74"/>
  <c r="D418" i="74"/>
  <c r="E418" i="74"/>
  <c r="F418" i="74"/>
  <c r="G418" i="74"/>
  <c r="H418" i="74"/>
  <c r="I418" i="74"/>
  <c r="J418" i="74"/>
  <c r="K418" i="74"/>
  <c r="L418" i="74"/>
  <c r="M418" i="74"/>
  <c r="N418" i="74"/>
  <c r="O418" i="74"/>
  <c r="B456" i="74"/>
  <c r="B458" i="74"/>
  <c r="P183" i="74"/>
  <c r="L408" i="74"/>
  <c r="H408" i="74"/>
  <c r="P193" i="74"/>
  <c r="N63" i="76" s="1"/>
  <c r="N193" i="76" s="1"/>
  <c r="E130" i="76"/>
  <c r="L67" i="76"/>
  <c r="L197" i="76" s="1"/>
  <c r="D94" i="10"/>
  <c r="D156" i="10" s="1"/>
  <c r="G96" i="75"/>
  <c r="J94" i="10"/>
  <c r="J156" i="10" s="1"/>
  <c r="J154" i="70"/>
  <c r="J156" i="70" s="1"/>
  <c r="J155" i="75"/>
  <c r="J157" i="75" s="1"/>
  <c r="N249" i="70"/>
  <c r="N96" i="75"/>
  <c r="N94" i="10"/>
  <c r="N96" i="10" s="1"/>
  <c r="K96" i="75"/>
  <c r="K94" i="10"/>
  <c r="K96" i="10" s="1"/>
  <c r="F94" i="10"/>
  <c r="F96" i="10" s="1"/>
  <c r="O249" i="70"/>
  <c r="P35" i="10"/>
  <c r="D105" i="10"/>
  <c r="D136" i="10"/>
  <c r="I135" i="75"/>
  <c r="G105" i="10"/>
  <c r="I33" i="65"/>
  <c r="I35" i="65" s="1"/>
  <c r="N68" i="76"/>
  <c r="N198" i="76" s="1"/>
  <c r="P429" i="74"/>
  <c r="P431" i="74"/>
  <c r="P433" i="74"/>
  <c r="G151" i="76" s="1"/>
  <c r="P434" i="74"/>
  <c r="D435" i="74"/>
  <c r="E435" i="74"/>
  <c r="I435" i="74"/>
  <c r="M435" i="74"/>
  <c r="K35" i="76"/>
  <c r="K69" i="76"/>
  <c r="K67" i="76"/>
  <c r="K197" i="76" s="1"/>
  <c r="N67" i="76"/>
  <c r="S33" i="76"/>
  <c r="S35" i="76" s="1"/>
  <c r="P35" i="76"/>
  <c r="P69" i="76" s="1"/>
  <c r="P67" i="76"/>
  <c r="P197" i="76" s="1"/>
  <c r="P199" i="76" s="1"/>
  <c r="O35" i="76"/>
  <c r="O69" i="76" s="1"/>
  <c r="U34" i="76"/>
  <c r="L35" i="76"/>
  <c r="L69" i="76" s="1"/>
  <c r="Q35" i="76"/>
  <c r="N35" i="76"/>
  <c r="N69" i="76" s="1"/>
  <c r="U159" i="76"/>
  <c r="H163" i="76"/>
  <c r="N53" i="76"/>
  <c r="N183" i="76" s="1"/>
  <c r="U80" i="76"/>
  <c r="U145" i="76"/>
  <c r="U177" i="76"/>
  <c r="U47" i="76"/>
  <c r="U112" i="76"/>
  <c r="O112" i="76"/>
  <c r="O177" i="76"/>
  <c r="O47" i="76"/>
  <c r="O80" i="76"/>
  <c r="O145" i="76"/>
  <c r="I145" i="76"/>
  <c r="I177" i="76"/>
  <c r="I80" i="76"/>
  <c r="I112" i="76"/>
  <c r="I47" i="76"/>
  <c r="E47" i="76"/>
  <c r="E112" i="76"/>
  <c r="E145" i="76"/>
  <c r="E177" i="76"/>
  <c r="E80" i="76"/>
  <c r="Q47" i="76"/>
  <c r="Q112" i="76"/>
  <c r="Q80" i="76"/>
  <c r="Q177" i="76"/>
  <c r="Q145" i="76"/>
  <c r="L80" i="76"/>
  <c r="L177" i="76"/>
  <c r="L47" i="76"/>
  <c r="L112" i="76"/>
  <c r="L145" i="76"/>
  <c r="G177" i="76"/>
  <c r="G145" i="76"/>
  <c r="G47" i="76"/>
  <c r="G112" i="76"/>
  <c r="G80" i="76"/>
  <c r="N177" i="76"/>
  <c r="N47" i="76"/>
  <c r="N80" i="76"/>
  <c r="N145" i="76"/>
  <c r="N112" i="76"/>
  <c r="K80" i="76"/>
  <c r="K145" i="76"/>
  <c r="K47" i="76"/>
  <c r="K112" i="76"/>
  <c r="K177" i="76"/>
  <c r="D47" i="76"/>
  <c r="D145" i="76"/>
  <c r="D177" i="76"/>
  <c r="D112" i="76"/>
  <c r="D80" i="76"/>
  <c r="S80" i="76"/>
  <c r="S145" i="76"/>
  <c r="S47" i="76"/>
  <c r="S112" i="76"/>
  <c r="S177" i="76"/>
  <c r="H177" i="76"/>
  <c r="H145" i="76"/>
  <c r="H47" i="76"/>
  <c r="H80" i="76"/>
  <c r="H112" i="76"/>
  <c r="F112" i="76"/>
  <c r="F145" i="76"/>
  <c r="F80" i="76"/>
  <c r="F177" i="76"/>
  <c r="P112" i="76"/>
  <c r="P145" i="76"/>
  <c r="P177" i="76"/>
  <c r="P47" i="76"/>
  <c r="P80" i="76"/>
  <c r="H88" i="76"/>
  <c r="H92" i="76"/>
  <c r="P94" i="74"/>
  <c r="N163" i="76"/>
  <c r="N169" i="76" s="1"/>
  <c r="H69" i="76"/>
  <c r="I134" i="76"/>
  <c r="H98" i="76"/>
  <c r="H104" i="76" s="1"/>
  <c r="U101" i="76"/>
  <c r="I124" i="76"/>
  <c r="L163" i="76"/>
  <c r="L169" i="76" s="1"/>
  <c r="H199" i="76"/>
  <c r="U67" i="76"/>
  <c r="U133" i="76"/>
  <c r="F35" i="76"/>
  <c r="K163" i="76"/>
  <c r="I33" i="76"/>
  <c r="G65" i="76"/>
  <c r="G71" i="76" s="1"/>
  <c r="G31" i="76"/>
  <c r="G37" i="76" s="1"/>
  <c r="L98" i="76"/>
  <c r="E35" i="76"/>
  <c r="L104" i="76"/>
  <c r="K169" i="76"/>
  <c r="H120" i="76"/>
  <c r="Q199" i="76" l="1"/>
  <c r="K199" i="76"/>
  <c r="D65" i="76"/>
  <c r="D71" i="76" s="1"/>
  <c r="E71" i="76"/>
  <c r="M96" i="75"/>
  <c r="G94" i="70"/>
  <c r="M94" i="10"/>
  <c r="M156" i="10" s="1"/>
  <c r="G94" i="10"/>
  <c r="G96" i="10" s="1"/>
  <c r="O94" i="10"/>
  <c r="O156" i="10" s="1"/>
  <c r="L199" i="76"/>
  <c r="U68" i="76"/>
  <c r="G136" i="10"/>
  <c r="K136" i="76"/>
  <c r="N199" i="76"/>
  <c r="O136" i="76"/>
  <c r="S69" i="76"/>
  <c r="U69" i="76" s="1"/>
  <c r="O169" i="76"/>
  <c r="S197" i="76"/>
  <c r="S167" i="76"/>
  <c r="U167" i="76" s="1"/>
  <c r="S102" i="76"/>
  <c r="U102" i="76" s="1"/>
  <c r="E94" i="10"/>
  <c r="F33" i="65"/>
  <c r="L130" i="76"/>
  <c r="L136" i="76" s="1"/>
  <c r="S134" i="76"/>
  <c r="U134" i="76" s="1"/>
  <c r="H123" i="10"/>
  <c r="H129" i="10" s="1"/>
  <c r="G44" i="10"/>
  <c r="D44" i="10"/>
  <c r="E94" i="70"/>
  <c r="O198" i="76"/>
  <c r="O199" i="76" s="1"/>
  <c r="U33" i="76"/>
  <c r="H155" i="75"/>
  <c r="H157" i="75" s="1"/>
  <c r="D158" i="10"/>
  <c r="E155" i="75"/>
  <c r="E157" i="75" s="1"/>
  <c r="H94" i="10"/>
  <c r="H96" i="10" s="1"/>
  <c r="I136" i="10"/>
  <c r="N21" i="76"/>
  <c r="N55" i="76" s="1"/>
  <c r="N25" i="76"/>
  <c r="N59" i="76" s="1"/>
  <c r="I44" i="10"/>
  <c r="O109" i="44"/>
  <c r="G44" i="75"/>
  <c r="E44" i="10"/>
  <c r="F44" i="10"/>
  <c r="L105" i="10"/>
  <c r="G183" i="76"/>
  <c r="G185" i="76" s="1"/>
  <c r="I151" i="76"/>
  <c r="U151" i="76" s="1"/>
  <c r="F128" i="70"/>
  <c r="E156" i="76"/>
  <c r="B71" i="10"/>
  <c r="B102" i="10" s="1"/>
  <c r="B133" i="10" s="1"/>
  <c r="F155" i="75"/>
  <c r="F157" i="75" s="1"/>
  <c r="J158" i="10"/>
  <c r="L123" i="10"/>
  <c r="L129" i="10" s="1"/>
  <c r="I249" i="70"/>
  <c r="I251" i="70" s="1"/>
  <c r="E155" i="76"/>
  <c r="O154" i="70"/>
  <c r="O156" i="70" s="1"/>
  <c r="L155" i="75"/>
  <c r="L157" i="75" s="1"/>
  <c r="M274" i="70"/>
  <c r="E123" i="10"/>
  <c r="E129" i="10" s="1"/>
  <c r="I123" i="10"/>
  <c r="M123" i="10"/>
  <c r="M129" i="10" s="1"/>
  <c r="D155" i="76"/>
  <c r="Q155" i="76"/>
  <c r="Q157" i="76" s="1"/>
  <c r="S157" i="76" s="1"/>
  <c r="E44" i="44"/>
  <c r="E77" i="44" s="1"/>
  <c r="B140" i="44"/>
  <c r="D155" i="75"/>
  <c r="D157" i="75" s="1"/>
  <c r="L154" i="70"/>
  <c r="L156" i="70" s="1"/>
  <c r="F156" i="10"/>
  <c r="F158" i="10" s="1"/>
  <c r="I96" i="75"/>
  <c r="P127" i="10"/>
  <c r="O123" i="10"/>
  <c r="O129" i="10" s="1"/>
  <c r="I156" i="10"/>
  <c r="F154" i="70"/>
  <c r="F156" i="70" s="1"/>
  <c r="L94" i="10"/>
  <c r="L96" i="10" s="1"/>
  <c r="D156" i="76"/>
  <c r="N222" i="74"/>
  <c r="J222" i="74"/>
  <c r="O222" i="74"/>
  <c r="P408" i="74"/>
  <c r="K222" i="74"/>
  <c r="N189" i="76"/>
  <c r="I197" i="76"/>
  <c r="S155" i="76"/>
  <c r="I35" i="76"/>
  <c r="U35" i="76" s="1"/>
  <c r="N185" i="76"/>
  <c r="G153" i="76"/>
  <c r="I153" i="76" s="1"/>
  <c r="U153" i="76" s="1"/>
  <c r="G189" i="76"/>
  <c r="N181" i="76"/>
  <c r="F199" i="76"/>
  <c r="J162" i="74"/>
  <c r="J168" i="74" s="1"/>
  <c r="N162" i="74"/>
  <c r="N168" i="74" s="1"/>
  <c r="P388" i="74"/>
  <c r="P199" i="74"/>
  <c r="P133" i="74"/>
  <c r="P232" i="74"/>
  <c r="F222" i="74"/>
  <c r="H162" i="74"/>
  <c r="H168" i="74" s="1"/>
  <c r="E222" i="74"/>
  <c r="N445" i="74"/>
  <c r="N451" i="74" s="1"/>
  <c r="P189" i="74"/>
  <c r="G222" i="74"/>
  <c r="P68" i="74"/>
  <c r="P185" i="74"/>
  <c r="P166" i="74"/>
  <c r="P100" i="74"/>
  <c r="M162" i="74"/>
  <c r="M168" i="74" s="1"/>
  <c r="P148" i="74"/>
  <c r="L17" i="76" s="1"/>
  <c r="L51" i="76" s="1"/>
  <c r="L181" i="76" s="1"/>
  <c r="P220" i="74"/>
  <c r="P23" i="76" s="1"/>
  <c r="I222" i="74"/>
  <c r="L222" i="74"/>
  <c r="I162" i="74"/>
  <c r="I168" i="74" s="1"/>
  <c r="P418" i="74"/>
  <c r="P146" i="74"/>
  <c r="L15" i="76" s="1"/>
  <c r="L49" i="76" s="1"/>
  <c r="L179" i="76" s="1"/>
  <c r="D162" i="74"/>
  <c r="D168" i="74" s="1"/>
  <c r="D222" i="74"/>
  <c r="P221" i="74"/>
  <c r="P24" i="76" s="1"/>
  <c r="P58" i="76" s="1"/>
  <c r="P188" i="76" s="1"/>
  <c r="P449" i="74"/>
  <c r="P435" i="74"/>
  <c r="E162" i="74"/>
  <c r="E168" i="74" s="1"/>
  <c r="G162" i="74"/>
  <c r="G168" i="74" s="1"/>
  <c r="P325" i="74"/>
  <c r="P151" i="74"/>
  <c r="L20" i="76" s="1"/>
  <c r="L54" i="76" s="1"/>
  <c r="L184" i="76" s="1"/>
  <c r="L162" i="74"/>
  <c r="L168" i="74" s="1"/>
  <c r="K162" i="74"/>
  <c r="K168" i="74" s="1"/>
  <c r="P158" i="74"/>
  <c r="L27" i="76" s="1"/>
  <c r="L61" i="76" s="1"/>
  <c r="L191" i="76" s="1"/>
  <c r="P160" i="74"/>
  <c r="L29" i="76" s="1"/>
  <c r="P127" i="74"/>
  <c r="K29" i="76" s="1"/>
  <c r="K63" i="76" s="1"/>
  <c r="F162" i="74"/>
  <c r="F168" i="74" s="1"/>
  <c r="P155" i="74"/>
  <c r="L24" i="76" s="1"/>
  <c r="L58" i="76" s="1"/>
  <c r="L188" i="76" s="1"/>
  <c r="H222" i="74"/>
  <c r="P154" i="74"/>
  <c r="L23" i="76" s="1"/>
  <c r="L57" i="76" s="1"/>
  <c r="L187" i="76" s="1"/>
  <c r="O162" i="74"/>
  <c r="O168" i="74" s="1"/>
  <c r="P150" i="74"/>
  <c r="L19" i="76" s="1"/>
  <c r="L53" i="76" s="1"/>
  <c r="L183" i="76" s="1"/>
  <c r="P35" i="74"/>
  <c r="O445" i="74"/>
  <c r="O451" i="74" s="1"/>
  <c r="P481" i="74"/>
  <c r="P483" i="74" s="1"/>
  <c r="M143" i="44"/>
  <c r="L95" i="44"/>
  <c r="L101" i="44" s="1"/>
  <c r="H95" i="44"/>
  <c r="H101" i="44" s="1"/>
  <c r="E143" i="44"/>
  <c r="M109" i="44"/>
  <c r="B39" i="44"/>
  <c r="B72" i="44" s="1"/>
  <c r="K95" i="44"/>
  <c r="K101" i="44" s="1"/>
  <c r="G95" i="44"/>
  <c r="G101" i="44" s="1"/>
  <c r="Q85" i="44"/>
  <c r="M66" i="44"/>
  <c r="N66" i="44"/>
  <c r="O143" i="44"/>
  <c r="K129" i="44"/>
  <c r="K131" i="44" s="1"/>
  <c r="D108" i="44"/>
  <c r="N95" i="44"/>
  <c r="N101" i="44" s="1"/>
  <c r="F95" i="44"/>
  <c r="F101" i="44" s="1"/>
  <c r="O66" i="44"/>
  <c r="D43" i="44"/>
  <c r="D76" i="44" s="1"/>
  <c r="G108" i="44"/>
  <c r="M95" i="44"/>
  <c r="M101" i="44" s="1"/>
  <c r="I95" i="44"/>
  <c r="I101" i="44" s="1"/>
  <c r="G43" i="44"/>
  <c r="G76" i="44" s="1"/>
  <c r="J95" i="44"/>
  <c r="J101" i="44" s="1"/>
  <c r="J109" i="44"/>
  <c r="G143" i="44"/>
  <c r="Q89" i="44"/>
  <c r="F66" i="44"/>
  <c r="F129" i="44"/>
  <c r="F131" i="44" s="1"/>
  <c r="E95" i="44"/>
  <c r="E101" i="44" s="1"/>
  <c r="G109" i="44"/>
  <c r="J143" i="44"/>
  <c r="B107" i="44"/>
  <c r="P89" i="44"/>
  <c r="P85" i="44"/>
  <c r="E129" i="44"/>
  <c r="E131" i="44" s="1"/>
  <c r="E66" i="44"/>
  <c r="H129" i="44"/>
  <c r="H131" i="44" s="1"/>
  <c r="L129" i="44"/>
  <c r="L131" i="44" s="1"/>
  <c r="L66" i="44"/>
  <c r="D95" i="44"/>
  <c r="P99" i="44"/>
  <c r="Q99" i="44" s="1"/>
  <c r="L44" i="44"/>
  <c r="L77" i="44" s="1"/>
  <c r="L143" i="44"/>
  <c r="J129" i="44"/>
  <c r="J131" i="44" s="1"/>
  <c r="J66" i="44"/>
  <c r="N44" i="44"/>
  <c r="N77" i="44" s="1"/>
  <c r="N109" i="44"/>
  <c r="I129" i="44"/>
  <c r="I131" i="44" s="1"/>
  <c r="I66" i="44"/>
  <c r="G66" i="44"/>
  <c r="G129" i="44"/>
  <c r="G131" i="44" s="1"/>
  <c r="F143" i="44"/>
  <c r="F109" i="44"/>
  <c r="D143" i="44"/>
  <c r="D44" i="44"/>
  <c r="D77" i="44" s="1"/>
  <c r="D66" i="44"/>
  <c r="D129" i="44"/>
  <c r="O101" i="44"/>
  <c r="I44" i="44"/>
  <c r="I77" i="44" s="1"/>
  <c r="I143" i="44"/>
  <c r="P126" i="75"/>
  <c r="P66" i="75"/>
  <c r="H104" i="75"/>
  <c r="G122" i="75"/>
  <c r="G128" i="75" s="1"/>
  <c r="F135" i="75"/>
  <c r="N155" i="75"/>
  <c r="N157" i="75" s="1"/>
  <c r="J104" i="75"/>
  <c r="N122" i="75"/>
  <c r="N128" i="75" s="1"/>
  <c r="P112" i="75"/>
  <c r="E122" i="75"/>
  <c r="E128" i="75" s="1"/>
  <c r="G155" i="75"/>
  <c r="G157" i="75" s="1"/>
  <c r="B71" i="75"/>
  <c r="B101" i="75" s="1"/>
  <c r="B132" i="75" s="1"/>
  <c r="O135" i="75"/>
  <c r="H135" i="75"/>
  <c r="M104" i="75"/>
  <c r="M74" i="75"/>
  <c r="J122" i="75"/>
  <c r="J128" i="75" s="1"/>
  <c r="J96" i="75"/>
  <c r="D135" i="75"/>
  <c r="N135" i="75"/>
  <c r="G104" i="75"/>
  <c r="J44" i="75"/>
  <c r="L135" i="75"/>
  <c r="L74" i="75"/>
  <c r="K44" i="75"/>
  <c r="K74" i="75"/>
  <c r="K155" i="75"/>
  <c r="K157" i="75" s="1"/>
  <c r="K104" i="75"/>
  <c r="H44" i="75"/>
  <c r="E44" i="75"/>
  <c r="O96" i="75"/>
  <c r="J135" i="75"/>
  <c r="G135" i="75"/>
  <c r="I122" i="75"/>
  <c r="M122" i="75"/>
  <c r="M128" i="75" s="1"/>
  <c r="F122" i="75"/>
  <c r="F128" i="75" s="1"/>
  <c r="L44" i="75"/>
  <c r="I128" i="75"/>
  <c r="D122" i="75"/>
  <c r="D128" i="75" s="1"/>
  <c r="H122" i="75"/>
  <c r="H128" i="75" s="1"/>
  <c r="K122" i="75"/>
  <c r="K128" i="75" s="1"/>
  <c r="M155" i="75"/>
  <c r="M157" i="75" s="1"/>
  <c r="D104" i="75"/>
  <c r="H96" i="75"/>
  <c r="L122" i="75"/>
  <c r="L128" i="75" s="1"/>
  <c r="O104" i="75"/>
  <c r="I104" i="75"/>
  <c r="F104" i="75"/>
  <c r="I44" i="75"/>
  <c r="F44" i="75"/>
  <c r="O44" i="75"/>
  <c r="D44" i="75"/>
  <c r="P115" i="75"/>
  <c r="P116" i="75" s="1"/>
  <c r="M158" i="10"/>
  <c r="F123" i="10"/>
  <c r="F129" i="10" s="1"/>
  <c r="D96" i="10"/>
  <c r="I105" i="10"/>
  <c r="N156" i="10"/>
  <c r="N158" i="10" s="1"/>
  <c r="P157" i="10"/>
  <c r="J123" i="10"/>
  <c r="J129" i="10" s="1"/>
  <c r="O158" i="10"/>
  <c r="G123" i="10"/>
  <c r="G129" i="10" s="1"/>
  <c r="O96" i="10"/>
  <c r="E136" i="10"/>
  <c r="O136" i="10"/>
  <c r="N123" i="10"/>
  <c r="N129" i="10" s="1"/>
  <c r="P113" i="10"/>
  <c r="I158" i="10"/>
  <c r="K123" i="10"/>
  <c r="H136" i="10"/>
  <c r="K129" i="10"/>
  <c r="P66" i="10"/>
  <c r="D123" i="10"/>
  <c r="D129" i="10" s="1"/>
  <c r="E105" i="10"/>
  <c r="N44" i="10"/>
  <c r="H105" i="10"/>
  <c r="I129" i="10"/>
  <c r="H44" i="10"/>
  <c r="P116" i="10"/>
  <c r="P117" i="10" s="1"/>
  <c r="P123" i="10" s="1"/>
  <c r="P129" i="10" s="1"/>
  <c r="J105" i="10"/>
  <c r="J74" i="10"/>
  <c r="K156" i="10"/>
  <c r="K158" i="10" s="1"/>
  <c r="N136" i="10"/>
  <c r="O105" i="10"/>
  <c r="J96" i="10"/>
  <c r="O44" i="10"/>
  <c r="H156" i="10"/>
  <c r="H158" i="10" s="1"/>
  <c r="F136" i="10"/>
  <c r="F74" i="10"/>
  <c r="J44" i="10"/>
  <c r="N105" i="10"/>
  <c r="J94" i="70"/>
  <c r="O176" i="70"/>
  <c r="L270" i="70"/>
  <c r="M284" i="70"/>
  <c r="I284" i="70"/>
  <c r="E284" i="70"/>
  <c r="F24" i="70"/>
  <c r="J274" i="70"/>
  <c r="M270" i="70"/>
  <c r="E24" i="70"/>
  <c r="N154" i="70"/>
  <c r="N156" i="70" s="1"/>
  <c r="J249" i="70"/>
  <c r="J251" i="70" s="1"/>
  <c r="O270" i="70"/>
  <c r="I187" i="70"/>
  <c r="P126" i="70"/>
  <c r="F218" i="70"/>
  <c r="I24" i="70"/>
  <c r="E274" i="70"/>
  <c r="N284" i="70"/>
  <c r="K175" i="70"/>
  <c r="K177" i="70" s="1"/>
  <c r="G249" i="70"/>
  <c r="G251" i="70" s="1"/>
  <c r="J284" i="70"/>
  <c r="F284" i="70"/>
  <c r="F187" i="70"/>
  <c r="G218" i="70"/>
  <c r="O218" i="70"/>
  <c r="L284" i="70"/>
  <c r="P276" i="70"/>
  <c r="N274" i="70"/>
  <c r="E175" i="70"/>
  <c r="E177" i="70" s="1"/>
  <c r="N176" i="70"/>
  <c r="N177" i="70" s="1"/>
  <c r="O94" i="70"/>
  <c r="G154" i="70"/>
  <c r="G156" i="70" s="1"/>
  <c r="N94" i="70"/>
  <c r="H270" i="70"/>
  <c r="O251" i="70"/>
  <c r="P283" i="70"/>
  <c r="I175" i="70"/>
  <c r="I177" i="70" s="1"/>
  <c r="K24" i="70"/>
  <c r="G284" i="70"/>
  <c r="G274" i="70"/>
  <c r="N218" i="70"/>
  <c r="H154" i="70"/>
  <c r="H156" i="70" s="1"/>
  <c r="H249" i="70"/>
  <c r="H94" i="70"/>
  <c r="N251" i="70"/>
  <c r="N313" i="70"/>
  <c r="N315" i="70" s="1"/>
  <c r="O313" i="70"/>
  <c r="O315" i="70" s="1"/>
  <c r="O284" i="70"/>
  <c r="L187" i="70"/>
  <c r="L128" i="70"/>
  <c r="J24" i="70"/>
  <c r="J176" i="70"/>
  <c r="O24" i="70"/>
  <c r="P272" i="70"/>
  <c r="I270" i="70"/>
  <c r="D187" i="70"/>
  <c r="J218" i="70"/>
  <c r="K218" i="70"/>
  <c r="F273" i="70"/>
  <c r="P273" i="70" s="1"/>
  <c r="K249" i="70"/>
  <c r="K251" i="70" s="1"/>
  <c r="K94" i="70"/>
  <c r="K284" i="70"/>
  <c r="M176" i="70"/>
  <c r="M177" i="70" s="1"/>
  <c r="M24" i="70"/>
  <c r="P186" i="70"/>
  <c r="K154" i="70"/>
  <c r="K156" i="70" s="1"/>
  <c r="H284" i="70"/>
  <c r="P282" i="70"/>
  <c r="D284" i="70"/>
  <c r="P278" i="70"/>
  <c r="B101" i="70"/>
  <c r="B69" i="70"/>
  <c r="P115" i="70"/>
  <c r="G175" i="70"/>
  <c r="N24" i="70"/>
  <c r="F176" i="70"/>
  <c r="F177" i="70" s="1"/>
  <c r="L176" i="70"/>
  <c r="L177" i="70" s="1"/>
  <c r="L24" i="70"/>
  <c r="N187" i="70"/>
  <c r="J187" i="70"/>
  <c r="P210" i="70"/>
  <c r="P212" i="70"/>
  <c r="P217" i="70"/>
  <c r="L218" i="70"/>
  <c r="E218" i="70"/>
  <c r="I218" i="70"/>
  <c r="M218" i="70"/>
  <c r="K270" i="70"/>
  <c r="N270" i="70"/>
  <c r="J270" i="70"/>
  <c r="N128" i="70"/>
  <c r="D274" i="70"/>
  <c r="D280" i="70" s="1"/>
  <c r="B39" i="75"/>
  <c r="B130" i="75"/>
  <c r="B69" i="75"/>
  <c r="B99" i="75" s="1"/>
  <c r="M44" i="10"/>
  <c r="M105" i="10"/>
  <c r="M136" i="10"/>
  <c r="D218" i="70"/>
  <c r="M154" i="70"/>
  <c r="M156" i="70" s="1"/>
  <c r="M249" i="70"/>
  <c r="M94" i="70"/>
  <c r="F34" i="65"/>
  <c r="P34" i="70"/>
  <c r="G24" i="65"/>
  <c r="P207" i="70"/>
  <c r="H218" i="70"/>
  <c r="P216" i="70"/>
  <c r="H24" i="70"/>
  <c r="H176" i="70"/>
  <c r="P112" i="70"/>
  <c r="E187" i="70"/>
  <c r="P185" i="70"/>
  <c r="E270" i="70"/>
  <c r="P269" i="70"/>
  <c r="P266" i="70"/>
  <c r="P264" i="70"/>
  <c r="P250" i="70"/>
  <c r="O187" i="70"/>
  <c r="K187" i="70"/>
  <c r="G34" i="65"/>
  <c r="G35" i="65" s="1"/>
  <c r="P64" i="70"/>
  <c r="E249" i="70"/>
  <c r="E154" i="70"/>
  <c r="D24" i="70"/>
  <c r="D175" i="70"/>
  <c r="P22" i="70"/>
  <c r="H175" i="70"/>
  <c r="O175" i="70"/>
  <c r="G176" i="70"/>
  <c r="G24" i="70"/>
  <c r="P23" i="70"/>
  <c r="L44" i="10"/>
  <c r="L136" i="10"/>
  <c r="B131" i="10"/>
  <c r="B69" i="10"/>
  <c r="B100" i="10" s="1"/>
  <c r="K274" i="70"/>
  <c r="H274" i="70"/>
  <c r="K143" i="44"/>
  <c r="K44" i="44"/>
  <c r="K77" i="44" s="1"/>
  <c r="H109" i="44"/>
  <c r="H44" i="44"/>
  <c r="H77" i="44" s="1"/>
  <c r="N44" i="75"/>
  <c r="N104" i="75"/>
  <c r="E104" i="75"/>
  <c r="E135" i="75"/>
  <c r="K136" i="10"/>
  <c r="K105" i="10"/>
  <c r="K44" i="10"/>
  <c r="G270" i="70"/>
  <c r="F270" i="70"/>
  <c r="P268" i="70"/>
  <c r="M187" i="70"/>
  <c r="M44" i="75"/>
  <c r="M135" i="75"/>
  <c r="O274" i="70"/>
  <c r="L274" i="70"/>
  <c r="I274" i="70"/>
  <c r="L156" i="10" l="1"/>
  <c r="L158" i="10" s="1"/>
  <c r="M96" i="10"/>
  <c r="K193" i="76"/>
  <c r="S198" i="76"/>
  <c r="U198" i="76" s="1"/>
  <c r="L63" i="76"/>
  <c r="L193" i="76" s="1"/>
  <c r="D157" i="76"/>
  <c r="D163" i="76" s="1"/>
  <c r="D169" i="76" s="1"/>
  <c r="F249" i="70"/>
  <c r="F251" i="70" s="1"/>
  <c r="G156" i="10"/>
  <c r="G158" i="10" s="1"/>
  <c r="P94" i="10"/>
  <c r="P96" i="10" s="1"/>
  <c r="M280" i="70"/>
  <c r="M286" i="70" s="1"/>
  <c r="E96" i="75"/>
  <c r="L249" i="70"/>
  <c r="L313" i="70" s="1"/>
  <c r="L315" i="70" s="1"/>
  <c r="E156" i="10"/>
  <c r="E158" i="10" s="1"/>
  <c r="E96" i="10"/>
  <c r="F35" i="65"/>
  <c r="L94" i="70"/>
  <c r="S130" i="76"/>
  <c r="P94" i="75"/>
  <c r="P96" i="75" s="1"/>
  <c r="U197" i="76"/>
  <c r="S136" i="76"/>
  <c r="F94" i="70"/>
  <c r="F96" i="75"/>
  <c r="Q163" i="76"/>
  <c r="S163" i="76" s="1"/>
  <c r="P25" i="76"/>
  <c r="P59" i="76" s="1"/>
  <c r="L189" i="76"/>
  <c r="L185" i="76"/>
  <c r="L21" i="76"/>
  <c r="L55" i="76" s="1"/>
  <c r="I313" i="70"/>
  <c r="I315" i="70" s="1"/>
  <c r="D249" i="70"/>
  <c r="D94" i="70"/>
  <c r="I94" i="70"/>
  <c r="P92" i="70"/>
  <c r="P94" i="70" s="1"/>
  <c r="I199" i="76"/>
  <c r="P57" i="76"/>
  <c r="P187" i="76" s="1"/>
  <c r="P189" i="76" s="1"/>
  <c r="L25" i="76"/>
  <c r="L59" i="76" s="1"/>
  <c r="I154" i="70"/>
  <c r="I156" i="70" s="1"/>
  <c r="P116" i="70"/>
  <c r="P122" i="70" s="1"/>
  <c r="P128" i="70" s="1"/>
  <c r="I24" i="65"/>
  <c r="I25" i="65" s="1"/>
  <c r="I31" i="65" s="1"/>
  <c r="I37" i="65" s="1"/>
  <c r="D154" i="70"/>
  <c r="D156" i="70" s="1"/>
  <c r="L96" i="75"/>
  <c r="I155" i="75"/>
  <c r="I157" i="75" s="1"/>
  <c r="E157" i="76"/>
  <c r="E163" i="76" s="1"/>
  <c r="E169" i="76" s="1"/>
  <c r="G163" i="76"/>
  <c r="G169" i="76" s="1"/>
  <c r="P222" i="74"/>
  <c r="P152" i="74"/>
  <c r="P156" i="74"/>
  <c r="B105" i="44"/>
  <c r="P129" i="44"/>
  <c r="Q129" i="44" s="1"/>
  <c r="D131" i="44"/>
  <c r="P66" i="44"/>
  <c r="Q66" i="44" s="1"/>
  <c r="D27" i="65"/>
  <c r="P95" i="44"/>
  <c r="Q95" i="44" s="1"/>
  <c r="D101" i="44"/>
  <c r="P101" i="44" s="1"/>
  <c r="Q101" i="44" s="1"/>
  <c r="P122" i="75"/>
  <c r="P128" i="75" s="1"/>
  <c r="J313" i="70"/>
  <c r="J315" i="70" s="1"/>
  <c r="J177" i="70"/>
  <c r="P270" i="70"/>
  <c r="K313" i="70"/>
  <c r="K315" i="70" s="1"/>
  <c r="O177" i="70"/>
  <c r="L280" i="70"/>
  <c r="L286" i="70" s="1"/>
  <c r="G313" i="70"/>
  <c r="G315" i="70" s="1"/>
  <c r="P274" i="70"/>
  <c r="J280" i="70"/>
  <c r="J286" i="70" s="1"/>
  <c r="O280" i="70"/>
  <c r="O286" i="70" s="1"/>
  <c r="E280" i="70"/>
  <c r="E286" i="70" s="1"/>
  <c r="N280" i="70"/>
  <c r="N286" i="70" s="1"/>
  <c r="P284" i="70"/>
  <c r="I280" i="70"/>
  <c r="I286" i="70" s="1"/>
  <c r="K280" i="70"/>
  <c r="K286" i="70" s="1"/>
  <c r="P187" i="70"/>
  <c r="G280" i="70"/>
  <c r="G286" i="70" s="1"/>
  <c r="H280" i="70"/>
  <c r="H286" i="70" s="1"/>
  <c r="P218" i="70"/>
  <c r="F274" i="70"/>
  <c r="F280" i="70" s="1"/>
  <c r="F286" i="70" s="1"/>
  <c r="H251" i="70"/>
  <c r="H313" i="70"/>
  <c r="H315" i="70" s="1"/>
  <c r="D286" i="70"/>
  <c r="F34" i="73"/>
  <c r="M251" i="70"/>
  <c r="M313" i="70"/>
  <c r="M315" i="70" s="1"/>
  <c r="F23" i="65"/>
  <c r="P24" i="70"/>
  <c r="F24" i="73" s="1"/>
  <c r="F22" i="73"/>
  <c r="E156" i="70"/>
  <c r="H177" i="70"/>
  <c r="F23" i="73"/>
  <c r="F24" i="65"/>
  <c r="P176" i="70"/>
  <c r="D23" i="73" s="1"/>
  <c r="G177" i="70"/>
  <c r="D177" i="70"/>
  <c r="P175" i="70"/>
  <c r="D22" i="73" s="1"/>
  <c r="E251" i="70"/>
  <c r="E313" i="70"/>
  <c r="M439" i="74"/>
  <c r="M445" i="74" s="1"/>
  <c r="M451" i="74" s="1"/>
  <c r="D24" i="73" l="1"/>
  <c r="S199" i="76"/>
  <c r="U199" i="76" s="1"/>
  <c r="F313" i="70"/>
  <c r="F315" i="70" s="1"/>
  <c r="P156" i="10"/>
  <c r="P158" i="10" s="1"/>
  <c r="P154" i="70"/>
  <c r="P156" i="70" s="1"/>
  <c r="L251" i="70"/>
  <c r="Q169" i="76"/>
  <c r="S169" i="76" s="1"/>
  <c r="P249" i="70"/>
  <c r="P251" i="70" s="1"/>
  <c r="P155" i="75"/>
  <c r="P157" i="75" s="1"/>
  <c r="L195" i="76"/>
  <c r="L201" i="76" s="1"/>
  <c r="L31" i="76"/>
  <c r="L37" i="76" s="1"/>
  <c r="L71" i="76" s="1"/>
  <c r="F25" i="65"/>
  <c r="D251" i="70"/>
  <c r="D313" i="70"/>
  <c r="D315" i="70" s="1"/>
  <c r="H33" i="65"/>
  <c r="H35" i="65" s="1"/>
  <c r="P162" i="74"/>
  <c r="P168" i="74" s="1"/>
  <c r="P131" i="44"/>
  <c r="Q131" i="44" s="1"/>
  <c r="D35" i="65" s="1"/>
  <c r="P280" i="70"/>
  <c r="P286" i="70" s="1"/>
  <c r="P177" i="70"/>
  <c r="E315" i="70"/>
  <c r="J33" i="65"/>
  <c r="J35" i="65" s="1"/>
  <c r="F439" i="74"/>
  <c r="F445" i="74" s="1"/>
  <c r="F451" i="74" s="1"/>
  <c r="I439" i="74"/>
  <c r="I445" i="74" s="1"/>
  <c r="I451" i="74" s="1"/>
  <c r="L439" i="74"/>
  <c r="L445" i="74" s="1"/>
  <c r="L451" i="74" s="1"/>
  <c r="H439" i="74"/>
  <c r="H445" i="74" s="1"/>
  <c r="H451" i="74" s="1"/>
  <c r="D439" i="74"/>
  <c r="D445" i="74" s="1"/>
  <c r="D451" i="74" s="1"/>
  <c r="K439" i="74"/>
  <c r="K445" i="74" s="1"/>
  <c r="K451" i="74" s="1"/>
  <c r="G439" i="74"/>
  <c r="G445" i="74" s="1"/>
  <c r="G451" i="74" s="1"/>
  <c r="P438" i="74"/>
  <c r="L65" i="76" l="1"/>
  <c r="P313" i="70"/>
  <c r="P315" i="70" s="1"/>
  <c r="J439" i="74"/>
  <c r="J445" i="74" s="1"/>
  <c r="J451" i="74" s="1"/>
  <c r="P437" i="74"/>
  <c r="P439" i="74" s="1"/>
  <c r="P445" i="74" s="1"/>
  <c r="P451" i="74" s="1"/>
  <c r="E439" i="74"/>
  <c r="E445" i="74" s="1"/>
  <c r="E451" i="74" s="1"/>
  <c r="S90" i="76" l="1"/>
  <c r="S92" i="76" l="1"/>
  <c r="S86" i="76" l="1"/>
  <c r="S88" i="76"/>
  <c r="S84" i="76"/>
  <c r="S82" i="76"/>
  <c r="S98" i="76" l="1"/>
  <c r="Q104" i="76"/>
  <c r="S104" i="76" s="1"/>
  <c r="N103" i="77" l="1"/>
  <c r="O98" i="77"/>
  <c r="O100" i="77"/>
  <c r="O102" i="77"/>
  <c r="O103" i="77"/>
  <c r="O104" i="77" l="1"/>
  <c r="P103" i="77"/>
  <c r="O92" i="74" l="1"/>
  <c r="O89" i="74"/>
  <c r="O88" i="74"/>
  <c r="O85" i="74"/>
  <c r="O84" i="74"/>
  <c r="O82" i="74"/>
  <c r="O80" i="74"/>
  <c r="N92" i="74"/>
  <c r="N89" i="74"/>
  <c r="N88" i="74"/>
  <c r="N85" i="74"/>
  <c r="N84" i="74"/>
  <c r="N82" i="74"/>
  <c r="N80" i="74"/>
  <c r="M92" i="74"/>
  <c r="M89" i="74"/>
  <c r="M88" i="74"/>
  <c r="M85" i="74"/>
  <c r="M84" i="74"/>
  <c r="M82" i="74"/>
  <c r="M80" i="74"/>
  <c r="L92" i="74"/>
  <c r="L89" i="74"/>
  <c r="L88" i="74"/>
  <c r="L85" i="74"/>
  <c r="L84" i="74"/>
  <c r="L82" i="74"/>
  <c r="L80" i="74"/>
  <c r="K92" i="74"/>
  <c r="K89" i="74"/>
  <c r="K88" i="74"/>
  <c r="K85" i="74"/>
  <c r="K84" i="74"/>
  <c r="K82" i="74"/>
  <c r="K80" i="74"/>
  <c r="J92" i="74"/>
  <c r="J89" i="74"/>
  <c r="J88" i="74"/>
  <c r="J85" i="74"/>
  <c r="J84" i="74"/>
  <c r="J82" i="74"/>
  <c r="J80" i="74"/>
  <c r="I92" i="74"/>
  <c r="I89" i="74"/>
  <c r="I88" i="74"/>
  <c r="I85" i="74"/>
  <c r="I84" i="74"/>
  <c r="I82" i="74"/>
  <c r="I80" i="74"/>
  <c r="H92" i="74"/>
  <c r="H89" i="74"/>
  <c r="H88" i="74"/>
  <c r="H85" i="74"/>
  <c r="H84" i="74"/>
  <c r="H82" i="74"/>
  <c r="H80" i="74"/>
  <c r="G92" i="74"/>
  <c r="G89" i="74"/>
  <c r="G88" i="74"/>
  <c r="G85" i="74"/>
  <c r="G84" i="74"/>
  <c r="G82" i="74"/>
  <c r="G80" i="74"/>
  <c r="F92" i="74"/>
  <c r="F89" i="74"/>
  <c r="F88" i="74"/>
  <c r="F85" i="74"/>
  <c r="F84" i="74"/>
  <c r="F82" i="74"/>
  <c r="F80" i="74"/>
  <c r="E92" i="74"/>
  <c r="E89" i="74"/>
  <c r="E88" i="74"/>
  <c r="E85" i="74"/>
  <c r="E84" i="74"/>
  <c r="E82" i="74"/>
  <c r="E80" i="74"/>
  <c r="D92" i="74"/>
  <c r="D89" i="74"/>
  <c r="D88" i="74"/>
  <c r="D85" i="74"/>
  <c r="D84" i="74"/>
  <c r="D82" i="74"/>
  <c r="D80" i="74"/>
  <c r="O62" i="74"/>
  <c r="O60" i="74"/>
  <c r="O57" i="74"/>
  <c r="O56" i="74"/>
  <c r="O53" i="74"/>
  <c r="O52" i="74"/>
  <c r="O50" i="74"/>
  <c r="O48" i="74"/>
  <c r="N62" i="74"/>
  <c r="N60" i="74"/>
  <c r="N57" i="74"/>
  <c r="N56" i="74"/>
  <c r="N53" i="74"/>
  <c r="N52" i="74"/>
  <c r="N50" i="74"/>
  <c r="N48" i="74"/>
  <c r="M62" i="74"/>
  <c r="M60" i="74"/>
  <c r="M57" i="74"/>
  <c r="M56" i="74"/>
  <c r="M53" i="74"/>
  <c r="M52" i="74"/>
  <c r="M50" i="74"/>
  <c r="M48" i="74"/>
  <c r="L62" i="74"/>
  <c r="L60" i="74"/>
  <c r="L57" i="74"/>
  <c r="L56" i="74"/>
  <c r="L53" i="74"/>
  <c r="L52" i="74"/>
  <c r="L50" i="74"/>
  <c r="L48" i="74"/>
  <c r="K62" i="74"/>
  <c r="K60" i="74"/>
  <c r="K57" i="74"/>
  <c r="K56" i="74"/>
  <c r="K53" i="74"/>
  <c r="K52" i="74"/>
  <c r="K50" i="74"/>
  <c r="K48" i="74"/>
  <c r="J62" i="74"/>
  <c r="J60" i="74"/>
  <c r="J57" i="74"/>
  <c r="J56" i="74"/>
  <c r="J53" i="74"/>
  <c r="J52" i="74"/>
  <c r="J50" i="74"/>
  <c r="J48" i="74"/>
  <c r="I62" i="74"/>
  <c r="I60" i="74"/>
  <c r="I57" i="74"/>
  <c r="I56" i="74"/>
  <c r="I53" i="74"/>
  <c r="I52" i="74"/>
  <c r="I50" i="74"/>
  <c r="I48" i="74"/>
  <c r="H62" i="74"/>
  <c r="H60" i="74"/>
  <c r="H57" i="74"/>
  <c r="H56" i="74"/>
  <c r="H53" i="74"/>
  <c r="H52" i="74"/>
  <c r="H50" i="74"/>
  <c r="H48" i="74"/>
  <c r="G62" i="74"/>
  <c r="G60" i="74"/>
  <c r="G57" i="74"/>
  <c r="G56" i="74"/>
  <c r="G53" i="74"/>
  <c r="G52" i="74"/>
  <c r="G50" i="74"/>
  <c r="G48" i="74"/>
  <c r="F62" i="74"/>
  <c r="F60" i="74"/>
  <c r="F57" i="74"/>
  <c r="F56" i="74"/>
  <c r="F53" i="74"/>
  <c r="F52" i="74"/>
  <c r="F50" i="74"/>
  <c r="F48" i="74"/>
  <c r="E62" i="74"/>
  <c r="E60" i="74"/>
  <c r="E57" i="74"/>
  <c r="E56" i="74"/>
  <c r="E53" i="74"/>
  <c r="E52" i="74"/>
  <c r="E50" i="74"/>
  <c r="E48" i="74"/>
  <c r="D62" i="74"/>
  <c r="D60" i="74"/>
  <c r="D57" i="74"/>
  <c r="P57" i="74" s="1"/>
  <c r="D56" i="74"/>
  <c r="D53" i="74"/>
  <c r="D52" i="74"/>
  <c r="D50" i="74"/>
  <c r="P50" i="74" s="1"/>
  <c r="D48" i="74"/>
  <c r="P48" i="74" l="1"/>
  <c r="E86" i="74"/>
  <c r="G90" i="74"/>
  <c r="I86" i="74"/>
  <c r="K90" i="74"/>
  <c r="M86" i="74"/>
  <c r="O90" i="74"/>
  <c r="E90" i="74"/>
  <c r="E96" i="74" s="1"/>
  <c r="E102" i="74" s="1"/>
  <c r="G86" i="74"/>
  <c r="I90" i="74"/>
  <c r="K86" i="74"/>
  <c r="M90" i="74"/>
  <c r="M96" i="74" s="1"/>
  <c r="M102" i="74" s="1"/>
  <c r="O86" i="74"/>
  <c r="P82" i="74"/>
  <c r="F51" i="76" s="1"/>
  <c r="P89" i="74"/>
  <c r="F58" i="76" s="1"/>
  <c r="E54" i="74"/>
  <c r="F54" i="74"/>
  <c r="G54" i="74"/>
  <c r="H54" i="74"/>
  <c r="I54" i="74"/>
  <c r="J54" i="74"/>
  <c r="K54" i="74"/>
  <c r="L54" i="74"/>
  <c r="M54" i="74"/>
  <c r="N54" i="74"/>
  <c r="O54" i="74"/>
  <c r="F90" i="74"/>
  <c r="H86" i="74"/>
  <c r="J90" i="74"/>
  <c r="L86" i="74"/>
  <c r="N90" i="74"/>
  <c r="D86" i="74"/>
  <c r="P84" i="74"/>
  <c r="P85" i="74"/>
  <c r="F54" i="76" s="1"/>
  <c r="G96" i="74"/>
  <c r="G102" i="74" s="1"/>
  <c r="K96" i="74"/>
  <c r="K102" i="74" s="1"/>
  <c r="O96" i="74"/>
  <c r="O102" i="74" s="1"/>
  <c r="P92" i="74"/>
  <c r="E58" i="74"/>
  <c r="F58" i="74"/>
  <c r="G58" i="74"/>
  <c r="H58" i="74"/>
  <c r="I58" i="74"/>
  <c r="J58" i="74"/>
  <c r="K58" i="74"/>
  <c r="M58" i="74"/>
  <c r="O58" i="74"/>
  <c r="P80" i="74"/>
  <c r="F49" i="76" s="1"/>
  <c r="P88" i="74"/>
  <c r="D90" i="74"/>
  <c r="F86" i="74"/>
  <c r="H90" i="74"/>
  <c r="J86" i="74"/>
  <c r="L90" i="74"/>
  <c r="N86" i="74"/>
  <c r="P56" i="74"/>
  <c r="P58" i="74" s="1"/>
  <c r="D58" i="74"/>
  <c r="N58" i="74"/>
  <c r="D54" i="74"/>
  <c r="P52" i="74"/>
  <c r="P62" i="74"/>
  <c r="H29" i="76"/>
  <c r="H27" i="76"/>
  <c r="H24" i="76"/>
  <c r="H23" i="76"/>
  <c r="H20" i="76"/>
  <c r="H19" i="76"/>
  <c r="H17" i="76"/>
  <c r="H15" i="76"/>
  <c r="F29" i="76"/>
  <c r="F27" i="76"/>
  <c r="F24" i="76"/>
  <c r="F23" i="76"/>
  <c r="F20" i="76"/>
  <c r="F19" i="76"/>
  <c r="F17" i="76"/>
  <c r="F15" i="76"/>
  <c r="M64" i="74" l="1"/>
  <c r="M70" i="74" s="1"/>
  <c r="I96" i="74"/>
  <c r="I102" i="74" s="1"/>
  <c r="L96" i="74"/>
  <c r="L102" i="74" s="1"/>
  <c r="W15" i="76"/>
  <c r="K64" i="74"/>
  <c r="K70" i="74" s="1"/>
  <c r="G64" i="74"/>
  <c r="G70" i="74" s="1"/>
  <c r="D96" i="74"/>
  <c r="D102" i="74" s="1"/>
  <c r="H64" i="74"/>
  <c r="H70" i="74" s="1"/>
  <c r="D64" i="74"/>
  <c r="D70" i="74" s="1"/>
  <c r="H96" i="74"/>
  <c r="H102" i="74" s="1"/>
  <c r="N96" i="74"/>
  <c r="N102" i="74" s="1"/>
  <c r="F96" i="74"/>
  <c r="F102" i="74" s="1"/>
  <c r="O64" i="74"/>
  <c r="O70" i="74" s="1"/>
  <c r="I64" i="74"/>
  <c r="I70" i="74" s="1"/>
  <c r="E64" i="74"/>
  <c r="E70" i="74" s="1"/>
  <c r="J96" i="74"/>
  <c r="J102" i="74" s="1"/>
  <c r="N64" i="74"/>
  <c r="N70" i="74" s="1"/>
  <c r="J64" i="74"/>
  <c r="J70" i="74" s="1"/>
  <c r="F64" i="74"/>
  <c r="F70" i="74" s="1"/>
  <c r="P86" i="74"/>
  <c r="F53" i="76"/>
  <c r="F55" i="76" s="1"/>
  <c r="P90" i="74"/>
  <c r="F57" i="76"/>
  <c r="F59" i="76" s="1"/>
  <c r="F61" i="76"/>
  <c r="W27" i="76" s="1"/>
  <c r="F25" i="76"/>
  <c r="H49" i="76"/>
  <c r="H25" i="76"/>
  <c r="H57" i="76"/>
  <c r="W17" i="76"/>
  <c r="W24" i="76"/>
  <c r="F156" i="76" s="1"/>
  <c r="H51" i="76"/>
  <c r="H58" i="76"/>
  <c r="F21" i="76"/>
  <c r="H53" i="76"/>
  <c r="H21" i="76"/>
  <c r="H61" i="76"/>
  <c r="W20" i="76"/>
  <c r="H54" i="76"/>
  <c r="H63" i="76"/>
  <c r="E27" i="76"/>
  <c r="E24" i="76"/>
  <c r="E23" i="76"/>
  <c r="E20" i="76"/>
  <c r="E19" i="76"/>
  <c r="E17" i="76"/>
  <c r="E15" i="76"/>
  <c r="D29" i="76"/>
  <c r="D193" i="76" s="1"/>
  <c r="D27" i="76"/>
  <c r="D24" i="76"/>
  <c r="D23" i="76"/>
  <c r="D20" i="76"/>
  <c r="D19" i="76"/>
  <c r="D17" i="76"/>
  <c r="D15" i="76"/>
  <c r="W19" i="76" l="1"/>
  <c r="F31" i="76"/>
  <c r="F37" i="76" s="1"/>
  <c r="W23" i="76"/>
  <c r="F155" i="76" s="1"/>
  <c r="F157" i="76" s="1"/>
  <c r="P96" i="74"/>
  <c r="P102" i="74" s="1"/>
  <c r="F65" i="76"/>
  <c r="F71" i="76" s="1"/>
  <c r="H31" i="76"/>
  <c r="H37" i="76" s="1"/>
  <c r="I27" i="76"/>
  <c r="I15" i="76"/>
  <c r="I23" i="76"/>
  <c r="I51" i="76"/>
  <c r="H181" i="76"/>
  <c r="D21" i="76"/>
  <c r="E21" i="76"/>
  <c r="H193" i="76"/>
  <c r="I63" i="76"/>
  <c r="H184" i="76"/>
  <c r="I54" i="76"/>
  <c r="H188" i="76"/>
  <c r="I58" i="76"/>
  <c r="I156" i="76"/>
  <c r="U156" i="76" s="1"/>
  <c r="H191" i="76"/>
  <c r="I61" i="76"/>
  <c r="H55" i="76"/>
  <c r="H183" i="76"/>
  <c r="H185" i="76" s="1"/>
  <c r="I53" i="76"/>
  <c r="I17" i="76"/>
  <c r="H187" i="76"/>
  <c r="H59" i="76"/>
  <c r="I57" i="76"/>
  <c r="D25" i="76"/>
  <c r="E25" i="76"/>
  <c r="I29" i="76"/>
  <c r="I20" i="76"/>
  <c r="I19" i="76"/>
  <c r="I24" i="76"/>
  <c r="I25" i="76" s="1"/>
  <c r="H179" i="76"/>
  <c r="I49" i="76"/>
  <c r="E212" i="74"/>
  <c r="F212" i="74"/>
  <c r="G212" i="74"/>
  <c r="H212" i="74"/>
  <c r="I212" i="74"/>
  <c r="J212" i="74"/>
  <c r="K212" i="74"/>
  <c r="L212" i="74"/>
  <c r="M212" i="74"/>
  <c r="N212" i="74"/>
  <c r="O212" i="74"/>
  <c r="E214" i="74"/>
  <c r="F214" i="74"/>
  <c r="G214" i="74"/>
  <c r="H214" i="74"/>
  <c r="I214" i="74"/>
  <c r="J214" i="74"/>
  <c r="K214" i="74"/>
  <c r="L214" i="74"/>
  <c r="M214" i="74"/>
  <c r="N214" i="74"/>
  <c r="O214" i="74"/>
  <c r="E216" i="74"/>
  <c r="F216" i="74"/>
  <c r="G216" i="74"/>
  <c r="H216" i="74"/>
  <c r="I216" i="74"/>
  <c r="J216" i="74"/>
  <c r="K216" i="74"/>
  <c r="L216" i="74"/>
  <c r="M216" i="74"/>
  <c r="N216" i="74"/>
  <c r="O216" i="74"/>
  <c r="E217" i="74"/>
  <c r="F217" i="74"/>
  <c r="G217" i="74"/>
  <c r="H217" i="74"/>
  <c r="I217" i="74"/>
  <c r="J217" i="74"/>
  <c r="K217" i="74"/>
  <c r="L217" i="74"/>
  <c r="M217" i="74"/>
  <c r="N217" i="74"/>
  <c r="O217" i="74"/>
  <c r="E226" i="74"/>
  <c r="F226" i="74"/>
  <c r="G226" i="74"/>
  <c r="H226" i="74"/>
  <c r="I226" i="74"/>
  <c r="J226" i="74"/>
  <c r="K226" i="74"/>
  <c r="L226" i="74"/>
  <c r="M226" i="74"/>
  <c r="N226" i="74"/>
  <c r="O226" i="74"/>
  <c r="D226" i="74"/>
  <c r="D217" i="74"/>
  <c r="D216" i="74"/>
  <c r="D214" i="74"/>
  <c r="D212" i="74"/>
  <c r="E15" i="74"/>
  <c r="F15" i="74"/>
  <c r="G15" i="74"/>
  <c r="H15" i="74"/>
  <c r="I15" i="74"/>
  <c r="J15" i="74"/>
  <c r="K15" i="74"/>
  <c r="L15" i="74"/>
  <c r="M15" i="74"/>
  <c r="N15" i="74"/>
  <c r="O15" i="74"/>
  <c r="E17" i="74"/>
  <c r="F17" i="74"/>
  <c r="G17" i="74"/>
  <c r="H17" i="74"/>
  <c r="I17" i="74"/>
  <c r="J17" i="74"/>
  <c r="K17" i="74"/>
  <c r="L17" i="74"/>
  <c r="M17" i="74"/>
  <c r="N17" i="74"/>
  <c r="O17" i="74"/>
  <c r="E19" i="74"/>
  <c r="F19" i="74"/>
  <c r="G19" i="74"/>
  <c r="H19" i="74"/>
  <c r="I19" i="74"/>
  <c r="J19" i="74"/>
  <c r="K19" i="74"/>
  <c r="L19" i="74"/>
  <c r="M19" i="74"/>
  <c r="N19" i="74"/>
  <c r="O19" i="74"/>
  <c r="E20" i="74"/>
  <c r="F20" i="74"/>
  <c r="G20" i="74"/>
  <c r="H20" i="74"/>
  <c r="I20" i="74"/>
  <c r="J20" i="74"/>
  <c r="K20" i="74"/>
  <c r="L20" i="74"/>
  <c r="M20" i="74"/>
  <c r="N20" i="74"/>
  <c r="O20" i="74"/>
  <c r="E23" i="74"/>
  <c r="F23" i="74"/>
  <c r="G23" i="74"/>
  <c r="H23" i="74"/>
  <c r="I23" i="74"/>
  <c r="J23" i="74"/>
  <c r="K23" i="74"/>
  <c r="L23" i="74"/>
  <c r="M23" i="74"/>
  <c r="N23" i="74"/>
  <c r="O23" i="74"/>
  <c r="E24" i="74"/>
  <c r="F24" i="74"/>
  <c r="G24" i="74"/>
  <c r="H24" i="74"/>
  <c r="I24" i="74"/>
  <c r="J24" i="74"/>
  <c r="K24" i="74"/>
  <c r="L24" i="74"/>
  <c r="M24" i="74"/>
  <c r="N24" i="74"/>
  <c r="O24" i="74"/>
  <c r="E27" i="74"/>
  <c r="F27" i="74"/>
  <c r="G27" i="74"/>
  <c r="H27" i="74"/>
  <c r="I27" i="74"/>
  <c r="J27" i="74"/>
  <c r="K27" i="74"/>
  <c r="L27" i="74"/>
  <c r="M27" i="74"/>
  <c r="N27" i="74"/>
  <c r="O27" i="74"/>
  <c r="E29" i="74"/>
  <c r="F29" i="74"/>
  <c r="G29" i="74"/>
  <c r="H29" i="74"/>
  <c r="I29" i="74"/>
  <c r="J29" i="74"/>
  <c r="K29" i="74"/>
  <c r="L29" i="74"/>
  <c r="M29" i="74"/>
  <c r="N29" i="74"/>
  <c r="O29" i="74"/>
  <c r="D29" i="74"/>
  <c r="D27" i="74"/>
  <c r="D24" i="74"/>
  <c r="D23" i="74"/>
  <c r="D20" i="74"/>
  <c r="D19" i="74"/>
  <c r="D17" i="74"/>
  <c r="D15" i="74"/>
  <c r="E28" i="44"/>
  <c r="F28" i="44"/>
  <c r="G28" i="44"/>
  <c r="H28" i="44"/>
  <c r="I28" i="44"/>
  <c r="J28" i="44"/>
  <c r="K28" i="44"/>
  <c r="L28" i="44"/>
  <c r="M28" i="44"/>
  <c r="N28" i="44"/>
  <c r="O28" i="44"/>
  <c r="D28" i="44"/>
  <c r="E22" i="44"/>
  <c r="F22" i="44"/>
  <c r="G22" i="44"/>
  <c r="H22" i="44"/>
  <c r="I22" i="44"/>
  <c r="J22" i="44"/>
  <c r="K22" i="44"/>
  <c r="L22" i="44"/>
  <c r="M22" i="44"/>
  <c r="N22" i="44"/>
  <c r="O22" i="44"/>
  <c r="E23" i="44"/>
  <c r="F23" i="44"/>
  <c r="G23" i="44"/>
  <c r="H23" i="44"/>
  <c r="I23" i="44"/>
  <c r="J23" i="44"/>
  <c r="K23" i="44"/>
  <c r="L23" i="44"/>
  <c r="M23" i="44"/>
  <c r="N23" i="44"/>
  <c r="O23" i="44"/>
  <c r="E26" i="44"/>
  <c r="F26" i="44"/>
  <c r="F123" i="44" s="1"/>
  <c r="G26" i="44"/>
  <c r="H26" i="44"/>
  <c r="I26" i="44"/>
  <c r="J26" i="44"/>
  <c r="J123" i="44" s="1"/>
  <c r="K26" i="44"/>
  <c r="L26" i="44"/>
  <c r="M26" i="44"/>
  <c r="N26" i="44"/>
  <c r="N123" i="44" s="1"/>
  <c r="O26" i="44"/>
  <c r="D26" i="44"/>
  <c r="D23" i="44"/>
  <c r="D22" i="44"/>
  <c r="E27" i="10"/>
  <c r="F27" i="10"/>
  <c r="G27" i="10"/>
  <c r="H27" i="10"/>
  <c r="I27" i="10"/>
  <c r="J27" i="10"/>
  <c r="K27" i="10"/>
  <c r="L27" i="10"/>
  <c r="M27" i="10"/>
  <c r="N27" i="10"/>
  <c r="O27" i="10"/>
  <c r="D27" i="10"/>
  <c r="E26" i="70"/>
  <c r="F26" i="70"/>
  <c r="G26" i="70"/>
  <c r="H26" i="70"/>
  <c r="I26" i="70"/>
  <c r="J26" i="70"/>
  <c r="K26" i="70"/>
  <c r="L26" i="70"/>
  <c r="M26" i="70"/>
  <c r="N26" i="70"/>
  <c r="O26" i="70"/>
  <c r="E28" i="70"/>
  <c r="F28" i="70"/>
  <c r="G28" i="70"/>
  <c r="H28" i="70"/>
  <c r="I28" i="70"/>
  <c r="J28" i="70"/>
  <c r="K28" i="70"/>
  <c r="L28" i="70"/>
  <c r="M28" i="70"/>
  <c r="N28" i="70"/>
  <c r="O28" i="70"/>
  <c r="D28" i="70"/>
  <c r="D26" i="70"/>
  <c r="D18" i="70"/>
  <c r="D16" i="70"/>
  <c r="H65" i="76" l="1"/>
  <c r="H71" i="76" s="1"/>
  <c r="I59" i="76"/>
  <c r="I155" i="76"/>
  <c r="U155" i="76" s="1"/>
  <c r="D31" i="76"/>
  <c r="D37" i="76" s="1"/>
  <c r="E31" i="76"/>
  <c r="E37" i="76" s="1"/>
  <c r="P15" i="74"/>
  <c r="P212" i="74"/>
  <c r="P15" i="76" s="1"/>
  <c r="P49" i="76" s="1"/>
  <c r="P179" i="76" s="1"/>
  <c r="I55" i="76"/>
  <c r="M123" i="44"/>
  <c r="I123" i="44"/>
  <c r="E123" i="44"/>
  <c r="P217" i="74"/>
  <c r="P20" i="76" s="1"/>
  <c r="P54" i="76" s="1"/>
  <c r="P184" i="76" s="1"/>
  <c r="P17" i="74"/>
  <c r="L123" i="44"/>
  <c r="H123" i="44"/>
  <c r="P27" i="74"/>
  <c r="H189" i="76"/>
  <c r="H195" i="76" s="1"/>
  <c r="H201" i="76" s="1"/>
  <c r="P24" i="74"/>
  <c r="P214" i="74"/>
  <c r="P17" i="76" s="1"/>
  <c r="P51" i="76" s="1"/>
  <c r="P181" i="76" s="1"/>
  <c r="O123" i="44"/>
  <c r="K123" i="44"/>
  <c r="G123" i="44"/>
  <c r="P20" i="74"/>
  <c r="D171" i="70"/>
  <c r="O181" i="70"/>
  <c r="K181" i="70"/>
  <c r="G181" i="70"/>
  <c r="N179" i="70"/>
  <c r="J179" i="70"/>
  <c r="F179" i="70"/>
  <c r="N19" i="70"/>
  <c r="J19" i="70"/>
  <c r="F19" i="70"/>
  <c r="M18" i="70"/>
  <c r="I18" i="70"/>
  <c r="E18" i="70"/>
  <c r="L16" i="70"/>
  <c r="H16" i="70"/>
  <c r="O14" i="70"/>
  <c r="K14" i="70"/>
  <c r="D20" i="10"/>
  <c r="O150" i="10"/>
  <c r="K150" i="10"/>
  <c r="G150" i="10"/>
  <c r="N24" i="10"/>
  <c r="J24" i="10"/>
  <c r="F24" i="10"/>
  <c r="M23" i="10"/>
  <c r="I23" i="10"/>
  <c r="E23" i="10"/>
  <c r="L20" i="10"/>
  <c r="H20" i="10"/>
  <c r="O19" i="10"/>
  <c r="K19" i="10"/>
  <c r="G19" i="10"/>
  <c r="O149" i="75"/>
  <c r="K149" i="75"/>
  <c r="G149" i="75"/>
  <c r="D16" i="44"/>
  <c r="P23" i="44"/>
  <c r="E23" i="65"/>
  <c r="O24" i="44"/>
  <c r="K24" i="44"/>
  <c r="G24" i="44"/>
  <c r="J19" i="44"/>
  <c r="F19" i="44"/>
  <c r="I18" i="44"/>
  <c r="E18" i="44"/>
  <c r="H16" i="44"/>
  <c r="K14" i="44"/>
  <c r="G14" i="44"/>
  <c r="O125" i="44"/>
  <c r="K125" i="44"/>
  <c r="G125" i="44"/>
  <c r="O25" i="74"/>
  <c r="K25" i="74"/>
  <c r="G25" i="74"/>
  <c r="M21" i="74"/>
  <c r="I21" i="74"/>
  <c r="E21" i="74"/>
  <c r="L218" i="74"/>
  <c r="L228" i="74" s="1"/>
  <c r="L234" i="74" s="1"/>
  <c r="H218" i="74"/>
  <c r="H228" i="74" s="1"/>
  <c r="H234" i="74" s="1"/>
  <c r="D19" i="70"/>
  <c r="N181" i="70"/>
  <c r="J181" i="70"/>
  <c r="F181" i="70"/>
  <c r="M179" i="70"/>
  <c r="I179" i="70"/>
  <c r="E179" i="70"/>
  <c r="M19" i="70"/>
  <c r="I19" i="70"/>
  <c r="E19" i="70"/>
  <c r="L18" i="70"/>
  <c r="H18" i="70"/>
  <c r="O16" i="70"/>
  <c r="K16" i="70"/>
  <c r="G16" i="70"/>
  <c r="N14" i="70"/>
  <c r="J14" i="70"/>
  <c r="D23" i="10"/>
  <c r="N150" i="10"/>
  <c r="J150" i="10"/>
  <c r="F150" i="10"/>
  <c r="M24" i="10"/>
  <c r="I24" i="10"/>
  <c r="E24" i="10"/>
  <c r="L23" i="10"/>
  <c r="H23" i="10"/>
  <c r="O20" i="10"/>
  <c r="K20" i="10"/>
  <c r="G20" i="10"/>
  <c r="N19" i="10"/>
  <c r="J19" i="10"/>
  <c r="F19" i="10"/>
  <c r="N149" i="75"/>
  <c r="J149" i="75"/>
  <c r="F149" i="75"/>
  <c r="D18" i="44"/>
  <c r="P26" i="44"/>
  <c r="E24" i="65"/>
  <c r="O120" i="44"/>
  <c r="G120" i="44"/>
  <c r="N24" i="44"/>
  <c r="J24" i="44"/>
  <c r="F24" i="44"/>
  <c r="I19" i="44"/>
  <c r="E19" i="44"/>
  <c r="H18" i="44"/>
  <c r="K16" i="44"/>
  <c r="G16" i="44"/>
  <c r="J14" i="44"/>
  <c r="F14" i="44"/>
  <c r="N125" i="44"/>
  <c r="J125" i="44"/>
  <c r="F125" i="44"/>
  <c r="P19" i="74"/>
  <c r="D21" i="74"/>
  <c r="N25" i="74"/>
  <c r="J25" i="74"/>
  <c r="F25" i="74"/>
  <c r="L21" i="74"/>
  <c r="H21" i="74"/>
  <c r="D218" i="74"/>
  <c r="D228" i="74" s="1"/>
  <c r="D234" i="74" s="1"/>
  <c r="P216" i="74"/>
  <c r="O218" i="74"/>
  <c r="O228" i="74" s="1"/>
  <c r="O234" i="74" s="1"/>
  <c r="K218" i="74"/>
  <c r="K228" i="74" s="1"/>
  <c r="K234" i="74" s="1"/>
  <c r="G218" i="74"/>
  <c r="G228" i="74" s="1"/>
  <c r="G234" i="74" s="1"/>
  <c r="P26" i="70"/>
  <c r="D179" i="70"/>
  <c r="M181" i="70"/>
  <c r="I181" i="70"/>
  <c r="E181" i="70"/>
  <c r="L179" i="70"/>
  <c r="H179" i="70"/>
  <c r="L19" i="70"/>
  <c r="H19" i="70"/>
  <c r="O18" i="70"/>
  <c r="K18" i="70"/>
  <c r="G18" i="70"/>
  <c r="N16" i="70"/>
  <c r="J16" i="70"/>
  <c r="F16" i="70"/>
  <c r="M14" i="70"/>
  <c r="I14" i="70"/>
  <c r="D24" i="10"/>
  <c r="M150" i="10"/>
  <c r="I150" i="10"/>
  <c r="E150" i="10"/>
  <c r="L24" i="10"/>
  <c r="H24" i="10"/>
  <c r="O23" i="10"/>
  <c r="K23" i="10"/>
  <c r="G23" i="10"/>
  <c r="N20" i="10"/>
  <c r="J20" i="10"/>
  <c r="F20" i="10"/>
  <c r="M19" i="10"/>
  <c r="I19" i="10"/>
  <c r="E19" i="10"/>
  <c r="M149" i="75"/>
  <c r="I149" i="75"/>
  <c r="E149" i="75"/>
  <c r="D19" i="44"/>
  <c r="N120" i="44"/>
  <c r="J120" i="44"/>
  <c r="F120" i="44"/>
  <c r="M24" i="44"/>
  <c r="I24" i="44"/>
  <c r="E24" i="44"/>
  <c r="H19" i="44"/>
  <c r="K18" i="44"/>
  <c r="G18" i="44"/>
  <c r="J16" i="44"/>
  <c r="F16" i="44"/>
  <c r="I14" i="44"/>
  <c r="E14" i="44"/>
  <c r="M125" i="44"/>
  <c r="I125" i="44"/>
  <c r="E125" i="44"/>
  <c r="P29" i="74"/>
  <c r="M25" i="74"/>
  <c r="I25" i="74"/>
  <c r="E25" i="74"/>
  <c r="O21" i="74"/>
  <c r="K21" i="74"/>
  <c r="G21" i="74"/>
  <c r="N218" i="74"/>
  <c r="N228" i="74" s="1"/>
  <c r="N234" i="74" s="1"/>
  <c r="J218" i="74"/>
  <c r="J228" i="74" s="1"/>
  <c r="J234" i="74" s="1"/>
  <c r="F218" i="74"/>
  <c r="F228" i="74" s="1"/>
  <c r="F234" i="74" s="1"/>
  <c r="F163" i="76"/>
  <c r="I157" i="76"/>
  <c r="U157" i="76" s="1"/>
  <c r="I65" i="76"/>
  <c r="I71" i="76" s="1"/>
  <c r="D169" i="70"/>
  <c r="D181" i="70"/>
  <c r="P28" i="70"/>
  <c r="L181" i="70"/>
  <c r="H181" i="70"/>
  <c r="O179" i="70"/>
  <c r="K179" i="70"/>
  <c r="G179" i="70"/>
  <c r="O19" i="70"/>
  <c r="K19" i="70"/>
  <c r="G19" i="70"/>
  <c r="N18" i="70"/>
  <c r="J18" i="70"/>
  <c r="F18" i="70"/>
  <c r="M16" i="70"/>
  <c r="I16" i="70"/>
  <c r="E16" i="70"/>
  <c r="L14" i="70"/>
  <c r="H14" i="70"/>
  <c r="D19" i="10"/>
  <c r="P27" i="10"/>
  <c r="L150" i="10"/>
  <c r="H150" i="10"/>
  <c r="O24" i="10"/>
  <c r="K24" i="10"/>
  <c r="G24" i="10"/>
  <c r="N23" i="10"/>
  <c r="J23" i="10"/>
  <c r="F23" i="10"/>
  <c r="M20" i="10"/>
  <c r="I20" i="10"/>
  <c r="E20" i="10"/>
  <c r="L19" i="10"/>
  <c r="H19" i="10"/>
  <c r="P27" i="75"/>
  <c r="L149" i="75"/>
  <c r="H149" i="75"/>
  <c r="P60" i="74" s="1"/>
  <c r="D14" i="44"/>
  <c r="P22" i="44"/>
  <c r="D24" i="44"/>
  <c r="M120" i="44"/>
  <c r="I120" i="44"/>
  <c r="E120" i="44"/>
  <c r="L24" i="44"/>
  <c r="H24" i="44"/>
  <c r="K19" i="44"/>
  <c r="G19" i="44"/>
  <c r="J18" i="44"/>
  <c r="F18" i="44"/>
  <c r="I16" i="44"/>
  <c r="E16" i="44"/>
  <c r="H14" i="44"/>
  <c r="P28" i="44"/>
  <c r="L125" i="44"/>
  <c r="H125" i="44"/>
  <c r="P23" i="74"/>
  <c r="D25" i="74"/>
  <c r="D31" i="74" s="1"/>
  <c r="D37" i="74" s="1"/>
  <c r="L25" i="74"/>
  <c r="L31" i="74" s="1"/>
  <c r="L37" i="74" s="1"/>
  <c r="H25" i="74"/>
  <c r="N21" i="74"/>
  <c r="J21" i="74"/>
  <c r="F21" i="74"/>
  <c r="P226" i="74"/>
  <c r="M218" i="74"/>
  <c r="M228" i="74" s="1"/>
  <c r="M234" i="74" s="1"/>
  <c r="I218" i="74"/>
  <c r="I228" i="74" s="1"/>
  <c r="I234" i="74" s="1"/>
  <c r="E218" i="74"/>
  <c r="E228" i="74" s="1"/>
  <c r="E234" i="74" s="1"/>
  <c r="I21" i="76"/>
  <c r="I31" i="76" s="1"/>
  <c r="I37" i="76" s="1"/>
  <c r="O31" i="74" l="1"/>
  <c r="O37" i="74" s="1"/>
  <c r="G31" i="74"/>
  <c r="G37" i="74" s="1"/>
  <c r="H31" i="74"/>
  <c r="H37" i="74" s="1"/>
  <c r="K31" i="74"/>
  <c r="K37" i="74" s="1"/>
  <c r="P25" i="74"/>
  <c r="E31" i="74"/>
  <c r="E37" i="74" s="1"/>
  <c r="I31" i="74"/>
  <c r="I37" i="74" s="1"/>
  <c r="M31" i="74"/>
  <c r="M37" i="74" s="1"/>
  <c r="P21" i="74"/>
  <c r="F31" i="74"/>
  <c r="F37" i="74" s="1"/>
  <c r="J31" i="74"/>
  <c r="J37" i="74" s="1"/>
  <c r="K120" i="44"/>
  <c r="P18" i="70"/>
  <c r="F19" i="65" s="1"/>
  <c r="N31" i="74"/>
  <c r="N37" i="74" s="1"/>
  <c r="Q28" i="44"/>
  <c r="D29" i="65" s="1"/>
  <c r="Q22" i="44"/>
  <c r="D23" i="65" s="1"/>
  <c r="S22" i="44"/>
  <c r="R22" i="44"/>
  <c r="Q27" i="75"/>
  <c r="H21" i="10"/>
  <c r="J25" i="10"/>
  <c r="L167" i="70"/>
  <c r="I169" i="70"/>
  <c r="F171" i="70"/>
  <c r="F20" i="70"/>
  <c r="N171" i="70"/>
  <c r="N20" i="70"/>
  <c r="N30" i="70" s="1"/>
  <c r="N36" i="70" s="1"/>
  <c r="K172" i="70"/>
  <c r="P181" i="70"/>
  <c r="D28" i="73" s="1"/>
  <c r="M240" i="70"/>
  <c r="M304" i="70" s="1"/>
  <c r="M145" i="70"/>
  <c r="O145" i="70"/>
  <c r="O240" i="70"/>
  <c r="O304" i="70" s="1"/>
  <c r="F145" i="70"/>
  <c r="F240" i="70"/>
  <c r="F304" i="70" s="1"/>
  <c r="R26" i="44"/>
  <c r="S26" i="44"/>
  <c r="J151" i="75"/>
  <c r="I151" i="75"/>
  <c r="M151" i="75"/>
  <c r="H120" i="44"/>
  <c r="P29" i="76"/>
  <c r="J20" i="44"/>
  <c r="J30" i="44" s="1"/>
  <c r="J36" i="44" s="1"/>
  <c r="L119" i="44"/>
  <c r="D150" i="10"/>
  <c r="P150" i="10" s="1"/>
  <c r="P88" i="10"/>
  <c r="D21" i="10"/>
  <c r="P19" i="10"/>
  <c r="G20" i="44"/>
  <c r="G30" i="44" s="1"/>
  <c r="G36" i="44" s="1"/>
  <c r="I119" i="44"/>
  <c r="I121" i="44" s="1"/>
  <c r="E21" i="10"/>
  <c r="M21" i="10"/>
  <c r="G25" i="10"/>
  <c r="O25" i="10"/>
  <c r="P24" i="10"/>
  <c r="Q24" i="10" s="1"/>
  <c r="M167" i="70"/>
  <c r="J169" i="70"/>
  <c r="G171" i="70"/>
  <c r="G20" i="70"/>
  <c r="O20" i="70"/>
  <c r="O30" i="70" s="1"/>
  <c r="O36" i="70" s="1"/>
  <c r="O171" i="70"/>
  <c r="L172" i="70"/>
  <c r="P179" i="70"/>
  <c r="D26" i="73" s="1"/>
  <c r="F119" i="44"/>
  <c r="F121" i="44" s="1"/>
  <c r="N119" i="44"/>
  <c r="N121" i="44" s="1"/>
  <c r="H145" i="70"/>
  <c r="H240" i="70"/>
  <c r="H304" i="70" s="1"/>
  <c r="J240" i="70"/>
  <c r="J304" i="70" s="1"/>
  <c r="J145" i="70"/>
  <c r="L240" i="70"/>
  <c r="L304" i="70" s="1"/>
  <c r="L145" i="70"/>
  <c r="D20" i="44"/>
  <c r="H31" i="75"/>
  <c r="H37" i="75" s="1"/>
  <c r="E146" i="75"/>
  <c r="P23" i="75"/>
  <c r="D25" i="75"/>
  <c r="J21" i="10"/>
  <c r="L25" i="10"/>
  <c r="J167" i="70"/>
  <c r="G169" i="70"/>
  <c r="O169" i="70"/>
  <c r="L171" i="70"/>
  <c r="L20" i="70"/>
  <c r="L30" i="70" s="1"/>
  <c r="L36" i="70" s="1"/>
  <c r="I172" i="70"/>
  <c r="P19" i="70"/>
  <c r="P20" i="70" s="1"/>
  <c r="D172" i="70"/>
  <c r="E151" i="75"/>
  <c r="F151" i="75"/>
  <c r="H151" i="75"/>
  <c r="E20" i="44"/>
  <c r="E30" i="44" s="1"/>
  <c r="E36" i="44" s="1"/>
  <c r="G119" i="44"/>
  <c r="G121" i="44" s="1"/>
  <c r="L120" i="44"/>
  <c r="G21" i="10"/>
  <c r="O21" i="10"/>
  <c r="I25" i="10"/>
  <c r="P20" i="10"/>
  <c r="Q20" i="10" s="1"/>
  <c r="O167" i="70"/>
  <c r="L169" i="70"/>
  <c r="I171" i="70"/>
  <c r="I20" i="70"/>
  <c r="I30" i="70" s="1"/>
  <c r="I36" i="70" s="1"/>
  <c r="F172" i="70"/>
  <c r="N172" i="70"/>
  <c r="D125" i="44"/>
  <c r="P125" i="44" s="1"/>
  <c r="Q125" i="44" s="1"/>
  <c r="P60" i="44"/>
  <c r="Q60" i="44" s="1"/>
  <c r="D119" i="44"/>
  <c r="P19" i="75"/>
  <c r="D21" i="75"/>
  <c r="L21" i="10"/>
  <c r="F25" i="10"/>
  <c r="N25" i="10"/>
  <c r="K147" i="10"/>
  <c r="H167" i="70"/>
  <c r="E169" i="70"/>
  <c r="M169" i="70"/>
  <c r="J171" i="70"/>
  <c r="J20" i="70"/>
  <c r="J30" i="70" s="1"/>
  <c r="J36" i="70" s="1"/>
  <c r="G172" i="70"/>
  <c r="O172" i="70"/>
  <c r="P16" i="70"/>
  <c r="F26" i="73"/>
  <c r="F27" i="65"/>
  <c r="N240" i="70"/>
  <c r="N304" i="70" s="1"/>
  <c r="N145" i="70"/>
  <c r="E240" i="70"/>
  <c r="E304" i="70" s="1"/>
  <c r="E145" i="70"/>
  <c r="D240" i="70"/>
  <c r="D145" i="70"/>
  <c r="P83" i="70"/>
  <c r="H24" i="65" s="1"/>
  <c r="O151" i="75"/>
  <c r="G151" i="75"/>
  <c r="D20" i="70"/>
  <c r="F20" i="44"/>
  <c r="F30" i="44" s="1"/>
  <c r="F36" i="44" s="1"/>
  <c r="H119" i="44"/>
  <c r="H121" i="44" s="1"/>
  <c r="P24" i="44"/>
  <c r="Q24" i="44" s="1"/>
  <c r="F31" i="75"/>
  <c r="F37" i="75" s="1"/>
  <c r="D149" i="75"/>
  <c r="P149" i="75" s="1"/>
  <c r="P88" i="75"/>
  <c r="Q27" i="10"/>
  <c r="F28" i="73"/>
  <c r="F29" i="65"/>
  <c r="Q28" i="70"/>
  <c r="R28" i="70"/>
  <c r="F169" i="76"/>
  <c r="I169" i="76" s="1"/>
  <c r="U169" i="76" s="1"/>
  <c r="I163" i="76"/>
  <c r="U163" i="76" s="1"/>
  <c r="K20" i="44"/>
  <c r="K30" i="44" s="1"/>
  <c r="K36" i="44" s="1"/>
  <c r="E119" i="44"/>
  <c r="E121" i="44" s="1"/>
  <c r="M119" i="44"/>
  <c r="M121" i="44" s="1"/>
  <c r="P24" i="75"/>
  <c r="Q24" i="75" s="1"/>
  <c r="I21" i="10"/>
  <c r="K25" i="10"/>
  <c r="I167" i="70"/>
  <c r="F169" i="70"/>
  <c r="N169" i="70"/>
  <c r="K171" i="70"/>
  <c r="K20" i="70"/>
  <c r="K30" i="70" s="1"/>
  <c r="K36" i="70" s="1"/>
  <c r="H172" i="70"/>
  <c r="P19" i="76"/>
  <c r="P218" i="74"/>
  <c r="P228" i="74" s="1"/>
  <c r="P234" i="74" s="1"/>
  <c r="H20" i="44"/>
  <c r="H30" i="44" s="1"/>
  <c r="H36" i="44" s="1"/>
  <c r="J119" i="44"/>
  <c r="J121" i="44" s="1"/>
  <c r="G240" i="70"/>
  <c r="G304" i="70" s="1"/>
  <c r="G145" i="70"/>
  <c r="I145" i="70"/>
  <c r="I240" i="70"/>
  <c r="I304" i="70" s="1"/>
  <c r="K240" i="70"/>
  <c r="K304" i="70" s="1"/>
  <c r="K145" i="70"/>
  <c r="P58" i="44"/>
  <c r="Q58" i="44" s="1"/>
  <c r="D123" i="44"/>
  <c r="P123" i="44" s="1"/>
  <c r="Q123" i="44" s="1"/>
  <c r="L31" i="75"/>
  <c r="L37" i="75" s="1"/>
  <c r="F21" i="10"/>
  <c r="N21" i="10"/>
  <c r="H25" i="10"/>
  <c r="M147" i="10"/>
  <c r="P23" i="10"/>
  <c r="D25" i="10"/>
  <c r="N167" i="70"/>
  <c r="K169" i="70"/>
  <c r="H20" i="70"/>
  <c r="H30" i="70" s="1"/>
  <c r="H36" i="70" s="1"/>
  <c r="H171" i="70"/>
  <c r="E172" i="70"/>
  <c r="M172" i="70"/>
  <c r="L151" i="75"/>
  <c r="N151" i="75"/>
  <c r="K151" i="75"/>
  <c r="I20" i="44"/>
  <c r="I30" i="44" s="1"/>
  <c r="I36" i="44" s="1"/>
  <c r="E25" i="65"/>
  <c r="Q23" i="44"/>
  <c r="D24" i="65" s="1"/>
  <c r="R23" i="44"/>
  <c r="S23" i="44"/>
  <c r="I31" i="75"/>
  <c r="I37" i="75" s="1"/>
  <c r="P20" i="75"/>
  <c r="Q20" i="75" s="1"/>
  <c r="K21" i="10"/>
  <c r="E25" i="10"/>
  <c r="M25" i="10"/>
  <c r="K167" i="70"/>
  <c r="H169" i="70"/>
  <c r="E171" i="70"/>
  <c r="E20" i="70"/>
  <c r="M171" i="70"/>
  <c r="M20" i="70"/>
  <c r="M30" i="70" s="1"/>
  <c r="M36" i="70" s="1"/>
  <c r="J172" i="70"/>
  <c r="J173" i="70" s="1"/>
  <c r="D173" i="70"/>
  <c r="M31" i="10" l="1"/>
  <c r="M37" i="10" s="1"/>
  <c r="K173" i="70"/>
  <c r="E173" i="70"/>
  <c r="P31" i="74"/>
  <c r="P37" i="74" s="1"/>
  <c r="H31" i="10"/>
  <c r="H37" i="10" s="1"/>
  <c r="F173" i="70"/>
  <c r="D31" i="10"/>
  <c r="D37" i="10" s="1"/>
  <c r="L173" i="70"/>
  <c r="L183" i="70" s="1"/>
  <c r="L189" i="70" s="1"/>
  <c r="M173" i="70"/>
  <c r="M183" i="70" s="1"/>
  <c r="M189" i="70" s="1"/>
  <c r="P171" i="70"/>
  <c r="D18" i="73" s="1"/>
  <c r="J183" i="70"/>
  <c r="J189" i="70" s="1"/>
  <c r="L147" i="10"/>
  <c r="E31" i="10"/>
  <c r="E37" i="10" s="1"/>
  <c r="N31" i="75"/>
  <c r="N37" i="75" s="1"/>
  <c r="F146" i="75"/>
  <c r="D25" i="65"/>
  <c r="L121" i="44"/>
  <c r="P54" i="44"/>
  <c r="Q54" i="44" s="1"/>
  <c r="J147" i="10"/>
  <c r="N147" i="10"/>
  <c r="N146" i="75"/>
  <c r="E147" i="10"/>
  <c r="K146" i="75"/>
  <c r="P169" i="70"/>
  <c r="D16" i="73" s="1"/>
  <c r="F18" i="73"/>
  <c r="K183" i="70"/>
  <c r="K189" i="70" s="1"/>
  <c r="G147" i="10"/>
  <c r="F20" i="73"/>
  <c r="P25" i="10"/>
  <c r="Q23" i="10"/>
  <c r="I146" i="75"/>
  <c r="H147" i="10"/>
  <c r="P85" i="75"/>
  <c r="D146" i="75"/>
  <c r="N31" i="10"/>
  <c r="N37" i="10" s="1"/>
  <c r="P21" i="75"/>
  <c r="Q19" i="75"/>
  <c r="P172" i="70"/>
  <c r="D19" i="73" s="1"/>
  <c r="D31" i="75"/>
  <c r="D37" i="75" s="1"/>
  <c r="D30" i="44"/>
  <c r="D147" i="10"/>
  <c r="P85" i="10"/>
  <c r="H146" i="75"/>
  <c r="J31" i="10"/>
  <c r="J37" i="10" s="1"/>
  <c r="P53" i="76"/>
  <c r="P183" i="76" s="1"/>
  <c r="P185" i="76" s="1"/>
  <c r="P21" i="76"/>
  <c r="E31" i="75"/>
  <c r="E37" i="75" s="1"/>
  <c r="P25" i="75"/>
  <c r="Q23" i="75"/>
  <c r="P55" i="10"/>
  <c r="J31" i="75"/>
  <c r="J37" i="75" s="1"/>
  <c r="P63" i="76"/>
  <c r="P193" i="76" s="1"/>
  <c r="P31" i="76"/>
  <c r="H173" i="70"/>
  <c r="H183" i="70" s="1"/>
  <c r="H189" i="70" s="1"/>
  <c r="P55" i="75"/>
  <c r="G31" i="75"/>
  <c r="G37" i="75" s="1"/>
  <c r="P55" i="44"/>
  <c r="Q55" i="44" s="1"/>
  <c r="D120" i="44"/>
  <c r="P120" i="44" s="1"/>
  <c r="Q120" i="44" s="1"/>
  <c r="P145" i="70"/>
  <c r="J24" i="65" s="1"/>
  <c r="F17" i="65"/>
  <c r="F16" i="73"/>
  <c r="R16" i="70"/>
  <c r="Q16" i="70"/>
  <c r="D56" i="44"/>
  <c r="F147" i="10"/>
  <c r="I31" i="10"/>
  <c r="I37" i="10" s="1"/>
  <c r="M31" i="75"/>
  <c r="M37" i="75" s="1"/>
  <c r="F19" i="73"/>
  <c r="F20" i="65"/>
  <c r="F21" i="65" s="1"/>
  <c r="I147" i="10"/>
  <c r="L31" i="10"/>
  <c r="L37" i="10" s="1"/>
  <c r="M146" i="75"/>
  <c r="O173" i="70"/>
  <c r="O183" i="70" s="1"/>
  <c r="O189" i="70" s="1"/>
  <c r="G173" i="70"/>
  <c r="G31" i="10"/>
  <c r="G37" i="10" s="1"/>
  <c r="P21" i="10"/>
  <c r="Q19" i="10"/>
  <c r="G146" i="75"/>
  <c r="N173" i="70"/>
  <c r="N183" i="70" s="1"/>
  <c r="N189" i="70" s="1"/>
  <c r="G96" i="76"/>
  <c r="K119" i="44"/>
  <c r="K121" i="44" s="1"/>
  <c r="K31" i="10"/>
  <c r="K37" i="10" s="1"/>
  <c r="L146" i="75"/>
  <c r="O31" i="75"/>
  <c r="O37" i="75" s="1"/>
  <c r="D151" i="75"/>
  <c r="P151" i="75" s="1"/>
  <c r="P90" i="75"/>
  <c r="D304" i="70"/>
  <c r="P304" i="70" s="1"/>
  <c r="P240" i="70"/>
  <c r="F31" i="10"/>
  <c r="F37" i="10" s="1"/>
  <c r="J146" i="75"/>
  <c r="O119" i="44"/>
  <c r="O121" i="44" s="1"/>
  <c r="I173" i="70"/>
  <c r="I183" i="70" s="1"/>
  <c r="I189" i="70" s="1"/>
  <c r="O31" i="10"/>
  <c r="O37" i="10" s="1"/>
  <c r="K31" i="75"/>
  <c r="K37" i="75" s="1"/>
  <c r="O146" i="75"/>
  <c r="O147" i="10"/>
  <c r="D20" i="73" l="1"/>
  <c r="P31" i="75"/>
  <c r="P37" i="75" s="1"/>
  <c r="P173" i="70"/>
  <c r="Q56" i="44"/>
  <c r="P119" i="44"/>
  <c r="Q119" i="44" s="1"/>
  <c r="P195" i="76"/>
  <c r="P201" i="76" s="1"/>
  <c r="G193" i="76"/>
  <c r="G195" i="76" s="1"/>
  <c r="G201" i="76" s="1"/>
  <c r="G98" i="76"/>
  <c r="G104" i="76" s="1"/>
  <c r="D121" i="44"/>
  <c r="P121" i="44" s="1"/>
  <c r="Q121" i="44" s="1"/>
  <c r="D36" i="44"/>
  <c r="P56" i="44"/>
  <c r="L58" i="74"/>
  <c r="L64" i="74" s="1"/>
  <c r="L70" i="74" s="1"/>
  <c r="P65" i="76"/>
  <c r="P37" i="76"/>
  <c r="P71" i="76" s="1"/>
  <c r="P55" i="76"/>
  <c r="P147" i="10"/>
  <c r="P146" i="75"/>
  <c r="P31" i="10"/>
  <c r="P37" i="10" s="1"/>
  <c r="N102" i="77" l="1"/>
  <c r="N98" i="77"/>
  <c r="N83" i="77"/>
  <c r="N288" i="74" s="1"/>
  <c r="L83" i="77"/>
  <c r="M81" i="77"/>
  <c r="M286" i="74" s="1"/>
  <c r="N81" i="77"/>
  <c r="N286" i="74" s="1"/>
  <c r="O81" i="77"/>
  <c r="O286" i="74" s="1"/>
  <c r="L81" i="77"/>
  <c r="N77" i="77"/>
  <c r="N73" i="77"/>
  <c r="O74" i="77"/>
  <c r="O279" i="74" s="1"/>
  <c r="N71" i="77"/>
  <c r="N69" i="77"/>
  <c r="E54" i="77"/>
  <c r="F54" i="77"/>
  <c r="G54" i="77"/>
  <c r="H54" i="77"/>
  <c r="I54" i="77"/>
  <c r="I125" i="74" s="1"/>
  <c r="J54" i="77"/>
  <c r="J125" i="74" s="1"/>
  <c r="K54" i="77"/>
  <c r="L54" i="77"/>
  <c r="L125" i="74" s="1"/>
  <c r="M54" i="77"/>
  <c r="N54" i="77"/>
  <c r="O54" i="77"/>
  <c r="O125" i="74" s="1"/>
  <c r="D54" i="77"/>
  <c r="E50" i="77"/>
  <c r="F50" i="77"/>
  <c r="G50" i="77"/>
  <c r="H50" i="77"/>
  <c r="I50" i="77"/>
  <c r="J50" i="77"/>
  <c r="K50" i="77"/>
  <c r="L50" i="77"/>
  <c r="M50" i="77"/>
  <c r="N50" i="77"/>
  <c r="O50" i="77"/>
  <c r="E51" i="77"/>
  <c r="E122" i="74" s="1"/>
  <c r="F51" i="77"/>
  <c r="F122" i="74" s="1"/>
  <c r="G51" i="77"/>
  <c r="G122" i="74" s="1"/>
  <c r="H51" i="77"/>
  <c r="H122" i="74" s="1"/>
  <c r="I51" i="77"/>
  <c r="I122" i="74" s="1"/>
  <c r="J51" i="77"/>
  <c r="J122" i="74" s="1"/>
  <c r="K51" i="77"/>
  <c r="K122" i="74" s="1"/>
  <c r="L51" i="77"/>
  <c r="L122" i="74" s="1"/>
  <c r="M51" i="77"/>
  <c r="M122" i="74" s="1"/>
  <c r="N51" i="77"/>
  <c r="N122" i="74" s="1"/>
  <c r="O51" i="77"/>
  <c r="O122" i="74" s="1"/>
  <c r="D51" i="77"/>
  <c r="D50" i="77"/>
  <c r="E46" i="77"/>
  <c r="F46" i="77"/>
  <c r="G46" i="77"/>
  <c r="H46" i="77"/>
  <c r="I46" i="77"/>
  <c r="J46" i="77"/>
  <c r="K46" i="77"/>
  <c r="L46" i="77"/>
  <c r="M46" i="77"/>
  <c r="N46" i="77"/>
  <c r="O46" i="77"/>
  <c r="E47" i="77"/>
  <c r="E118" i="74" s="1"/>
  <c r="F47" i="77"/>
  <c r="F118" i="74" s="1"/>
  <c r="G47" i="77"/>
  <c r="G118" i="74" s="1"/>
  <c r="H47" i="77"/>
  <c r="H118" i="74" s="1"/>
  <c r="I47" i="77"/>
  <c r="I118" i="74" s="1"/>
  <c r="J47" i="77"/>
  <c r="J118" i="74" s="1"/>
  <c r="K47" i="77"/>
  <c r="K118" i="74" s="1"/>
  <c r="L47" i="77"/>
  <c r="L118" i="74" s="1"/>
  <c r="M47" i="77"/>
  <c r="M118" i="74" s="1"/>
  <c r="N47" i="77"/>
  <c r="N118" i="74" s="1"/>
  <c r="O47" i="77"/>
  <c r="O118" i="74" s="1"/>
  <c r="D47" i="77"/>
  <c r="D46" i="77"/>
  <c r="E44" i="77"/>
  <c r="E115" i="74" s="1"/>
  <c r="F44" i="77"/>
  <c r="F115" i="74" s="1"/>
  <c r="G44" i="77"/>
  <c r="G115" i="74" s="1"/>
  <c r="H44" i="77"/>
  <c r="H115" i="74" s="1"/>
  <c r="I44" i="77"/>
  <c r="I115" i="74" s="1"/>
  <c r="J44" i="77"/>
  <c r="J115" i="74" s="1"/>
  <c r="K44" i="77"/>
  <c r="K115" i="74" s="1"/>
  <c r="L44" i="77"/>
  <c r="L115" i="74" s="1"/>
  <c r="M44" i="77"/>
  <c r="M115" i="74" s="1"/>
  <c r="N44" i="77"/>
  <c r="N115" i="74" s="1"/>
  <c r="O44" i="77"/>
  <c r="O115" i="74" s="1"/>
  <c r="D44" i="77"/>
  <c r="E42" i="77"/>
  <c r="E113" i="74" s="1"/>
  <c r="F42" i="77"/>
  <c r="F113" i="74" s="1"/>
  <c r="G42" i="77"/>
  <c r="G113" i="74" s="1"/>
  <c r="H42" i="77"/>
  <c r="H113" i="74" s="1"/>
  <c r="I42" i="77"/>
  <c r="I113" i="74" s="1"/>
  <c r="J42" i="77"/>
  <c r="J113" i="74" s="1"/>
  <c r="K42" i="77"/>
  <c r="K113" i="74" s="1"/>
  <c r="L42" i="77"/>
  <c r="L113" i="74" s="1"/>
  <c r="M42" i="77"/>
  <c r="M113" i="74" s="1"/>
  <c r="N42" i="77"/>
  <c r="N113" i="74" s="1"/>
  <c r="O42" i="77"/>
  <c r="O113" i="74" s="1"/>
  <c r="D42" i="77"/>
  <c r="G110" i="77"/>
  <c r="G191" i="74" s="1"/>
  <c r="K110" i="77"/>
  <c r="K191" i="74" s="1"/>
  <c r="L110" i="77"/>
  <c r="L191" i="74" s="1"/>
  <c r="O110" i="77"/>
  <c r="O191" i="74" s="1"/>
  <c r="E22" i="77"/>
  <c r="F22" i="77"/>
  <c r="G22" i="77"/>
  <c r="H22" i="77"/>
  <c r="I22" i="77"/>
  <c r="J22" i="77"/>
  <c r="K22" i="77"/>
  <c r="L22" i="77"/>
  <c r="M22" i="77"/>
  <c r="N22" i="77"/>
  <c r="O22" i="77"/>
  <c r="D22" i="77"/>
  <c r="E18" i="77"/>
  <c r="F18" i="77"/>
  <c r="G18" i="77"/>
  <c r="H18" i="77"/>
  <c r="I18" i="77"/>
  <c r="J18" i="77"/>
  <c r="K18" i="77"/>
  <c r="L18" i="77"/>
  <c r="M18" i="77"/>
  <c r="N18" i="77"/>
  <c r="O18" i="77"/>
  <c r="D18" i="77"/>
  <c r="E16" i="77"/>
  <c r="E245" i="74" s="1"/>
  <c r="F16" i="77"/>
  <c r="F245" i="74" s="1"/>
  <c r="G16" i="77"/>
  <c r="G245" i="74" s="1"/>
  <c r="H16" i="77"/>
  <c r="H245" i="74" s="1"/>
  <c r="I16" i="77"/>
  <c r="I245" i="74" s="1"/>
  <c r="J16" i="77"/>
  <c r="J245" i="74" s="1"/>
  <c r="K16" i="77"/>
  <c r="K245" i="74" s="1"/>
  <c r="L16" i="77"/>
  <c r="L245" i="74" s="1"/>
  <c r="M16" i="77"/>
  <c r="M245" i="74" s="1"/>
  <c r="N16" i="77"/>
  <c r="N245" i="74" s="1"/>
  <c r="O16" i="77"/>
  <c r="O245" i="74" s="1"/>
  <c r="D16" i="77"/>
  <c r="E14" i="77"/>
  <c r="E243" i="74" s="1"/>
  <c r="F14" i="77"/>
  <c r="F243" i="74" s="1"/>
  <c r="G14" i="77"/>
  <c r="G243" i="74" s="1"/>
  <c r="H14" i="77"/>
  <c r="H243" i="74" s="1"/>
  <c r="I14" i="77"/>
  <c r="I243" i="74" s="1"/>
  <c r="J14" i="77"/>
  <c r="J243" i="74" s="1"/>
  <c r="K14" i="77"/>
  <c r="K243" i="74" s="1"/>
  <c r="L14" i="77"/>
  <c r="L243" i="74" s="1"/>
  <c r="M14" i="77"/>
  <c r="M243" i="74" s="1"/>
  <c r="N14" i="77"/>
  <c r="N243" i="74" s="1"/>
  <c r="O14" i="77"/>
  <c r="O243" i="74" s="1"/>
  <c r="D14" i="77"/>
  <c r="N247" i="74" l="1"/>
  <c r="N249" i="74" s="1"/>
  <c r="N20" i="77"/>
  <c r="J247" i="74"/>
  <c r="J249" i="74" s="1"/>
  <c r="J20" i="77"/>
  <c r="F247" i="74"/>
  <c r="F249" i="74" s="1"/>
  <c r="F20" i="77"/>
  <c r="N251" i="74"/>
  <c r="N253" i="74" s="1"/>
  <c r="N259" i="74" s="1"/>
  <c r="N265" i="74" s="1"/>
  <c r="N24" i="77"/>
  <c r="J251" i="74"/>
  <c r="J253" i="74" s="1"/>
  <c r="J24" i="77"/>
  <c r="F251" i="74"/>
  <c r="F253" i="74" s="1"/>
  <c r="F259" i="74" s="1"/>
  <c r="F265" i="74" s="1"/>
  <c r="F24" i="77"/>
  <c r="M110" i="77"/>
  <c r="M191" i="74" s="1"/>
  <c r="I110" i="77"/>
  <c r="I191" i="74" s="1"/>
  <c r="E110" i="77"/>
  <c r="E191" i="74" s="1"/>
  <c r="D113" i="74"/>
  <c r="P113" i="74" s="1"/>
  <c r="K15" i="76" s="1"/>
  <c r="K49" i="76" s="1"/>
  <c r="P42" i="77"/>
  <c r="D115" i="74"/>
  <c r="P115" i="74" s="1"/>
  <c r="K17" i="76" s="1"/>
  <c r="K51" i="76" s="1"/>
  <c r="P44" i="77"/>
  <c r="D117" i="74"/>
  <c r="P46" i="77"/>
  <c r="D48" i="77"/>
  <c r="L117" i="74"/>
  <c r="L119" i="74" s="1"/>
  <c r="L48" i="77"/>
  <c r="H117" i="74"/>
  <c r="H48" i="77"/>
  <c r="D121" i="74"/>
  <c r="P50" i="77"/>
  <c r="D52" i="77"/>
  <c r="L121" i="74"/>
  <c r="L123" i="74" s="1"/>
  <c r="L52" i="77"/>
  <c r="H121" i="74"/>
  <c r="H123" i="74" s="1"/>
  <c r="H52" i="77"/>
  <c r="D125" i="74"/>
  <c r="P54" i="77"/>
  <c r="H125" i="74"/>
  <c r="L69" i="77"/>
  <c r="L71" i="77"/>
  <c r="L74" i="77"/>
  <c r="M74" i="77"/>
  <c r="M279" i="74" s="1"/>
  <c r="L77" i="77"/>
  <c r="M78" i="77"/>
  <c r="M283" i="74" s="1"/>
  <c r="L286" i="74"/>
  <c r="P286" i="74" s="1"/>
  <c r="R27" i="76" s="1"/>
  <c r="R61" i="76" s="1"/>
  <c r="P81" i="77"/>
  <c r="L288" i="74"/>
  <c r="M247" i="74"/>
  <c r="M249" i="74" s="1"/>
  <c r="M20" i="77"/>
  <c r="I247" i="74"/>
  <c r="I249" i="74" s="1"/>
  <c r="I20" i="77"/>
  <c r="E247" i="74"/>
  <c r="E249" i="74" s="1"/>
  <c r="E20" i="77"/>
  <c r="M251" i="74"/>
  <c r="M253" i="74" s="1"/>
  <c r="M24" i="77"/>
  <c r="I251" i="74"/>
  <c r="I253" i="74" s="1"/>
  <c r="I24" i="77"/>
  <c r="E251" i="74"/>
  <c r="E253" i="74" s="1"/>
  <c r="E24" i="77"/>
  <c r="L195" i="74"/>
  <c r="L201" i="74" s="1"/>
  <c r="L114" i="77"/>
  <c r="L120" i="77" s="1"/>
  <c r="H110" i="77"/>
  <c r="H191" i="74" s="1"/>
  <c r="D110" i="77"/>
  <c r="D191" i="74" s="1"/>
  <c r="D118" i="74"/>
  <c r="P118" i="74" s="1"/>
  <c r="K20" i="76" s="1"/>
  <c r="K54" i="76" s="1"/>
  <c r="P47" i="77"/>
  <c r="H119" i="74"/>
  <c r="O48" i="77"/>
  <c r="O117" i="74"/>
  <c r="O119" i="74" s="1"/>
  <c r="K117" i="74"/>
  <c r="K119" i="74" s="1"/>
  <c r="K48" i="77"/>
  <c r="G117" i="74"/>
  <c r="G119" i="74" s="1"/>
  <c r="G48" i="77"/>
  <c r="D122" i="74"/>
  <c r="P122" i="74" s="1"/>
  <c r="K24" i="76" s="1"/>
  <c r="K58" i="76" s="1"/>
  <c r="P51" i="77"/>
  <c r="O121" i="74"/>
  <c r="O123" i="74" s="1"/>
  <c r="O52" i="77"/>
  <c r="K121" i="74"/>
  <c r="K123" i="74" s="1"/>
  <c r="K52" i="77"/>
  <c r="K58" i="77" s="1"/>
  <c r="K64" i="77" s="1"/>
  <c r="G121" i="74"/>
  <c r="G123" i="74" s="1"/>
  <c r="G52" i="77"/>
  <c r="G58" i="77" s="1"/>
  <c r="G64" i="77" s="1"/>
  <c r="K125" i="74"/>
  <c r="G125" i="74"/>
  <c r="O69" i="77"/>
  <c r="O274" i="74" s="1"/>
  <c r="O71" i="77"/>
  <c r="O276" i="74" s="1"/>
  <c r="L73" i="77"/>
  <c r="O73" i="77"/>
  <c r="L78" i="77"/>
  <c r="O77" i="77"/>
  <c r="O83" i="77"/>
  <c r="N274" i="74"/>
  <c r="P98" i="77"/>
  <c r="D243" i="74"/>
  <c r="P243" i="74" s="1"/>
  <c r="Q15" i="76" s="1"/>
  <c r="Q49" i="76" s="1"/>
  <c r="P14" i="77"/>
  <c r="D245" i="74"/>
  <c r="P245" i="74" s="1"/>
  <c r="Q17" i="76" s="1"/>
  <c r="P16" i="77"/>
  <c r="D247" i="74"/>
  <c r="P18" i="77"/>
  <c r="P20" i="77" s="1"/>
  <c r="D20" i="77"/>
  <c r="L247" i="74"/>
  <c r="L249" i="74" s="1"/>
  <c r="L20" i="77"/>
  <c r="H247" i="74"/>
  <c r="H249" i="74" s="1"/>
  <c r="H20" i="77"/>
  <c r="D251" i="74"/>
  <c r="D24" i="77"/>
  <c r="P22" i="77"/>
  <c r="P24" i="77" s="1"/>
  <c r="L251" i="74"/>
  <c r="L253" i="74" s="1"/>
  <c r="L24" i="77"/>
  <c r="H251" i="74"/>
  <c r="H253" i="74" s="1"/>
  <c r="H24" i="77"/>
  <c r="O195" i="74"/>
  <c r="O201" i="74" s="1"/>
  <c r="O114" i="77"/>
  <c r="O120" i="77" s="1"/>
  <c r="K195" i="74"/>
  <c r="K201" i="74" s="1"/>
  <c r="K114" i="77"/>
  <c r="K120" i="77" s="1"/>
  <c r="G195" i="74"/>
  <c r="G201" i="74" s="1"/>
  <c r="G114" i="77"/>
  <c r="G120" i="77" s="1"/>
  <c r="N117" i="74"/>
  <c r="N119" i="74" s="1"/>
  <c r="N48" i="77"/>
  <c r="J117" i="74"/>
  <c r="J119" i="74" s="1"/>
  <c r="J48" i="77"/>
  <c r="F117" i="74"/>
  <c r="F119" i="74" s="1"/>
  <c r="F48" i="77"/>
  <c r="N121" i="74"/>
  <c r="N123" i="74" s="1"/>
  <c r="N52" i="77"/>
  <c r="J121" i="74"/>
  <c r="J123" i="74" s="1"/>
  <c r="J52" i="77"/>
  <c r="F121" i="74"/>
  <c r="F123" i="74" s="1"/>
  <c r="F52" i="77"/>
  <c r="N125" i="74"/>
  <c r="F125" i="74"/>
  <c r="O78" i="77"/>
  <c r="O283" i="74" s="1"/>
  <c r="N282" i="74"/>
  <c r="N104" i="77"/>
  <c r="P102" i="77"/>
  <c r="P104" i="77" s="1"/>
  <c r="N278" i="74"/>
  <c r="O247" i="74"/>
  <c r="O249" i="74" s="1"/>
  <c r="O20" i="77"/>
  <c r="K247" i="74"/>
  <c r="K249" i="74" s="1"/>
  <c r="K20" i="77"/>
  <c r="G247" i="74"/>
  <c r="G249" i="74" s="1"/>
  <c r="G20" i="77"/>
  <c r="O251" i="74"/>
  <c r="O253" i="74" s="1"/>
  <c r="O24" i="77"/>
  <c r="K251" i="74"/>
  <c r="K253" i="74" s="1"/>
  <c r="K24" i="77"/>
  <c r="G251" i="74"/>
  <c r="G253" i="74" s="1"/>
  <c r="G24" i="77"/>
  <c r="N110" i="77"/>
  <c r="J110" i="77"/>
  <c r="J191" i="74" s="1"/>
  <c r="F110" i="77"/>
  <c r="F191" i="74" s="1"/>
  <c r="M48" i="77"/>
  <c r="M117" i="74"/>
  <c r="M119" i="74" s="1"/>
  <c r="I48" i="77"/>
  <c r="I117" i="74"/>
  <c r="I119" i="74" s="1"/>
  <c r="E117" i="74"/>
  <c r="E119" i="74" s="1"/>
  <c r="E48" i="77"/>
  <c r="M121" i="74"/>
  <c r="M123" i="74" s="1"/>
  <c r="M52" i="77"/>
  <c r="I121" i="74"/>
  <c r="I123" i="74" s="1"/>
  <c r="I52" i="77"/>
  <c r="E121" i="74"/>
  <c r="E123" i="74" s="1"/>
  <c r="E52" i="77"/>
  <c r="M125" i="74"/>
  <c r="E125" i="74"/>
  <c r="M69" i="77"/>
  <c r="M274" i="74" s="1"/>
  <c r="M71" i="77"/>
  <c r="M276" i="74" s="1"/>
  <c r="N74" i="77"/>
  <c r="N279" i="74" s="1"/>
  <c r="M73" i="77"/>
  <c r="N78" i="77"/>
  <c r="N283" i="74" s="1"/>
  <c r="M77" i="77"/>
  <c r="M83" i="77"/>
  <c r="N100" i="77"/>
  <c r="D58" i="77" l="1"/>
  <c r="D64" i="77" s="1"/>
  <c r="O129" i="74"/>
  <c r="O135" i="74" s="1"/>
  <c r="N191" i="74"/>
  <c r="N195" i="74" s="1"/>
  <c r="N201" i="74" s="1"/>
  <c r="Q51" i="76"/>
  <c r="Q181" i="76" s="1"/>
  <c r="Q179" i="76"/>
  <c r="I259" i="74"/>
  <c r="I265" i="74" s="1"/>
  <c r="P83" i="77"/>
  <c r="I129" i="74"/>
  <c r="I135" i="74" s="1"/>
  <c r="E58" i="77"/>
  <c r="E64" i="77" s="1"/>
  <c r="J129" i="74"/>
  <c r="J135" i="74" s="1"/>
  <c r="F30" i="77"/>
  <c r="F36" i="77" s="1"/>
  <c r="N30" i="77"/>
  <c r="H30" i="77"/>
  <c r="H58" i="77"/>
  <c r="H64" i="77" s="1"/>
  <c r="I58" i="77"/>
  <c r="I64" i="77" s="1"/>
  <c r="G259" i="74"/>
  <c r="G265" i="74" s="1"/>
  <c r="O259" i="74"/>
  <c r="O265" i="74" s="1"/>
  <c r="K259" i="74"/>
  <c r="K265" i="74" s="1"/>
  <c r="H259" i="74"/>
  <c r="H265" i="74" s="1"/>
  <c r="D30" i="77"/>
  <c r="D36" i="77" s="1"/>
  <c r="E30" i="77"/>
  <c r="E36" i="77" s="1"/>
  <c r="M30" i="77"/>
  <c r="M36" i="77" s="1"/>
  <c r="L129" i="74"/>
  <c r="L135" i="74" s="1"/>
  <c r="M58" i="77"/>
  <c r="M64" i="77" s="1"/>
  <c r="G30" i="77"/>
  <c r="G36" i="77" s="1"/>
  <c r="O30" i="77"/>
  <c r="O36" i="77" s="1"/>
  <c r="F58" i="77"/>
  <c r="F64" i="77" s="1"/>
  <c r="N58" i="77"/>
  <c r="N64" i="77" s="1"/>
  <c r="L30" i="77"/>
  <c r="L36" i="77" s="1"/>
  <c r="E259" i="74"/>
  <c r="E265" i="74" s="1"/>
  <c r="M259" i="74"/>
  <c r="M265" i="74" s="1"/>
  <c r="J259" i="74"/>
  <c r="J265" i="74" s="1"/>
  <c r="E129" i="74"/>
  <c r="E135" i="74" s="1"/>
  <c r="J195" i="74"/>
  <c r="J201" i="74" s="1"/>
  <c r="J114" i="77"/>
  <c r="J120" i="77" s="1"/>
  <c r="N280" i="74"/>
  <c r="N284" i="74"/>
  <c r="N129" i="74"/>
  <c r="N135" i="74" s="1"/>
  <c r="D249" i="74"/>
  <c r="P247" i="74"/>
  <c r="K129" i="74"/>
  <c r="K135" i="74" s="1"/>
  <c r="L282" i="74"/>
  <c r="P77" i="77"/>
  <c r="L79" i="77"/>
  <c r="L279" i="74"/>
  <c r="P279" i="74" s="1"/>
  <c r="R20" i="76" s="1"/>
  <c r="R54" i="76" s="1"/>
  <c r="P74" i="77"/>
  <c r="L274" i="74"/>
  <c r="P274" i="74" s="1"/>
  <c r="R15" i="76" s="1"/>
  <c r="R49" i="76" s="1"/>
  <c r="P69" i="77"/>
  <c r="P48" i="77"/>
  <c r="I195" i="74"/>
  <c r="I201" i="74" s="1"/>
  <c r="I114" i="77"/>
  <c r="I120" i="77" s="1"/>
  <c r="N36" i="77"/>
  <c r="F129" i="74"/>
  <c r="F135" i="74" s="1"/>
  <c r="D253" i="74"/>
  <c r="P251" i="74"/>
  <c r="O282" i="74"/>
  <c r="O284" i="74" s="1"/>
  <c r="O79" i="77"/>
  <c r="O75" i="77"/>
  <c r="O278" i="74"/>
  <c r="O280" i="74" s="1"/>
  <c r="H195" i="74"/>
  <c r="H201" i="74" s="1"/>
  <c r="H114" i="77"/>
  <c r="H120" i="77" s="1"/>
  <c r="P52" i="77"/>
  <c r="P117" i="74"/>
  <c r="D119" i="74"/>
  <c r="F195" i="74"/>
  <c r="F201" i="74" s="1"/>
  <c r="F114" i="77"/>
  <c r="F120" i="77" s="1"/>
  <c r="K30" i="77"/>
  <c r="N114" i="77"/>
  <c r="N120" i="77" s="1"/>
  <c r="L259" i="74"/>
  <c r="L265" i="74" s="1"/>
  <c r="G129" i="74"/>
  <c r="G135" i="74" s="1"/>
  <c r="O58" i="77"/>
  <c r="O64" i="77" s="1"/>
  <c r="L276" i="74"/>
  <c r="P71" i="77"/>
  <c r="L58" i="77"/>
  <c r="L64" i="77" s="1"/>
  <c r="D123" i="74"/>
  <c r="P121" i="74"/>
  <c r="E195" i="74"/>
  <c r="E201" i="74" s="1"/>
  <c r="E114" i="77"/>
  <c r="E120" i="77" s="1"/>
  <c r="M195" i="74"/>
  <c r="M201" i="74" s="1"/>
  <c r="M114" i="77"/>
  <c r="M120" i="77" s="1"/>
  <c r="J30" i="77"/>
  <c r="M288" i="74"/>
  <c r="P100" i="77"/>
  <c r="N276" i="74"/>
  <c r="M282" i="74"/>
  <c r="M284" i="74" s="1"/>
  <c r="M79" i="77"/>
  <c r="M278" i="74"/>
  <c r="M280" i="74" s="1"/>
  <c r="M75" i="77"/>
  <c r="M129" i="74"/>
  <c r="M135" i="74" s="1"/>
  <c r="N79" i="77"/>
  <c r="N75" i="77"/>
  <c r="J58" i="77"/>
  <c r="J64" i="77" s="1"/>
  <c r="H36" i="77"/>
  <c r="P30" i="77"/>
  <c r="O288" i="74"/>
  <c r="L283" i="74"/>
  <c r="P283" i="74" s="1"/>
  <c r="R24" i="76" s="1"/>
  <c r="R58" i="76" s="1"/>
  <c r="P78" i="77"/>
  <c r="L278" i="74"/>
  <c r="L75" i="77"/>
  <c r="P73" i="77"/>
  <c r="D114" i="77"/>
  <c r="D120" i="77" s="1"/>
  <c r="P110" i="77"/>
  <c r="I30" i="77"/>
  <c r="H129" i="74"/>
  <c r="H135" i="74" s="1"/>
  <c r="P125" i="74"/>
  <c r="O85" i="77" l="1"/>
  <c r="O91" i="77" s="1"/>
  <c r="P58" i="77"/>
  <c r="P64" i="77" s="1"/>
  <c r="P75" i="77"/>
  <c r="P288" i="74"/>
  <c r="R29" i="76" s="1"/>
  <c r="D259" i="74"/>
  <c r="D265" i="74" s="1"/>
  <c r="P114" i="77"/>
  <c r="P120" i="77" s="1"/>
  <c r="N85" i="77"/>
  <c r="N91" i="77" s="1"/>
  <c r="M85" i="77"/>
  <c r="M91" i="77" s="1"/>
  <c r="P276" i="74"/>
  <c r="R17" i="76" s="1"/>
  <c r="R51" i="76" s="1"/>
  <c r="O290" i="74"/>
  <c r="O296" i="74" s="1"/>
  <c r="I36" i="77"/>
  <c r="P278" i="74"/>
  <c r="L280" i="74"/>
  <c r="J36" i="77"/>
  <c r="K184" i="76"/>
  <c r="K188" i="76"/>
  <c r="K181" i="76"/>
  <c r="P191" i="74"/>
  <c r="N27" i="76" s="1"/>
  <c r="D195" i="74"/>
  <c r="D201" i="74" s="1"/>
  <c r="P36" i="77"/>
  <c r="K23" i="76"/>
  <c r="K57" i="76" s="1"/>
  <c r="P123" i="74"/>
  <c r="K36" i="77"/>
  <c r="K179" i="76"/>
  <c r="P253" i="74"/>
  <c r="Q23" i="76"/>
  <c r="Q57" i="76" s="1"/>
  <c r="L85" i="77"/>
  <c r="L91" i="77" s="1"/>
  <c r="Q19" i="76"/>
  <c r="Q53" i="76" s="1"/>
  <c r="P249" i="74"/>
  <c r="P259" i="74" s="1"/>
  <c r="P265" i="74" s="1"/>
  <c r="K27" i="76"/>
  <c r="K61" i="76" s="1"/>
  <c r="D129" i="74"/>
  <c r="D135" i="74" s="1"/>
  <c r="P79" i="77"/>
  <c r="P85" i="77" s="1"/>
  <c r="P91" i="77" s="1"/>
  <c r="N290" i="74"/>
  <c r="N296" i="74" s="1"/>
  <c r="M290" i="74"/>
  <c r="M296" i="74" s="1"/>
  <c r="K19" i="76"/>
  <c r="K53" i="76" s="1"/>
  <c r="P119" i="74"/>
  <c r="L284" i="74"/>
  <c r="L290" i="74" s="1"/>
  <c r="L296" i="74" s="1"/>
  <c r="P282" i="74"/>
  <c r="P280" i="74" l="1"/>
  <c r="R19" i="76"/>
  <c r="R63" i="76"/>
  <c r="P284" i="74"/>
  <c r="P290" i="74" s="1"/>
  <c r="P296" i="74" s="1"/>
  <c r="R23" i="76"/>
  <c r="P129" i="74"/>
  <c r="P135" i="74" s="1"/>
  <c r="K21" i="76"/>
  <c r="K55" i="76" s="1"/>
  <c r="Q21" i="76"/>
  <c r="Q55" i="76" s="1"/>
  <c r="Q183" i="76"/>
  <c r="Q185" i="76" s="1"/>
  <c r="Q25" i="76"/>
  <c r="Q59" i="76" s="1"/>
  <c r="Q187" i="76"/>
  <c r="Q189" i="76" s="1"/>
  <c r="K25" i="76"/>
  <c r="K59" i="76" s="1"/>
  <c r="P195" i="74"/>
  <c r="P201" i="74" s="1"/>
  <c r="R57" i="76" l="1"/>
  <c r="R25" i="76"/>
  <c r="R53" i="76"/>
  <c r="R21" i="76"/>
  <c r="R55" i="76" s="1"/>
  <c r="Q31" i="76"/>
  <c r="Q195" i="76"/>
  <c r="Q201" i="76" s="1"/>
  <c r="K65" i="76"/>
  <c r="K187" i="76"/>
  <c r="K189" i="76" s="1"/>
  <c r="N61" i="76"/>
  <c r="N191" i="76" s="1"/>
  <c r="N195" i="76" s="1"/>
  <c r="N201" i="76" s="1"/>
  <c r="N31" i="76"/>
  <c r="K191" i="76"/>
  <c r="K183" i="76"/>
  <c r="K185" i="76" s="1"/>
  <c r="K31" i="76"/>
  <c r="R59" i="76" l="1"/>
  <c r="R31" i="76"/>
  <c r="Q37" i="76"/>
  <c r="Q71" i="76" s="1"/>
  <c r="Q65" i="76"/>
  <c r="K195" i="76"/>
  <c r="K201" i="76" s="1"/>
  <c r="K37" i="76"/>
  <c r="N37" i="76"/>
  <c r="N71" i="76" s="1"/>
  <c r="N65" i="76"/>
  <c r="R37" i="76" l="1"/>
  <c r="R71" i="76" s="1"/>
  <c r="R65" i="76"/>
  <c r="K71" i="76"/>
  <c r="L218" i="77" l="1"/>
  <c r="K218" i="77"/>
  <c r="H218" i="77"/>
  <c r="D218" i="77"/>
  <c r="N214" i="77"/>
  <c r="L214" i="77"/>
  <c r="J214" i="77"/>
  <c r="H214" i="77"/>
  <c r="F214" i="77"/>
  <c r="O190" i="77"/>
  <c r="N190" i="77"/>
  <c r="M190" i="77"/>
  <c r="L190" i="77"/>
  <c r="K190" i="77"/>
  <c r="J190" i="77"/>
  <c r="I190" i="77"/>
  <c r="H190" i="77"/>
  <c r="F190" i="77"/>
  <c r="E190" i="77"/>
  <c r="D190" i="77"/>
  <c r="O186" i="77"/>
  <c r="M186" i="77"/>
  <c r="L186" i="77"/>
  <c r="K186" i="77"/>
  <c r="J186" i="77"/>
  <c r="I186" i="77"/>
  <c r="H186" i="77"/>
  <c r="G186" i="77"/>
  <c r="E186" i="77"/>
  <c r="D187" i="77"/>
  <c r="D186" i="77"/>
  <c r="D182" i="77" l="1"/>
  <c r="H182" i="77"/>
  <c r="H336" i="74" s="1"/>
  <c r="L182" i="77"/>
  <c r="L336" i="74" s="1"/>
  <c r="D184" i="77"/>
  <c r="H184" i="77"/>
  <c r="H338" i="74" s="1"/>
  <c r="L184" i="77"/>
  <c r="L338" i="74" s="1"/>
  <c r="D340" i="74"/>
  <c r="D188" i="77"/>
  <c r="F186" i="77"/>
  <c r="H340" i="74"/>
  <c r="J340" i="74"/>
  <c r="L340" i="74"/>
  <c r="N186" i="77"/>
  <c r="D344" i="74"/>
  <c r="F344" i="74"/>
  <c r="H344" i="74"/>
  <c r="J344" i="74"/>
  <c r="L344" i="74"/>
  <c r="N344" i="74"/>
  <c r="D194" i="77"/>
  <c r="H194" i="77"/>
  <c r="H348" i="74" s="1"/>
  <c r="L194" i="77"/>
  <c r="L348" i="74" s="1"/>
  <c r="D196" i="77"/>
  <c r="H196" i="77"/>
  <c r="L196" i="77"/>
  <c r="D210" i="77"/>
  <c r="H210" i="77"/>
  <c r="H305" i="74" s="1"/>
  <c r="L210" i="77"/>
  <c r="L305" i="74" s="1"/>
  <c r="D212" i="77"/>
  <c r="H212" i="77"/>
  <c r="H307" i="74" s="1"/>
  <c r="L212" i="77"/>
  <c r="L307" i="74" s="1"/>
  <c r="D214" i="77"/>
  <c r="F309" i="74"/>
  <c r="H309" i="74"/>
  <c r="J309" i="74"/>
  <c r="L309" i="74"/>
  <c r="N309" i="74"/>
  <c r="D313" i="74"/>
  <c r="F218" i="77"/>
  <c r="H313" i="74"/>
  <c r="J218" i="77"/>
  <c r="L313" i="74"/>
  <c r="N218" i="77"/>
  <c r="D222" i="77"/>
  <c r="H222" i="77"/>
  <c r="H317" i="74" s="1"/>
  <c r="L222" i="77"/>
  <c r="L317" i="74" s="1"/>
  <c r="D224" i="77"/>
  <c r="H224" i="77"/>
  <c r="L224" i="77"/>
  <c r="E182" i="77"/>
  <c r="E336" i="74" s="1"/>
  <c r="I182" i="77"/>
  <c r="I336" i="74" s="1"/>
  <c r="M182" i="77"/>
  <c r="M336" i="74" s="1"/>
  <c r="E184" i="77"/>
  <c r="E338" i="74" s="1"/>
  <c r="I184" i="77"/>
  <c r="I338" i="74" s="1"/>
  <c r="M184" i="77"/>
  <c r="M338" i="74" s="1"/>
  <c r="D341" i="74"/>
  <c r="F187" i="77"/>
  <c r="F341" i="74" s="1"/>
  <c r="H187" i="77"/>
  <c r="H341" i="74" s="1"/>
  <c r="J187" i="77"/>
  <c r="J341" i="74" s="1"/>
  <c r="L187" i="77"/>
  <c r="L341" i="74" s="1"/>
  <c r="N187" i="77"/>
  <c r="N341" i="74" s="1"/>
  <c r="D191" i="77"/>
  <c r="F191" i="77"/>
  <c r="F345" i="74" s="1"/>
  <c r="H191" i="77"/>
  <c r="H345" i="74" s="1"/>
  <c r="J191" i="77"/>
  <c r="J345" i="74" s="1"/>
  <c r="L191" i="77"/>
  <c r="L345" i="74" s="1"/>
  <c r="N191" i="77"/>
  <c r="N345" i="74" s="1"/>
  <c r="E194" i="77"/>
  <c r="E348" i="74" s="1"/>
  <c r="I194" i="77"/>
  <c r="I348" i="74" s="1"/>
  <c r="M194" i="77"/>
  <c r="M348" i="74" s="1"/>
  <c r="E196" i="77"/>
  <c r="I196" i="77"/>
  <c r="M196" i="77"/>
  <c r="E210" i="77"/>
  <c r="E305" i="74" s="1"/>
  <c r="I210" i="77"/>
  <c r="I305" i="74" s="1"/>
  <c r="M210" i="77"/>
  <c r="M305" i="74" s="1"/>
  <c r="E212" i="77"/>
  <c r="E307" i="74" s="1"/>
  <c r="I212" i="77"/>
  <c r="I307" i="74" s="1"/>
  <c r="M212" i="77"/>
  <c r="M307" i="74" s="1"/>
  <c r="D215" i="77"/>
  <c r="F215" i="77"/>
  <c r="F310" i="74" s="1"/>
  <c r="H215" i="77"/>
  <c r="H310" i="74" s="1"/>
  <c r="J215" i="77"/>
  <c r="J310" i="74" s="1"/>
  <c r="L215" i="77"/>
  <c r="L310" i="74" s="1"/>
  <c r="N215" i="77"/>
  <c r="N310" i="74" s="1"/>
  <c r="D219" i="77"/>
  <c r="F219" i="77"/>
  <c r="F314" i="74" s="1"/>
  <c r="H219" i="77"/>
  <c r="H314" i="74" s="1"/>
  <c r="J219" i="77"/>
  <c r="J314" i="74" s="1"/>
  <c r="L219" i="77"/>
  <c r="L314" i="74" s="1"/>
  <c r="N219" i="77"/>
  <c r="N314" i="74" s="1"/>
  <c r="E222" i="77"/>
  <c r="E317" i="74" s="1"/>
  <c r="I222" i="77"/>
  <c r="I317" i="74" s="1"/>
  <c r="M222" i="77"/>
  <c r="M317" i="74" s="1"/>
  <c r="E224" i="77"/>
  <c r="I224" i="77"/>
  <c r="I319" i="74" s="1"/>
  <c r="M224" i="77"/>
  <c r="M319" i="74" s="1"/>
  <c r="F182" i="77"/>
  <c r="F336" i="74" s="1"/>
  <c r="J182" i="77"/>
  <c r="J336" i="74" s="1"/>
  <c r="N182" i="77"/>
  <c r="N336" i="74" s="1"/>
  <c r="F184" i="77"/>
  <c r="F338" i="74" s="1"/>
  <c r="J184" i="77"/>
  <c r="J338" i="74" s="1"/>
  <c r="N184" i="77"/>
  <c r="N338" i="74" s="1"/>
  <c r="E340" i="74"/>
  <c r="G340" i="74"/>
  <c r="I340" i="74"/>
  <c r="K340" i="74"/>
  <c r="M340" i="74"/>
  <c r="O340" i="74"/>
  <c r="E344" i="74"/>
  <c r="G190" i="77"/>
  <c r="I344" i="74"/>
  <c r="K344" i="74"/>
  <c r="M344" i="74"/>
  <c r="O344" i="74"/>
  <c r="F194" i="77"/>
  <c r="F348" i="74" s="1"/>
  <c r="J194" i="77"/>
  <c r="J348" i="74" s="1"/>
  <c r="N194" i="77"/>
  <c r="N348" i="74" s="1"/>
  <c r="F196" i="77"/>
  <c r="J196" i="77"/>
  <c r="N196" i="77"/>
  <c r="F210" i="77"/>
  <c r="F305" i="74" s="1"/>
  <c r="J210" i="77"/>
  <c r="J305" i="74" s="1"/>
  <c r="N210" i="77"/>
  <c r="N305" i="74" s="1"/>
  <c r="F212" i="77"/>
  <c r="F307" i="74" s="1"/>
  <c r="J212" i="77"/>
  <c r="J307" i="74" s="1"/>
  <c r="N212" i="77"/>
  <c r="N307" i="74" s="1"/>
  <c r="E214" i="77"/>
  <c r="G214" i="77"/>
  <c r="I214" i="77"/>
  <c r="K214" i="77"/>
  <c r="M214" i="77"/>
  <c r="O214" i="77"/>
  <c r="E218" i="77"/>
  <c r="G218" i="77"/>
  <c r="I218" i="77"/>
  <c r="K313" i="74"/>
  <c r="M218" i="77"/>
  <c r="O218" i="77"/>
  <c r="F222" i="77"/>
  <c r="F317" i="74" s="1"/>
  <c r="J222" i="77"/>
  <c r="J317" i="74" s="1"/>
  <c r="N222" i="77"/>
  <c r="N317" i="74" s="1"/>
  <c r="F224" i="77"/>
  <c r="J224" i="77"/>
  <c r="N224" i="77"/>
  <c r="G182" i="77"/>
  <c r="G336" i="74" s="1"/>
  <c r="K182" i="77"/>
  <c r="K336" i="74" s="1"/>
  <c r="O182" i="77"/>
  <c r="O336" i="74" s="1"/>
  <c r="G184" i="77"/>
  <c r="G338" i="74" s="1"/>
  <c r="K184" i="77"/>
  <c r="K338" i="74" s="1"/>
  <c r="O184" i="77"/>
  <c r="O338" i="74" s="1"/>
  <c r="E187" i="77"/>
  <c r="E341" i="74" s="1"/>
  <c r="G187" i="77"/>
  <c r="G341" i="74" s="1"/>
  <c r="I187" i="77"/>
  <c r="I341" i="74" s="1"/>
  <c r="K187" i="77"/>
  <c r="K341" i="74" s="1"/>
  <c r="M187" i="77"/>
  <c r="M341" i="74" s="1"/>
  <c r="O187" i="77"/>
  <c r="O341" i="74" s="1"/>
  <c r="E191" i="77"/>
  <c r="E345" i="74" s="1"/>
  <c r="G191" i="77"/>
  <c r="G345" i="74" s="1"/>
  <c r="I191" i="77"/>
  <c r="I345" i="74" s="1"/>
  <c r="K191" i="77"/>
  <c r="K345" i="74" s="1"/>
  <c r="M191" i="77"/>
  <c r="M345" i="74" s="1"/>
  <c r="O191" i="77"/>
  <c r="O345" i="74" s="1"/>
  <c r="G194" i="77"/>
  <c r="G348" i="74" s="1"/>
  <c r="K194" i="77"/>
  <c r="K348" i="74" s="1"/>
  <c r="O194" i="77"/>
  <c r="O348" i="74" s="1"/>
  <c r="G196" i="77"/>
  <c r="G350" i="74" s="1"/>
  <c r="K196" i="77"/>
  <c r="O196" i="77"/>
  <c r="G210" i="77"/>
  <c r="G305" i="74" s="1"/>
  <c r="K210" i="77"/>
  <c r="K305" i="74" s="1"/>
  <c r="O210" i="77"/>
  <c r="O305" i="74" s="1"/>
  <c r="G212" i="77"/>
  <c r="G307" i="74" s="1"/>
  <c r="K212" i="77"/>
  <c r="K307" i="74" s="1"/>
  <c r="O212" i="77"/>
  <c r="O307" i="74" s="1"/>
  <c r="E215" i="77"/>
  <c r="E310" i="74" s="1"/>
  <c r="G215" i="77"/>
  <c r="G310" i="74" s="1"/>
  <c r="I215" i="77"/>
  <c r="I310" i="74" s="1"/>
  <c r="K215" i="77"/>
  <c r="K310" i="74" s="1"/>
  <c r="M215" i="77"/>
  <c r="M310" i="74" s="1"/>
  <c r="O215" i="77"/>
  <c r="O310" i="74" s="1"/>
  <c r="E219" i="77"/>
  <c r="E314" i="74" s="1"/>
  <c r="G219" i="77"/>
  <c r="G314" i="74" s="1"/>
  <c r="I219" i="77"/>
  <c r="I314" i="74" s="1"/>
  <c r="K219" i="77"/>
  <c r="K314" i="74" s="1"/>
  <c r="M219" i="77"/>
  <c r="M314" i="74" s="1"/>
  <c r="O219" i="77"/>
  <c r="O314" i="74" s="1"/>
  <c r="G222" i="77"/>
  <c r="G317" i="74" s="1"/>
  <c r="K222" i="77"/>
  <c r="K317" i="74" s="1"/>
  <c r="O222" i="77"/>
  <c r="O317" i="74" s="1"/>
  <c r="G224" i="77"/>
  <c r="K224" i="77"/>
  <c r="K319" i="74" s="1"/>
  <c r="O224" i="77"/>
  <c r="O319" i="74" s="1"/>
  <c r="P186" i="77" l="1"/>
  <c r="N319" i="74"/>
  <c r="F319" i="74"/>
  <c r="O313" i="74"/>
  <c r="O315" i="74" s="1"/>
  <c r="O220" i="77"/>
  <c r="K220" i="77"/>
  <c r="G313" i="74"/>
  <c r="G315" i="74" s="1"/>
  <c r="G220" i="77"/>
  <c r="O309" i="74"/>
  <c r="O311" i="74" s="1"/>
  <c r="O216" i="77"/>
  <c r="K309" i="74"/>
  <c r="K311" i="74" s="1"/>
  <c r="K216" i="77"/>
  <c r="G309" i="74"/>
  <c r="G311" i="74" s="1"/>
  <c r="G216" i="77"/>
  <c r="N350" i="74"/>
  <c r="F350" i="74"/>
  <c r="O192" i="77"/>
  <c r="K192" i="77"/>
  <c r="G344" i="74"/>
  <c r="G346" i="74" s="1"/>
  <c r="G192" i="77"/>
  <c r="O188" i="77"/>
  <c r="K188" i="77"/>
  <c r="G188" i="77"/>
  <c r="P341" i="74"/>
  <c r="M20" i="76" s="1"/>
  <c r="L319" i="74"/>
  <c r="D319" i="74"/>
  <c r="P224" i="77"/>
  <c r="N313" i="74"/>
  <c r="N315" i="74" s="1"/>
  <c r="N220" i="77"/>
  <c r="J313" i="74"/>
  <c r="J315" i="74" s="1"/>
  <c r="J220" i="77"/>
  <c r="F313" i="74"/>
  <c r="F315" i="74" s="1"/>
  <c r="F220" i="77"/>
  <c r="L311" i="74"/>
  <c r="H311" i="74"/>
  <c r="L346" i="74"/>
  <c r="H346" i="74"/>
  <c r="P190" i="77"/>
  <c r="L188" i="77"/>
  <c r="H188" i="77"/>
  <c r="G319" i="74"/>
  <c r="O350" i="74"/>
  <c r="O198" i="77"/>
  <c r="K315" i="74"/>
  <c r="K321" i="74" s="1"/>
  <c r="K327" i="74" s="1"/>
  <c r="O346" i="74"/>
  <c r="K346" i="74"/>
  <c r="O342" i="74"/>
  <c r="K342" i="74"/>
  <c r="G342" i="74"/>
  <c r="E319" i="74"/>
  <c r="M350" i="74"/>
  <c r="E350" i="74"/>
  <c r="N216" i="77"/>
  <c r="J216" i="77"/>
  <c r="F216" i="77"/>
  <c r="D307" i="74"/>
  <c r="P307" i="74" s="1"/>
  <c r="O17" i="76" s="1"/>
  <c r="O51" i="76" s="1"/>
  <c r="P212" i="77"/>
  <c r="L350" i="74"/>
  <c r="D350" i="74"/>
  <c r="P196" i="77"/>
  <c r="N192" i="77"/>
  <c r="J192" i="77"/>
  <c r="F192" i="77"/>
  <c r="L342" i="74"/>
  <c r="H342" i="74"/>
  <c r="D336" i="74"/>
  <c r="P336" i="74" s="1"/>
  <c r="M15" i="76" s="1"/>
  <c r="M49" i="76" s="1"/>
  <c r="P182" i="77"/>
  <c r="J319" i="74"/>
  <c r="M313" i="74"/>
  <c r="M315" i="74" s="1"/>
  <c r="M220" i="77"/>
  <c r="I313" i="74"/>
  <c r="I315" i="74" s="1"/>
  <c r="I220" i="77"/>
  <c r="E313" i="74"/>
  <c r="E315" i="74" s="1"/>
  <c r="E220" i="77"/>
  <c r="M309" i="74"/>
  <c r="M311" i="74" s="1"/>
  <c r="M216" i="77"/>
  <c r="I309" i="74"/>
  <c r="I311" i="74" s="1"/>
  <c r="I216" i="77"/>
  <c r="E309" i="74"/>
  <c r="E311" i="74" s="1"/>
  <c r="E216" i="77"/>
  <c r="J350" i="74"/>
  <c r="M192" i="77"/>
  <c r="I192" i="77"/>
  <c r="E192" i="77"/>
  <c r="M188" i="77"/>
  <c r="I188" i="77"/>
  <c r="E188" i="77"/>
  <c r="H319" i="74"/>
  <c r="D317" i="74"/>
  <c r="P317" i="74" s="1"/>
  <c r="O27" i="76" s="1"/>
  <c r="O61" i="76" s="1"/>
  <c r="P222" i="77"/>
  <c r="L220" i="77"/>
  <c r="H220" i="77"/>
  <c r="P218" i="77"/>
  <c r="N311" i="74"/>
  <c r="J311" i="74"/>
  <c r="F311" i="74"/>
  <c r="N346" i="74"/>
  <c r="J346" i="74"/>
  <c r="F346" i="74"/>
  <c r="N340" i="74"/>
  <c r="N342" i="74" s="1"/>
  <c r="N188" i="77"/>
  <c r="J188" i="77"/>
  <c r="F340" i="74"/>
  <c r="F342" i="74" s="1"/>
  <c r="F188" i="77"/>
  <c r="D342" i="74"/>
  <c r="K350" i="74"/>
  <c r="M346" i="74"/>
  <c r="I346" i="74"/>
  <c r="E346" i="74"/>
  <c r="M342" i="74"/>
  <c r="I342" i="74"/>
  <c r="E342" i="74"/>
  <c r="D314" i="74"/>
  <c r="P314" i="74" s="1"/>
  <c r="O24" i="76" s="1"/>
  <c r="O58" i="76" s="1"/>
  <c r="P219" i="77"/>
  <c r="D310" i="74"/>
  <c r="P310" i="74" s="1"/>
  <c r="O20" i="76" s="1"/>
  <c r="O54" i="76" s="1"/>
  <c r="P215" i="77"/>
  <c r="I350" i="74"/>
  <c r="D345" i="74"/>
  <c r="P345" i="74" s="1"/>
  <c r="M24" i="76" s="1"/>
  <c r="P191" i="77"/>
  <c r="P187" i="77"/>
  <c r="P188" i="77" s="1"/>
  <c r="L315" i="74"/>
  <c r="H315" i="74"/>
  <c r="D220" i="77"/>
  <c r="L216" i="77"/>
  <c r="H216" i="77"/>
  <c r="D309" i="74"/>
  <c r="P214" i="77"/>
  <c r="D216" i="77"/>
  <c r="D305" i="74"/>
  <c r="P305" i="74" s="1"/>
  <c r="O15" i="76" s="1"/>
  <c r="O49" i="76" s="1"/>
  <c r="P210" i="77"/>
  <c r="H350" i="74"/>
  <c r="H352" i="74" s="1"/>
  <c r="H358" i="74" s="1"/>
  <c r="D348" i="74"/>
  <c r="P348" i="74" s="1"/>
  <c r="M27" i="76" s="1"/>
  <c r="P194" i="77"/>
  <c r="L192" i="77"/>
  <c r="H192" i="77"/>
  <c r="D192" i="77"/>
  <c r="D198" i="77" s="1"/>
  <c r="J342" i="74"/>
  <c r="D338" i="74"/>
  <c r="P338" i="74" s="1"/>
  <c r="M17" i="76" s="1"/>
  <c r="M51" i="76" s="1"/>
  <c r="P184" i="77"/>
  <c r="J226" i="77" l="1"/>
  <c r="J232" i="77" s="1"/>
  <c r="S27" i="76"/>
  <c r="M61" i="76"/>
  <c r="S61" i="76" s="1"/>
  <c r="S20" i="76"/>
  <c r="U20" i="76" s="1"/>
  <c r="M54" i="76"/>
  <c r="S54" i="76" s="1"/>
  <c r="S51" i="76"/>
  <c r="S24" i="76"/>
  <c r="M58" i="76"/>
  <c r="S58" i="76" s="1"/>
  <c r="S49" i="76"/>
  <c r="S15" i="76"/>
  <c r="S17" i="76"/>
  <c r="I198" i="77"/>
  <c r="I204" i="77" s="1"/>
  <c r="K198" i="77"/>
  <c r="I321" i="74"/>
  <c r="I327" i="74" s="1"/>
  <c r="P216" i="77"/>
  <c r="D226" i="77"/>
  <c r="D232" i="77" s="1"/>
  <c r="L198" i="77"/>
  <c r="L204" i="77" s="1"/>
  <c r="P344" i="74"/>
  <c r="P346" i="74" s="1"/>
  <c r="G226" i="77"/>
  <c r="G232" i="77" s="1"/>
  <c r="H198" i="77"/>
  <c r="K352" i="74"/>
  <c r="K358" i="74" s="1"/>
  <c r="G352" i="74"/>
  <c r="G358" i="74" s="1"/>
  <c r="G321" i="74"/>
  <c r="G327" i="74" s="1"/>
  <c r="O321" i="74"/>
  <c r="O327" i="74" s="1"/>
  <c r="I352" i="74"/>
  <c r="I358" i="74" s="1"/>
  <c r="H226" i="77"/>
  <c r="H232" i="77" s="1"/>
  <c r="E198" i="77"/>
  <c r="E204" i="77" s="1"/>
  <c r="M226" i="77"/>
  <c r="M232" i="77" s="1"/>
  <c r="P340" i="74"/>
  <c r="M19" i="76" s="1"/>
  <c r="M53" i="76" s="1"/>
  <c r="N352" i="74"/>
  <c r="N358" i="74" s="1"/>
  <c r="M321" i="74"/>
  <c r="M327" i="74" s="1"/>
  <c r="F198" i="77"/>
  <c r="F204" i="77" s="1"/>
  <c r="F226" i="77"/>
  <c r="F232" i="77" s="1"/>
  <c r="N226" i="77"/>
  <c r="N232" i="77" s="1"/>
  <c r="L226" i="77"/>
  <c r="L232" i="77" s="1"/>
  <c r="N198" i="77"/>
  <c r="N204" i="77" s="1"/>
  <c r="J198" i="77"/>
  <c r="J204" i="77" s="1"/>
  <c r="M198" i="77"/>
  <c r="M204" i="77" s="1"/>
  <c r="E226" i="77"/>
  <c r="E232" i="77" s="1"/>
  <c r="H204" i="77"/>
  <c r="J234" i="77"/>
  <c r="D204" i="77"/>
  <c r="F234" i="77"/>
  <c r="D14" i="70"/>
  <c r="O188" i="76"/>
  <c r="K204" i="77"/>
  <c r="P220" i="77"/>
  <c r="O191" i="76"/>
  <c r="J321" i="74"/>
  <c r="J327" i="74" s="1"/>
  <c r="M352" i="74"/>
  <c r="M358" i="74" s="1"/>
  <c r="O352" i="74"/>
  <c r="O358" i="74" s="1"/>
  <c r="D315" i="74"/>
  <c r="E14" i="70"/>
  <c r="M181" i="76"/>
  <c r="U17" i="76"/>
  <c r="I226" i="77"/>
  <c r="I232" i="77" s="1"/>
  <c r="P350" i="74"/>
  <c r="M29" i="76" s="1"/>
  <c r="M63" i="76" s="1"/>
  <c r="O181" i="76"/>
  <c r="P319" i="74"/>
  <c r="K226" i="77"/>
  <c r="K232" i="77" s="1"/>
  <c r="F321" i="74"/>
  <c r="F327" i="74" s="1"/>
  <c r="F14" i="70"/>
  <c r="P309" i="74"/>
  <c r="D311" i="74"/>
  <c r="U24" i="76"/>
  <c r="O184" i="76"/>
  <c r="H321" i="74"/>
  <c r="H327" i="74" s="1"/>
  <c r="J352" i="74"/>
  <c r="J358" i="74" s="1"/>
  <c r="M179" i="76"/>
  <c r="U15" i="76"/>
  <c r="E352" i="74"/>
  <c r="E358" i="74" s="1"/>
  <c r="E321" i="74"/>
  <c r="E327" i="74" s="1"/>
  <c r="P192" i="77"/>
  <c r="P198" i="77" s="1"/>
  <c r="G198" i="77"/>
  <c r="F352" i="74"/>
  <c r="F358" i="74" s="1"/>
  <c r="O226" i="77"/>
  <c r="O232" i="77" s="1"/>
  <c r="G14" i="70"/>
  <c r="M191" i="76"/>
  <c r="U27" i="76"/>
  <c r="O179" i="76"/>
  <c r="D346" i="74"/>
  <c r="D352" i="74" s="1"/>
  <c r="D358" i="74" s="1"/>
  <c r="L352" i="74"/>
  <c r="L358" i="74" s="1"/>
  <c r="O204" i="77"/>
  <c r="P313" i="74"/>
  <c r="L321" i="74"/>
  <c r="L327" i="74" s="1"/>
  <c r="N321" i="74"/>
  <c r="N327" i="74" s="1"/>
  <c r="I234" i="77" l="1"/>
  <c r="M188" i="76"/>
  <c r="D321" i="74"/>
  <c r="D327" i="74" s="1"/>
  <c r="M184" i="76"/>
  <c r="P226" i="77"/>
  <c r="P232" i="77" s="1"/>
  <c r="E234" i="77"/>
  <c r="M23" i="76"/>
  <c r="M57" i="76" s="1"/>
  <c r="P342" i="74"/>
  <c r="P352" i="74" s="1"/>
  <c r="P358" i="74" s="1"/>
  <c r="D234" i="77"/>
  <c r="N234" i="77"/>
  <c r="M234" i="77"/>
  <c r="L234" i="77"/>
  <c r="H234" i="77"/>
  <c r="O234" i="77"/>
  <c r="P204" i="77"/>
  <c r="P234" i="77"/>
  <c r="S184" i="76"/>
  <c r="U54" i="76"/>
  <c r="S181" i="76"/>
  <c r="U51" i="76"/>
  <c r="U58" i="76"/>
  <c r="S188" i="76"/>
  <c r="O19" i="76"/>
  <c r="S19" i="76" s="1"/>
  <c r="S21" i="76" s="1"/>
  <c r="P311" i="74"/>
  <c r="S191" i="76"/>
  <c r="U61" i="76"/>
  <c r="M21" i="76"/>
  <c r="M55" i="76" s="1"/>
  <c r="M183" i="76"/>
  <c r="M185" i="76" s="1"/>
  <c r="S179" i="76"/>
  <c r="U49" i="76"/>
  <c r="G167" i="70"/>
  <c r="G183" i="70" s="1"/>
  <c r="G189" i="70" s="1"/>
  <c r="G30" i="70"/>
  <c r="G36" i="70" s="1"/>
  <c r="G204" i="77"/>
  <c r="G234" i="77"/>
  <c r="M187" i="76"/>
  <c r="M189" i="76" s="1"/>
  <c r="F167" i="70"/>
  <c r="F183" i="70" s="1"/>
  <c r="F189" i="70" s="1"/>
  <c r="F30" i="70"/>
  <c r="F36" i="70" s="1"/>
  <c r="K234" i="77"/>
  <c r="D167" i="70"/>
  <c r="P14" i="70"/>
  <c r="D30" i="70"/>
  <c r="D36" i="70" s="1"/>
  <c r="O23" i="76"/>
  <c r="P315" i="74"/>
  <c r="O29" i="76"/>
  <c r="S29" i="76" s="1"/>
  <c r="M193" i="76"/>
  <c r="E167" i="70"/>
  <c r="E183" i="70" s="1"/>
  <c r="E189" i="70" s="1"/>
  <c r="E30" i="70"/>
  <c r="E36" i="70" s="1"/>
  <c r="P321" i="74" l="1"/>
  <c r="P327" i="74" s="1"/>
  <c r="S23" i="76"/>
  <c r="U19" i="76"/>
  <c r="M25" i="76"/>
  <c r="U29" i="76"/>
  <c r="P167" i="70"/>
  <c r="D183" i="70"/>
  <c r="D189" i="70" s="1"/>
  <c r="O25" i="76"/>
  <c r="O57" i="76"/>
  <c r="S57" i="76" s="1"/>
  <c r="M195" i="76"/>
  <c r="M201" i="76" s="1"/>
  <c r="O53" i="76"/>
  <c r="S53" i="76" s="1"/>
  <c r="O21" i="76"/>
  <c r="U21" i="76" s="1"/>
  <c r="O63" i="76"/>
  <c r="S63" i="76" s="1"/>
  <c r="Q14" i="70"/>
  <c r="F15" i="65"/>
  <c r="F31" i="65" s="1"/>
  <c r="F37" i="65" s="1"/>
  <c r="F14" i="73"/>
  <c r="F30" i="73" s="1"/>
  <c r="F36" i="73" s="1"/>
  <c r="R14" i="70"/>
  <c r="P30" i="70"/>
  <c r="P183" i="70" l="1"/>
  <c r="P189" i="70" s="1"/>
  <c r="D14" i="73"/>
  <c r="U23" i="76"/>
  <c r="S25" i="76"/>
  <c r="S31" i="76" s="1"/>
  <c r="S37" i="76" s="1"/>
  <c r="M31" i="76"/>
  <c r="M65" i="76" s="1"/>
  <c r="M59" i="76"/>
  <c r="O31" i="76"/>
  <c r="O37" i="76" s="1"/>
  <c r="O71" i="76" s="1"/>
  <c r="O183" i="76"/>
  <c r="O185" i="76" s="1"/>
  <c r="O55" i="76"/>
  <c r="S55" i="76" s="1"/>
  <c r="U55" i="76" s="1"/>
  <c r="O187" i="76"/>
  <c r="O189" i="76" s="1"/>
  <c r="O59" i="76"/>
  <c r="P36" i="70"/>
  <c r="O193" i="76"/>
  <c r="O65" i="76" l="1"/>
  <c r="D30" i="73"/>
  <c r="D36" i="73" s="1"/>
  <c r="S65" i="76"/>
  <c r="U65" i="76" s="1"/>
  <c r="M37" i="76"/>
  <c r="M71" i="76" s="1"/>
  <c r="S71" i="76" s="1"/>
  <c r="U71" i="76" s="1"/>
  <c r="S59" i="76"/>
  <c r="U59" i="76" s="1"/>
  <c r="U25" i="76"/>
  <c r="U31" i="76"/>
  <c r="O195" i="76"/>
  <c r="O201" i="76" s="1"/>
  <c r="S201" i="76" s="1"/>
  <c r="S193" i="76"/>
  <c r="U63" i="76"/>
  <c r="U57" i="76"/>
  <c r="S187" i="76"/>
  <c r="U53" i="76"/>
  <c r="S183" i="76"/>
  <c r="U37" i="76"/>
  <c r="G30" i="73"/>
  <c r="E23" i="73" l="1"/>
  <c r="E22" i="73"/>
  <c r="E24" i="73" s="1"/>
  <c r="E26" i="73"/>
  <c r="E28" i="73"/>
  <c r="E19" i="73"/>
  <c r="E18" i="73"/>
  <c r="E20" i="73" s="1"/>
  <c r="E16" i="73"/>
  <c r="E14" i="73"/>
  <c r="S185" i="76"/>
  <c r="S189" i="76"/>
  <c r="G20" i="73"/>
  <c r="G23" i="73"/>
  <c r="G32" i="73"/>
  <c r="G34" i="73"/>
  <c r="G36" i="73" s="1"/>
  <c r="G22" i="73"/>
  <c r="G24" i="73"/>
  <c r="G33" i="73"/>
  <c r="G26" i="73"/>
  <c r="G28" i="73"/>
  <c r="G18" i="73"/>
  <c r="G19" i="73"/>
  <c r="G16" i="73"/>
  <c r="G14" i="73"/>
  <c r="E30" i="73" l="1"/>
  <c r="E36" i="73" s="1"/>
  <c r="S195" i="76"/>
  <c r="F94" i="76"/>
  <c r="F191" i="76" s="1"/>
  <c r="K380" i="74" l="1"/>
  <c r="K475" i="74" s="1"/>
  <c r="D380" i="74"/>
  <c r="I380" i="74"/>
  <c r="I475" i="74" s="1"/>
  <c r="H377" i="74"/>
  <c r="H472" i="74" s="1"/>
  <c r="M380" i="74"/>
  <c r="M475" i="74" s="1"/>
  <c r="J380" i="74"/>
  <c r="J475" i="74" s="1"/>
  <c r="G380" i="74"/>
  <c r="G475" i="74" s="1"/>
  <c r="N380" i="74"/>
  <c r="N475" i="74" s="1"/>
  <c r="M377" i="74"/>
  <c r="M472" i="74" s="1"/>
  <c r="O380" i="74"/>
  <c r="F380" i="74"/>
  <c r="F475" i="74" s="1"/>
  <c r="G377" i="74"/>
  <c r="G472" i="74" s="1"/>
  <c r="E377" i="74"/>
  <c r="E472" i="74" s="1"/>
  <c r="O377" i="74"/>
  <c r="O472" i="74" s="1"/>
  <c r="D377" i="74"/>
  <c r="E380" i="74"/>
  <c r="E475" i="74" s="1"/>
  <c r="H380" i="74"/>
  <c r="H475" i="74" s="1"/>
  <c r="L380" i="74"/>
  <c r="L475" i="74" s="1"/>
  <c r="J377" i="74"/>
  <c r="J472" i="74" s="1"/>
  <c r="L377" i="74"/>
  <c r="F377" i="74"/>
  <c r="F472" i="74" s="1"/>
  <c r="N377" i="74"/>
  <c r="N472" i="74" s="1"/>
  <c r="I377" i="74"/>
  <c r="I472" i="74" s="1"/>
  <c r="K377" i="74"/>
  <c r="K472" i="74" s="1"/>
  <c r="D94" i="76"/>
  <c r="E94" i="76"/>
  <c r="E191" i="76" s="1"/>
  <c r="E90" i="76"/>
  <c r="D90" i="76"/>
  <c r="I94" i="76" l="1"/>
  <c r="U94" i="76" s="1"/>
  <c r="D191" i="76"/>
  <c r="I191" i="76" s="1"/>
  <c r="U191" i="76" s="1"/>
  <c r="D472" i="74"/>
  <c r="P377" i="74"/>
  <c r="L472" i="74"/>
  <c r="O475" i="74"/>
  <c r="D187" i="76"/>
  <c r="D91" i="76"/>
  <c r="E187" i="76"/>
  <c r="E91" i="76"/>
  <c r="E188" i="76" s="1"/>
  <c r="F91" i="76"/>
  <c r="D475" i="74"/>
  <c r="P475" i="74" s="1"/>
  <c r="P380" i="74"/>
  <c r="E92" i="76" l="1"/>
  <c r="D188" i="76"/>
  <c r="D189" i="76" s="1"/>
  <c r="I91" i="76"/>
  <c r="U91" i="76" s="1"/>
  <c r="P472" i="74"/>
  <c r="F188" i="76"/>
  <c r="E189" i="76"/>
  <c r="D92" i="76"/>
  <c r="I188" i="76" l="1"/>
  <c r="U188" i="76" s="1"/>
  <c r="M19" i="44" l="1"/>
  <c r="N19" i="44"/>
  <c r="O19" i="44"/>
  <c r="E20" i="65" s="1"/>
  <c r="L19" i="44"/>
  <c r="P19" i="44" s="1"/>
  <c r="M18" i="44"/>
  <c r="M20" i="44" s="1"/>
  <c r="N18" i="44"/>
  <c r="N20" i="44" s="1"/>
  <c r="O18" i="44"/>
  <c r="L18" i="44"/>
  <c r="M16" i="44"/>
  <c r="N16" i="44"/>
  <c r="O16" i="44"/>
  <c r="E17" i="65" s="1"/>
  <c r="L16" i="44"/>
  <c r="P16" i="44" s="1"/>
  <c r="M14" i="44"/>
  <c r="N14" i="44"/>
  <c r="O14" i="44"/>
  <c r="E15" i="65" s="1"/>
  <c r="L14" i="44"/>
  <c r="P14" i="44" s="1"/>
  <c r="S14" i="44" l="1"/>
  <c r="Q14" i="44"/>
  <c r="D15" i="65" s="1"/>
  <c r="R14" i="44"/>
  <c r="Q16" i="44"/>
  <c r="D17" i="65" s="1"/>
  <c r="R16" i="44"/>
  <c r="S16" i="44"/>
  <c r="L20" i="44"/>
  <c r="P18" i="44"/>
  <c r="Q19" i="44"/>
  <c r="D20" i="65" s="1"/>
  <c r="R19" i="44"/>
  <c r="S19" i="44"/>
  <c r="E31" i="65"/>
  <c r="E37" i="65" s="1"/>
  <c r="E19" i="65"/>
  <c r="E21" i="65" s="1"/>
  <c r="O20" i="44"/>
  <c r="O30" i="44" s="1"/>
  <c r="O36" i="44" s="1"/>
  <c r="N30" i="44"/>
  <c r="N36" i="44" s="1"/>
  <c r="M30" i="44"/>
  <c r="M36" i="44" s="1"/>
  <c r="R18" i="44" l="1"/>
  <c r="Q18" i="44"/>
  <c r="D19" i="65" s="1"/>
  <c r="D21" i="65" s="1"/>
  <c r="D31" i="65" s="1"/>
  <c r="D37" i="65" s="1"/>
  <c r="S18" i="44"/>
  <c r="P20" i="44"/>
  <c r="Q20" i="44" s="1"/>
  <c r="L30" i="44"/>
  <c r="P30" i="44" l="1"/>
  <c r="Q30" i="44" s="1"/>
  <c r="Q36" i="44" s="1"/>
  <c r="L36" i="44"/>
  <c r="P36" i="44" s="1"/>
  <c r="E44" i="70" l="1"/>
  <c r="E198" i="70" s="1"/>
  <c r="F44" i="70"/>
  <c r="F198" i="70" s="1"/>
  <c r="G44" i="70"/>
  <c r="G198" i="70" s="1"/>
  <c r="H44" i="70"/>
  <c r="H198" i="70" s="1"/>
  <c r="I44" i="70"/>
  <c r="I198" i="70" s="1"/>
  <c r="J44" i="70"/>
  <c r="J198" i="70" s="1"/>
  <c r="K44" i="70"/>
  <c r="K198" i="70" s="1"/>
  <c r="L44" i="70"/>
  <c r="L198" i="70" s="1"/>
  <c r="M44" i="70"/>
  <c r="M198" i="70" s="1"/>
  <c r="N44" i="70"/>
  <c r="N198" i="70" s="1"/>
  <c r="O44" i="70"/>
  <c r="O198" i="70" s="1"/>
  <c r="D44" i="70"/>
  <c r="E46" i="70"/>
  <c r="E200" i="70" s="1"/>
  <c r="F46" i="70"/>
  <c r="F200" i="70" s="1"/>
  <c r="G46" i="70"/>
  <c r="G200" i="70" s="1"/>
  <c r="H46" i="70"/>
  <c r="H200" i="70" s="1"/>
  <c r="I46" i="70"/>
  <c r="I200" i="70" s="1"/>
  <c r="J46" i="70"/>
  <c r="J200" i="70" s="1"/>
  <c r="K46" i="70"/>
  <c r="K200" i="70" s="1"/>
  <c r="L46" i="70"/>
  <c r="L200" i="70" s="1"/>
  <c r="M46" i="70"/>
  <c r="M200" i="70" s="1"/>
  <c r="N46" i="70"/>
  <c r="N200" i="70" s="1"/>
  <c r="O46" i="70"/>
  <c r="O200" i="70" s="1"/>
  <c r="F48" i="70"/>
  <c r="G48" i="70"/>
  <c r="H48" i="70"/>
  <c r="J48" i="70"/>
  <c r="K48" i="70"/>
  <c r="L48" i="70"/>
  <c r="N48" i="70"/>
  <c r="O48" i="70"/>
  <c r="E49" i="70"/>
  <c r="E203" i="70" s="1"/>
  <c r="F49" i="70"/>
  <c r="F203" i="70" s="1"/>
  <c r="G49" i="70"/>
  <c r="G203" i="70" s="1"/>
  <c r="H49" i="70"/>
  <c r="H203" i="70" s="1"/>
  <c r="I49" i="70"/>
  <c r="I203" i="70" s="1"/>
  <c r="J49" i="70"/>
  <c r="J203" i="70" s="1"/>
  <c r="K49" i="70"/>
  <c r="K203" i="70" s="1"/>
  <c r="L49" i="70"/>
  <c r="L203" i="70" s="1"/>
  <c r="M49" i="70"/>
  <c r="M203" i="70" s="1"/>
  <c r="N49" i="70"/>
  <c r="N203" i="70" s="1"/>
  <c r="O49" i="70"/>
  <c r="O203" i="70" s="1"/>
  <c r="E52" i="70"/>
  <c r="F52" i="70"/>
  <c r="G52" i="70"/>
  <c r="H52" i="70"/>
  <c r="I52" i="70"/>
  <c r="J52" i="70"/>
  <c r="K52" i="70"/>
  <c r="L52" i="70"/>
  <c r="M52" i="70"/>
  <c r="N52" i="70"/>
  <c r="D52" i="70"/>
  <c r="D49" i="70"/>
  <c r="D48" i="70"/>
  <c r="D46" i="70"/>
  <c r="H54" i="70" l="1"/>
  <c r="H206" i="70"/>
  <c r="H208" i="70" s="1"/>
  <c r="N202" i="70"/>
  <c r="N204" i="70" s="1"/>
  <c r="N50" i="70"/>
  <c r="J202" i="70"/>
  <c r="J204" i="70" s="1"/>
  <c r="J50" i="70"/>
  <c r="F202" i="70"/>
  <c r="F204" i="70" s="1"/>
  <c r="F50" i="70"/>
  <c r="P49" i="70"/>
  <c r="G20" i="65" s="1"/>
  <c r="D203" i="70"/>
  <c r="P203" i="70" s="1"/>
  <c r="L54" i="70"/>
  <c r="L206" i="70"/>
  <c r="L208" i="70" s="1"/>
  <c r="D206" i="70"/>
  <c r="D54" i="70"/>
  <c r="O52" i="70"/>
  <c r="P52" i="70" s="1"/>
  <c r="K54" i="70"/>
  <c r="K206" i="70"/>
  <c r="K208" i="70" s="1"/>
  <c r="G206" i="70"/>
  <c r="G208" i="70" s="1"/>
  <c r="G54" i="70"/>
  <c r="M48" i="70"/>
  <c r="P48" i="70" s="1"/>
  <c r="I48" i="70"/>
  <c r="E48" i="70"/>
  <c r="P46" i="70"/>
  <c r="G17" i="65" s="1"/>
  <c r="D200" i="70"/>
  <c r="P200" i="70" s="1"/>
  <c r="N54" i="70"/>
  <c r="N206" i="70"/>
  <c r="N208" i="70" s="1"/>
  <c r="N214" i="70" s="1"/>
  <c r="N220" i="70" s="1"/>
  <c r="J54" i="70"/>
  <c r="J60" i="70" s="1"/>
  <c r="J66" i="70" s="1"/>
  <c r="J206" i="70"/>
  <c r="J208" i="70" s="1"/>
  <c r="J214" i="70" s="1"/>
  <c r="J220" i="70" s="1"/>
  <c r="F54" i="70"/>
  <c r="F206" i="70"/>
  <c r="F208" i="70" s="1"/>
  <c r="F214" i="70" s="1"/>
  <c r="F220" i="70" s="1"/>
  <c r="L202" i="70"/>
  <c r="L204" i="70" s="1"/>
  <c r="L50" i="70"/>
  <c r="H202" i="70"/>
  <c r="H204" i="70" s="1"/>
  <c r="H50" i="70"/>
  <c r="D202" i="70"/>
  <c r="D50" i="70"/>
  <c r="M206" i="70"/>
  <c r="M208" i="70" s="1"/>
  <c r="M54" i="70"/>
  <c r="I206" i="70"/>
  <c r="I208" i="70" s="1"/>
  <c r="I54" i="70"/>
  <c r="E206" i="70"/>
  <c r="E208" i="70" s="1"/>
  <c r="E54" i="70"/>
  <c r="O202" i="70"/>
  <c r="O204" i="70" s="1"/>
  <c r="O50" i="70"/>
  <c r="K202" i="70"/>
  <c r="K204" i="70" s="1"/>
  <c r="K50" i="70"/>
  <c r="G202" i="70"/>
  <c r="G204" i="70" s="1"/>
  <c r="G50" i="70"/>
  <c r="P44" i="70"/>
  <c r="G15" i="65" s="1"/>
  <c r="D198" i="70"/>
  <c r="P198" i="70" s="1"/>
  <c r="K60" i="70" l="1"/>
  <c r="K66" i="70" s="1"/>
  <c r="F60" i="70"/>
  <c r="F66" i="70" s="1"/>
  <c r="N60" i="70"/>
  <c r="N66" i="70" s="1"/>
  <c r="G23" i="65"/>
  <c r="G25" i="65" s="1"/>
  <c r="P54" i="70"/>
  <c r="D204" i="70"/>
  <c r="G214" i="70"/>
  <c r="G220" i="70" s="1"/>
  <c r="L214" i="70"/>
  <c r="L220" i="70" s="1"/>
  <c r="E202" i="70"/>
  <c r="E204" i="70" s="1"/>
  <c r="E214" i="70" s="1"/>
  <c r="E220" i="70" s="1"/>
  <c r="E50" i="70"/>
  <c r="E60" i="70" s="1"/>
  <c r="E66" i="70" s="1"/>
  <c r="M202" i="70"/>
  <c r="M204" i="70" s="1"/>
  <c r="M214" i="70" s="1"/>
  <c r="M220" i="70" s="1"/>
  <c r="M50" i="70"/>
  <c r="M60" i="70" s="1"/>
  <c r="M66" i="70" s="1"/>
  <c r="K214" i="70"/>
  <c r="K220" i="70" s="1"/>
  <c r="L60" i="70"/>
  <c r="L66" i="70" s="1"/>
  <c r="P50" i="70"/>
  <c r="G19" i="65"/>
  <c r="G21" i="65" s="1"/>
  <c r="D60" i="70"/>
  <c r="D66" i="70" s="1"/>
  <c r="H214" i="70"/>
  <c r="H220" i="70" s="1"/>
  <c r="I50" i="70"/>
  <c r="I60" i="70" s="1"/>
  <c r="I66" i="70" s="1"/>
  <c r="I202" i="70"/>
  <c r="I204" i="70" s="1"/>
  <c r="I214" i="70" s="1"/>
  <c r="I220" i="70" s="1"/>
  <c r="G60" i="70"/>
  <c r="G66" i="70" s="1"/>
  <c r="O206" i="70"/>
  <c r="O208" i="70" s="1"/>
  <c r="O214" i="70" s="1"/>
  <c r="O220" i="70" s="1"/>
  <c r="O54" i="70"/>
  <c r="O60" i="70" s="1"/>
  <c r="O66" i="70" s="1"/>
  <c r="D208" i="70"/>
  <c r="D214" i="70" s="1"/>
  <c r="D220" i="70" s="1"/>
  <c r="H60" i="70"/>
  <c r="H66" i="70" s="1"/>
  <c r="P206" i="70" l="1"/>
  <c r="P208" i="70" s="1"/>
  <c r="P202" i="70"/>
  <c r="P204" i="70" s="1"/>
  <c r="P214" i="70"/>
  <c r="P220" i="70" s="1"/>
  <c r="P60" i="70"/>
  <c r="P66" i="70" s="1"/>
  <c r="G31" i="65"/>
  <c r="G37" i="65" s="1"/>
  <c r="E74" i="70" l="1"/>
  <c r="F74" i="70"/>
  <c r="G74" i="70"/>
  <c r="H74" i="70"/>
  <c r="I74" i="70"/>
  <c r="J74" i="70"/>
  <c r="K74" i="70"/>
  <c r="L74" i="70"/>
  <c r="M74" i="70"/>
  <c r="N74" i="70"/>
  <c r="O74" i="70"/>
  <c r="E76" i="70"/>
  <c r="F76" i="70"/>
  <c r="G76" i="70"/>
  <c r="H76" i="70"/>
  <c r="I76" i="70"/>
  <c r="J76" i="70"/>
  <c r="K76" i="70"/>
  <c r="L76" i="70"/>
  <c r="M76" i="70"/>
  <c r="N76" i="70"/>
  <c r="O76" i="70"/>
  <c r="E78" i="70"/>
  <c r="F78" i="70"/>
  <c r="G78" i="70"/>
  <c r="H78" i="70"/>
  <c r="I78" i="70"/>
  <c r="J78" i="70"/>
  <c r="K78" i="70"/>
  <c r="L78" i="70"/>
  <c r="M78" i="70"/>
  <c r="N78" i="70"/>
  <c r="O78" i="70"/>
  <c r="E79" i="70"/>
  <c r="F79" i="70"/>
  <c r="G79" i="70"/>
  <c r="H79" i="70"/>
  <c r="I79" i="70"/>
  <c r="J79" i="70"/>
  <c r="K79" i="70"/>
  <c r="L79" i="70"/>
  <c r="M79" i="70"/>
  <c r="N79" i="70"/>
  <c r="O79" i="70"/>
  <c r="L150" i="44" l="1"/>
  <c r="L141" i="70"/>
  <c r="L236" i="70"/>
  <c r="L300" i="70" s="1"/>
  <c r="H150" i="44"/>
  <c r="H236" i="70"/>
  <c r="H300" i="70" s="1"/>
  <c r="H141" i="70"/>
  <c r="O149" i="44"/>
  <c r="O235" i="70"/>
  <c r="O140" i="70"/>
  <c r="O80" i="70"/>
  <c r="K149" i="44"/>
  <c r="K80" i="70"/>
  <c r="K140" i="70"/>
  <c r="K235" i="70"/>
  <c r="G149" i="44"/>
  <c r="G235" i="70"/>
  <c r="G80" i="70"/>
  <c r="G140" i="70"/>
  <c r="N147" i="44"/>
  <c r="N138" i="70"/>
  <c r="N233" i="70"/>
  <c r="N297" i="70" s="1"/>
  <c r="J147" i="44"/>
  <c r="J233" i="70"/>
  <c r="J297" i="70" s="1"/>
  <c r="J138" i="70"/>
  <c r="F147" i="44"/>
  <c r="F138" i="70"/>
  <c r="F233" i="70"/>
  <c r="F297" i="70" s="1"/>
  <c r="M145" i="44"/>
  <c r="M231" i="70"/>
  <c r="M295" i="70" s="1"/>
  <c r="M136" i="70"/>
  <c r="I145" i="44"/>
  <c r="I231" i="70"/>
  <c r="I295" i="70" s="1"/>
  <c r="I136" i="70"/>
  <c r="E145" i="44"/>
  <c r="E231" i="70"/>
  <c r="E295" i="70" s="1"/>
  <c r="E136" i="70"/>
  <c r="O150" i="44"/>
  <c r="O236" i="70"/>
  <c r="O300" i="70" s="1"/>
  <c r="O141" i="70"/>
  <c r="N149" i="44"/>
  <c r="N235" i="70"/>
  <c r="N140" i="70"/>
  <c r="N80" i="70"/>
  <c r="F140" i="70"/>
  <c r="F149" i="44"/>
  <c r="F80" i="70"/>
  <c r="F235" i="70"/>
  <c r="I147" i="44"/>
  <c r="I138" i="70"/>
  <c r="I233" i="70"/>
  <c r="I297" i="70" s="1"/>
  <c r="L145" i="44"/>
  <c r="L136" i="70"/>
  <c r="L231" i="70"/>
  <c r="L295" i="70" s="1"/>
  <c r="N150" i="44"/>
  <c r="N236" i="70"/>
  <c r="N300" i="70" s="1"/>
  <c r="N141" i="70"/>
  <c r="J150" i="44"/>
  <c r="J141" i="70"/>
  <c r="J236" i="70"/>
  <c r="J300" i="70" s="1"/>
  <c r="F150" i="44"/>
  <c r="F141" i="70"/>
  <c r="F236" i="70"/>
  <c r="F300" i="70" s="1"/>
  <c r="M149" i="44"/>
  <c r="M140" i="70"/>
  <c r="M142" i="70" s="1"/>
  <c r="M80" i="70"/>
  <c r="M235" i="70"/>
  <c r="I149" i="44"/>
  <c r="I235" i="70"/>
  <c r="I140" i="70"/>
  <c r="I80" i="70"/>
  <c r="E149" i="44"/>
  <c r="E235" i="70"/>
  <c r="E140" i="70"/>
  <c r="E80" i="70"/>
  <c r="L147" i="44"/>
  <c r="L233" i="70"/>
  <c r="L297" i="70" s="1"/>
  <c r="L138" i="70"/>
  <c r="H147" i="44"/>
  <c r="H233" i="70"/>
  <c r="H297" i="70" s="1"/>
  <c r="H138" i="70"/>
  <c r="O145" i="44"/>
  <c r="O136" i="70"/>
  <c r="O231" i="70"/>
  <c r="O295" i="70" s="1"/>
  <c r="K145" i="44"/>
  <c r="K231" i="70"/>
  <c r="K295" i="70" s="1"/>
  <c r="K136" i="70"/>
  <c r="G145" i="44"/>
  <c r="G231" i="70"/>
  <c r="G295" i="70" s="1"/>
  <c r="G136" i="70"/>
  <c r="K150" i="44"/>
  <c r="K141" i="70"/>
  <c r="K236" i="70"/>
  <c r="K300" i="70" s="1"/>
  <c r="G150" i="44"/>
  <c r="G141" i="70"/>
  <c r="G236" i="70"/>
  <c r="G300" i="70" s="1"/>
  <c r="J149" i="44"/>
  <c r="J80" i="70"/>
  <c r="J235" i="70"/>
  <c r="J140" i="70"/>
  <c r="J142" i="70" s="1"/>
  <c r="M147" i="44"/>
  <c r="M233" i="70"/>
  <c r="M297" i="70" s="1"/>
  <c r="M138" i="70"/>
  <c r="E147" i="44"/>
  <c r="E138" i="70"/>
  <c r="E233" i="70"/>
  <c r="E297" i="70" s="1"/>
  <c r="H145" i="44"/>
  <c r="H231" i="70"/>
  <c r="H295" i="70" s="1"/>
  <c r="H136" i="70"/>
  <c r="M150" i="44"/>
  <c r="M236" i="70"/>
  <c r="M300" i="70" s="1"/>
  <c r="M141" i="70"/>
  <c r="I150" i="44"/>
  <c r="I141" i="70"/>
  <c r="I236" i="70"/>
  <c r="I300" i="70" s="1"/>
  <c r="E150" i="44"/>
  <c r="E236" i="70"/>
  <c r="E300" i="70" s="1"/>
  <c r="E141" i="70"/>
  <c r="L149" i="44"/>
  <c r="L235" i="70"/>
  <c r="L80" i="70"/>
  <c r="L140" i="70"/>
  <c r="L142" i="70" s="1"/>
  <c r="H149" i="44"/>
  <c r="H80" i="70"/>
  <c r="H235" i="70"/>
  <c r="H140" i="70"/>
  <c r="H142" i="70" s="1"/>
  <c r="O147" i="44"/>
  <c r="O233" i="70"/>
  <c r="O297" i="70" s="1"/>
  <c r="O138" i="70"/>
  <c r="K147" i="44"/>
  <c r="K233" i="70"/>
  <c r="K297" i="70" s="1"/>
  <c r="K138" i="70"/>
  <c r="G147" i="44"/>
  <c r="G233" i="70"/>
  <c r="G297" i="70" s="1"/>
  <c r="G138" i="70"/>
  <c r="N145" i="44"/>
  <c r="N231" i="70"/>
  <c r="N295" i="70" s="1"/>
  <c r="N136" i="70"/>
  <c r="J145" i="44"/>
  <c r="J231" i="70"/>
  <c r="J295" i="70" s="1"/>
  <c r="J136" i="70"/>
  <c r="F145" i="44"/>
  <c r="F231" i="70"/>
  <c r="F295" i="70" s="1"/>
  <c r="F136" i="70"/>
  <c r="D79" i="70"/>
  <c r="D76" i="70"/>
  <c r="D78" i="70"/>
  <c r="G82" i="70"/>
  <c r="K82" i="70"/>
  <c r="O82" i="70"/>
  <c r="I82" i="70"/>
  <c r="F82" i="70"/>
  <c r="N82" i="70"/>
  <c r="D82" i="70"/>
  <c r="H82" i="70"/>
  <c r="L82" i="70"/>
  <c r="E82" i="70"/>
  <c r="M82" i="70"/>
  <c r="J82" i="70"/>
  <c r="F88" i="70"/>
  <c r="J88" i="70"/>
  <c r="N88" i="70"/>
  <c r="D88" i="70"/>
  <c r="L88" i="70"/>
  <c r="E88" i="70"/>
  <c r="G88" i="70"/>
  <c r="K88" i="70"/>
  <c r="O88" i="70"/>
  <c r="H88" i="70"/>
  <c r="I88" i="70"/>
  <c r="M88" i="70"/>
  <c r="E86" i="70"/>
  <c r="I86" i="70"/>
  <c r="M86" i="70"/>
  <c r="K86" i="70"/>
  <c r="O86" i="70"/>
  <c r="H86" i="70"/>
  <c r="F86" i="70"/>
  <c r="J86" i="70"/>
  <c r="N86" i="70"/>
  <c r="D86" i="70"/>
  <c r="G86" i="70"/>
  <c r="L86" i="70"/>
  <c r="D74" i="70" l="1"/>
  <c r="D157" i="44"/>
  <c r="D243" i="70"/>
  <c r="D148" i="70"/>
  <c r="P86" i="70"/>
  <c r="H27" i="65" s="1"/>
  <c r="H157" i="44"/>
  <c r="H243" i="70"/>
  <c r="H307" i="70" s="1"/>
  <c r="H148" i="70"/>
  <c r="N159" i="44"/>
  <c r="N90" i="10" s="1"/>
  <c r="N245" i="70"/>
  <c r="N150" i="70"/>
  <c r="O153" i="44"/>
  <c r="O144" i="70"/>
  <c r="O146" i="70" s="1"/>
  <c r="O239" i="70"/>
  <c r="O84" i="70"/>
  <c r="O90" i="70" s="1"/>
  <c r="O96" i="70" s="1"/>
  <c r="I299" i="70"/>
  <c r="I301" i="70" s="1"/>
  <c r="I237" i="70"/>
  <c r="N157" i="44"/>
  <c r="N243" i="70"/>
  <c r="N307" i="70" s="1"/>
  <c r="N148" i="70"/>
  <c r="O157" i="44"/>
  <c r="O243" i="70"/>
  <c r="O307" i="70" s="1"/>
  <c r="O148" i="70"/>
  <c r="E157" i="44"/>
  <c r="E243" i="70"/>
  <c r="E307" i="70" s="1"/>
  <c r="E148" i="70"/>
  <c r="H159" i="44"/>
  <c r="H90" i="10" s="1"/>
  <c r="H150" i="70"/>
  <c r="H245" i="70"/>
  <c r="E159" i="44"/>
  <c r="E90" i="10" s="1"/>
  <c r="E150" i="70"/>
  <c r="E245" i="70"/>
  <c r="J159" i="44"/>
  <c r="J90" i="10" s="1"/>
  <c r="J245" i="70"/>
  <c r="J150" i="70"/>
  <c r="E153" i="44"/>
  <c r="E144" i="70"/>
  <c r="E146" i="70" s="1"/>
  <c r="E239" i="70"/>
  <c r="E84" i="70"/>
  <c r="E90" i="70" s="1"/>
  <c r="E96" i="70" s="1"/>
  <c r="N153" i="44"/>
  <c r="N84" i="70"/>
  <c r="N90" i="70" s="1"/>
  <c r="N96" i="70" s="1"/>
  <c r="N239" i="70"/>
  <c r="N144" i="70"/>
  <c r="N146" i="70" s="1"/>
  <c r="K153" i="44"/>
  <c r="K84" i="70"/>
  <c r="K239" i="70"/>
  <c r="K144" i="70"/>
  <c r="K146" i="70" s="1"/>
  <c r="L237" i="70"/>
  <c r="L299" i="70"/>
  <c r="L301" i="70" s="1"/>
  <c r="F299" i="70"/>
  <c r="F301" i="70" s="1"/>
  <c r="F237" i="70"/>
  <c r="I159" i="44"/>
  <c r="I90" i="10" s="1"/>
  <c r="I150" i="70"/>
  <c r="I245" i="70"/>
  <c r="M153" i="44"/>
  <c r="M84" i="70"/>
  <c r="M90" i="70" s="1"/>
  <c r="M96" i="70" s="1"/>
  <c r="M144" i="70"/>
  <c r="M146" i="70" s="1"/>
  <c r="M239" i="70"/>
  <c r="L157" i="44"/>
  <c r="L148" i="70"/>
  <c r="L243" i="70"/>
  <c r="L307" i="70" s="1"/>
  <c r="J157" i="44"/>
  <c r="J243" i="70"/>
  <c r="J307" i="70" s="1"/>
  <c r="J148" i="70"/>
  <c r="J152" i="70" s="1"/>
  <c r="J158" i="70" s="1"/>
  <c r="K157" i="44"/>
  <c r="K148" i="70"/>
  <c r="K243" i="70"/>
  <c r="K307" i="70" s="1"/>
  <c r="O159" i="44"/>
  <c r="O90" i="10" s="1"/>
  <c r="O245" i="70"/>
  <c r="O150" i="70"/>
  <c r="L159" i="44"/>
  <c r="L90" i="10" s="1"/>
  <c r="L150" i="70"/>
  <c r="L152" i="70" s="1"/>
  <c r="L158" i="70" s="1"/>
  <c r="L245" i="70"/>
  <c r="F159" i="44"/>
  <c r="F90" i="10" s="1"/>
  <c r="F245" i="70"/>
  <c r="F150" i="70"/>
  <c r="L153" i="44"/>
  <c r="L144" i="70"/>
  <c r="L146" i="70" s="1"/>
  <c r="L239" i="70"/>
  <c r="L84" i="70"/>
  <c r="L90" i="70" s="1"/>
  <c r="L96" i="70" s="1"/>
  <c r="F153" i="44"/>
  <c r="F239" i="70"/>
  <c r="F84" i="70"/>
  <c r="F90" i="70" s="1"/>
  <c r="F96" i="70" s="1"/>
  <c r="F144" i="70"/>
  <c r="F146" i="70" s="1"/>
  <c r="G153" i="44"/>
  <c r="G239" i="70"/>
  <c r="G84" i="70"/>
  <c r="G144" i="70"/>
  <c r="G146" i="70" s="1"/>
  <c r="D150" i="44"/>
  <c r="D236" i="70"/>
  <c r="P79" i="70"/>
  <c r="H20" i="65" s="1"/>
  <c r="D141" i="70"/>
  <c r="P141" i="70" s="1"/>
  <c r="J20" i="65" s="1"/>
  <c r="J299" i="70"/>
  <c r="J301" i="70" s="1"/>
  <c r="J237" i="70"/>
  <c r="M237" i="70"/>
  <c r="M299" i="70"/>
  <c r="M301" i="70" s="1"/>
  <c r="N142" i="70"/>
  <c r="G142" i="70"/>
  <c r="K237" i="70"/>
  <c r="K299" i="70"/>
  <c r="K301" i="70" s="1"/>
  <c r="I157" i="44"/>
  <c r="I148" i="70"/>
  <c r="I243" i="70"/>
  <c r="I307" i="70" s="1"/>
  <c r="G159" i="44"/>
  <c r="G90" i="10" s="1"/>
  <c r="G150" i="70"/>
  <c r="G245" i="70"/>
  <c r="G90" i="70"/>
  <c r="G96" i="70" s="1"/>
  <c r="D153" i="44"/>
  <c r="D144" i="70"/>
  <c r="D239" i="70"/>
  <c r="D84" i="70"/>
  <c r="P82" i="70"/>
  <c r="H299" i="70"/>
  <c r="H301" i="70" s="1"/>
  <c r="H237" i="70"/>
  <c r="E237" i="70"/>
  <c r="E299" i="70"/>
  <c r="E301" i="70" s="1"/>
  <c r="G299" i="70"/>
  <c r="G301" i="70" s="1"/>
  <c r="G237" i="70"/>
  <c r="O237" i="70"/>
  <c r="O299" i="70"/>
  <c r="O301" i="70" s="1"/>
  <c r="G157" i="44"/>
  <c r="G148" i="70"/>
  <c r="G243" i="70"/>
  <c r="G307" i="70" s="1"/>
  <c r="F157" i="44"/>
  <c r="F148" i="70"/>
  <c r="F243" i="70"/>
  <c r="F307" i="70" s="1"/>
  <c r="M157" i="44"/>
  <c r="M148" i="70"/>
  <c r="M243" i="70"/>
  <c r="M307" i="70" s="1"/>
  <c r="M159" i="44"/>
  <c r="M90" i="10" s="1"/>
  <c r="M245" i="70"/>
  <c r="M150" i="70"/>
  <c r="M152" i="70" s="1"/>
  <c r="M158" i="70" s="1"/>
  <c r="K159" i="44"/>
  <c r="K90" i="10" s="1"/>
  <c r="K150" i="70"/>
  <c r="K245" i="70"/>
  <c r="K90" i="70"/>
  <c r="K96" i="70" s="1"/>
  <c r="D159" i="44"/>
  <c r="D90" i="10" s="1"/>
  <c r="D150" i="70"/>
  <c r="D245" i="70"/>
  <c r="P88" i="70"/>
  <c r="J153" i="44"/>
  <c r="J84" i="70"/>
  <c r="J239" i="70"/>
  <c r="J144" i="70"/>
  <c r="J146" i="70" s="1"/>
  <c r="H153" i="44"/>
  <c r="H144" i="70"/>
  <c r="H146" i="70" s="1"/>
  <c r="H84" i="70"/>
  <c r="H90" i="70" s="1"/>
  <c r="H96" i="70" s="1"/>
  <c r="H239" i="70"/>
  <c r="I153" i="44"/>
  <c r="I144" i="70"/>
  <c r="I146" i="70" s="1"/>
  <c r="I239" i="70"/>
  <c r="I84" i="70"/>
  <c r="I90" i="70" s="1"/>
  <c r="I96" i="70" s="1"/>
  <c r="D149" i="44"/>
  <c r="D80" i="70"/>
  <c r="D235" i="70"/>
  <c r="P78" i="70"/>
  <c r="D140" i="70"/>
  <c r="D147" i="44"/>
  <c r="D138" i="70"/>
  <c r="P138" i="70" s="1"/>
  <c r="J17" i="65" s="1"/>
  <c r="P76" i="70"/>
  <c r="H17" i="65" s="1"/>
  <c r="D233" i="70"/>
  <c r="J90" i="70"/>
  <c r="J96" i="70" s="1"/>
  <c r="G152" i="70"/>
  <c r="G158" i="70" s="1"/>
  <c r="E142" i="70"/>
  <c r="I142" i="70"/>
  <c r="F142" i="70"/>
  <c r="N299" i="70"/>
  <c r="N301" i="70" s="1"/>
  <c r="N237" i="70"/>
  <c r="K142" i="70"/>
  <c r="O142" i="70"/>
  <c r="O152" i="70" s="1"/>
  <c r="O158" i="70" s="1"/>
  <c r="E152" i="70" l="1"/>
  <c r="E158" i="70" s="1"/>
  <c r="D90" i="70"/>
  <c r="D96" i="70" s="1"/>
  <c r="F152" i="70"/>
  <c r="F158" i="70" s="1"/>
  <c r="P235" i="70"/>
  <c r="D299" i="70"/>
  <c r="D237" i="70"/>
  <c r="H29" i="65"/>
  <c r="D307" i="70"/>
  <c r="P307" i="70" s="1"/>
  <c r="P243" i="70"/>
  <c r="I152" i="70"/>
  <c r="I158" i="70" s="1"/>
  <c r="D309" i="70"/>
  <c r="P245" i="70"/>
  <c r="K309" i="70"/>
  <c r="P239" i="70"/>
  <c r="P241" i="70" s="1"/>
  <c r="D241" i="70"/>
  <c r="D303" i="70"/>
  <c r="G309" i="70"/>
  <c r="F152" i="10"/>
  <c r="L152" i="10"/>
  <c r="I152" i="10"/>
  <c r="H309" i="70"/>
  <c r="O241" i="70"/>
  <c r="O247" i="70" s="1"/>
  <c r="O253" i="70" s="1"/>
  <c r="O303" i="70"/>
  <c r="O305" i="70" s="1"/>
  <c r="N309" i="70"/>
  <c r="F241" i="70"/>
  <c r="F247" i="70" s="1"/>
  <c r="F253" i="70" s="1"/>
  <c r="F303" i="70"/>
  <c r="F305" i="70" s="1"/>
  <c r="O152" i="10"/>
  <c r="E152" i="10"/>
  <c r="D297" i="70"/>
  <c r="P297" i="70" s="1"/>
  <c r="P233" i="70"/>
  <c r="P150" i="70"/>
  <c r="K152" i="70"/>
  <c r="K158" i="70" s="1"/>
  <c r="M309" i="70"/>
  <c r="P144" i="70"/>
  <c r="D146" i="70"/>
  <c r="M303" i="70"/>
  <c r="M305" i="70" s="1"/>
  <c r="M241" i="70"/>
  <c r="M247" i="70" s="1"/>
  <c r="M253" i="70" s="1"/>
  <c r="E309" i="70"/>
  <c r="H152" i="70"/>
  <c r="H158" i="70" s="1"/>
  <c r="N152" i="10"/>
  <c r="D145" i="44"/>
  <c r="P74" i="70"/>
  <c r="H15" i="65" s="1"/>
  <c r="D231" i="70"/>
  <c r="D136" i="70"/>
  <c r="P136" i="70" s="1"/>
  <c r="J15" i="65" s="1"/>
  <c r="I303" i="70"/>
  <c r="I305" i="70" s="1"/>
  <c r="I241" i="70"/>
  <c r="J303" i="70"/>
  <c r="J305" i="70" s="1"/>
  <c r="J241" i="70"/>
  <c r="J247" i="70" s="1"/>
  <c r="J253" i="70" s="1"/>
  <c r="D300" i="70"/>
  <c r="P300" i="70" s="1"/>
  <c r="P236" i="70"/>
  <c r="G241" i="70"/>
  <c r="G247" i="70" s="1"/>
  <c r="G253" i="70" s="1"/>
  <c r="G303" i="70"/>
  <c r="G305" i="70" s="1"/>
  <c r="F309" i="70"/>
  <c r="F311" i="70" s="1"/>
  <c r="F317" i="70" s="1"/>
  <c r="J152" i="10"/>
  <c r="P140" i="70"/>
  <c r="D142" i="70"/>
  <c r="P80" i="70"/>
  <c r="H19" i="65"/>
  <c r="H21" i="65" s="1"/>
  <c r="H303" i="70"/>
  <c r="H305" i="70" s="1"/>
  <c r="H241" i="70"/>
  <c r="H247" i="70" s="1"/>
  <c r="H253" i="70" s="1"/>
  <c r="P90" i="10"/>
  <c r="D152" i="10"/>
  <c r="K152" i="10"/>
  <c r="M152" i="10"/>
  <c r="H23" i="65"/>
  <c r="H25" i="65" s="1"/>
  <c r="P84" i="70"/>
  <c r="P90" i="70" s="1"/>
  <c r="P96" i="70" s="1"/>
  <c r="G152" i="10"/>
  <c r="N152" i="70"/>
  <c r="N158" i="70" s="1"/>
  <c r="L303" i="70"/>
  <c r="L305" i="70" s="1"/>
  <c r="L241" i="70"/>
  <c r="L247" i="70" s="1"/>
  <c r="L253" i="70" s="1"/>
  <c r="L309" i="70"/>
  <c r="O309" i="70"/>
  <c r="O311" i="70" s="1"/>
  <c r="O317" i="70" s="1"/>
  <c r="I309" i="70"/>
  <c r="I311" i="70" s="1"/>
  <c r="I317" i="70" s="1"/>
  <c r="I247" i="70"/>
  <c r="I253" i="70" s="1"/>
  <c r="K303" i="70"/>
  <c r="K305" i="70" s="1"/>
  <c r="K241" i="70"/>
  <c r="K247" i="70" s="1"/>
  <c r="K253" i="70" s="1"/>
  <c r="N303" i="70"/>
  <c r="N305" i="70" s="1"/>
  <c r="N241" i="70"/>
  <c r="N247" i="70" s="1"/>
  <c r="N253" i="70" s="1"/>
  <c r="E241" i="70"/>
  <c r="E247" i="70" s="1"/>
  <c r="E253" i="70" s="1"/>
  <c r="E303" i="70"/>
  <c r="E305" i="70" s="1"/>
  <c r="J309" i="70"/>
  <c r="H152" i="10"/>
  <c r="P148" i="70"/>
  <c r="J27" i="65" s="1"/>
  <c r="D152" i="70" l="1"/>
  <c r="D158" i="70" s="1"/>
  <c r="D247" i="70"/>
  <c r="D253" i="70" s="1"/>
  <c r="H311" i="70"/>
  <c r="H317" i="70" s="1"/>
  <c r="D295" i="70"/>
  <c r="P295" i="70" s="1"/>
  <c r="P231" i="70"/>
  <c r="J29" i="65"/>
  <c r="K311" i="70"/>
  <c r="K317" i="70" s="1"/>
  <c r="H31" i="65"/>
  <c r="H37" i="65" s="1"/>
  <c r="M311" i="70"/>
  <c r="M317" i="70" s="1"/>
  <c r="J311" i="70"/>
  <c r="J317" i="70" s="1"/>
  <c r="J19" i="65"/>
  <c r="J21" i="65" s="1"/>
  <c r="P142" i="70"/>
  <c r="N311" i="70"/>
  <c r="N317" i="70" s="1"/>
  <c r="G311" i="70"/>
  <c r="G317" i="70" s="1"/>
  <c r="D301" i="70"/>
  <c r="P299" i="70"/>
  <c r="P301" i="70" s="1"/>
  <c r="L311" i="70"/>
  <c r="L317" i="70" s="1"/>
  <c r="P152" i="10"/>
  <c r="E311" i="70"/>
  <c r="E317" i="70" s="1"/>
  <c r="J23" i="65"/>
  <c r="J25" i="65" s="1"/>
  <c r="P146" i="70"/>
  <c r="D305" i="70"/>
  <c r="P303" i="70"/>
  <c r="P305" i="70" s="1"/>
  <c r="P309" i="70"/>
  <c r="P237" i="70"/>
  <c r="J31" i="65" l="1"/>
  <c r="J37" i="65" s="1"/>
  <c r="D311" i="70"/>
  <c r="D317" i="70" s="1"/>
  <c r="P152" i="70"/>
  <c r="P158" i="70" s="1"/>
  <c r="D84" i="75"/>
  <c r="D54" i="75"/>
  <c r="K84" i="75"/>
  <c r="K54" i="75"/>
  <c r="K56" i="75" s="1"/>
  <c r="E84" i="10"/>
  <c r="E54" i="10"/>
  <c r="E56" i="10" s="1"/>
  <c r="F81" i="10"/>
  <c r="F51" i="10"/>
  <c r="M84" i="75"/>
  <c r="M54" i="75"/>
  <c r="M56" i="75" s="1"/>
  <c r="D80" i="10"/>
  <c r="D50" i="10"/>
  <c r="K81" i="75"/>
  <c r="K142" i="75" s="1"/>
  <c r="K51" i="75"/>
  <c r="G84" i="75"/>
  <c r="G54" i="75"/>
  <c r="G56" i="75" s="1"/>
  <c r="N80" i="10"/>
  <c r="N50" i="10"/>
  <c r="P247" i="70"/>
  <c r="P253" i="70" s="1"/>
  <c r="J81" i="10"/>
  <c r="J51" i="10"/>
  <c r="D84" i="10"/>
  <c r="D54" i="10"/>
  <c r="M84" i="10"/>
  <c r="M54" i="10"/>
  <c r="M56" i="10" s="1"/>
  <c r="I84" i="10"/>
  <c r="I54" i="10"/>
  <c r="I56" i="10" s="1"/>
  <c r="P311" i="70"/>
  <c r="P317" i="70" s="1"/>
  <c r="N84" i="10"/>
  <c r="N54" i="10"/>
  <c r="N56" i="10" s="1"/>
  <c r="E80" i="10"/>
  <c r="E50" i="10"/>
  <c r="J80" i="10"/>
  <c r="J50" i="10"/>
  <c r="G81" i="75"/>
  <c r="G51" i="75"/>
  <c r="E54" i="75"/>
  <c r="E56" i="75" s="1"/>
  <c r="K54" i="10"/>
  <c r="K56" i="10" s="1"/>
  <c r="H54" i="10"/>
  <c r="H56" i="10" s="1"/>
  <c r="J143" i="10" l="1"/>
  <c r="J52" i="10"/>
  <c r="D81" i="75"/>
  <c r="D51" i="75"/>
  <c r="G80" i="10"/>
  <c r="G50" i="10"/>
  <c r="L81" i="10"/>
  <c r="L51" i="10"/>
  <c r="L80" i="75"/>
  <c r="L50" i="75"/>
  <c r="F84" i="10"/>
  <c r="F54" i="10"/>
  <c r="F56" i="10" s="1"/>
  <c r="H81" i="75"/>
  <c r="H51" i="75"/>
  <c r="G80" i="75"/>
  <c r="G50" i="75"/>
  <c r="G52" i="75" s="1"/>
  <c r="G62" i="75" s="1"/>
  <c r="G68" i="75" s="1"/>
  <c r="I80" i="75"/>
  <c r="I50" i="75"/>
  <c r="E81" i="75"/>
  <c r="E51" i="75"/>
  <c r="I80" i="10"/>
  <c r="I50" i="10"/>
  <c r="N80" i="75"/>
  <c r="N50" i="75"/>
  <c r="H84" i="75"/>
  <c r="H54" i="75"/>
  <c r="H56" i="75" s="1"/>
  <c r="F80" i="10"/>
  <c r="P80" i="10" s="1"/>
  <c r="F50" i="10"/>
  <c r="F52" i="10" s="1"/>
  <c r="F62" i="10" s="1"/>
  <c r="F68" i="10" s="1"/>
  <c r="H80" i="10"/>
  <c r="H50" i="10"/>
  <c r="I81" i="75"/>
  <c r="I51" i="75"/>
  <c r="G142" i="75"/>
  <c r="E142" i="10"/>
  <c r="D56" i="10"/>
  <c r="G86" i="75"/>
  <c r="G145" i="75"/>
  <c r="G147" i="75" s="1"/>
  <c r="D142" i="10"/>
  <c r="F143" i="10"/>
  <c r="K86" i="75"/>
  <c r="K145" i="75"/>
  <c r="K147" i="75" s="1"/>
  <c r="L84" i="75"/>
  <c r="L54" i="75"/>
  <c r="L56" i="75" s="1"/>
  <c r="D80" i="75"/>
  <c r="D50" i="75"/>
  <c r="M80" i="75"/>
  <c r="M50" i="75"/>
  <c r="I54" i="75"/>
  <c r="I56" i="75" s="1"/>
  <c r="M81" i="10"/>
  <c r="M143" i="10" s="1"/>
  <c r="M51" i="10"/>
  <c r="N81" i="75"/>
  <c r="N51" i="75"/>
  <c r="K80" i="10"/>
  <c r="K50" i="10"/>
  <c r="N84" i="75"/>
  <c r="N54" i="75"/>
  <c r="N56" i="75" s="1"/>
  <c r="J80" i="75"/>
  <c r="J50" i="75"/>
  <c r="L84" i="10"/>
  <c r="L54" i="10"/>
  <c r="L56" i="10" s="1"/>
  <c r="H80" i="75"/>
  <c r="H50" i="75"/>
  <c r="O81" i="75"/>
  <c r="O51" i="75"/>
  <c r="D81" i="10"/>
  <c r="D51" i="10"/>
  <c r="L81" i="75"/>
  <c r="L51" i="75"/>
  <c r="G84" i="10"/>
  <c r="G54" i="10"/>
  <c r="G56" i="10" s="1"/>
  <c r="I86" i="10"/>
  <c r="I146" i="10"/>
  <c r="I148" i="10" s="1"/>
  <c r="D86" i="10"/>
  <c r="D146" i="10"/>
  <c r="D56" i="75"/>
  <c r="O80" i="10"/>
  <c r="O50" i="10"/>
  <c r="E80" i="75"/>
  <c r="E50" i="75"/>
  <c r="M86" i="10"/>
  <c r="M146" i="10"/>
  <c r="M148" i="10" s="1"/>
  <c r="O80" i="75"/>
  <c r="O50" i="75"/>
  <c r="K81" i="10"/>
  <c r="K51" i="10"/>
  <c r="O84" i="10"/>
  <c r="O54" i="10"/>
  <c r="O56" i="10" s="1"/>
  <c r="G81" i="10"/>
  <c r="G51" i="10"/>
  <c r="M80" i="10"/>
  <c r="M50" i="10"/>
  <c r="M52" i="10" s="1"/>
  <c r="M62" i="10" s="1"/>
  <c r="M68" i="10" s="1"/>
  <c r="E81" i="10"/>
  <c r="E51" i="10"/>
  <c r="E52" i="10" s="1"/>
  <c r="E62" i="10" s="1"/>
  <c r="E68" i="10" s="1"/>
  <c r="L80" i="10"/>
  <c r="L50" i="10"/>
  <c r="L52" i="10" s="1"/>
  <c r="O84" i="75"/>
  <c r="O54" i="75"/>
  <c r="O56" i="75" s="1"/>
  <c r="H81" i="10"/>
  <c r="H51" i="10"/>
  <c r="N81" i="10"/>
  <c r="N51" i="10"/>
  <c r="N52" i="10" s="1"/>
  <c r="N62" i="10" s="1"/>
  <c r="N68" i="10" s="1"/>
  <c r="K80" i="75"/>
  <c r="K50" i="75"/>
  <c r="K52" i="75" s="1"/>
  <c r="K62" i="75" s="1"/>
  <c r="K68" i="75" s="1"/>
  <c r="M81" i="75"/>
  <c r="M51" i="75"/>
  <c r="F84" i="75"/>
  <c r="F54" i="75"/>
  <c r="F56" i="75" s="1"/>
  <c r="F80" i="75"/>
  <c r="F50" i="75"/>
  <c r="J81" i="75"/>
  <c r="J51" i="75"/>
  <c r="O81" i="10"/>
  <c r="O51" i="10"/>
  <c r="F81" i="75"/>
  <c r="F51" i="75"/>
  <c r="I81" i="10"/>
  <c r="I51" i="10"/>
  <c r="J84" i="75"/>
  <c r="J54" i="75"/>
  <c r="J56" i="75" s="1"/>
  <c r="J84" i="10"/>
  <c r="J54" i="10"/>
  <c r="J56" i="10" s="1"/>
  <c r="J62" i="10" s="1"/>
  <c r="J68" i="10" s="1"/>
  <c r="J82" i="10"/>
  <c r="J142" i="10"/>
  <c r="J144" i="10" s="1"/>
  <c r="N86" i="10"/>
  <c r="N146" i="10"/>
  <c r="N148" i="10" s="1"/>
  <c r="N82" i="10"/>
  <c r="N142" i="10"/>
  <c r="M86" i="75"/>
  <c r="M145" i="75"/>
  <c r="M147" i="75" s="1"/>
  <c r="E86" i="10"/>
  <c r="E146" i="10"/>
  <c r="E148" i="10" s="1"/>
  <c r="D145" i="75"/>
  <c r="D86" i="75"/>
  <c r="H382" i="74"/>
  <c r="H477" i="74" s="1"/>
  <c r="O382" i="74"/>
  <c r="E382" i="74"/>
  <c r="E477" i="74" s="1"/>
  <c r="I382" i="74"/>
  <c r="I477" i="74" s="1"/>
  <c r="M382" i="74"/>
  <c r="M477" i="74" s="1"/>
  <c r="G382" i="74"/>
  <c r="G477" i="74" s="1"/>
  <c r="H46" i="44"/>
  <c r="H111" i="44" s="1"/>
  <c r="J382" i="74"/>
  <c r="J477" i="74" s="1"/>
  <c r="L51" i="44"/>
  <c r="L116" i="44" s="1"/>
  <c r="N46" i="44"/>
  <c r="N111" i="44" s="1"/>
  <c r="E46" i="44"/>
  <c r="E111" i="44" s="1"/>
  <c r="K382" i="74"/>
  <c r="K477" i="74" s="1"/>
  <c r="F46" i="44"/>
  <c r="F111" i="44" s="1"/>
  <c r="O51" i="44"/>
  <c r="H51" i="44"/>
  <c r="H116" i="44" s="1"/>
  <c r="J46" i="44"/>
  <c r="J111" i="44" s="1"/>
  <c r="L382" i="74"/>
  <c r="L477" i="74" s="1"/>
  <c r="N51" i="44"/>
  <c r="N116" i="44" s="1"/>
  <c r="I51" i="44"/>
  <c r="I116" i="44" s="1"/>
  <c r="O46" i="44"/>
  <c r="O111" i="44" s="1"/>
  <c r="N382" i="74"/>
  <c r="N477" i="74" s="1"/>
  <c r="F382" i="74"/>
  <c r="F477" i="74" s="1"/>
  <c r="G51" i="44"/>
  <c r="G116" i="44" s="1"/>
  <c r="G46" i="44"/>
  <c r="G111" i="44" s="1"/>
  <c r="E52" i="75" l="1"/>
  <c r="E62" i="75" s="1"/>
  <c r="E68" i="75" s="1"/>
  <c r="O142" i="75"/>
  <c r="N142" i="75"/>
  <c r="I142" i="75"/>
  <c r="E142" i="75"/>
  <c r="P53" i="74" s="1"/>
  <c r="P54" i="74" s="1"/>
  <c r="P64" i="74" s="1"/>
  <c r="P70" i="74" s="1"/>
  <c r="L142" i="75"/>
  <c r="O52" i="75"/>
  <c r="I52" i="75"/>
  <c r="H143" i="10"/>
  <c r="P51" i="10"/>
  <c r="H52" i="10"/>
  <c r="H62" i="10" s="1"/>
  <c r="H68" i="10" s="1"/>
  <c r="I52" i="10"/>
  <c r="I62" i="10" s="1"/>
  <c r="I68" i="10" s="1"/>
  <c r="G52" i="10"/>
  <c r="G62" i="10" s="1"/>
  <c r="G68" i="10" s="1"/>
  <c r="N143" i="10"/>
  <c r="E143" i="10"/>
  <c r="E144" i="10" s="1"/>
  <c r="G143" i="10"/>
  <c r="K143" i="10"/>
  <c r="N86" i="75"/>
  <c r="N145" i="75"/>
  <c r="N147" i="75" s="1"/>
  <c r="L86" i="75"/>
  <c r="L145" i="75"/>
  <c r="L147" i="75" s="1"/>
  <c r="L141" i="75"/>
  <c r="L143" i="75" s="1"/>
  <c r="L82" i="75"/>
  <c r="J76" i="10"/>
  <c r="J138" i="10" s="1"/>
  <c r="K76" i="10"/>
  <c r="K138" i="10" s="1"/>
  <c r="D382" i="74"/>
  <c r="K84" i="10"/>
  <c r="J86" i="75"/>
  <c r="J145" i="75"/>
  <c r="J147" i="75" s="1"/>
  <c r="F142" i="75"/>
  <c r="J142" i="75"/>
  <c r="F86" i="75"/>
  <c r="F145" i="75"/>
  <c r="F147" i="75" s="1"/>
  <c r="O62" i="75"/>
  <c r="O68" i="75" s="1"/>
  <c r="P54" i="75"/>
  <c r="P56" i="75" s="1"/>
  <c r="G86" i="10"/>
  <c r="G146" i="10"/>
  <c r="G148" i="10" s="1"/>
  <c r="D143" i="10"/>
  <c r="P81" i="10"/>
  <c r="P82" i="10" s="1"/>
  <c r="H52" i="75"/>
  <c r="H62" i="75" s="1"/>
  <c r="H68" i="75" s="1"/>
  <c r="J52" i="75"/>
  <c r="J62" i="75" s="1"/>
  <c r="J68" i="75" s="1"/>
  <c r="K52" i="10"/>
  <c r="K62" i="10" s="1"/>
  <c r="K68" i="10" s="1"/>
  <c r="M52" i="75"/>
  <c r="M62" i="75" s="1"/>
  <c r="M68" i="75" s="1"/>
  <c r="P50" i="75"/>
  <c r="D52" i="75"/>
  <c r="D82" i="10"/>
  <c r="H82" i="10"/>
  <c r="H142" i="10"/>
  <c r="H144" i="10" s="1"/>
  <c r="H86" i="75"/>
  <c r="H145" i="75"/>
  <c r="H147" i="75" s="1"/>
  <c r="I82" i="10"/>
  <c r="I142" i="10"/>
  <c r="I141" i="75"/>
  <c r="I82" i="75"/>
  <c r="H142" i="75"/>
  <c r="G82" i="10"/>
  <c r="G142" i="10"/>
  <c r="O477" i="74"/>
  <c r="O86" i="75"/>
  <c r="O145" i="75"/>
  <c r="O147" i="75" s="1"/>
  <c r="O82" i="10"/>
  <c r="O142" i="10"/>
  <c r="L86" i="10"/>
  <c r="L146" i="10"/>
  <c r="L148" i="10" s="1"/>
  <c r="I84" i="75"/>
  <c r="D52" i="10"/>
  <c r="D62" i="10" s="1"/>
  <c r="D68" i="10" s="1"/>
  <c r="G76" i="10"/>
  <c r="G138" i="10" s="1"/>
  <c r="E84" i="75"/>
  <c r="D147" i="75"/>
  <c r="F52" i="75"/>
  <c r="K82" i="75"/>
  <c r="K92" i="75" s="1"/>
  <c r="K98" i="75" s="1"/>
  <c r="K141" i="75"/>
  <c r="K143" i="75" s="1"/>
  <c r="K153" i="75" s="1"/>
  <c r="K159" i="75" s="1"/>
  <c r="L82" i="10"/>
  <c r="L142" i="10"/>
  <c r="M82" i="10"/>
  <c r="M142" i="10"/>
  <c r="M144" i="10" s="1"/>
  <c r="O86" i="10"/>
  <c r="O146" i="10"/>
  <c r="O148" i="10" s="1"/>
  <c r="O82" i="75"/>
  <c r="O92" i="75" s="1"/>
  <c r="O98" i="75" s="1"/>
  <c r="O141" i="75"/>
  <c r="O143" i="75" s="1"/>
  <c r="O153" i="75" s="1"/>
  <c r="O159" i="75" s="1"/>
  <c r="E82" i="75"/>
  <c r="E141" i="75"/>
  <c r="E143" i="75" s="1"/>
  <c r="D62" i="75"/>
  <c r="D68" i="75" s="1"/>
  <c r="H82" i="75"/>
  <c r="H141" i="75"/>
  <c r="J82" i="75"/>
  <c r="J141" i="75"/>
  <c r="J143" i="75" s="1"/>
  <c r="J153" i="75" s="1"/>
  <c r="J159" i="75" s="1"/>
  <c r="K82" i="10"/>
  <c r="K142" i="10"/>
  <c r="K144" i="10" s="1"/>
  <c r="M82" i="75"/>
  <c r="M92" i="75" s="1"/>
  <c r="M98" i="75" s="1"/>
  <c r="M141" i="75"/>
  <c r="P80" i="75"/>
  <c r="D141" i="75"/>
  <c r="D82" i="75"/>
  <c r="D92" i="75" s="1"/>
  <c r="D98" i="75" s="1"/>
  <c r="P54" i="10"/>
  <c r="P56" i="10" s="1"/>
  <c r="N52" i="75"/>
  <c r="N62" i="75" s="1"/>
  <c r="N68" i="75" s="1"/>
  <c r="L143" i="10"/>
  <c r="P51" i="75"/>
  <c r="F62" i="75"/>
  <c r="F68" i="75" s="1"/>
  <c r="E82" i="10"/>
  <c r="H76" i="10"/>
  <c r="H138" i="10" s="1"/>
  <c r="O76" i="10"/>
  <c r="O138" i="10" s="1"/>
  <c r="O116" i="44"/>
  <c r="O373" i="74"/>
  <c r="F76" i="10"/>
  <c r="F138" i="10" s="1"/>
  <c r="E76" i="10"/>
  <c r="E138" i="10" s="1"/>
  <c r="N76" i="10"/>
  <c r="N138" i="10" s="1"/>
  <c r="H84" i="10"/>
  <c r="N144" i="10"/>
  <c r="J86" i="10"/>
  <c r="J146" i="10"/>
  <c r="J148" i="10" s="1"/>
  <c r="I143" i="10"/>
  <c r="O143" i="10"/>
  <c r="F141" i="75"/>
  <c r="F143" i="75" s="1"/>
  <c r="F153" i="75" s="1"/>
  <c r="F159" i="75" s="1"/>
  <c r="F82" i="75"/>
  <c r="M142" i="75"/>
  <c r="O52" i="10"/>
  <c r="O62" i="10" s="1"/>
  <c r="O68" i="10" s="1"/>
  <c r="D148" i="10"/>
  <c r="L62" i="10"/>
  <c r="L68" i="10" s="1"/>
  <c r="I62" i="75"/>
  <c r="I68" i="75" s="1"/>
  <c r="P50" i="10"/>
  <c r="P52" i="10" s="1"/>
  <c r="F82" i="10"/>
  <c r="F142" i="10"/>
  <c r="F144" i="10" s="1"/>
  <c r="N82" i="75"/>
  <c r="N92" i="75" s="1"/>
  <c r="N98" i="75" s="1"/>
  <c r="N141" i="75"/>
  <c r="N143" i="75" s="1"/>
  <c r="G82" i="75"/>
  <c r="G92" i="75" s="1"/>
  <c r="G98" i="75" s="1"/>
  <c r="G141" i="75"/>
  <c r="G143" i="75" s="1"/>
  <c r="G153" i="75" s="1"/>
  <c r="G159" i="75" s="1"/>
  <c r="F86" i="10"/>
  <c r="F146" i="10"/>
  <c r="F148" i="10" s="1"/>
  <c r="L52" i="75"/>
  <c r="L62" i="75" s="1"/>
  <c r="L68" i="75" s="1"/>
  <c r="P81" i="75"/>
  <c r="D142" i="75"/>
  <c r="D51" i="44"/>
  <c r="J51" i="44"/>
  <c r="J116" i="44" s="1"/>
  <c r="M51" i="44"/>
  <c r="M116" i="44" s="1"/>
  <c r="K51" i="44"/>
  <c r="K116" i="44" s="1"/>
  <c r="F51" i="44"/>
  <c r="F116" i="44" s="1"/>
  <c r="E51" i="44"/>
  <c r="E116" i="44" s="1"/>
  <c r="K46" i="44"/>
  <c r="K111" i="44" s="1"/>
  <c r="L46" i="44"/>
  <c r="L111" i="44" s="1"/>
  <c r="I46" i="44"/>
  <c r="I111" i="44" s="1"/>
  <c r="M46" i="44"/>
  <c r="M111" i="44" s="1"/>
  <c r="D46" i="44"/>
  <c r="J400" i="74"/>
  <c r="M400" i="74"/>
  <c r="F400" i="74"/>
  <c r="O400" i="74"/>
  <c r="L400" i="74"/>
  <c r="H400" i="74"/>
  <c r="N400" i="74"/>
  <c r="G400" i="74"/>
  <c r="I400" i="74"/>
  <c r="E400" i="74"/>
  <c r="K400" i="74"/>
  <c r="D400" i="74"/>
  <c r="M143" i="75" l="1"/>
  <c r="M153" i="75" s="1"/>
  <c r="M159" i="75" s="1"/>
  <c r="I143" i="75"/>
  <c r="N153" i="75"/>
  <c r="N159" i="75" s="1"/>
  <c r="H143" i="75"/>
  <c r="H153" i="75" s="1"/>
  <c r="H159" i="75" s="1"/>
  <c r="P142" i="75"/>
  <c r="G144" i="10"/>
  <c r="P143" i="10"/>
  <c r="D76" i="10"/>
  <c r="L376" i="74"/>
  <c r="P400" i="74"/>
  <c r="F116" i="76" s="1"/>
  <c r="D111" i="44"/>
  <c r="P111" i="44" s="1"/>
  <c r="Q111" i="44" s="1"/>
  <c r="P46" i="44"/>
  <c r="Q46" i="44" s="1"/>
  <c r="J92" i="75"/>
  <c r="J98" i="75" s="1"/>
  <c r="E86" i="75"/>
  <c r="E92" i="75" s="1"/>
  <c r="E98" i="75" s="1"/>
  <c r="E145" i="75"/>
  <c r="P84" i="75"/>
  <c r="P86" i="75" s="1"/>
  <c r="I86" i="75"/>
  <c r="I145" i="75"/>
  <c r="I147" i="75" s="1"/>
  <c r="I153" i="75" s="1"/>
  <c r="I159" i="75" s="1"/>
  <c r="I144" i="10"/>
  <c r="K86" i="10"/>
  <c r="K146" i="10"/>
  <c r="K148" i="10" s="1"/>
  <c r="G376" i="74"/>
  <c r="I76" i="10"/>
  <c r="I138" i="10" s="1"/>
  <c r="L76" i="10"/>
  <c r="L138" i="10" s="1"/>
  <c r="D116" i="44"/>
  <c r="P116" i="44" s="1"/>
  <c r="Q116" i="44" s="1"/>
  <c r="P51" i="44"/>
  <c r="Q51" i="44" s="1"/>
  <c r="P142" i="10"/>
  <c r="P144" i="10" s="1"/>
  <c r="P141" i="75"/>
  <c r="P143" i="75" s="1"/>
  <c r="D143" i="75"/>
  <c r="D153" i="75" s="1"/>
  <c r="D159" i="75" s="1"/>
  <c r="L144" i="10"/>
  <c r="O144" i="10"/>
  <c r="P52" i="75"/>
  <c r="P62" i="75" s="1"/>
  <c r="P68" i="75" s="1"/>
  <c r="L92" i="75"/>
  <c r="L98" i="75" s="1"/>
  <c r="M76" i="10"/>
  <c r="M138" i="10" s="1"/>
  <c r="P62" i="10"/>
  <c r="P68" i="10" s="1"/>
  <c r="F92" i="75"/>
  <c r="F98" i="75" s="1"/>
  <c r="H86" i="10"/>
  <c r="H146" i="10"/>
  <c r="H148" i="10" s="1"/>
  <c r="P84" i="10"/>
  <c r="P86" i="10" s="1"/>
  <c r="D144" i="10"/>
  <c r="P82" i="75"/>
  <c r="H92" i="75"/>
  <c r="H98" i="75" s="1"/>
  <c r="I92" i="75"/>
  <c r="I98" i="75" s="1"/>
  <c r="D477" i="74"/>
  <c r="P477" i="74" s="1"/>
  <c r="P382" i="74"/>
  <c r="L153" i="75"/>
  <c r="L159" i="75" s="1"/>
  <c r="D50" i="44"/>
  <c r="I50" i="44"/>
  <c r="K50" i="44"/>
  <c r="L50" i="44"/>
  <c r="M50" i="44"/>
  <c r="F50" i="44"/>
  <c r="E50" i="44"/>
  <c r="G50" i="44"/>
  <c r="H50" i="44"/>
  <c r="O50" i="44"/>
  <c r="J50" i="44"/>
  <c r="N50" i="44"/>
  <c r="I48" i="44"/>
  <c r="I113" i="44" s="1"/>
  <c r="G48" i="44"/>
  <c r="G113" i="44" s="1"/>
  <c r="J48" i="44"/>
  <c r="J113" i="44" s="1"/>
  <c r="L48" i="44"/>
  <c r="L113" i="44" s="1"/>
  <c r="O48" i="44"/>
  <c r="F48" i="44"/>
  <c r="F113" i="44" s="1"/>
  <c r="H48" i="44"/>
  <c r="H113" i="44" s="1"/>
  <c r="M48" i="44"/>
  <c r="M113" i="44" s="1"/>
  <c r="N48" i="44"/>
  <c r="N113" i="44" s="1"/>
  <c r="D78" i="10"/>
  <c r="D48" i="44"/>
  <c r="K48" i="44"/>
  <c r="K113" i="44" s="1"/>
  <c r="E48" i="44"/>
  <c r="E113" i="44" s="1"/>
  <c r="F90" i="76"/>
  <c r="P92" i="75" l="1"/>
  <c r="P98" i="75" s="1"/>
  <c r="L78" i="10"/>
  <c r="L52" i="44"/>
  <c r="L62" i="44" s="1"/>
  <c r="L68" i="44" s="1"/>
  <c r="L115" i="44"/>
  <c r="L117" i="44" s="1"/>
  <c r="L127" i="44" s="1"/>
  <c r="L133" i="44" s="1"/>
  <c r="K376" i="74"/>
  <c r="F187" i="76"/>
  <c r="I90" i="76"/>
  <c r="U90" i="76" s="1"/>
  <c r="F92" i="76"/>
  <c r="I92" i="76" s="1"/>
  <c r="U92" i="76" s="1"/>
  <c r="E78" i="10"/>
  <c r="D140" i="10"/>
  <c r="M78" i="10"/>
  <c r="F78" i="10"/>
  <c r="G78" i="10"/>
  <c r="J52" i="44"/>
  <c r="J62" i="44" s="1"/>
  <c r="J68" i="44" s="1"/>
  <c r="J115" i="44"/>
  <c r="J117" i="44" s="1"/>
  <c r="J127" i="44" s="1"/>
  <c r="J133" i="44" s="1"/>
  <c r="E52" i="44"/>
  <c r="E62" i="44" s="1"/>
  <c r="E68" i="44" s="1"/>
  <c r="E115" i="44"/>
  <c r="E117" i="44" s="1"/>
  <c r="E127" i="44" s="1"/>
  <c r="E133" i="44" s="1"/>
  <c r="K52" i="44"/>
  <c r="K62" i="44" s="1"/>
  <c r="K68" i="44" s="1"/>
  <c r="K115" i="44"/>
  <c r="K117" i="44" s="1"/>
  <c r="K127" i="44" s="1"/>
  <c r="K133" i="44" s="1"/>
  <c r="N376" i="74"/>
  <c r="J376" i="74"/>
  <c r="E147" i="75"/>
  <c r="E153" i="75" s="1"/>
  <c r="E159" i="75" s="1"/>
  <c r="P145" i="75"/>
  <c r="P147" i="75" s="1"/>
  <c r="P153" i="75" s="1"/>
  <c r="P159" i="75" s="1"/>
  <c r="I116" i="76"/>
  <c r="U116" i="76" s="1"/>
  <c r="D92" i="10"/>
  <c r="D98" i="10" s="1"/>
  <c r="N52" i="44"/>
  <c r="N62" i="44" s="1"/>
  <c r="N68" i="44" s="1"/>
  <c r="N115" i="44"/>
  <c r="N117" i="44" s="1"/>
  <c r="N127" i="44" s="1"/>
  <c r="N133" i="44" s="1"/>
  <c r="M376" i="74"/>
  <c r="O370" i="74"/>
  <c r="O465" i="74" s="1"/>
  <c r="O113" i="44"/>
  <c r="O52" i="44"/>
  <c r="O62" i="44" s="1"/>
  <c r="O68" i="44" s="1"/>
  <c r="O115" i="44"/>
  <c r="O117" i="44" s="1"/>
  <c r="O372" i="74"/>
  <c r="O374" i="74" s="1"/>
  <c r="F52" i="44"/>
  <c r="F62" i="44" s="1"/>
  <c r="F68" i="44" s="1"/>
  <c r="F115" i="44"/>
  <c r="F117" i="44" s="1"/>
  <c r="F127" i="44" s="1"/>
  <c r="F133" i="44" s="1"/>
  <c r="I52" i="44"/>
  <c r="I62" i="44" s="1"/>
  <c r="I68" i="44" s="1"/>
  <c r="I115" i="44"/>
  <c r="I117" i="44" s="1"/>
  <c r="I127" i="44" s="1"/>
  <c r="I133" i="44" s="1"/>
  <c r="E87" i="76"/>
  <c r="E184" i="76" s="1"/>
  <c r="D376" i="74"/>
  <c r="E376" i="74"/>
  <c r="P146" i="10"/>
  <c r="P148" i="10" s="1"/>
  <c r="D138" i="10"/>
  <c r="P138" i="10" s="1"/>
  <c r="P76" i="10"/>
  <c r="P48" i="44"/>
  <c r="Q48" i="44" s="1"/>
  <c r="D113" i="44"/>
  <c r="P113" i="44" s="1"/>
  <c r="Q113" i="44" s="1"/>
  <c r="G52" i="44"/>
  <c r="G62" i="44" s="1"/>
  <c r="G68" i="44" s="1"/>
  <c r="G115" i="44"/>
  <c r="G117" i="44" s="1"/>
  <c r="G127" i="44" s="1"/>
  <c r="G133" i="44" s="1"/>
  <c r="H376" i="74"/>
  <c r="G471" i="74"/>
  <c r="G473" i="74" s="1"/>
  <c r="G378" i="74"/>
  <c r="L471" i="74"/>
  <c r="L473" i="74" s="1"/>
  <c r="L378" i="74"/>
  <c r="F96" i="76"/>
  <c r="K78" i="10"/>
  <c r="K140" i="10" s="1"/>
  <c r="K154" i="10" s="1"/>
  <c r="K160" i="10" s="1"/>
  <c r="N78" i="10"/>
  <c r="H78" i="10"/>
  <c r="H140" i="10" s="1"/>
  <c r="H154" i="10" s="1"/>
  <c r="H160" i="10" s="1"/>
  <c r="O78" i="10"/>
  <c r="J78" i="10"/>
  <c r="I78" i="10"/>
  <c r="H52" i="44"/>
  <c r="H62" i="44" s="1"/>
  <c r="H68" i="44" s="1"/>
  <c r="H115" i="44"/>
  <c r="H117" i="44" s="1"/>
  <c r="H127" i="44" s="1"/>
  <c r="H133" i="44" s="1"/>
  <c r="M52" i="44"/>
  <c r="M62" i="44" s="1"/>
  <c r="M68" i="44" s="1"/>
  <c r="M115" i="44"/>
  <c r="M117" i="44" s="1"/>
  <c r="M127" i="44" s="1"/>
  <c r="M133" i="44" s="1"/>
  <c r="D115" i="44"/>
  <c r="P50" i="44"/>
  <c r="Q50" i="44" s="1"/>
  <c r="Q52" i="44" s="1"/>
  <c r="D52" i="44"/>
  <c r="I376" i="74"/>
  <c r="O376" i="74"/>
  <c r="F376" i="74"/>
  <c r="K92" i="10"/>
  <c r="K98" i="10" s="1"/>
  <c r="H370" i="74"/>
  <c r="H465" i="74" s="1"/>
  <c r="J370" i="74"/>
  <c r="J465" i="74" s="1"/>
  <c r="E370" i="74"/>
  <c r="E465" i="74" s="1"/>
  <c r="D370" i="74"/>
  <c r="G370" i="74"/>
  <c r="G465" i="74" s="1"/>
  <c r="F368" i="74"/>
  <c r="N368" i="74"/>
  <c r="J368" i="74"/>
  <c r="E368" i="74"/>
  <c r="O368" i="74"/>
  <c r="H368" i="74"/>
  <c r="G368" i="74"/>
  <c r="D368" i="74"/>
  <c r="M368" i="74"/>
  <c r="L368" i="74"/>
  <c r="I368" i="74"/>
  <c r="K368" i="74"/>
  <c r="J398" i="74"/>
  <c r="J463" i="74" s="1"/>
  <c r="O398" i="74"/>
  <c r="G398" i="74"/>
  <c r="G463" i="74" s="1"/>
  <c r="I398" i="74"/>
  <c r="I463" i="74" s="1"/>
  <c r="E398" i="74"/>
  <c r="F398" i="74"/>
  <c r="L398" i="74"/>
  <c r="N398" i="74"/>
  <c r="N463" i="74" s="1"/>
  <c r="H398" i="74"/>
  <c r="H463" i="74" s="1"/>
  <c r="M398" i="74"/>
  <c r="K398" i="74"/>
  <c r="K463" i="74" s="1"/>
  <c r="D398" i="74"/>
  <c r="F82" i="76"/>
  <c r="P78" i="10" l="1"/>
  <c r="M463" i="74"/>
  <c r="F463" i="74"/>
  <c r="O463" i="74"/>
  <c r="F193" i="76"/>
  <c r="I96" i="76"/>
  <c r="U96" i="76" s="1"/>
  <c r="I187" i="76"/>
  <c r="F189" i="76"/>
  <c r="L463" i="74"/>
  <c r="F370" i="74"/>
  <c r="F465" i="74" s="1"/>
  <c r="I370" i="74"/>
  <c r="I465" i="74" s="1"/>
  <c r="N370" i="74"/>
  <c r="N465" i="74" s="1"/>
  <c r="O471" i="74"/>
  <c r="O473" i="74" s="1"/>
  <c r="O378" i="74"/>
  <c r="O384" i="74" s="1"/>
  <c r="O390" i="74" s="1"/>
  <c r="P52" i="44"/>
  <c r="D62" i="44"/>
  <c r="H92" i="10"/>
  <c r="H98" i="10" s="1"/>
  <c r="K471" i="74"/>
  <c r="K473" i="74" s="1"/>
  <c r="K378" i="74"/>
  <c r="L140" i="10"/>
  <c r="L154" i="10" s="1"/>
  <c r="L160" i="10" s="1"/>
  <c r="L92" i="10"/>
  <c r="L98" i="10" s="1"/>
  <c r="E82" i="76"/>
  <c r="E179" i="76" s="1"/>
  <c r="O140" i="10"/>
  <c r="O154" i="10" s="1"/>
  <c r="O160" i="10" s="1"/>
  <c r="O92" i="10"/>
  <c r="O98" i="10" s="1"/>
  <c r="N471" i="74"/>
  <c r="N473" i="74" s="1"/>
  <c r="N378" i="74"/>
  <c r="M370" i="74"/>
  <c r="M465" i="74" s="1"/>
  <c r="K370" i="74"/>
  <c r="K465" i="74" s="1"/>
  <c r="J140" i="10"/>
  <c r="J154" i="10" s="1"/>
  <c r="J160" i="10" s="1"/>
  <c r="J92" i="10"/>
  <c r="J98" i="10" s="1"/>
  <c r="H471" i="74"/>
  <c r="H473" i="74" s="1"/>
  <c r="H378" i="74"/>
  <c r="D378" i="74"/>
  <c r="D471" i="74"/>
  <c r="P376" i="74"/>
  <c r="P378" i="74" s="1"/>
  <c r="J378" i="74"/>
  <c r="J471" i="74"/>
  <c r="J473" i="74" s="1"/>
  <c r="F140" i="10"/>
  <c r="F154" i="10" s="1"/>
  <c r="F160" i="10" s="1"/>
  <c r="F92" i="10"/>
  <c r="F98" i="10" s="1"/>
  <c r="P398" i="74"/>
  <c r="F114" i="76" s="1"/>
  <c r="D463" i="74"/>
  <c r="D82" i="76"/>
  <c r="P368" i="74"/>
  <c r="L370" i="74"/>
  <c r="L465" i="74" s="1"/>
  <c r="I140" i="10"/>
  <c r="I154" i="10" s="1"/>
  <c r="I160" i="10" s="1"/>
  <c r="I92" i="10"/>
  <c r="I98" i="10" s="1"/>
  <c r="N140" i="10"/>
  <c r="N154" i="10" s="1"/>
  <c r="N160" i="10" s="1"/>
  <c r="N92" i="10"/>
  <c r="N98" i="10" s="1"/>
  <c r="P92" i="10"/>
  <c r="P98" i="10" s="1"/>
  <c r="E378" i="74"/>
  <c r="E471" i="74"/>
  <c r="E473" i="74" s="1"/>
  <c r="G140" i="10"/>
  <c r="G154" i="10" s="1"/>
  <c r="G160" i="10" s="1"/>
  <c r="G92" i="10"/>
  <c r="G98" i="10" s="1"/>
  <c r="M140" i="10"/>
  <c r="M154" i="10" s="1"/>
  <c r="M160" i="10" s="1"/>
  <c r="M92" i="10"/>
  <c r="M98" i="10" s="1"/>
  <c r="E140" i="10"/>
  <c r="E154" i="10" s="1"/>
  <c r="E160" i="10" s="1"/>
  <c r="E92" i="10"/>
  <c r="E98" i="10" s="1"/>
  <c r="E463" i="74"/>
  <c r="D87" i="76"/>
  <c r="D465" i="74"/>
  <c r="F471" i="74"/>
  <c r="F473" i="74" s="1"/>
  <c r="F378" i="74"/>
  <c r="I471" i="74"/>
  <c r="I473" i="74" s="1"/>
  <c r="I378" i="74"/>
  <c r="D117" i="44"/>
  <c r="P115" i="44"/>
  <c r="Q115" i="44" s="1"/>
  <c r="O127" i="44"/>
  <c r="O133" i="44" s="1"/>
  <c r="M471" i="74"/>
  <c r="M473" i="74" s="1"/>
  <c r="M378" i="74"/>
  <c r="D154" i="10"/>
  <c r="D160" i="10" s="1"/>
  <c r="L373" i="74"/>
  <c r="N373" i="74"/>
  <c r="I373" i="74"/>
  <c r="G373" i="74"/>
  <c r="H373" i="74"/>
  <c r="E373" i="74"/>
  <c r="F373" i="74"/>
  <c r="F468" i="74" s="1"/>
  <c r="D373" i="74"/>
  <c r="K373" i="74"/>
  <c r="M373" i="74"/>
  <c r="J373" i="74"/>
  <c r="J468" i="74" s="1"/>
  <c r="D86" i="76"/>
  <c r="E86" i="76"/>
  <c r="D84" i="76"/>
  <c r="I403" i="74"/>
  <c r="J403" i="74"/>
  <c r="F403" i="74"/>
  <c r="O403" i="74"/>
  <c r="O468" i="74" s="1"/>
  <c r="L403" i="74"/>
  <c r="D403" i="74"/>
  <c r="G403" i="74"/>
  <c r="K403" i="74"/>
  <c r="M403" i="74"/>
  <c r="E403" i="74"/>
  <c r="H403" i="74"/>
  <c r="P463" i="74" l="1"/>
  <c r="G468" i="74"/>
  <c r="E84" i="76"/>
  <c r="E181" i="76" s="1"/>
  <c r="P471" i="74"/>
  <c r="P473" i="74" s="1"/>
  <c r="D473" i="74"/>
  <c r="D68" i="44"/>
  <c r="P68" i="44" s="1"/>
  <c r="Q68" i="44" s="1"/>
  <c r="P62" i="44"/>
  <c r="Q62" i="44" s="1"/>
  <c r="U187" i="76"/>
  <c r="I189" i="76"/>
  <c r="U189" i="76" s="1"/>
  <c r="D181" i="76"/>
  <c r="D88" i="76"/>
  <c r="D183" i="76"/>
  <c r="M468" i="74"/>
  <c r="E468" i="74"/>
  <c r="I468" i="74"/>
  <c r="P465" i="74"/>
  <c r="F84" i="76"/>
  <c r="F181" i="76" s="1"/>
  <c r="N403" i="74"/>
  <c r="P403" i="74" s="1"/>
  <c r="F119" i="76" s="1"/>
  <c r="I119" i="76" s="1"/>
  <c r="U119" i="76" s="1"/>
  <c r="D468" i="74"/>
  <c r="E183" i="76"/>
  <c r="E185" i="76" s="1"/>
  <c r="E195" i="76" s="1"/>
  <c r="E201" i="76" s="1"/>
  <c r="E88" i="76"/>
  <c r="E98" i="76" s="1"/>
  <c r="E104" i="76" s="1"/>
  <c r="K468" i="74"/>
  <c r="N468" i="74"/>
  <c r="P370" i="74"/>
  <c r="F179" i="76"/>
  <c r="I114" i="76"/>
  <c r="U114" i="76" s="1"/>
  <c r="P117" i="44"/>
  <c r="Q117" i="44" s="1"/>
  <c r="D127" i="44"/>
  <c r="F87" i="76"/>
  <c r="I87" i="76" s="1"/>
  <c r="U87" i="76" s="1"/>
  <c r="P373" i="74"/>
  <c r="H468" i="74"/>
  <c r="L468" i="74"/>
  <c r="P140" i="10"/>
  <c r="P154" i="10" s="1"/>
  <c r="P160" i="10" s="1"/>
  <c r="D184" i="76"/>
  <c r="D179" i="76"/>
  <c r="I82" i="76"/>
  <c r="U82" i="76" s="1"/>
  <c r="I193" i="76"/>
  <c r="D372" i="74"/>
  <c r="J402" i="74"/>
  <c r="D402" i="74"/>
  <c r="N402" i="74"/>
  <c r="E402" i="74"/>
  <c r="O402" i="74"/>
  <c r="I402" i="74"/>
  <c r="K402" i="74"/>
  <c r="F402" i="74"/>
  <c r="H402" i="74"/>
  <c r="G402" i="74"/>
  <c r="M402" i="74"/>
  <c r="L402" i="74"/>
  <c r="F86" i="76"/>
  <c r="F88" i="76" l="1"/>
  <c r="F98" i="76" s="1"/>
  <c r="F104" i="76" s="1"/>
  <c r="I179" i="76"/>
  <c r="U179" i="76" s="1"/>
  <c r="F404" i="74"/>
  <c r="F414" i="74" s="1"/>
  <c r="F420" i="74" s="1"/>
  <c r="E404" i="74"/>
  <c r="E414" i="74" s="1"/>
  <c r="E420" i="74" s="1"/>
  <c r="I372" i="74"/>
  <c r="I374" i="74" s="1"/>
  <c r="I384" i="74" s="1"/>
  <c r="I390" i="74" s="1"/>
  <c r="F372" i="74"/>
  <c r="F374" i="74" s="1"/>
  <c r="F384" i="74" s="1"/>
  <c r="F390" i="74" s="1"/>
  <c r="D185" i="76"/>
  <c r="D195" i="76" s="1"/>
  <c r="D201" i="76" s="1"/>
  <c r="M404" i="74"/>
  <c r="M414" i="74" s="1"/>
  <c r="M420" i="74" s="1"/>
  <c r="M467" i="74"/>
  <c r="M469" i="74" s="1"/>
  <c r="M479" i="74" s="1"/>
  <c r="M485" i="74" s="1"/>
  <c r="K404" i="74"/>
  <c r="K414" i="74" s="1"/>
  <c r="K420" i="74" s="1"/>
  <c r="N404" i="74"/>
  <c r="N414" i="74" s="1"/>
  <c r="N420" i="74" s="1"/>
  <c r="E372" i="74"/>
  <c r="E374" i="74" s="1"/>
  <c r="E384" i="74" s="1"/>
  <c r="E390" i="74" s="1"/>
  <c r="G372" i="74"/>
  <c r="G374" i="74" s="1"/>
  <c r="G384" i="74" s="1"/>
  <c r="G390" i="74" s="1"/>
  <c r="K372" i="74"/>
  <c r="K374" i="74" s="1"/>
  <c r="K384" i="74" s="1"/>
  <c r="K390" i="74" s="1"/>
  <c r="U193" i="76"/>
  <c r="D133" i="44"/>
  <c r="P133" i="44" s="1"/>
  <c r="Q133" i="44" s="1"/>
  <c r="P127" i="44"/>
  <c r="Q127" i="44" s="1"/>
  <c r="D98" i="76"/>
  <c r="I88" i="76"/>
  <c r="U88" i="76" s="1"/>
  <c r="L404" i="74"/>
  <c r="L414" i="74" s="1"/>
  <c r="L420" i="74" s="1"/>
  <c r="G404" i="74"/>
  <c r="G414" i="74" s="1"/>
  <c r="G420" i="74" s="1"/>
  <c r="G467" i="74"/>
  <c r="G469" i="74" s="1"/>
  <c r="G479" i="74" s="1"/>
  <c r="G485" i="74" s="1"/>
  <c r="I404" i="74"/>
  <c r="I414" i="74" s="1"/>
  <c r="I420" i="74" s="1"/>
  <c r="I467" i="74"/>
  <c r="I469" i="74" s="1"/>
  <c r="I479" i="74" s="1"/>
  <c r="I485" i="74" s="1"/>
  <c r="D404" i="74"/>
  <c r="D414" i="74" s="1"/>
  <c r="D420" i="74" s="1"/>
  <c r="P402" i="74"/>
  <c r="D467" i="74"/>
  <c r="H372" i="74"/>
  <c r="H374" i="74" s="1"/>
  <c r="H384" i="74" s="1"/>
  <c r="H390" i="74" s="1"/>
  <c r="M372" i="74"/>
  <c r="M374" i="74" s="1"/>
  <c r="M384" i="74" s="1"/>
  <c r="M390" i="74" s="1"/>
  <c r="N372" i="74"/>
  <c r="N374" i="74" s="1"/>
  <c r="N384" i="74" s="1"/>
  <c r="N390" i="74" s="1"/>
  <c r="I84" i="76"/>
  <c r="U84" i="76" s="1"/>
  <c r="H404" i="74"/>
  <c r="H414" i="74" s="1"/>
  <c r="H420" i="74" s="1"/>
  <c r="O404" i="74"/>
  <c r="O414" i="74" s="1"/>
  <c r="O420" i="74" s="1"/>
  <c r="O467" i="74"/>
  <c r="O469" i="74" s="1"/>
  <c r="O479" i="74" s="1"/>
  <c r="O485" i="74" s="1"/>
  <c r="J404" i="74"/>
  <c r="J414" i="74" s="1"/>
  <c r="J420" i="74" s="1"/>
  <c r="L372" i="74"/>
  <c r="L374" i="74" s="1"/>
  <c r="L384" i="74" s="1"/>
  <c r="L390" i="74" s="1"/>
  <c r="J372" i="74"/>
  <c r="J374" i="74" s="1"/>
  <c r="J384" i="74" s="1"/>
  <c r="J390" i="74" s="1"/>
  <c r="D374" i="74"/>
  <c r="D384" i="74" s="1"/>
  <c r="D390" i="74" s="1"/>
  <c r="F184" i="76"/>
  <c r="I184" i="76" s="1"/>
  <c r="U184" i="76" s="1"/>
  <c r="P468" i="74"/>
  <c r="I86" i="76"/>
  <c r="U86" i="76" s="1"/>
  <c r="I181" i="76"/>
  <c r="U181" i="76" s="1"/>
  <c r="N467" i="74" l="1"/>
  <c r="N469" i="74" s="1"/>
  <c r="N479" i="74" s="1"/>
  <c r="N485" i="74" s="1"/>
  <c r="E467" i="74"/>
  <c r="E469" i="74" s="1"/>
  <c r="E479" i="74" s="1"/>
  <c r="E485" i="74" s="1"/>
  <c r="H467" i="74"/>
  <c r="H469" i="74" s="1"/>
  <c r="H479" i="74" s="1"/>
  <c r="H485" i="74" s="1"/>
  <c r="J467" i="74"/>
  <c r="J469" i="74" s="1"/>
  <c r="J479" i="74" s="1"/>
  <c r="J485" i="74" s="1"/>
  <c r="D104" i="76"/>
  <c r="I104" i="76" s="1"/>
  <c r="U104" i="76" s="1"/>
  <c r="I98" i="76"/>
  <c r="U98" i="76" s="1"/>
  <c r="P404" i="74"/>
  <c r="P414" i="74" s="1"/>
  <c r="P420" i="74" s="1"/>
  <c r="F118" i="76"/>
  <c r="L467" i="74"/>
  <c r="L469" i="74" s="1"/>
  <c r="L479" i="74" s="1"/>
  <c r="L485" i="74" s="1"/>
  <c r="K467" i="74"/>
  <c r="K469" i="74" s="1"/>
  <c r="K479" i="74" s="1"/>
  <c r="K485" i="74" s="1"/>
  <c r="F467" i="74"/>
  <c r="F469" i="74" s="1"/>
  <c r="F479" i="74" s="1"/>
  <c r="F485" i="74" s="1"/>
  <c r="P372" i="74"/>
  <c r="P374" i="74" s="1"/>
  <c r="P384" i="74" s="1"/>
  <c r="P390" i="74" s="1"/>
  <c r="D469" i="74"/>
  <c r="D479" i="74" s="1"/>
  <c r="D485" i="74" s="1"/>
  <c r="P467" i="74" l="1"/>
  <c r="P469" i="74" s="1"/>
  <c r="P479" i="74" s="1"/>
  <c r="P485" i="74" s="1"/>
  <c r="I118" i="76"/>
  <c r="F120" i="76"/>
  <c r="F130" i="76" s="1"/>
  <c r="F136" i="76" s="1"/>
  <c r="F183" i="76"/>
  <c r="F185" i="76" l="1"/>
  <c r="F195" i="76" s="1"/>
  <c r="F201" i="76" s="1"/>
  <c r="I183" i="76"/>
  <c r="I120" i="76"/>
  <c r="U118" i="76"/>
  <c r="U120" i="76" l="1"/>
  <c r="I130" i="76"/>
  <c r="I185" i="76"/>
  <c r="U183" i="76"/>
  <c r="U130" i="76" l="1"/>
  <c r="I136" i="76"/>
  <c r="U136" i="76" s="1"/>
  <c r="U185" i="76"/>
  <c r="I195" i="76"/>
  <c r="I201" i="76" l="1"/>
  <c r="U195" i="76"/>
  <c r="P487" i="74" l="1"/>
  <c r="P488" i="74" s="1"/>
  <c r="U201" i="76"/>
</calcChain>
</file>

<file path=xl/comments1.xml><?xml version="1.0" encoding="utf-8"?>
<comments xmlns="http://schemas.openxmlformats.org/spreadsheetml/2006/main">
  <authors>
    <author>d897737</author>
  </authors>
  <commentList>
    <comment ref="D145" authorId="0" shapeId="0">
      <text>
        <r>
          <rPr>
            <b/>
            <sz val="9"/>
            <color indexed="81"/>
            <rFont val="Tahoma"/>
            <family val="2"/>
          </rPr>
          <t>d897737:</t>
        </r>
        <r>
          <rPr>
            <sz val="9"/>
            <color indexed="81"/>
            <rFont val="Tahoma"/>
            <family val="2"/>
          </rPr>
          <t xml:space="preserve">
Derived Cust Factor from combined North and Central customer adjustment</t>
        </r>
      </text>
    </comment>
    <comment ref="D147" authorId="0" shapeId="0">
      <text>
        <r>
          <rPr>
            <b/>
            <sz val="9"/>
            <color indexed="81"/>
            <rFont val="Tahoma"/>
            <family val="2"/>
          </rPr>
          <t>d897737:</t>
        </r>
        <r>
          <rPr>
            <sz val="9"/>
            <color indexed="81"/>
            <rFont val="Tahoma"/>
            <family val="2"/>
          </rPr>
          <t xml:space="preserve">
Derived Cust Factor from combined North and Central customer adjustment</t>
        </r>
      </text>
    </comment>
    <comment ref="D149" authorId="0" shapeId="0">
      <text>
        <r>
          <rPr>
            <b/>
            <sz val="9"/>
            <color indexed="81"/>
            <rFont val="Tahoma"/>
            <family val="2"/>
          </rPr>
          <t>d897737:</t>
        </r>
        <r>
          <rPr>
            <sz val="9"/>
            <color indexed="81"/>
            <rFont val="Tahoma"/>
            <family val="2"/>
          </rPr>
          <t xml:space="preserve">
Derived Cust Factor from combined North and Central customer adjustment</t>
        </r>
      </text>
    </comment>
    <comment ref="D150" authorId="0" shapeId="0">
      <text>
        <r>
          <rPr>
            <b/>
            <sz val="9"/>
            <color indexed="81"/>
            <rFont val="Tahoma"/>
            <family val="2"/>
          </rPr>
          <t>d897737:</t>
        </r>
        <r>
          <rPr>
            <sz val="9"/>
            <color indexed="81"/>
            <rFont val="Tahoma"/>
            <family val="2"/>
          </rPr>
          <t xml:space="preserve">
Derived Cust Factor from combined North and Central customer adjustment</t>
        </r>
      </text>
    </comment>
    <comment ref="D153" authorId="0" shapeId="0">
      <text>
        <r>
          <rPr>
            <b/>
            <sz val="9"/>
            <color indexed="81"/>
            <rFont val="Tahoma"/>
            <family val="2"/>
          </rPr>
          <t>d897737:</t>
        </r>
        <r>
          <rPr>
            <sz val="9"/>
            <color indexed="81"/>
            <rFont val="Tahoma"/>
            <family val="2"/>
          </rPr>
          <t xml:space="preserve">
Derived Cust Factor from combined North and Central customer adjustment</t>
        </r>
      </text>
    </comment>
    <comment ref="D154" authorId="0" shapeId="0">
      <text>
        <r>
          <rPr>
            <b/>
            <sz val="9"/>
            <color indexed="81"/>
            <rFont val="Tahoma"/>
            <family val="2"/>
          </rPr>
          <t>d897737:</t>
        </r>
        <r>
          <rPr>
            <sz val="9"/>
            <color indexed="81"/>
            <rFont val="Tahoma"/>
            <family val="2"/>
          </rPr>
          <t xml:space="preserve">
Derived Cust Factor from combined North and Central customer adjustment</t>
        </r>
      </text>
    </comment>
    <comment ref="D157" authorId="0" shapeId="0">
      <text>
        <r>
          <rPr>
            <b/>
            <sz val="9"/>
            <color indexed="81"/>
            <rFont val="Tahoma"/>
            <family val="2"/>
          </rPr>
          <t>d897737:</t>
        </r>
        <r>
          <rPr>
            <sz val="9"/>
            <color indexed="81"/>
            <rFont val="Tahoma"/>
            <family val="2"/>
          </rPr>
          <t xml:space="preserve">
Derived Cust Factor from combined North and Central customer adjustment</t>
        </r>
      </text>
    </comment>
    <comment ref="D159" authorId="0" shapeId="0">
      <text>
        <r>
          <rPr>
            <b/>
            <sz val="9"/>
            <color indexed="81"/>
            <rFont val="Tahoma"/>
            <family val="2"/>
          </rPr>
          <t>d897737:</t>
        </r>
        <r>
          <rPr>
            <sz val="9"/>
            <color indexed="81"/>
            <rFont val="Tahoma"/>
            <family val="2"/>
          </rPr>
          <t xml:space="preserve">
Derived Cust Factor from combined North and Central customer adjustment</t>
        </r>
      </text>
    </comment>
  </commentList>
</comments>
</file>

<file path=xl/comments2.xml><?xml version="1.0" encoding="utf-8"?>
<comments xmlns="http://schemas.openxmlformats.org/spreadsheetml/2006/main">
  <authors>
    <author>Shawnna Jones</author>
  </authors>
  <commentList>
    <comment ref="G151" authorId="0" shapeId="0">
      <text>
        <r>
          <rPr>
            <b/>
            <sz val="9"/>
            <color indexed="81"/>
            <rFont val="Tahoma"/>
            <family val="2"/>
          </rPr>
          <t>Shawnna Jones:</t>
        </r>
        <r>
          <rPr>
            <sz val="9"/>
            <color indexed="81"/>
            <rFont val="Tahoma"/>
            <family val="2"/>
          </rPr>
          <t xml:space="preserve">
$3,145 facilities revenue moved to account 454 misc. revenue</t>
        </r>
      </text>
    </comment>
    <comment ref="D155" authorId="0" shapeId="0">
      <text>
        <r>
          <rPr>
            <b/>
            <sz val="9"/>
            <color indexed="81"/>
            <rFont val="Tahoma"/>
            <family val="2"/>
          </rPr>
          <t>Shawnna Jones:</t>
        </r>
        <r>
          <rPr>
            <sz val="9"/>
            <color indexed="81"/>
            <rFont val="Tahoma"/>
            <family val="2"/>
          </rPr>
          <t xml:space="preserve">
Separate customer adjustment</t>
        </r>
      </text>
    </comment>
    <comment ref="D156" authorId="0" shapeId="0">
      <text>
        <r>
          <rPr>
            <b/>
            <sz val="9"/>
            <color indexed="81"/>
            <rFont val="Tahoma"/>
            <family val="2"/>
          </rPr>
          <t>Shawnna Jones:</t>
        </r>
        <r>
          <rPr>
            <sz val="9"/>
            <color indexed="81"/>
            <rFont val="Tahoma"/>
            <family val="2"/>
          </rPr>
          <t xml:space="preserve">
Separate customer adjustment for 2 customers</t>
        </r>
      </text>
    </comment>
  </commentList>
</comments>
</file>

<file path=xl/sharedStrings.xml><?xml version="1.0" encoding="utf-8"?>
<sst xmlns="http://schemas.openxmlformats.org/spreadsheetml/2006/main" count="2021" uniqueCount="190">
  <si>
    <t>DESCRIPTION</t>
  </si>
  <si>
    <t xml:space="preserve">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</si>
  <si>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</si>
  <si>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</si>
  <si>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</si>
  <si>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</si>
  <si>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</si>
  <si>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</si>
  <si>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</si>
  <si>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</si>
  <si>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</si>
  <si>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</si>
  <si>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</si>
  <si>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</si>
  <si>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</si>
  <si>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BOOKED CUSTOMER COUNT</t>
  </si>
  <si>
    <t>SEC</t>
  </si>
  <si>
    <t>PRI</t>
  </si>
  <si>
    <t>TRA</t>
  </si>
  <si>
    <t>VOLT</t>
  </si>
  <si>
    <t>LINE</t>
  </si>
  <si>
    <t>1</t>
  </si>
  <si>
    <t>Average</t>
  </si>
  <si>
    <t>KW CUSTOMER ADJUSTMENT</t>
  </si>
  <si>
    <t>UNADJUSTED KWH AT SOURCE</t>
  </si>
  <si>
    <t>KWH CUSTOMER ADJUSTMENTS AT METER</t>
  </si>
  <si>
    <t>ADJUSTED KWH AT SOURCE</t>
  </si>
  <si>
    <t>TEST YEAR DATA BY RATE CLASS</t>
  </si>
  <si>
    <t>AVERAGE</t>
  </si>
  <si>
    <t>RESIDENTIAL SERVICE</t>
  </si>
  <si>
    <t>TOTAL SECONDARY &gt; 10 kW</t>
  </si>
  <si>
    <t>TOTAL PRIMARY</t>
  </si>
  <si>
    <r>
      <t xml:space="preserve">SECONDARY </t>
    </r>
    <r>
      <rPr>
        <u/>
        <sz val="8"/>
        <rFont val="Arial"/>
        <family val="2"/>
      </rPr>
      <t>&lt;</t>
    </r>
    <r>
      <rPr>
        <sz val="8"/>
        <rFont val="Arial"/>
        <family val="2"/>
      </rPr>
      <t xml:space="preserve"> 10 kW</t>
    </r>
  </si>
  <si>
    <t>LIGHTING</t>
  </si>
  <si>
    <t>TOTAL RETAIL</t>
  </si>
  <si>
    <t>TOTAL WHOLESALE</t>
  </si>
  <si>
    <t>Adjustment</t>
  </si>
  <si>
    <t>Year-end</t>
  </si>
  <si>
    <t>Customers</t>
  </si>
  <si>
    <t>Unadjusted</t>
  </si>
  <si>
    <t>Weather kWh</t>
  </si>
  <si>
    <t>Customer kWh</t>
  </si>
  <si>
    <t>Adjusted</t>
  </si>
  <si>
    <t>kWh</t>
  </si>
  <si>
    <t>Line</t>
  </si>
  <si>
    <t>JUN</t>
  </si>
  <si>
    <t>kWh at Meter</t>
  </si>
  <si>
    <t>Refer to Schedule II-H-1.1 for the summary of test year adjustments</t>
  </si>
  <si>
    <t>Other kWh</t>
  </si>
  <si>
    <t>ADJUSTED TRANSMISSION KW</t>
  </si>
  <si>
    <t>UNADJUSTED BILLING KWH AT METER</t>
  </si>
  <si>
    <t>ADJUSTED BILLING KWH AT METER</t>
  </si>
  <si>
    <t>ADJUSTED DISTRIBUTION BILLING KW</t>
  </si>
  <si>
    <t xml:space="preserve"> TRANSMISSION KW</t>
  </si>
  <si>
    <t>DISTRIBUTION BILLING KW</t>
  </si>
  <si>
    <t>ADJUSTED CUSTOMER COUNT</t>
  </si>
  <si>
    <t>CUSTOMER COUNT ADJUSTMENT</t>
  </si>
  <si>
    <t>Trans</t>
  </si>
  <si>
    <t>Pri</t>
  </si>
  <si>
    <t>Sec</t>
  </si>
  <si>
    <t>Energy Loss Factor</t>
  </si>
  <si>
    <t>OTHER CUSTOMER COUNT ADJUSTMENT</t>
  </si>
  <si>
    <t xml:space="preserve">WEATHER ADJUSTMENT </t>
  </si>
  <si>
    <t>CUSTOMER ADJUSTMENT</t>
  </si>
  <si>
    <t>KW WEATHER ADJUSTMENT</t>
  </si>
  <si>
    <t>CUSTOMER COUNT ADJUSTMENT FACTOR</t>
  </si>
  <si>
    <t>OTHER KW ADJUSTMENTS</t>
  </si>
  <si>
    <t>WEATHER ADJUSTMENTS TO KWH AT METER</t>
  </si>
  <si>
    <t>OTHER KWH ADJUSTMENTS AT METER</t>
  </si>
  <si>
    <t>WEATHER ADJUSTMENTS TO KWH AT SOURCE</t>
  </si>
  <si>
    <t>OTHER KWH ADJUSTMENTS AT SOURCE</t>
  </si>
  <si>
    <t>KWH CUSTOMER ADJUSTMENTS AT SOURCE</t>
  </si>
  <si>
    <t>ENERGY EFFICIENCY RIDER ADJUSTMENT</t>
  </si>
  <si>
    <t>TRANSITION CHARGE RIDERS ADJUSTMENT</t>
  </si>
  <si>
    <t>COMPETITIVE METERING RIDER ADJUSTMENT</t>
  </si>
  <si>
    <t>STATE COLLEGES AND UNIVERSITIES DISCOUNT RIDER ADJUSTMENT</t>
  </si>
  <si>
    <t>UNADJUSTED BILLED REVENUE</t>
  </si>
  <si>
    <t>Energy Efficiency Rider</t>
  </si>
  <si>
    <t>Total Base Tariff Revenue</t>
  </si>
  <si>
    <t xml:space="preserve">Competitive Metering Rider </t>
  </si>
  <si>
    <t>Transmission Cost Recovery Rider (TCRF)</t>
  </si>
  <si>
    <t>Distribution Service Revenue - Base Tariff</t>
  </si>
  <si>
    <t xml:space="preserve">Meter Revenue - Base Tariff </t>
  </si>
  <si>
    <t>Customer Revenue - Base Tariff</t>
  </si>
  <si>
    <t>Transmission Service Revenue - Base Tariff</t>
  </si>
  <si>
    <t>Transition Charge Riders (TC)</t>
  </si>
  <si>
    <t>Advanced Metering Recovery Rider</t>
  </si>
  <si>
    <t>WEATHER ADJUSTMENT</t>
  </si>
  <si>
    <t>Total Riders</t>
  </si>
  <si>
    <t>State Colleges and Universities Discount Rider</t>
  </si>
  <si>
    <t>ADJUSTED BASE REVENUE</t>
  </si>
  <si>
    <t>WHOLESALE PRI</t>
  </si>
  <si>
    <t>WHOLESALE TRANS</t>
  </si>
  <si>
    <t>OTHER REVENUE ADJUSTMENTS</t>
  </si>
  <si>
    <t>Total Revenue</t>
  </si>
  <si>
    <t>cust</t>
  </si>
  <si>
    <t>meter</t>
  </si>
  <si>
    <t>tran rate</t>
  </si>
  <si>
    <t>dist rate</t>
  </si>
  <si>
    <t>Facilities Charge</t>
  </si>
  <si>
    <t>trans rate</t>
  </si>
  <si>
    <t>TCRF RIDER ADJUSTMENT</t>
  </si>
  <si>
    <t>TRANSMISSION SYSTEM CHARGE ADJUSTMENT</t>
  </si>
  <si>
    <t>BASE RATE ENERGY EFFICIENCY ADJUSTMENT</t>
  </si>
  <si>
    <t>BASE TARIFF AND RIDER REVENUE ADJUSTMENTS</t>
  </si>
  <si>
    <t>Distribution Service Revenue - Base Tariff (Energy Efficiency)</t>
  </si>
  <si>
    <t>EECRF in base rates</t>
  </si>
  <si>
    <t>FOR TEST YEAR ENDED DECEMBER 31, 2018</t>
  </si>
  <si>
    <t>SECONDARY &gt; 10 kW NCP</t>
  </si>
  <si>
    <t>SECONDARY &gt; 10 Kw 4CP</t>
  </si>
  <si>
    <t>PRIMARY NCP</t>
  </si>
  <si>
    <t>PRIMARY 4CP</t>
  </si>
  <si>
    <t>TRANSMISSION</t>
  </si>
  <si>
    <r>
      <t>SECONDARY &gt;</t>
    </r>
    <r>
      <rPr>
        <sz val="8"/>
        <rFont val="Arial"/>
        <family val="2"/>
      </rPr>
      <t xml:space="preserve"> 10 kW NCP</t>
    </r>
  </si>
  <si>
    <t>SECONDARY &gt; 10 kW 4CP</t>
  </si>
  <si>
    <t xml:space="preserve">TRANSMISSION </t>
  </si>
  <si>
    <t>BILLED RIDER REVENUE</t>
  </si>
  <si>
    <t>AMS</t>
  </si>
  <si>
    <t>EECRF</t>
  </si>
  <si>
    <t>TC2</t>
  </si>
  <si>
    <t>TC3</t>
  </si>
  <si>
    <t>DCRF</t>
  </si>
  <si>
    <t>TCRF</t>
  </si>
  <si>
    <t>DCRF RIDER ADJUSTMENT</t>
  </si>
  <si>
    <t>AMS RIDER ADJUSTMENT</t>
  </si>
  <si>
    <t>TOTAL RIDERS</t>
  </si>
  <si>
    <t>Merger Savings</t>
  </si>
  <si>
    <t>CMTR,CTC,EXMTG,TSCHG,NMSR,RCS,RRCR,SBFEE</t>
  </si>
  <si>
    <t>MISC RIDER ADJUSTMENT</t>
  </si>
  <si>
    <t>TOTAL AEP TX</t>
  </si>
  <si>
    <t>AEP TEXAS</t>
  </si>
  <si>
    <t xml:space="preserve">AEP TEXAS </t>
  </si>
  <si>
    <t>TOTAL AEP TEXAS</t>
  </si>
  <si>
    <t>II-H-3.3</t>
  </si>
  <si>
    <t>II-H-3.2</t>
  </si>
  <si>
    <t>II-H-3.1</t>
  </si>
  <si>
    <t xml:space="preserve">TOTAL </t>
  </si>
  <si>
    <t>Misc Riders</t>
  </si>
  <si>
    <t>UNADJUSTED BILLING KWH</t>
  </si>
  <si>
    <t>KWH @ Meter</t>
  </si>
  <si>
    <t>KWH @ Source</t>
  </si>
  <si>
    <t>Percentage</t>
  </si>
  <si>
    <t>PUBLIC UTILITY COMMISSION OF TEXAS</t>
  </si>
  <si>
    <t>AEP TEXAS INC</t>
  </si>
  <si>
    <t>II-H-1.5  ADJUSTMENTS TO OPERATING STATISTICS</t>
  </si>
  <si>
    <t>TEST YEAR ENDING 12/31/2018</t>
  </si>
  <si>
    <t>Description</t>
  </si>
  <si>
    <t>This schedule provides a narrative explanation of all adjustments made to Test Year operating</t>
  </si>
  <si>
    <t>statistics provided in RFP Schedule II-H-1.</t>
  </si>
  <si>
    <t>Residential Service:  adjustment made for weather normalized kWh sales; annualize to</t>
  </si>
  <si>
    <t>year-end customer count and associated kWh sales.</t>
  </si>
  <si>
    <t>Primary Service:  adjustment made for weather normalized kWh sales; annualize to year-end</t>
  </si>
  <si>
    <t>customer count and associated kWh sales.</t>
  </si>
  <si>
    <t>Transmission Service:  annualize to year-end customer count and associated kWh sales.</t>
  </si>
  <si>
    <t>Lighting Service:  annualize to year-end customer count and associated kWh sales.</t>
  </si>
  <si>
    <t>II-H-4.2 REVENUE CALCULATION METHODOLOGIES</t>
  </si>
  <si>
    <t>This schedule provides a narrative explanation fo the methodologies used to calculate the revenue</t>
  </si>
  <si>
    <t xml:space="preserve">items in RFP Schedule II-H-4.1.  The following adjustments were made to the test year revenue </t>
  </si>
  <si>
    <t>data:  (1) customer count adjustment; (2) weather adjustment; (3) removing rider revenues from</t>
  </si>
  <si>
    <t>electric sales revenue.</t>
  </si>
  <si>
    <t>The customer count adjustment recognizes the changes in customer counts during the test year</t>
  </si>
  <si>
    <t>and adjusts the electric sales revenue and sales data as if the test-year ending customer count had</t>
  </si>
  <si>
    <t>been the constant value the entire twelve-month period.  The adjusted customer counts and kWh</t>
  </si>
  <si>
    <t>associated kWh sales values are presented in RFP Schedule II-H-1.2 and RFP Schedule II-H-3.1.</t>
  </si>
  <si>
    <t>The resulting sales revenue adjustment provided in RFP Schedule II-H-4.1 reflects the change</t>
  </si>
  <si>
    <t>in customer count and kWh sales at the present tariff charge per customer or kWh.</t>
  </si>
  <si>
    <t>The weather adjustment adjusts electric sales revenue and sales data as if the test year had</t>
  </si>
  <si>
    <t>experienced normal weather.  AEP Texas witness Chad Burnett provided the weather adjusted kWh</t>
  </si>
  <si>
    <t>sales reflected in the RFP schedules.  The adjustment to kWh sales are provided in RFP Schedule</t>
  </si>
  <si>
    <t>II-H-1.2 and the resulting sales revenue adjustment provided in RFP Schedule II-H-4.1 reflects the</t>
  </si>
  <si>
    <t>revenue change at the present tariff charge per kWh.</t>
  </si>
  <si>
    <t>The adjustment that removes rider revenues from electric sales revenue exclude revnenues</t>
  </si>
  <si>
    <t xml:space="preserve">collected for specific purposes such as transition charges, energy efficiency cost recovery, </t>
  </si>
  <si>
    <t>transmission cost recovery, and nuclear decommissioning charges.  The associated expenses</t>
  </si>
  <si>
    <t>incurred for these activities are not included in the distribution cost-of-service, thus, the revenues</t>
  </si>
  <si>
    <t>collected for these activities are also excluded.</t>
  </si>
  <si>
    <t>II-H-1  SUMMARY OF TEST YEAR ADJUSTMENTS</t>
  </si>
  <si>
    <r>
      <t xml:space="preserve">Note: Secondary </t>
    </r>
    <r>
      <rPr>
        <u/>
        <sz val="8"/>
        <color indexed="8"/>
        <rFont val="Arial"/>
        <family val="2"/>
      </rPr>
      <t>&lt;</t>
    </r>
    <r>
      <rPr>
        <sz val="8"/>
        <color indexed="8"/>
        <rFont val="Arial"/>
        <family val="2"/>
      </rPr>
      <t xml:space="preserve"> 10 kW includes Unmetered service; Lighting customers are fixture counts.</t>
    </r>
  </si>
  <si>
    <t>II-H-1.1  TEST YEAR SALES DATA</t>
  </si>
  <si>
    <t>II-H-1.2  MONTHLY SALES DATA</t>
  </si>
  <si>
    <t>II-H-1.3  UNADJUSTED TEST YEAR KWH DATA</t>
  </si>
  <si>
    <r>
      <t xml:space="preserve">Secondary </t>
    </r>
    <r>
      <rPr>
        <sz val="8"/>
        <color theme="1"/>
        <rFont val="Calibri"/>
        <family val="2"/>
      </rPr>
      <t>≤</t>
    </r>
    <r>
      <rPr>
        <sz val="8"/>
        <color theme="1"/>
        <rFont val="Arial"/>
        <family val="2"/>
      </rPr>
      <t xml:space="preserve"> 10 kW Service:  adjustment made for weather normalized kWh sales; annualize to</t>
    </r>
  </si>
  <si>
    <r>
      <t xml:space="preserve">Secondary </t>
    </r>
    <r>
      <rPr>
        <sz val="8"/>
        <color theme="1"/>
        <rFont val="Calibri"/>
        <family val="2"/>
      </rPr>
      <t>≥</t>
    </r>
    <r>
      <rPr>
        <sz val="8"/>
        <color theme="1"/>
        <rFont val="Arial"/>
        <family val="2"/>
      </rPr>
      <t>10 kW Service:  adjustment made for weather normalized kWh sales; annualize to</t>
    </r>
  </si>
  <si>
    <t>II-H-4.1  REVENUE IMPACTS FUNCTIONS</t>
  </si>
  <si>
    <t>II-H-4.1  REVENUE IMPACTS MONTHLY</t>
  </si>
  <si>
    <t>II-H-4.1 DIST KW ADJUSTMENTS</t>
  </si>
  <si>
    <t>II-H-4.1 TRAN KW ADJUSTMENTS</t>
  </si>
  <si>
    <t>RIDERS</t>
  </si>
  <si>
    <t>DOCKET NUMBER (PENDING ASSIGNMENT)</t>
  </si>
  <si>
    <t>II-H-3.1-H-3.3  CUSTOMER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</si>
</sst>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"/>
    <numFmt numFmtId="167" formatCode="#,##0.0_);\(#,##0.0\)"/>
    <numFmt numFmtId="168" formatCode="0.0000%"/>
    <numFmt numFmtId="169" formatCode="_(* #,##0.00000_);_(* \(#,##0.00000\);_(* &quot;-&quot;_);_(@_)"/>
    <numFmt numFmtId="170" formatCode="m/d"/>
    <numFmt numFmtId="171" formatCode="_(&quot;$&quot;* #,##0_);_(&quot;$&quot;* \(#,##0\);_(&quot;$&quot;* &quot;-&quot;??_);_(@_)"/>
    <numFmt numFmtId="172" formatCode="_(* #,##0.000000_);_(* \(#,##0.000000\);_(* &quot;-&quot;??_);_(@_)"/>
    <numFmt numFmtId="173" formatCode="0.000000"/>
    <numFmt numFmtId="174" formatCode="0.000"/>
    <numFmt numFmtId="175" formatCode="_(&quot;$&quot;* #,##0.000000_);_(&quot;$&quot;* \(#,##0.000000\);_(&quot;$&quot;* &quot;-&quot;??_);_(@_)"/>
    <numFmt numFmtId="176" formatCode="0.00000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8"/>
      <name val="MS Sans Serif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Helv"/>
    </font>
    <font>
      <sz val="8"/>
      <color indexed="12"/>
      <name val="Arial"/>
      <family val="2"/>
    </font>
    <font>
      <b/>
      <sz val="8"/>
      <name val="MS Sans Serif"/>
      <family val="2"/>
    </font>
    <font>
      <b/>
      <sz val="8"/>
      <color indexed="10"/>
      <name val="Arial"/>
      <family val="2"/>
    </font>
    <font>
      <u/>
      <sz val="8"/>
      <name val="Arial"/>
      <family val="2"/>
    </font>
    <font>
      <b/>
      <sz val="10"/>
      <color indexed="8"/>
      <name val="Arial"/>
      <family val="2"/>
    </font>
    <font>
      <sz val="8"/>
      <color indexed="56"/>
      <name val="Arial"/>
      <family val="2"/>
    </font>
    <font>
      <sz val="8"/>
      <color indexed="10"/>
      <name val="Arial"/>
      <family val="2"/>
    </font>
    <font>
      <b/>
      <sz val="8"/>
      <color indexed="56"/>
      <name val="Arial"/>
      <family val="2"/>
    </font>
    <font>
      <b/>
      <sz val="8"/>
      <color indexed="10"/>
      <name val="Arial"/>
      <family val="2"/>
    </font>
    <font>
      <sz val="8"/>
      <name val="MS Sans 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8"/>
      <color indexed="8"/>
      <name val="Arial"/>
      <family val="2"/>
    </font>
    <font>
      <sz val="8"/>
      <color rgb="FFFF0000"/>
      <name val="Arial"/>
      <family val="2"/>
    </font>
    <font>
      <sz val="7"/>
      <color indexed="8"/>
      <name val="Arial"/>
      <family val="2"/>
    </font>
    <font>
      <sz val="8"/>
      <color theme="1"/>
      <name val="Arial"/>
      <family val="2"/>
    </font>
    <font>
      <u/>
      <sz val="8"/>
      <color theme="1"/>
      <name val="Arial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3" fontId="19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" fillId="0" borderId="0"/>
  </cellStyleXfs>
  <cellXfs count="396">
    <xf numFmtId="0" fontId="0" fillId="0" borderId="0" xfId="0"/>
    <xf numFmtId="0" fontId="5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6" fillId="0" borderId="0" xfId="0" applyFont="1"/>
    <xf numFmtId="166" fontId="6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centerContinuous"/>
    </xf>
    <xf numFmtId="166" fontId="0" fillId="0" borderId="0" xfId="0" applyNumberFormat="1"/>
    <xf numFmtId="166" fontId="6" fillId="0" borderId="0" xfId="0" applyNumberFormat="1" applyFont="1"/>
    <xf numFmtId="164" fontId="6" fillId="0" borderId="0" xfId="1" applyNumberFormat="1" applyFont="1" applyAlignment="1">
      <alignment horizontal="centerContinuous"/>
    </xf>
    <xf numFmtId="164" fontId="6" fillId="0" borderId="0" xfId="1" applyNumberFormat="1" applyFont="1"/>
    <xf numFmtId="38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40" fontId="2" fillId="0" borderId="0" xfId="0" applyNumberFormat="1" applyFont="1"/>
    <xf numFmtId="0" fontId="0" fillId="0" borderId="0" xfId="0" applyBorder="1"/>
    <xf numFmtId="0" fontId="10" fillId="0" borderId="0" xfId="0" applyFont="1"/>
    <xf numFmtId="0" fontId="10" fillId="0" borderId="0" xfId="0" applyFont="1" applyAlignment="1">
      <alignment horizontal="center"/>
    </xf>
    <xf numFmtId="37" fontId="11" fillId="0" borderId="0" xfId="1" applyNumberFormat="1" applyFont="1"/>
    <xf numFmtId="0" fontId="10" fillId="0" borderId="0" xfId="0" applyFont="1" applyBorder="1"/>
    <xf numFmtId="0" fontId="13" fillId="0" borderId="0" xfId="0" applyFont="1" applyAlignment="1">
      <alignment horizontal="center"/>
    </xf>
    <xf numFmtId="37" fontId="11" fillId="0" borderId="1" xfId="1" applyNumberFormat="1" applyFont="1" applyBorder="1"/>
    <xf numFmtId="0" fontId="13" fillId="0" borderId="0" xfId="0" applyFont="1"/>
    <xf numFmtId="37" fontId="10" fillId="0" borderId="0" xfId="1" applyNumberFormat="1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14" fillId="0" borderId="0" xfId="0" applyFont="1" applyAlignment="1">
      <alignment horizontal="left"/>
    </xf>
    <xf numFmtId="37" fontId="11" fillId="0" borderId="0" xfId="1" applyNumberFormat="1" applyFont="1" applyBorder="1"/>
    <xf numFmtId="0" fontId="13" fillId="0" borderId="0" xfId="0" applyFont="1" applyAlignment="1">
      <alignment horizontal="left"/>
    </xf>
    <xf numFmtId="166" fontId="14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4" fontId="14" fillId="0" borderId="0" xfId="1" applyNumberFormat="1" applyFont="1" applyAlignment="1">
      <alignment horizontal="center"/>
    </xf>
    <xf numFmtId="40" fontId="14" fillId="0" borderId="0" xfId="0" applyNumberFormat="1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Continuous"/>
    </xf>
    <xf numFmtId="0" fontId="17" fillId="0" borderId="0" xfId="0" applyFont="1" applyAlignment="1">
      <alignment horizontal="center"/>
    </xf>
    <xf numFmtId="165" fontId="16" fillId="0" borderId="0" xfId="1" applyNumberFormat="1" applyFont="1"/>
    <xf numFmtId="165" fontId="17" fillId="0" borderId="0" xfId="1" applyNumberFormat="1" applyFont="1"/>
    <xf numFmtId="165" fontId="16" fillId="0" borderId="0" xfId="1" applyNumberFormat="1" applyFont="1" applyAlignment="1">
      <alignment horizontal="center"/>
    </xf>
    <xf numFmtId="165" fontId="17" fillId="0" borderId="0" xfId="1" applyNumberFormat="1" applyFont="1" applyAlignment="1">
      <alignment horizontal="center"/>
    </xf>
    <xf numFmtId="167" fontId="0" fillId="0" borderId="0" xfId="0" applyNumberFormat="1"/>
    <xf numFmtId="167" fontId="2" fillId="0" borderId="0" xfId="0" applyNumberFormat="1" applyFont="1"/>
    <xf numFmtId="165" fontId="18" fillId="0" borderId="0" xfId="1" applyNumberFormat="1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165" fontId="12" fillId="0" borderId="0" xfId="1" applyNumberFormat="1" applyFont="1" applyBorder="1"/>
    <xf numFmtId="0" fontId="16" fillId="0" borderId="0" xfId="0" applyFont="1" applyAlignment="1">
      <alignment horizontal="centerContinuous"/>
    </xf>
    <xf numFmtId="165" fontId="16" fillId="0" borderId="0" xfId="1" quotePrefix="1" applyNumberFormat="1" applyFont="1" applyAlignment="1">
      <alignment horizontal="center"/>
    </xf>
    <xf numFmtId="37" fontId="16" fillId="0" borderId="0" xfId="1" applyNumberFormat="1" applyFont="1" applyAlignment="1">
      <alignment horizontal="right"/>
    </xf>
    <xf numFmtId="165" fontId="17" fillId="0" borderId="0" xfId="1" applyNumberFormat="1" applyFont="1" applyAlignment="1">
      <alignment horizontal="right"/>
    </xf>
    <xf numFmtId="0" fontId="8" fillId="0" borderId="0" xfId="0" applyFont="1" applyBorder="1"/>
    <xf numFmtId="37" fontId="20" fillId="0" borderId="0" xfId="1" applyNumberFormat="1" applyFont="1"/>
    <xf numFmtId="0" fontId="1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6" fillId="0" borderId="0" xfId="0" applyFont="1" applyAlignment="1"/>
    <xf numFmtId="43" fontId="0" fillId="0" borderId="0" xfId="1" applyFont="1" applyBorder="1"/>
    <xf numFmtId="165" fontId="12" fillId="0" borderId="0" xfId="1" applyNumberFormat="1" applyFont="1"/>
    <xf numFmtId="37" fontId="12" fillId="0" borderId="0" xfId="0" applyNumberFormat="1" applyFont="1"/>
    <xf numFmtId="0" fontId="12" fillId="0" borderId="0" xfId="0" applyFont="1"/>
    <xf numFmtId="165" fontId="12" fillId="0" borderId="2" xfId="1" applyNumberFormat="1" applyFont="1" applyBorder="1"/>
    <xf numFmtId="0" fontId="12" fillId="0" borderId="0" xfId="0" applyFont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0" xfId="0" applyFont="1"/>
    <xf numFmtId="165" fontId="11" fillId="0" borderId="0" xfId="1" applyNumberFormat="1" applyFont="1"/>
    <xf numFmtId="37" fontId="12" fillId="0" borderId="0" xfId="0" applyNumberFormat="1" applyFont="1" applyBorder="1"/>
    <xf numFmtId="165" fontId="12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165" fontId="10" fillId="0" borderId="0" xfId="1" applyNumberFormat="1" applyFont="1"/>
    <xf numFmtId="0" fontId="12" fillId="0" borderId="0" xfId="0" quotePrefix="1" applyFont="1" applyAlignment="1">
      <alignment horizontal="center"/>
    </xf>
    <xf numFmtId="0" fontId="14" fillId="0" borderId="0" xfId="0" applyFont="1" applyAlignment="1">
      <alignment horizontal="center"/>
    </xf>
    <xf numFmtId="165" fontId="11" fillId="0" borderId="0" xfId="1" applyNumberFormat="1" applyFont="1" applyAlignment="1">
      <alignment horizontal="centerContinuous"/>
    </xf>
    <xf numFmtId="0" fontId="18" fillId="0" borderId="0" xfId="0" applyFont="1" applyAlignment="1">
      <alignment horizontal="centerContinuous"/>
    </xf>
    <xf numFmtId="165" fontId="18" fillId="0" borderId="0" xfId="1" applyNumberFormat="1" applyFont="1" applyAlignment="1">
      <alignment horizontal="centerContinuous"/>
    </xf>
    <xf numFmtId="0" fontId="18" fillId="0" borderId="0" xfId="0" applyFont="1"/>
    <xf numFmtId="165" fontId="14" fillId="0" borderId="0" xfId="1" applyNumberFormat="1" applyFont="1" applyAlignment="1">
      <alignment horizontal="center"/>
    </xf>
    <xf numFmtId="169" fontId="10" fillId="0" borderId="0" xfId="0" applyNumberFormat="1" applyFont="1" applyBorder="1"/>
    <xf numFmtId="0" fontId="11" fillId="0" borderId="0" xfId="0" quotePrefix="1" applyFont="1" applyAlignment="1">
      <alignment horizontal="center"/>
    </xf>
    <xf numFmtId="0" fontId="16" fillId="0" borderId="0" xfId="0" applyFont="1"/>
    <xf numFmtId="0" fontId="11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165" fontId="11" fillId="0" borderId="0" xfId="1" applyNumberFormat="1" applyFont="1" applyAlignment="1"/>
    <xf numFmtId="165" fontId="16" fillId="0" borderId="0" xfId="1" applyNumberFormat="1" applyFont="1" applyAlignment="1"/>
    <xf numFmtId="37" fontId="11" fillId="0" borderId="0" xfId="1" applyNumberFormat="1" applyFont="1" applyAlignment="1"/>
    <xf numFmtId="0" fontId="11" fillId="0" borderId="0" xfId="0" applyFont="1" applyAlignment="1">
      <alignment horizontal="right"/>
    </xf>
    <xf numFmtId="37" fontId="11" fillId="0" borderId="0" xfId="0" applyNumberFormat="1" applyFont="1" applyAlignment="1">
      <alignment horizontal="right"/>
    </xf>
    <xf numFmtId="37" fontId="11" fillId="0" borderId="0" xfId="0" applyNumberFormat="1" applyFont="1"/>
    <xf numFmtId="0" fontId="15" fillId="0" borderId="0" xfId="0" applyFont="1" applyAlignment="1">
      <alignment horizontal="left"/>
    </xf>
    <xf numFmtId="41" fontId="17" fillId="0" borderId="0" xfId="0" applyNumberFormat="1" applyFont="1" applyBorder="1"/>
    <xf numFmtId="37" fontId="11" fillId="0" borderId="3" xfId="1" applyNumberFormat="1" applyFont="1" applyBorder="1"/>
    <xf numFmtId="37" fontId="17" fillId="0" borderId="0" xfId="1" applyNumberFormat="1" applyFont="1" applyAlignment="1">
      <alignment horizontal="right"/>
    </xf>
    <xf numFmtId="167" fontId="17" fillId="0" borderId="0" xfId="1" applyNumberFormat="1" applyFont="1" applyAlignment="1">
      <alignment horizontal="center"/>
    </xf>
    <xf numFmtId="167" fontId="5" fillId="0" borderId="0" xfId="1" applyNumberFormat="1" applyFont="1"/>
    <xf numFmtId="0" fontId="17" fillId="0" borderId="0" xfId="0" applyFont="1" applyBorder="1"/>
    <xf numFmtId="0" fontId="13" fillId="0" borderId="0" xfId="0" applyFont="1" applyBorder="1"/>
    <xf numFmtId="0" fontId="11" fillId="0" borderId="0" xfId="0" applyFont="1" applyAlignment="1"/>
    <xf numFmtId="38" fontId="16" fillId="0" borderId="0" xfId="0" applyNumberFormat="1" applyFont="1" applyAlignment="1"/>
    <xf numFmtId="0" fontId="11" fillId="0" borderId="0" xfId="0" applyFont="1" applyBorder="1" applyAlignment="1"/>
    <xf numFmtId="170" fontId="16" fillId="0" borderId="0" xfId="1" quotePrefix="1" applyNumberFormat="1" applyFont="1" applyAlignment="1">
      <alignment horizontal="center"/>
    </xf>
    <xf numFmtId="0" fontId="17" fillId="0" borderId="0" xfId="0" applyFont="1" applyBorder="1" applyAlignment="1">
      <alignment horizontal="left"/>
    </xf>
    <xf numFmtId="0" fontId="24" fillId="0" borderId="0" xfId="0" applyFont="1"/>
    <xf numFmtId="165" fontId="12" fillId="0" borderId="0" xfId="0" applyNumberFormat="1" applyFont="1" applyBorder="1"/>
    <xf numFmtId="0" fontId="5" fillId="0" borderId="0" xfId="0" applyFont="1" applyFill="1"/>
    <xf numFmtId="37" fontId="12" fillId="0" borderId="2" xfId="0" applyNumberFormat="1" applyFont="1" applyBorder="1"/>
    <xf numFmtId="37" fontId="12" fillId="0" borderId="1" xfId="0" applyNumberFormat="1" applyFont="1" applyBorder="1"/>
    <xf numFmtId="0" fontId="22" fillId="0" borderId="0" xfId="0" applyFont="1" applyAlignment="1">
      <alignment horizontal="left"/>
    </xf>
    <xf numFmtId="3" fontId="12" fillId="0" borderId="0" xfId="0" applyNumberFormat="1" applyFont="1" applyBorder="1"/>
    <xf numFmtId="10" fontId="12" fillId="0" borderId="0" xfId="5" applyNumberFormat="1" applyFont="1"/>
    <xf numFmtId="10" fontId="12" fillId="0" borderId="2" xfId="5" applyNumberFormat="1" applyFont="1" applyBorder="1"/>
    <xf numFmtId="10" fontId="12" fillId="0" borderId="1" xfId="5" applyNumberFormat="1" applyFont="1" applyBorder="1"/>
    <xf numFmtId="0" fontId="25" fillId="0" borderId="0" xfId="0" applyFont="1"/>
    <xf numFmtId="0" fontId="25" fillId="0" borderId="0" xfId="0" applyFont="1" applyBorder="1"/>
    <xf numFmtId="0" fontId="12" fillId="0" borderId="0" xfId="0" applyFont="1" applyFill="1" applyBorder="1"/>
    <xf numFmtId="0" fontId="17" fillId="0" borderId="0" xfId="0" applyFont="1" applyFill="1" applyAlignment="1">
      <alignment horizontal="center"/>
    </xf>
    <xf numFmtId="0" fontId="3" fillId="0" borderId="0" xfId="0" applyFont="1" applyFill="1"/>
    <xf numFmtId="166" fontId="6" fillId="0" borderId="0" xfId="0" applyNumberFormat="1" applyFont="1" applyFill="1"/>
    <xf numFmtId="0" fontId="18" fillId="0" borderId="0" xfId="0" applyFont="1" applyFill="1" applyAlignment="1">
      <alignment horizontal="left"/>
    </xf>
    <xf numFmtId="165" fontId="12" fillId="0" borderId="0" xfId="1" applyNumberFormat="1" applyFont="1" applyFill="1"/>
    <xf numFmtId="165" fontId="12" fillId="0" borderId="2" xfId="1" applyNumberFormat="1" applyFont="1" applyFill="1" applyBorder="1"/>
    <xf numFmtId="0" fontId="22" fillId="0" borderId="0" xfId="0" applyFont="1" applyFill="1" applyAlignment="1">
      <alignment horizontal="left"/>
    </xf>
    <xf numFmtId="0" fontId="12" fillId="0" borderId="0" xfId="0" applyFont="1" applyFill="1" applyBorder="1" applyAlignment="1">
      <alignment horizontal="center"/>
    </xf>
    <xf numFmtId="0" fontId="0" fillId="0" borderId="0" xfId="0" applyFill="1"/>
    <xf numFmtId="37" fontId="11" fillId="0" borderId="0" xfId="1" applyNumberFormat="1" applyFont="1" applyFill="1" applyBorder="1"/>
    <xf numFmtId="165" fontId="11" fillId="0" borderId="0" xfId="1" applyNumberFormat="1" applyFont="1" applyFill="1" applyBorder="1"/>
    <xf numFmtId="0" fontId="12" fillId="0" borderId="0" xfId="0" applyFont="1" applyFill="1"/>
    <xf numFmtId="37" fontId="12" fillId="0" borderId="0" xfId="0" applyNumberFormat="1" applyFont="1" applyFill="1"/>
    <xf numFmtId="0" fontId="4" fillId="0" borderId="0" xfId="0" applyFont="1" applyFill="1"/>
    <xf numFmtId="0" fontId="17" fillId="0" borderId="0" xfId="0" applyFont="1" applyFill="1" applyAlignment="1">
      <alignment horizontal="centerContinuous"/>
    </xf>
    <xf numFmtId="0" fontId="10" fillId="0" borderId="0" xfId="0" applyFont="1" applyFill="1" applyAlignment="1">
      <alignment horizontal="centerContinuous"/>
    </xf>
    <xf numFmtId="37" fontId="11" fillId="0" borderId="0" xfId="1" applyNumberFormat="1" applyFont="1" applyFill="1" applyAlignment="1">
      <alignment horizontal="centerContinuous"/>
    </xf>
    <xf numFmtId="167" fontId="12" fillId="0" borderId="0" xfId="1" applyNumberFormat="1" applyFont="1" applyFill="1" applyAlignment="1">
      <alignment horizontal="centerContinuous"/>
    </xf>
    <xf numFmtId="0" fontId="2" fillId="0" borderId="0" xfId="0" applyFont="1" applyFill="1"/>
    <xf numFmtId="167" fontId="11" fillId="0" borderId="0" xfId="0" applyNumberFormat="1" applyFont="1" applyFill="1" applyAlignment="1">
      <alignment horizontal="centerContinuous"/>
    </xf>
    <xf numFmtId="167" fontId="10" fillId="0" borderId="0" xfId="0" applyNumberFormat="1" applyFont="1" applyFill="1" applyAlignment="1">
      <alignment horizontal="centerContinuous"/>
    </xf>
    <xf numFmtId="167" fontId="11" fillId="0" borderId="0" xfId="1" applyNumberFormat="1" applyFont="1" applyFill="1" applyAlignment="1">
      <alignment horizontal="centerContinuous"/>
    </xf>
    <xf numFmtId="167" fontId="0" fillId="0" borderId="0" xfId="0" applyNumberFormat="1" applyFill="1"/>
    <xf numFmtId="0" fontId="12" fillId="0" borderId="0" xfId="0" quotePrefix="1" applyFont="1" applyFill="1" applyAlignment="1">
      <alignment horizontal="center"/>
    </xf>
    <xf numFmtId="165" fontId="12" fillId="0" borderId="0" xfId="1" applyNumberFormat="1" applyFont="1" applyFill="1" applyBorder="1"/>
    <xf numFmtId="0" fontId="12" fillId="0" borderId="0" xfId="0" applyFont="1" applyFill="1" applyAlignment="1">
      <alignment horizontal="center"/>
    </xf>
    <xf numFmtId="165" fontId="12" fillId="0" borderId="0" xfId="0" applyNumberFormat="1" applyFont="1" applyFill="1" applyBorder="1"/>
    <xf numFmtId="165" fontId="12" fillId="0" borderId="2" xfId="0" applyNumberFormat="1" applyFont="1" applyFill="1" applyBorder="1"/>
    <xf numFmtId="0" fontId="10" fillId="0" borderId="0" xfId="0" applyFont="1" applyFill="1"/>
    <xf numFmtId="37" fontId="10" fillId="0" borderId="0" xfId="1" applyNumberFormat="1" applyFont="1" applyFill="1" applyAlignment="1">
      <alignment horizontal="centerContinuous"/>
    </xf>
    <xf numFmtId="0" fontId="10" fillId="0" borderId="0" xfId="0" applyFont="1" applyFill="1" applyBorder="1"/>
    <xf numFmtId="171" fontId="12" fillId="0" borderId="0" xfId="3" applyNumberFormat="1" applyFont="1" applyFill="1"/>
    <xf numFmtId="39" fontId="11" fillId="0" borderId="0" xfId="0" applyNumberFormat="1" applyFont="1"/>
    <xf numFmtId="0" fontId="5" fillId="0" borderId="0" xfId="0" applyFont="1" applyFill="1" applyAlignment="1">
      <alignment horizontal="left"/>
    </xf>
    <xf numFmtId="0" fontId="17" fillId="0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166" fontId="6" fillId="0" borderId="0" xfId="0" applyNumberFormat="1" applyFont="1" applyFill="1" applyAlignment="1">
      <alignment horizontal="left"/>
    </xf>
    <xf numFmtId="166" fontId="0" fillId="0" borderId="0" xfId="0" applyNumberFormat="1" applyFill="1"/>
    <xf numFmtId="37" fontId="12" fillId="0" borderId="0" xfId="1" applyNumberFormat="1" applyFont="1" applyFill="1"/>
    <xf numFmtId="165" fontId="11" fillId="0" borderId="0" xfId="1" applyNumberFormat="1" applyFont="1" applyFill="1"/>
    <xf numFmtId="10" fontId="12" fillId="0" borderId="0" xfId="5" applyNumberFormat="1" applyFont="1" applyBorder="1"/>
    <xf numFmtId="171" fontId="17" fillId="0" borderId="0" xfId="0" applyNumberFormat="1" applyFont="1" applyAlignment="1">
      <alignment horizontal="center"/>
    </xf>
    <xf numFmtId="171" fontId="0" fillId="0" borderId="0" xfId="0" applyNumberFormat="1"/>
    <xf numFmtId="168" fontId="12" fillId="0" borderId="0" xfId="5" applyNumberFormat="1" applyFont="1" applyFill="1"/>
    <xf numFmtId="0" fontId="11" fillId="0" borderId="0" xfId="0" applyFont="1" applyFill="1" applyAlignment="1">
      <alignment horizontal="left"/>
    </xf>
    <xf numFmtId="0" fontId="14" fillId="0" borderId="0" xfId="0" applyFont="1" applyFill="1" applyAlignment="1">
      <alignment horizontal="center"/>
    </xf>
    <xf numFmtId="165" fontId="16" fillId="0" borderId="0" xfId="1" applyNumberFormat="1" applyFont="1" applyFill="1" applyAlignment="1">
      <alignment horizontal="center"/>
    </xf>
    <xf numFmtId="165" fontId="14" fillId="0" borderId="0" xfId="1" applyNumberFormat="1" applyFont="1" applyFill="1" applyAlignment="1">
      <alignment horizontal="center"/>
    </xf>
    <xf numFmtId="38" fontId="16" fillId="0" borderId="0" xfId="0" applyNumberFormat="1" applyFont="1" applyFill="1" applyAlignment="1"/>
    <xf numFmtId="37" fontId="11" fillId="0" borderId="2" xfId="1" applyNumberFormat="1" applyFont="1" applyFill="1" applyBorder="1"/>
    <xf numFmtId="0" fontId="10" fillId="0" borderId="0" xfId="0" applyFont="1" applyFill="1" applyAlignment="1">
      <alignment horizontal="center"/>
    </xf>
    <xf numFmtId="37" fontId="11" fillId="0" borderId="0" xfId="1" applyNumberFormat="1" applyFont="1" applyFill="1"/>
    <xf numFmtId="37" fontId="10" fillId="0" borderId="0" xfId="1" applyNumberFormat="1" applyFont="1" applyFill="1"/>
    <xf numFmtId="37" fontId="20" fillId="0" borderId="0" xfId="1" applyNumberFormat="1" applyFont="1" applyFill="1"/>
    <xf numFmtId="37" fontId="12" fillId="0" borderId="0" xfId="1" applyNumberFormat="1" applyFont="1" applyFill="1" applyBorder="1"/>
    <xf numFmtId="37" fontId="12" fillId="0" borderId="2" xfId="1" applyNumberFormat="1" applyFont="1" applyFill="1" applyBorder="1"/>
    <xf numFmtId="0" fontId="10" fillId="0" borderId="0" xfId="0" applyFont="1" applyFill="1" applyAlignment="1">
      <alignment horizontal="right"/>
    </xf>
    <xf numFmtId="0" fontId="14" fillId="0" borderId="0" xfId="0" applyFont="1" applyFill="1" applyAlignment="1">
      <alignment horizontal="left"/>
    </xf>
    <xf numFmtId="170" fontId="16" fillId="0" borderId="0" xfId="1" quotePrefix="1" applyNumberFormat="1" applyFont="1" applyFill="1" applyAlignment="1">
      <alignment horizontal="center"/>
    </xf>
    <xf numFmtId="165" fontId="16" fillId="0" borderId="0" xfId="1" applyNumberFormat="1" applyFont="1" applyFill="1"/>
    <xf numFmtId="165" fontId="17" fillId="0" borderId="0" xfId="1" applyNumberFormat="1" applyFont="1" applyFill="1"/>
    <xf numFmtId="165" fontId="17" fillId="0" borderId="0" xfId="1" applyNumberFormat="1" applyFont="1" applyFill="1" applyAlignment="1">
      <alignment horizontal="center"/>
    </xf>
    <xf numFmtId="0" fontId="17" fillId="0" borderId="0" xfId="0" quotePrefix="1" applyFont="1" applyFill="1" applyAlignment="1">
      <alignment horizontal="center"/>
    </xf>
    <xf numFmtId="0" fontId="17" fillId="0" borderId="0" xfId="0" applyFont="1" applyFill="1" applyAlignment="1">
      <alignment horizontal="right"/>
    </xf>
    <xf numFmtId="171" fontId="11" fillId="0" borderId="0" xfId="3" applyNumberFormat="1" applyFont="1" applyFill="1" applyBorder="1"/>
    <xf numFmtId="0" fontId="17" fillId="0" borderId="0" xfId="0" applyFont="1" applyFill="1" applyBorder="1" applyAlignment="1">
      <alignment horizontal="left"/>
    </xf>
    <xf numFmtId="37" fontId="11" fillId="0" borderId="3" xfId="1" applyNumberFormat="1" applyFont="1" applyFill="1" applyBorder="1"/>
    <xf numFmtId="165" fontId="12" fillId="0" borderId="0" xfId="0" applyNumberFormat="1" applyFont="1" applyFill="1" applyAlignment="1">
      <alignment horizontal="center"/>
    </xf>
    <xf numFmtId="171" fontId="11" fillId="0" borderId="1" xfId="3" applyNumberFormat="1" applyFont="1" applyFill="1" applyBorder="1"/>
    <xf numFmtId="39" fontId="12" fillId="0" borderId="0" xfId="0" applyNumberFormat="1" applyFont="1" applyFill="1" applyBorder="1"/>
    <xf numFmtId="171" fontId="0" fillId="0" borderId="0" xfId="0" applyNumberFormat="1" applyFill="1"/>
    <xf numFmtId="170" fontId="14" fillId="0" borderId="0" xfId="1" quotePrefix="1" applyNumberFormat="1" applyFont="1" applyAlignment="1">
      <alignment horizontal="center"/>
    </xf>
    <xf numFmtId="0" fontId="29" fillId="0" borderId="0" xfId="0" applyFont="1" applyAlignment="1">
      <alignment horizontal="left"/>
    </xf>
    <xf numFmtId="37" fontId="3" fillId="0" borderId="0" xfId="0" applyNumberFormat="1" applyFont="1" applyFill="1"/>
    <xf numFmtId="0" fontId="0" fillId="0" borderId="0" xfId="0" applyFill="1" applyBorder="1"/>
    <xf numFmtId="165" fontId="16" fillId="0" borderId="0" xfId="1" applyNumberFormat="1" applyFont="1" applyFill="1" applyBorder="1" applyAlignment="1">
      <alignment horizontal="center"/>
    </xf>
    <xf numFmtId="171" fontId="12" fillId="0" borderId="0" xfId="3" applyNumberFormat="1" applyFont="1" applyFill="1" applyBorder="1"/>
    <xf numFmtId="37" fontId="12" fillId="0" borderId="0" xfId="0" applyNumberFormat="1" applyFont="1" applyFill="1" applyBorder="1"/>
    <xf numFmtId="37" fontId="12" fillId="0" borderId="2" xfId="0" applyNumberFormat="1" applyFont="1" applyFill="1" applyBorder="1"/>
    <xf numFmtId="37" fontId="20" fillId="0" borderId="0" xfId="1" applyNumberFormat="1" applyFont="1" applyFill="1" applyBorder="1"/>
    <xf numFmtId="171" fontId="12" fillId="0" borderId="0" xfId="0" applyNumberFormat="1" applyFont="1" applyFill="1" applyBorder="1"/>
    <xf numFmtId="165" fontId="12" fillId="0" borderId="3" xfId="1" applyNumberFormat="1" applyFont="1" applyFill="1" applyBorder="1"/>
    <xf numFmtId="171" fontId="12" fillId="0" borderId="1" xfId="0" applyNumberFormat="1" applyFont="1" applyFill="1" applyBorder="1"/>
    <xf numFmtId="171" fontId="12" fillId="0" borderId="1" xfId="3" applyNumberFormat="1" applyFont="1" applyFill="1" applyBorder="1"/>
    <xf numFmtId="0" fontId="10" fillId="0" borderId="0" xfId="0" applyFont="1" applyFill="1" applyAlignment="1">
      <alignment horizontal="left"/>
    </xf>
    <xf numFmtId="165" fontId="33" fillId="0" borderId="0" xfId="1" applyNumberFormat="1" applyFont="1" applyFill="1"/>
    <xf numFmtId="0" fontId="26" fillId="0" borderId="0" xfId="0" applyFont="1" applyFill="1" applyBorder="1"/>
    <xf numFmtId="0" fontId="13" fillId="0" borderId="0" xfId="0" applyFont="1" applyAlignment="1"/>
    <xf numFmtId="0" fontId="13" fillId="0" borderId="0" xfId="0" applyFont="1" applyBorder="1" applyAlignment="1">
      <alignment horizontal="left"/>
    </xf>
    <xf numFmtId="43" fontId="10" fillId="0" borderId="0" xfId="0" applyNumberFormat="1" applyFont="1" applyFill="1" applyBorder="1"/>
    <xf numFmtId="172" fontId="12" fillId="0" borderId="0" xfId="1" applyNumberFormat="1" applyFont="1" applyBorder="1"/>
    <xf numFmtId="173" fontId="12" fillId="0" borderId="0" xfId="0" applyNumberFormat="1" applyFont="1" applyBorder="1"/>
    <xf numFmtId="174" fontId="12" fillId="0" borderId="0" xfId="0" applyNumberFormat="1" applyFont="1" applyBorder="1"/>
    <xf numFmtId="2" fontId="12" fillId="0" borderId="0" xfId="0" applyNumberFormat="1" applyFont="1" applyBorder="1"/>
    <xf numFmtId="175" fontId="12" fillId="0" borderId="0" xfId="0" applyNumberFormat="1" applyFont="1" applyBorder="1"/>
    <xf numFmtId="175" fontId="12" fillId="2" borderId="0" xfId="3" applyNumberFormat="1" applyFont="1" applyFill="1" applyBorder="1"/>
    <xf numFmtId="173" fontId="12" fillId="0" borderId="0" xfId="0" applyNumberFormat="1" applyFont="1" applyFill="1" applyBorder="1"/>
    <xf numFmtId="172" fontId="12" fillId="0" borderId="0" xfId="1" applyNumberFormat="1" applyFont="1" applyFill="1" applyBorder="1"/>
    <xf numFmtId="172" fontId="10" fillId="0" borderId="0" xfId="1" applyNumberFormat="1" applyFont="1" applyFill="1" applyBorder="1"/>
    <xf numFmtId="2" fontId="12" fillId="0" borderId="0" xfId="0" applyNumberFormat="1" applyFont="1" applyFill="1" applyBorder="1"/>
    <xf numFmtId="43" fontId="12" fillId="0" borderId="0" xfId="1" applyFont="1" applyFill="1" applyBorder="1"/>
    <xf numFmtId="43" fontId="12" fillId="2" borderId="0" xfId="1" applyFont="1" applyFill="1" applyBorder="1"/>
    <xf numFmtId="0" fontId="10" fillId="2" borderId="0" xfId="0" applyFont="1" applyFill="1" applyBorder="1"/>
    <xf numFmtId="2" fontId="12" fillId="2" borderId="0" xfId="0" applyNumberFormat="1" applyFont="1" applyFill="1" applyBorder="1"/>
    <xf numFmtId="38" fontId="6" fillId="2" borderId="0" xfId="0" applyNumberFormat="1" applyFont="1" applyFill="1" applyAlignment="1">
      <alignment horizontal="center"/>
    </xf>
    <xf numFmtId="43" fontId="6" fillId="2" borderId="0" xfId="1" applyFont="1" applyFill="1" applyAlignment="1">
      <alignment horizontal="center"/>
    </xf>
    <xf numFmtId="2" fontId="10" fillId="2" borderId="0" xfId="0" applyNumberFormat="1" applyFont="1" applyFill="1" applyBorder="1"/>
    <xf numFmtId="43" fontId="10" fillId="2" borderId="0" xfId="1" applyFont="1" applyFill="1" applyBorder="1"/>
    <xf numFmtId="175" fontId="12" fillId="2" borderId="0" xfId="0" applyNumberFormat="1" applyFont="1" applyFill="1" applyBorder="1"/>
    <xf numFmtId="171" fontId="10" fillId="0" borderId="0" xfId="0" applyNumberFormat="1" applyFont="1" applyFill="1" applyBorder="1"/>
    <xf numFmtId="171" fontId="12" fillId="0" borderId="0" xfId="0" applyNumberFormat="1" applyFont="1" applyBorder="1"/>
    <xf numFmtId="0" fontId="17" fillId="0" borderId="0" xfId="0" applyFont="1" applyAlignment="1">
      <alignment horizontal="center"/>
    </xf>
    <xf numFmtId="170" fontId="13" fillId="0" borderId="0" xfId="1" quotePrefix="1" applyNumberFormat="1" applyFont="1" applyAlignment="1">
      <alignment horizontal="center"/>
    </xf>
    <xf numFmtId="171" fontId="17" fillId="0" borderId="0" xfId="0" applyNumberFormat="1" applyFont="1" applyFill="1" applyAlignment="1">
      <alignment horizontal="center"/>
    </xf>
    <xf numFmtId="165" fontId="13" fillId="0" borderId="0" xfId="1" applyNumberFormat="1" applyFont="1" applyFill="1" applyAlignment="1">
      <alignment horizontal="center" wrapText="1"/>
    </xf>
    <xf numFmtId="165" fontId="14" fillId="0" borderId="0" xfId="1" applyNumberFormat="1" applyFont="1" applyFill="1" applyAlignment="1">
      <alignment horizontal="center" wrapText="1"/>
    </xf>
    <xf numFmtId="38" fontId="34" fillId="0" borderId="0" xfId="0" applyNumberFormat="1" applyFont="1" applyAlignment="1">
      <alignment horizontal="center"/>
    </xf>
    <xf numFmtId="165" fontId="10" fillId="0" borderId="0" xfId="0" applyNumberFormat="1" applyFont="1" applyBorder="1"/>
    <xf numFmtId="0" fontId="17" fillId="0" borderId="0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12" fillId="3" borderId="0" xfId="0" applyFont="1" applyFill="1"/>
    <xf numFmtId="0" fontId="10" fillId="3" borderId="0" xfId="0" applyFont="1" applyFill="1"/>
    <xf numFmtId="0" fontId="10" fillId="3" borderId="0" xfId="0" applyFont="1" applyFill="1" applyBorder="1"/>
    <xf numFmtId="0" fontId="16" fillId="0" borderId="0" xfId="0" applyFont="1" applyFill="1" applyAlignment="1">
      <alignment horizontal="left"/>
    </xf>
    <xf numFmtId="0" fontId="13" fillId="0" borderId="0" xfId="0" applyFont="1" applyFill="1" applyAlignment="1">
      <alignment horizontal="left"/>
    </xf>
    <xf numFmtId="37" fontId="11" fillId="0" borderId="1" xfId="1" applyNumberFormat="1" applyFont="1" applyFill="1" applyBorder="1"/>
    <xf numFmtId="176" fontId="12" fillId="3" borderId="0" xfId="0" applyNumberFormat="1" applyFont="1" applyFill="1"/>
    <xf numFmtId="165" fontId="12" fillId="3" borderId="0" xfId="1" applyNumberFormat="1" applyFont="1" applyFill="1" applyAlignment="1">
      <alignment horizontal="left"/>
    </xf>
    <xf numFmtId="171" fontId="12" fillId="0" borderId="2" xfId="3" applyNumberFormat="1" applyFont="1" applyFill="1" applyBorder="1"/>
    <xf numFmtId="165" fontId="12" fillId="0" borderId="3" xfId="0" applyNumberFormat="1" applyFont="1" applyFill="1" applyBorder="1"/>
    <xf numFmtId="0" fontId="12" fillId="0" borderId="2" xfId="0" applyFont="1" applyFill="1" applyBorder="1"/>
    <xf numFmtId="165" fontId="12" fillId="0" borderId="0" xfId="1" applyNumberFormat="1" applyFont="1" applyFill="1" applyAlignment="1">
      <alignment horizontal="right"/>
    </xf>
    <xf numFmtId="37" fontId="16" fillId="0" borderId="0" xfId="1" applyNumberFormat="1" applyFont="1" applyFill="1" applyAlignment="1">
      <alignment horizontal="right"/>
    </xf>
    <xf numFmtId="0" fontId="28" fillId="0" borderId="0" xfId="0" applyFont="1" applyFill="1" applyAlignment="1">
      <alignment horizontal="left"/>
    </xf>
    <xf numFmtId="171" fontId="12" fillId="0" borderId="0" xfId="3" applyNumberFormat="1" applyFont="1" applyFill="1" applyAlignment="1">
      <alignment horizontal="right"/>
    </xf>
    <xf numFmtId="165" fontId="11" fillId="0" borderId="0" xfId="1" applyNumberFormat="1" applyFont="1" applyFill="1" applyAlignment="1">
      <alignment horizontal="right"/>
    </xf>
    <xf numFmtId="37" fontId="12" fillId="0" borderId="0" xfId="3" applyNumberFormat="1" applyFont="1" applyFill="1"/>
    <xf numFmtId="165" fontId="10" fillId="0" borderId="2" xfId="1" applyNumberFormat="1" applyFont="1" applyFill="1" applyBorder="1"/>
    <xf numFmtId="0" fontId="21" fillId="0" borderId="0" xfId="0" quotePrefix="1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170" fontId="13" fillId="0" borderId="0" xfId="0" applyNumberFormat="1" applyFont="1" applyFill="1" applyBorder="1" applyAlignment="1">
      <alignment horizontal="center"/>
    </xf>
    <xf numFmtId="37" fontId="16" fillId="0" borderId="0" xfId="1" applyNumberFormat="1" applyFont="1" applyFill="1" applyBorder="1" applyAlignment="1">
      <alignment horizontal="center"/>
    </xf>
    <xf numFmtId="165" fontId="13" fillId="0" borderId="0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37" fontId="10" fillId="0" borderId="0" xfId="1" applyNumberFormat="1" applyFont="1" applyFill="1" applyBorder="1"/>
    <xf numFmtId="0" fontId="15" fillId="0" borderId="0" xfId="0" quotePrefix="1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5" fillId="0" borderId="0" xfId="0" applyFont="1" applyFill="1" applyAlignment="1">
      <alignment horizontal="right"/>
    </xf>
    <xf numFmtId="170" fontId="17" fillId="0" borderId="0" xfId="0" applyNumberFormat="1" applyFont="1" applyFill="1" applyAlignment="1">
      <alignment horizontal="center"/>
    </xf>
    <xf numFmtId="37" fontId="16" fillId="0" borderId="0" xfId="1" applyNumberFormat="1" applyFont="1" applyFill="1" applyAlignment="1">
      <alignment horizontal="center"/>
    </xf>
    <xf numFmtId="165" fontId="17" fillId="0" borderId="0" xfId="0" applyNumberFormat="1" applyFont="1" applyFill="1" applyAlignment="1">
      <alignment horizontal="center"/>
    </xf>
    <xf numFmtId="0" fontId="12" fillId="0" borderId="0" xfId="0" applyFont="1" applyFill="1" applyAlignment="1">
      <alignment horizontal="left"/>
    </xf>
    <xf numFmtId="165" fontId="12" fillId="0" borderId="1" xfId="0" applyNumberFormat="1" applyFont="1" applyFill="1" applyBorder="1"/>
    <xf numFmtId="0" fontId="11" fillId="0" borderId="0" xfId="0" applyFont="1" applyFill="1"/>
    <xf numFmtId="0" fontId="8" fillId="0" borderId="0" xfId="0" applyFont="1" applyFill="1"/>
    <xf numFmtId="169" fontId="10" fillId="0" borderId="0" xfId="0" applyNumberFormat="1" applyFont="1" applyFill="1" applyBorder="1"/>
    <xf numFmtId="0" fontId="11" fillId="0" borderId="0" xfId="0" applyFont="1" applyFill="1" applyBorder="1" applyAlignment="1"/>
    <xf numFmtId="0" fontId="14" fillId="0" borderId="0" xfId="0" applyFont="1" applyFill="1" applyAlignment="1">
      <alignment horizontal="centerContinuous"/>
    </xf>
    <xf numFmtId="165" fontId="16" fillId="0" borderId="0" xfId="1" applyNumberFormat="1" applyFont="1" applyFill="1" applyAlignment="1">
      <alignment horizontal="centerContinuous"/>
    </xf>
    <xf numFmtId="165" fontId="14" fillId="0" borderId="0" xfId="1" applyNumberFormat="1" applyFont="1" applyFill="1" applyAlignment="1">
      <alignment horizontal="centerContinuous"/>
    </xf>
    <xf numFmtId="0" fontId="16" fillId="0" borderId="0" xfId="0" applyFont="1" applyFill="1" applyAlignment="1">
      <alignment horizontal="right"/>
    </xf>
    <xf numFmtId="0" fontId="11" fillId="0" borderId="0" xfId="0" applyFont="1" applyFill="1" applyAlignment="1"/>
    <xf numFmtId="0" fontId="16" fillId="0" borderId="0" xfId="0" applyFont="1" applyFill="1" applyAlignment="1">
      <alignment horizontal="centerContinuous"/>
    </xf>
    <xf numFmtId="0" fontId="18" fillId="0" borderId="0" xfId="0" applyFont="1" applyFill="1" applyAlignment="1">
      <alignment horizontal="centerContinuous"/>
    </xf>
    <xf numFmtId="165" fontId="11" fillId="0" borderId="0" xfId="1" applyNumberFormat="1" applyFont="1" applyFill="1" applyAlignment="1">
      <alignment horizontal="centerContinuous"/>
    </xf>
    <xf numFmtId="165" fontId="18" fillId="0" borderId="0" xfId="1" applyNumberFormat="1" applyFont="1" applyFill="1" applyAlignment="1">
      <alignment horizontal="centerContinuous"/>
    </xf>
    <xf numFmtId="0" fontId="18" fillId="0" borderId="0" xfId="0" applyFont="1" applyFill="1"/>
    <xf numFmtId="165" fontId="16" fillId="0" borderId="0" xfId="1" quotePrefix="1" applyNumberFormat="1" applyFont="1" applyFill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/>
    <xf numFmtId="3" fontId="12" fillId="0" borderId="0" xfId="0" applyNumberFormat="1" applyFont="1" applyFill="1" applyBorder="1"/>
    <xf numFmtId="165" fontId="20" fillId="0" borderId="0" xfId="1" applyNumberFormat="1" applyFont="1" applyFill="1" applyBorder="1" applyAlignment="1">
      <alignment horizontal="center"/>
    </xf>
    <xf numFmtId="41" fontId="17" fillId="0" borderId="0" xfId="0" applyNumberFormat="1" applyFont="1" applyFill="1" applyBorder="1"/>
    <xf numFmtId="41" fontId="10" fillId="0" borderId="0" xfId="0" applyNumberFormat="1" applyFont="1" applyFill="1" applyBorder="1"/>
    <xf numFmtId="0" fontId="8" fillId="0" borderId="0" xfId="0" applyFont="1" applyFill="1" applyAlignment="1"/>
    <xf numFmtId="0" fontId="16" fillId="0" borderId="0" xfId="0" applyFont="1" applyFill="1" applyAlignment="1"/>
    <xf numFmtId="41" fontId="10" fillId="0" borderId="0" xfId="0" applyNumberFormat="1" applyFont="1" applyFill="1"/>
    <xf numFmtId="41" fontId="17" fillId="0" borderId="0" xfId="0" applyNumberFormat="1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165" fontId="16" fillId="0" borderId="0" xfId="1" applyNumberFormat="1" applyFont="1" applyFill="1" applyAlignment="1"/>
    <xf numFmtId="165" fontId="12" fillId="0" borderId="0" xfId="0" applyNumberFormat="1" applyFont="1" applyFill="1"/>
    <xf numFmtId="0" fontId="12" fillId="0" borderId="0" xfId="0" applyFont="1" applyFill="1" applyAlignment="1"/>
    <xf numFmtId="166" fontId="11" fillId="0" borderId="0" xfId="0" applyNumberFormat="1" applyFont="1" applyFill="1"/>
    <xf numFmtId="166" fontId="10" fillId="0" borderId="0" xfId="0" applyNumberFormat="1" applyFont="1" applyFill="1"/>
    <xf numFmtId="167" fontId="12" fillId="0" borderId="0" xfId="1" applyNumberFormat="1" applyFont="1" applyFill="1"/>
    <xf numFmtId="0" fontId="13" fillId="0" borderId="0" xfId="0" applyFont="1" applyFill="1" applyBorder="1" applyAlignment="1">
      <alignment horizontal="centerContinuous"/>
    </xf>
    <xf numFmtId="0" fontId="13" fillId="0" borderId="0" xfId="0" applyFont="1" applyFill="1" applyAlignment="1">
      <alignment horizontal="centerContinuous"/>
    </xf>
    <xf numFmtId="37" fontId="16" fillId="0" borderId="0" xfId="1" applyNumberFormat="1" applyFont="1" applyFill="1" applyAlignment="1">
      <alignment horizontal="centerContinuous"/>
    </xf>
    <xf numFmtId="37" fontId="17" fillId="0" borderId="0" xfId="1" applyNumberFormat="1" applyFont="1" applyFill="1" applyAlignment="1">
      <alignment horizontal="right"/>
    </xf>
    <xf numFmtId="165" fontId="17" fillId="0" borderId="0" xfId="1" quotePrefix="1" applyNumberFormat="1" applyFont="1" applyFill="1" applyAlignment="1">
      <alignment horizontal="center"/>
    </xf>
    <xf numFmtId="167" fontId="14" fillId="0" borderId="0" xfId="0" applyNumberFormat="1" applyFont="1" applyFill="1" applyAlignment="1">
      <alignment horizontal="centerContinuous"/>
    </xf>
    <xf numFmtId="167" fontId="13" fillId="0" borderId="0" xfId="0" applyNumberFormat="1" applyFont="1" applyFill="1" applyAlignment="1">
      <alignment horizontal="centerContinuous"/>
    </xf>
    <xf numFmtId="167" fontId="14" fillId="0" borderId="0" xfId="1" applyNumberFormat="1" applyFont="1" applyFill="1" applyAlignment="1">
      <alignment horizontal="centerContinuous"/>
    </xf>
    <xf numFmtId="164" fontId="6" fillId="0" borderId="0" xfId="1" applyNumberFormat="1" applyFont="1" applyFill="1"/>
    <xf numFmtId="167" fontId="14" fillId="0" borderId="0" xfId="0" applyNumberFormat="1" applyFont="1" applyFill="1" applyAlignment="1">
      <alignment horizontal="center"/>
    </xf>
    <xf numFmtId="167" fontId="13" fillId="0" borderId="0" xfId="0" applyNumberFormat="1" applyFont="1" applyFill="1" applyAlignment="1">
      <alignment horizontal="center"/>
    </xf>
    <xf numFmtId="167" fontId="14" fillId="0" borderId="0" xfId="1" applyNumberFormat="1" applyFont="1" applyFill="1" applyAlignment="1">
      <alignment horizontal="center"/>
    </xf>
    <xf numFmtId="167" fontId="17" fillId="0" borderId="0" xfId="1" applyNumberFormat="1" applyFont="1" applyFill="1" applyAlignment="1">
      <alignment horizontal="center"/>
    </xf>
    <xf numFmtId="167" fontId="5" fillId="0" borderId="0" xfId="1" applyNumberFormat="1" applyFont="1" applyFill="1"/>
    <xf numFmtId="0" fontId="6" fillId="0" borderId="0" xfId="0" applyFont="1" applyFill="1"/>
    <xf numFmtId="0" fontId="27" fillId="0" borderId="0" xfId="0" applyFont="1" applyFill="1" applyBorder="1" applyAlignment="1">
      <alignment horizontal="center"/>
    </xf>
    <xf numFmtId="37" fontId="25" fillId="0" borderId="0" xfId="1" applyNumberFormat="1" applyFont="1" applyFill="1"/>
    <xf numFmtId="37" fontId="25" fillId="0" borderId="0" xfId="1" applyNumberFormat="1" applyFont="1" applyFill="1" applyBorder="1"/>
    <xf numFmtId="0" fontId="9" fillId="0" borderId="0" xfId="0" applyFont="1" applyFill="1"/>
    <xf numFmtId="43" fontId="12" fillId="0" borderId="0" xfId="1" applyNumberFormat="1" applyFont="1" applyFill="1"/>
    <xf numFmtId="37" fontId="10" fillId="0" borderId="0" xfId="0" applyNumberFormat="1" applyFont="1" applyFill="1" applyAlignment="1">
      <alignment horizontal="right"/>
    </xf>
    <xf numFmtId="165" fontId="10" fillId="0" borderId="0" xfId="1" applyNumberFormat="1" applyFont="1" applyFill="1"/>
    <xf numFmtId="37" fontId="0" fillId="0" borderId="0" xfId="0" applyNumberFormat="1" applyFill="1"/>
    <xf numFmtId="0" fontId="17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Continuous"/>
    </xf>
    <xf numFmtId="166" fontId="6" fillId="0" borderId="0" xfId="0" applyNumberFormat="1" applyFont="1" applyFill="1" applyAlignment="1">
      <alignment horizontal="centerContinuous"/>
    </xf>
    <xf numFmtId="166" fontId="0" fillId="0" borderId="0" xfId="0" applyNumberFormat="1" applyFill="1" applyAlignment="1">
      <alignment horizontal="centerContinuous"/>
    </xf>
    <xf numFmtId="164" fontId="6" fillId="0" borderId="0" xfId="1" applyNumberFormat="1" applyFont="1" applyFill="1" applyAlignment="1">
      <alignment horizontal="centerContinuous"/>
    </xf>
    <xf numFmtId="0" fontId="6" fillId="0" borderId="0" xfId="0" applyFont="1" applyFill="1" applyAlignment="1">
      <alignment horizontal="centerContinuous"/>
    </xf>
    <xf numFmtId="40" fontId="2" fillId="0" borderId="0" xfId="0" applyNumberFormat="1" applyFont="1" applyFill="1"/>
    <xf numFmtId="166" fontId="14" fillId="0" borderId="0" xfId="0" applyNumberFormat="1" applyFont="1" applyFill="1" applyAlignment="1">
      <alignment horizontal="center"/>
    </xf>
    <xf numFmtId="166" fontId="13" fillId="0" borderId="0" xfId="0" applyNumberFormat="1" applyFont="1" applyFill="1" applyAlignment="1">
      <alignment horizontal="center"/>
    </xf>
    <xf numFmtId="164" fontId="14" fillId="0" borderId="0" xfId="1" applyNumberFormat="1" applyFont="1" applyFill="1" applyAlignment="1">
      <alignment horizontal="center"/>
    </xf>
    <xf numFmtId="40" fontId="14" fillId="0" borderId="0" xfId="0" applyNumberFormat="1" applyFont="1" applyFill="1" applyAlignment="1">
      <alignment horizontal="center"/>
    </xf>
    <xf numFmtId="174" fontId="12" fillId="0" borderId="0" xfId="0" applyNumberFormat="1" applyFont="1" applyFill="1" applyBorder="1"/>
    <xf numFmtId="43" fontId="3" fillId="0" borderId="0" xfId="1" applyFill="1" applyBorder="1"/>
    <xf numFmtId="167" fontId="2" fillId="0" borderId="0" xfId="0" applyNumberFormat="1" applyFont="1" applyFill="1"/>
    <xf numFmtId="0" fontId="17" fillId="0" borderId="0" xfId="0" applyFont="1" applyFill="1"/>
    <xf numFmtId="170" fontId="14" fillId="0" borderId="0" xfId="1" quotePrefix="1" applyNumberFormat="1" applyFont="1" applyFill="1" applyAlignment="1">
      <alignment horizontal="center"/>
    </xf>
    <xf numFmtId="165" fontId="14" fillId="0" borderId="0" xfId="1" applyNumberFormat="1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center" wrapText="1"/>
    </xf>
    <xf numFmtId="0" fontId="13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horizontal="left" wrapText="1"/>
    </xf>
    <xf numFmtId="10" fontId="12" fillId="0" borderId="0" xfId="5" applyNumberFormat="1" applyFont="1" applyFill="1" applyBorder="1"/>
    <xf numFmtId="10" fontId="11" fillId="0" borderId="0" xfId="5" applyNumberFormat="1" applyFont="1" applyFill="1" applyBorder="1"/>
    <xf numFmtId="165" fontId="16" fillId="0" borderId="0" xfId="1" applyNumberFormat="1" applyFont="1" applyFill="1" applyAlignment="1">
      <alignment horizontal="center" wrapText="1"/>
    </xf>
    <xf numFmtId="165" fontId="16" fillId="0" borderId="0" xfId="1" applyNumberFormat="1" applyFont="1" applyFill="1" applyBorder="1" applyAlignment="1">
      <alignment horizontal="center" wrapText="1"/>
    </xf>
    <xf numFmtId="170" fontId="13" fillId="0" borderId="0" xfId="1" quotePrefix="1" applyNumberFormat="1" applyFont="1" applyFill="1" applyAlignment="1">
      <alignment horizontal="center"/>
    </xf>
    <xf numFmtId="165" fontId="12" fillId="0" borderId="0" xfId="1" applyNumberFormat="1" applyFont="1" applyFill="1" applyBorder="1" applyAlignment="1">
      <alignment horizontal="right"/>
    </xf>
    <xf numFmtId="37" fontId="12" fillId="0" borderId="0" xfId="1" applyNumberFormat="1" applyFont="1" applyFill="1" applyAlignment="1">
      <alignment horizontal="right"/>
    </xf>
    <xf numFmtId="165" fontId="12" fillId="0" borderId="2" xfId="1" applyNumberFormat="1" applyFont="1" applyFill="1" applyBorder="1" applyAlignment="1">
      <alignment horizontal="right"/>
    </xf>
    <xf numFmtId="37" fontId="12" fillId="0" borderId="2" xfId="1" applyNumberFormat="1" applyFont="1" applyFill="1" applyBorder="1" applyAlignment="1">
      <alignment horizontal="right"/>
    </xf>
    <xf numFmtId="44" fontId="0" fillId="0" borderId="0" xfId="0" applyNumberFormat="1" applyFill="1"/>
    <xf numFmtId="165" fontId="11" fillId="0" borderId="0" xfId="1" applyNumberFormat="1" applyFont="1" applyFill="1" applyAlignment="1">
      <alignment horizontal="center"/>
    </xf>
    <xf numFmtId="171" fontId="10" fillId="0" borderId="0" xfId="0" applyNumberFormat="1" applyFont="1" applyBorder="1"/>
    <xf numFmtId="44" fontId="12" fillId="0" borderId="0" xfId="3" applyFont="1" applyFill="1" applyBorder="1" applyAlignment="1">
      <alignment horizontal="right"/>
    </xf>
    <xf numFmtId="0" fontId="13" fillId="0" borderId="0" xfId="0" applyFont="1" applyFill="1" applyBorder="1" applyAlignment="1">
      <alignment horizontal="left"/>
    </xf>
    <xf numFmtId="168" fontId="12" fillId="0" borderId="0" xfId="5" applyNumberFormat="1" applyFont="1" applyFill="1" applyBorder="1"/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37" fontId="12" fillId="0" borderId="0" xfId="0" applyNumberFormat="1" applyFont="1" applyAlignment="1">
      <alignment horizontal="center"/>
    </xf>
    <xf numFmtId="37" fontId="12" fillId="0" borderId="0" xfId="0" applyNumberFormat="1" applyFont="1" applyBorder="1" applyAlignment="1">
      <alignment horizontal="center"/>
    </xf>
    <xf numFmtId="37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0" fontId="12" fillId="0" borderId="0" xfId="5" applyNumberFormat="1" applyFont="1" applyAlignment="1">
      <alignment horizontal="right"/>
    </xf>
    <xf numFmtId="0" fontId="17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3" fillId="0" borderId="4" xfId="4" applyFont="1" applyFill="1" applyBorder="1" applyAlignment="1">
      <alignment horizontal="left"/>
    </xf>
    <xf numFmtId="0" fontId="13" fillId="0" borderId="5" xfId="4" applyFont="1" applyFill="1" applyBorder="1"/>
    <xf numFmtId="0" fontId="13" fillId="0" borderId="5" xfId="4" applyFont="1" applyFill="1" applyBorder="1" applyAlignment="1">
      <alignment horizontal="left"/>
    </xf>
    <xf numFmtId="0" fontId="13" fillId="0" borderId="6" xfId="4" applyFont="1" applyFill="1" applyBorder="1" applyAlignment="1">
      <alignment horizontal="left"/>
    </xf>
    <xf numFmtId="0" fontId="35" fillId="0" borderId="0" xfId="7" applyFont="1"/>
    <xf numFmtId="0" fontId="36" fillId="0" borderId="0" xfId="7" applyFont="1"/>
    <xf numFmtId="0" fontId="35" fillId="0" borderId="0" xfId="7" applyFont="1" applyAlignment="1">
      <alignment horizontal="center"/>
    </xf>
    <xf numFmtId="0" fontId="13" fillId="0" borderId="0" xfId="4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5" fontId="17" fillId="0" borderId="0" xfId="1" applyNumberFormat="1" applyFont="1" applyAlignment="1">
      <alignment horizontal="center"/>
    </xf>
    <xf numFmtId="0" fontId="17" fillId="0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0" xfId="0" quotePrefix="1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3" fillId="0" borderId="0" xfId="0" applyFont="1" applyFill="1" applyBorder="1" applyAlignment="1">
      <alignment horizontal="center"/>
    </xf>
    <xf numFmtId="166" fontId="17" fillId="0" borderId="0" xfId="0" applyNumberFormat="1" applyFont="1" applyFill="1" applyAlignment="1">
      <alignment horizontal="center"/>
    </xf>
  </cellXfs>
  <cellStyles count="8">
    <cellStyle name="Comma" xfId="1" builtinId="3"/>
    <cellStyle name="Comma(0)" xfId="2"/>
    <cellStyle name="Currency" xfId="3" builtinId="4"/>
    <cellStyle name="Normal" xfId="0" builtinId="0"/>
    <cellStyle name="Normal 2" xfId="4"/>
    <cellStyle name="Normal 3" xfId="7"/>
    <cellStyle name="Percent" xfId="5" builtinId="5"/>
    <cellStyle name="Percent(4)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EXCEL\SWEPCO\dryrun\RVCAPAK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TEMP\Q7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EXCEL\CPL\CPL%20Rate%20Case\Sch&amp;WP\Q7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now.sp.aepsc.com/AEP%20Texas/Rate%20Cases/AEP%20Texas%202019/TCC/Schedules/Central%20H%20-1%20Schedules%20tye%2012-2018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now.sp.aepsc.com/AEP%20Texas/Rate%20Cases/AEP%20Texas%202019/TNC/Schedules/North%20H-1%20Schedules%20tye%2012-2018%20Fina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now.sp.aepsc.com/AEP%20Texas/Rate%20Cases/AEP%20Texas%202019/Business%20Objects%20queries/TCC%20Revs%20Riders%20TYE%2012-201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now.sp.aepsc.com/AEP%20Texas/Rate%20Cases/AEP%20Texas%202019/Combined/AEP-TX%20Weather%20Adj%20TYE%201218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%202019\TCC\Billing%20Determinants\TCC%20Revs%20Riders%20TYE%209-201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now.sp.aepsc.com/AEP%20Texas/Rate%20Cases/AEP%20Texas%202019/Combined/2018%20Base%20Revenue%20Calculation%2025.18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now.sp.aepsc.com/TCC/Rate%20Cases/2015/Business%20Objects%20Queries/TCC%20Revs%20Fuel%20Riders%20TYE%206-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-1.1"/>
      <sheetName val="Summary"/>
      <sheetName val="Fuel Adjustment"/>
      <sheetName val="Embed Fuel"/>
      <sheetName val="Base Revenue"/>
      <sheetName val="DECAP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RS"/>
      <sheetName val="SRS "/>
      <sheetName val="RSWH "/>
      <sheetName val="RSTOU"/>
      <sheetName val="GS"/>
      <sheetName val="LP"/>
      <sheetName val="IP"/>
      <sheetName val="PS"/>
      <sheetName val="Irr 28"/>
      <sheetName val="Irr 29"/>
      <sheetName val="CG"/>
      <sheetName val="CG-TOU"/>
      <sheetName val="Rec Lights"/>
      <sheetName val="MPS"/>
      <sheetName val="Security"/>
      <sheetName val="Flood"/>
      <sheetName val="Flood-Cust. Owned"/>
      <sheetName val="Street Lighting"/>
      <sheetName val="Sheet9"/>
      <sheetName val="Street"/>
      <sheetName val="Security-Adjustments"/>
      <sheetName val="Security-Adj. Revenue"/>
      <sheetName val="Security Lights"/>
      <sheetName val="Flood Lights"/>
      <sheetName val="Flood Lights-Cust. Own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(2)"/>
      <sheetName val="Summary"/>
      <sheetName val="ERS"/>
      <sheetName val="SRS "/>
      <sheetName val="RSWH "/>
      <sheetName val="RSTOU"/>
      <sheetName val="SH, WH, UMS"/>
      <sheetName val="GS"/>
      <sheetName val="LP"/>
      <sheetName val="PS"/>
      <sheetName val="IP"/>
      <sheetName val="CG "/>
      <sheetName val="Irr 28"/>
      <sheetName val="Irr 29"/>
      <sheetName val="Rec Lights"/>
      <sheetName val="MPS"/>
      <sheetName val="Security Lights"/>
      <sheetName val="Flood Lights"/>
      <sheetName val="Street Lighting"/>
      <sheetName val="Traffic Lighting"/>
      <sheetName val="Flood_CustOwn"/>
      <sheetName val="LI68"/>
      <sheetName val="Wholesale"/>
      <sheetName val="Robstown"/>
      <sheetName val="KWH"/>
      <sheetName val="KW"/>
      <sheetName val="Whol Prof"/>
      <sheetName val="BFCust"/>
      <sheetName val="Block kw"/>
      <sheetName val="Block kWh"/>
      <sheetName val="Whtr Adj"/>
      <sheetName val="Cust Ad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-H-1"/>
      <sheetName val="II-H-1.1"/>
      <sheetName val="II-H-1.2"/>
      <sheetName val="II-H-1.6 Dist"/>
      <sheetName val="II-H-1.6 Tran"/>
      <sheetName val="II-H-3.1"/>
      <sheetName val="II-H-1.9"/>
      <sheetName val="II-H-4.1 Monthly"/>
      <sheetName val="II-H-4.1 Functions"/>
      <sheetName val="Riders"/>
    </sheetNames>
    <sheetDataSet>
      <sheetData sheetId="0"/>
      <sheetData sheetId="1"/>
      <sheetData sheetId="2">
        <row r="8">
          <cell r="D8">
            <v>985630893</v>
          </cell>
          <cell r="E8">
            <v>726378217</v>
          </cell>
          <cell r="F8">
            <v>582363674</v>
          </cell>
          <cell r="G8">
            <v>633257142</v>
          </cell>
        </row>
        <row r="68">
          <cell r="D68">
            <v>10451954.869892783</v>
          </cell>
          <cell r="E68">
            <v>7784757.6088472474</v>
          </cell>
          <cell r="F68">
            <v>5734700.0946035311</v>
          </cell>
          <cell r="G68">
            <v>5205941.4267200874</v>
          </cell>
          <cell r="H68">
            <v>5044630.0258045169</v>
          </cell>
          <cell r="I68">
            <v>6941943.6997198677</v>
          </cell>
          <cell r="J68">
            <v>7776605.6248642774</v>
          </cell>
          <cell r="K68">
            <v>1089286.468850011</v>
          </cell>
          <cell r="L68">
            <v>1506789.4218419942</v>
          </cell>
          <cell r="M68">
            <v>809189.46556780254</v>
          </cell>
          <cell r="N68">
            <v>248048.22696897935</v>
          </cell>
          <cell r="O68">
            <v>0</v>
          </cell>
        </row>
        <row r="70">
          <cell r="D70">
            <v>-708937.82503190322</v>
          </cell>
          <cell r="E70">
            <v>94501.190045301963</v>
          </cell>
          <cell r="F70">
            <v>199777.01630318974</v>
          </cell>
          <cell r="G70">
            <v>103553.67265601168</v>
          </cell>
          <cell r="H70">
            <v>15828.094072837499</v>
          </cell>
          <cell r="I70">
            <v>-107885.32166592215</v>
          </cell>
          <cell r="J70">
            <v>-142365.68238806122</v>
          </cell>
          <cell r="K70">
            <v>-325259.80089698371</v>
          </cell>
          <cell r="L70">
            <v>-68305.928380750251</v>
          </cell>
          <cell r="M70">
            <v>-102937.51840419836</v>
          </cell>
          <cell r="N70">
            <v>-38375.275264444346</v>
          </cell>
          <cell r="O70">
            <v>0</v>
          </cell>
        </row>
        <row r="72">
          <cell r="D72">
            <v>19677763.582108486</v>
          </cell>
          <cell r="E72">
            <v>8369067.3812376335</v>
          </cell>
          <cell r="F72">
            <v>2897558.1727911592</v>
          </cell>
          <cell r="G72">
            <v>2699827.4615377747</v>
          </cell>
          <cell r="H72">
            <v>4094958.1860827939</v>
          </cell>
          <cell r="I72">
            <v>4080303.6191995582</v>
          </cell>
          <cell r="J72">
            <v>3524473.5091874814</v>
          </cell>
          <cell r="K72">
            <v>707219.10442294728</v>
          </cell>
          <cell r="L72">
            <v>2978419.7237165943</v>
          </cell>
          <cell r="M72">
            <v>2855437.6313972697</v>
          </cell>
          <cell r="N72">
            <v>983908.34338881006</v>
          </cell>
          <cell r="O72">
            <v>0</v>
          </cell>
        </row>
        <row r="73">
          <cell r="D73">
            <v>-3524431.1471810192</v>
          </cell>
          <cell r="E73">
            <v>-3482365.776842162</v>
          </cell>
          <cell r="F73">
            <v>-3531945.4830152504</v>
          </cell>
          <cell r="G73">
            <v>-3660954.87274457</v>
          </cell>
          <cell r="H73">
            <v>-3571165.2907997109</v>
          </cell>
          <cell r="I73">
            <v>-3078268.9816856924</v>
          </cell>
          <cell r="J73">
            <v>-2725196.1788411215</v>
          </cell>
          <cell r="K73">
            <v>-4031956.098424946</v>
          </cell>
          <cell r="L73">
            <v>264896.81834035262</v>
          </cell>
          <cell r="M73">
            <v>233294.89988394312</v>
          </cell>
          <cell r="N73">
            <v>0</v>
          </cell>
          <cell r="O73">
            <v>0</v>
          </cell>
        </row>
        <row r="76">
          <cell r="D76">
            <v>0</v>
          </cell>
          <cell r="E76">
            <v>350928.54958748806</v>
          </cell>
          <cell r="F76">
            <v>189995.74253394734</v>
          </cell>
          <cell r="G76">
            <v>363403.29420918645</v>
          </cell>
          <cell r="H76">
            <v>334707.79856957227</v>
          </cell>
          <cell r="I76">
            <v>251744.44303106959</v>
          </cell>
          <cell r="J76">
            <v>171081.57233239486</v>
          </cell>
          <cell r="K76">
            <v>0</v>
          </cell>
          <cell r="L76">
            <v>-237285.71037052275</v>
          </cell>
          <cell r="M76">
            <v>77622.213603410448</v>
          </cell>
          <cell r="N76">
            <v>-91938.91871109049</v>
          </cell>
          <cell r="O76">
            <v>0</v>
          </cell>
        </row>
        <row r="77">
          <cell r="D77">
            <v>-2264820.9142857143</v>
          </cell>
          <cell r="E77">
            <v>-990072.55747126439</v>
          </cell>
          <cell r="F77">
            <v>-530549.18731988466</v>
          </cell>
          <cell r="G77">
            <v>1602488.527696793</v>
          </cell>
          <cell r="H77">
            <v>-3491717.4374999995</v>
          </cell>
          <cell r="I77">
            <v>-3204367.7065527067</v>
          </cell>
          <cell r="J77">
            <v>-1273542.3620689656</v>
          </cell>
          <cell r="K77">
            <v>2610283.2046783622</v>
          </cell>
          <cell r="L77">
            <v>-660134.82132564834</v>
          </cell>
          <cell r="M77">
            <v>1758307.1895043734</v>
          </cell>
          <cell r="N77">
            <v>1756873.9504373178</v>
          </cell>
          <cell r="O77">
            <v>0</v>
          </cell>
        </row>
        <row r="80">
          <cell r="D80">
            <v>-16655831.903225806</v>
          </cell>
          <cell r="E80">
            <v>17676942.894736841</v>
          </cell>
          <cell r="F80">
            <v>50521552.454545453</v>
          </cell>
          <cell r="G80">
            <v>27521711.947368421</v>
          </cell>
          <cell r="H80">
            <v>16738329.931034483</v>
          </cell>
          <cell r="I80">
            <v>0</v>
          </cell>
          <cell r="J80">
            <v>31888818.181818184</v>
          </cell>
          <cell r="K80">
            <v>21040552.631578945</v>
          </cell>
          <cell r="L80">
            <v>0</v>
          </cell>
          <cell r="M80">
            <v>106430075.6097561</v>
          </cell>
          <cell r="N80">
            <v>-154926065.85365856</v>
          </cell>
          <cell r="O80">
            <v>185447500</v>
          </cell>
        </row>
        <row r="82">
          <cell r="D82">
            <v>93648.607518083998</v>
          </cell>
          <cell r="E82">
            <v>86624.580538134745</v>
          </cell>
          <cell r="F82">
            <v>3622.6296358101768</v>
          </cell>
          <cell r="G82">
            <v>-13322.318646445368</v>
          </cell>
          <cell r="H82">
            <v>-52256.624339534967</v>
          </cell>
          <cell r="I82">
            <v>22935.389598046106</v>
          </cell>
          <cell r="J82">
            <v>342069.56973855366</v>
          </cell>
          <cell r="K82">
            <v>-141595.64174221837</v>
          </cell>
          <cell r="L82">
            <v>-40900.883737751217</v>
          </cell>
          <cell r="M82">
            <v>-57780.299161524163</v>
          </cell>
          <cell r="N82">
            <v>-15002.150416482233</v>
          </cell>
          <cell r="O82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</sheetData>
      <sheetData sheetId="3">
        <row r="30">
          <cell r="P30">
            <v>51395149.300000004</v>
          </cell>
        </row>
        <row r="43">
          <cell r="D43">
            <v>-27280.466540855374</v>
          </cell>
          <cell r="E43">
            <v>-8420.2425885891662</v>
          </cell>
          <cell r="F43">
            <v>-45340.534630496149</v>
          </cell>
          <cell r="G43">
            <v>-22544.95326944537</v>
          </cell>
          <cell r="H43">
            <v>51014.068611443872</v>
          </cell>
          <cell r="I43">
            <v>-53804.518721308181</v>
          </cell>
          <cell r="J43">
            <v>22563.594554373773</v>
          </cell>
          <cell r="K43">
            <v>19006.217074272245</v>
          </cell>
          <cell r="L43">
            <v>-6601.0651543945205</v>
          </cell>
          <cell r="M43">
            <v>683.82446033345957</v>
          </cell>
          <cell r="N43">
            <v>55244.496009967814</v>
          </cell>
          <cell r="O43">
            <v>39089.735380342136</v>
          </cell>
        </row>
        <row r="44">
          <cell r="D44">
            <v>-2105.773158767634</v>
          </cell>
          <cell r="E44">
            <v>-638.17022859341284</v>
          </cell>
          <cell r="F44">
            <v>-3649.1625583180617</v>
          </cell>
          <cell r="G44">
            <v>-1805.1705746676876</v>
          </cell>
          <cell r="H44">
            <v>4098.3962734223469</v>
          </cell>
          <cell r="I44">
            <v>-4561.1103956019506</v>
          </cell>
          <cell r="J44">
            <v>1795.6623363064975</v>
          </cell>
          <cell r="K44">
            <v>1622.1980343476177</v>
          </cell>
          <cell r="L44">
            <v>-530.11431610859233</v>
          </cell>
          <cell r="M44">
            <v>54.231834340943436</v>
          </cell>
          <cell r="N44">
            <v>4375.7663963373789</v>
          </cell>
          <cell r="O44">
            <v>2948.6163218555721</v>
          </cell>
        </row>
        <row r="47">
          <cell r="D47">
            <v>-4660.3066001030793</v>
          </cell>
          <cell r="E47">
            <v>-1414.7513462172938</v>
          </cell>
          <cell r="F47">
            <v>-8270.8033126463615</v>
          </cell>
          <cell r="G47">
            <v>-4057.9738178531766</v>
          </cell>
          <cell r="H47">
            <v>9741.8517296272494</v>
          </cell>
          <cell r="I47">
            <v>-9904.878008365502</v>
          </cell>
          <cell r="J47">
            <v>4214.4109363115349</v>
          </cell>
          <cell r="K47">
            <v>3415.6530061332728</v>
          </cell>
          <cell r="L47">
            <v>-1165.371881196304</v>
          </cell>
          <cell r="M47">
            <v>123.07086909642946</v>
          </cell>
          <cell r="N47">
            <v>10451.186082477372</v>
          </cell>
          <cell r="O47">
            <v>6646.9866130065066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73">
          <cell r="D73">
            <v>90369.51155422625</v>
          </cell>
          <cell r="E73">
            <v>42426.171466298169</v>
          </cell>
          <cell r="F73">
            <v>13871.060618994252</v>
          </cell>
          <cell r="G73">
            <v>11788.941529080395</v>
          </cell>
          <cell r="H73">
            <v>17624.291416427575</v>
          </cell>
          <cell r="I73">
            <v>14671.424016508099</v>
          </cell>
          <cell r="J73">
            <v>12572.354196584274</v>
          </cell>
          <cell r="K73">
            <v>2495.3500762934532</v>
          </cell>
          <cell r="L73">
            <v>10316.333953619222</v>
          </cell>
          <cell r="M73">
            <v>11017.628092404444</v>
          </cell>
          <cell r="N73">
            <v>4489.5546559034347</v>
          </cell>
          <cell r="O73">
            <v>0</v>
          </cell>
        </row>
        <row r="74">
          <cell r="D74">
            <v>-10827.411297268653</v>
          </cell>
          <cell r="E74">
            <v>-11607.613909134743</v>
          </cell>
          <cell r="F74">
            <v>-11113.562168271146</v>
          </cell>
          <cell r="G74">
            <v>-10618.725491029178</v>
          </cell>
          <cell r="H74">
            <v>-10229.219791750073</v>
          </cell>
          <cell r="I74">
            <v>-8322.5754287677701</v>
          </cell>
          <cell r="J74">
            <v>-7290.7566178801935</v>
          </cell>
          <cell r="K74">
            <v>-11509.272243095897</v>
          </cell>
          <cell r="L74">
            <v>673.14526776216076</v>
          </cell>
          <cell r="M74">
            <v>646.0063494823155</v>
          </cell>
          <cell r="N74">
            <v>0</v>
          </cell>
          <cell r="O74">
            <v>0</v>
          </cell>
        </row>
        <row r="77">
          <cell r="D77">
            <v>0</v>
          </cell>
          <cell r="E77">
            <v>1207.7264596134812</v>
          </cell>
          <cell r="F77">
            <v>643.78211262086415</v>
          </cell>
          <cell r="G77">
            <v>1134.7297854644048</v>
          </cell>
          <cell r="H77">
            <v>1085.2861728639059</v>
          </cell>
          <cell r="I77">
            <v>699.59647508187129</v>
          </cell>
          <cell r="J77">
            <v>486.5550091795248</v>
          </cell>
          <cell r="K77">
            <v>0</v>
          </cell>
          <cell r="L77">
            <v>-651.01188687278034</v>
          </cell>
          <cell r="M77">
            <v>225.72376033705578</v>
          </cell>
          <cell r="N77">
            <v>-310.55114049505977</v>
          </cell>
          <cell r="O77">
            <v>0</v>
          </cell>
        </row>
        <row r="78">
          <cell r="D78">
            <v>-5930.56</v>
          </cell>
          <cell r="E78">
            <v>-2813.9959770114942</v>
          </cell>
          <cell r="F78">
            <v>-1418.4538904899134</v>
          </cell>
          <cell r="G78">
            <v>4249.7956268221578</v>
          </cell>
          <cell r="H78">
            <v>-9219</v>
          </cell>
          <cell r="I78">
            <v>-7693.1025641025653</v>
          </cell>
          <cell r="J78">
            <v>-3042.5431034482758</v>
          </cell>
          <cell r="K78">
            <v>6120.2070175438594</v>
          </cell>
          <cell r="L78">
            <v>-1530.4593659942364</v>
          </cell>
          <cell r="M78">
            <v>4436.6510204081633</v>
          </cell>
          <cell r="N78">
            <v>4612.0688046647228</v>
          </cell>
          <cell r="O78">
            <v>0</v>
          </cell>
        </row>
        <row r="81">
          <cell r="D81">
            <v>-45880.487096774195</v>
          </cell>
          <cell r="E81">
            <v>61365.821052631582</v>
          </cell>
          <cell r="F81">
            <v>121781.87272727274</v>
          </cell>
          <cell r="G81">
            <v>69268.663157894742</v>
          </cell>
          <cell r="H81">
            <v>45666.262068965523</v>
          </cell>
          <cell r="I81">
            <v>0</v>
          </cell>
          <cell r="J81">
            <v>110393.16363636365</v>
          </cell>
          <cell r="K81">
            <v>64183.426315789475</v>
          </cell>
          <cell r="L81">
            <v>0</v>
          </cell>
          <cell r="M81">
            <v>338903.13902439026</v>
          </cell>
          <cell r="N81">
            <v>-501860.37804878049</v>
          </cell>
          <cell r="O81">
            <v>522678.69230769225</v>
          </cell>
        </row>
      </sheetData>
      <sheetData sheetId="4">
        <row r="12">
          <cell r="D12">
            <v>2095527</v>
          </cell>
          <cell r="E12">
            <v>2048245.9</v>
          </cell>
          <cell r="F12">
            <v>1899538.2</v>
          </cell>
          <cell r="G12">
            <v>1833302.9</v>
          </cell>
          <cell r="H12">
            <v>1882296.5</v>
          </cell>
          <cell r="I12">
            <v>2006480.2</v>
          </cell>
          <cell r="J12">
            <v>1974682.8</v>
          </cell>
          <cell r="K12">
            <v>2005189.4</v>
          </cell>
          <cell r="L12">
            <v>2029783.5</v>
          </cell>
          <cell r="M12">
            <v>1951140.7</v>
          </cell>
          <cell r="N12">
            <v>1938677.2</v>
          </cell>
          <cell r="O12">
            <v>1945119.3</v>
          </cell>
        </row>
        <row r="13">
          <cell r="D13">
            <v>130916</v>
          </cell>
          <cell r="E13">
            <v>127449.7</v>
          </cell>
          <cell r="F13">
            <v>130492.4</v>
          </cell>
          <cell r="G13">
            <v>127219.1</v>
          </cell>
          <cell r="H13">
            <v>127852.4</v>
          </cell>
          <cell r="I13">
            <v>130394.8</v>
          </cell>
          <cell r="J13">
            <v>128245.7</v>
          </cell>
          <cell r="K13">
            <v>127587.4</v>
          </cell>
          <cell r="L13">
            <v>128643.4</v>
          </cell>
          <cell r="M13">
            <v>126725.3</v>
          </cell>
          <cell r="N13">
            <v>128758.8</v>
          </cell>
          <cell r="O13">
            <v>125428.8</v>
          </cell>
        </row>
        <row r="16">
          <cell r="D16">
            <v>35430.800000000003</v>
          </cell>
          <cell r="E16">
            <v>34124.300000000003</v>
          </cell>
          <cell r="F16">
            <v>32044.1</v>
          </cell>
          <cell r="G16">
            <v>34159.4</v>
          </cell>
          <cell r="H16">
            <v>38268.400000000001</v>
          </cell>
          <cell r="I16">
            <v>39901.9</v>
          </cell>
          <cell r="J16">
            <v>39960.699999999997</v>
          </cell>
          <cell r="K16">
            <v>40098.6</v>
          </cell>
          <cell r="L16">
            <v>40605.1</v>
          </cell>
          <cell r="M16">
            <v>39661.199999999997</v>
          </cell>
          <cell r="N16">
            <v>47360.9</v>
          </cell>
          <cell r="O16">
            <v>37367.199999999997</v>
          </cell>
        </row>
        <row r="17">
          <cell r="D17">
            <v>386092.5</v>
          </cell>
          <cell r="E17">
            <v>363737.3</v>
          </cell>
          <cell r="F17">
            <v>359702.2</v>
          </cell>
          <cell r="G17">
            <v>343456.5</v>
          </cell>
          <cell r="H17">
            <v>384098.6</v>
          </cell>
          <cell r="I17">
            <v>369561.7</v>
          </cell>
          <cell r="J17">
            <v>363096.6</v>
          </cell>
          <cell r="K17">
            <v>360957</v>
          </cell>
          <cell r="L17">
            <v>363662.5</v>
          </cell>
          <cell r="M17">
            <v>346279.6</v>
          </cell>
          <cell r="N17">
            <v>377021.8</v>
          </cell>
          <cell r="O17">
            <v>346430.2</v>
          </cell>
        </row>
        <row r="20">
          <cell r="D20">
            <v>648075</v>
          </cell>
          <cell r="E20">
            <v>450307.6</v>
          </cell>
          <cell r="F20">
            <v>544433.6</v>
          </cell>
          <cell r="G20">
            <v>473525.4</v>
          </cell>
          <cell r="H20">
            <v>504286</v>
          </cell>
          <cell r="I20">
            <v>571539.6</v>
          </cell>
          <cell r="J20">
            <v>419161.1</v>
          </cell>
          <cell r="K20">
            <v>431314.9</v>
          </cell>
          <cell r="L20">
            <v>587819.4</v>
          </cell>
          <cell r="M20">
            <v>376067.7</v>
          </cell>
          <cell r="N20">
            <v>644971</v>
          </cell>
          <cell r="O20">
            <v>337355</v>
          </cell>
        </row>
        <row r="43">
          <cell r="D43">
            <v>-24868.337695548016</v>
          </cell>
          <cell r="E43">
            <v>-7566.2725531781316</v>
          </cell>
          <cell r="F43">
            <v>-39184.298677869068</v>
          </cell>
          <cell r="G43">
            <v>-18832.006168711167</v>
          </cell>
          <cell r="H43">
            <v>43032.7025504415</v>
          </cell>
          <cell r="I43">
            <v>-46926.434156579227</v>
          </cell>
          <cell r="J43">
            <v>19485.014402423167</v>
          </cell>
          <cell r="K43">
            <v>16536.951486873695</v>
          </cell>
          <cell r="L43">
            <v>-5825.8228765063359</v>
          </cell>
          <cell r="M43">
            <v>594.90716273565761</v>
          </cell>
          <cell r="N43">
            <v>48392.4603886857</v>
          </cell>
          <cell r="O43">
            <v>34190.555626867113</v>
          </cell>
        </row>
        <row r="44">
          <cell r="D44">
            <v>-1544.9598927874829</v>
          </cell>
          <cell r="E44">
            <v>-466.77576911007651</v>
          </cell>
          <cell r="F44">
            <v>-2691.5486530050853</v>
          </cell>
          <cell r="G44">
            <v>-1314.2605264644067</v>
          </cell>
          <cell r="H44">
            <v>2928.1221414383358</v>
          </cell>
          <cell r="I44">
            <v>-3114.0637877195559</v>
          </cell>
          <cell r="J44">
            <v>1241.2953017278512</v>
          </cell>
          <cell r="K44">
            <v>1012.914345233781</v>
          </cell>
          <cell r="L44">
            <v>-315.81356756049729</v>
          </cell>
          <cell r="M44">
            <v>33.254069944163334</v>
          </cell>
          <cell r="N44">
            <v>2877.8875253363567</v>
          </cell>
          <cell r="O44">
            <v>2079.1179798877592</v>
          </cell>
        </row>
        <row r="47">
          <cell r="D47">
            <v>-3836.1175446687671</v>
          </cell>
          <cell r="E47">
            <v>-1158.5009554001772</v>
          </cell>
          <cell r="F47">
            <v>-6498.7432734889398</v>
          </cell>
          <cell r="G47">
            <v>-3309.7024478974126</v>
          </cell>
          <cell r="H47">
            <v>8272.5896254544532</v>
          </cell>
          <cell r="I47">
            <v>-8737.2127867446179</v>
          </cell>
          <cell r="J47">
            <v>3708.3293573962405</v>
          </cell>
          <cell r="K47">
            <v>2995.3287253662761</v>
          </cell>
          <cell r="L47">
            <v>-1017.215295472924</v>
          </cell>
          <cell r="M47">
            <v>105.76612402102062</v>
          </cell>
          <cell r="N47">
            <v>9194.7039623279179</v>
          </cell>
          <cell r="O47">
            <v>5515.9847690496508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73">
          <cell r="D73">
            <v>82379.072489343191</v>
          </cell>
          <cell r="E73">
            <v>38123.364419084595</v>
          </cell>
          <cell r="F73">
            <v>11987.679163975274</v>
          </cell>
          <cell r="G73">
            <v>9847.4109458058301</v>
          </cell>
          <cell r="H73">
            <v>14866.896737095229</v>
          </cell>
          <cell r="I73">
            <v>12795.906913693198</v>
          </cell>
          <cell r="J73">
            <v>10856.980345151784</v>
          </cell>
          <cell r="K73">
            <v>2171.1571004989951</v>
          </cell>
          <cell r="L73">
            <v>9104.763086403238</v>
          </cell>
          <cell r="M73">
            <v>9585.0123075924912</v>
          </cell>
          <cell r="N73">
            <v>3932.7102524285124</v>
          </cell>
          <cell r="O73">
            <v>0</v>
          </cell>
        </row>
        <row r="74">
          <cell r="D74">
            <v>-7943.8357960569092</v>
          </cell>
          <cell r="E74">
            <v>-8490.1373759025228</v>
          </cell>
          <cell r="F74">
            <v>-8197.1391534515678</v>
          </cell>
          <cell r="G74">
            <v>-7730.9989150416595</v>
          </cell>
          <cell r="H74">
            <v>-7308.3232961392014</v>
          </cell>
          <cell r="I74">
            <v>-5682.1757237625197</v>
          </cell>
          <cell r="J74">
            <v>-5039.9129907858141</v>
          </cell>
          <cell r="K74">
            <v>-7186.4881545865928</v>
          </cell>
          <cell r="L74">
            <v>401.02370760137342</v>
          </cell>
          <cell r="M74">
            <v>396.12048146857552</v>
          </cell>
          <cell r="N74">
            <v>0</v>
          </cell>
          <cell r="O74">
            <v>0</v>
          </cell>
        </row>
        <row r="77">
          <cell r="D77">
            <v>0</v>
          </cell>
          <cell r="E77">
            <v>988.97397133799484</v>
          </cell>
          <cell r="F77">
            <v>505.84864804972392</v>
          </cell>
          <cell r="G77">
            <v>925.49092656307766</v>
          </cell>
          <cell r="H77">
            <v>921.60375495949427</v>
          </cell>
          <cell r="I77">
            <v>617.12251907436405</v>
          </cell>
          <cell r="J77">
            <v>428.12773879800238</v>
          </cell>
          <cell r="K77">
            <v>0</v>
          </cell>
          <cell r="L77">
            <v>-568.24714886880963</v>
          </cell>
          <cell r="M77">
            <v>193.98520060498058</v>
          </cell>
          <cell r="N77">
            <v>-273.21547807887885</v>
          </cell>
          <cell r="O77">
            <v>0</v>
          </cell>
        </row>
        <row r="78">
          <cell r="D78">
            <v>-4412.4857142857145</v>
          </cell>
          <cell r="E78">
            <v>-2090.4442528735631</v>
          </cell>
          <cell r="F78">
            <v>-1036.6057636887608</v>
          </cell>
          <cell r="G78">
            <v>3003.9927113702624</v>
          </cell>
          <cell r="H78">
            <v>-6547.1352272727263</v>
          </cell>
          <cell r="I78">
            <v>-5264.4116809116813</v>
          </cell>
          <cell r="J78">
            <v>-2086.7620689655173</v>
          </cell>
          <cell r="K78">
            <v>4221.7192982456136</v>
          </cell>
          <cell r="L78">
            <v>-1048.0187319884726</v>
          </cell>
          <cell r="M78">
            <v>3028.6845481049563</v>
          </cell>
          <cell r="N78">
            <v>3297.5667638483965</v>
          </cell>
          <cell r="O78">
            <v>0</v>
          </cell>
        </row>
        <row r="81">
          <cell r="D81">
            <v>-20905.645161290322</v>
          </cell>
          <cell r="E81">
            <v>23700.399999999998</v>
          </cell>
          <cell r="F81">
            <v>49493.963636363638</v>
          </cell>
          <cell r="G81">
            <v>24922.389473684212</v>
          </cell>
          <cell r="H81">
            <v>17389.172413793101</v>
          </cell>
          <cell r="I81">
            <v>0</v>
          </cell>
          <cell r="J81">
            <v>38105.554545454543</v>
          </cell>
          <cell r="K81">
            <v>22700.784210526315</v>
          </cell>
          <cell r="L81">
            <v>0</v>
          </cell>
          <cell r="M81">
            <v>174275.27560975612</v>
          </cell>
          <cell r="N81">
            <v>-173041</v>
          </cell>
          <cell r="O81">
            <v>181652.69230769231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</sheetData>
      <sheetData sheetId="5">
        <row r="8">
          <cell r="L8">
            <v>724302</v>
          </cell>
          <cell r="M8">
            <v>724627</v>
          </cell>
          <cell r="N8">
            <v>725033</v>
          </cell>
          <cell r="O8">
            <v>725305</v>
          </cell>
        </row>
        <row r="10">
          <cell r="L10">
            <v>63165</v>
          </cell>
          <cell r="M10">
            <v>63235</v>
          </cell>
          <cell r="N10">
            <v>63134</v>
          </cell>
          <cell r="O10">
            <v>63062</v>
          </cell>
        </row>
        <row r="12">
          <cell r="L12">
            <v>58464</v>
          </cell>
          <cell r="M12">
            <v>58440</v>
          </cell>
          <cell r="N12">
            <v>58611</v>
          </cell>
          <cell r="O12">
            <v>58727</v>
          </cell>
        </row>
        <row r="13">
          <cell r="L13">
            <v>320</v>
          </cell>
          <cell r="M13">
            <v>320</v>
          </cell>
          <cell r="N13">
            <v>321</v>
          </cell>
          <cell r="O13">
            <v>321</v>
          </cell>
        </row>
        <row r="40">
          <cell r="D40">
            <v>8819</v>
          </cell>
          <cell r="E40">
            <v>8291</v>
          </cell>
          <cell r="F40">
            <v>7002</v>
          </cell>
          <cell r="G40">
            <v>5981</v>
          </cell>
          <cell r="H40">
            <v>4966</v>
          </cell>
          <cell r="I40">
            <v>4931</v>
          </cell>
          <cell r="J40">
            <v>5083</v>
          </cell>
          <cell r="K40">
            <v>698</v>
          </cell>
          <cell r="L40">
            <v>1003</v>
          </cell>
          <cell r="M40">
            <v>678</v>
          </cell>
          <cell r="N40">
            <v>272</v>
          </cell>
          <cell r="O40">
            <v>0</v>
          </cell>
        </row>
        <row r="42">
          <cell r="D42">
            <v>-1183</v>
          </cell>
          <cell r="E42">
            <v>184</v>
          </cell>
          <cell r="F42">
            <v>411</v>
          </cell>
          <cell r="G42">
            <v>199</v>
          </cell>
          <cell r="H42">
            <v>29</v>
          </cell>
          <cell r="I42">
            <v>-171</v>
          </cell>
          <cell r="J42">
            <v>-216</v>
          </cell>
          <cell r="K42">
            <v>-492</v>
          </cell>
          <cell r="L42">
            <v>-103</v>
          </cell>
          <cell r="M42">
            <v>-173</v>
          </cell>
          <cell r="N42">
            <v>-72</v>
          </cell>
          <cell r="O42">
            <v>0</v>
          </cell>
        </row>
        <row r="44">
          <cell r="D44">
            <v>2247</v>
          </cell>
          <cell r="E44">
            <v>1077</v>
          </cell>
          <cell r="F44">
            <v>376</v>
          </cell>
          <cell r="G44">
            <v>317</v>
          </cell>
          <cell r="H44">
            <v>450</v>
          </cell>
          <cell r="I44">
            <v>381</v>
          </cell>
          <cell r="J44">
            <v>318</v>
          </cell>
          <cell r="K44">
            <v>63</v>
          </cell>
          <cell r="L44">
            <v>263</v>
          </cell>
          <cell r="M44">
            <v>287</v>
          </cell>
          <cell r="N44">
            <v>116</v>
          </cell>
          <cell r="O44">
            <v>0</v>
          </cell>
        </row>
        <row r="45">
          <cell r="D45">
            <v>-21</v>
          </cell>
          <cell r="E45">
            <v>-23</v>
          </cell>
          <cell r="F45">
            <v>-22</v>
          </cell>
          <cell r="G45">
            <v>-21</v>
          </cell>
          <cell r="H45">
            <v>-19</v>
          </cell>
          <cell r="I45">
            <v>-15</v>
          </cell>
          <cell r="J45">
            <v>-13</v>
          </cell>
          <cell r="K45">
            <v>-19</v>
          </cell>
          <cell r="L45">
            <v>1</v>
          </cell>
          <cell r="M45">
            <v>1</v>
          </cell>
          <cell r="N45">
            <v>0</v>
          </cell>
          <cell r="O45">
            <v>0</v>
          </cell>
        </row>
        <row r="48">
          <cell r="D48">
            <v>0</v>
          </cell>
          <cell r="E48">
            <v>6</v>
          </cell>
          <cell r="F48">
            <v>4</v>
          </cell>
          <cell r="G48">
            <v>6</v>
          </cell>
          <cell r="H48">
            <v>4</v>
          </cell>
          <cell r="I48">
            <v>4</v>
          </cell>
          <cell r="J48">
            <v>2</v>
          </cell>
          <cell r="K48">
            <v>0</v>
          </cell>
          <cell r="L48">
            <v>-3</v>
          </cell>
          <cell r="M48">
            <v>1</v>
          </cell>
          <cell r="N48">
            <v>-1</v>
          </cell>
          <cell r="O48">
            <v>0</v>
          </cell>
        </row>
        <row r="49">
          <cell r="D49">
            <v>-4</v>
          </cell>
          <cell r="E49">
            <v>-2</v>
          </cell>
          <cell r="F49">
            <v>-1</v>
          </cell>
          <cell r="G49">
            <v>3</v>
          </cell>
          <cell r="H49">
            <v>-6</v>
          </cell>
          <cell r="I49">
            <v>-5</v>
          </cell>
          <cell r="J49">
            <v>-2</v>
          </cell>
          <cell r="K49">
            <v>4</v>
          </cell>
          <cell r="L49">
            <v>-1</v>
          </cell>
          <cell r="M49">
            <v>3</v>
          </cell>
          <cell r="N49">
            <v>3</v>
          </cell>
          <cell r="O49">
            <v>0</v>
          </cell>
        </row>
        <row r="52">
          <cell r="D52">
            <v>-2</v>
          </cell>
          <cell r="E52">
            <v>3</v>
          </cell>
          <cell r="F52">
            <v>5</v>
          </cell>
          <cell r="G52">
            <v>3</v>
          </cell>
          <cell r="H52">
            <v>2</v>
          </cell>
          <cell r="I52">
            <v>0</v>
          </cell>
          <cell r="J52">
            <v>5</v>
          </cell>
          <cell r="K52">
            <v>3</v>
          </cell>
          <cell r="L52">
            <v>0</v>
          </cell>
          <cell r="M52">
            <v>19</v>
          </cell>
          <cell r="N52">
            <v>-22</v>
          </cell>
          <cell r="O52">
            <v>21</v>
          </cell>
        </row>
        <row r="54">
          <cell r="D54">
            <v>874</v>
          </cell>
          <cell r="E54">
            <v>812</v>
          </cell>
          <cell r="F54">
            <v>34</v>
          </cell>
          <cell r="G54">
            <v>-125</v>
          </cell>
          <cell r="H54">
            <v>-492</v>
          </cell>
          <cell r="I54">
            <v>215</v>
          </cell>
          <cell r="J54">
            <v>3151</v>
          </cell>
          <cell r="K54">
            <v>-1339</v>
          </cell>
          <cell r="L54">
            <v>-384</v>
          </cell>
          <cell r="M54">
            <v>-547</v>
          </cell>
          <cell r="N54">
            <v>-140</v>
          </cell>
          <cell r="O54">
            <v>0</v>
          </cell>
        </row>
      </sheetData>
      <sheetData sheetId="6"/>
      <sheetData sheetId="7">
        <row r="30">
          <cell r="P30">
            <v>997769886.76999998</v>
          </cell>
        </row>
        <row r="361">
          <cell r="D361">
            <v>201095.3747954643</v>
          </cell>
          <cell r="E361">
            <v>161388.13785885402</v>
          </cell>
          <cell r="F361">
            <v>124915.85416549191</v>
          </cell>
          <cell r="G361">
            <v>110868.04943489918</v>
          </cell>
          <cell r="H361">
            <v>101840.69647444921</v>
          </cell>
          <cell r="I361">
            <v>127319.08333177229</v>
          </cell>
          <cell r="J361">
            <v>139655.73404298513</v>
          </cell>
          <cell r="K361">
            <v>19467.616432023809</v>
          </cell>
          <cell r="L361">
            <v>27181.732773303131</v>
          </cell>
          <cell r="M361">
            <v>15536.662538602486</v>
          </cell>
          <cell r="N361">
            <v>5195.0769186761318</v>
          </cell>
          <cell r="O361">
            <v>0</v>
          </cell>
        </row>
        <row r="363">
          <cell r="D363">
            <v>-18917.641722881432</v>
          </cell>
          <cell r="E363">
            <v>2702.7042339217819</v>
          </cell>
          <cell r="F363">
            <v>5865.0646846453292</v>
          </cell>
          <cell r="G363">
            <v>2943.5370434841143</v>
          </cell>
          <cell r="H363">
            <v>440.16835591998239</v>
          </cell>
          <cell r="I363">
            <v>-2816.7548914259105</v>
          </cell>
          <cell r="J363">
            <v>-3650.5899686959046</v>
          </cell>
          <cell r="K363">
            <v>-8330.1691940143446</v>
          </cell>
          <cell r="L363">
            <v>-1747.1547629760601</v>
          </cell>
          <cell r="M363">
            <v>-2755.2891115644752</v>
          </cell>
          <cell r="N363">
            <v>-1078.8128691747756</v>
          </cell>
        </row>
        <row r="365">
          <cell r="D365">
            <v>335145.47100653651</v>
          </cell>
          <cell r="E365">
            <v>157763.49230361014</v>
          </cell>
          <cell r="F365">
            <v>52035.497476904864</v>
          </cell>
          <cell r="G365">
            <v>44175.868575709086</v>
          </cell>
          <cell r="H365">
            <v>65586.294660038518</v>
          </cell>
          <cell r="I365">
            <v>54719.578566891323</v>
          </cell>
          <cell r="J365">
            <v>46728.843468106956</v>
          </cell>
          <cell r="K365">
            <v>9272.4816444141197</v>
          </cell>
          <cell r="L365">
            <v>38383.020916958514</v>
          </cell>
          <cell r="M365">
            <v>41108.997975442107</v>
          </cell>
          <cell r="N365">
            <v>16733.335930204536</v>
          </cell>
        </row>
        <row r="366">
          <cell r="D366">
            <v>-35912.871017674872</v>
          </cell>
          <cell r="E366">
            <v>-38521.289422117035</v>
          </cell>
          <cell r="F366">
            <v>-36880.826816214169</v>
          </cell>
          <cell r="G366">
            <v>-35237.825139367735</v>
          </cell>
          <cell r="H366">
            <v>-33893.212574248042</v>
          </cell>
          <cell r="I366">
            <v>-27556.379594703245</v>
          </cell>
          <cell r="J366">
            <v>-24134.04633363758</v>
          </cell>
          <cell r="K366">
            <v>-38033.858969271001</v>
          </cell>
          <cell r="L366">
            <v>2219.7849342534223</v>
          </cell>
          <cell r="M366">
            <v>2131.9973877180305</v>
          </cell>
          <cell r="N366">
            <v>0</v>
          </cell>
        </row>
        <row r="369">
          <cell r="D369">
            <v>0</v>
          </cell>
          <cell r="E369">
            <v>4377.3549822637297</v>
          </cell>
          <cell r="F369">
            <v>2460.3643844680464</v>
          </cell>
          <cell r="G369">
            <v>4170.232289395828</v>
          </cell>
          <cell r="H369">
            <v>3713.0996759814361</v>
          </cell>
          <cell r="I369">
            <v>2618.7335319448184</v>
          </cell>
          <cell r="J369">
            <v>1697.4040449292297</v>
          </cell>
          <cell r="K369">
            <v>0</v>
          </cell>
          <cell r="L369">
            <v>-2322.458337046568</v>
          </cell>
          <cell r="M369">
            <v>798.89456449591421</v>
          </cell>
          <cell r="N369">
            <v>-1039.5860153334359</v>
          </cell>
          <cell r="O369">
            <v>0</v>
          </cell>
        </row>
        <row r="370">
          <cell r="D370">
            <v>-17597.633795487043</v>
          </cell>
          <cell r="E370">
            <v>-8368.590616119287</v>
          </cell>
          <cell r="F370">
            <v>-4216.8739638617435</v>
          </cell>
          <cell r="G370">
            <v>12634.79299805914</v>
          </cell>
          <cell r="H370">
            <v>-27315.46330555547</v>
          </cell>
          <cell r="I370">
            <v>-22793.037994551705</v>
          </cell>
          <cell r="J370">
            <v>-9018.5401510432148</v>
          </cell>
          <cell r="K370">
            <v>18136.957972404387</v>
          </cell>
          <cell r="L370">
            <v>-4535.398671863727</v>
          </cell>
          <cell r="M370">
            <v>13166.178266614879</v>
          </cell>
          <cell r="N370">
            <v>13665.036900597637</v>
          </cell>
          <cell r="O370">
            <v>0</v>
          </cell>
        </row>
        <row r="373">
          <cell r="D373">
            <v>-11085.723798130202</v>
          </cell>
          <cell r="E373">
            <v>15447.358421608587</v>
          </cell>
          <cell r="F373">
            <v>28836.236286507599</v>
          </cell>
          <cell r="G373">
            <v>16699.560414607444</v>
          </cell>
          <cell r="H373">
            <v>11051.779932973945</v>
          </cell>
          <cell r="I373">
            <v>0</v>
          </cell>
          <cell r="J373">
            <v>27031.700142248432</v>
          </cell>
          <cell r="K373">
            <v>15893.806785249897</v>
          </cell>
          <cell r="L373">
            <v>0</v>
          </cell>
          <cell r="M373">
            <v>89950.869207735435</v>
          </cell>
          <cell r="N373">
            <v>-121495.34488936047</v>
          </cell>
          <cell r="O373">
            <v>122886.00798892378</v>
          </cell>
        </row>
        <row r="375">
          <cell r="D375">
            <v>1450.5232818476029</v>
          </cell>
          <cell r="E375">
            <v>1341.7281279551689</v>
          </cell>
          <cell r="F375">
            <v>56.110910429063829</v>
          </cell>
          <cell r="G375">
            <v>-206.3493935147923</v>
          </cell>
          <cell r="H375">
            <v>-809.40285439505703</v>
          </cell>
          <cell r="I375">
            <v>355.24624948413611</v>
          </cell>
          <cell r="J375">
            <v>5298.3155656804574</v>
          </cell>
          <cell r="K375">
            <v>-2193.1748949452203</v>
          </cell>
          <cell r="L375">
            <v>-633.51378821402852</v>
          </cell>
          <cell r="M375">
            <v>-894.95905371284766</v>
          </cell>
          <cell r="N375">
            <v>-232.36830780089329</v>
          </cell>
          <cell r="O375">
            <v>0</v>
          </cell>
        </row>
        <row r="391">
          <cell r="D391">
            <v>-1849685.9887244841</v>
          </cell>
          <cell r="E391">
            <v>-720268.16626800736</v>
          </cell>
          <cell r="F391">
            <v>80407.939931990521</v>
          </cell>
          <cell r="G391">
            <v>-96877.203270700687</v>
          </cell>
          <cell r="H391">
            <v>424499.84855067247</v>
          </cell>
          <cell r="I391">
            <v>-525725.20569213666</v>
          </cell>
          <cell r="J391">
            <v>220414.03292390588</v>
          </cell>
          <cell r="K391">
            <v>187476.40074429891</v>
          </cell>
          <cell r="L391">
            <v>-66610.500902807791</v>
          </cell>
          <cell r="M391">
            <v>-11356.855957407144</v>
          </cell>
          <cell r="N391">
            <v>223850.42246290777</v>
          </cell>
          <cell r="O391">
            <v>567247.46891657182</v>
          </cell>
        </row>
        <row r="393">
          <cell r="D393">
            <v>-6943.3054704749784</v>
          </cell>
          <cell r="E393">
            <v>-1786.7087896863995</v>
          </cell>
          <cell r="F393">
            <v>-9552.5033343239902</v>
          </cell>
          <cell r="G393">
            <v>-5061.1146283947401</v>
          </cell>
          <cell r="H393">
            <v>11483.123980331387</v>
          </cell>
          <cell r="I393">
            <v>-14302.841074184556</v>
          </cell>
          <cell r="J393">
            <v>6103.64005647465</v>
          </cell>
          <cell r="K393">
            <v>5116.2660134353646</v>
          </cell>
          <cell r="L393">
            <v>-1793.2305479383303</v>
          </cell>
          <cell r="M393">
            <v>171.29487301602697</v>
          </cell>
          <cell r="N393">
            <v>12284.449442680976</v>
          </cell>
          <cell r="O393">
            <v>8837.9674164967819</v>
          </cell>
        </row>
        <row r="395">
          <cell r="D395">
            <v>-88237.158399570573</v>
          </cell>
          <cell r="E395">
            <v>-27234.808390811941</v>
          </cell>
          <cell r="F395">
            <v>-146651.44857844728</v>
          </cell>
          <cell r="G395">
            <v>-72920.402947206821</v>
          </cell>
          <cell r="H395">
            <v>165002.18007391141</v>
          </cell>
          <cell r="I395">
            <v>-174027.73643605993</v>
          </cell>
          <cell r="J395">
            <v>72980.697151066415</v>
          </cell>
          <cell r="K395">
            <v>61474.556677673267</v>
          </cell>
          <cell r="L395">
            <v>-21350.779714925367</v>
          </cell>
          <cell r="M395">
            <v>2211.7923508962253</v>
          </cell>
          <cell r="N395">
            <v>178685.26323901833</v>
          </cell>
          <cell r="O395">
            <v>126433.58453518584</v>
          </cell>
        </row>
        <row r="396">
          <cell r="D396">
            <v>-6811.6443427142622</v>
          </cell>
          <cell r="E396">
            <v>-2064.3195157027194</v>
          </cell>
          <cell r="F396">
            <v>-11804.119257821163</v>
          </cell>
          <cell r="G396">
            <v>-5839.2709021733026</v>
          </cell>
          <cell r="H396">
            <v>13257.276869459369</v>
          </cell>
          <cell r="I396">
            <v>-14754.040193426921</v>
          </cell>
          <cell r="J396">
            <v>5808.5141524386436</v>
          </cell>
          <cell r="K396">
            <v>5247.4009450727663</v>
          </cell>
          <cell r="L396">
            <v>-1714.7859289963487</v>
          </cell>
          <cell r="M396">
            <v>175.4262875112787</v>
          </cell>
          <cell r="N396">
            <v>14154.499165567391</v>
          </cell>
          <cell r="O396">
            <v>9538.0291101045241</v>
          </cell>
        </row>
      </sheetData>
      <sheetData sheetId="8">
        <row r="75">
          <cell r="D75">
            <v>152239.56</v>
          </cell>
          <cell r="E75">
            <v>169420.19999999998</v>
          </cell>
          <cell r="F75">
            <v>712804.25876652158</v>
          </cell>
        </row>
        <row r="77">
          <cell r="D77">
            <v>-5078.4000000000005</v>
          </cell>
          <cell r="E77">
            <v>-5840.16</v>
          </cell>
          <cell r="F77">
            <v>-16426.378202761691</v>
          </cell>
        </row>
        <row r="79">
          <cell r="D79">
            <v>19217.699999999997</v>
          </cell>
          <cell r="E79">
            <v>93199.95</v>
          </cell>
          <cell r="F79">
            <v>749235.23252481676</v>
          </cell>
        </row>
        <row r="80">
          <cell r="D80">
            <v>-4004.52</v>
          </cell>
          <cell r="E80">
            <v>-2387.31</v>
          </cell>
          <cell r="F80">
            <v>-259426.69754526223</v>
          </cell>
        </row>
        <row r="83">
          <cell r="D83">
            <v>87.399999999999991</v>
          </cell>
          <cell r="E83">
            <v>3556.26</v>
          </cell>
          <cell r="F83">
            <v>12830.379121099002</v>
          </cell>
        </row>
        <row r="84">
          <cell r="D84">
            <v>-227.28</v>
          </cell>
          <cell r="E84">
            <v>-1236.96</v>
          </cell>
          <cell r="F84">
            <v>-34778.33236080614</v>
          </cell>
        </row>
        <row r="87">
          <cell r="D87">
            <v>1437.0800000000002</v>
          </cell>
          <cell r="E87">
            <v>69158.55</v>
          </cell>
          <cell r="F87">
            <v>124620.62049236444</v>
          </cell>
        </row>
        <row r="89">
          <cell r="F89">
            <v>3532.1558428135891</v>
          </cell>
        </row>
      </sheetData>
      <sheetData sheetId="9">
        <row r="8">
          <cell r="D8">
            <v>1624445.51</v>
          </cell>
          <cell r="E8">
            <v>1621408.6</v>
          </cell>
          <cell r="F8">
            <v>1624437.25</v>
          </cell>
          <cell r="G8">
            <v>1627413.17</v>
          </cell>
          <cell r="H8">
            <v>1630024.24</v>
          </cell>
          <cell r="I8">
            <v>1631703.54</v>
          </cell>
          <cell r="J8">
            <v>1633883.51</v>
          </cell>
          <cell r="K8">
            <v>1631267.36</v>
          </cell>
          <cell r="L8">
            <v>1631786.94</v>
          </cell>
          <cell r="M8">
            <v>1631759</v>
          </cell>
          <cell r="N8">
            <v>1635018.62</v>
          </cell>
          <cell r="O8">
            <v>1633870.76</v>
          </cell>
        </row>
        <row r="10">
          <cell r="D10">
            <v>259200.52</v>
          </cell>
          <cell r="E10">
            <v>252583.67</v>
          </cell>
          <cell r="F10">
            <v>251484.81</v>
          </cell>
          <cell r="G10">
            <v>252691.8</v>
          </cell>
          <cell r="H10">
            <v>253329.85</v>
          </cell>
          <cell r="I10">
            <v>254215.71</v>
          </cell>
          <cell r="J10">
            <v>254691.7</v>
          </cell>
          <cell r="K10">
            <v>254839.29</v>
          </cell>
          <cell r="L10">
            <v>254288.39</v>
          </cell>
          <cell r="M10">
            <v>256011.35</v>
          </cell>
          <cell r="N10">
            <v>256024.5</v>
          </cell>
          <cell r="O10">
            <v>255702.66</v>
          </cell>
        </row>
        <row r="12">
          <cell r="D12">
            <v>116241.14</v>
          </cell>
          <cell r="E12">
            <v>118184.22</v>
          </cell>
          <cell r="F12">
            <v>119602.06</v>
          </cell>
          <cell r="G12">
            <v>119794.32</v>
          </cell>
          <cell r="H12">
            <v>119484.51</v>
          </cell>
          <cell r="I12">
            <v>119725.9</v>
          </cell>
          <cell r="J12">
            <v>119676.08</v>
          </cell>
          <cell r="K12">
            <v>119876.34</v>
          </cell>
          <cell r="L12">
            <v>119698.49</v>
          </cell>
          <cell r="M12">
            <v>119488.54</v>
          </cell>
          <cell r="N12">
            <v>119540.48</v>
          </cell>
          <cell r="O12">
            <v>119977.93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6">
          <cell r="D16">
            <v>-1439.6</v>
          </cell>
          <cell r="E16">
            <v>-1413.76</v>
          </cell>
          <cell r="F16">
            <v>-1424.11</v>
          </cell>
          <cell r="G16">
            <v>-1420.13</v>
          </cell>
          <cell r="H16">
            <v>-1430.27</v>
          </cell>
          <cell r="I16">
            <v>-1416.64</v>
          </cell>
          <cell r="J16">
            <v>-1451.87</v>
          </cell>
          <cell r="K16">
            <v>-1449.57</v>
          </cell>
          <cell r="L16">
            <v>-1468.34</v>
          </cell>
          <cell r="M16">
            <v>-1446.19</v>
          </cell>
          <cell r="N16">
            <v>-1459.58</v>
          </cell>
          <cell r="O16">
            <v>-1438.2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36">
          <cell r="D36">
            <v>524352.77</v>
          </cell>
          <cell r="E36">
            <v>386428.15999999997</v>
          </cell>
          <cell r="F36">
            <v>333195.40999999997</v>
          </cell>
          <cell r="G36">
            <v>363491.87</v>
          </cell>
          <cell r="H36">
            <v>402038.59</v>
          </cell>
          <cell r="I36">
            <v>604394.54</v>
          </cell>
          <cell r="J36">
            <v>623155.24</v>
          </cell>
          <cell r="K36">
            <v>641141.17000000004</v>
          </cell>
          <cell r="L36">
            <v>627397.57999999996</v>
          </cell>
          <cell r="M36">
            <v>496894.08</v>
          </cell>
          <cell r="N36">
            <v>370031.94</v>
          </cell>
          <cell r="O36">
            <v>401769.21</v>
          </cell>
        </row>
        <row r="38">
          <cell r="D38">
            <v>12825.18</v>
          </cell>
          <cell r="E38">
            <v>10670.25</v>
          </cell>
          <cell r="F38">
            <v>4144.49</v>
          </cell>
          <cell r="G38">
            <v>4085.29</v>
          </cell>
          <cell r="H38">
            <v>4162.71</v>
          </cell>
          <cell r="I38">
            <v>5049.3</v>
          </cell>
          <cell r="J38">
            <v>5116.04</v>
          </cell>
          <cell r="K38">
            <v>5137.37</v>
          </cell>
          <cell r="L38">
            <v>5199.72</v>
          </cell>
          <cell r="M38">
            <v>4653.99</v>
          </cell>
          <cell r="N38">
            <v>4056.88</v>
          </cell>
          <cell r="O38">
            <v>4084.01</v>
          </cell>
        </row>
        <row r="40">
          <cell r="D40">
            <v>212956.06</v>
          </cell>
          <cell r="E40">
            <v>191289.02</v>
          </cell>
          <cell r="F40">
            <v>179658.47</v>
          </cell>
          <cell r="G40">
            <v>195758</v>
          </cell>
          <cell r="H40">
            <v>201916.27</v>
          </cell>
          <cell r="I40">
            <v>249261.87</v>
          </cell>
          <cell r="J40">
            <v>249711.39</v>
          </cell>
          <cell r="K40">
            <v>254430.09</v>
          </cell>
          <cell r="L40">
            <v>258762</v>
          </cell>
          <cell r="M40">
            <v>226458.28</v>
          </cell>
          <cell r="N40">
            <v>188913.63</v>
          </cell>
          <cell r="O40">
            <v>183115.89</v>
          </cell>
        </row>
        <row r="41">
          <cell r="D41">
            <v>24743.599999999999</v>
          </cell>
          <cell r="E41">
            <v>22269.35</v>
          </cell>
          <cell r="F41">
            <v>22109.82</v>
          </cell>
          <cell r="G41">
            <v>23494.98</v>
          </cell>
          <cell r="H41">
            <v>24364.89</v>
          </cell>
          <cell r="I41">
            <v>27549.64</v>
          </cell>
          <cell r="J41">
            <v>27044.78</v>
          </cell>
          <cell r="K41">
            <v>27917.22</v>
          </cell>
          <cell r="L41">
            <v>33140.47</v>
          </cell>
          <cell r="M41">
            <v>29107.47</v>
          </cell>
          <cell r="N41">
            <v>24906.45</v>
          </cell>
          <cell r="O41">
            <v>22177.29</v>
          </cell>
        </row>
        <row r="44">
          <cell r="D44">
            <v>3892.54</v>
          </cell>
          <cell r="E44">
            <v>3559.92</v>
          </cell>
          <cell r="F44">
            <v>5732.6</v>
          </cell>
          <cell r="G44">
            <v>6867.47</v>
          </cell>
          <cell r="H44">
            <v>7115.88</v>
          </cell>
          <cell r="I44">
            <v>8333.94</v>
          </cell>
          <cell r="J44">
            <v>8175.85</v>
          </cell>
          <cell r="K44">
            <v>8577.08</v>
          </cell>
          <cell r="L44">
            <v>8681.34</v>
          </cell>
          <cell r="M44">
            <v>8125.5</v>
          </cell>
          <cell r="N44">
            <v>8159.85</v>
          </cell>
          <cell r="O44">
            <v>7186.76</v>
          </cell>
        </row>
        <row r="45">
          <cell r="D45">
            <v>56187.73</v>
          </cell>
          <cell r="E45">
            <v>48739.17</v>
          </cell>
          <cell r="F45">
            <v>88131.98</v>
          </cell>
          <cell r="G45">
            <v>90823.96</v>
          </cell>
          <cell r="H45">
            <v>102002.15</v>
          </cell>
          <cell r="I45">
            <v>112280.99</v>
          </cell>
          <cell r="J45">
            <v>110287.97</v>
          </cell>
          <cell r="K45">
            <v>75933.48</v>
          </cell>
          <cell r="L45">
            <v>109398.2</v>
          </cell>
          <cell r="M45">
            <v>95492.51</v>
          </cell>
          <cell r="N45">
            <v>95056.95</v>
          </cell>
          <cell r="O45">
            <v>85882.4</v>
          </cell>
        </row>
        <row r="48">
          <cell r="D48">
            <v>-58422.559999999998</v>
          </cell>
          <cell r="E48">
            <v>-47913.83</v>
          </cell>
          <cell r="F48">
            <v>-55599.360000000001</v>
          </cell>
          <cell r="G48">
            <v>-54661.78</v>
          </cell>
          <cell r="H48">
            <v>-54578.32</v>
          </cell>
          <cell r="I48">
            <v>-57784.88</v>
          </cell>
          <cell r="J48">
            <v>-50559.65</v>
          </cell>
          <cell r="K48">
            <v>-50774.5</v>
          </cell>
          <cell r="L48">
            <v>-57335.19</v>
          </cell>
          <cell r="M48">
            <v>-28726.65</v>
          </cell>
          <cell r="N48">
            <v>-77753.59</v>
          </cell>
          <cell r="O48">
            <v>-38885.99</v>
          </cell>
        </row>
        <row r="63">
          <cell r="L63">
            <v>-424788.24</v>
          </cell>
          <cell r="M63">
            <v>-4.3499999999999996</v>
          </cell>
          <cell r="N63">
            <v>-3.53</v>
          </cell>
          <cell r="O63">
            <v>0.7</v>
          </cell>
        </row>
        <row r="65">
          <cell r="L65">
            <v>-21784.95</v>
          </cell>
          <cell r="M65">
            <v>-8.61</v>
          </cell>
          <cell r="N65">
            <v>1.21</v>
          </cell>
          <cell r="O65">
            <v>29.24</v>
          </cell>
        </row>
        <row r="67">
          <cell r="L67">
            <v>-219565.26</v>
          </cell>
          <cell r="M67">
            <v>-9.69</v>
          </cell>
          <cell r="N67">
            <v>5.54</v>
          </cell>
          <cell r="O67">
            <v>0.52</v>
          </cell>
        </row>
        <row r="68">
          <cell r="L68">
            <v>-16726.04</v>
          </cell>
          <cell r="M68">
            <v>-406.69</v>
          </cell>
          <cell r="N68">
            <v>0</v>
          </cell>
          <cell r="O68">
            <v>0</v>
          </cell>
        </row>
        <row r="71">
          <cell r="L71">
            <v>-4392.53</v>
          </cell>
          <cell r="M71">
            <v>0</v>
          </cell>
          <cell r="N71">
            <v>-0.01</v>
          </cell>
          <cell r="O71">
            <v>0</v>
          </cell>
        </row>
        <row r="72">
          <cell r="L72">
            <v>-47065.22</v>
          </cell>
          <cell r="M72">
            <v>-428.16</v>
          </cell>
          <cell r="N72">
            <v>0</v>
          </cell>
          <cell r="O72">
            <v>0</v>
          </cell>
        </row>
        <row r="75">
          <cell r="L75">
            <v>-18614.09</v>
          </cell>
          <cell r="M75">
            <v>-3470.63</v>
          </cell>
          <cell r="N75">
            <v>0</v>
          </cell>
          <cell r="O75">
            <v>0</v>
          </cell>
        </row>
        <row r="77">
          <cell r="L77">
            <v>-24054.04</v>
          </cell>
          <cell r="M77">
            <v>0.55000000000000004</v>
          </cell>
          <cell r="N77">
            <v>0.36</v>
          </cell>
          <cell r="O77">
            <v>0.14000000000000001</v>
          </cell>
        </row>
        <row r="92">
          <cell r="N92">
            <v>70.039999999999992</v>
          </cell>
          <cell r="O92">
            <v>0</v>
          </cell>
        </row>
        <row r="94">
          <cell r="N94">
            <v>-68.510000000000005</v>
          </cell>
          <cell r="O94">
            <v>0</v>
          </cell>
        </row>
        <row r="96">
          <cell r="N96">
            <v>-51.78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104">
          <cell r="D104">
            <v>-140</v>
          </cell>
          <cell r="E104">
            <v>-140</v>
          </cell>
          <cell r="F104">
            <v>-140</v>
          </cell>
          <cell r="G104">
            <v>-140</v>
          </cell>
          <cell r="H104">
            <v>-140</v>
          </cell>
          <cell r="I104">
            <v>-140</v>
          </cell>
          <cell r="J104">
            <v>-140</v>
          </cell>
          <cell r="K104">
            <v>-140</v>
          </cell>
          <cell r="L104">
            <v>-140</v>
          </cell>
          <cell r="M104">
            <v>-140</v>
          </cell>
          <cell r="N104">
            <v>-140</v>
          </cell>
          <cell r="O104">
            <v>-140</v>
          </cell>
        </row>
        <row r="176">
          <cell r="D176">
            <v>3263390.25</v>
          </cell>
          <cell r="E176">
            <v>2405027.34</v>
          </cell>
          <cell r="F176">
            <v>1928192.57</v>
          </cell>
          <cell r="G176">
            <v>2096697.91</v>
          </cell>
          <cell r="H176">
            <v>2318887.1</v>
          </cell>
          <cell r="I176">
            <v>3486304.05</v>
          </cell>
          <cell r="J176">
            <v>3594485.39</v>
          </cell>
          <cell r="K176">
            <v>3698289.36</v>
          </cell>
          <cell r="L176">
            <v>2600544.66</v>
          </cell>
          <cell r="M176">
            <v>1868134.24</v>
          </cell>
          <cell r="N176">
            <v>1391172.33</v>
          </cell>
          <cell r="O176">
            <v>1510480.16</v>
          </cell>
        </row>
        <row r="178">
          <cell r="D178">
            <v>346322.6</v>
          </cell>
          <cell r="E178">
            <v>288134.03999999998</v>
          </cell>
          <cell r="F178">
            <v>276311.44</v>
          </cell>
          <cell r="G178">
            <v>293767.08</v>
          </cell>
          <cell r="H178">
            <v>299201.84000000003</v>
          </cell>
          <cell r="I178">
            <v>363021.91</v>
          </cell>
          <cell r="J178">
            <v>367205.37</v>
          </cell>
          <cell r="K178">
            <v>370524.02</v>
          </cell>
          <cell r="L178">
            <v>267133.59999999998</v>
          </cell>
          <cell r="M178">
            <v>218027.43</v>
          </cell>
          <cell r="N178">
            <v>190357.89</v>
          </cell>
          <cell r="O178">
            <v>191515.81</v>
          </cell>
        </row>
        <row r="180">
          <cell r="D180">
            <v>1605155.37</v>
          </cell>
          <cell r="E180">
            <v>1593934.67</v>
          </cell>
          <cell r="F180">
            <v>1546198.88</v>
          </cell>
          <cell r="G180">
            <v>1540846.61</v>
          </cell>
          <cell r="H180">
            <v>1555026.77</v>
          </cell>
          <cell r="I180">
            <v>1605177.77</v>
          </cell>
          <cell r="J180">
            <v>1602179.75</v>
          </cell>
          <cell r="K180">
            <v>1616844.74</v>
          </cell>
          <cell r="L180">
            <v>1150731.69</v>
          </cell>
          <cell r="M180">
            <v>1020482.44</v>
          </cell>
          <cell r="N180">
            <v>1009837.31</v>
          </cell>
          <cell r="O180">
            <v>1011473.13</v>
          </cell>
        </row>
        <row r="181">
          <cell r="D181">
            <v>125386.49</v>
          </cell>
          <cell r="E181">
            <v>123538.14</v>
          </cell>
          <cell r="F181">
            <v>124216.23</v>
          </cell>
          <cell r="G181">
            <v>123988.33</v>
          </cell>
          <cell r="H181">
            <v>126550.1</v>
          </cell>
          <cell r="I181">
            <v>129432.58</v>
          </cell>
          <cell r="J181">
            <v>130139.73</v>
          </cell>
          <cell r="K181">
            <v>144333.66</v>
          </cell>
          <cell r="L181">
            <v>109773.14</v>
          </cell>
          <cell r="M181">
            <v>94771.41</v>
          </cell>
          <cell r="N181">
            <v>89928.65</v>
          </cell>
          <cell r="O181">
            <v>81682.37</v>
          </cell>
        </row>
        <row r="184">
          <cell r="D184">
            <v>23094.89</v>
          </cell>
          <cell r="E184">
            <v>22527.45</v>
          </cell>
          <cell r="F184">
            <v>22107.01</v>
          </cell>
          <cell r="G184">
            <v>22747.48</v>
          </cell>
          <cell r="H184">
            <v>23173.7</v>
          </cell>
          <cell r="I184">
            <v>23749.98</v>
          </cell>
          <cell r="J184">
            <v>23845.53</v>
          </cell>
          <cell r="K184">
            <v>25003.07</v>
          </cell>
          <cell r="L184">
            <v>19250.46</v>
          </cell>
          <cell r="M184">
            <v>16715.63</v>
          </cell>
          <cell r="N184">
            <v>19256.53</v>
          </cell>
          <cell r="O184">
            <v>16090.1</v>
          </cell>
        </row>
        <row r="185">
          <cell r="D185">
            <v>282766.84999999998</v>
          </cell>
          <cell r="E185">
            <v>267168.40999999997</v>
          </cell>
          <cell r="F185">
            <v>268974.62</v>
          </cell>
          <cell r="G185">
            <v>265349.98</v>
          </cell>
          <cell r="H185">
            <v>287934.27</v>
          </cell>
          <cell r="I185">
            <v>292109.88</v>
          </cell>
          <cell r="J185">
            <v>288468.94</v>
          </cell>
          <cell r="K185">
            <v>286340.90000000002</v>
          </cell>
          <cell r="L185">
            <v>209430.57</v>
          </cell>
          <cell r="M185">
            <v>183392.23</v>
          </cell>
          <cell r="N185">
            <v>191008.83</v>
          </cell>
          <cell r="O185">
            <v>175212.4</v>
          </cell>
        </row>
        <row r="188">
          <cell r="D188">
            <v>15220.94</v>
          </cell>
          <cell r="E188">
            <v>12483.05</v>
          </cell>
          <cell r="F188">
            <v>14323.74</v>
          </cell>
          <cell r="G188">
            <v>14054.03</v>
          </cell>
          <cell r="H188">
            <v>14032.58</v>
          </cell>
          <cell r="I188">
            <v>14857.01</v>
          </cell>
          <cell r="J188">
            <v>12999.3</v>
          </cell>
          <cell r="K188">
            <v>13054.59</v>
          </cell>
          <cell r="L188">
            <v>10817.93</v>
          </cell>
          <cell r="M188">
            <v>4656.46</v>
          </cell>
          <cell r="N188">
            <v>12603.48</v>
          </cell>
          <cell r="O188">
            <v>6303.23</v>
          </cell>
        </row>
        <row r="190">
          <cell r="D190">
            <v>164789.95000000001</v>
          </cell>
          <cell r="E190">
            <v>164075.53</v>
          </cell>
          <cell r="F190">
            <v>164610.76</v>
          </cell>
          <cell r="G190">
            <v>164814.38</v>
          </cell>
          <cell r="H190">
            <v>164648.07999999999</v>
          </cell>
          <cell r="I190">
            <v>164633.53</v>
          </cell>
          <cell r="J190">
            <v>164707.13</v>
          </cell>
          <cell r="K190">
            <v>164662.25</v>
          </cell>
          <cell r="L190">
            <v>125279.51</v>
          </cell>
          <cell r="M190">
            <v>106816.49</v>
          </cell>
          <cell r="N190">
            <v>108117.99</v>
          </cell>
          <cell r="O190">
            <v>107522.01</v>
          </cell>
        </row>
        <row r="204">
          <cell r="D204">
            <v>9451088.7599999998</v>
          </cell>
          <cell r="E204">
            <v>6965211.8099999996</v>
          </cell>
          <cell r="F204">
            <v>3874316.83</v>
          </cell>
          <cell r="G204">
            <v>4126907.77</v>
          </cell>
          <cell r="H204">
            <v>4564723.5199999996</v>
          </cell>
          <cell r="I204">
            <v>6862049.9400000004</v>
          </cell>
          <cell r="J204">
            <v>7075003.3300000001</v>
          </cell>
          <cell r="K204">
            <v>7279286.8200000003</v>
          </cell>
          <cell r="L204">
            <v>8809362.3499999996</v>
          </cell>
          <cell r="M204">
            <v>7294089.2400000002</v>
          </cell>
          <cell r="N204">
            <v>5431897.7599999998</v>
          </cell>
          <cell r="O204">
            <v>5897757.04</v>
          </cell>
        </row>
        <row r="206">
          <cell r="D206">
            <v>170275.69</v>
          </cell>
          <cell r="E206">
            <v>141665.64000000001</v>
          </cell>
          <cell r="F206">
            <v>125282.51</v>
          </cell>
          <cell r="G206">
            <v>132633.69</v>
          </cell>
          <cell r="H206">
            <v>135061.46</v>
          </cell>
          <cell r="I206">
            <v>163907.75</v>
          </cell>
          <cell r="J206">
            <v>165795.38</v>
          </cell>
          <cell r="K206">
            <v>167294.29</v>
          </cell>
          <cell r="L206">
            <v>180774</v>
          </cell>
          <cell r="M206">
            <v>164295.29</v>
          </cell>
          <cell r="N206">
            <v>143449.35</v>
          </cell>
          <cell r="O206">
            <v>145514.19</v>
          </cell>
        </row>
        <row r="208">
          <cell r="D208">
            <v>4464889.7699999996</v>
          </cell>
          <cell r="E208">
            <v>4372194.45</v>
          </cell>
          <cell r="F208">
            <v>3963279.98</v>
          </cell>
          <cell r="G208">
            <v>3810346.23</v>
          </cell>
          <cell r="H208">
            <v>3881802.34</v>
          </cell>
          <cell r="I208">
            <v>4143674.3</v>
          </cell>
          <cell r="J208">
            <v>4094655.23</v>
          </cell>
          <cell r="K208">
            <v>4163450.24</v>
          </cell>
          <cell r="L208">
            <v>4038047.82</v>
          </cell>
          <cell r="M208">
            <v>3848518.71</v>
          </cell>
          <cell r="N208">
            <v>3836040.16</v>
          </cell>
          <cell r="O208">
            <v>3837890.29</v>
          </cell>
        </row>
        <row r="209">
          <cell r="D209">
            <v>290694.28999999998</v>
          </cell>
          <cell r="E209">
            <v>287096.56</v>
          </cell>
          <cell r="F209">
            <v>251670.33</v>
          </cell>
          <cell r="G209">
            <v>245053.02</v>
          </cell>
          <cell r="H209">
            <v>246134.64</v>
          </cell>
          <cell r="I209">
            <v>242866.65</v>
          </cell>
          <cell r="J209">
            <v>243737.3</v>
          </cell>
          <cell r="K209">
            <v>245217.58</v>
          </cell>
          <cell r="L209">
            <v>245943.46</v>
          </cell>
          <cell r="M209">
            <v>244384.16</v>
          </cell>
          <cell r="N209">
            <v>248860.86</v>
          </cell>
          <cell r="O209">
            <v>242460.48</v>
          </cell>
        </row>
        <row r="212">
          <cell r="D212">
            <v>136730.82999999999</v>
          </cell>
          <cell r="E212">
            <v>132037.37</v>
          </cell>
          <cell r="F212">
            <v>117750.09</v>
          </cell>
          <cell r="G212">
            <v>123502.84</v>
          </cell>
          <cell r="H212">
            <v>129595.2</v>
          </cell>
          <cell r="I212">
            <v>139033.15</v>
          </cell>
          <cell r="J212">
            <v>139161.64000000001</v>
          </cell>
          <cell r="K212">
            <v>146026.23000000001</v>
          </cell>
          <cell r="L212">
            <v>171319.29</v>
          </cell>
          <cell r="M212">
            <v>178681.06</v>
          </cell>
          <cell r="N212">
            <v>210567.73</v>
          </cell>
          <cell r="O212">
            <v>165845.32999999999</v>
          </cell>
        </row>
        <row r="213">
          <cell r="D213">
            <v>1313788.6399999999</v>
          </cell>
          <cell r="E213">
            <v>1235009.08</v>
          </cell>
          <cell r="F213">
            <v>1272922.49</v>
          </cell>
          <cell r="G213">
            <v>1218379.93</v>
          </cell>
          <cell r="H213">
            <v>1342740.05</v>
          </cell>
          <cell r="I213">
            <v>1296419.45</v>
          </cell>
          <cell r="J213">
            <v>1285637.6100000001</v>
          </cell>
          <cell r="K213">
            <v>1281344.03</v>
          </cell>
          <cell r="L213">
            <v>1302781.47</v>
          </cell>
          <cell r="M213">
            <v>1244184.1399999999</v>
          </cell>
          <cell r="N213">
            <v>1346939.07</v>
          </cell>
          <cell r="O213">
            <v>1227682.83</v>
          </cell>
        </row>
        <row r="216">
          <cell r="D216">
            <v>1653527.46</v>
          </cell>
          <cell r="E216">
            <v>1149052.83</v>
          </cell>
          <cell r="F216">
            <v>1494225.05</v>
          </cell>
          <cell r="G216">
            <v>1319944.28</v>
          </cell>
          <cell r="H216">
            <v>1408987.13</v>
          </cell>
          <cell r="I216">
            <v>1596907.77</v>
          </cell>
          <cell r="J216">
            <v>1171136.6599999999</v>
          </cell>
          <cell r="K216">
            <v>1205096.4099999999</v>
          </cell>
          <cell r="L216">
            <v>1453303.62</v>
          </cell>
          <cell r="M216">
            <v>773810.35</v>
          </cell>
          <cell r="N216">
            <v>1475285.09</v>
          </cell>
          <cell r="O216">
            <v>759240.68</v>
          </cell>
        </row>
        <row r="218">
          <cell r="D218">
            <v>81052.399999999994</v>
          </cell>
          <cell r="E218">
            <v>80717.08</v>
          </cell>
          <cell r="F218">
            <v>75053.41</v>
          </cell>
          <cell r="G218">
            <v>74395.600000000006</v>
          </cell>
          <cell r="H218">
            <v>74298.91</v>
          </cell>
          <cell r="I218">
            <v>74311.44</v>
          </cell>
          <cell r="J218">
            <v>74352.03</v>
          </cell>
          <cell r="K218">
            <v>74331.789999999994</v>
          </cell>
          <cell r="L218">
            <v>79057.58</v>
          </cell>
          <cell r="M218">
            <v>80495.58</v>
          </cell>
          <cell r="N218">
            <v>81466.789999999994</v>
          </cell>
          <cell r="O218">
            <v>81018.929999999993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-H-1"/>
      <sheetName val="II-H-1.1"/>
      <sheetName val="II-H-1.2"/>
      <sheetName val="II-H-1.6 Dist"/>
      <sheetName val="II-H-1.6 Tran"/>
      <sheetName val="II-H-3.1"/>
      <sheetName val="II-H-1.9"/>
      <sheetName val="II-H-4.1 Monthly"/>
      <sheetName val="II-H-4.1 Functions"/>
      <sheetName val="Riders"/>
    </sheetNames>
    <sheetDataSet>
      <sheetData sheetId="0"/>
      <sheetData sheetId="1"/>
      <sheetData sheetId="2">
        <row r="8">
          <cell r="D8">
            <v>202134354</v>
          </cell>
          <cell r="E8">
            <v>154406387</v>
          </cell>
          <cell r="F8">
            <v>120521111</v>
          </cell>
          <cell r="G8">
            <v>103972077</v>
          </cell>
          <cell r="H8">
            <v>117709492</v>
          </cell>
          <cell r="I8">
            <v>195549549</v>
          </cell>
          <cell r="J8">
            <v>221652353</v>
          </cell>
          <cell r="K8">
            <v>210179796</v>
          </cell>
          <cell r="L8">
            <v>187982195</v>
          </cell>
          <cell r="M8">
            <v>133379226</v>
          </cell>
          <cell r="N8">
            <v>113526583</v>
          </cell>
          <cell r="O8">
            <v>155178109</v>
          </cell>
        </row>
        <row r="10">
          <cell r="D10">
            <v>13430825</v>
          </cell>
          <cell r="E10">
            <v>11596181</v>
          </cell>
          <cell r="F10">
            <v>10333827</v>
          </cell>
          <cell r="G10">
            <v>10175597</v>
          </cell>
          <cell r="H10">
            <v>10346914</v>
          </cell>
          <cell r="I10">
            <v>12965824</v>
          </cell>
          <cell r="J10">
            <v>13859275</v>
          </cell>
          <cell r="K10">
            <v>13754219</v>
          </cell>
          <cell r="L10">
            <v>13182983</v>
          </cell>
          <cell r="M10">
            <v>10858284</v>
          </cell>
          <cell r="N10">
            <v>9804787</v>
          </cell>
          <cell r="O10">
            <v>11576221</v>
          </cell>
        </row>
        <row r="12">
          <cell r="D12">
            <v>117202884</v>
          </cell>
          <cell r="E12">
            <v>106441736</v>
          </cell>
          <cell r="F12">
            <v>99802661</v>
          </cell>
          <cell r="G12">
            <v>102532782</v>
          </cell>
          <cell r="H12">
            <v>109925111</v>
          </cell>
          <cell r="I12">
            <v>139611043</v>
          </cell>
          <cell r="J12">
            <v>147488954</v>
          </cell>
          <cell r="K12">
            <v>143943174</v>
          </cell>
          <cell r="L12">
            <v>142341444</v>
          </cell>
          <cell r="M12">
            <v>118083182</v>
          </cell>
          <cell r="N12">
            <v>100807200</v>
          </cell>
          <cell r="O12">
            <v>110537316</v>
          </cell>
        </row>
        <row r="13">
          <cell r="D13">
            <v>45201839</v>
          </cell>
          <cell r="E13">
            <v>35929771</v>
          </cell>
          <cell r="F13">
            <v>32611713</v>
          </cell>
          <cell r="G13">
            <v>32373839</v>
          </cell>
          <cell r="H13">
            <v>33802795</v>
          </cell>
          <cell r="I13">
            <v>31141851</v>
          </cell>
          <cell r="J13">
            <v>43542685</v>
          </cell>
          <cell r="K13">
            <v>36174257</v>
          </cell>
          <cell r="L13">
            <v>37607973</v>
          </cell>
          <cell r="M13">
            <v>33209616</v>
          </cell>
          <cell r="N13">
            <v>32593175</v>
          </cell>
          <cell r="O13">
            <v>35682137</v>
          </cell>
        </row>
        <row r="16">
          <cell r="D16">
            <v>9523921</v>
          </cell>
          <cell r="E16">
            <v>10124992</v>
          </cell>
          <cell r="F16">
            <v>9470021</v>
          </cell>
          <cell r="G16">
            <v>10168174</v>
          </cell>
          <cell r="H16">
            <v>10131438</v>
          </cell>
          <cell r="I16">
            <v>11491787</v>
          </cell>
          <cell r="J16">
            <v>9249214</v>
          </cell>
          <cell r="K16">
            <v>12977548</v>
          </cell>
          <cell r="L16">
            <v>8980449</v>
          </cell>
          <cell r="M16">
            <v>12966425</v>
          </cell>
          <cell r="N16">
            <v>10870383</v>
          </cell>
          <cell r="O16">
            <v>11331419</v>
          </cell>
        </row>
        <row r="17">
          <cell r="D17">
            <v>130314075</v>
          </cell>
          <cell r="E17">
            <v>120092127</v>
          </cell>
          <cell r="F17">
            <v>128098925</v>
          </cell>
          <cell r="G17">
            <v>137406592</v>
          </cell>
          <cell r="H17">
            <v>133871455</v>
          </cell>
          <cell r="I17">
            <v>145269951</v>
          </cell>
          <cell r="J17">
            <v>143352715</v>
          </cell>
          <cell r="K17">
            <v>144784908</v>
          </cell>
          <cell r="L17">
            <v>150657285</v>
          </cell>
          <cell r="M17">
            <v>146251080</v>
          </cell>
          <cell r="N17">
            <v>137319198</v>
          </cell>
          <cell r="O17">
            <v>144966671</v>
          </cell>
        </row>
        <row r="20">
          <cell r="D20">
            <v>14388484</v>
          </cell>
          <cell r="E20">
            <v>13260520</v>
          </cell>
          <cell r="F20">
            <v>12604172</v>
          </cell>
          <cell r="G20">
            <v>13554840</v>
          </cell>
          <cell r="H20">
            <v>15681536</v>
          </cell>
          <cell r="I20">
            <v>18526600</v>
          </cell>
          <cell r="J20">
            <v>17551476</v>
          </cell>
          <cell r="K20">
            <v>16200740</v>
          </cell>
          <cell r="L20">
            <v>17819624</v>
          </cell>
          <cell r="M20">
            <v>17237428</v>
          </cell>
          <cell r="N20">
            <v>12692472</v>
          </cell>
          <cell r="O20">
            <v>19684640</v>
          </cell>
        </row>
        <row r="22">
          <cell r="D22">
            <v>3361059</v>
          </cell>
          <cell r="E22">
            <v>3352305</v>
          </cell>
          <cell r="F22">
            <v>3349467</v>
          </cell>
          <cell r="G22">
            <v>3346178</v>
          </cell>
          <cell r="H22">
            <v>3352069</v>
          </cell>
          <cell r="I22">
            <v>3346325</v>
          </cell>
          <cell r="J22">
            <v>3344019</v>
          </cell>
          <cell r="K22">
            <v>3341600</v>
          </cell>
          <cell r="L22">
            <v>3341172</v>
          </cell>
          <cell r="M22">
            <v>3337370</v>
          </cell>
          <cell r="N22">
            <v>3333384</v>
          </cell>
          <cell r="O22">
            <v>3325687</v>
          </cell>
        </row>
        <row r="39">
          <cell r="D39">
            <v>-18649055</v>
          </cell>
          <cell r="E39">
            <v>-8985637</v>
          </cell>
          <cell r="F39">
            <v>1400703</v>
          </cell>
          <cell r="G39">
            <v>3186662</v>
          </cell>
          <cell r="H39">
            <v>661150</v>
          </cell>
          <cell r="I39">
            <v>-20907072</v>
          </cell>
          <cell r="J39">
            <v>-11940180</v>
          </cell>
          <cell r="K39">
            <v>2904239</v>
          </cell>
          <cell r="L39">
            <v>6816163</v>
          </cell>
          <cell r="M39">
            <v>5917983</v>
          </cell>
          <cell r="N39">
            <v>-5973870</v>
          </cell>
          <cell r="O39">
            <v>-7911273</v>
          </cell>
        </row>
        <row r="41">
          <cell r="D41">
            <v>-190634.75959746592</v>
          </cell>
          <cell r="E41">
            <v>-86137.437732494291</v>
          </cell>
          <cell r="F41">
            <v>18196.156976662311</v>
          </cell>
          <cell r="G41">
            <v>66457.376873217901</v>
          </cell>
          <cell r="H41">
            <v>34086.023573784289</v>
          </cell>
          <cell r="I41">
            <v>-608174.6340157236</v>
          </cell>
          <cell r="J41">
            <v>-355253.30615488091</v>
          </cell>
          <cell r="K41">
            <v>87581.618428990914</v>
          </cell>
          <cell r="L41">
            <v>210235.77864264912</v>
          </cell>
          <cell r="M41">
            <v>236359.42337395676</v>
          </cell>
          <cell r="N41">
            <v>13708.068529195534</v>
          </cell>
          <cell r="O41">
            <v>-71156.350305036103</v>
          </cell>
        </row>
        <row r="43">
          <cell r="D43">
            <v>-1764845.0743904738</v>
          </cell>
          <cell r="E43">
            <v>-845180.77846026095</v>
          </cell>
          <cell r="F43">
            <v>194949.72682345635</v>
          </cell>
          <cell r="G43">
            <v>762357.50468550227</v>
          </cell>
          <cell r="H43">
            <v>418347.66045888577</v>
          </cell>
          <cell r="I43">
            <v>-7326314.2817168962</v>
          </cell>
          <cell r="J43">
            <v>-4198637.9078643881</v>
          </cell>
          <cell r="K43">
            <v>1015685.8201927564</v>
          </cell>
          <cell r="L43">
            <v>2469763.6740295724</v>
          </cell>
          <cell r="M43">
            <v>2784162.2384519335</v>
          </cell>
          <cell r="N43">
            <v>198003.43243010173</v>
          </cell>
          <cell r="O43">
            <v>-699630.46261536807</v>
          </cell>
        </row>
        <row r="44">
          <cell r="D44">
            <v>-560159.82288861694</v>
          </cell>
          <cell r="E44">
            <v>-270837.1776255297</v>
          </cell>
          <cell r="F44">
            <v>55984.324367926813</v>
          </cell>
          <cell r="G44">
            <v>198634.65994826824</v>
          </cell>
          <cell r="H44">
            <v>100235.28283296406</v>
          </cell>
          <cell r="I44">
            <v>-1615675.2047475523</v>
          </cell>
          <cell r="J44">
            <v>-870440.14382129861</v>
          </cell>
          <cell r="K44">
            <v>213830.52800830957</v>
          </cell>
          <cell r="L44">
            <v>461142.02302617492</v>
          </cell>
          <cell r="M44">
            <v>506364.79946873029</v>
          </cell>
          <cell r="N44">
            <v>15565.442642096572</v>
          </cell>
          <cell r="O44">
            <v>-170034.02619405213</v>
          </cell>
        </row>
        <row r="47">
          <cell r="D47">
            <v>-80653.343123443046</v>
          </cell>
          <cell r="E47">
            <v>-44982.606181715135</v>
          </cell>
          <cell r="F47">
            <v>25228.791831954528</v>
          </cell>
          <cell r="G47">
            <v>147902.4584930116</v>
          </cell>
          <cell r="H47">
            <v>101105.03313436589</v>
          </cell>
          <cell r="I47">
            <v>-1523619.8795198281</v>
          </cell>
          <cell r="J47">
            <v>-907473.64215943229</v>
          </cell>
          <cell r="K47">
            <v>219229.03336994321</v>
          </cell>
          <cell r="L47">
            <v>455050.52430160361</v>
          </cell>
          <cell r="M47">
            <v>503331.53870537935</v>
          </cell>
          <cell r="N47">
            <v>180206.05639860616</v>
          </cell>
          <cell r="O47">
            <v>10463.839114456265</v>
          </cell>
        </row>
        <row r="70">
          <cell r="D70">
            <v>2051047.092635182</v>
          </cell>
          <cell r="E70">
            <v>1583290.9038958957</v>
          </cell>
          <cell r="F70">
            <v>1306852.1935794286</v>
          </cell>
          <cell r="G70">
            <v>1011268.8505012214</v>
          </cell>
          <cell r="H70">
            <v>958591.31011177541</v>
          </cell>
          <cell r="I70">
            <v>1316950.1183351541</v>
          </cell>
          <cell r="J70">
            <v>1504018.8206844197</v>
          </cell>
          <cell r="K70">
            <v>560780.91557231965</v>
          </cell>
          <cell r="L70">
            <v>117273.10397798315</v>
          </cell>
          <cell r="M70">
            <v>76483.765071279719</v>
          </cell>
          <cell r="N70">
            <v>62613.381476581111</v>
          </cell>
          <cell r="O70">
            <v>0</v>
          </cell>
        </row>
        <row r="72">
          <cell r="D72">
            <v>8630.8230410231645</v>
          </cell>
          <cell r="E72">
            <v>64757.855880194838</v>
          </cell>
          <cell r="F72">
            <v>59847.509193960504</v>
          </cell>
          <cell r="G72">
            <v>35840.297954065092</v>
          </cell>
          <cell r="H72">
            <v>11150.375965170551</v>
          </cell>
          <cell r="I72">
            <v>21346.367566285073</v>
          </cell>
          <cell r="J72">
            <v>5176.7314627942651</v>
          </cell>
          <cell r="K72">
            <v>-7951.7065327423261</v>
          </cell>
          <cell r="L72">
            <v>-34298.270770517811</v>
          </cell>
          <cell r="M72">
            <v>-26296.654646730836</v>
          </cell>
          <cell r="N72">
            <v>-5640.4360625000172</v>
          </cell>
          <cell r="O72">
            <v>0</v>
          </cell>
        </row>
        <row r="74">
          <cell r="D74">
            <v>3217785.0571598476</v>
          </cell>
          <cell r="E74">
            <v>2184381.0377836181</v>
          </cell>
          <cell r="F74">
            <v>1768894.9049592228</v>
          </cell>
          <cell r="G74">
            <v>1727014.1385252103</v>
          </cell>
          <cell r="H74">
            <v>1475869.9703891228</v>
          </cell>
          <cell r="I74">
            <v>1779138.2270421819</v>
          </cell>
          <cell r="J74">
            <v>1103915.5102671979</v>
          </cell>
          <cell r="K74">
            <v>619482.30692390073</v>
          </cell>
          <cell r="L74">
            <v>1126239.2223521706</v>
          </cell>
          <cell r="M74">
            <v>613317.44086202502</v>
          </cell>
          <cell r="N74">
            <v>226338.1022412414</v>
          </cell>
          <cell r="O74">
            <v>0</v>
          </cell>
        </row>
        <row r="75">
          <cell r="D75">
            <v>-1643251.9942494987</v>
          </cell>
          <cell r="E75">
            <v>-1100584.37723378</v>
          </cell>
          <cell r="F75">
            <v>-1008262.2630977754</v>
          </cell>
          <cell r="G75">
            <v>-610733.88112402998</v>
          </cell>
          <cell r="H75">
            <v>-1247964.3048895572</v>
          </cell>
          <cell r="I75">
            <v>-186874.53034969902</v>
          </cell>
          <cell r="J75">
            <v>-1060179.9964268</v>
          </cell>
          <cell r="K75">
            <v>0</v>
          </cell>
          <cell r="L75">
            <v>0</v>
          </cell>
          <cell r="M75">
            <v>216128.08204787649</v>
          </cell>
          <cell r="N75">
            <v>0</v>
          </cell>
          <cell r="O75">
            <v>0</v>
          </cell>
        </row>
        <row r="78">
          <cell r="D78">
            <v>209850.3923750346</v>
          </cell>
          <cell r="E78">
            <v>82849.392277958497</v>
          </cell>
          <cell r="F78">
            <v>130788.56462578451</v>
          </cell>
          <cell r="G78">
            <v>229246.14352206691</v>
          </cell>
          <cell r="H78">
            <v>169600.16077018285</v>
          </cell>
          <cell r="I78">
            <v>-53881.98443502796</v>
          </cell>
          <cell r="J78">
            <v>114900.00492893344</v>
          </cell>
          <cell r="K78">
            <v>-211713.00053534671</v>
          </cell>
          <cell r="L78">
            <v>-51002.700131360019</v>
          </cell>
          <cell r="M78">
            <v>-216092.35088832161</v>
          </cell>
          <cell r="N78">
            <v>0</v>
          </cell>
          <cell r="O78">
            <v>0</v>
          </cell>
        </row>
        <row r="79">
          <cell r="D79">
            <v>5429753.125</v>
          </cell>
          <cell r="E79">
            <v>2953085.0901639345</v>
          </cell>
          <cell r="F79">
            <v>-3002318.5546875</v>
          </cell>
          <cell r="G79">
            <v>4542366.6776859509</v>
          </cell>
          <cell r="H79">
            <v>1079608.5080645161</v>
          </cell>
          <cell r="I79">
            <v>-4504494.6046511624</v>
          </cell>
          <cell r="J79">
            <v>1156070.2822580645</v>
          </cell>
          <cell r="K79">
            <v>-1149086.5714285714</v>
          </cell>
          <cell r="L79">
            <v>0</v>
          </cell>
          <cell r="M79">
            <v>-5625041.538461539</v>
          </cell>
          <cell r="N79">
            <v>-2162507.05511811</v>
          </cell>
          <cell r="O79">
            <v>0</v>
          </cell>
        </row>
        <row r="82">
          <cell r="D82">
            <v>1251172.5217391304</v>
          </cell>
          <cell r="E82">
            <v>1808252.7272727271</v>
          </cell>
          <cell r="F82">
            <v>525173.83333333326</v>
          </cell>
          <cell r="G82">
            <v>564785</v>
          </cell>
          <cell r="H82">
            <v>-603136</v>
          </cell>
          <cell r="I82">
            <v>771941.66666666663</v>
          </cell>
          <cell r="J82">
            <v>731311.5</v>
          </cell>
          <cell r="K82">
            <v>675030.83333333326</v>
          </cell>
          <cell r="L82">
            <v>1549532.5217391304</v>
          </cell>
          <cell r="M82">
            <v>-662978</v>
          </cell>
          <cell r="N82">
            <v>-488172</v>
          </cell>
          <cell r="O82">
            <v>0</v>
          </cell>
        </row>
        <row r="84">
          <cell r="D84">
            <v>-563039.92574656976</v>
          </cell>
          <cell r="E84">
            <v>17861.920985942947</v>
          </cell>
          <cell r="F84">
            <v>20547.540991069105</v>
          </cell>
          <cell r="G84">
            <v>23741.542397153273</v>
          </cell>
          <cell r="H84">
            <v>22977.804377535304</v>
          </cell>
          <cell r="I84">
            <v>-10922.786522644792</v>
          </cell>
          <cell r="J84">
            <v>-15489.869485964273</v>
          </cell>
          <cell r="K84">
            <v>21519.909796608699</v>
          </cell>
          <cell r="L84">
            <v>21225.519188239887</v>
          </cell>
          <cell r="M84">
            <v>25138.217200659892</v>
          </cell>
          <cell r="N84">
            <v>27296.706372996221</v>
          </cell>
          <cell r="O84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</sheetData>
      <sheetData sheetId="3">
        <row r="12">
          <cell r="D12">
            <v>530521.19999999995</v>
          </cell>
          <cell r="E12">
            <v>523329.6</v>
          </cell>
          <cell r="F12">
            <v>518453.6</v>
          </cell>
          <cell r="G12">
            <v>515296.9</v>
          </cell>
          <cell r="H12">
            <v>527213.19999999995</v>
          </cell>
          <cell r="I12">
            <v>547426.9</v>
          </cell>
          <cell r="J12">
            <v>556366.6</v>
          </cell>
          <cell r="K12">
            <v>554246.9</v>
          </cell>
          <cell r="L12">
            <v>551032.9</v>
          </cell>
          <cell r="M12">
            <v>529958</v>
          </cell>
          <cell r="N12">
            <v>521165.5</v>
          </cell>
          <cell r="O12">
            <v>525906.80000000005</v>
          </cell>
        </row>
        <row r="13">
          <cell r="D13">
            <v>121881.3</v>
          </cell>
          <cell r="E13">
            <v>114747.8</v>
          </cell>
          <cell r="F13">
            <v>106025.9</v>
          </cell>
          <cell r="G13">
            <v>96666.1</v>
          </cell>
          <cell r="H13">
            <v>96709.6</v>
          </cell>
          <cell r="I13">
            <v>86597.1</v>
          </cell>
          <cell r="J13">
            <v>102108.2</v>
          </cell>
          <cell r="K13">
            <v>88830</v>
          </cell>
          <cell r="L13">
            <v>90134.7</v>
          </cell>
          <cell r="M13">
            <v>89782.2</v>
          </cell>
          <cell r="N13">
            <v>97907.4</v>
          </cell>
          <cell r="O13">
            <v>109528.2</v>
          </cell>
        </row>
        <row r="16">
          <cell r="D16">
            <v>30287.4</v>
          </cell>
          <cell r="E16">
            <v>34567</v>
          </cell>
          <cell r="F16">
            <v>31679.599999999999</v>
          </cell>
          <cell r="G16">
            <v>32038.3</v>
          </cell>
          <cell r="H16">
            <v>33710.6</v>
          </cell>
          <cell r="I16">
            <v>36083.1</v>
          </cell>
          <cell r="J16">
            <v>31614.3</v>
          </cell>
          <cell r="K16">
            <v>41017.300000000003</v>
          </cell>
          <cell r="L16">
            <v>30724</v>
          </cell>
          <cell r="M16">
            <v>40087.9</v>
          </cell>
          <cell r="N16">
            <v>35356.199999999997</v>
          </cell>
          <cell r="O16">
            <v>33314.6</v>
          </cell>
        </row>
        <row r="17">
          <cell r="D17">
            <v>269944.8</v>
          </cell>
          <cell r="E17">
            <v>273276.40000000002</v>
          </cell>
          <cell r="F17">
            <v>275455.5</v>
          </cell>
          <cell r="G17">
            <v>271089.7</v>
          </cell>
          <cell r="H17">
            <v>273046.59999999998</v>
          </cell>
          <cell r="I17">
            <v>287749.09999999998</v>
          </cell>
          <cell r="J17">
            <v>278832.09999999998</v>
          </cell>
          <cell r="K17">
            <v>282600.3</v>
          </cell>
          <cell r="L17">
            <v>290861.09999999998</v>
          </cell>
          <cell r="M17">
            <v>283329.40000000002</v>
          </cell>
          <cell r="N17">
            <v>278496.59999999998</v>
          </cell>
          <cell r="O17">
            <v>279481.09999999998</v>
          </cell>
        </row>
        <row r="20">
          <cell r="D20">
            <v>52773.599999999999</v>
          </cell>
          <cell r="E20">
            <v>49346.1</v>
          </cell>
          <cell r="F20">
            <v>51960</v>
          </cell>
          <cell r="G20">
            <v>50485.2</v>
          </cell>
          <cell r="H20">
            <v>55848.9</v>
          </cell>
          <cell r="I20">
            <v>60466.1</v>
          </cell>
          <cell r="J20">
            <v>62258.9</v>
          </cell>
          <cell r="K20">
            <v>55707.4</v>
          </cell>
          <cell r="L20">
            <v>54986.2</v>
          </cell>
          <cell r="M20">
            <v>59267.3</v>
          </cell>
          <cell r="N20">
            <v>60004.2</v>
          </cell>
          <cell r="O20">
            <v>60720.7</v>
          </cell>
        </row>
        <row r="44">
          <cell r="D44">
            <v>-7988.6065489627654</v>
          </cell>
          <cell r="E44">
            <v>-4155.4012114129455</v>
          </cell>
          <cell r="F44">
            <v>1012.7223731102471</v>
          </cell>
          <cell r="G44">
            <v>3831.3644786910672</v>
          </cell>
          <cell r="H44">
            <v>2006.4424477410134</v>
          </cell>
          <cell r="I44">
            <v>-28727.108038767441</v>
          </cell>
          <cell r="J44">
            <v>-15838.35151091805</v>
          </cell>
          <cell r="K44">
            <v>3910.8538569240709</v>
          </cell>
          <cell r="L44">
            <v>9560.9613150697696</v>
          </cell>
          <cell r="M44">
            <v>12495.33613995522</v>
          </cell>
          <cell r="N44">
            <v>1023.6625743414179</v>
          </cell>
          <cell r="O44">
            <v>-3328.6534456523973</v>
          </cell>
        </row>
        <row r="45">
          <cell r="D45">
            <v>-1510.4033139323024</v>
          </cell>
          <cell r="E45">
            <v>-864.96432974033587</v>
          </cell>
          <cell r="F45">
            <v>182.01400144179397</v>
          </cell>
          <cell r="G45">
            <v>593.10969891538946</v>
          </cell>
          <cell r="H45">
            <v>286.77256151933062</v>
          </cell>
          <cell r="I45">
            <v>-4492.7575844173252</v>
          </cell>
          <cell r="J45">
            <v>-2041.1942050274097</v>
          </cell>
          <cell r="K45">
            <v>525.08516769198991</v>
          </cell>
          <cell r="L45">
            <v>1105.2150538093974</v>
          </cell>
          <cell r="M45">
            <v>1368.957283301964</v>
          </cell>
          <cell r="N45">
            <v>46.757396876395312</v>
          </cell>
          <cell r="O45">
            <v>-521.92840433820936</v>
          </cell>
        </row>
        <row r="48">
          <cell r="D48">
            <v>-256.48890457165373</v>
          </cell>
          <cell r="E48">
            <v>-153.57184952673018</v>
          </cell>
          <cell r="F48">
            <v>84.396648510028299</v>
          </cell>
          <cell r="G48">
            <v>466.01713699398272</v>
          </cell>
          <cell r="H48">
            <v>336.40943467051318</v>
          </cell>
          <cell r="I48">
            <v>-4784.0190977001148</v>
          </cell>
          <cell r="J48">
            <v>-3101.7926458746592</v>
          </cell>
          <cell r="K48">
            <v>692.90308388340941</v>
          </cell>
          <cell r="L48">
            <v>1556.8233067903921</v>
          </cell>
          <cell r="M48">
            <v>1556.1347395652524</v>
          </cell>
          <cell r="N48">
            <v>586.12482846652222</v>
          </cell>
          <cell r="O48">
            <v>30.763897669167882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5">
          <cell r="D75">
            <v>14565.368458565497</v>
          </cell>
          <cell r="E75">
            <v>10739.690066224452</v>
          </cell>
          <cell r="F75">
            <v>9189.0328605343202</v>
          </cell>
          <cell r="G75">
            <v>8679.4195425050639</v>
          </cell>
          <cell r="H75">
            <v>7078.4384277106128</v>
          </cell>
          <cell r="I75">
            <v>6976.1539157127991</v>
          </cell>
          <cell r="J75">
            <v>4164.2557118862342</v>
          </cell>
          <cell r="K75">
            <v>2385.2895463971117</v>
          </cell>
          <cell r="L75">
            <v>4359.9028318587343</v>
          </cell>
          <cell r="M75">
            <v>2752.5722022324658</v>
          </cell>
          <cell r="N75">
            <v>1170.1506462197906</v>
          </cell>
          <cell r="O75">
            <v>0</v>
          </cell>
        </row>
        <row r="76">
          <cell r="D76">
            <v>-4430.8305528613882</v>
          </cell>
          <cell r="E76">
            <v>-3514.9023355018412</v>
          </cell>
          <cell r="F76">
            <v>-3278.0220370815368</v>
          </cell>
          <cell r="G76">
            <v>-1823.6101818546636</v>
          </cell>
          <cell r="H76">
            <v>-3570.4186218964178</v>
          </cell>
          <cell r="I76">
            <v>-519.64773680748533</v>
          </cell>
          <cell r="J76">
            <v>-2486.1367899372071</v>
          </cell>
          <cell r="K76">
            <v>0</v>
          </cell>
          <cell r="L76">
            <v>0</v>
          </cell>
          <cell r="M76">
            <v>584.30229027757662</v>
          </cell>
          <cell r="N76">
            <v>0</v>
          </cell>
          <cell r="O76">
            <v>0</v>
          </cell>
        </row>
        <row r="79">
          <cell r="D79">
            <v>667.3535798984077</v>
          </cell>
          <cell r="E79">
            <v>282.85009438745152</v>
          </cell>
          <cell r="F79">
            <v>437.52061499325106</v>
          </cell>
          <cell r="G79">
            <v>722.31815859986625</v>
          </cell>
          <cell r="H79">
            <v>564.31507350282607</v>
          </cell>
          <cell r="I79">
            <v>-169.18422109351289</v>
          </cell>
          <cell r="J79">
            <v>392.73426107610663</v>
          </cell>
          <cell r="K79">
            <v>-669.14764305695314</v>
          </cell>
          <cell r="L79">
            <v>-174.4909367934616</v>
          </cell>
          <cell r="M79">
            <v>-668.08611881655497</v>
          </cell>
          <cell r="N79">
            <v>0</v>
          </cell>
          <cell r="O79">
            <v>0</v>
          </cell>
        </row>
        <row r="80">
          <cell r="D80">
            <v>11247.699999999999</v>
          </cell>
          <cell r="E80">
            <v>6719.9114754098364</v>
          </cell>
          <cell r="F80">
            <v>-6455.98828125</v>
          </cell>
          <cell r="G80">
            <v>8961.6429752066124</v>
          </cell>
          <cell r="H80">
            <v>2201.9887096774191</v>
          </cell>
          <cell r="I80">
            <v>-8922.4527131782943</v>
          </cell>
          <cell r="J80">
            <v>2248.6459677419352</v>
          </cell>
          <cell r="K80">
            <v>-2242.8595238095236</v>
          </cell>
          <cell r="L80">
            <v>0</v>
          </cell>
          <cell r="M80">
            <v>-10897.284615384617</v>
          </cell>
          <cell r="N80">
            <v>-4385.7732283464566</v>
          </cell>
          <cell r="O80">
            <v>0</v>
          </cell>
        </row>
        <row r="83">
          <cell r="D83">
            <v>4589.0086956521736</v>
          </cell>
          <cell r="E83">
            <v>6729.0136363636357</v>
          </cell>
          <cell r="F83">
            <v>2165</v>
          </cell>
          <cell r="G83">
            <v>2103.5499999999997</v>
          </cell>
          <cell r="H83">
            <v>-2148.0346153846153</v>
          </cell>
          <cell r="I83">
            <v>2519.4208333333331</v>
          </cell>
          <cell r="J83">
            <v>2594.1208333333334</v>
          </cell>
          <cell r="K83">
            <v>2321.1416666666664</v>
          </cell>
          <cell r="L83">
            <v>4781.4086956521733</v>
          </cell>
          <cell r="M83">
            <v>-2279.5115384615387</v>
          </cell>
          <cell r="N83">
            <v>-2307.853846153846</v>
          </cell>
          <cell r="O83">
            <v>0</v>
          </cell>
        </row>
      </sheetData>
      <sheetData sheetId="4">
        <row r="12">
          <cell r="D12">
            <v>441393.3</v>
          </cell>
          <cell r="E12">
            <v>438597.2</v>
          </cell>
          <cell r="F12">
            <v>438826.1</v>
          </cell>
          <cell r="G12">
            <v>427067.2</v>
          </cell>
          <cell r="H12">
            <v>448525.1</v>
          </cell>
          <cell r="I12">
            <v>476535.4</v>
          </cell>
          <cell r="J12">
            <v>475021.9</v>
          </cell>
          <cell r="K12">
            <v>478969.4</v>
          </cell>
          <cell r="L12">
            <v>480837.7</v>
          </cell>
          <cell r="M12">
            <v>451693.9</v>
          </cell>
          <cell r="N12">
            <v>441450.5</v>
          </cell>
          <cell r="O12">
            <v>434999.1</v>
          </cell>
        </row>
        <row r="13">
          <cell r="D13">
            <v>61751.199999999997</v>
          </cell>
          <cell r="E13">
            <v>60936.9</v>
          </cell>
          <cell r="F13">
            <v>61172.6</v>
          </cell>
          <cell r="G13">
            <v>60226.7</v>
          </cell>
          <cell r="H13">
            <v>63822.2</v>
          </cell>
          <cell r="I13">
            <v>55517.8</v>
          </cell>
          <cell r="J13">
            <v>64251.9</v>
          </cell>
          <cell r="K13">
            <v>57705.2</v>
          </cell>
          <cell r="L13">
            <v>57649.2</v>
          </cell>
          <cell r="M13">
            <v>57453.599999999999</v>
          </cell>
          <cell r="N13">
            <v>60551.8</v>
          </cell>
          <cell r="O13">
            <v>60819.1</v>
          </cell>
        </row>
        <row r="16">
          <cell r="D16">
            <v>20527.900000000001</v>
          </cell>
          <cell r="E16">
            <v>29761.1</v>
          </cell>
          <cell r="F16">
            <v>26019</v>
          </cell>
          <cell r="G16">
            <v>25988.2</v>
          </cell>
          <cell r="H16">
            <v>28881.5</v>
          </cell>
          <cell r="I16">
            <v>30436.7</v>
          </cell>
          <cell r="J16">
            <v>26856.6</v>
          </cell>
          <cell r="K16">
            <v>35332</v>
          </cell>
          <cell r="L16">
            <v>24272.5</v>
          </cell>
          <cell r="M16">
            <v>33728.699999999997</v>
          </cell>
          <cell r="N16">
            <v>30572.5</v>
          </cell>
          <cell r="O16">
            <v>27678.5</v>
          </cell>
        </row>
        <row r="17">
          <cell r="D17">
            <v>192333.9</v>
          </cell>
          <cell r="E17">
            <v>197379.5</v>
          </cell>
          <cell r="F17">
            <v>196387.9</v>
          </cell>
          <cell r="G17">
            <v>193240.8</v>
          </cell>
          <cell r="H17">
            <v>193808.7</v>
          </cell>
          <cell r="I17">
            <v>202147.7</v>
          </cell>
          <cell r="J17">
            <v>195527.7</v>
          </cell>
          <cell r="K17">
            <v>195162.1</v>
          </cell>
          <cell r="L17">
            <v>204085.2</v>
          </cell>
          <cell r="M17">
            <v>200816.3</v>
          </cell>
          <cell r="N17">
            <v>199460.4</v>
          </cell>
          <cell r="O17">
            <v>199776.9</v>
          </cell>
        </row>
        <row r="20">
          <cell r="D20">
            <v>20463.599999999999</v>
          </cell>
          <cell r="E20">
            <v>19372.900000000001</v>
          </cell>
          <cell r="F20">
            <v>19374.900000000001</v>
          </cell>
          <cell r="G20">
            <v>19374.900000000001</v>
          </cell>
          <cell r="H20">
            <v>19932.5</v>
          </cell>
          <cell r="I20">
            <v>19547.099999999999</v>
          </cell>
          <cell r="J20">
            <v>19529.8</v>
          </cell>
          <cell r="K20">
            <v>19529.8</v>
          </cell>
          <cell r="L20">
            <v>19546.099999999999</v>
          </cell>
          <cell r="M20">
            <v>19620.900000000001</v>
          </cell>
          <cell r="N20">
            <v>19704</v>
          </cell>
          <cell r="O20">
            <v>20139.599999999999</v>
          </cell>
        </row>
        <row r="44">
          <cell r="D44">
            <v>-6646.5155530981356</v>
          </cell>
          <cell r="E44">
            <v>-3482.5993717961419</v>
          </cell>
          <cell r="F44">
            <v>857.18183724582991</v>
          </cell>
          <cell r="G44">
            <v>3175.3540533507066</v>
          </cell>
          <cell r="H44">
            <v>1706.9750899963865</v>
          </cell>
          <cell r="I44">
            <v>-25006.962427489878</v>
          </cell>
          <cell r="J44">
            <v>-13522.673409194878</v>
          </cell>
          <cell r="K44">
            <v>3379.6839014139873</v>
          </cell>
          <cell r="L44">
            <v>8343.0057416301697</v>
          </cell>
          <cell r="M44">
            <v>10650.027196244457</v>
          </cell>
          <cell r="N44">
            <v>867.08800807863554</v>
          </cell>
          <cell r="O44">
            <v>-2753.2658886910981</v>
          </cell>
        </row>
        <row r="45">
          <cell r="D45">
            <v>-765.24632670718461</v>
          </cell>
          <cell r="E45">
            <v>-459.33991645115526</v>
          </cell>
          <cell r="F45">
            <v>105.01462099919252</v>
          </cell>
          <cell r="G45">
            <v>369.53016521477008</v>
          </cell>
          <cell r="H45">
            <v>189.25169554831189</v>
          </cell>
          <cell r="I45">
            <v>-2880.3275978082893</v>
          </cell>
          <cell r="J45">
            <v>-1284.4277535202914</v>
          </cell>
          <cell r="K45">
            <v>341.10260743780049</v>
          </cell>
          <cell r="L45">
            <v>706.88384917316773</v>
          </cell>
          <cell r="M45">
            <v>876.02580658435329</v>
          </cell>
          <cell r="N45">
            <v>28.917574608049176</v>
          </cell>
          <cell r="O45">
            <v>-289.81774388957353</v>
          </cell>
        </row>
        <row r="48">
          <cell r="D48">
            <v>-173.84056023813369</v>
          </cell>
          <cell r="E48">
            <v>-132.22053319495384</v>
          </cell>
          <cell r="F48">
            <v>69.316418060279375</v>
          </cell>
          <cell r="G48">
            <v>378.01464371165207</v>
          </cell>
          <cell r="H48">
            <v>288.21821882246019</v>
          </cell>
          <cell r="I48">
            <v>-4035.4003417380741</v>
          </cell>
          <cell r="J48">
            <v>-2634.9975920136571</v>
          </cell>
          <cell r="K48">
            <v>596.86161107066096</v>
          </cell>
          <cell r="L48">
            <v>1229.9177748362774</v>
          </cell>
          <cell r="M48">
            <v>1309.28289559629</v>
          </cell>
          <cell r="N48">
            <v>506.82203738786268</v>
          </cell>
          <cell r="O48">
            <v>25.559320587251932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75">
          <cell r="D75">
            <v>12118.377266812597</v>
          </cell>
          <cell r="E75">
            <v>9000.8247038078098</v>
          </cell>
          <cell r="F75">
            <v>7777.7210013781742</v>
          </cell>
          <cell r="G75">
            <v>7193.3198155139662</v>
          </cell>
          <cell r="H75">
            <v>6021.9609517226536</v>
          </cell>
          <cell r="I75">
            <v>6072.7455970573692</v>
          </cell>
          <cell r="J75">
            <v>3555.4123132949599</v>
          </cell>
          <cell r="K75">
            <v>2061.3208713735644</v>
          </cell>
          <cell r="L75">
            <v>3804.5017818254419</v>
          </cell>
          <cell r="M75">
            <v>2346.0728455046838</v>
          </cell>
          <cell r="N75">
            <v>991.16996011641163</v>
          </cell>
          <cell r="O75">
            <v>0</v>
          </cell>
        </row>
        <row r="76">
          <cell r="D76">
            <v>-2244.881730305257</v>
          </cell>
          <cell r="E76">
            <v>-1866.5913606033594</v>
          </cell>
          <cell r="F76">
            <v>-1891.2844018826911</v>
          </cell>
          <cell r="G76">
            <v>-1136.1793155977768</v>
          </cell>
          <cell r="H76">
            <v>-2356.2497556643552</v>
          </cell>
          <cell r="I76">
            <v>-333.14855950754247</v>
          </cell>
          <cell r="J76">
            <v>-1564.4092483597442</v>
          </cell>
          <cell r="K76">
            <v>0</v>
          </cell>
          <cell r="L76">
            <v>0</v>
          </cell>
          <cell r="M76">
            <v>373.90785773451506</v>
          </cell>
          <cell r="N76">
            <v>0</v>
          </cell>
          <cell r="O76">
            <v>0</v>
          </cell>
        </row>
        <row r="79">
          <cell r="D79">
            <v>452.31243199470816</v>
          </cell>
          <cell r="E79">
            <v>243.52503671346608</v>
          </cell>
          <cell r="F79">
            <v>359.3432013506926</v>
          </cell>
          <cell r="G79">
            <v>585.91588097137014</v>
          </cell>
          <cell r="H79">
            <v>483.47599257716786</v>
          </cell>
          <cell r="I79">
            <v>-142.70972788249691</v>
          </cell>
          <cell r="J79">
            <v>333.63088716234631</v>
          </cell>
          <cell r="K79">
            <v>-576.39884937546526</v>
          </cell>
          <cell r="L79">
            <v>-137.85090689100693</v>
          </cell>
          <cell r="M79">
            <v>-562.10667746945921</v>
          </cell>
          <cell r="N79">
            <v>0</v>
          </cell>
          <cell r="O79">
            <v>0</v>
          </cell>
        </row>
        <row r="80">
          <cell r="D80">
            <v>8013.9124999999995</v>
          </cell>
          <cell r="E80">
            <v>4853.5942622950815</v>
          </cell>
          <cell r="F80">
            <v>-4602.8414062499996</v>
          </cell>
          <cell r="G80">
            <v>6388.125619834711</v>
          </cell>
          <cell r="H80">
            <v>1562.9733870967743</v>
          </cell>
          <cell r="I80">
            <v>-6268.1457364341086</v>
          </cell>
          <cell r="J80">
            <v>1576.8362903225807</v>
          </cell>
          <cell r="K80">
            <v>-1548.9055555555556</v>
          </cell>
          <cell r="L80">
            <v>0</v>
          </cell>
          <cell r="M80">
            <v>-7723.7038461538459</v>
          </cell>
          <cell r="N80">
            <v>-3141.1086614173228</v>
          </cell>
          <cell r="O80">
            <v>0</v>
          </cell>
        </row>
        <row r="83">
          <cell r="D83">
            <v>1779.4434782608694</v>
          </cell>
          <cell r="E83">
            <v>2641.7590909090909</v>
          </cell>
          <cell r="F83">
            <v>807.28750000000002</v>
          </cell>
          <cell r="G83">
            <v>807.28750000000002</v>
          </cell>
          <cell r="H83">
            <v>-766.63461538461547</v>
          </cell>
          <cell r="I83">
            <v>814.46249999999986</v>
          </cell>
          <cell r="J83">
            <v>813.74166666666656</v>
          </cell>
          <cell r="K83">
            <v>813.74166666666656</v>
          </cell>
          <cell r="L83">
            <v>1699.6608695652171</v>
          </cell>
          <cell r="M83">
            <v>-754.65000000000009</v>
          </cell>
          <cell r="N83">
            <v>-757.84615384615392</v>
          </cell>
          <cell r="O83">
            <v>0</v>
          </cell>
        </row>
      </sheetData>
      <sheetData sheetId="5">
        <row r="8">
          <cell r="D8">
            <v>149576</v>
          </cell>
          <cell r="E8">
            <v>149619</v>
          </cell>
          <cell r="F8">
            <v>149644</v>
          </cell>
          <cell r="G8">
            <v>149834</v>
          </cell>
          <cell r="H8">
            <v>150033</v>
          </cell>
          <cell r="I8">
            <v>150116</v>
          </cell>
          <cell r="J8">
            <v>150171</v>
          </cell>
          <cell r="K8">
            <v>150851</v>
          </cell>
          <cell r="L8">
            <v>151157</v>
          </cell>
          <cell r="M8">
            <v>151165</v>
          </cell>
          <cell r="N8">
            <v>151160</v>
          </cell>
          <cell r="O8">
            <v>151248</v>
          </cell>
        </row>
        <row r="10">
          <cell r="D10">
            <v>26079</v>
          </cell>
          <cell r="E10">
            <v>25950</v>
          </cell>
          <cell r="F10">
            <v>25946</v>
          </cell>
          <cell r="G10">
            <v>26005</v>
          </cell>
          <cell r="H10">
            <v>26068</v>
          </cell>
          <cell r="I10">
            <v>26051</v>
          </cell>
          <cell r="J10">
            <v>26086</v>
          </cell>
          <cell r="K10">
            <v>26111</v>
          </cell>
          <cell r="L10">
            <v>26163</v>
          </cell>
          <cell r="M10">
            <v>26158</v>
          </cell>
          <cell r="N10">
            <v>26111</v>
          </cell>
          <cell r="O10">
            <v>26096</v>
          </cell>
        </row>
        <row r="12">
          <cell r="D12">
            <v>13489</v>
          </cell>
          <cell r="E12">
            <v>13584</v>
          </cell>
          <cell r="F12">
            <v>13624</v>
          </cell>
          <cell r="G12">
            <v>13637</v>
          </cell>
          <cell r="H12">
            <v>13682</v>
          </cell>
          <cell r="I12">
            <v>13681</v>
          </cell>
          <cell r="J12">
            <v>13759</v>
          </cell>
          <cell r="K12">
            <v>13806</v>
          </cell>
          <cell r="L12">
            <v>13758</v>
          </cell>
          <cell r="M12">
            <v>13795</v>
          </cell>
          <cell r="N12">
            <v>13834</v>
          </cell>
          <cell r="O12">
            <v>13865</v>
          </cell>
        </row>
        <row r="13">
          <cell r="D13">
            <v>163</v>
          </cell>
          <cell r="E13">
            <v>162</v>
          </cell>
          <cell r="F13">
            <v>162</v>
          </cell>
          <cell r="G13">
            <v>160</v>
          </cell>
          <cell r="H13">
            <v>163</v>
          </cell>
          <cell r="I13">
            <v>158</v>
          </cell>
          <cell r="J13">
            <v>161</v>
          </cell>
          <cell r="K13">
            <v>157</v>
          </cell>
          <cell r="L13">
            <v>157</v>
          </cell>
          <cell r="M13">
            <v>156</v>
          </cell>
          <cell r="N13">
            <v>157</v>
          </cell>
          <cell r="O13">
            <v>157</v>
          </cell>
        </row>
        <row r="16">
          <cell r="D16">
            <v>360</v>
          </cell>
          <cell r="E16">
            <v>365</v>
          </cell>
          <cell r="F16">
            <v>363</v>
          </cell>
          <cell r="G16">
            <v>360</v>
          </cell>
          <cell r="H16">
            <v>362</v>
          </cell>
          <cell r="I16">
            <v>370</v>
          </cell>
          <cell r="J16">
            <v>363</v>
          </cell>
          <cell r="K16">
            <v>374</v>
          </cell>
          <cell r="L16">
            <v>370</v>
          </cell>
          <cell r="M16">
            <v>374</v>
          </cell>
          <cell r="N16">
            <v>368</v>
          </cell>
          <cell r="O16">
            <v>368</v>
          </cell>
        </row>
        <row r="17">
          <cell r="D17">
            <v>120</v>
          </cell>
          <cell r="E17">
            <v>122</v>
          </cell>
          <cell r="F17">
            <v>128</v>
          </cell>
          <cell r="G17">
            <v>121</v>
          </cell>
          <cell r="H17">
            <v>124</v>
          </cell>
          <cell r="I17">
            <v>129</v>
          </cell>
          <cell r="J17">
            <v>124</v>
          </cell>
          <cell r="K17">
            <v>126</v>
          </cell>
          <cell r="L17">
            <v>125</v>
          </cell>
          <cell r="M17">
            <v>130</v>
          </cell>
          <cell r="N17">
            <v>127</v>
          </cell>
          <cell r="O17">
            <v>125</v>
          </cell>
        </row>
        <row r="20">
          <cell r="D20">
            <v>23</v>
          </cell>
          <cell r="E20">
            <v>22</v>
          </cell>
          <cell r="F20">
            <v>24</v>
          </cell>
          <cell r="G20">
            <v>24</v>
          </cell>
          <cell r="H20">
            <v>26</v>
          </cell>
          <cell r="I20">
            <v>24</v>
          </cell>
          <cell r="J20">
            <v>24</v>
          </cell>
          <cell r="K20">
            <v>24</v>
          </cell>
          <cell r="L20">
            <v>23</v>
          </cell>
          <cell r="M20">
            <v>26</v>
          </cell>
          <cell r="N20">
            <v>26</v>
          </cell>
          <cell r="O20">
            <v>25</v>
          </cell>
        </row>
        <row r="22">
          <cell r="D22">
            <v>55755</v>
          </cell>
          <cell r="E22">
            <v>46169</v>
          </cell>
          <cell r="F22">
            <v>46132</v>
          </cell>
          <cell r="G22">
            <v>46088</v>
          </cell>
          <cell r="H22">
            <v>46099</v>
          </cell>
          <cell r="I22">
            <v>46567</v>
          </cell>
          <cell r="J22">
            <v>46631</v>
          </cell>
          <cell r="K22">
            <v>46118</v>
          </cell>
          <cell r="L22">
            <v>46122</v>
          </cell>
          <cell r="M22">
            <v>46068</v>
          </cell>
          <cell r="N22">
            <v>46038</v>
          </cell>
          <cell r="O22">
            <v>46415</v>
          </cell>
        </row>
        <row r="41">
          <cell r="D41">
            <v>1672</v>
          </cell>
          <cell r="E41">
            <v>1629</v>
          </cell>
          <cell r="F41">
            <v>1604</v>
          </cell>
          <cell r="G41">
            <v>1414</v>
          </cell>
          <cell r="H41">
            <v>1215</v>
          </cell>
          <cell r="I41">
            <v>1132</v>
          </cell>
          <cell r="J41">
            <v>1077</v>
          </cell>
          <cell r="K41">
            <v>397</v>
          </cell>
          <cell r="L41">
            <v>91</v>
          </cell>
          <cell r="M41">
            <v>83</v>
          </cell>
          <cell r="N41">
            <v>88</v>
          </cell>
          <cell r="O41">
            <v>0</v>
          </cell>
        </row>
        <row r="43">
          <cell r="D43">
            <v>17</v>
          </cell>
          <cell r="E43">
            <v>146</v>
          </cell>
          <cell r="F43">
            <v>150</v>
          </cell>
          <cell r="G43">
            <v>91</v>
          </cell>
          <cell r="H43">
            <v>28</v>
          </cell>
          <cell r="I43">
            <v>45</v>
          </cell>
          <cell r="J43">
            <v>10</v>
          </cell>
          <cell r="K43">
            <v>-15</v>
          </cell>
          <cell r="L43">
            <v>-67</v>
          </cell>
          <cell r="M43">
            <v>-62</v>
          </cell>
          <cell r="N43">
            <v>-15</v>
          </cell>
          <cell r="O43">
            <v>0</v>
          </cell>
        </row>
        <row r="45">
          <cell r="D45">
            <v>376</v>
          </cell>
          <cell r="E45">
            <v>281</v>
          </cell>
          <cell r="F45">
            <v>241</v>
          </cell>
          <cell r="G45">
            <v>228</v>
          </cell>
          <cell r="H45">
            <v>183</v>
          </cell>
          <cell r="I45">
            <v>184</v>
          </cell>
          <cell r="J45">
            <v>106</v>
          </cell>
          <cell r="K45">
            <v>59</v>
          </cell>
          <cell r="L45">
            <v>107</v>
          </cell>
          <cell r="M45">
            <v>70</v>
          </cell>
          <cell r="N45">
            <v>31</v>
          </cell>
          <cell r="O45">
            <v>0</v>
          </cell>
        </row>
        <row r="46">
          <cell r="D46">
            <v>-6</v>
          </cell>
          <cell r="E46">
            <v>-5</v>
          </cell>
          <cell r="F46">
            <v>-5</v>
          </cell>
          <cell r="G46">
            <v>-3</v>
          </cell>
          <cell r="H46">
            <v>-6</v>
          </cell>
          <cell r="I46">
            <v>-1</v>
          </cell>
          <cell r="J46">
            <v>-4</v>
          </cell>
          <cell r="K46">
            <v>0</v>
          </cell>
          <cell r="L46">
            <v>0</v>
          </cell>
          <cell r="M46">
            <v>1</v>
          </cell>
          <cell r="N46">
            <v>0</v>
          </cell>
          <cell r="O46">
            <v>0</v>
          </cell>
        </row>
        <row r="49">
          <cell r="D49">
            <v>8</v>
          </cell>
          <cell r="E49">
            <v>3</v>
          </cell>
          <cell r="F49">
            <v>5</v>
          </cell>
          <cell r="G49">
            <v>8</v>
          </cell>
          <cell r="H49">
            <v>6</v>
          </cell>
          <cell r="I49">
            <v>-2</v>
          </cell>
          <cell r="J49">
            <v>5</v>
          </cell>
          <cell r="K49">
            <v>-6</v>
          </cell>
          <cell r="L49">
            <v>-2</v>
          </cell>
          <cell r="M49">
            <v>-6</v>
          </cell>
          <cell r="N49">
            <v>0</v>
          </cell>
          <cell r="O49">
            <v>0</v>
          </cell>
        </row>
        <row r="50">
          <cell r="D50">
            <v>5</v>
          </cell>
          <cell r="E50">
            <v>3</v>
          </cell>
          <cell r="F50">
            <v>-3</v>
          </cell>
          <cell r="G50">
            <v>4</v>
          </cell>
          <cell r="H50">
            <v>1</v>
          </cell>
          <cell r="I50">
            <v>-4</v>
          </cell>
          <cell r="J50">
            <v>1</v>
          </cell>
          <cell r="K50">
            <v>-1</v>
          </cell>
          <cell r="L50">
            <v>0</v>
          </cell>
          <cell r="M50">
            <v>-5</v>
          </cell>
          <cell r="N50">
            <v>-2</v>
          </cell>
          <cell r="O50">
            <v>0</v>
          </cell>
        </row>
        <row r="53">
          <cell r="D53">
            <v>2</v>
          </cell>
          <cell r="E53">
            <v>3</v>
          </cell>
          <cell r="F53">
            <v>1</v>
          </cell>
          <cell r="G53">
            <v>1</v>
          </cell>
          <cell r="H53">
            <v>-1</v>
          </cell>
          <cell r="I53">
            <v>1</v>
          </cell>
          <cell r="J53">
            <v>1</v>
          </cell>
          <cell r="K53">
            <v>1</v>
          </cell>
          <cell r="L53">
            <v>2</v>
          </cell>
          <cell r="M53">
            <v>-1</v>
          </cell>
          <cell r="N53">
            <v>-1</v>
          </cell>
          <cell r="O53">
            <v>0</v>
          </cell>
        </row>
        <row r="55">
          <cell r="D55">
            <v>-9340</v>
          </cell>
          <cell r="E55">
            <v>246</v>
          </cell>
          <cell r="F55">
            <v>283</v>
          </cell>
          <cell r="G55">
            <v>327</v>
          </cell>
          <cell r="H55">
            <v>316</v>
          </cell>
          <cell r="I55">
            <v>-152</v>
          </cell>
          <cell r="J55">
            <v>-216</v>
          </cell>
          <cell r="K55">
            <v>297</v>
          </cell>
          <cell r="L55">
            <v>293</v>
          </cell>
          <cell r="M55">
            <v>347</v>
          </cell>
          <cell r="N55">
            <v>377</v>
          </cell>
          <cell r="O55">
            <v>0</v>
          </cell>
        </row>
      </sheetData>
      <sheetData sheetId="6"/>
      <sheetData sheetId="7">
        <row r="8">
          <cell r="D8">
            <v>9902171.6500000004</v>
          </cell>
          <cell r="E8">
            <v>7936132.4199999999</v>
          </cell>
          <cell r="F8">
            <v>6216280.3300000001</v>
          </cell>
          <cell r="G8">
            <v>5565896.9000000004</v>
          </cell>
          <cell r="H8">
            <v>6094639.0499999998</v>
          </cell>
          <cell r="I8">
            <v>9079716.1400000006</v>
          </cell>
          <cell r="J8">
            <v>10082357.75</v>
          </cell>
          <cell r="K8">
            <v>9641509.0899999999</v>
          </cell>
          <cell r="L8">
            <v>8761999.8800000008</v>
          </cell>
          <cell r="M8">
            <v>6763944.96</v>
          </cell>
          <cell r="N8">
            <v>5995134.5199999996</v>
          </cell>
          <cell r="O8">
            <v>7611259.7199999997</v>
          </cell>
        </row>
        <row r="10">
          <cell r="D10">
            <v>1132418.1499999999</v>
          </cell>
          <cell r="E10">
            <v>1032808.18</v>
          </cell>
          <cell r="F10">
            <v>969344.89</v>
          </cell>
          <cell r="G10">
            <v>961811.88</v>
          </cell>
          <cell r="H10">
            <v>972554.36</v>
          </cell>
          <cell r="I10">
            <v>1112287.3999999999</v>
          </cell>
          <cell r="J10">
            <v>1159717.77</v>
          </cell>
          <cell r="K10">
            <v>1153834.72</v>
          </cell>
          <cell r="L10">
            <v>1098804.01</v>
          </cell>
          <cell r="M10">
            <v>988717.06</v>
          </cell>
          <cell r="N10">
            <v>933550.43</v>
          </cell>
          <cell r="O10">
            <v>1025076.2</v>
          </cell>
        </row>
        <row r="12">
          <cell r="D12">
            <v>4019754.13</v>
          </cell>
          <cell r="E12">
            <v>4000768.78</v>
          </cell>
          <cell r="F12">
            <v>3878868.59</v>
          </cell>
          <cell r="G12">
            <v>3816427.13</v>
          </cell>
          <cell r="H12">
            <v>3925972.33</v>
          </cell>
          <cell r="I12">
            <v>4116948.81</v>
          </cell>
          <cell r="J12">
            <v>4127722.17</v>
          </cell>
          <cell r="K12">
            <v>4148031.84</v>
          </cell>
          <cell r="L12">
            <v>4108973.15</v>
          </cell>
          <cell r="M12">
            <v>3965875.7</v>
          </cell>
          <cell r="N12">
            <v>3888777.08</v>
          </cell>
          <cell r="O12">
            <v>3882332.91</v>
          </cell>
        </row>
        <row r="13">
          <cell r="D13">
            <v>848732.28</v>
          </cell>
          <cell r="E13">
            <v>808500.27</v>
          </cell>
          <cell r="F13">
            <v>751066.61</v>
          </cell>
          <cell r="G13">
            <v>710862.11</v>
          </cell>
          <cell r="H13">
            <v>700039.62</v>
          </cell>
          <cell r="I13">
            <v>614907.53</v>
          </cell>
          <cell r="J13">
            <v>746792.85</v>
          </cell>
          <cell r="K13">
            <v>663599.93999999994</v>
          </cell>
          <cell r="L13">
            <v>649490.30000000005</v>
          </cell>
          <cell r="M13">
            <v>651227.63</v>
          </cell>
          <cell r="N13">
            <v>697982.27</v>
          </cell>
          <cell r="O13">
            <v>746496.89</v>
          </cell>
        </row>
        <row r="16">
          <cell r="D16">
            <v>158931.43</v>
          </cell>
          <cell r="E16">
            <v>181135.41</v>
          </cell>
          <cell r="F16">
            <v>176135.55</v>
          </cell>
          <cell r="G16">
            <v>176557.73</v>
          </cell>
          <cell r="H16">
            <v>186766.92</v>
          </cell>
          <cell r="I16">
            <v>191133.11</v>
          </cell>
          <cell r="J16">
            <v>175427.71</v>
          </cell>
          <cell r="K16">
            <v>214144.38</v>
          </cell>
          <cell r="L16">
            <v>166634.93</v>
          </cell>
          <cell r="M16">
            <v>206612.52</v>
          </cell>
          <cell r="N16">
            <v>193694.09</v>
          </cell>
          <cell r="O16">
            <v>179675.26</v>
          </cell>
        </row>
        <row r="17">
          <cell r="D17">
            <v>1352611.56</v>
          </cell>
          <cell r="E17">
            <v>1379762.16</v>
          </cell>
          <cell r="F17">
            <v>1367885.59</v>
          </cell>
          <cell r="G17">
            <v>1343541</v>
          </cell>
          <cell r="H17">
            <v>1337382.04</v>
          </cell>
          <cell r="I17">
            <v>1397808.32</v>
          </cell>
          <cell r="J17">
            <v>1375275.68</v>
          </cell>
          <cell r="K17">
            <v>1370663.5</v>
          </cell>
          <cell r="L17">
            <v>1405363.5</v>
          </cell>
          <cell r="M17">
            <v>1398647.32</v>
          </cell>
          <cell r="N17">
            <v>1383550.58</v>
          </cell>
          <cell r="O17">
            <v>1386212.25</v>
          </cell>
        </row>
        <row r="20">
          <cell r="D20">
            <v>66429.03</v>
          </cell>
          <cell r="E20">
            <v>63766.78</v>
          </cell>
          <cell r="F20">
            <v>57568.33</v>
          </cell>
          <cell r="G20">
            <v>56557.93</v>
          </cell>
          <cell r="H20">
            <v>60027.86</v>
          </cell>
          <cell r="I20">
            <v>57837.7</v>
          </cell>
          <cell r="J20">
            <v>57899.87</v>
          </cell>
          <cell r="K20">
            <v>57563.18</v>
          </cell>
          <cell r="L20">
            <v>63606.78</v>
          </cell>
          <cell r="M20">
            <v>68427.48</v>
          </cell>
          <cell r="N20">
            <v>67740.19</v>
          </cell>
          <cell r="O20">
            <v>68775.55</v>
          </cell>
        </row>
        <row r="22">
          <cell r="D22">
            <v>404136.95</v>
          </cell>
          <cell r="E22">
            <v>403412.98</v>
          </cell>
          <cell r="F22">
            <v>401775.09</v>
          </cell>
          <cell r="G22">
            <v>401332.93</v>
          </cell>
          <cell r="H22">
            <v>401919.41</v>
          </cell>
          <cell r="I22">
            <v>401438.77</v>
          </cell>
          <cell r="J22">
            <v>401466.64</v>
          </cell>
          <cell r="K22">
            <v>400904.53</v>
          </cell>
          <cell r="L22">
            <v>391025.87</v>
          </cell>
          <cell r="M22">
            <v>396966.59</v>
          </cell>
          <cell r="N22">
            <v>396678.8</v>
          </cell>
          <cell r="O22">
            <v>395750.19</v>
          </cell>
        </row>
        <row r="40">
          <cell r="D40">
            <v>-1172987.26</v>
          </cell>
          <cell r="E40">
            <v>-896018.44</v>
          </cell>
          <cell r="F40">
            <v>-699384.19</v>
          </cell>
          <cell r="G40">
            <v>-603351.65</v>
          </cell>
          <cell r="H40">
            <v>-683041.09</v>
          </cell>
          <cell r="I40">
            <v>-1134766.71</v>
          </cell>
          <cell r="J40">
            <v>-1286240.49</v>
          </cell>
          <cell r="K40">
            <v>-1219667.05</v>
          </cell>
          <cell r="L40">
            <v>-1090854.32</v>
          </cell>
          <cell r="M40">
            <v>-773995.35</v>
          </cell>
          <cell r="N40">
            <v>-658787.05000000005</v>
          </cell>
          <cell r="O40">
            <v>-900483.87</v>
          </cell>
        </row>
        <row r="42">
          <cell r="D42">
            <v>-42278.95</v>
          </cell>
          <cell r="E42">
            <v>-36504.400000000001</v>
          </cell>
          <cell r="F42">
            <v>-32530.27</v>
          </cell>
          <cell r="G42">
            <v>-32031.32</v>
          </cell>
          <cell r="H42">
            <v>-32571.279999999999</v>
          </cell>
          <cell r="I42">
            <v>-40815.99</v>
          </cell>
          <cell r="J42">
            <v>-43627.98</v>
          </cell>
          <cell r="K42">
            <v>-43297.24</v>
          </cell>
          <cell r="L42">
            <v>-41499.26</v>
          </cell>
          <cell r="M42">
            <v>-34180.75</v>
          </cell>
          <cell r="N42">
            <v>-30864.67</v>
          </cell>
          <cell r="O42">
            <v>-36440.75</v>
          </cell>
        </row>
        <row r="44">
          <cell r="D44">
            <v>-543675.31999999995</v>
          </cell>
          <cell r="E44">
            <v>-543398.31000000006</v>
          </cell>
          <cell r="F44">
            <v>-542658.93999999994</v>
          </cell>
          <cell r="G44">
            <v>-527088.14</v>
          </cell>
          <cell r="H44">
            <v>-551243.34</v>
          </cell>
          <cell r="I44">
            <v>-586256.44999999995</v>
          </cell>
          <cell r="J44">
            <v>-581544.93000000005</v>
          </cell>
          <cell r="K44">
            <v>-587921.91</v>
          </cell>
          <cell r="L44">
            <v>-594954.14</v>
          </cell>
          <cell r="M44">
            <v>-559104.80000000005</v>
          </cell>
          <cell r="N44">
            <v>-546719.36</v>
          </cell>
          <cell r="O44">
            <v>-536828.14</v>
          </cell>
        </row>
        <row r="45">
          <cell r="D45">
            <v>-120570.78</v>
          </cell>
          <cell r="E45">
            <v>-118896.4</v>
          </cell>
          <cell r="F45">
            <v>-119046.07</v>
          </cell>
          <cell r="G45">
            <v>-117591.48</v>
          </cell>
          <cell r="H45">
            <v>-120271.88</v>
          </cell>
          <cell r="I45">
            <v>-102337.84</v>
          </cell>
          <cell r="J45">
            <v>-123672.69</v>
          </cell>
          <cell r="K45">
            <v>-112166.21</v>
          </cell>
          <cell r="L45">
            <v>-112511.92</v>
          </cell>
          <cell r="M45">
            <v>-112130.74</v>
          </cell>
          <cell r="N45">
            <v>-118217.04</v>
          </cell>
          <cell r="O45">
            <v>-118749.95</v>
          </cell>
        </row>
        <row r="48">
          <cell r="D48">
            <v>-24138.36</v>
          </cell>
          <cell r="E48">
            <v>-33596.660000000003</v>
          </cell>
          <cell r="F48">
            <v>-30712.93</v>
          </cell>
          <cell r="G48">
            <v>-30692.25</v>
          </cell>
          <cell r="H48">
            <v>-34244.75</v>
          </cell>
          <cell r="I48">
            <v>-34882.699999999997</v>
          </cell>
          <cell r="J48">
            <v>-30807.84</v>
          </cell>
          <cell r="K48">
            <v>-41250.86</v>
          </cell>
          <cell r="L48">
            <v>-28580.21</v>
          </cell>
          <cell r="M48">
            <v>-39636.54</v>
          </cell>
          <cell r="N48">
            <v>-36285.26</v>
          </cell>
          <cell r="O48">
            <v>-32017.52</v>
          </cell>
        </row>
        <row r="49">
          <cell r="D49">
            <v>-377543.59</v>
          </cell>
          <cell r="E49">
            <v>-387448.1</v>
          </cell>
          <cell r="F49">
            <v>-385492.82</v>
          </cell>
          <cell r="G49">
            <v>-379315.92</v>
          </cell>
          <cell r="H49">
            <v>-375888.81</v>
          </cell>
          <cell r="I49">
            <v>-391344.28</v>
          </cell>
          <cell r="J49">
            <v>-385716.18</v>
          </cell>
          <cell r="K49">
            <v>-381694.34</v>
          </cell>
          <cell r="L49">
            <v>-400375.21</v>
          </cell>
          <cell r="M49">
            <v>-394190.6</v>
          </cell>
          <cell r="N49">
            <v>-391519.41</v>
          </cell>
          <cell r="O49">
            <v>-392159.15</v>
          </cell>
        </row>
        <row r="52">
          <cell r="D52">
            <v>-26566.639999999999</v>
          </cell>
          <cell r="E52">
            <v>-25953.29</v>
          </cell>
          <cell r="F52">
            <v>-26258.81</v>
          </cell>
          <cell r="G52">
            <v>-26258.81</v>
          </cell>
          <cell r="H52">
            <v>-27017.61</v>
          </cell>
          <cell r="I52">
            <v>-26493.67</v>
          </cell>
          <cell r="J52">
            <v>-26470.21</v>
          </cell>
          <cell r="K52">
            <v>-26470.21</v>
          </cell>
          <cell r="L52">
            <v>-26493.67</v>
          </cell>
          <cell r="M52">
            <v>-26592.39</v>
          </cell>
          <cell r="N52">
            <v>-26705.07</v>
          </cell>
          <cell r="O52">
            <v>-27297.1</v>
          </cell>
        </row>
        <row r="54">
          <cell r="D54">
            <v>-10582.61</v>
          </cell>
          <cell r="E54">
            <v>-10554.46</v>
          </cell>
          <cell r="F54">
            <v>-10545.84</v>
          </cell>
          <cell r="G54">
            <v>-10535.58</v>
          </cell>
          <cell r="H54">
            <v>-10553.96</v>
          </cell>
          <cell r="I54">
            <v>-10536.19</v>
          </cell>
          <cell r="J54">
            <v>-10528.72</v>
          </cell>
          <cell r="K54">
            <v>-10521.06</v>
          </cell>
          <cell r="L54">
            <v>-10520.08</v>
          </cell>
          <cell r="M54">
            <v>-10508.06</v>
          </cell>
          <cell r="N54">
            <v>-10495.43</v>
          </cell>
          <cell r="O54">
            <v>-10471.61</v>
          </cell>
        </row>
        <row r="73">
          <cell r="D73">
            <v>-71151.289999999994</v>
          </cell>
          <cell r="E73">
            <v>-54351.05</v>
          </cell>
          <cell r="F73">
            <v>-42423.43</v>
          </cell>
          <cell r="G73">
            <v>-36598.17</v>
          </cell>
          <cell r="H73">
            <v>-41433.74</v>
          </cell>
          <cell r="I73">
            <v>-68833.440000000002</v>
          </cell>
          <cell r="J73">
            <v>-78021.63</v>
          </cell>
          <cell r="K73">
            <v>-73983.289999999994</v>
          </cell>
          <cell r="L73">
            <v>-66169.73</v>
          </cell>
          <cell r="M73">
            <v>-46949.49</v>
          </cell>
          <cell r="N73">
            <v>-39961.360000000001</v>
          </cell>
          <cell r="O73">
            <v>-54622.69</v>
          </cell>
        </row>
        <row r="75">
          <cell r="D75">
            <v>-3387.19</v>
          </cell>
          <cell r="E75">
            <v>-2930.54</v>
          </cell>
          <cell r="F75">
            <v>-2605.1799999999998</v>
          </cell>
          <cell r="G75">
            <v>-2563.42</v>
          </cell>
          <cell r="H75">
            <v>-2610.38</v>
          </cell>
          <cell r="I75">
            <v>-3280.87</v>
          </cell>
          <cell r="J75">
            <v>-3510.22</v>
          </cell>
          <cell r="K75">
            <v>-3334.84</v>
          </cell>
          <cell r="L75">
            <v>-3320.11</v>
          </cell>
          <cell r="M75">
            <v>-2727.07</v>
          </cell>
          <cell r="N75">
            <v>-2460.31</v>
          </cell>
          <cell r="O75">
            <v>-2905.28</v>
          </cell>
        </row>
        <row r="77">
          <cell r="D77">
            <v>-35823.980000000003</v>
          </cell>
          <cell r="E77">
            <v>-35338.74</v>
          </cell>
          <cell r="F77">
            <v>-35009.43</v>
          </cell>
          <cell r="G77">
            <v>-34798.519999999997</v>
          </cell>
          <cell r="H77">
            <v>-35606.03</v>
          </cell>
          <cell r="I77">
            <v>-36977.379999999997</v>
          </cell>
          <cell r="J77">
            <v>-37581.74</v>
          </cell>
          <cell r="K77">
            <v>-37378.81</v>
          </cell>
          <cell r="L77">
            <v>-37212.14</v>
          </cell>
          <cell r="M77">
            <v>-35781.019999999997</v>
          </cell>
          <cell r="N77">
            <v>-35181.29</v>
          </cell>
          <cell r="O77">
            <v>-35503.839999999997</v>
          </cell>
        </row>
        <row r="78">
          <cell r="D78">
            <v>-8051.23</v>
          </cell>
          <cell r="E78">
            <v>-7531.39</v>
          </cell>
          <cell r="F78">
            <v>-6878.67</v>
          </cell>
          <cell r="G78">
            <v>-6233.08</v>
          </cell>
          <cell r="H78">
            <v>-6212.85</v>
          </cell>
          <cell r="I78">
            <v>-5548.55</v>
          </cell>
          <cell r="J78">
            <v>-6595.79</v>
          </cell>
          <cell r="K78">
            <v>-5693.79</v>
          </cell>
          <cell r="L78">
            <v>-5774.35</v>
          </cell>
          <cell r="M78">
            <v>-5760.62</v>
          </cell>
          <cell r="N78">
            <v>-6309.34</v>
          </cell>
          <cell r="O78">
            <v>-7081.54</v>
          </cell>
        </row>
        <row r="81">
          <cell r="D81">
            <v>-1978.66</v>
          </cell>
          <cell r="E81">
            <v>-2331.29</v>
          </cell>
          <cell r="F81">
            <v>-2109.5500000000002</v>
          </cell>
          <cell r="G81">
            <v>-2133</v>
          </cell>
          <cell r="H81">
            <v>-2252.6999999999998</v>
          </cell>
          <cell r="I81">
            <v>-2432.79</v>
          </cell>
          <cell r="J81">
            <v>-2101.17</v>
          </cell>
          <cell r="K81">
            <v>-2420.2600000000002</v>
          </cell>
          <cell r="L81">
            <v>-2010.85</v>
          </cell>
          <cell r="M81">
            <v>-2690.85</v>
          </cell>
          <cell r="N81">
            <v>-2343.02</v>
          </cell>
          <cell r="O81">
            <v>-2247.69</v>
          </cell>
        </row>
        <row r="82">
          <cell r="D82">
            <v>-18595.330000000002</v>
          </cell>
          <cell r="E82">
            <v>-18886.189999999999</v>
          </cell>
          <cell r="F82">
            <v>-19022.97</v>
          </cell>
          <cell r="G82">
            <v>-18673.330000000002</v>
          </cell>
          <cell r="H82">
            <v>-18810.75</v>
          </cell>
          <cell r="I82">
            <v>-19895.39</v>
          </cell>
          <cell r="J82">
            <v>-19212.14</v>
          </cell>
          <cell r="K82">
            <v>-17917.830000000002</v>
          </cell>
          <cell r="L82">
            <v>-19980.38</v>
          </cell>
          <cell r="M82">
            <v>-19475.57</v>
          </cell>
          <cell r="N82">
            <v>-19114.72</v>
          </cell>
          <cell r="O82">
            <v>-19183.13</v>
          </cell>
        </row>
        <row r="85">
          <cell r="D85">
            <v>-922.17</v>
          </cell>
          <cell r="E85">
            <v>-862.27</v>
          </cell>
          <cell r="F85">
            <v>-907.95</v>
          </cell>
          <cell r="G85">
            <v>-882.18</v>
          </cell>
          <cell r="H85">
            <v>-975.9</v>
          </cell>
          <cell r="I85">
            <v>-1056.58</v>
          </cell>
          <cell r="J85">
            <v>-1087.9100000000001</v>
          </cell>
          <cell r="K85">
            <v>-973.43</v>
          </cell>
          <cell r="L85">
            <v>-960.83</v>
          </cell>
          <cell r="M85">
            <v>-1035.6400000000001</v>
          </cell>
          <cell r="N85">
            <v>-1048.51</v>
          </cell>
          <cell r="O85">
            <v>-1061.03</v>
          </cell>
        </row>
        <row r="171">
          <cell r="D171">
            <v>538.79</v>
          </cell>
          <cell r="E171">
            <v>486.65</v>
          </cell>
          <cell r="F171">
            <v>360.75</v>
          </cell>
          <cell r="G171">
            <v>324.77999999999997</v>
          </cell>
          <cell r="H171">
            <v>278.68</v>
          </cell>
          <cell r="I171">
            <v>330.46</v>
          </cell>
          <cell r="J171">
            <v>330.7</v>
          </cell>
          <cell r="K171">
            <v>309.70999999999998</v>
          </cell>
          <cell r="L171">
            <v>273.08</v>
          </cell>
          <cell r="M171">
            <v>258.54000000000002</v>
          </cell>
          <cell r="N171">
            <v>297.02</v>
          </cell>
          <cell r="O171">
            <v>533.88</v>
          </cell>
        </row>
        <row r="173">
          <cell r="D173">
            <v>712.04</v>
          </cell>
          <cell r="E173">
            <v>545.04999999999995</v>
          </cell>
          <cell r="F173">
            <v>439.65</v>
          </cell>
          <cell r="G173">
            <v>442.13</v>
          </cell>
          <cell r="H173">
            <v>431.09</v>
          </cell>
          <cell r="I173">
            <v>472.18</v>
          </cell>
          <cell r="J173">
            <v>466.2</v>
          </cell>
          <cell r="K173">
            <v>432.03</v>
          </cell>
          <cell r="L173">
            <v>414.27</v>
          </cell>
          <cell r="M173">
            <v>422.89</v>
          </cell>
          <cell r="N173">
            <v>407.42</v>
          </cell>
          <cell r="O173">
            <v>442.39</v>
          </cell>
        </row>
        <row r="175">
          <cell r="D175">
            <v>9496.3700000000008</v>
          </cell>
          <cell r="E175">
            <v>9300</v>
          </cell>
          <cell r="F175">
            <v>9239.6</v>
          </cell>
          <cell r="G175">
            <v>9119.1299999999992</v>
          </cell>
          <cell r="H175">
            <v>8929.77</v>
          </cell>
          <cell r="I175">
            <v>8981.9599999999991</v>
          </cell>
          <cell r="J175">
            <v>9309.15</v>
          </cell>
          <cell r="K175">
            <v>9367.9</v>
          </cell>
          <cell r="L175">
            <v>9673.73</v>
          </cell>
          <cell r="M175">
            <v>9422.26</v>
          </cell>
          <cell r="N175">
            <v>9255.36</v>
          </cell>
          <cell r="O175">
            <v>9227.7199999999993</v>
          </cell>
        </row>
        <row r="176">
          <cell r="D176">
            <v>3634.15</v>
          </cell>
          <cell r="E176">
            <v>3705.09</v>
          </cell>
          <cell r="F176">
            <v>3707.34</v>
          </cell>
          <cell r="G176">
            <v>3883.56</v>
          </cell>
          <cell r="H176">
            <v>3885.62</v>
          </cell>
          <cell r="I176">
            <v>4216.3100000000004</v>
          </cell>
          <cell r="J176">
            <v>4005.04</v>
          </cell>
          <cell r="K176">
            <v>3966.84</v>
          </cell>
          <cell r="L176">
            <v>4033.67</v>
          </cell>
          <cell r="M176">
            <v>4031.81</v>
          </cell>
          <cell r="N176">
            <v>3783.17</v>
          </cell>
          <cell r="O176">
            <v>3741.12</v>
          </cell>
        </row>
        <row r="185">
          <cell r="D185">
            <v>87.58</v>
          </cell>
          <cell r="E185">
            <v>87.58</v>
          </cell>
          <cell r="F185">
            <v>87.58</v>
          </cell>
          <cell r="G185">
            <v>87.58</v>
          </cell>
          <cell r="H185">
            <v>87.58</v>
          </cell>
          <cell r="I185">
            <v>87.58</v>
          </cell>
          <cell r="J185">
            <v>87.58</v>
          </cell>
          <cell r="K185">
            <v>87.58</v>
          </cell>
          <cell r="L185">
            <v>87.58</v>
          </cell>
          <cell r="M185">
            <v>78.150000000000006</v>
          </cell>
          <cell r="N185">
            <v>78.150000000000006</v>
          </cell>
          <cell r="O185">
            <v>78.31</v>
          </cell>
        </row>
        <row r="298">
          <cell r="D298">
            <v>51939.238956825015</v>
          </cell>
          <cell r="E298">
            <v>42861.508294987361</v>
          </cell>
          <cell r="F298">
            <v>37500.044768126521</v>
          </cell>
          <cell r="G298">
            <v>30431.738159624128</v>
          </cell>
          <cell r="H298">
            <v>27821.21876067917</v>
          </cell>
          <cell r="I298">
            <v>33827.461532012618</v>
          </cell>
          <cell r="J298">
            <v>36867.327758775704</v>
          </cell>
          <cell r="K298">
            <v>13708.826734258757</v>
          </cell>
          <cell r="L298">
            <v>2932.1094941937545</v>
          </cell>
          <cell r="M298">
            <v>2105.7444675003949</v>
          </cell>
          <cell r="N298">
            <v>1887.8924923535599</v>
          </cell>
          <cell r="O298">
            <v>0</v>
          </cell>
        </row>
        <row r="300">
          <cell r="D300">
            <v>473.31984477633296</v>
          </cell>
          <cell r="E300">
            <v>3768.1196049887812</v>
          </cell>
          <cell r="F300">
            <v>3659.4771159276388</v>
          </cell>
          <cell r="G300">
            <v>2205.2743051477014</v>
          </cell>
          <cell r="H300">
            <v>682.43171879328008</v>
          </cell>
          <cell r="I300">
            <v>1205.3624660290648</v>
          </cell>
          <cell r="J300">
            <v>281.58604555950888</v>
          </cell>
          <cell r="K300">
            <v>-428.29399528638561</v>
          </cell>
          <cell r="L300">
            <v>-1874.3969112724233</v>
          </cell>
          <cell r="M300">
            <v>-1562.020939503605</v>
          </cell>
          <cell r="N300">
            <v>-355.03401755599373</v>
          </cell>
        </row>
        <row r="302">
          <cell r="D302">
            <v>54383.325320822471</v>
          </cell>
          <cell r="E302">
            <v>40185.414113025377</v>
          </cell>
          <cell r="F302">
            <v>34396.341131381756</v>
          </cell>
          <cell r="G302">
            <v>32497.142036423844</v>
          </cell>
          <cell r="H302">
            <v>26435.310807389131</v>
          </cell>
          <cell r="I302">
            <v>26136.882128879031</v>
          </cell>
          <cell r="J302">
            <v>15513.887398274701</v>
          </cell>
          <cell r="K302">
            <v>8847.0006510855346</v>
          </cell>
          <cell r="L302">
            <v>16151.50381267549</v>
          </cell>
          <cell r="M302">
            <v>10253.163603529534</v>
          </cell>
          <cell r="N302">
            <v>4387.2230137827128</v>
          </cell>
        </row>
        <row r="303">
          <cell r="D303">
            <v>-14299.246011242256</v>
          </cell>
          <cell r="E303">
            <v>-11358.006510124873</v>
          </cell>
          <cell r="F303">
            <v>-10613.109716232555</v>
          </cell>
          <cell r="G303">
            <v>-5917.5477307811934</v>
          </cell>
          <cell r="H303">
            <v>-11593.583729167178</v>
          </cell>
          <cell r="I303">
            <v>-1695.0908707168212</v>
          </cell>
          <cell r="J303">
            <v>-8061.9373141284004</v>
          </cell>
          <cell r="K303">
            <v>0</v>
          </cell>
          <cell r="L303">
            <v>0</v>
          </cell>
          <cell r="M303">
            <v>1898.4044004260627</v>
          </cell>
          <cell r="N303">
            <v>0</v>
          </cell>
        </row>
        <row r="306">
          <cell r="D306">
            <v>2459.5720314769324</v>
          </cell>
          <cell r="E306">
            <v>981.42483351811461</v>
          </cell>
          <cell r="F306">
            <v>1574.2593086210773</v>
          </cell>
          <cell r="G306">
            <v>2559.2145757309218</v>
          </cell>
          <cell r="H306">
            <v>1960.3386606198162</v>
          </cell>
          <cell r="I306">
            <v>-619.14563907987758</v>
          </cell>
          <cell r="J306">
            <v>1493.0683606033958</v>
          </cell>
          <cell r="K306">
            <v>-2150.3843991270292</v>
          </cell>
          <cell r="L306">
            <v>-628.76591938526371</v>
          </cell>
          <cell r="M306">
            <v>-2148.4600147580509</v>
          </cell>
          <cell r="N306">
            <v>0</v>
          </cell>
          <cell r="O306">
            <v>0</v>
          </cell>
        </row>
        <row r="307">
          <cell r="D307">
            <v>21348.192641955218</v>
          </cell>
          <cell r="E307">
            <v>12756.910771579265</v>
          </cell>
          <cell r="F307">
            <v>-12278.820144794387</v>
          </cell>
          <cell r="G307">
            <v>17012.404386453731</v>
          </cell>
          <cell r="H307">
            <v>4183.5004901366856</v>
          </cell>
          <cell r="I307">
            <v>-16941.41215329049</v>
          </cell>
          <cell r="J307">
            <v>4268.0190100914688</v>
          </cell>
          <cell r="K307">
            <v>-4257.5370037058274</v>
          </cell>
          <cell r="L307">
            <v>0</v>
          </cell>
          <cell r="M307">
            <v>-20713.423456930985</v>
          </cell>
          <cell r="N307">
            <v>-8334.0245186288594</v>
          </cell>
          <cell r="O307">
            <v>0</v>
          </cell>
        </row>
        <row r="310">
          <cell r="D310">
            <v>1752.5457779093554</v>
          </cell>
          <cell r="E310">
            <v>2628.7194905558863</v>
          </cell>
          <cell r="F310">
            <v>876.18975748287357</v>
          </cell>
          <cell r="G310">
            <v>876.15031147949128</v>
          </cell>
          <cell r="H310">
            <v>-876.17886705783019</v>
          </cell>
          <cell r="I310">
            <v>876.41726741599655</v>
          </cell>
          <cell r="J310">
            <v>876.46521886355811</v>
          </cell>
          <cell r="K310">
            <v>876.28998799078965</v>
          </cell>
          <cell r="L310">
            <v>1752.6692833780414</v>
          </cell>
          <cell r="M310">
            <v>-876.26326476576151</v>
          </cell>
          <cell r="N310">
            <v>-876.28145826885498</v>
          </cell>
          <cell r="O310">
            <v>0</v>
          </cell>
        </row>
        <row r="312">
          <cell r="D312">
            <v>-16270.164734298625</v>
          </cell>
          <cell r="E312">
            <v>516.15593073079333</v>
          </cell>
          <cell r="F312">
            <v>593.76229201892386</v>
          </cell>
          <cell r="G312">
            <v>686.05935065053814</v>
          </cell>
          <cell r="H312">
            <v>663.98961309763763</v>
          </cell>
          <cell r="I312">
            <v>-315.63576214486653</v>
          </cell>
          <cell r="J312">
            <v>-447.61075853590955</v>
          </cell>
          <cell r="K312">
            <v>621.86083339260153</v>
          </cell>
          <cell r="L312">
            <v>613.35382798256796</v>
          </cell>
          <cell r="M312">
            <v>726.41906244746883</v>
          </cell>
          <cell r="N312">
            <v>788.79292406047182</v>
          </cell>
          <cell r="O312">
            <v>0</v>
          </cell>
        </row>
        <row r="329">
          <cell r="D329">
            <v>-347898.07959718647</v>
          </cell>
          <cell r="E329">
            <v>-167627.0382739192</v>
          </cell>
          <cell r="F329">
            <v>26130.111353418062</v>
          </cell>
          <cell r="G329">
            <v>59447.172531011864</v>
          </cell>
          <cell r="H329">
            <v>12333.751781292931</v>
          </cell>
          <cell r="I329">
            <v>-390021.3817161303</v>
          </cell>
          <cell r="J329">
            <v>-222744.03137557016</v>
          </cell>
          <cell r="K329">
            <v>54178.57209339847</v>
          </cell>
          <cell r="L329">
            <v>127155.50562328209</v>
          </cell>
          <cell r="M329">
            <v>110399.95971853782</v>
          </cell>
          <cell r="N329">
            <v>-111442.53157938803</v>
          </cell>
          <cell r="O329">
            <v>-147584.78024055759</v>
          </cell>
        </row>
        <row r="331">
          <cell r="D331">
            <v>-6042.5200869220698</v>
          </cell>
          <cell r="E331">
            <v>-2730.2848590342523</v>
          </cell>
          <cell r="F331">
            <v>576.76073486511598</v>
          </cell>
          <cell r="G331">
            <v>2106.4890554508688</v>
          </cell>
          <cell r="H331">
            <v>1080.4193451540339</v>
          </cell>
          <cell r="I331">
            <v>-19277.216023752568</v>
          </cell>
          <cell r="J331">
            <v>-11260.408347979361</v>
          </cell>
          <cell r="K331">
            <v>2776.0608281500231</v>
          </cell>
          <cell r="L331">
            <v>6663.8105145164509</v>
          </cell>
          <cell r="M331">
            <v>7491.8475858556722</v>
          </cell>
          <cell r="N331">
            <v>434.50249899583036</v>
          </cell>
          <cell r="O331">
            <v>-2255.4316796062385</v>
          </cell>
        </row>
        <row r="333">
          <cell r="D333">
            <v>-25098.697677383567</v>
          </cell>
          <cell r="E333">
            <v>-13055.488224918094</v>
          </cell>
          <cell r="F333">
            <v>3181.7830203587619</v>
          </cell>
          <cell r="G333">
            <v>12037.425820529241</v>
          </cell>
          <cell r="H333">
            <v>6303.8643966587342</v>
          </cell>
          <cell r="I333">
            <v>-90255.164701305126</v>
          </cell>
          <cell r="J333">
            <v>-49761.118393329474</v>
          </cell>
          <cell r="K333">
            <v>12287.166480631271</v>
          </cell>
          <cell r="L333">
            <v>30038.740308627792</v>
          </cell>
          <cell r="M333">
            <v>39257.993522630153</v>
          </cell>
          <cell r="N333">
            <v>3216.1550727996905</v>
          </cell>
          <cell r="O333">
            <v>-10458.002405445544</v>
          </cell>
        </row>
        <row r="334">
          <cell r="D334">
            <v>-4749.6334373752543</v>
          </cell>
          <cell r="E334">
            <v>-2719.9778130622608</v>
          </cell>
          <cell r="F334">
            <v>572.36353982017295</v>
          </cell>
          <cell r="G334">
            <v>1865.1002894491573</v>
          </cell>
          <cell r="H334">
            <v>901.78863787570708</v>
          </cell>
          <cell r="I334">
            <v>-14127.982540911082</v>
          </cell>
          <cell r="J334">
            <v>-6418.7652125406566</v>
          </cell>
          <cell r="K334">
            <v>1651.1894849109485</v>
          </cell>
          <cell r="L334">
            <v>3475.4732902412625</v>
          </cell>
          <cell r="M334">
            <v>4304.8404536278877</v>
          </cell>
          <cell r="N334">
            <v>147.03390385881153</v>
          </cell>
          <cell r="O334">
            <v>-1641.2626867897488</v>
          </cell>
        </row>
      </sheetData>
      <sheetData sheetId="8">
        <row r="8">
          <cell r="D8">
            <v>5307714.91</v>
          </cell>
          <cell r="E8">
            <v>9460006.4499999993</v>
          </cell>
          <cell r="F8">
            <v>36420816.699999996</v>
          </cell>
          <cell r="H8">
            <v>11119577.469999999</v>
          </cell>
        </row>
        <row r="10">
          <cell r="D10">
            <v>1329304.2</v>
          </cell>
          <cell r="E10">
            <v>2341972.89</v>
          </cell>
          <cell r="F10">
            <v>4532945.8000000007</v>
          </cell>
          <cell r="H10">
            <v>446642.86</v>
          </cell>
        </row>
        <row r="12">
          <cell r="D12">
            <v>698377.57</v>
          </cell>
          <cell r="E12">
            <v>3069571.31</v>
          </cell>
          <cell r="F12">
            <v>20345714.27</v>
          </cell>
          <cell r="H12">
            <v>6701393.7799999993</v>
          </cell>
        </row>
        <row r="13">
          <cell r="D13">
            <v>49695.09</v>
          </cell>
          <cell r="E13">
            <v>66897.22</v>
          </cell>
          <cell r="F13">
            <v>3813042.2500000005</v>
          </cell>
          <cell r="H13">
            <v>1396163</v>
          </cell>
        </row>
        <row r="16">
          <cell r="D16">
            <v>18646.89</v>
          </cell>
          <cell r="E16">
            <v>665800.65</v>
          </cell>
          <cell r="F16">
            <v>757372.25999999989</v>
          </cell>
          <cell r="H16">
            <v>396845.88000000006</v>
          </cell>
        </row>
        <row r="17">
          <cell r="D17">
            <v>39039.43</v>
          </cell>
          <cell r="E17">
            <v>253230.84</v>
          </cell>
          <cell r="F17">
            <v>6276422.6399999987</v>
          </cell>
          <cell r="H17">
            <v>4642688.41</v>
          </cell>
        </row>
        <row r="20">
          <cell r="D20">
            <v>7179.17</v>
          </cell>
          <cell r="E20">
            <v>246060.41</v>
          </cell>
          <cell r="F20">
            <v>12204.869999999999</v>
          </cell>
          <cell r="H20">
            <v>318577.48</v>
          </cell>
        </row>
        <row r="22">
          <cell r="D22">
            <v>22746</v>
          </cell>
          <cell r="F22">
            <v>3959072.36</v>
          </cell>
          <cell r="H22">
            <v>126353.59999999999</v>
          </cell>
        </row>
        <row r="75">
          <cell r="D75">
            <v>30581.88</v>
          </cell>
          <cell r="E75">
            <v>54506.48</v>
          </cell>
          <cell r="F75">
            <v>196794.75141933703</v>
          </cell>
        </row>
        <row r="77">
          <cell r="D77">
            <v>1394</v>
          </cell>
          <cell r="E77">
            <v>2460</v>
          </cell>
          <cell r="F77">
            <v>4201.8252376039</v>
          </cell>
        </row>
        <row r="79">
          <cell r="D79">
            <v>7930.5</v>
          </cell>
          <cell r="E79">
            <v>34856.879999999997</v>
          </cell>
          <cell r="F79">
            <v>226399.81401726959</v>
          </cell>
        </row>
        <row r="80">
          <cell r="D80">
            <v>-754</v>
          </cell>
          <cell r="E80">
            <v>-1015</v>
          </cell>
          <cell r="F80">
            <v>-59871.117481967209</v>
          </cell>
        </row>
        <row r="83">
          <cell r="D83">
            <v>80.75</v>
          </cell>
          <cell r="E83">
            <v>2883.25</v>
          </cell>
          <cell r="F83">
            <v>2512.9417982200366</v>
          </cell>
        </row>
        <row r="84">
          <cell r="D84">
            <v>-26</v>
          </cell>
          <cell r="E84">
            <v>-168.65</v>
          </cell>
          <cell r="F84">
            <v>-2761.5399771341799</v>
          </cell>
        </row>
        <row r="87">
          <cell r="D87">
            <v>223.20000000000002</v>
          </cell>
          <cell r="E87">
            <v>7650</v>
          </cell>
          <cell r="F87">
            <v>13.523504983546699</v>
          </cell>
        </row>
        <row r="89">
          <cell r="F89">
            <v>-11823.0174205984</v>
          </cell>
        </row>
      </sheetData>
      <sheetData sheetId="9">
        <row r="8">
          <cell r="D8">
            <v>352482.24</v>
          </cell>
          <cell r="E8">
            <v>352305.37</v>
          </cell>
          <cell r="F8">
            <v>352212.28</v>
          </cell>
          <cell r="G8">
            <v>352807.22</v>
          </cell>
          <cell r="H8">
            <v>353319.26</v>
          </cell>
          <cell r="I8">
            <v>353612.96</v>
          </cell>
          <cell r="J8">
            <v>354080.01</v>
          </cell>
          <cell r="K8">
            <v>353830.85</v>
          </cell>
          <cell r="L8">
            <v>353861.93</v>
          </cell>
          <cell r="M8">
            <v>354441.55</v>
          </cell>
          <cell r="N8">
            <v>354810.97</v>
          </cell>
          <cell r="O8">
            <v>354818.47</v>
          </cell>
        </row>
        <row r="10">
          <cell r="D10">
            <v>114728.39</v>
          </cell>
          <cell r="E10">
            <v>114035.73</v>
          </cell>
          <cell r="F10">
            <v>113961.67</v>
          </cell>
          <cell r="G10">
            <v>114132.75</v>
          </cell>
          <cell r="H10">
            <v>114561.55</v>
          </cell>
          <cell r="I10">
            <v>114545.65</v>
          </cell>
          <cell r="J10">
            <v>114468.48</v>
          </cell>
          <cell r="K10">
            <v>114496.34</v>
          </cell>
          <cell r="L10">
            <v>114861.14</v>
          </cell>
          <cell r="M10">
            <v>114835.16</v>
          </cell>
          <cell r="N10">
            <v>114803.77</v>
          </cell>
          <cell r="O10">
            <v>114528.43</v>
          </cell>
        </row>
        <row r="12">
          <cell r="D12">
            <v>19698.62</v>
          </cell>
          <cell r="E12">
            <v>19850.7</v>
          </cell>
          <cell r="F12">
            <v>19886.509999999998</v>
          </cell>
          <cell r="G12">
            <v>19925.13</v>
          </cell>
          <cell r="H12">
            <v>20007.02</v>
          </cell>
          <cell r="I12">
            <v>19952.810000000001</v>
          </cell>
          <cell r="J12">
            <v>20091.72</v>
          </cell>
          <cell r="K12">
            <v>20116.349999999999</v>
          </cell>
          <cell r="L12">
            <v>20078.28</v>
          </cell>
          <cell r="M12">
            <v>20041.650000000001</v>
          </cell>
          <cell r="N12">
            <v>20108.47</v>
          </cell>
          <cell r="O12">
            <v>20155.97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6">
          <cell r="D16">
            <v>79.16</v>
          </cell>
          <cell r="E16">
            <v>80.06</v>
          </cell>
          <cell r="F16">
            <v>79.73</v>
          </cell>
          <cell r="G16">
            <v>79.239999999999995</v>
          </cell>
          <cell r="H16">
            <v>79.5</v>
          </cell>
          <cell r="I16">
            <v>80.92</v>
          </cell>
          <cell r="J16">
            <v>80.72</v>
          </cell>
          <cell r="K16">
            <v>82.22</v>
          </cell>
          <cell r="L16">
            <v>80.8</v>
          </cell>
          <cell r="M16">
            <v>81.97</v>
          </cell>
          <cell r="N16">
            <v>81.150000000000006</v>
          </cell>
          <cell r="O16">
            <v>79.81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35">
          <cell r="N35" t="str">
            <v>0.00</v>
          </cell>
          <cell r="O35" t="str">
            <v>0.00</v>
          </cell>
        </row>
        <row r="37">
          <cell r="N37">
            <v>0</v>
          </cell>
          <cell r="O37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7">
          <cell r="D47">
            <v>-60</v>
          </cell>
          <cell r="E47">
            <v>-30</v>
          </cell>
          <cell r="F47">
            <v>-90</v>
          </cell>
          <cell r="G47">
            <v>-104.48</v>
          </cell>
          <cell r="H47">
            <v>-120</v>
          </cell>
          <cell r="I47">
            <v>-90</v>
          </cell>
          <cell r="J47">
            <v>-90</v>
          </cell>
          <cell r="K47">
            <v>-90</v>
          </cell>
          <cell r="L47">
            <v>-60</v>
          </cell>
          <cell r="M47">
            <v>-120</v>
          </cell>
          <cell r="N47">
            <v>-120</v>
          </cell>
          <cell r="O47">
            <v>-120</v>
          </cell>
        </row>
        <row r="62">
          <cell r="D62">
            <v>90757.6</v>
          </cell>
          <cell r="E62">
            <v>69326.559999999998</v>
          </cell>
          <cell r="F62">
            <v>70063.7</v>
          </cell>
          <cell r="G62">
            <v>61239.33</v>
          </cell>
          <cell r="H62">
            <v>69326.75</v>
          </cell>
          <cell r="I62">
            <v>115181.89</v>
          </cell>
          <cell r="J62">
            <v>130553.67</v>
          </cell>
          <cell r="K62">
            <v>123794.66</v>
          </cell>
          <cell r="L62">
            <v>110721.99</v>
          </cell>
          <cell r="M62">
            <v>78557.009999999995</v>
          </cell>
          <cell r="N62">
            <v>66864.759999999995</v>
          </cell>
          <cell r="O62">
            <v>91397.98</v>
          </cell>
        </row>
        <row r="64">
          <cell r="D64">
            <v>-2084.4499999999998</v>
          </cell>
          <cell r="E64">
            <v>-1797.33</v>
          </cell>
          <cell r="F64">
            <v>6038.77</v>
          </cell>
          <cell r="G64">
            <v>6546.16</v>
          </cell>
          <cell r="H64">
            <v>6670.56</v>
          </cell>
          <cell r="I64">
            <v>8393.06</v>
          </cell>
          <cell r="J64">
            <v>8983.89</v>
          </cell>
          <cell r="K64">
            <v>8506.01</v>
          </cell>
          <cell r="L64">
            <v>8478.7000000000007</v>
          </cell>
          <cell r="M64">
            <v>6956.08</v>
          </cell>
          <cell r="N64">
            <v>6273.17</v>
          </cell>
          <cell r="O64">
            <v>7409.15</v>
          </cell>
        </row>
        <row r="66">
          <cell r="D66">
            <v>56577.17</v>
          </cell>
          <cell r="E66">
            <v>51361.48</v>
          </cell>
          <cell r="F66">
            <v>64742.1</v>
          </cell>
          <cell r="G66">
            <v>67737.119999999995</v>
          </cell>
          <cell r="H66">
            <v>72657.38</v>
          </cell>
          <cell r="I66">
            <v>92366.74</v>
          </cell>
          <cell r="J66">
            <v>97606.720000000001</v>
          </cell>
          <cell r="K66">
            <v>95067.32</v>
          </cell>
          <cell r="L66">
            <v>94172.08</v>
          </cell>
          <cell r="M66">
            <v>78056.600000000006</v>
          </cell>
          <cell r="N66">
            <v>66579.94</v>
          </cell>
          <cell r="O66">
            <v>73048.31</v>
          </cell>
        </row>
        <row r="67">
          <cell r="D67">
            <v>20975.919999999998</v>
          </cell>
          <cell r="E67">
            <v>16442.3</v>
          </cell>
          <cell r="F67">
            <v>19999.22</v>
          </cell>
          <cell r="G67">
            <v>19748.34</v>
          </cell>
          <cell r="H67">
            <v>20281.98</v>
          </cell>
          <cell r="I67">
            <v>18382.72</v>
          </cell>
          <cell r="J67">
            <v>26804.89</v>
          </cell>
          <cell r="K67">
            <v>21660.86</v>
          </cell>
          <cell r="L67">
            <v>22509.46</v>
          </cell>
          <cell r="M67">
            <v>20015.05</v>
          </cell>
          <cell r="N67">
            <v>19484.599999999999</v>
          </cell>
          <cell r="O67">
            <v>21444.33</v>
          </cell>
        </row>
        <row r="70">
          <cell r="D70">
            <v>-368.07</v>
          </cell>
          <cell r="E70">
            <v>-343.81</v>
          </cell>
          <cell r="F70">
            <v>-1473.92</v>
          </cell>
          <cell r="G70">
            <v>-1568.42</v>
          </cell>
          <cell r="H70">
            <v>-1577.24</v>
          </cell>
          <cell r="I70">
            <v>-1776.33</v>
          </cell>
          <cell r="J70">
            <v>-1445.22</v>
          </cell>
          <cell r="K70">
            <v>-2252.94</v>
          </cell>
          <cell r="L70">
            <v>-1417.52</v>
          </cell>
          <cell r="M70">
            <v>-2019.11</v>
          </cell>
          <cell r="N70">
            <v>-1710.02</v>
          </cell>
          <cell r="O70">
            <v>-1736.24</v>
          </cell>
        </row>
        <row r="71">
          <cell r="D71">
            <v>-2525.42</v>
          </cell>
          <cell r="E71">
            <v>-2444.35</v>
          </cell>
          <cell r="F71">
            <v>-17928.939999999999</v>
          </cell>
          <cell r="G71">
            <v>-19619.400000000001</v>
          </cell>
          <cell r="H71">
            <v>-19143.990000000002</v>
          </cell>
          <cell r="I71">
            <v>-20597.97</v>
          </cell>
          <cell r="J71">
            <v>-20370.34</v>
          </cell>
          <cell r="K71">
            <v>-21308.37</v>
          </cell>
          <cell r="L71">
            <v>-21497.48</v>
          </cell>
          <cell r="M71">
            <v>-20871.599999999999</v>
          </cell>
          <cell r="N71">
            <v>-19693.650000000001</v>
          </cell>
          <cell r="O71">
            <v>-20448.990000000002</v>
          </cell>
        </row>
        <row r="74">
          <cell r="D74">
            <v>-553.48</v>
          </cell>
          <cell r="E74">
            <v>-530.96</v>
          </cell>
          <cell r="F74">
            <v>252.36</v>
          </cell>
          <cell r="G74">
            <v>280.85000000000002</v>
          </cell>
          <cell r="H74">
            <v>307.70999999999998</v>
          </cell>
          <cell r="I74">
            <v>336.38</v>
          </cell>
          <cell r="J74">
            <v>346.35</v>
          </cell>
          <cell r="K74">
            <v>309.91000000000003</v>
          </cell>
          <cell r="L74">
            <v>305.89</v>
          </cell>
          <cell r="M74">
            <v>329.71</v>
          </cell>
          <cell r="N74">
            <v>328.69</v>
          </cell>
          <cell r="O74">
            <v>337.8</v>
          </cell>
        </row>
        <row r="118">
          <cell r="L118">
            <v>-100159.48</v>
          </cell>
          <cell r="M118">
            <v>-5.74</v>
          </cell>
          <cell r="N118">
            <v>0.01</v>
          </cell>
          <cell r="O118">
            <v>-0.01</v>
          </cell>
        </row>
        <row r="120">
          <cell r="L120">
            <v>-14487.58</v>
          </cell>
          <cell r="M120">
            <v>-5.28</v>
          </cell>
          <cell r="N120">
            <v>1.93</v>
          </cell>
          <cell r="O120">
            <v>0.01</v>
          </cell>
        </row>
        <row r="122">
          <cell r="L122">
            <v>-52529.63</v>
          </cell>
          <cell r="M122">
            <v>0.11</v>
          </cell>
          <cell r="N122">
            <v>0</v>
          </cell>
          <cell r="O122">
            <v>0</v>
          </cell>
        </row>
        <row r="123">
          <cell r="L123">
            <v>-8521.82</v>
          </cell>
          <cell r="M123">
            <v>-0.36</v>
          </cell>
          <cell r="N123">
            <v>0</v>
          </cell>
          <cell r="O123">
            <v>0</v>
          </cell>
        </row>
        <row r="126">
          <cell r="L126">
            <v>-3710.81</v>
          </cell>
          <cell r="M126">
            <v>-517.64</v>
          </cell>
          <cell r="N126">
            <v>0</v>
          </cell>
          <cell r="O126">
            <v>0</v>
          </cell>
        </row>
        <row r="127">
          <cell r="L127">
            <v>-20805.66</v>
          </cell>
          <cell r="M127">
            <v>-326.94</v>
          </cell>
          <cell r="N127">
            <v>0.42</v>
          </cell>
          <cell r="O127">
            <v>0</v>
          </cell>
        </row>
        <row r="130">
          <cell r="L130">
            <v>-896.15</v>
          </cell>
          <cell r="M130">
            <v>-14.34</v>
          </cell>
          <cell r="N130">
            <v>0</v>
          </cell>
          <cell r="O130">
            <v>0</v>
          </cell>
        </row>
        <row r="132">
          <cell r="L132">
            <v>-6633.52</v>
          </cell>
          <cell r="M132">
            <v>0</v>
          </cell>
          <cell r="N132">
            <v>0</v>
          </cell>
          <cell r="O132">
            <v>0</v>
          </cell>
        </row>
        <row r="174">
          <cell r="D174">
            <v>864129.43</v>
          </cell>
          <cell r="E174">
            <v>660090.43999999994</v>
          </cell>
          <cell r="F174">
            <v>515229.45</v>
          </cell>
          <cell r="G174">
            <v>444483.75</v>
          </cell>
          <cell r="H174">
            <v>503189.88</v>
          </cell>
          <cell r="I174">
            <v>835971.73</v>
          </cell>
          <cell r="J174">
            <v>947563.54</v>
          </cell>
          <cell r="K174">
            <v>898517.03</v>
          </cell>
          <cell r="L174">
            <v>740528.49</v>
          </cell>
          <cell r="M174">
            <v>514040.02</v>
          </cell>
          <cell r="N174">
            <v>437524.32</v>
          </cell>
          <cell r="O174">
            <v>598044.85</v>
          </cell>
        </row>
        <row r="176">
          <cell r="D176">
            <v>156279.16</v>
          </cell>
          <cell r="E176">
            <v>134931.29999999999</v>
          </cell>
          <cell r="F176">
            <v>120241.74</v>
          </cell>
          <cell r="G176">
            <v>118401.48</v>
          </cell>
          <cell r="H176">
            <v>120394.09</v>
          </cell>
          <cell r="I176">
            <v>150867.96</v>
          </cell>
          <cell r="J176">
            <v>161264.79999999999</v>
          </cell>
          <cell r="K176">
            <v>160042.09</v>
          </cell>
          <cell r="L176">
            <v>142318.31</v>
          </cell>
          <cell r="M176">
            <v>114932.78</v>
          </cell>
          <cell r="N176">
            <v>103780.18</v>
          </cell>
          <cell r="O176">
            <v>122533.09</v>
          </cell>
        </row>
        <row r="178">
          <cell r="D178">
            <v>399035.38</v>
          </cell>
          <cell r="E178">
            <v>396027.25</v>
          </cell>
          <cell r="F178">
            <v>391450.78</v>
          </cell>
          <cell r="G178">
            <v>388303.69</v>
          </cell>
          <cell r="H178">
            <v>395780.07</v>
          </cell>
          <cell r="I178">
            <v>410988.55</v>
          </cell>
          <cell r="J178">
            <v>414057.12</v>
          </cell>
          <cell r="K178">
            <v>415129.04</v>
          </cell>
          <cell r="L178">
            <v>380709.72</v>
          </cell>
          <cell r="M178">
            <v>358112.11</v>
          </cell>
          <cell r="N178">
            <v>352278.52</v>
          </cell>
          <cell r="O178">
            <v>354554.58</v>
          </cell>
        </row>
        <row r="179">
          <cell r="D179">
            <v>92652.02</v>
          </cell>
          <cell r="E179">
            <v>86739.11</v>
          </cell>
          <cell r="F179">
            <v>80066.850000000006</v>
          </cell>
          <cell r="G179">
            <v>73483.88</v>
          </cell>
          <cell r="H179">
            <v>69958.78</v>
          </cell>
          <cell r="I179">
            <v>62959.03</v>
          </cell>
          <cell r="J179">
            <v>76052.72</v>
          </cell>
          <cell r="K179">
            <v>66783.11</v>
          </cell>
          <cell r="L179">
            <v>61968.15</v>
          </cell>
          <cell r="M179">
            <v>60950.879999999997</v>
          </cell>
          <cell r="N179">
            <v>66537.600000000006</v>
          </cell>
          <cell r="O179">
            <v>74434.2</v>
          </cell>
        </row>
        <row r="182">
          <cell r="D182">
            <v>9684.49</v>
          </cell>
          <cell r="E182">
            <v>10648.42</v>
          </cell>
          <cell r="F182">
            <v>10131.09</v>
          </cell>
          <cell r="G182">
            <v>10250.469999999999</v>
          </cell>
          <cell r="H182">
            <v>10839.14</v>
          </cell>
          <cell r="I182">
            <v>11200.8</v>
          </cell>
          <cell r="J182">
            <v>9883.19</v>
          </cell>
          <cell r="K182">
            <v>12930.75</v>
          </cell>
          <cell r="L182">
            <v>9350.0400000000009</v>
          </cell>
          <cell r="M182">
            <v>11828.62</v>
          </cell>
          <cell r="N182">
            <v>10771.87</v>
          </cell>
          <cell r="O182">
            <v>9946.81</v>
          </cell>
        </row>
        <row r="183">
          <cell r="D183">
            <v>86914.4</v>
          </cell>
          <cell r="E183">
            <v>87987.07</v>
          </cell>
          <cell r="F183">
            <v>88616.33</v>
          </cell>
          <cell r="G183">
            <v>87282.28</v>
          </cell>
          <cell r="H183">
            <v>87123.64</v>
          </cell>
          <cell r="I183">
            <v>91751.33</v>
          </cell>
          <cell r="J183">
            <v>90093.29</v>
          </cell>
          <cell r="K183">
            <v>90672.13</v>
          </cell>
          <cell r="L183">
            <v>89474.33</v>
          </cell>
          <cell r="M183">
            <v>86468.81</v>
          </cell>
          <cell r="N183">
            <v>84969.13</v>
          </cell>
          <cell r="O183">
            <v>85319.56</v>
          </cell>
        </row>
        <row r="186">
          <cell r="D186">
            <v>1407.7</v>
          </cell>
          <cell r="E186">
            <v>1350.45</v>
          </cell>
          <cell r="F186">
            <v>1435.9</v>
          </cell>
          <cell r="G186">
            <v>1395.16</v>
          </cell>
          <cell r="H186">
            <v>1543.38</v>
          </cell>
          <cell r="I186">
            <v>1670.99</v>
          </cell>
          <cell r="J186">
            <v>1720.51</v>
          </cell>
          <cell r="K186">
            <v>1539.48</v>
          </cell>
          <cell r="L186">
            <v>1368.96</v>
          </cell>
          <cell r="M186">
            <v>1454.47</v>
          </cell>
          <cell r="N186">
            <v>1449.98</v>
          </cell>
          <cell r="O186">
            <v>1490.14</v>
          </cell>
        </row>
        <row r="188">
          <cell r="D188">
            <v>39095.660000000003</v>
          </cell>
          <cell r="E188">
            <v>38997.4</v>
          </cell>
          <cell r="F188">
            <v>38959.08</v>
          </cell>
          <cell r="G188">
            <v>38929.49</v>
          </cell>
          <cell r="H188">
            <v>38989.410000000003</v>
          </cell>
          <cell r="I188">
            <v>38922.75</v>
          </cell>
          <cell r="J188">
            <v>38911.760000000002</v>
          </cell>
          <cell r="K188">
            <v>38868.080000000002</v>
          </cell>
          <cell r="L188">
            <v>35756.92</v>
          </cell>
          <cell r="M188">
            <v>35323.58</v>
          </cell>
          <cell r="N188">
            <v>35281.440000000002</v>
          </cell>
          <cell r="O188">
            <v>35200.019999999997</v>
          </cell>
        </row>
        <row r="202">
          <cell r="D202">
            <v>2353450.0499999998</v>
          </cell>
          <cell r="E202">
            <v>1797751.94</v>
          </cell>
          <cell r="F202">
            <v>1063007.1499999999</v>
          </cell>
          <cell r="G202">
            <v>900080.33</v>
          </cell>
          <cell r="H202">
            <v>1018974.32</v>
          </cell>
          <cell r="I202">
            <v>1692863.93</v>
          </cell>
          <cell r="J202">
            <v>1918842.14</v>
          </cell>
          <cell r="K202">
            <v>1819516.06</v>
          </cell>
          <cell r="L202">
            <v>1761780.1</v>
          </cell>
          <cell r="M202">
            <v>1274294.82</v>
          </cell>
          <cell r="N202">
            <v>1084621.98</v>
          </cell>
          <cell r="O202">
            <v>1482550.38</v>
          </cell>
        </row>
        <row r="204">
          <cell r="D204">
            <v>86279.64</v>
          </cell>
          <cell r="E204">
            <v>74493.61</v>
          </cell>
          <cell r="F204">
            <v>62354.91</v>
          </cell>
          <cell r="G204">
            <v>61082.58</v>
          </cell>
          <cell r="H204">
            <v>62110.41</v>
          </cell>
          <cell r="I204">
            <v>77832.69</v>
          </cell>
          <cell r="J204">
            <v>83196.78</v>
          </cell>
          <cell r="K204">
            <v>82565.100000000006</v>
          </cell>
          <cell r="L204">
            <v>78464.62</v>
          </cell>
          <cell r="M204">
            <v>64490.38</v>
          </cell>
          <cell r="N204">
            <v>58233.47</v>
          </cell>
          <cell r="O204">
            <v>68753.56</v>
          </cell>
        </row>
        <row r="206">
          <cell r="D206">
            <v>1015883.66</v>
          </cell>
          <cell r="E206">
            <v>1015364.58</v>
          </cell>
          <cell r="F206">
            <v>904069.9</v>
          </cell>
          <cell r="G206">
            <v>869872.43</v>
          </cell>
          <cell r="H206">
            <v>909737.89</v>
          </cell>
          <cell r="I206">
            <v>967520.54</v>
          </cell>
          <cell r="J206">
            <v>959746.38</v>
          </cell>
          <cell r="K206">
            <v>970268.45</v>
          </cell>
          <cell r="L206">
            <v>1008515.33</v>
          </cell>
          <cell r="M206">
            <v>953694.02</v>
          </cell>
          <cell r="N206">
            <v>932567.12</v>
          </cell>
          <cell r="O206">
            <v>915694.86</v>
          </cell>
        </row>
        <row r="207">
          <cell r="D207">
            <v>216985.65</v>
          </cell>
          <cell r="E207">
            <v>213972.35</v>
          </cell>
          <cell r="F207">
            <v>187683.73</v>
          </cell>
          <cell r="G207">
            <v>183863.67999999999</v>
          </cell>
          <cell r="H207">
            <v>188054.74</v>
          </cell>
          <cell r="I207">
            <v>160013.41</v>
          </cell>
          <cell r="J207">
            <v>193372.19</v>
          </cell>
          <cell r="K207">
            <v>175380.86</v>
          </cell>
          <cell r="L207">
            <v>166420.95000000001</v>
          </cell>
          <cell r="M207">
            <v>164754.91</v>
          </cell>
          <cell r="N207">
            <v>173697.58</v>
          </cell>
          <cell r="O207">
            <v>174480.59</v>
          </cell>
        </row>
        <row r="210">
          <cell r="D210">
            <v>12719.34</v>
          </cell>
          <cell r="E210">
            <v>18203.560000000001</v>
          </cell>
          <cell r="F210">
            <v>20987.39</v>
          </cell>
          <cell r="G210">
            <v>21080.59</v>
          </cell>
          <cell r="H210">
            <v>23520.57</v>
          </cell>
          <cell r="I210">
            <v>23958.76</v>
          </cell>
          <cell r="J210">
            <v>21159.94</v>
          </cell>
          <cell r="K210">
            <v>28332.6</v>
          </cell>
          <cell r="L210">
            <v>19222.5</v>
          </cell>
          <cell r="M210">
            <v>26617.119999999999</v>
          </cell>
          <cell r="N210">
            <v>24366.59</v>
          </cell>
          <cell r="O210">
            <v>21500.720000000001</v>
          </cell>
        </row>
        <row r="211">
          <cell r="D211">
            <v>359824.77</v>
          </cell>
          <cell r="E211">
            <v>369264.44</v>
          </cell>
          <cell r="F211">
            <v>369307.36</v>
          </cell>
          <cell r="G211">
            <v>363453.02</v>
          </cell>
          <cell r="H211">
            <v>360169.21</v>
          </cell>
          <cell r="I211">
            <v>374978.35</v>
          </cell>
          <cell r="J211">
            <v>369585.62</v>
          </cell>
          <cell r="K211">
            <v>365731.98</v>
          </cell>
          <cell r="L211">
            <v>386797.69</v>
          </cell>
          <cell r="M211">
            <v>381222.7</v>
          </cell>
          <cell r="N211">
            <v>378639.37</v>
          </cell>
          <cell r="O211">
            <v>379258.05</v>
          </cell>
        </row>
        <row r="214">
          <cell r="D214">
            <v>17658.66</v>
          </cell>
          <cell r="E214">
            <v>17250.97</v>
          </cell>
          <cell r="F214">
            <v>7770.37</v>
          </cell>
          <cell r="G214">
            <v>7265.99</v>
          </cell>
          <cell r="H214">
            <v>7517.9</v>
          </cell>
          <cell r="I214">
            <v>7330.98</v>
          </cell>
          <cell r="J214">
            <v>7324.49</v>
          </cell>
          <cell r="K214">
            <v>7324.49</v>
          </cell>
          <cell r="L214">
            <v>15273.24</v>
          </cell>
          <cell r="M214">
            <v>16361.79</v>
          </cell>
          <cell r="N214">
            <v>16431.12</v>
          </cell>
          <cell r="O214">
            <v>16795.39</v>
          </cell>
        </row>
        <row r="216">
          <cell r="D216">
            <v>21591.72</v>
          </cell>
          <cell r="E216">
            <v>21539.29</v>
          </cell>
          <cell r="F216">
            <v>20160.240000000002</v>
          </cell>
          <cell r="G216">
            <v>20088.849999999999</v>
          </cell>
          <cell r="H216">
            <v>20124.75</v>
          </cell>
          <cell r="I216">
            <v>20090.25</v>
          </cell>
          <cell r="J216">
            <v>20077.169999999998</v>
          </cell>
          <cell r="K216">
            <v>20061.59</v>
          </cell>
          <cell r="L216">
            <v>19886.21</v>
          </cell>
          <cell r="M216">
            <v>19843.57</v>
          </cell>
          <cell r="N216">
            <v>19819.86</v>
          </cell>
          <cell r="O216">
            <v>19774.05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of Elec"/>
      <sheetName val="TCC Riders Sales Elec"/>
      <sheetName val="State Inst-Facil"/>
      <sheetName val="TCC Riders Sales Annual"/>
      <sheetName val="Billed kWh"/>
      <sheetName val="Meter kWh"/>
      <sheetName val="Billed kW-Dist"/>
      <sheetName val="TCC Basis Dist kW"/>
      <sheetName val="TCC Basis Trans kW"/>
      <sheetName val="Incl Customers"/>
      <sheetName val="Excl Customers"/>
      <sheetName val="Active Units Lights"/>
      <sheetName val="TCC Riders Sales of Elec"/>
      <sheetName val="Rider TDCR T&amp;D split"/>
      <sheetName val="TCC Riders Dollars"/>
      <sheetName val="TCC Basis Eq Cd"/>
      <sheetName val="TCC Sales Elec Eq Cd"/>
      <sheetName val="TCC Sales Elec Base Rate Meter "/>
      <sheetName val="TCC Sales Elec Base Rate Custom"/>
      <sheetName val="TCC Sales Elec Base Rate Dist T"/>
      <sheetName val="FAC dollars"/>
      <sheetName val="Decoder"/>
    </sheetNames>
    <sheetDataSet>
      <sheetData sheetId="0">
        <row r="12">
          <cell r="F12">
            <v>2885357.51</v>
          </cell>
          <cell r="G12">
            <v>2494328.11</v>
          </cell>
          <cell r="H12">
            <v>2398440.21</v>
          </cell>
          <cell r="I12">
            <v>2511731.42</v>
          </cell>
          <cell r="J12">
            <v>2548128.58</v>
          </cell>
          <cell r="K12">
            <v>2957463.03</v>
          </cell>
          <cell r="L12">
            <v>2983896.13</v>
          </cell>
          <cell r="M12">
            <v>3007458.66</v>
          </cell>
          <cell r="N12">
            <v>2921002.22</v>
          </cell>
          <cell r="O12">
            <v>2690566.06</v>
          </cell>
          <cell r="P12">
            <v>2430742.63</v>
          </cell>
          <cell r="Q12">
            <v>2451433.0699999998</v>
          </cell>
        </row>
        <row r="21">
          <cell r="F21">
            <v>1902436.13</v>
          </cell>
          <cell r="G21">
            <v>1871946.32</v>
          </cell>
          <cell r="H21">
            <v>1851382.97</v>
          </cell>
          <cell r="I21">
            <v>1865710.54</v>
          </cell>
          <cell r="J21">
            <v>1895496.74</v>
          </cell>
          <cell r="K21">
            <v>1945801.81</v>
          </cell>
          <cell r="L21">
            <v>1903434.16</v>
          </cell>
          <cell r="M21">
            <v>2065944.83</v>
          </cell>
          <cell r="N21">
            <v>2212335.2200000002</v>
          </cell>
          <cell r="O21">
            <v>2083094.2</v>
          </cell>
          <cell r="P21">
            <v>1967762.48</v>
          </cell>
          <cell r="Q21">
            <v>1804975.6</v>
          </cell>
        </row>
        <row r="30">
          <cell r="F30">
            <v>25503607.91</v>
          </cell>
          <cell r="G30">
            <v>24955816.73</v>
          </cell>
          <cell r="H30">
            <v>23906706.109999999</v>
          </cell>
          <cell r="I30">
            <v>23917942.18</v>
          </cell>
          <cell r="J30">
            <v>24294749.449999999</v>
          </cell>
          <cell r="K30">
            <v>26081945.93</v>
          </cell>
          <cell r="L30">
            <v>25894626.879999999</v>
          </cell>
          <cell r="M30">
            <v>26260037.93</v>
          </cell>
          <cell r="N30">
            <v>25794146.359999999</v>
          </cell>
          <cell r="O30">
            <v>24644883.219999999</v>
          </cell>
          <cell r="P30">
            <v>23802963.68</v>
          </cell>
          <cell r="Q30">
            <v>23718825.82</v>
          </cell>
        </row>
        <row r="71">
          <cell r="F71">
            <v>1802537.36</v>
          </cell>
          <cell r="G71">
            <v>1795772.03</v>
          </cell>
          <cell r="H71">
            <v>1795068.44</v>
          </cell>
          <cell r="I71">
            <v>1797316.72</v>
          </cell>
          <cell r="J71">
            <v>1795738.45</v>
          </cell>
          <cell r="K71">
            <v>1796836.19</v>
          </cell>
          <cell r="L71">
            <v>1797177.09</v>
          </cell>
          <cell r="M71">
            <v>1796820.29</v>
          </cell>
          <cell r="N71">
            <v>1744902.91</v>
          </cell>
          <cell r="O71">
            <v>1742974.92</v>
          </cell>
          <cell r="P71">
            <v>1760703.64</v>
          </cell>
          <cell r="Q71">
            <v>1753485.42</v>
          </cell>
        </row>
        <row r="77">
          <cell r="F77">
            <v>5644695.6200000001</v>
          </cell>
          <cell r="G77">
            <v>5307121.4800000004</v>
          </cell>
          <cell r="H77">
            <v>5403953.0499999998</v>
          </cell>
          <cell r="I77">
            <v>5289449.7</v>
          </cell>
          <cell r="J77">
            <v>5774771.46</v>
          </cell>
          <cell r="K77">
            <v>5862445.8200000003</v>
          </cell>
          <cell r="L77">
            <v>5736398.6600000001</v>
          </cell>
          <cell r="M77">
            <v>5671968.1399999997</v>
          </cell>
          <cell r="N77">
            <v>5708923.9000000004</v>
          </cell>
          <cell r="O77">
            <v>5383048.5499999998</v>
          </cell>
          <cell r="P77">
            <v>5665821.71</v>
          </cell>
          <cell r="Q77">
            <v>5206689.4800000004</v>
          </cell>
        </row>
        <row r="82">
          <cell r="F82">
            <v>507970.89</v>
          </cell>
          <cell r="G82">
            <v>496385.37</v>
          </cell>
          <cell r="H82">
            <v>475928.72</v>
          </cell>
          <cell r="I82">
            <v>497889.75</v>
          </cell>
          <cell r="J82">
            <v>513003.35</v>
          </cell>
          <cell r="K82">
            <v>537344.52</v>
          </cell>
          <cell r="L82">
            <v>533236.64</v>
          </cell>
          <cell r="M82">
            <v>557553.93999999994</v>
          </cell>
          <cell r="N82">
            <v>588331.69999999995</v>
          </cell>
          <cell r="O82">
            <v>585742.9</v>
          </cell>
          <cell r="P82">
            <v>671923.22</v>
          </cell>
          <cell r="Q82">
            <v>552924.96</v>
          </cell>
        </row>
        <row r="85">
          <cell r="F85">
            <v>49660709.399999999</v>
          </cell>
          <cell r="G85">
            <v>38287782.270000003</v>
          </cell>
          <cell r="H85">
            <v>30265015.879999999</v>
          </cell>
          <cell r="I85">
            <v>32271560.399999999</v>
          </cell>
          <cell r="J85">
            <v>35017527.060000002</v>
          </cell>
          <cell r="K85">
            <v>49381842.829999998</v>
          </cell>
          <cell r="L85">
            <v>50721328.469999999</v>
          </cell>
          <cell r="M85">
            <v>51987712.619999997</v>
          </cell>
          <cell r="N85">
            <v>51366453.009999998</v>
          </cell>
          <cell r="O85">
            <v>42495742.609999999</v>
          </cell>
          <cell r="P85">
            <v>33318517.82</v>
          </cell>
          <cell r="Q85">
            <v>35612865</v>
          </cell>
        </row>
        <row r="97">
          <cell r="F97">
            <v>5101031.24</v>
          </cell>
          <cell r="G97">
            <v>3738687.04</v>
          </cell>
          <cell r="H97">
            <v>4504107.75</v>
          </cell>
          <cell r="I97">
            <v>4097840.86</v>
          </cell>
          <cell r="J97">
            <v>4287083.8899999997</v>
          </cell>
          <cell r="K97">
            <v>4680224.03</v>
          </cell>
          <cell r="L97">
            <v>3671255.5</v>
          </cell>
          <cell r="M97">
            <v>3804977</v>
          </cell>
          <cell r="N97">
            <v>4368203.2699999996</v>
          </cell>
          <cell r="O97">
            <v>2336979.23</v>
          </cell>
          <cell r="P97">
            <v>5255875.7</v>
          </cell>
          <cell r="Q97">
            <v>2556586.0699999998</v>
          </cell>
        </row>
      </sheetData>
      <sheetData sheetId="1">
        <row r="13">
          <cell r="R13">
            <v>259200.52</v>
          </cell>
          <cell r="FW13">
            <v>657073.44999999995</v>
          </cell>
          <cell r="FX13">
            <v>543693.99</v>
          </cell>
          <cell r="FY13">
            <v>520898.45</v>
          </cell>
          <cell r="FZ13">
            <v>554973.67000000004</v>
          </cell>
          <cell r="GA13">
            <v>565839.32999999996</v>
          </cell>
          <cell r="GB13">
            <v>691123.52</v>
          </cell>
          <cell r="GC13">
            <v>698293.58</v>
          </cell>
          <cell r="GD13">
            <v>706235.62</v>
          </cell>
          <cell r="GE13">
            <v>724712.37</v>
          </cell>
          <cell r="GF13">
            <v>648438.82999999996</v>
          </cell>
          <cell r="GG13">
            <v>562863.94999999995</v>
          </cell>
          <cell r="GH13">
            <v>569914.26</v>
          </cell>
          <cell r="GI13">
            <v>305440.43</v>
          </cell>
          <cell r="GJ13">
            <v>252141.86</v>
          </cell>
          <cell r="GK13">
            <v>240610.89</v>
          </cell>
          <cell r="GL13">
            <v>256557.39</v>
          </cell>
          <cell r="GM13">
            <v>261675.61</v>
          </cell>
          <cell r="GN13">
            <v>320395.93</v>
          </cell>
          <cell r="GO13">
            <v>323780.46000000002</v>
          </cell>
          <cell r="GP13">
            <v>327446.03999999998</v>
          </cell>
          <cell r="GQ13">
            <v>329697.93</v>
          </cell>
          <cell r="GR13">
            <v>294371.93</v>
          </cell>
          <cell r="GS13">
            <v>255108.95</v>
          </cell>
          <cell r="GT13">
            <v>258312.78</v>
          </cell>
        </row>
        <row r="22">
          <cell r="FW22">
            <v>453750.21</v>
          </cell>
          <cell r="FX22">
            <v>445508.96</v>
          </cell>
          <cell r="FY22">
            <v>453418.72</v>
          </cell>
          <cell r="FZ22">
            <v>468816.94</v>
          </cell>
          <cell r="GA22">
            <v>478019.49</v>
          </cell>
          <cell r="GB22">
            <v>503575.64</v>
          </cell>
          <cell r="GC22">
            <v>471606.55</v>
          </cell>
          <cell r="GD22">
            <v>527668.03</v>
          </cell>
          <cell r="GE22">
            <v>647814.06999999995</v>
          </cell>
          <cell r="GF22">
            <v>579470.27</v>
          </cell>
          <cell r="GG22">
            <v>520799.21</v>
          </cell>
          <cell r="GH22">
            <v>462198.57</v>
          </cell>
          <cell r="GI22">
            <v>176902.87</v>
          </cell>
          <cell r="GJ22">
            <v>173964.82</v>
          </cell>
          <cell r="GK22">
            <v>174947.92</v>
          </cell>
          <cell r="GL22">
            <v>182991.18</v>
          </cell>
          <cell r="GM22">
            <v>186183.51</v>
          </cell>
          <cell r="GN22">
            <v>197731.8</v>
          </cell>
          <cell r="GO22">
            <v>182370.66</v>
          </cell>
          <cell r="GP22">
            <v>204655.98</v>
          </cell>
          <cell r="GQ22">
            <v>238972.31</v>
          </cell>
          <cell r="GR22">
            <v>211342.34</v>
          </cell>
          <cell r="GS22">
            <v>189413.08</v>
          </cell>
          <cell r="GT22">
            <v>168426.73</v>
          </cell>
        </row>
        <row r="31">
          <cell r="FW31">
            <v>5595696.9000000004</v>
          </cell>
          <cell r="FX31">
            <v>5365180.55</v>
          </cell>
          <cell r="FY31">
            <v>5241433.04</v>
          </cell>
          <cell r="FZ31">
            <v>5422092.9199999999</v>
          </cell>
          <cell r="GA31">
            <v>5546653.3600000003</v>
          </cell>
          <cell r="GB31">
            <v>6256841.7800000003</v>
          </cell>
          <cell r="GC31">
            <v>6194926.54</v>
          </cell>
          <cell r="GD31">
            <v>6310141.4299999997</v>
          </cell>
          <cell r="GE31">
            <v>6611074.5099999998</v>
          </cell>
          <cell r="GF31">
            <v>6096053.2599999998</v>
          </cell>
          <cell r="GG31">
            <v>5614966.3600000003</v>
          </cell>
          <cell r="GH31">
            <v>5547513.5800000001</v>
          </cell>
          <cell r="GI31">
            <v>2284855.4500000002</v>
          </cell>
          <cell r="GJ31">
            <v>2180249.9700000002</v>
          </cell>
          <cell r="GK31">
            <v>2106877.4300000002</v>
          </cell>
          <cell r="GL31">
            <v>2191384.89</v>
          </cell>
          <cell r="GM31">
            <v>2246583.41</v>
          </cell>
          <cell r="GN31">
            <v>2565676.54</v>
          </cell>
          <cell r="GO31">
            <v>2536503.4500000002</v>
          </cell>
          <cell r="GP31">
            <v>2585914.13</v>
          </cell>
          <cell r="GQ31">
            <v>2605834.42</v>
          </cell>
          <cell r="GR31">
            <v>2379653.88</v>
          </cell>
          <cell r="GS31">
            <v>2163826</v>
          </cell>
          <cell r="GT31">
            <v>2132159.87</v>
          </cell>
        </row>
        <row r="72">
          <cell r="FW72">
            <v>258071.67999999999</v>
          </cell>
          <cell r="FX72">
            <v>256985.45</v>
          </cell>
          <cell r="FY72">
            <v>257842.65</v>
          </cell>
          <cell r="FZ72">
            <v>258200.68</v>
          </cell>
          <cell r="GA72">
            <v>257683.25</v>
          </cell>
          <cell r="GB72">
            <v>257720.04</v>
          </cell>
          <cell r="GC72">
            <v>257918.36</v>
          </cell>
          <cell r="GD72">
            <v>257817.96</v>
          </cell>
          <cell r="GE72">
            <v>263582.59000000003</v>
          </cell>
          <cell r="GF72">
            <v>261194.47</v>
          </cell>
          <cell r="GG72">
            <v>265148.46000000002</v>
          </cell>
          <cell r="GH72">
            <v>263263.39</v>
          </cell>
          <cell r="GI72">
            <v>107504.33</v>
          </cell>
          <cell r="GJ72">
            <v>107023.84</v>
          </cell>
          <cell r="GK72">
            <v>107492.07</v>
          </cell>
          <cell r="GL72">
            <v>107646.08</v>
          </cell>
          <cell r="GM72">
            <v>107382.33</v>
          </cell>
          <cell r="GN72">
            <v>107377.41</v>
          </cell>
          <cell r="GO72">
            <v>107478.58</v>
          </cell>
          <cell r="GP72">
            <v>107418.11</v>
          </cell>
          <cell r="GQ72">
            <v>107613.08</v>
          </cell>
          <cell r="GR72">
            <v>106508.52</v>
          </cell>
          <cell r="GS72">
            <v>108323.05</v>
          </cell>
          <cell r="GT72">
            <v>107434.93</v>
          </cell>
        </row>
        <row r="78">
          <cell r="FW78">
            <v>1226534.3999999999</v>
          </cell>
          <cell r="FX78">
            <v>1149077.93</v>
          </cell>
          <cell r="FY78">
            <v>1163300.19</v>
          </cell>
          <cell r="FZ78">
            <v>1157087.82</v>
          </cell>
          <cell r="GA78">
            <v>1256449.27</v>
          </cell>
          <cell r="GB78">
            <v>1341630.55</v>
          </cell>
          <cell r="GC78">
            <v>1284198.43</v>
          </cell>
          <cell r="GD78">
            <v>1277151.3400000001</v>
          </cell>
          <cell r="GE78">
            <v>1360132.87</v>
          </cell>
          <cell r="GF78">
            <v>1242348.69</v>
          </cell>
          <cell r="GG78">
            <v>1283928.3700000001</v>
          </cell>
          <cell r="GH78">
            <v>1192064.81</v>
          </cell>
          <cell r="GI78">
            <v>460748.79</v>
          </cell>
          <cell r="GJ78">
            <v>431756.75</v>
          </cell>
          <cell r="GK78">
            <v>431463.17</v>
          </cell>
          <cell r="GL78">
            <v>430061.68</v>
          </cell>
          <cell r="GM78">
            <v>468377.08</v>
          </cell>
          <cell r="GN78">
            <v>505390.41</v>
          </cell>
          <cell r="GO78">
            <v>480092.05</v>
          </cell>
          <cell r="GP78">
            <v>477577.25</v>
          </cell>
          <cell r="GQ78">
            <v>483713.87</v>
          </cell>
          <cell r="GR78">
            <v>437423.77</v>
          </cell>
          <cell r="GS78">
            <v>451316.72</v>
          </cell>
          <cell r="GT78">
            <v>418843.36</v>
          </cell>
        </row>
        <row r="83">
          <cell r="FW83">
            <v>97455.57</v>
          </cell>
          <cell r="FX83">
            <v>97145.12</v>
          </cell>
          <cell r="FY83">
            <v>95403.28</v>
          </cell>
          <cell r="FZ83">
            <v>100795.66</v>
          </cell>
          <cell r="GA83">
            <v>103095.19</v>
          </cell>
          <cell r="GB83">
            <v>107426</v>
          </cell>
          <cell r="GC83">
            <v>103559.19</v>
          </cell>
          <cell r="GD83">
            <v>108458.56</v>
          </cell>
          <cell r="GE83">
            <v>119933.27</v>
          </cell>
          <cell r="GF83">
            <v>114146.43</v>
          </cell>
          <cell r="GG83">
            <v>128530.5</v>
          </cell>
          <cell r="GH83">
            <v>107130.45</v>
          </cell>
          <cell r="GI83">
            <v>36719.019999999997</v>
          </cell>
          <cell r="GJ83">
            <v>36680.720000000001</v>
          </cell>
          <cell r="GK83">
            <v>35485.18</v>
          </cell>
          <cell r="GL83">
            <v>37902.22</v>
          </cell>
          <cell r="GM83">
            <v>38776.11</v>
          </cell>
          <cell r="GN83">
            <v>40510.620000000003</v>
          </cell>
          <cell r="GO83">
            <v>38814.559999999998</v>
          </cell>
          <cell r="GP83">
            <v>40715.85</v>
          </cell>
          <cell r="GQ83">
            <v>43127.78</v>
          </cell>
          <cell r="GR83">
            <v>40359.769999999997</v>
          </cell>
          <cell r="GS83">
            <v>45351.68</v>
          </cell>
          <cell r="GT83">
            <v>37790.980000000003</v>
          </cell>
        </row>
        <row r="86">
          <cell r="FW86">
            <v>8129497.6600000001</v>
          </cell>
          <cell r="FX86">
            <v>5991169.4900000002</v>
          </cell>
          <cell r="FY86">
            <v>4803338.79</v>
          </cell>
          <cell r="FZ86">
            <v>5223114.66</v>
          </cell>
          <cell r="GA86">
            <v>5777108.7199999997</v>
          </cell>
          <cell r="GB86">
            <v>8684699.0800000001</v>
          </cell>
          <cell r="GC86">
            <v>8954225.9100000001</v>
          </cell>
          <cell r="GD86">
            <v>9212824.0299999993</v>
          </cell>
          <cell r="GE86">
            <v>9124550.4299999997</v>
          </cell>
          <cell r="GF86">
            <v>7226676.46</v>
          </cell>
          <cell r="GG86">
            <v>5381671.1500000004</v>
          </cell>
          <cell r="GH86">
            <v>5843235.0300000003</v>
          </cell>
          <cell r="GI86">
            <v>2993368.33</v>
          </cell>
          <cell r="GJ86">
            <v>2206020.7599999998</v>
          </cell>
          <cell r="GK86">
            <v>1731355.62</v>
          </cell>
          <cell r="GL86">
            <v>1882661.92</v>
          </cell>
          <cell r="GM86">
            <v>2082343.61</v>
          </cell>
          <cell r="GN86">
            <v>3130382.16</v>
          </cell>
          <cell r="GO86">
            <v>3227537.32</v>
          </cell>
          <cell r="GP86">
            <v>3320745.55</v>
          </cell>
          <cell r="GQ86">
            <v>3249535.78</v>
          </cell>
          <cell r="GR86">
            <v>2573630.87</v>
          </cell>
          <cell r="GS86">
            <v>1916563.93</v>
          </cell>
          <cell r="GT86">
            <v>2080949.33</v>
          </cell>
        </row>
        <row r="98">
          <cell r="FW98">
            <v>1526074.53</v>
          </cell>
          <cell r="FX98">
            <v>1158758.3</v>
          </cell>
          <cell r="FY98">
            <v>1376124.32</v>
          </cell>
          <cell r="FZ98">
            <v>1293235.3999999999</v>
          </cell>
          <cell r="GA98">
            <v>1326336.8</v>
          </cell>
          <cell r="GB98">
            <v>1384942.37</v>
          </cell>
          <cell r="GC98">
            <v>1159580.51</v>
          </cell>
          <cell r="GD98">
            <v>1220490.79</v>
          </cell>
          <cell r="GE98">
            <v>1217362.8500000001</v>
          </cell>
          <cell r="GF98">
            <v>614367.99</v>
          </cell>
          <cell r="GG98">
            <v>1686501.78</v>
          </cell>
          <cell r="GH98">
            <v>771044.01</v>
          </cell>
          <cell r="GI98">
            <v>452326.51</v>
          </cell>
          <cell r="GJ98">
            <v>353582.62</v>
          </cell>
          <cell r="GK98">
            <v>369596.34</v>
          </cell>
          <cell r="GL98">
            <v>345834.43</v>
          </cell>
          <cell r="GM98">
            <v>355774.93</v>
          </cell>
          <cell r="GN98">
            <v>371485.2</v>
          </cell>
          <cell r="GO98">
            <v>313441.90000000002</v>
          </cell>
          <cell r="GP98">
            <v>326729.82</v>
          </cell>
          <cell r="GQ98">
            <v>366332.59</v>
          </cell>
          <cell r="GR98">
            <v>182061.8</v>
          </cell>
          <cell r="GS98">
            <v>528912.9</v>
          </cell>
          <cell r="GT98">
            <v>233736.06</v>
          </cell>
        </row>
      </sheetData>
      <sheetData sheetId="2">
        <row r="8">
          <cell r="R8">
            <v>-159.71</v>
          </cell>
          <cell r="S8">
            <v>-145.97999999999999</v>
          </cell>
          <cell r="T8">
            <v>-136.55000000000001</v>
          </cell>
          <cell r="U8">
            <v>-147.91</v>
          </cell>
          <cell r="V8">
            <v>-148.65</v>
          </cell>
          <cell r="W8">
            <v>-169.3</v>
          </cell>
          <cell r="X8">
            <v>-148.35</v>
          </cell>
          <cell r="Y8">
            <v>-158.43</v>
          </cell>
          <cell r="Z8">
            <v>-144.28</v>
          </cell>
          <cell r="AA8">
            <v>-134.41</v>
          </cell>
          <cell r="AB8">
            <v>-116.44</v>
          </cell>
          <cell r="AC8">
            <v>-118.54</v>
          </cell>
        </row>
        <row r="14">
          <cell r="R14">
            <v>-4974.41</v>
          </cell>
          <cell r="S14">
            <v>-4759.51</v>
          </cell>
          <cell r="T14">
            <v>-4197.3100000000004</v>
          </cell>
          <cell r="U14">
            <v>-4058.09</v>
          </cell>
          <cell r="V14">
            <v>-4099.6499999999996</v>
          </cell>
          <cell r="W14">
            <v>-4106.07</v>
          </cell>
          <cell r="X14">
            <v>-4133.33</v>
          </cell>
          <cell r="Y14">
            <v>-4179.18</v>
          </cell>
          <cell r="Z14">
            <v>-4202.59</v>
          </cell>
          <cell r="AA14">
            <v>-4166.3999999999996</v>
          </cell>
          <cell r="AB14">
            <v>-4265.42</v>
          </cell>
          <cell r="AC14">
            <v>-4302.79</v>
          </cell>
        </row>
        <row r="29">
          <cell r="R29">
            <v>-458.54</v>
          </cell>
          <cell r="S29">
            <v>-454.02</v>
          </cell>
          <cell r="T29">
            <v>-452.45</v>
          </cell>
          <cell r="U29">
            <v>-452.45</v>
          </cell>
          <cell r="V29">
            <v>-452.45</v>
          </cell>
          <cell r="W29">
            <v>-452.45</v>
          </cell>
          <cell r="X29">
            <v>-452.45</v>
          </cell>
          <cell r="Y29">
            <v>-452.45</v>
          </cell>
          <cell r="Z29">
            <v>-452.45</v>
          </cell>
          <cell r="AA29">
            <v>-447.99</v>
          </cell>
          <cell r="AB29">
            <v>-448.7</v>
          </cell>
          <cell r="AC29">
            <v>-446.35</v>
          </cell>
        </row>
        <row r="32">
          <cell r="R32">
            <v>-24426.05</v>
          </cell>
          <cell r="S32">
            <v>-24803.17</v>
          </cell>
          <cell r="T32">
            <v>-24948.9</v>
          </cell>
          <cell r="U32">
            <v>-24709.14</v>
          </cell>
          <cell r="V32">
            <v>-25202.47</v>
          </cell>
          <cell r="W32">
            <v>-25825.57</v>
          </cell>
          <cell r="X32">
            <v>-26121.05</v>
          </cell>
          <cell r="Y32">
            <v>-25667.49</v>
          </cell>
          <cell r="Z32">
            <v>-26809.05</v>
          </cell>
          <cell r="AA32">
            <v>-26958.5</v>
          </cell>
          <cell r="AB32">
            <v>-26234.560000000001</v>
          </cell>
          <cell r="AC32">
            <v>-25760.22</v>
          </cell>
        </row>
        <row r="35">
          <cell r="R35">
            <v>-1982.86</v>
          </cell>
          <cell r="S35">
            <v>-2064.9699999999998</v>
          </cell>
          <cell r="T35">
            <v>-2013.27</v>
          </cell>
          <cell r="U35">
            <v>-2037.26</v>
          </cell>
          <cell r="V35">
            <v>-2099.4699999999998</v>
          </cell>
          <cell r="W35">
            <v>-2085.6</v>
          </cell>
          <cell r="X35">
            <v>-2023.23</v>
          </cell>
          <cell r="Y35">
            <v>-2182.65</v>
          </cell>
          <cell r="Z35">
            <v>-2308.52</v>
          </cell>
          <cell r="AA35">
            <v>-2321.3000000000002</v>
          </cell>
          <cell r="AB35">
            <v>-2221.34</v>
          </cell>
          <cell r="AC35">
            <v>-1329.23</v>
          </cell>
        </row>
        <row r="38">
          <cell r="R38">
            <v>-331.56</v>
          </cell>
          <cell r="S38">
            <v>-331.01</v>
          </cell>
          <cell r="T38">
            <v>-332.66</v>
          </cell>
          <cell r="U38">
            <v>-384.67</v>
          </cell>
          <cell r="V38">
            <v>-398.11</v>
          </cell>
          <cell r="W38">
            <v>-378.98</v>
          </cell>
          <cell r="X38">
            <v>-396.11</v>
          </cell>
          <cell r="Y38">
            <v>-442.8</v>
          </cell>
          <cell r="Z38">
            <v>-442.14</v>
          </cell>
          <cell r="AA38">
            <v>-409.15</v>
          </cell>
          <cell r="AB38">
            <v>-339.75</v>
          </cell>
          <cell r="AC38">
            <v>-330.35</v>
          </cell>
        </row>
      </sheetData>
      <sheetData sheetId="3">
        <row r="13">
          <cell r="AC13">
            <v>-68.510000000000005</v>
          </cell>
        </row>
        <row r="72">
          <cell r="H72">
            <v>-0.05</v>
          </cell>
          <cell r="AC72">
            <v>-2.67</v>
          </cell>
        </row>
      </sheetData>
      <sheetData sheetId="4">
        <row r="12">
          <cell r="F12">
            <v>38956858</v>
          </cell>
          <cell r="G12">
            <v>32411244</v>
          </cell>
          <cell r="H12">
            <v>31081408</v>
          </cell>
          <cell r="I12">
            <v>33044916</v>
          </cell>
          <cell r="J12">
            <v>33647905</v>
          </cell>
          <cell r="K12">
            <v>40834962</v>
          </cell>
          <cell r="L12">
            <v>41305101</v>
          </cell>
          <cell r="M12">
            <v>41678858</v>
          </cell>
          <cell r="N12">
            <v>42006722</v>
          </cell>
          <cell r="O12">
            <v>37614479</v>
          </cell>
          <cell r="P12">
            <v>32841805</v>
          </cell>
          <cell r="Q12">
            <v>33287037</v>
          </cell>
        </row>
        <row r="21">
          <cell r="F21">
            <v>58083329</v>
          </cell>
          <cell r="G21">
            <v>52275535</v>
          </cell>
          <cell r="H21">
            <v>56225963</v>
          </cell>
          <cell r="I21">
            <v>60243623</v>
          </cell>
          <cell r="J21">
            <v>62474255</v>
          </cell>
          <cell r="K21">
            <v>70640242</v>
          </cell>
          <cell r="L21">
            <v>69345382</v>
          </cell>
          <cell r="M21">
            <v>71582501</v>
          </cell>
          <cell r="N21">
            <v>84975593</v>
          </cell>
          <cell r="O21">
            <v>74634783</v>
          </cell>
          <cell r="P21">
            <v>63862650</v>
          </cell>
          <cell r="Q21">
            <v>56865142</v>
          </cell>
        </row>
        <row r="30">
          <cell r="F30">
            <v>500555343</v>
          </cell>
          <cell r="G30">
            <v>449643105</v>
          </cell>
          <cell r="H30">
            <v>459139952</v>
          </cell>
          <cell r="I30">
            <v>502629731</v>
          </cell>
          <cell r="J30">
            <v>518462299</v>
          </cell>
          <cell r="K30">
            <v>639817754</v>
          </cell>
          <cell r="L30">
            <v>641036181</v>
          </cell>
          <cell r="M30">
            <v>653157826</v>
          </cell>
          <cell r="N30">
            <v>663998300</v>
          </cell>
          <cell r="O30">
            <v>581257530</v>
          </cell>
          <cell r="P30">
            <v>485029547</v>
          </cell>
          <cell r="Q30">
            <v>470195604</v>
          </cell>
        </row>
        <row r="71">
          <cell r="F71">
            <v>18530745</v>
          </cell>
          <cell r="G71">
            <v>18456263</v>
          </cell>
          <cell r="H71">
            <v>18516219</v>
          </cell>
          <cell r="I71">
            <v>18538486</v>
          </cell>
          <cell r="J71">
            <v>18513821</v>
          </cell>
          <cell r="K71">
            <v>18519207</v>
          </cell>
          <cell r="L71">
            <v>18527339</v>
          </cell>
          <cell r="M71">
            <v>18522275</v>
          </cell>
          <cell r="N71">
            <v>18554622</v>
          </cell>
          <cell r="O71">
            <v>18418289</v>
          </cell>
          <cell r="P71">
            <v>18640922</v>
          </cell>
          <cell r="Q71">
            <v>18538323</v>
          </cell>
        </row>
        <row r="77">
          <cell r="F77">
            <v>198171830</v>
          </cell>
          <cell r="G77">
            <v>172272625</v>
          </cell>
          <cell r="H77">
            <v>184100568</v>
          </cell>
          <cell r="I77">
            <v>183217855</v>
          </cell>
          <cell r="J77">
            <v>204847423</v>
          </cell>
          <cell r="K77">
            <v>224946613</v>
          </cell>
          <cell r="L77">
            <v>221596371</v>
          </cell>
          <cell r="M77">
            <v>223179214</v>
          </cell>
          <cell r="N77">
            <v>229066783</v>
          </cell>
          <cell r="O77">
            <v>201033122</v>
          </cell>
          <cell r="P77">
            <v>200869255</v>
          </cell>
          <cell r="Q77">
            <v>183978294</v>
          </cell>
        </row>
        <row r="82">
          <cell r="F82">
            <v>13240006</v>
          </cell>
          <cell r="G82">
            <v>12108702</v>
          </cell>
          <cell r="H82">
            <v>12035700</v>
          </cell>
          <cell r="I82">
            <v>13413031</v>
          </cell>
          <cell r="J82">
            <v>13898307</v>
          </cell>
          <cell r="K82">
            <v>16277289</v>
          </cell>
          <cell r="L82">
            <v>15968457</v>
          </cell>
          <cell r="M82">
            <v>16752000</v>
          </cell>
          <cell r="N82">
            <v>16955668</v>
          </cell>
          <cell r="O82">
            <v>15870232</v>
          </cell>
          <cell r="P82">
            <v>15937274</v>
          </cell>
          <cell r="Q82">
            <v>14036517</v>
          </cell>
        </row>
        <row r="85">
          <cell r="J85">
            <v>700423139</v>
          </cell>
          <cell r="K85">
            <v>1052944810</v>
          </cell>
          <cell r="L85">
            <v>1085622076</v>
          </cell>
          <cell r="M85">
            <v>1116976046</v>
          </cell>
          <cell r="N85">
            <v>1093021090</v>
          </cell>
          <cell r="O85">
            <v>865676506</v>
          </cell>
          <cell r="P85">
            <v>644671379</v>
          </cell>
          <cell r="Q85">
            <v>699955268</v>
          </cell>
        </row>
        <row r="97">
          <cell r="F97">
            <v>516330789</v>
          </cell>
          <cell r="G97">
            <v>335861915</v>
          </cell>
          <cell r="H97">
            <v>555737077</v>
          </cell>
          <cell r="I97">
            <v>522912527</v>
          </cell>
          <cell r="J97">
            <v>485411568</v>
          </cell>
          <cell r="K97">
            <v>486399900</v>
          </cell>
          <cell r="L97">
            <v>350777000</v>
          </cell>
          <cell r="M97">
            <v>399770500</v>
          </cell>
          <cell r="N97">
            <v>459267500</v>
          </cell>
          <cell r="O97">
            <v>229664900</v>
          </cell>
          <cell r="P97">
            <v>577451700</v>
          </cell>
          <cell r="Q97">
            <v>344402500</v>
          </cell>
        </row>
      </sheetData>
      <sheetData sheetId="5" refreshError="1"/>
      <sheetData sheetId="6">
        <row r="21">
          <cell r="F21">
            <v>178437.9</v>
          </cell>
          <cell r="G21">
            <v>174247.7</v>
          </cell>
          <cell r="H21">
            <v>176919.7</v>
          </cell>
          <cell r="I21">
            <v>174738.7</v>
          </cell>
          <cell r="J21">
            <v>178950.8</v>
          </cell>
          <cell r="K21">
            <v>190986.8</v>
          </cell>
          <cell r="L21">
            <v>185520.7</v>
          </cell>
          <cell r="M21">
            <v>204333.2</v>
          </cell>
          <cell r="N21">
            <v>215936.6</v>
          </cell>
          <cell r="O21">
            <v>206667.8</v>
          </cell>
          <cell r="P21">
            <v>195775</v>
          </cell>
          <cell r="Q21">
            <v>177883.8</v>
          </cell>
        </row>
        <row r="30">
          <cell r="F30">
            <v>2298784.7000000002</v>
          </cell>
          <cell r="G30">
            <v>2279421.9</v>
          </cell>
          <cell r="H30">
            <v>2197974.2000000002</v>
          </cell>
          <cell r="I30">
            <v>2194759.7000000002</v>
          </cell>
          <cell r="J30">
            <v>2231410</v>
          </cell>
          <cell r="K30">
            <v>2300573.2999999998</v>
          </cell>
          <cell r="L30">
            <v>2286677.4</v>
          </cell>
          <cell r="M30">
            <v>2304600.4</v>
          </cell>
          <cell r="N30">
            <v>2299886.7999999998</v>
          </cell>
          <cell r="O30">
            <v>2242766.2999999998</v>
          </cell>
          <cell r="P30">
            <v>2213180.4</v>
          </cell>
          <cell r="Q30">
            <v>2223836.2999999998</v>
          </cell>
        </row>
        <row r="77">
          <cell r="F77">
            <v>518924</v>
          </cell>
          <cell r="G77">
            <v>489635.3</v>
          </cell>
          <cell r="H77">
            <v>492203.5</v>
          </cell>
          <cell r="I77">
            <v>485893.3</v>
          </cell>
          <cell r="J77">
            <v>540848</v>
          </cell>
          <cell r="K77">
            <v>540055.80000000005</v>
          </cell>
          <cell r="L77">
            <v>529402.5</v>
          </cell>
          <cell r="M77">
            <v>523277.7</v>
          </cell>
          <cell r="N77">
            <v>531069.4</v>
          </cell>
          <cell r="O77">
            <v>507257.1</v>
          </cell>
          <cell r="P77">
            <v>527313.19999999995</v>
          </cell>
          <cell r="Q77">
            <v>486463.4</v>
          </cell>
        </row>
        <row r="82">
          <cell r="F82">
            <v>43043.1</v>
          </cell>
          <cell r="G82">
            <v>41672.300000000003</v>
          </cell>
          <cell r="H82">
            <v>40781.800000000003</v>
          </cell>
          <cell r="I82">
            <v>41882.300000000003</v>
          </cell>
          <cell r="J82">
            <v>45065.1</v>
          </cell>
          <cell r="K82">
            <v>45234.5</v>
          </cell>
          <cell r="L82">
            <v>45414.2</v>
          </cell>
          <cell r="M82">
            <v>45725.5</v>
          </cell>
          <cell r="N82">
            <v>46519.199999999997</v>
          </cell>
          <cell r="O82">
            <v>46150.3</v>
          </cell>
          <cell r="P82">
            <v>53832.9</v>
          </cell>
          <cell r="Q82">
            <v>45029</v>
          </cell>
        </row>
        <row r="97">
          <cell r="F97">
            <v>1422295.1</v>
          </cell>
          <cell r="G97">
            <v>1165950.6000000001</v>
          </cell>
          <cell r="H97">
            <v>1339600.6000000001</v>
          </cell>
          <cell r="I97">
            <v>1316104.6000000001</v>
          </cell>
          <cell r="J97">
            <v>1324321.6000000001</v>
          </cell>
          <cell r="K97">
            <v>1396468.8</v>
          </cell>
          <cell r="L97">
            <v>1214324.8</v>
          </cell>
          <cell r="M97">
            <v>1219485.1000000001</v>
          </cell>
          <cell r="N97">
            <v>1377057.8</v>
          </cell>
          <cell r="O97">
            <v>731317.3</v>
          </cell>
          <cell r="P97">
            <v>1870570.5</v>
          </cell>
          <cell r="Q97">
            <v>970689</v>
          </cell>
        </row>
      </sheetData>
      <sheetData sheetId="7" refreshError="1"/>
      <sheetData sheetId="8">
        <row r="11">
          <cell r="H11">
            <v>130916</v>
          </cell>
        </row>
      </sheetData>
      <sheetData sheetId="9">
        <row r="12">
          <cell r="G12">
            <v>64245</v>
          </cell>
          <cell r="H12">
            <v>62878</v>
          </cell>
          <cell r="I12">
            <v>62651</v>
          </cell>
          <cell r="J12">
            <v>62863</v>
          </cell>
          <cell r="K12">
            <v>63033</v>
          </cell>
          <cell r="L12">
            <v>63233</v>
          </cell>
          <cell r="M12">
            <v>63278</v>
          </cell>
          <cell r="N12">
            <v>63554</v>
          </cell>
        </row>
        <row r="21">
          <cell r="G21">
            <v>342</v>
          </cell>
          <cell r="H21">
            <v>344</v>
          </cell>
          <cell r="I21">
            <v>343</v>
          </cell>
          <cell r="J21">
            <v>342</v>
          </cell>
          <cell r="K21">
            <v>340</v>
          </cell>
          <cell r="L21">
            <v>336</v>
          </cell>
          <cell r="M21">
            <v>334</v>
          </cell>
          <cell r="N21">
            <v>340</v>
          </cell>
        </row>
        <row r="30">
          <cell r="G30">
            <v>56480</v>
          </cell>
          <cell r="H30">
            <v>57650</v>
          </cell>
          <cell r="I30">
            <v>58351</v>
          </cell>
          <cell r="J30">
            <v>58410</v>
          </cell>
          <cell r="K30">
            <v>58277</v>
          </cell>
          <cell r="L30">
            <v>58346</v>
          </cell>
          <cell r="M30">
            <v>58409</v>
          </cell>
          <cell r="N30">
            <v>58664</v>
          </cell>
        </row>
        <row r="77">
          <cell r="G77">
            <v>350</v>
          </cell>
          <cell r="H77">
            <v>348</v>
          </cell>
          <cell r="I77">
            <v>347</v>
          </cell>
          <cell r="J77">
            <v>343</v>
          </cell>
          <cell r="K77">
            <v>352</v>
          </cell>
          <cell r="L77">
            <v>351</v>
          </cell>
          <cell r="M77">
            <v>348</v>
          </cell>
          <cell r="N77">
            <v>342</v>
          </cell>
          <cell r="O77">
            <v>347</v>
          </cell>
          <cell r="P77">
            <v>343</v>
          </cell>
          <cell r="Q77">
            <v>343</v>
          </cell>
          <cell r="R77">
            <v>346</v>
          </cell>
        </row>
        <row r="82">
          <cell r="G82">
            <v>206</v>
          </cell>
          <cell r="H82">
            <v>200</v>
          </cell>
          <cell r="I82">
            <v>202</v>
          </cell>
          <cell r="J82">
            <v>200</v>
          </cell>
          <cell r="K82">
            <v>202</v>
          </cell>
          <cell r="L82">
            <v>202</v>
          </cell>
          <cell r="M82">
            <v>204</v>
          </cell>
          <cell r="N82">
            <v>206</v>
          </cell>
          <cell r="O82">
            <v>209</v>
          </cell>
          <cell r="P82">
            <v>205</v>
          </cell>
          <cell r="Q82">
            <v>207</v>
          </cell>
          <cell r="R82">
            <v>206</v>
          </cell>
        </row>
        <row r="85">
          <cell r="G85">
            <v>716486</v>
          </cell>
          <cell r="H85">
            <v>717014</v>
          </cell>
          <cell r="I85">
            <v>718303</v>
          </cell>
          <cell r="J85">
            <v>719324</v>
          </cell>
          <cell r="K85">
            <v>720339</v>
          </cell>
          <cell r="L85">
            <v>720374</v>
          </cell>
          <cell r="M85">
            <v>720222</v>
          </cell>
          <cell r="N85">
            <v>724607</v>
          </cell>
        </row>
        <row r="97">
          <cell r="G97">
            <v>62</v>
          </cell>
          <cell r="H97">
            <v>57</v>
          </cell>
          <cell r="I97">
            <v>55</v>
          </cell>
          <cell r="J97">
            <v>57</v>
          </cell>
          <cell r="K97">
            <v>58</v>
          </cell>
          <cell r="L97">
            <v>60</v>
          </cell>
          <cell r="M97">
            <v>55</v>
          </cell>
          <cell r="N97">
            <v>57</v>
          </cell>
          <cell r="O97">
            <v>60</v>
          </cell>
          <cell r="P97">
            <v>41</v>
          </cell>
          <cell r="Q97">
            <v>82</v>
          </cell>
          <cell r="R97">
            <v>39</v>
          </cell>
        </row>
      </sheetData>
      <sheetData sheetId="10" refreshError="1"/>
      <sheetData sheetId="11" refreshError="1"/>
      <sheetData sheetId="12" refreshError="1"/>
      <sheetData sheetId="13">
        <row r="14">
          <cell r="F14">
            <v>346322.6</v>
          </cell>
        </row>
      </sheetData>
      <sheetData sheetId="14" refreshError="1"/>
      <sheetData sheetId="15" refreshError="1"/>
      <sheetData sheetId="16" refreshError="1"/>
      <sheetData sheetId="17">
        <row r="8">
          <cell r="T8">
            <v>2696084.27</v>
          </cell>
        </row>
        <row r="17">
          <cell r="T17">
            <v>64426.5</v>
          </cell>
        </row>
        <row r="26">
          <cell r="T26">
            <v>11038469.689999999</v>
          </cell>
        </row>
        <row r="32">
          <cell r="T32">
            <v>642158.71</v>
          </cell>
        </row>
        <row r="37">
          <cell r="T37">
            <v>377436.46</v>
          </cell>
        </row>
        <row r="40">
          <cell r="T40">
            <v>30720070.510000002</v>
          </cell>
        </row>
        <row r="52">
          <cell r="T52">
            <v>1248793.51</v>
          </cell>
        </row>
      </sheetData>
      <sheetData sheetId="18">
        <row r="11">
          <cell r="T11">
            <v>2409312.66</v>
          </cell>
        </row>
        <row r="20">
          <cell r="T20">
            <v>108070.3</v>
          </cell>
        </row>
        <row r="29">
          <cell r="T29">
            <v>2276097.5</v>
          </cell>
        </row>
        <row r="57">
          <cell r="T57">
            <v>72736.319999999905</v>
          </cell>
        </row>
        <row r="63">
          <cell r="T63">
            <v>117990.8</v>
          </cell>
        </row>
        <row r="68">
          <cell r="T68">
            <v>9276.03999999999</v>
          </cell>
        </row>
        <row r="71">
          <cell r="T71">
            <v>27604764.050000001</v>
          </cell>
        </row>
        <row r="83">
          <cell r="T83">
            <v>26415.39</v>
          </cell>
        </row>
      </sheetData>
      <sheetData sheetId="19">
        <row r="19">
          <cell r="H19">
            <v>603407.43000000005</v>
          </cell>
          <cell r="I19">
            <v>502019.97</v>
          </cell>
          <cell r="J19">
            <v>481422.76</v>
          </cell>
          <cell r="K19">
            <v>511836.54</v>
          </cell>
          <cell r="L19">
            <v>521175.53</v>
          </cell>
          <cell r="M19">
            <v>632495.55000000005</v>
          </cell>
          <cell r="N19">
            <v>639777.67000000004</v>
          </cell>
          <cell r="O19">
            <v>645565.76</v>
          </cell>
          <cell r="P19">
            <v>650644.84</v>
          </cell>
          <cell r="Q19">
            <v>582614.5</v>
          </cell>
          <cell r="R19">
            <v>508689.21</v>
          </cell>
          <cell r="S19">
            <v>515585.58</v>
          </cell>
          <cell r="T19">
            <v>97866.61</v>
          </cell>
          <cell r="U19">
            <v>81426.47</v>
          </cell>
          <cell r="V19">
            <v>78086.38</v>
          </cell>
          <cell r="W19">
            <v>83017.460000000006</v>
          </cell>
          <cell r="X19">
            <v>84533.02</v>
          </cell>
          <cell r="Y19">
            <v>102586.3</v>
          </cell>
          <cell r="Z19">
            <v>103768.11</v>
          </cell>
          <cell r="AA19">
            <v>104707.22</v>
          </cell>
          <cell r="AB19">
            <v>105531.05</v>
          </cell>
          <cell r="AC19">
            <v>94496.46</v>
          </cell>
          <cell r="AD19">
            <v>82507.789999999994</v>
          </cell>
          <cell r="AE19">
            <v>83625.69</v>
          </cell>
        </row>
        <row r="37">
          <cell r="H37">
            <v>585415.07999999996</v>
          </cell>
          <cell r="I37">
            <v>576785.23</v>
          </cell>
          <cell r="J37">
            <v>579950.94999999995</v>
          </cell>
          <cell r="K37">
            <v>578886.49</v>
          </cell>
          <cell r="L37">
            <v>590847.44999999995</v>
          </cell>
          <cell r="M37">
            <v>604305.17000000004</v>
          </cell>
          <cell r="N37">
            <v>607606.76</v>
          </cell>
          <cell r="O37">
            <v>673876.43</v>
          </cell>
          <cell r="P37">
            <v>710910.78</v>
          </cell>
          <cell r="Q37">
            <v>683598.38</v>
          </cell>
          <cell r="R37">
            <v>648667.76</v>
          </cell>
          <cell r="S37">
            <v>589186.41</v>
          </cell>
          <cell r="T37">
            <v>231041.59</v>
          </cell>
          <cell r="U37">
            <v>228182.14</v>
          </cell>
          <cell r="V37">
            <v>230538.63</v>
          </cell>
          <cell r="W37">
            <v>227993.77</v>
          </cell>
          <cell r="X37">
            <v>229000.09</v>
          </cell>
          <cell r="Y37">
            <v>225959.6</v>
          </cell>
          <cell r="Z37">
            <v>226769.63</v>
          </cell>
          <cell r="AA37">
            <v>228146.86</v>
          </cell>
          <cell r="AB37">
            <v>228127.46</v>
          </cell>
          <cell r="AC37">
            <v>226519.32</v>
          </cell>
          <cell r="AD37">
            <v>230668.73</v>
          </cell>
          <cell r="AE37">
            <v>224736.24</v>
          </cell>
        </row>
        <row r="55">
          <cell r="H55">
            <v>7494151.7000000002</v>
          </cell>
          <cell r="I55">
            <v>7441903.2800000003</v>
          </cell>
          <cell r="J55">
            <v>7218260.0999999996</v>
          </cell>
          <cell r="K55">
            <v>7194031.0099999998</v>
          </cell>
          <cell r="L55">
            <v>7258888.4900000002</v>
          </cell>
          <cell r="M55">
            <v>7494367.2800000003</v>
          </cell>
          <cell r="N55">
            <v>7480393.2300000004</v>
          </cell>
          <cell r="O55">
            <v>7548860.8200000003</v>
          </cell>
          <cell r="P55">
            <v>7537968.6100000003</v>
          </cell>
          <cell r="Q55">
            <v>7360990.3499999996</v>
          </cell>
          <cell r="R55">
            <v>7284257.0599999996</v>
          </cell>
          <cell r="S55">
            <v>7295893</v>
          </cell>
          <cell r="T55">
            <v>2652920.02</v>
          </cell>
          <cell r="U55">
            <v>2597844.52</v>
          </cell>
          <cell r="V55">
            <v>2422629.5099999998</v>
          </cell>
          <cell r="W55">
            <v>2332976.4300000002</v>
          </cell>
          <cell r="X55">
            <v>2376662.0299999998</v>
          </cell>
          <cell r="Y55">
            <v>2537062.04</v>
          </cell>
          <cell r="Z55">
            <v>2507049.9900000002</v>
          </cell>
          <cell r="AA55">
            <v>2549167.62</v>
          </cell>
          <cell r="AB55">
            <v>2581923.67</v>
          </cell>
          <cell r="AC55">
            <v>2485485.4500000002</v>
          </cell>
          <cell r="AD55">
            <v>2477433.83</v>
          </cell>
          <cell r="AE55">
            <v>2478619.29</v>
          </cell>
        </row>
        <row r="138">
          <cell r="H138">
            <v>1138938.96</v>
          </cell>
          <cell r="I138">
            <v>1135063.95</v>
          </cell>
          <cell r="J138">
            <v>1137995.75</v>
          </cell>
          <cell r="K138">
            <v>1140110.8700000001</v>
          </cell>
          <cell r="L138">
            <v>1139610.0900000001</v>
          </cell>
          <cell r="M138">
            <v>1140638.1000000001</v>
          </cell>
          <cell r="N138">
            <v>1140563.98</v>
          </cell>
          <cell r="O138">
            <v>1140417.1399999999</v>
          </cell>
          <cell r="P138">
            <v>1141216.07</v>
          </cell>
          <cell r="Q138">
            <v>1136103.97</v>
          </cell>
          <cell r="R138">
            <v>1145205.42</v>
          </cell>
          <cell r="S138">
            <v>1141982.6000000001</v>
          </cell>
          <cell r="T138">
            <v>46546.38</v>
          </cell>
          <cell r="U138">
            <v>46363.35</v>
          </cell>
          <cell r="V138">
            <v>46513.45</v>
          </cell>
          <cell r="W138">
            <v>46569.71</v>
          </cell>
          <cell r="X138">
            <v>46508.21</v>
          </cell>
          <cell r="Y138">
            <v>46521.45</v>
          </cell>
          <cell r="Z138">
            <v>46542.26</v>
          </cell>
          <cell r="AA138">
            <v>46529.49</v>
          </cell>
          <cell r="AB138">
            <v>46610.52</v>
          </cell>
          <cell r="AC138">
            <v>46268.13</v>
          </cell>
          <cell r="AD138">
            <v>46826.27</v>
          </cell>
          <cell r="AE138">
            <v>46568.97</v>
          </cell>
        </row>
        <row r="150">
          <cell r="H150">
            <v>1522926.57</v>
          </cell>
          <cell r="I150">
            <v>1438916.84</v>
          </cell>
          <cell r="J150">
            <v>1448644.28</v>
          </cell>
          <cell r="K150">
            <v>1429123.07</v>
          </cell>
          <cell r="L150">
            <v>1550757.92</v>
          </cell>
          <cell r="M150">
            <v>1573246.4</v>
          </cell>
          <cell r="N150">
            <v>1553636.45</v>
          </cell>
          <cell r="O150">
            <v>1542175.67</v>
          </cell>
          <cell r="P150">
            <v>1557391.99</v>
          </cell>
          <cell r="Q150">
            <v>1481245.63</v>
          </cell>
          <cell r="R150">
            <v>1542763.6</v>
          </cell>
          <cell r="S150">
            <v>1415177.24</v>
          </cell>
          <cell r="T150">
            <v>742148.22</v>
          </cell>
          <cell r="U150">
            <v>697646.35</v>
          </cell>
          <cell r="V150">
            <v>692142.02</v>
          </cell>
          <cell r="W150">
            <v>660333.46</v>
          </cell>
          <cell r="X150">
            <v>727733.68</v>
          </cell>
          <cell r="Y150">
            <v>702629.04</v>
          </cell>
          <cell r="Z150">
            <v>696785.51</v>
          </cell>
          <cell r="AA150">
            <v>694458.5</v>
          </cell>
          <cell r="AB150">
            <v>696637.43</v>
          </cell>
          <cell r="AC150">
            <v>663567.31999999995</v>
          </cell>
          <cell r="AD150">
            <v>718370.11</v>
          </cell>
          <cell r="AE150">
            <v>654766.57999999996</v>
          </cell>
        </row>
        <row r="160">
          <cell r="H160">
            <v>124384.78</v>
          </cell>
          <cell r="I160">
            <v>121328.62</v>
          </cell>
          <cell r="J160">
            <v>119064.31</v>
          </cell>
          <cell r="K160">
            <v>122513.56</v>
          </cell>
          <cell r="L160">
            <v>124809.26</v>
          </cell>
          <cell r="M160">
            <v>127912.89</v>
          </cell>
          <cell r="N160">
            <v>128427.54</v>
          </cell>
          <cell r="O160">
            <v>134661.71</v>
          </cell>
          <cell r="P160">
            <v>135839.60999999999</v>
          </cell>
          <cell r="Q160">
            <v>135010.49</v>
          </cell>
          <cell r="R160">
            <v>155533.20000000001</v>
          </cell>
          <cell r="S160">
            <v>129958.25</v>
          </cell>
          <cell r="T160">
            <v>56857.99</v>
          </cell>
          <cell r="U160">
            <v>54906.18</v>
          </cell>
          <cell r="V160">
            <v>51912.76</v>
          </cell>
          <cell r="W160">
            <v>55196.4</v>
          </cell>
          <cell r="X160">
            <v>57919.199999999997</v>
          </cell>
          <cell r="Y160">
            <v>62137.27</v>
          </cell>
          <cell r="Z160">
            <v>62194.71</v>
          </cell>
          <cell r="AA160">
            <v>65262.6</v>
          </cell>
          <cell r="AB160">
            <v>65447.86</v>
          </cell>
          <cell r="AC160">
            <v>64066.32</v>
          </cell>
          <cell r="AD160">
            <v>75499.360000000001</v>
          </cell>
          <cell r="AE160">
            <v>59464.06</v>
          </cell>
        </row>
        <row r="166">
          <cell r="H166">
            <v>13714942.189999999</v>
          </cell>
          <cell r="I166">
            <v>10107463.890000001</v>
          </cell>
          <cell r="J166">
            <v>8103491.0700000003</v>
          </cell>
          <cell r="K166">
            <v>8811669.0800000001</v>
          </cell>
          <cell r="L166">
            <v>9746329.9199999999</v>
          </cell>
          <cell r="M166">
            <v>14651673.189999999</v>
          </cell>
          <cell r="N166">
            <v>15106353.359999999</v>
          </cell>
          <cell r="O166">
            <v>15542602.27</v>
          </cell>
          <cell r="P166">
            <v>15209281.18</v>
          </cell>
          <cell r="Q166">
            <v>12045781.529999999</v>
          </cell>
          <cell r="R166">
            <v>8970545.0099999998</v>
          </cell>
          <cell r="S166">
            <v>9739755.2699999996</v>
          </cell>
          <cell r="T166">
            <v>5115391.24</v>
          </cell>
          <cell r="U166">
            <v>3769869.73</v>
          </cell>
          <cell r="V166">
            <v>3022439.49</v>
          </cell>
          <cell r="W166">
            <v>3286569.48</v>
          </cell>
          <cell r="X166">
            <v>3635179.85</v>
          </cell>
          <cell r="Y166">
            <v>5464774.1200000001</v>
          </cell>
          <cell r="Z166">
            <v>5634356.75</v>
          </cell>
          <cell r="AA166">
            <v>5797064.2000000002</v>
          </cell>
          <cell r="AB166">
            <v>5672747.5700000003</v>
          </cell>
          <cell r="AC166">
            <v>4492822.76</v>
          </cell>
          <cell r="AD166">
            <v>3345818.77</v>
          </cell>
          <cell r="AE166">
            <v>3632727.38</v>
          </cell>
        </row>
        <row r="190">
          <cell r="H190">
            <v>282948.89</v>
          </cell>
          <cell r="I190">
            <v>232053.66</v>
          </cell>
          <cell r="J190">
            <v>266270.82</v>
          </cell>
          <cell r="K190">
            <v>261256.8</v>
          </cell>
          <cell r="L190">
            <v>260858.16</v>
          </cell>
          <cell r="M190">
            <v>276183.88</v>
          </cell>
          <cell r="N190">
            <v>241650.66</v>
          </cell>
          <cell r="O190">
            <v>242677.57</v>
          </cell>
          <cell r="P190">
            <v>274034.52</v>
          </cell>
          <cell r="Q190">
            <v>137299.57999999999</v>
          </cell>
          <cell r="R190">
            <v>371624.63</v>
          </cell>
          <cell r="S190">
            <v>185856.23</v>
          </cell>
          <cell r="T190">
            <v>1113349.8999999999</v>
          </cell>
          <cell r="U190">
            <v>773678</v>
          </cell>
          <cell r="V190">
            <v>934460.2</v>
          </cell>
          <cell r="W190">
            <v>811570.51</v>
          </cell>
          <cell r="X190">
            <v>866318.68</v>
          </cell>
          <cell r="Y190">
            <v>981862.09</v>
          </cell>
          <cell r="Z190">
            <v>720075.82</v>
          </cell>
          <cell r="AA190">
            <v>740956.04</v>
          </cell>
          <cell r="AB190">
            <v>1009830.79</v>
          </cell>
          <cell r="AC190">
            <v>581071.75</v>
          </cell>
          <cell r="AD190">
            <v>1107825.04</v>
          </cell>
          <cell r="AE190">
            <v>570131.06000000006</v>
          </cell>
        </row>
      </sheetData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C by class"/>
      <sheetName val="TNC by class"/>
      <sheetName val="Alt Customer Count"/>
      <sheetName val="Unadj TCC by revcls class"/>
      <sheetName val="TCC allocators by revcls class"/>
      <sheetName val="Unadj TNC by revcls class"/>
      <sheetName val="TNC allocators by revcls class"/>
      <sheetName val="Weather by revcls"/>
    </sheetNames>
    <sheetDataSet>
      <sheetData sheetId="0">
        <row r="17">
          <cell r="C17">
            <v>456680.00407892931</v>
          </cell>
          <cell r="D17">
            <v>117516.67571469038</v>
          </cell>
          <cell r="E17">
            <v>628294.01359820052</v>
          </cell>
          <cell r="F17">
            <v>332883.2152016965</v>
          </cell>
          <cell r="G17">
            <v>-755276.16183331329</v>
          </cell>
          <cell r="H17">
            <v>940736.59122073045</v>
          </cell>
          <cell r="I17">
            <v>-401452.93588767858</v>
          </cell>
          <cell r="J17">
            <v>-336510.67115223932</v>
          </cell>
          <cell r="K17">
            <v>117945.62941660635</v>
          </cell>
          <cell r="L17">
            <v>-11266.527684876224</v>
          </cell>
          <cell r="M17">
            <v>-807981.50757540774</v>
          </cell>
          <cell r="N17">
            <v>-581297.05123561143</v>
          </cell>
        </row>
        <row r="18">
          <cell r="C18">
            <v>685450.31733768294</v>
          </cell>
          <cell r="D18">
            <v>191455.55505635339</v>
          </cell>
          <cell r="E18">
            <v>1159722.0602622358</v>
          </cell>
          <cell r="F18">
            <v>622357.92958842847</v>
          </cell>
          <cell r="G18">
            <v>-1430808.0985211437</v>
          </cell>
          <cell r="H18">
            <v>1687016.8102404852</v>
          </cell>
          <cell r="I18">
            <v>-671196.74868727056</v>
          </cell>
          <cell r="J18">
            <v>-568292.34023588127</v>
          </cell>
          <cell r="K18">
            <v>208611.13108716672</v>
          </cell>
          <cell r="L18">
            <v>-19584.962861792024</v>
          </cell>
          <cell r="M18">
            <v>-1427393.8850775394</v>
          </cell>
          <cell r="N18">
            <v>-942601.21408377157</v>
          </cell>
        </row>
        <row r="19">
          <cell r="C19">
            <v>5940261.9508290123</v>
          </cell>
          <cell r="D19">
            <v>1660993.0888118916</v>
          </cell>
          <cell r="E19">
            <v>9471289.9241039045</v>
          </cell>
          <cell r="F19">
            <v>5163099.9955160897</v>
          </cell>
          <cell r="G19">
            <v>-11852985.911882142</v>
          </cell>
          <cell r="H19">
            <v>14963698.971607797</v>
          </cell>
          <cell r="I19">
            <v>-6325369.9375207722</v>
          </cell>
          <cell r="J19">
            <v>-5386642.9185362197</v>
          </cell>
          <cell r="K19">
            <v>1905787.7286426444</v>
          </cell>
          <cell r="L19">
            <v>-177226.72075419078</v>
          </cell>
          <cell r="M19">
            <v>-12107107.434151322</v>
          </cell>
          <cell r="N19">
            <v>-8264916.6835527159</v>
          </cell>
        </row>
        <row r="21">
          <cell r="C21">
            <v>1433504.7277543759</v>
          </cell>
          <cell r="D21">
            <v>411083.68041706452</v>
          </cell>
          <cell r="E21">
            <v>2440915.0020356583</v>
          </cell>
          <cell r="F21">
            <v>1299587.859693785</v>
          </cell>
          <cell r="G21">
            <v>-3004436.8277634024</v>
          </cell>
          <cell r="H21">
            <v>3564194.6269309861</v>
          </cell>
          <cell r="I21">
            <v>-1481863.3779042785</v>
          </cell>
          <cell r="J21">
            <v>-1251359.0700756598</v>
          </cell>
          <cell r="K21">
            <v>424763.51085358253</v>
          </cell>
          <cell r="L21">
            <v>-42321.788699140976</v>
          </cell>
          <cell r="M21">
            <v>-3094082.1731957314</v>
          </cell>
          <cell r="N21">
            <v>-2072010.0511279011</v>
          </cell>
        </row>
        <row r="22">
          <cell r="C22">
            <v>136478003</v>
          </cell>
          <cell r="D22">
            <v>53144567</v>
          </cell>
          <cell r="E22">
            <v>-5932853</v>
          </cell>
          <cell r="F22">
            <v>7148028</v>
          </cell>
          <cell r="G22">
            <v>-31321474</v>
          </cell>
          <cell r="H22">
            <v>38790328</v>
          </cell>
          <cell r="I22">
            <v>-16263121</v>
          </cell>
          <cell r="J22">
            <v>-13832837</v>
          </cell>
          <cell r="K22">
            <v>4914817</v>
          </cell>
          <cell r="L22">
            <v>837959</v>
          </cell>
          <cell r="M22">
            <v>-16516673</v>
          </cell>
          <cell r="N22">
            <v>-41854024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</sheetData>
      <sheetData sheetId="1">
        <row r="17">
          <cell r="C17">
            <v>190634.75959746592</v>
          </cell>
        </row>
      </sheetData>
      <sheetData sheetId="2">
        <row r="4">
          <cell r="R4">
            <v>63165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of Elec"/>
      <sheetName val="TCC Riders Sales Elec"/>
      <sheetName val="State Inst-Facil"/>
      <sheetName val="TCC Riders Sales Annual"/>
      <sheetName val="Billed kWh"/>
      <sheetName val="Meter kWh"/>
      <sheetName val="Billed kW-Dist"/>
      <sheetName val="TCC Basis Dist kW"/>
      <sheetName val="TCC Basis Trans kW"/>
      <sheetName val="Incl Customers"/>
      <sheetName val="Excl Customers"/>
      <sheetName val="Active Units Lights"/>
      <sheetName val="TCC Riders Sales of Elec"/>
      <sheetName val="TCC Riders Dollars"/>
      <sheetName val="TCC Basis Eq Cd"/>
      <sheetName val="TCC Sales Elec Eq Cd"/>
      <sheetName val="TCC Sales Elec Base Rate Meter "/>
      <sheetName val="TCC Sales Elec Base Rate Custom"/>
      <sheetName val="TCC Sales Elec Base Rate Dist T"/>
      <sheetName val="FAC dollars"/>
      <sheetName val="Deco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1">
          <cell r="F71">
            <v>172943</v>
          </cell>
          <cell r="G71">
            <v>173005</v>
          </cell>
          <cell r="H71">
            <v>173783</v>
          </cell>
          <cell r="I71">
            <v>173942</v>
          </cell>
          <cell r="J71">
            <v>174309</v>
          </cell>
          <cell r="K71">
            <v>173602</v>
          </cell>
          <cell r="L71">
            <v>170666</v>
          </cell>
          <cell r="M71">
            <v>175156</v>
          </cell>
          <cell r="N71">
            <v>174201</v>
          </cell>
          <cell r="O71">
            <v>174364</v>
          </cell>
          <cell r="P71">
            <v>173957</v>
          </cell>
          <cell r="Q71">
            <v>173817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al Schedule C Part 1"/>
      <sheetName val="North Schedule C Part 1"/>
      <sheetName val="2018 Billing Units"/>
      <sheetName val="2018 Monthly Revenue"/>
      <sheetName val="ID Notice Base Units"/>
    </sheetNames>
    <sheetDataSet>
      <sheetData sheetId="0"/>
      <sheetData sheetId="1"/>
      <sheetData sheetId="2"/>
      <sheetData sheetId="3">
        <row r="4">
          <cell r="D4">
            <v>356798.38</v>
          </cell>
          <cell r="E4">
            <v>262948.90999999997</v>
          </cell>
          <cell r="F4">
            <v>210815.65</v>
          </cell>
          <cell r="G4">
            <v>229239.09</v>
          </cell>
          <cell r="H4">
            <v>253553.18</v>
          </cell>
          <cell r="I4">
            <v>381166.02</v>
          </cell>
          <cell r="J4">
            <v>392995.19</v>
          </cell>
          <cell r="K4">
            <v>404345.33</v>
          </cell>
          <cell r="L4">
            <v>395673.63</v>
          </cell>
          <cell r="M4">
            <v>313374.90000000002</v>
          </cell>
          <cell r="N4">
            <v>233371.04</v>
          </cell>
          <cell r="O4">
            <v>253383.81</v>
          </cell>
        </row>
        <row r="5">
          <cell r="D5">
            <v>11111.48</v>
          </cell>
          <cell r="E5">
            <v>9244.89</v>
          </cell>
          <cell r="F5">
            <v>8860.75</v>
          </cell>
          <cell r="G5">
            <v>9421.9</v>
          </cell>
          <cell r="H5">
            <v>9595.42</v>
          </cell>
          <cell r="I5">
            <v>11643.37</v>
          </cell>
          <cell r="J5">
            <v>11782.57</v>
          </cell>
          <cell r="K5">
            <v>11873.62</v>
          </cell>
          <cell r="L5">
            <v>11980.87</v>
          </cell>
          <cell r="M5">
            <v>10726.13</v>
          </cell>
          <cell r="N5">
            <v>9361.49</v>
          </cell>
          <cell r="O5">
            <v>9485.9500000000007</v>
          </cell>
        </row>
        <row r="6">
          <cell r="D6">
            <v>14026.65</v>
          </cell>
          <cell r="E6">
            <v>13697.26</v>
          </cell>
          <cell r="F6">
            <v>13907.3</v>
          </cell>
          <cell r="G6">
            <v>13735.86</v>
          </cell>
          <cell r="H6">
            <v>14066.96</v>
          </cell>
          <cell r="I6">
            <v>15013.09</v>
          </cell>
          <cell r="J6">
            <v>14583.41</v>
          </cell>
          <cell r="K6">
            <v>16062.22</v>
          </cell>
          <cell r="L6">
            <v>16974.34</v>
          </cell>
          <cell r="M6">
            <v>16245.74</v>
          </cell>
          <cell r="N6">
            <v>15389.48</v>
          </cell>
          <cell r="O6">
            <v>13983.09</v>
          </cell>
        </row>
        <row r="7">
          <cell r="D7">
            <v>180611.18</v>
          </cell>
          <cell r="E7">
            <v>179091.05</v>
          </cell>
          <cell r="F7">
            <v>172688.27</v>
          </cell>
          <cell r="G7">
            <v>172436.53</v>
          </cell>
          <cell r="H7">
            <v>175317.56</v>
          </cell>
          <cell r="I7">
            <v>180756</v>
          </cell>
          <cell r="J7">
            <v>179664.35</v>
          </cell>
          <cell r="K7">
            <v>181068.37</v>
          </cell>
          <cell r="L7">
            <v>180700.25</v>
          </cell>
          <cell r="M7">
            <v>176212.66</v>
          </cell>
          <cell r="N7">
            <v>173887.35</v>
          </cell>
          <cell r="O7">
            <v>174723.61</v>
          </cell>
        </row>
        <row r="8">
          <cell r="D8">
            <v>53784.21</v>
          </cell>
          <cell r="E8">
            <v>50704.01</v>
          </cell>
          <cell r="F8">
            <v>50969.41</v>
          </cell>
          <cell r="G8">
            <v>50300.800000000003</v>
          </cell>
          <cell r="H8">
            <v>56098.39</v>
          </cell>
          <cell r="I8">
            <v>56016.160000000003</v>
          </cell>
          <cell r="J8">
            <v>54892.73</v>
          </cell>
          <cell r="K8">
            <v>41756.03</v>
          </cell>
          <cell r="L8">
            <v>53199.73</v>
          </cell>
          <cell r="M8">
            <v>50800.41</v>
          </cell>
          <cell r="N8">
            <v>53085.36</v>
          </cell>
          <cell r="O8">
            <v>48663.6</v>
          </cell>
        </row>
        <row r="9">
          <cell r="D9">
            <v>4537.5200000000004</v>
          </cell>
          <cell r="E9">
            <v>4393.01</v>
          </cell>
          <cell r="F9">
            <v>4299.1400000000003</v>
          </cell>
          <cell r="G9">
            <v>4415.1499999999996</v>
          </cell>
          <cell r="H9">
            <v>4750.67</v>
          </cell>
          <cell r="I9">
            <v>4768.53</v>
          </cell>
          <cell r="J9">
            <v>4787.47</v>
          </cell>
          <cell r="K9">
            <v>4820.29</v>
          </cell>
          <cell r="L9">
            <v>4903.96</v>
          </cell>
          <cell r="M9">
            <v>4865.07</v>
          </cell>
          <cell r="N9">
            <v>5674.96</v>
          </cell>
          <cell r="O9">
            <v>4746.87</v>
          </cell>
        </row>
        <row r="10">
          <cell r="D10">
            <v>57267.29</v>
          </cell>
          <cell r="E10">
            <v>46945.83</v>
          </cell>
          <cell r="F10">
            <v>53937.68</v>
          </cell>
          <cell r="G10">
            <v>52991.64</v>
          </cell>
          <cell r="H10">
            <v>53322.48</v>
          </cell>
          <cell r="I10">
            <v>56227.42</v>
          </cell>
          <cell r="J10">
            <v>48893.57</v>
          </cell>
          <cell r="K10">
            <v>49101.35</v>
          </cell>
          <cell r="L10">
            <v>55445.86</v>
          </cell>
          <cell r="M10">
            <v>29445.759999999998</v>
          </cell>
          <cell r="N10">
            <v>75316.649999999994</v>
          </cell>
          <cell r="O10">
            <v>39083.82</v>
          </cell>
        </row>
      </sheetData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of Elec"/>
      <sheetName val="TCC Riders Sales Elec"/>
      <sheetName val="State Inst-Facil"/>
      <sheetName val="TCC Riders Sales Annual"/>
      <sheetName val="Billed kWh"/>
      <sheetName val="Meter kWh"/>
      <sheetName val="Billed kW-Dist"/>
      <sheetName val="TCC Basis Dist kW"/>
      <sheetName val="TCC Basis Trans kW"/>
      <sheetName val="Incl Customers"/>
      <sheetName val="Excl Customers"/>
      <sheetName val="Active Units Lights"/>
      <sheetName val="TCC Riders Dollars"/>
      <sheetName val="TCC Basis Eq Cd"/>
      <sheetName val="TCC Sales Elec Eq Cd"/>
      <sheetName val="Decoder"/>
    </sheetNames>
    <sheetDataSet>
      <sheetData sheetId="0" refreshError="1"/>
      <sheetData sheetId="1" refreshError="1">
        <row r="71">
          <cell r="BQ71" t="str">
            <v>0.00</v>
          </cell>
          <cell r="BR71" t="str">
            <v>0.00</v>
          </cell>
          <cell r="BS71" t="str">
            <v>0.00</v>
          </cell>
          <cell r="BT71" t="str">
            <v>0.00</v>
          </cell>
          <cell r="BU71" t="str">
            <v>0.00</v>
          </cell>
          <cell r="BV71" t="str">
            <v>0.00</v>
          </cell>
          <cell r="BW71" t="str">
            <v>0.00</v>
          </cell>
          <cell r="BX71" t="str">
            <v>0.00</v>
          </cell>
          <cell r="BY71" t="str">
            <v>0.00</v>
          </cell>
          <cell r="BZ71" t="str">
            <v>0.00</v>
          </cell>
          <cell r="CA71" t="str">
            <v>0.00</v>
          </cell>
          <cell r="CB71" t="str">
            <v>0.00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"/>
  <sheetViews>
    <sheetView tabSelected="1" workbookViewId="0">
      <selection activeCell="B7" sqref="B7"/>
    </sheetView>
  </sheetViews>
  <sheetFormatPr defaultColWidth="7.5703125" defaultRowHeight="11.25" x14ac:dyDescent="0.2"/>
  <cols>
    <col min="1" max="1" width="4.28515625" style="36" bestFit="1" customWidth="1"/>
    <col min="2" max="2" width="49.85546875" style="36" customWidth="1"/>
    <col min="3" max="3" width="7.42578125" style="36" bestFit="1" customWidth="1"/>
    <col min="4" max="4" width="12.42578125" style="36" customWidth="1"/>
    <col min="5" max="5" width="11.7109375" style="89" customWidth="1"/>
    <col min="6" max="6" width="12.7109375" style="86" customWidth="1"/>
    <col min="7" max="7" width="13.42578125" style="86" customWidth="1"/>
    <col min="8" max="16384" width="7.5703125" style="36"/>
  </cols>
  <sheetData>
    <row r="1" spans="2:7" ht="12" thickBot="1" x14ac:dyDescent="0.25">
      <c r="E1" s="90"/>
      <c r="F1" s="88"/>
      <c r="G1" s="88"/>
    </row>
    <row r="2" spans="2:7" x14ac:dyDescent="0.2">
      <c r="B2" s="376" t="s">
        <v>142</v>
      </c>
      <c r="E2" s="90"/>
      <c r="F2" s="88"/>
      <c r="G2" s="88"/>
    </row>
    <row r="3" spans="2:7" x14ac:dyDescent="0.2">
      <c r="B3" s="377" t="s">
        <v>143</v>
      </c>
      <c r="E3" s="90"/>
      <c r="F3" s="88"/>
      <c r="G3" s="88"/>
    </row>
    <row r="4" spans="2:7" x14ac:dyDescent="0.2">
      <c r="B4" s="378" t="s">
        <v>176</v>
      </c>
      <c r="E4" s="90"/>
      <c r="F4" s="88"/>
      <c r="G4" s="88"/>
    </row>
    <row r="5" spans="2:7" x14ac:dyDescent="0.2">
      <c r="B5" s="378" t="s">
        <v>145</v>
      </c>
      <c r="E5" s="90"/>
      <c r="F5" s="88"/>
      <c r="G5" s="88"/>
    </row>
    <row r="6" spans="2:7" ht="12" thickBot="1" x14ac:dyDescent="0.25">
      <c r="B6" s="379" t="s">
        <v>188</v>
      </c>
      <c r="E6" s="90"/>
      <c r="F6" s="88"/>
      <c r="G6" s="88"/>
    </row>
    <row r="7" spans="2:7" x14ac:dyDescent="0.2">
      <c r="E7" s="90"/>
      <c r="F7" s="88"/>
      <c r="G7" s="88"/>
    </row>
    <row r="8" spans="2:7" x14ac:dyDescent="0.2">
      <c r="E8" s="90"/>
      <c r="F8" s="88"/>
      <c r="G8" s="88"/>
    </row>
    <row r="9" spans="2:7" x14ac:dyDescent="0.2">
      <c r="B9" s="36" t="s">
        <v>47</v>
      </c>
    </row>
  </sheetData>
  <phoneticPr fontId="10" type="noConversion"/>
  <printOptions horizontalCentered="1"/>
  <pageMargins left="0.4" right="0.28999999999999998" top="0.83" bottom="0.41" header="0.82" footer="0.2"/>
  <pageSetup scale="85" orientation="landscape" horizontalDpi="4294967292" r:id="rId1"/>
  <headerFooter alignWithMargins="0">
    <oddHeader>&amp;RSchedule II-H-1
Page &amp;P of &amp;N</oddHeader>
    <oddFooter>&amp;L&amp;8Sponsored by John O. Aaron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51"/>
  <sheetViews>
    <sheetView zoomScale="120" zoomScaleNormal="120" workbookViewId="0">
      <pane xSplit="3" ySplit="14" topLeftCell="D21" activePane="bottomRight" state="frozen"/>
      <selection activeCell="N417" sqref="N417"/>
      <selection pane="topRight" activeCell="N417" sqref="N417"/>
      <selection pane="bottomLeft" activeCell="N417" sqref="N417"/>
      <selection pane="bottomRight" activeCell="B7" sqref="B7"/>
    </sheetView>
  </sheetViews>
  <sheetFormatPr defaultColWidth="7.5703125" defaultRowHeight="11.25" x14ac:dyDescent="0.2"/>
  <cols>
    <col min="1" max="1" width="4.28515625" style="36" bestFit="1" customWidth="1"/>
    <col min="2" max="2" width="37.5703125" style="36" customWidth="1"/>
    <col min="3" max="3" width="7.42578125" style="36" bestFit="1" customWidth="1"/>
    <col min="4" max="4" width="9.85546875" style="89" customWidth="1"/>
    <col min="5" max="5" width="9.85546875" style="86" customWidth="1"/>
    <col min="6" max="6" width="12.85546875" style="36" bestFit="1" customWidth="1"/>
    <col min="7" max="8" width="12.42578125" style="36" bestFit="1" customWidth="1"/>
    <col min="9" max="9" width="12.42578125" style="36" customWidth="1"/>
    <col min="10" max="10" width="12.85546875" style="36" bestFit="1" customWidth="1"/>
    <col min="11" max="16384" width="7.5703125" style="36"/>
  </cols>
  <sheetData>
    <row r="1" spans="1:127" ht="12" thickBot="1" x14ac:dyDescent="0.25"/>
    <row r="2" spans="1:127" x14ac:dyDescent="0.2">
      <c r="B2" s="376" t="s">
        <v>142</v>
      </c>
    </row>
    <row r="3" spans="1:127" x14ac:dyDescent="0.2">
      <c r="B3" s="377" t="s">
        <v>143</v>
      </c>
    </row>
    <row r="4" spans="1:127" x14ac:dyDescent="0.2">
      <c r="B4" s="378" t="s">
        <v>178</v>
      </c>
    </row>
    <row r="5" spans="1:127" x14ac:dyDescent="0.2">
      <c r="B5" s="378" t="s">
        <v>145</v>
      </c>
    </row>
    <row r="6" spans="1:127" ht="12" thickBot="1" x14ac:dyDescent="0.25">
      <c r="B6" s="379" t="s">
        <v>188</v>
      </c>
    </row>
    <row r="8" spans="1:127" s="83" customFormat="1" ht="12.75" customHeight="1" x14ac:dyDescent="0.2">
      <c r="A8" s="384" t="s">
        <v>131</v>
      </c>
      <c r="B8" s="384"/>
      <c r="C8" s="384"/>
      <c r="D8" s="384"/>
      <c r="E8" s="384"/>
      <c r="F8" s="384"/>
      <c r="G8" s="384"/>
      <c r="H8" s="384"/>
      <c r="I8" s="384"/>
      <c r="J8" s="384"/>
    </row>
    <row r="9" spans="1:127" ht="12.75" customHeight="1" x14ac:dyDescent="0.2">
      <c r="A9" s="385" t="s">
        <v>27</v>
      </c>
      <c r="B9" s="385"/>
      <c r="C9" s="385"/>
      <c r="D9" s="385"/>
      <c r="E9" s="385"/>
      <c r="F9" s="385"/>
      <c r="G9" s="385"/>
      <c r="H9" s="385"/>
      <c r="I9" s="385"/>
      <c r="J9" s="385"/>
    </row>
    <row r="10" spans="1:127" ht="12.75" customHeight="1" x14ac:dyDescent="0.2">
      <c r="A10" s="386" t="s">
        <v>107</v>
      </c>
      <c r="B10" s="386"/>
      <c r="C10" s="386"/>
      <c r="D10" s="386"/>
      <c r="E10" s="386"/>
      <c r="F10" s="386"/>
      <c r="G10" s="386"/>
      <c r="H10" s="386"/>
      <c r="I10" s="386"/>
      <c r="J10" s="386"/>
    </row>
    <row r="11" spans="1:127" ht="12.75" customHeight="1" x14ac:dyDescent="0.2">
      <c r="B11" s="37"/>
      <c r="C11" s="37"/>
      <c r="F11" s="387"/>
      <c r="G11" s="387"/>
      <c r="H11" s="387"/>
      <c r="I11" s="387"/>
      <c r="J11" s="387"/>
    </row>
    <row r="12" spans="1:127" x14ac:dyDescent="0.2">
      <c r="B12" s="72"/>
      <c r="D12" s="46" t="s">
        <v>22</v>
      </c>
      <c r="E12" s="41" t="s">
        <v>37</v>
      </c>
      <c r="F12" s="42" t="s">
        <v>39</v>
      </c>
      <c r="G12" s="42" t="s">
        <v>40</v>
      </c>
      <c r="H12" s="42" t="s">
        <v>41</v>
      </c>
      <c r="I12" s="42" t="s">
        <v>48</v>
      </c>
      <c r="J12" s="42" t="s">
        <v>42</v>
      </c>
    </row>
    <row r="13" spans="1:127" s="46" customFormat="1" x14ac:dyDescent="0.2">
      <c r="A13" s="46" t="s">
        <v>20</v>
      </c>
      <c r="B13" s="46" t="s">
        <v>0</v>
      </c>
      <c r="C13" s="46" t="s">
        <v>19</v>
      </c>
      <c r="D13" s="46" t="s">
        <v>38</v>
      </c>
      <c r="E13" s="41" t="s">
        <v>38</v>
      </c>
      <c r="F13" s="42" t="s">
        <v>46</v>
      </c>
      <c r="G13" s="42" t="s">
        <v>36</v>
      </c>
      <c r="H13" s="42" t="s">
        <v>36</v>
      </c>
      <c r="I13" s="42" t="s">
        <v>36</v>
      </c>
      <c r="J13" s="42" t="s">
        <v>43</v>
      </c>
    </row>
    <row r="14" spans="1:127" s="46" customFormat="1" x14ac:dyDescent="0.2">
      <c r="D14" s="85"/>
      <c r="E14" s="87"/>
    </row>
    <row r="15" spans="1:127" s="62" customFormat="1" x14ac:dyDescent="0.2">
      <c r="A15" s="74" t="s">
        <v>21</v>
      </c>
      <c r="B15" s="62" t="s">
        <v>29</v>
      </c>
      <c r="C15" s="64" t="s">
        <v>16</v>
      </c>
      <c r="D15" s="60">
        <f>'II-H-3.1-3'!Q14</f>
        <v>871709.16666666663</v>
      </c>
      <c r="E15" s="60">
        <f>'II-H-3.1-3'!O14</f>
        <v>876553</v>
      </c>
      <c r="F15" s="60">
        <f>'II-H-1.2'!P14</f>
        <v>12103111472</v>
      </c>
      <c r="G15" s="60">
        <f>'II-H-1.2'!P44</f>
        <v>-169072907</v>
      </c>
      <c r="H15" s="60">
        <f>'II-H-1.2'!P74</f>
        <v>63143017.389522344</v>
      </c>
      <c r="I15" s="60">
        <f>'II-H-1.2'!P106</f>
        <v>0</v>
      </c>
      <c r="J15" s="60">
        <f>'II-H-1.2'!P136</f>
        <v>11997181582.389523</v>
      </c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</row>
    <row r="16" spans="1:127" s="62" customFormat="1" x14ac:dyDescent="0.2">
      <c r="C16" s="64"/>
      <c r="D16" s="54"/>
      <c r="E16" s="54"/>
      <c r="F16" s="54"/>
      <c r="G16" s="54"/>
      <c r="H16" s="54"/>
      <c r="I16" s="54"/>
      <c r="J16" s="54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</row>
    <row r="17" spans="1:127" s="62" customFormat="1" x14ac:dyDescent="0.2">
      <c r="A17" s="74">
        <v>2</v>
      </c>
      <c r="B17" s="20" t="s">
        <v>32</v>
      </c>
      <c r="C17" s="64" t="s">
        <v>16</v>
      </c>
      <c r="D17" s="60">
        <f>'II-H-3.1-3'!Q16</f>
        <v>89262.916666666672</v>
      </c>
      <c r="E17" s="60">
        <f>'II-H-3.1-3'!O16</f>
        <v>89158</v>
      </c>
      <c r="F17" s="60">
        <f>'II-H-1.2'!P16</f>
        <v>580596232</v>
      </c>
      <c r="G17" s="60">
        <f>'II-H-1.2'!P46</f>
        <v>-345003.31526887073</v>
      </c>
      <c r="H17" s="60">
        <f>'II-H-1.2'!P76</f>
        <v>-947844.48590391979</v>
      </c>
      <c r="I17" s="60">
        <f>'II-H-1.2'!P108</f>
        <v>0</v>
      </c>
      <c r="J17" s="60">
        <f>'II-H-1.2'!P138</f>
        <v>579303384.19882727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</row>
    <row r="18" spans="1:127" s="62" customFormat="1" x14ac:dyDescent="0.2">
      <c r="A18" s="74"/>
      <c r="C18" s="64"/>
      <c r="D18" s="60"/>
      <c r="E18" s="60"/>
      <c r="F18" s="60"/>
      <c r="G18" s="60"/>
      <c r="H18" s="60"/>
      <c r="I18" s="60"/>
      <c r="J18" s="60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</row>
    <row r="19" spans="1:127" s="62" customFormat="1" x14ac:dyDescent="0.2">
      <c r="A19" s="74">
        <v>3</v>
      </c>
      <c r="B19" s="20" t="s">
        <v>108</v>
      </c>
      <c r="C19" s="66" t="s">
        <v>16</v>
      </c>
      <c r="D19" s="60">
        <f>'II-H-3.1-3'!Q18</f>
        <v>71945.25</v>
      </c>
      <c r="E19" s="60">
        <f>'II-H-3.1-3'!O18</f>
        <v>72592</v>
      </c>
      <c r="F19" s="60">
        <f>'II-H-1.2'!P18</f>
        <v>8003640659</v>
      </c>
      <c r="G19" s="60">
        <f>'II-H-1.2'!P48</f>
        <v>-1982220.5010891659</v>
      </c>
      <c r="H19" s="60">
        <f>'II-H-1.2'!P78</f>
        <v>68711312.633576259</v>
      </c>
      <c r="I19" s="60">
        <f>'II-H-1.2'!P110</f>
        <v>0</v>
      </c>
      <c r="J19" s="60">
        <f>'II-H-1.2'!P140</f>
        <v>8070369751.1324883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</row>
    <row r="20" spans="1:127" s="62" customFormat="1" x14ac:dyDescent="0.2">
      <c r="A20" s="74">
        <v>4</v>
      </c>
      <c r="B20" s="20" t="s">
        <v>109</v>
      </c>
      <c r="C20" s="66" t="s">
        <v>16</v>
      </c>
      <c r="D20" s="63">
        <f>'II-H-3.1-3'!Q19</f>
        <v>493</v>
      </c>
      <c r="E20" s="63">
        <f>'II-H-3.1-3'!O19</f>
        <v>478</v>
      </c>
      <c r="F20" s="63">
        <f>'II-H-1.2'!P19</f>
        <v>1211080649</v>
      </c>
      <c r="G20" s="63">
        <f>'II-H-1.2'!P49</f>
        <v>-1430125.8690875331</v>
      </c>
      <c r="H20" s="63">
        <f>'II-H-1.2'!P79</f>
        <v>-33749815.376633435</v>
      </c>
      <c r="I20" s="63">
        <f>'II-H-1.2'!P111</f>
        <v>0</v>
      </c>
      <c r="J20" s="63">
        <f>'II-H-1.2'!P141</f>
        <v>1175900707.7542791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</row>
    <row r="21" spans="1:127" s="62" customFormat="1" x14ac:dyDescent="0.2">
      <c r="A21" s="74">
        <v>5</v>
      </c>
      <c r="B21" s="84" t="s">
        <v>30</v>
      </c>
      <c r="C21" s="64"/>
      <c r="D21" s="69">
        <f t="shared" ref="D21:J21" si="0">SUM(D19:D20)</f>
        <v>72438.25</v>
      </c>
      <c r="E21" s="69">
        <f t="shared" si="0"/>
        <v>73070</v>
      </c>
      <c r="F21" s="69">
        <f t="shared" si="0"/>
        <v>9214721308</v>
      </c>
      <c r="G21" s="69">
        <f t="shared" si="0"/>
        <v>-3412346.370176699</v>
      </c>
      <c r="H21" s="69">
        <f t="shared" si="0"/>
        <v>34961497.256942824</v>
      </c>
      <c r="I21" s="69">
        <f t="shared" si="0"/>
        <v>0</v>
      </c>
      <c r="J21" s="69">
        <f t="shared" si="0"/>
        <v>9246270458.8867683</v>
      </c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</row>
    <row r="22" spans="1:127" s="62" customFormat="1" x14ac:dyDescent="0.2">
      <c r="B22" s="47"/>
      <c r="C22" s="64"/>
      <c r="D22" s="69"/>
      <c r="E22" s="69"/>
      <c r="F22" s="69"/>
      <c r="G22" s="69"/>
      <c r="H22" s="69"/>
      <c r="I22" s="69"/>
      <c r="J22" s="69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</row>
    <row r="23" spans="1:127" s="62" customFormat="1" x14ac:dyDescent="0.2">
      <c r="A23" s="74">
        <v>6</v>
      </c>
      <c r="B23" s="20" t="s">
        <v>110</v>
      </c>
      <c r="C23" s="66" t="s">
        <v>17</v>
      </c>
      <c r="D23" s="60">
        <f>'II-H-3.1-3'!Q22</f>
        <v>570.5</v>
      </c>
      <c r="E23" s="60">
        <f>'II-H-3.1-3'!O22</f>
        <v>574</v>
      </c>
      <c r="F23" s="60">
        <f>'II-H-1.2'!P22</f>
        <v>303778954</v>
      </c>
      <c r="G23" s="60">
        <f>'II-H-1.2'!P52</f>
        <v>457811.6854455634</v>
      </c>
      <c r="H23" s="60">
        <f>'II-H-1.2'!P82</f>
        <v>1814803.60729536</v>
      </c>
      <c r="I23" s="60">
        <f>'II-H-1.2'!P114</f>
        <v>0</v>
      </c>
      <c r="J23" s="60">
        <f>'II-H-1.2'!P144</f>
        <v>306051569.29274088</v>
      </c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</row>
    <row r="24" spans="1:127" s="62" customFormat="1" x14ac:dyDescent="0.2">
      <c r="A24" s="74">
        <v>7</v>
      </c>
      <c r="B24" s="20" t="s">
        <v>111</v>
      </c>
      <c r="C24" s="66" t="s">
        <v>17</v>
      </c>
      <c r="D24" s="63">
        <f>'II-H-3.1-3'!Q23</f>
        <v>471.75</v>
      </c>
      <c r="E24" s="63">
        <f>'II-H-3.1-3'!O23</f>
        <v>471</v>
      </c>
      <c r="F24" s="63">
        <f>'II-H-1.2'!P23</f>
        <v>4089664935</v>
      </c>
      <c r="G24" s="63">
        <f>'II-H-1.2'!P53</f>
        <v>0</v>
      </c>
      <c r="H24" s="63">
        <f>'II-H-1.2'!P83</f>
        <v>-5969816.7553817537</v>
      </c>
      <c r="I24" s="63">
        <f>'II-H-1.2'!P115</f>
        <v>0</v>
      </c>
      <c r="J24" s="63">
        <f>'II-H-1.2'!P145</f>
        <v>4083695118.2446184</v>
      </c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</row>
    <row r="25" spans="1:127" s="62" customFormat="1" x14ac:dyDescent="0.2">
      <c r="A25" s="74">
        <v>8</v>
      </c>
      <c r="B25" s="62" t="s">
        <v>31</v>
      </c>
      <c r="C25" s="66"/>
      <c r="D25" s="60">
        <f t="shared" ref="D25:J25" si="1">SUM(D23:D24)</f>
        <v>1042.25</v>
      </c>
      <c r="E25" s="60">
        <f t="shared" si="1"/>
        <v>1045</v>
      </c>
      <c r="F25" s="60">
        <f t="shared" si="1"/>
        <v>4393443889</v>
      </c>
      <c r="G25" s="60">
        <f t="shared" si="1"/>
        <v>457811.6854455634</v>
      </c>
      <c r="H25" s="60">
        <f t="shared" si="1"/>
        <v>-4155013.1480863937</v>
      </c>
      <c r="I25" s="60">
        <f t="shared" si="1"/>
        <v>0</v>
      </c>
      <c r="J25" s="60">
        <f t="shared" si="1"/>
        <v>4389746687.5373592</v>
      </c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</row>
    <row r="26" spans="1:127" s="62" customFormat="1" x14ac:dyDescent="0.2">
      <c r="A26" s="74"/>
      <c r="C26" s="66"/>
      <c r="D26" s="60"/>
      <c r="E26" s="60"/>
      <c r="F26" s="60"/>
      <c r="G26" s="60"/>
      <c r="H26" s="60"/>
      <c r="I26" s="60"/>
      <c r="J26" s="60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</row>
    <row r="27" spans="1:127" s="62" customFormat="1" x14ac:dyDescent="0.2">
      <c r="A27" s="74">
        <v>9</v>
      </c>
      <c r="B27" s="84" t="s">
        <v>112</v>
      </c>
      <c r="C27" s="66" t="s">
        <v>18</v>
      </c>
      <c r="D27" s="60">
        <f>'II-H-3.1-3'!Q26</f>
        <v>85</v>
      </c>
      <c r="E27" s="60">
        <f>'II-H-3.1-3'!Q26</f>
        <v>85</v>
      </c>
      <c r="F27" s="60">
        <f>'II-H-1.2'!P26</f>
        <v>5453190408</v>
      </c>
      <c r="G27" s="60">
        <f>'II-H-1.2'!P56</f>
        <v>0</v>
      </c>
      <c r="H27" s="60">
        <f>'II-H-1.2'!P86</f>
        <v>291806500.49803841</v>
      </c>
      <c r="I27" s="60">
        <f>'II-H-1.2'!P118</f>
        <v>0</v>
      </c>
      <c r="J27" s="60">
        <f>'II-H-1.2'!P148</f>
        <v>5744996908.4980383</v>
      </c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</row>
    <row r="28" spans="1:127" s="62" customFormat="1" x14ac:dyDescent="0.2">
      <c r="C28" s="64"/>
      <c r="D28" s="69"/>
      <c r="E28" s="69"/>
      <c r="F28" s="60"/>
      <c r="G28" s="60"/>
      <c r="H28" s="69"/>
      <c r="I28" s="69"/>
      <c r="J28" s="69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</row>
    <row r="29" spans="1:127" s="62" customFormat="1" x14ac:dyDescent="0.2">
      <c r="A29" s="74">
        <v>10</v>
      </c>
      <c r="B29" s="23" t="s">
        <v>33</v>
      </c>
      <c r="C29" s="66" t="s">
        <v>16</v>
      </c>
      <c r="D29" s="60">
        <f>'II-H-3.1-3'!Q28</f>
        <v>220662.25</v>
      </c>
      <c r="E29" s="60">
        <f>1873+428</f>
        <v>2301</v>
      </c>
      <c r="F29" s="60">
        <f>'II-H-1.2'!P28</f>
        <v>262407146</v>
      </c>
      <c r="G29" s="60">
        <f>'II-H-1.2'!P58</f>
        <v>0</v>
      </c>
      <c r="H29" s="60">
        <f>'II-H-1.2'!P88</f>
        <v>-181100.56146030111</v>
      </c>
      <c r="I29" s="60">
        <f>'II-H-1.2'!P120</f>
        <v>0</v>
      </c>
      <c r="J29" s="60">
        <f>'II-H-1.2'!P150</f>
        <v>262226045.43853971</v>
      </c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</row>
    <row r="30" spans="1:127" s="62" customFormat="1" x14ac:dyDescent="0.2">
      <c r="A30" s="74"/>
      <c r="C30" s="64"/>
      <c r="D30" s="69"/>
      <c r="E30" s="69"/>
      <c r="F30" s="69"/>
      <c r="G30" s="69"/>
      <c r="H30" s="69"/>
      <c r="I30" s="69"/>
      <c r="J30" s="69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</row>
    <row r="31" spans="1:127" s="62" customFormat="1" x14ac:dyDescent="0.2">
      <c r="A31" s="74">
        <v>11</v>
      </c>
      <c r="B31" s="104" t="s">
        <v>34</v>
      </c>
      <c r="C31" s="67"/>
      <c r="D31" s="94">
        <f t="shared" ref="D31:J31" si="2">D29+D27+D25+D21+D17+D15</f>
        <v>1255199.8333333333</v>
      </c>
      <c r="E31" s="94">
        <f t="shared" si="2"/>
        <v>1042212</v>
      </c>
      <c r="F31" s="94">
        <f t="shared" si="2"/>
        <v>32007470455</v>
      </c>
      <c r="G31" s="94">
        <f t="shared" si="2"/>
        <v>-172372445</v>
      </c>
      <c r="H31" s="94">
        <f t="shared" si="2"/>
        <v>384627056.94905293</v>
      </c>
      <c r="I31" s="94">
        <f t="shared" si="2"/>
        <v>0</v>
      </c>
      <c r="J31" s="94">
        <f t="shared" si="2"/>
        <v>32219725066.949055</v>
      </c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</row>
    <row r="32" spans="1:127" s="62" customFormat="1" x14ac:dyDescent="0.2">
      <c r="B32" s="67"/>
      <c r="C32" s="67"/>
      <c r="D32" s="22"/>
      <c r="E32" s="22"/>
      <c r="F32" s="22"/>
      <c r="G32" s="22"/>
      <c r="H32" s="22"/>
      <c r="I32" s="22"/>
      <c r="J32" s="22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</row>
    <row r="33" spans="1:127" s="62" customFormat="1" x14ac:dyDescent="0.2">
      <c r="A33" s="74">
        <v>12</v>
      </c>
      <c r="B33" s="23" t="s">
        <v>91</v>
      </c>
      <c r="C33" s="66" t="s">
        <v>17</v>
      </c>
      <c r="D33" s="60">
        <f>'II-H-3.1-3'!Q32</f>
        <v>0</v>
      </c>
      <c r="E33" s="60">
        <f>'II-H-3.1-3'!O32</f>
        <v>0</v>
      </c>
      <c r="F33" s="60">
        <f>'II-H-1.2'!P32</f>
        <v>0</v>
      </c>
      <c r="G33" s="60">
        <f>'II-H-1.2'!P62</f>
        <v>0</v>
      </c>
      <c r="H33" s="60">
        <f>'II-H-1.2'!P92</f>
        <v>0</v>
      </c>
      <c r="I33" s="60">
        <f>'II-H-1.2'!P124</f>
        <v>0</v>
      </c>
      <c r="J33" s="60">
        <f>'II-H-1.2'!P154</f>
        <v>0</v>
      </c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</row>
    <row r="34" spans="1:127" s="62" customFormat="1" x14ac:dyDescent="0.2">
      <c r="A34" s="74">
        <v>13</v>
      </c>
      <c r="B34" s="23" t="s">
        <v>92</v>
      </c>
      <c r="C34" s="66" t="s">
        <v>18</v>
      </c>
      <c r="D34" s="63">
        <f>'II-H-3.1-3'!Q33</f>
        <v>0</v>
      </c>
      <c r="E34" s="63">
        <f>'II-H-3.1-3'!O33</f>
        <v>0</v>
      </c>
      <c r="F34" s="63">
        <f>'II-H-1.2'!P33</f>
        <v>0</v>
      </c>
      <c r="G34" s="63">
        <f>'II-H-1.2'!P63</f>
        <v>0</v>
      </c>
      <c r="H34" s="63">
        <f>'II-H-1.2'!P93</f>
        <v>0</v>
      </c>
      <c r="I34" s="63">
        <f>'II-H-1.2'!P125</f>
        <v>0</v>
      </c>
      <c r="J34" s="63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</row>
    <row r="35" spans="1:127" s="62" customFormat="1" x14ac:dyDescent="0.2">
      <c r="A35" s="74">
        <v>14</v>
      </c>
      <c r="B35" s="206" t="s">
        <v>35</v>
      </c>
      <c r="C35" s="38"/>
      <c r="D35" s="22">
        <f>'II-H-3.1-3'!Q131</f>
        <v>0</v>
      </c>
      <c r="E35" s="22">
        <f>'II-H-3.1-3'!O131</f>
        <v>0</v>
      </c>
      <c r="F35" s="22">
        <f>SUM(F33:F34)</f>
        <v>0</v>
      </c>
      <c r="G35" s="22">
        <f>SUM(G33:G34)</f>
        <v>0</v>
      </c>
      <c r="H35" s="22">
        <f>SUM(H33:H34)</f>
        <v>0</v>
      </c>
      <c r="I35" s="22">
        <f>SUM(I33:I34)</f>
        <v>0</v>
      </c>
      <c r="J35" s="22">
        <f>SUM(J33:J34)</f>
        <v>0</v>
      </c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</row>
    <row r="36" spans="1:127" s="62" customFormat="1" x14ac:dyDescent="0.2">
      <c r="A36" s="74"/>
      <c r="C36" s="71"/>
      <c r="D36" s="69"/>
      <c r="E36" s="69"/>
      <c r="F36" s="69"/>
      <c r="G36" s="69"/>
      <c r="H36" s="69"/>
      <c r="I36" s="69"/>
      <c r="J36" s="69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</row>
    <row r="37" spans="1:127" s="62" customFormat="1" ht="12" thickBot="1" x14ac:dyDescent="0.25">
      <c r="A37" s="74">
        <v>15</v>
      </c>
      <c r="B37" s="31" t="s">
        <v>129</v>
      </c>
      <c r="C37" s="38"/>
      <c r="D37" s="25">
        <f t="shared" ref="D37:J37" si="3">+D35+D31</f>
        <v>1255199.8333333333</v>
      </c>
      <c r="E37" s="25">
        <f t="shared" si="3"/>
        <v>1042212</v>
      </c>
      <c r="F37" s="25">
        <f t="shared" si="3"/>
        <v>32007470455</v>
      </c>
      <c r="G37" s="25">
        <f t="shared" si="3"/>
        <v>-172372445</v>
      </c>
      <c r="H37" s="25">
        <f t="shared" si="3"/>
        <v>384627056.94905293</v>
      </c>
      <c r="I37" s="25">
        <f t="shared" si="3"/>
        <v>0</v>
      </c>
      <c r="J37" s="25">
        <f t="shared" si="3"/>
        <v>32219725066.949055</v>
      </c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</row>
    <row r="38" spans="1:127" ht="12" thickTop="1" x14ac:dyDescent="0.2">
      <c r="D38" s="90"/>
      <c r="E38" s="88"/>
      <c r="F38" s="91"/>
      <c r="G38" s="91"/>
      <c r="H38" s="91"/>
      <c r="I38" s="91"/>
      <c r="J38" s="91"/>
    </row>
    <row r="39" spans="1:127" x14ac:dyDescent="0.2">
      <c r="B39" s="36" t="s">
        <v>177</v>
      </c>
      <c r="D39" s="90"/>
      <c r="E39" s="88"/>
      <c r="F39" s="91"/>
      <c r="G39" s="91"/>
      <c r="H39" s="91"/>
      <c r="I39" s="91"/>
      <c r="J39" s="91"/>
    </row>
    <row r="40" spans="1:127" x14ac:dyDescent="0.2">
      <c r="D40" s="90"/>
      <c r="E40" s="88"/>
      <c r="F40" s="91"/>
      <c r="G40" s="91"/>
      <c r="H40" s="91"/>
      <c r="I40" s="91"/>
      <c r="J40" s="91"/>
    </row>
    <row r="41" spans="1:127" x14ac:dyDescent="0.2">
      <c r="D41" s="90"/>
      <c r="E41" s="88"/>
      <c r="F41" s="150"/>
      <c r="G41" s="91"/>
      <c r="H41" s="91"/>
      <c r="I41" s="91"/>
      <c r="J41" s="91"/>
    </row>
    <row r="42" spans="1:127" x14ac:dyDescent="0.2">
      <c r="D42" s="90"/>
      <c r="E42" s="88"/>
      <c r="F42" s="91"/>
      <c r="G42" s="91"/>
      <c r="H42" s="91"/>
      <c r="I42" s="91"/>
      <c r="J42" s="91"/>
    </row>
    <row r="43" spans="1:127" x14ac:dyDescent="0.2">
      <c r="D43" s="90"/>
      <c r="E43" s="88"/>
      <c r="F43" s="91"/>
      <c r="G43" s="91"/>
      <c r="H43" s="91"/>
      <c r="I43" s="91"/>
      <c r="J43" s="91"/>
    </row>
    <row r="44" spans="1:127" x14ac:dyDescent="0.2">
      <c r="D44" s="90"/>
      <c r="E44" s="88"/>
      <c r="F44" s="91"/>
      <c r="G44" s="91"/>
      <c r="H44" s="91"/>
      <c r="I44" s="91"/>
      <c r="J44" s="91"/>
    </row>
    <row r="45" spans="1:127" x14ac:dyDescent="0.2">
      <c r="D45" s="90"/>
      <c r="E45" s="88"/>
      <c r="F45" s="91"/>
      <c r="G45" s="91"/>
      <c r="H45" s="91"/>
      <c r="I45" s="91"/>
      <c r="J45" s="91"/>
    </row>
    <row r="46" spans="1:127" x14ac:dyDescent="0.2">
      <c r="D46" s="90"/>
      <c r="E46" s="88"/>
      <c r="F46" s="91"/>
      <c r="G46" s="91"/>
      <c r="H46" s="91"/>
      <c r="I46" s="91"/>
      <c r="J46" s="91"/>
    </row>
    <row r="47" spans="1:127" x14ac:dyDescent="0.2">
      <c r="D47" s="90"/>
      <c r="E47" s="88"/>
      <c r="F47" s="91"/>
      <c r="G47" s="91"/>
      <c r="H47" s="91"/>
      <c r="I47" s="91"/>
      <c r="J47" s="91"/>
    </row>
    <row r="48" spans="1:127" x14ac:dyDescent="0.2">
      <c r="D48" s="90"/>
      <c r="E48" s="88"/>
      <c r="F48" s="91"/>
      <c r="G48" s="91"/>
      <c r="H48" s="91"/>
      <c r="I48" s="91"/>
      <c r="J48" s="91"/>
    </row>
    <row r="49" spans="4:10" x14ac:dyDescent="0.2">
      <c r="D49" s="90"/>
      <c r="E49" s="88"/>
      <c r="F49" s="91"/>
      <c r="G49" s="91"/>
      <c r="H49" s="91"/>
      <c r="I49" s="91"/>
      <c r="J49" s="91"/>
    </row>
    <row r="50" spans="4:10" x14ac:dyDescent="0.2">
      <c r="D50" s="90"/>
      <c r="E50" s="88"/>
      <c r="F50" s="91"/>
      <c r="G50" s="91"/>
      <c r="H50" s="91"/>
      <c r="I50" s="91"/>
      <c r="J50" s="91"/>
    </row>
    <row r="51" spans="4:10" x14ac:dyDescent="0.2">
      <c r="D51" s="90"/>
      <c r="E51" s="88"/>
      <c r="F51" s="91"/>
      <c r="G51" s="91"/>
      <c r="H51" s="91"/>
      <c r="I51" s="91"/>
      <c r="J51" s="91"/>
    </row>
  </sheetData>
  <mergeCells count="4">
    <mergeCell ref="A8:J8"/>
    <mergeCell ref="A9:J9"/>
    <mergeCell ref="A10:J10"/>
    <mergeCell ref="F11:J11"/>
  </mergeCells>
  <phoneticPr fontId="10" type="noConversion"/>
  <printOptions horizontalCentered="1"/>
  <pageMargins left="0.4" right="0.28999999999999998" top="0.83" bottom="0.41" header="0.82" footer="0.2"/>
  <pageSetup scale="95" orientation="landscape" horizontalDpi="4294967292" r:id="rId1"/>
  <headerFooter alignWithMargins="0">
    <oddHeader>&amp;RSchedule II-H-1.1
Page &amp;P of &amp;N</oddHeader>
    <oddFooter>&amp;L&amp;8Sponsored by: John O. Aaron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1289"/>
  <sheetViews>
    <sheetView zoomScale="110" zoomScaleNormal="110" workbookViewId="0">
      <selection activeCell="B9" sqref="B9:O9"/>
    </sheetView>
  </sheetViews>
  <sheetFormatPr defaultColWidth="9.140625" defaultRowHeight="11.25" x14ac:dyDescent="0.2"/>
  <cols>
    <col min="1" max="1" width="4.5703125" style="20" customWidth="1"/>
    <col min="2" max="2" width="32.85546875" style="20" customWidth="1"/>
    <col min="3" max="3" width="5.7109375" style="21" customWidth="1"/>
    <col min="4" max="4" width="12.140625" style="69" customWidth="1"/>
    <col min="5" max="5" width="11.7109375" style="69" customWidth="1"/>
    <col min="6" max="6" width="12" style="69" bestFit="1" customWidth="1"/>
    <col min="7" max="8" width="11.42578125" style="69" bestFit="1" customWidth="1"/>
    <col min="9" max="9" width="12" style="69" bestFit="1" customWidth="1"/>
    <col min="10" max="10" width="13.42578125" style="69" customWidth="1"/>
    <col min="11" max="14" width="12" style="69" bestFit="1" customWidth="1"/>
    <col min="15" max="15" width="12" style="60" bestFit="1" customWidth="1"/>
    <col min="16" max="16" width="14.42578125" style="73" bestFit="1" customWidth="1"/>
    <col min="17" max="17" width="12.42578125" style="23" bestFit="1" customWidth="1"/>
    <col min="18" max="18" width="13.140625" style="23" customWidth="1"/>
    <col min="19" max="145" width="9.140625" style="23"/>
    <col min="146" max="16384" width="9.140625" style="20"/>
  </cols>
  <sheetData>
    <row r="1" spans="1:145" ht="12" thickBot="1" x14ac:dyDescent="0.25"/>
    <row r="2" spans="1:145" x14ac:dyDescent="0.2">
      <c r="B2" s="376" t="s">
        <v>142</v>
      </c>
    </row>
    <row r="3" spans="1:145" x14ac:dyDescent="0.2">
      <c r="B3" s="377" t="s">
        <v>143</v>
      </c>
    </row>
    <row r="4" spans="1:145" x14ac:dyDescent="0.2">
      <c r="B4" s="378" t="s">
        <v>179</v>
      </c>
    </row>
    <row r="5" spans="1:145" x14ac:dyDescent="0.2">
      <c r="B5" s="378" t="s">
        <v>145</v>
      </c>
    </row>
    <row r="6" spans="1:145" ht="12" thickBot="1" x14ac:dyDescent="0.25">
      <c r="B6" s="379" t="s">
        <v>188</v>
      </c>
    </row>
    <row r="7" spans="1:145" x14ac:dyDescent="0.2">
      <c r="B7" s="386" t="s">
        <v>130</v>
      </c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51"/>
    </row>
    <row r="8" spans="1:145" x14ac:dyDescent="0.2">
      <c r="B8" s="389" t="s">
        <v>50</v>
      </c>
      <c r="C8" s="389"/>
      <c r="D8" s="389"/>
      <c r="E8" s="389"/>
      <c r="F8" s="389"/>
      <c r="G8" s="389"/>
      <c r="H8" s="389"/>
      <c r="I8" s="389"/>
      <c r="J8" s="389"/>
      <c r="K8" s="389"/>
      <c r="L8" s="389"/>
      <c r="M8" s="389"/>
      <c r="N8" s="389"/>
      <c r="O8" s="389"/>
      <c r="P8" s="27" t="s">
        <v>1</v>
      </c>
    </row>
    <row r="9" spans="1:145" x14ac:dyDescent="0.2">
      <c r="B9" s="386" t="s">
        <v>107</v>
      </c>
      <c r="C9" s="389"/>
      <c r="D9" s="389"/>
      <c r="E9" s="389"/>
      <c r="F9" s="389"/>
      <c r="G9" s="389"/>
      <c r="H9" s="389"/>
      <c r="I9" s="389"/>
      <c r="J9" s="389"/>
      <c r="K9" s="389"/>
      <c r="L9" s="389"/>
      <c r="M9" s="389"/>
      <c r="N9" s="389"/>
      <c r="O9" s="389"/>
      <c r="P9" s="20" t="s">
        <v>1</v>
      </c>
    </row>
    <row r="10" spans="1:145" x14ac:dyDescent="0.2">
      <c r="B10" s="11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20"/>
    </row>
    <row r="11" spans="1:145" x14ac:dyDescent="0.2">
      <c r="B11" s="29"/>
      <c r="D11" s="189"/>
      <c r="E11" s="39"/>
      <c r="F11" s="39"/>
      <c r="G11" s="189"/>
      <c r="M11" s="41"/>
      <c r="N11" s="41"/>
      <c r="O11" s="41"/>
      <c r="P11" s="40"/>
    </row>
    <row r="12" spans="1:145" x14ac:dyDescent="0.2">
      <c r="A12" s="38" t="s">
        <v>20</v>
      </c>
      <c r="B12" s="24" t="s">
        <v>0</v>
      </c>
      <c r="C12" s="24" t="s">
        <v>19</v>
      </c>
      <c r="D12" s="41" t="s">
        <v>2</v>
      </c>
      <c r="E12" s="41" t="s">
        <v>3</v>
      </c>
      <c r="F12" s="41" t="s">
        <v>4</v>
      </c>
      <c r="G12" s="41" t="s">
        <v>5</v>
      </c>
      <c r="H12" s="41" t="s">
        <v>6</v>
      </c>
      <c r="I12" s="41" t="s">
        <v>7</v>
      </c>
      <c r="J12" s="41" t="s">
        <v>8</v>
      </c>
      <c r="K12" s="41" t="s">
        <v>9</v>
      </c>
      <c r="L12" s="41" t="s">
        <v>10</v>
      </c>
      <c r="M12" s="41" t="s">
        <v>11</v>
      </c>
      <c r="N12" s="41" t="s">
        <v>12</v>
      </c>
      <c r="O12" s="41" t="s">
        <v>13</v>
      </c>
      <c r="P12" s="42" t="s">
        <v>14</v>
      </c>
    </row>
    <row r="13" spans="1:145" x14ac:dyDescent="0.2">
      <c r="B13" s="24"/>
      <c r="C13" s="24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2"/>
      <c r="P13" s="42"/>
      <c r="Q13" s="220" t="s">
        <v>98</v>
      </c>
      <c r="R13" s="220" t="s">
        <v>100</v>
      </c>
    </row>
    <row r="14" spans="1:145" s="62" customFormat="1" x14ac:dyDescent="0.2">
      <c r="A14" s="74" t="s">
        <v>21</v>
      </c>
      <c r="B14" s="129" t="s">
        <v>29</v>
      </c>
      <c r="C14" s="143" t="s">
        <v>16</v>
      </c>
      <c r="D14" s="122">
        <f>'[4]II-H-1.2'!$D$8+'[5]II-H-1.2'!$D$8</f>
        <v>1187765247</v>
      </c>
      <c r="E14" s="122">
        <f>'[4]II-H-1.2'!$E$8+'[5]II-H-1.2'!$E$8</f>
        <v>880784604</v>
      </c>
      <c r="F14" s="122">
        <f>'[4]II-H-1.2'!$F$8+'[5]II-H-1.2'!$F$8</f>
        <v>702884785</v>
      </c>
      <c r="G14" s="122">
        <f>'[4]II-H-1.2'!$G$8+'[5]II-H-1.2'!$G$8</f>
        <v>737229219</v>
      </c>
      <c r="H14" s="122">
        <f>'[6]Billed kWh'!J85+'[5]II-H-1.2'!$H$8</f>
        <v>818132631</v>
      </c>
      <c r="I14" s="122">
        <f>'[6]Billed kWh'!K85+'[5]II-H-1.2'!$I$8</f>
        <v>1248494359</v>
      </c>
      <c r="J14" s="122">
        <f>'[6]Billed kWh'!L85+'[5]II-H-1.2'!$J$8</f>
        <v>1307274429</v>
      </c>
      <c r="K14" s="122">
        <f>'[6]Billed kWh'!M85+'[5]II-H-1.2'!$K$8</f>
        <v>1327155842</v>
      </c>
      <c r="L14" s="122">
        <f>'[6]Billed kWh'!N85+'[5]II-H-1.2'!$L$8</f>
        <v>1281003285</v>
      </c>
      <c r="M14" s="122">
        <f>'[6]Billed kWh'!O85+'[5]II-H-1.2'!$M$8</f>
        <v>999055732</v>
      </c>
      <c r="N14" s="122">
        <f>'[6]Billed kWh'!P85+'[5]II-H-1.2'!$N$8</f>
        <v>758197962</v>
      </c>
      <c r="O14" s="122">
        <f>'[6]Billed kWh'!Q85+'[5]II-H-1.2'!$O$8</f>
        <v>855133377</v>
      </c>
      <c r="P14" s="156">
        <f>SUM(D14:O14)</f>
        <v>12103111472</v>
      </c>
      <c r="Q14" s="213">
        <f>'II-H-4.1 Functions'!F15/'II-H-1.2'!P14</f>
        <v>1.4721066154946174E-2</v>
      </c>
      <c r="R14" s="213">
        <f>'II-H-4.1 Functions'!H15/'II-H-1.2'!P14</f>
        <v>5.2870155709989486E-3</v>
      </c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</row>
    <row r="15" spans="1:145" s="62" customFormat="1" x14ac:dyDescent="0.2">
      <c r="B15" s="129"/>
      <c r="C15" s="143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56"/>
      <c r="P15" s="156"/>
      <c r="Q15" s="226"/>
      <c r="R15" s="226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</row>
    <row r="16" spans="1:145" s="62" customFormat="1" x14ac:dyDescent="0.2">
      <c r="A16" s="74">
        <v>2</v>
      </c>
      <c r="B16" s="129" t="s">
        <v>32</v>
      </c>
      <c r="C16" s="143" t="s">
        <v>16</v>
      </c>
      <c r="D16" s="122">
        <f>'[6]Billed kWh'!F12+'[5]II-H-1.2'!$D$10</f>
        <v>52387683</v>
      </c>
      <c r="E16" s="122">
        <f>'[6]Billed kWh'!G12+'[5]II-H-1.2'!$E$10</f>
        <v>44007425</v>
      </c>
      <c r="F16" s="122">
        <f>'[6]Billed kWh'!H12+'[5]II-H-1.2'!$F$10</f>
        <v>41415235</v>
      </c>
      <c r="G16" s="122">
        <f>'[6]Billed kWh'!I12+'[5]II-H-1.2'!$G$10</f>
        <v>43220513</v>
      </c>
      <c r="H16" s="122">
        <f>'[6]Billed kWh'!J12+'[5]II-H-1.2'!$H$10</f>
        <v>43994819</v>
      </c>
      <c r="I16" s="122">
        <f>'[6]Billed kWh'!K12+'[5]II-H-1.2'!$I$10</f>
        <v>53800786</v>
      </c>
      <c r="J16" s="122">
        <f>'[6]Billed kWh'!L12+'[5]II-H-1.2'!$J$10</f>
        <v>55164376</v>
      </c>
      <c r="K16" s="122">
        <f>'[6]Billed kWh'!M12+'[5]II-H-1.2'!$K$10</f>
        <v>55433077</v>
      </c>
      <c r="L16" s="122">
        <f>'[6]Billed kWh'!N12+'[5]II-H-1.2'!$L$10</f>
        <v>55189705</v>
      </c>
      <c r="M16" s="122">
        <f>'[6]Billed kWh'!O12+'[5]II-H-1.2'!$M$10</f>
        <v>48472763</v>
      </c>
      <c r="N16" s="122">
        <f>'[6]Billed kWh'!P12+'[5]II-H-1.2'!$N$10</f>
        <v>42646592</v>
      </c>
      <c r="O16" s="122">
        <f>'[6]Billed kWh'!Q12+'[5]II-H-1.2'!$O$10</f>
        <v>44863258</v>
      </c>
      <c r="P16" s="156">
        <f>SUM(D16:O16)</f>
        <v>580596232</v>
      </c>
      <c r="Q16" s="213">
        <f>'II-H-4.1 Functions'!F17/'II-H-1.2'!P16</f>
        <v>1.9511289456663233E-2</v>
      </c>
      <c r="R16" s="213">
        <f>'II-H-4.1 Functions'!H17/'II-H-1.2'!P16</f>
        <v>2.6675946804973409E-3</v>
      </c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</row>
    <row r="17" spans="1:145" s="62" customFormat="1" x14ac:dyDescent="0.2">
      <c r="A17" s="74"/>
      <c r="B17" s="129"/>
      <c r="C17" s="143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56"/>
      <c r="Q17" s="212"/>
      <c r="R17" s="212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</row>
    <row r="18" spans="1:145" s="62" customFormat="1" x14ac:dyDescent="0.2">
      <c r="A18" s="74">
        <v>3</v>
      </c>
      <c r="B18" s="146" t="s">
        <v>113</v>
      </c>
      <c r="C18" s="125" t="s">
        <v>16</v>
      </c>
      <c r="D18" s="142">
        <f>'[6]Billed kWh'!F30+'[5]II-H-1.2'!$D$12</f>
        <v>617758227</v>
      </c>
      <c r="E18" s="142">
        <f>'[6]Billed kWh'!G30+'[5]II-H-1.2'!$E$12</f>
        <v>556084841</v>
      </c>
      <c r="F18" s="142">
        <f>'[6]Billed kWh'!H30+'[5]II-H-1.2'!$F$12</f>
        <v>558942613</v>
      </c>
      <c r="G18" s="142">
        <f>'[6]Billed kWh'!I30+'[5]II-H-1.2'!$G$12</f>
        <v>605162513</v>
      </c>
      <c r="H18" s="142">
        <f>'[6]Billed kWh'!J30+'[5]II-H-1.2'!$H$12</f>
        <v>628387410</v>
      </c>
      <c r="I18" s="142">
        <f>'[6]Billed kWh'!K30+'[5]II-H-1.2'!$I$12</f>
        <v>779428797</v>
      </c>
      <c r="J18" s="142">
        <f>'[6]Billed kWh'!L30+'[5]II-H-1.2'!$J$12</f>
        <v>788525135</v>
      </c>
      <c r="K18" s="142">
        <f>'[6]Billed kWh'!M30+'[5]II-H-1.2'!$K$12</f>
        <v>797101000</v>
      </c>
      <c r="L18" s="142">
        <f>'[6]Billed kWh'!N30+'[5]II-H-1.2'!$L$12</f>
        <v>806339744</v>
      </c>
      <c r="M18" s="142">
        <f>'[6]Billed kWh'!O30+'[5]II-H-1.2'!$M$12</f>
        <v>699340712</v>
      </c>
      <c r="N18" s="142">
        <f>'[6]Billed kWh'!P30+'[5]II-H-1.2'!$N$12</f>
        <v>585836747</v>
      </c>
      <c r="O18" s="142">
        <f>'[6]Billed kWh'!Q30+'[5]II-H-1.2'!$O$12</f>
        <v>580732920</v>
      </c>
      <c r="P18" s="156">
        <f>SUM(D18:O18)</f>
        <v>8003640659</v>
      </c>
      <c r="Q18" s="212"/>
      <c r="R18" s="212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</row>
    <row r="19" spans="1:145" s="62" customFormat="1" x14ac:dyDescent="0.2">
      <c r="A19" s="74">
        <v>4</v>
      </c>
      <c r="B19" s="146" t="s">
        <v>114</v>
      </c>
      <c r="C19" s="125" t="s">
        <v>16</v>
      </c>
      <c r="D19" s="123">
        <f>'[6]Billed kWh'!F21+'[5]II-H-1.2'!D13</f>
        <v>103285168</v>
      </c>
      <c r="E19" s="123">
        <f>'[6]Billed kWh'!G21+'[5]II-H-1.2'!E13</f>
        <v>88205306</v>
      </c>
      <c r="F19" s="123">
        <f>'[6]Billed kWh'!H21+'[5]II-H-1.2'!F13</f>
        <v>88837676</v>
      </c>
      <c r="G19" s="123">
        <f>'[6]Billed kWh'!I21+'[5]II-H-1.2'!G13</f>
        <v>92617462</v>
      </c>
      <c r="H19" s="123">
        <f>'[6]Billed kWh'!J21+'[5]II-H-1.2'!H13</f>
        <v>96277050</v>
      </c>
      <c r="I19" s="123">
        <f>'[6]Billed kWh'!K21+'[5]II-H-1.2'!I13</f>
        <v>101782093</v>
      </c>
      <c r="J19" s="123">
        <f>'[6]Billed kWh'!L21+'[5]II-H-1.2'!J13</f>
        <v>112888067</v>
      </c>
      <c r="K19" s="123">
        <f>'[6]Billed kWh'!M21+'[5]II-H-1.2'!K13</f>
        <v>107756758</v>
      </c>
      <c r="L19" s="123">
        <f>'[6]Billed kWh'!N21+'[5]II-H-1.2'!L13</f>
        <v>122583566</v>
      </c>
      <c r="M19" s="123">
        <f>'[6]Billed kWh'!O21+'[5]II-H-1.2'!M13</f>
        <v>107844399</v>
      </c>
      <c r="N19" s="123">
        <f>'[6]Billed kWh'!P21+'[5]II-H-1.2'!N13</f>
        <v>96455825</v>
      </c>
      <c r="O19" s="123">
        <f>'[6]Billed kWh'!Q21+'[5]II-H-1.2'!O13</f>
        <v>92547279</v>
      </c>
      <c r="P19" s="123">
        <f>SUM(D19:O19)</f>
        <v>1211080649</v>
      </c>
      <c r="Q19" s="212"/>
      <c r="R19" s="212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5"/>
    </row>
    <row r="20" spans="1:145" s="62" customFormat="1" x14ac:dyDescent="0.2">
      <c r="A20" s="74">
        <v>5</v>
      </c>
      <c r="B20" s="162" t="s">
        <v>30</v>
      </c>
      <c r="C20" s="143"/>
      <c r="D20" s="157">
        <f>SUM(D18:D19)</f>
        <v>721043395</v>
      </c>
      <c r="E20" s="157">
        <f t="shared" ref="E20:P20" si="0">SUM(E18:E19)</f>
        <v>644290147</v>
      </c>
      <c r="F20" s="157">
        <f t="shared" si="0"/>
        <v>647780289</v>
      </c>
      <c r="G20" s="157">
        <f t="shared" si="0"/>
        <v>697779975</v>
      </c>
      <c r="H20" s="157">
        <f t="shared" si="0"/>
        <v>724664460</v>
      </c>
      <c r="I20" s="157">
        <f t="shared" si="0"/>
        <v>881210890</v>
      </c>
      <c r="J20" s="157">
        <f t="shared" si="0"/>
        <v>901413202</v>
      </c>
      <c r="K20" s="157">
        <f t="shared" si="0"/>
        <v>904857758</v>
      </c>
      <c r="L20" s="157">
        <f t="shared" si="0"/>
        <v>928923310</v>
      </c>
      <c r="M20" s="157">
        <f t="shared" si="0"/>
        <v>807185111</v>
      </c>
      <c r="N20" s="157">
        <f t="shared" si="0"/>
        <v>682292572</v>
      </c>
      <c r="O20" s="157">
        <f t="shared" si="0"/>
        <v>673280199</v>
      </c>
      <c r="P20" s="157">
        <f t="shared" si="0"/>
        <v>9214721308</v>
      </c>
      <c r="Q20" s="212"/>
      <c r="R20" s="212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5"/>
    </row>
    <row r="21" spans="1:145" s="62" customFormat="1" x14ac:dyDescent="0.2">
      <c r="B21" s="242"/>
      <c r="C21" s="143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22"/>
      <c r="P21" s="122"/>
      <c r="Q21" s="212"/>
      <c r="R21" s="212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  <c r="EO21" s="65"/>
    </row>
    <row r="22" spans="1:145" s="62" customFormat="1" x14ac:dyDescent="0.2">
      <c r="A22" s="74">
        <v>6</v>
      </c>
      <c r="B22" s="146" t="s">
        <v>110</v>
      </c>
      <c r="C22" s="125" t="s">
        <v>17</v>
      </c>
      <c r="D22" s="122">
        <f>'[6]Billed kWh'!F82+'[5]II-H-1.2'!D16</f>
        <v>22763927</v>
      </c>
      <c r="E22" s="122">
        <f>'[6]Billed kWh'!G82+'[5]II-H-1.2'!E16</f>
        <v>22233694</v>
      </c>
      <c r="F22" s="122">
        <f>'[6]Billed kWh'!H82+'[5]II-H-1.2'!F16</f>
        <v>21505721</v>
      </c>
      <c r="G22" s="122">
        <f>'[6]Billed kWh'!I82+'[5]II-H-1.2'!G16</f>
        <v>23581205</v>
      </c>
      <c r="H22" s="122">
        <f>'[6]Billed kWh'!J82+'[5]II-H-1.2'!H16</f>
        <v>24029745</v>
      </c>
      <c r="I22" s="122">
        <f>'[6]Billed kWh'!K82+'[5]II-H-1.2'!I16</f>
        <v>27769076</v>
      </c>
      <c r="J22" s="122">
        <f>'[6]Billed kWh'!L82+'[5]II-H-1.2'!J16</f>
        <v>25217671</v>
      </c>
      <c r="K22" s="122">
        <f>'[6]Billed kWh'!M82+'[5]II-H-1.2'!K16</f>
        <v>29729548</v>
      </c>
      <c r="L22" s="122">
        <f>'[6]Billed kWh'!N82+'[5]II-H-1.2'!L16</f>
        <v>25936117</v>
      </c>
      <c r="M22" s="122">
        <f>'[6]Billed kWh'!O82+'[5]II-H-1.2'!M16</f>
        <v>28836657</v>
      </c>
      <c r="N22" s="122">
        <f>'[6]Billed kWh'!P82+'[5]II-H-1.2'!N16</f>
        <v>26807657</v>
      </c>
      <c r="O22" s="122">
        <f>'[6]Billed kWh'!Q82+'[5]II-H-1.2'!O16</f>
        <v>25367936</v>
      </c>
      <c r="P22" s="156">
        <f>SUM(D22:O22)</f>
        <v>303778954</v>
      </c>
      <c r="Q22" s="212"/>
      <c r="R22" s="212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</row>
    <row r="23" spans="1:145" s="62" customFormat="1" x14ac:dyDescent="0.2">
      <c r="A23" s="74">
        <v>7</v>
      </c>
      <c r="B23" s="146" t="s">
        <v>111</v>
      </c>
      <c r="C23" s="125" t="s">
        <v>17</v>
      </c>
      <c r="D23" s="123">
        <f>'[6]Billed kWh'!F77+'[5]II-H-1.2'!D17</f>
        <v>328485905</v>
      </c>
      <c r="E23" s="123">
        <f>'[6]Billed kWh'!G77+'[5]II-H-1.2'!E17</f>
        <v>292364752</v>
      </c>
      <c r="F23" s="123">
        <f>'[6]Billed kWh'!H77+'[5]II-H-1.2'!F17</f>
        <v>312199493</v>
      </c>
      <c r="G23" s="123">
        <f>'[6]Billed kWh'!I77+'[5]II-H-1.2'!G17</f>
        <v>320624447</v>
      </c>
      <c r="H23" s="123">
        <f>'[6]Billed kWh'!J77+'[5]II-H-1.2'!H17</f>
        <v>338718878</v>
      </c>
      <c r="I23" s="123">
        <f>'[6]Billed kWh'!K77+'[5]II-H-1.2'!I17</f>
        <v>370216564</v>
      </c>
      <c r="J23" s="123">
        <f>'[6]Billed kWh'!L77+'[5]II-H-1.2'!J17</f>
        <v>364949086</v>
      </c>
      <c r="K23" s="123">
        <f>'[6]Billed kWh'!M77+'[5]II-H-1.2'!K17</f>
        <v>367964122</v>
      </c>
      <c r="L23" s="123">
        <f>'[6]Billed kWh'!N77+'[5]II-H-1.2'!L17</f>
        <v>379724068</v>
      </c>
      <c r="M23" s="123">
        <f>'[6]Billed kWh'!O77+'[5]II-H-1.2'!M17</f>
        <v>347284202</v>
      </c>
      <c r="N23" s="123">
        <f>'[6]Billed kWh'!P77+'[5]II-H-1.2'!N17</f>
        <v>338188453</v>
      </c>
      <c r="O23" s="123">
        <f>'[6]Billed kWh'!Q77+'[5]II-H-1.2'!O17</f>
        <v>328944965</v>
      </c>
      <c r="P23" s="173">
        <f>SUM(D23:O23)</f>
        <v>4089664935</v>
      </c>
      <c r="Q23" s="212"/>
      <c r="R23" s="212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  <c r="EO23" s="65"/>
    </row>
    <row r="24" spans="1:145" s="62" customFormat="1" x14ac:dyDescent="0.2">
      <c r="A24" s="74">
        <v>8</v>
      </c>
      <c r="B24" s="129" t="s">
        <v>31</v>
      </c>
      <c r="C24" s="125"/>
      <c r="D24" s="122">
        <f>SUM(D22:D23)</f>
        <v>351249832</v>
      </c>
      <c r="E24" s="122">
        <f t="shared" ref="E24:P24" si="1">SUM(E22:E23)</f>
        <v>314598446</v>
      </c>
      <c r="F24" s="122">
        <f t="shared" si="1"/>
        <v>333705214</v>
      </c>
      <c r="G24" s="122">
        <f t="shared" si="1"/>
        <v>344205652</v>
      </c>
      <c r="H24" s="122">
        <f t="shared" si="1"/>
        <v>362748623</v>
      </c>
      <c r="I24" s="122">
        <f t="shared" si="1"/>
        <v>397985640</v>
      </c>
      <c r="J24" s="122">
        <f t="shared" si="1"/>
        <v>390166757</v>
      </c>
      <c r="K24" s="122">
        <f t="shared" si="1"/>
        <v>397693670</v>
      </c>
      <c r="L24" s="122">
        <f t="shared" si="1"/>
        <v>405660185</v>
      </c>
      <c r="M24" s="122">
        <f t="shared" si="1"/>
        <v>376120859</v>
      </c>
      <c r="N24" s="122">
        <f t="shared" si="1"/>
        <v>364996110</v>
      </c>
      <c r="O24" s="122">
        <f t="shared" si="1"/>
        <v>354312901</v>
      </c>
      <c r="P24" s="122">
        <f t="shared" si="1"/>
        <v>4393443889</v>
      </c>
      <c r="Q24" s="212"/>
      <c r="R24" s="212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</row>
    <row r="25" spans="1:145" s="62" customFormat="1" x14ac:dyDescent="0.2">
      <c r="A25" s="74"/>
      <c r="B25" s="129"/>
      <c r="C25" s="125"/>
      <c r="D25" s="324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56"/>
      <c r="Q25" s="212"/>
      <c r="R25" s="212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</row>
    <row r="26" spans="1:145" s="62" customFormat="1" x14ac:dyDescent="0.2">
      <c r="A26" s="74">
        <v>9</v>
      </c>
      <c r="B26" s="162" t="s">
        <v>115</v>
      </c>
      <c r="C26" s="125" t="s">
        <v>18</v>
      </c>
      <c r="D26" s="122">
        <f>'[6]Billed kWh'!F97+'[5]II-H-1.2'!D20</f>
        <v>530719273</v>
      </c>
      <c r="E26" s="122">
        <f>'[6]Billed kWh'!G97+'[5]II-H-1.2'!E20</f>
        <v>349122435</v>
      </c>
      <c r="F26" s="122">
        <f>'[6]Billed kWh'!H97+'[5]II-H-1.2'!F20</f>
        <v>568341249</v>
      </c>
      <c r="G26" s="122">
        <f>'[6]Billed kWh'!I97+'[5]II-H-1.2'!G20</f>
        <v>536467367</v>
      </c>
      <c r="H26" s="122">
        <f>'[6]Billed kWh'!J97+'[5]II-H-1.2'!H20</f>
        <v>501093104</v>
      </c>
      <c r="I26" s="122">
        <f>'[6]Billed kWh'!K97+'[5]II-H-1.2'!I20</f>
        <v>504926500</v>
      </c>
      <c r="J26" s="122">
        <f>'[6]Billed kWh'!L97+'[5]II-H-1.2'!J20</f>
        <v>368328476</v>
      </c>
      <c r="K26" s="122">
        <f>'[6]Billed kWh'!M97+'[5]II-H-1.2'!K20</f>
        <v>415971240</v>
      </c>
      <c r="L26" s="122">
        <f>'[6]Billed kWh'!N97+'[5]II-H-1.2'!L20</f>
        <v>477087124</v>
      </c>
      <c r="M26" s="122">
        <f>'[6]Billed kWh'!O97+'[5]II-H-1.2'!M20</f>
        <v>246902328</v>
      </c>
      <c r="N26" s="122">
        <f>'[6]Billed kWh'!P97+'[5]II-H-1.2'!N20</f>
        <v>590144172</v>
      </c>
      <c r="O26" s="122">
        <f>'[6]Billed kWh'!Q97+'[5]II-H-1.2'!O20</f>
        <v>364087140</v>
      </c>
      <c r="P26" s="156">
        <f>SUM(D26:O26)</f>
        <v>5453190408</v>
      </c>
      <c r="Q26" s="212"/>
      <c r="R26" s="212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  <c r="EO26" s="65"/>
    </row>
    <row r="27" spans="1:145" s="62" customFormat="1" x14ac:dyDescent="0.2">
      <c r="B27" s="129"/>
      <c r="C27" s="143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22"/>
      <c r="Q27" s="212"/>
      <c r="R27" s="212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  <c r="EO27" s="65"/>
    </row>
    <row r="28" spans="1:145" s="62" customFormat="1" x14ac:dyDescent="0.2">
      <c r="A28" s="74">
        <v>10</v>
      </c>
      <c r="B28" s="117" t="s">
        <v>33</v>
      </c>
      <c r="C28" s="125" t="s">
        <v>16</v>
      </c>
      <c r="D28" s="122">
        <f>'[6]Billed kWh'!F71+'[5]II-H-1.2'!D22</f>
        <v>21891804</v>
      </c>
      <c r="E28" s="122">
        <f>'[6]Billed kWh'!G71+'[5]II-H-1.2'!E22</f>
        <v>21808568</v>
      </c>
      <c r="F28" s="122">
        <f>'[6]Billed kWh'!H71+'[5]II-H-1.2'!F22</f>
        <v>21865686</v>
      </c>
      <c r="G28" s="122">
        <f>'[6]Billed kWh'!I71+'[5]II-H-1.2'!G22</f>
        <v>21884664</v>
      </c>
      <c r="H28" s="122">
        <f>'[6]Billed kWh'!J71+'[5]II-H-1.2'!H22</f>
        <v>21865890</v>
      </c>
      <c r="I28" s="122">
        <f>'[6]Billed kWh'!K71+'[5]II-H-1.2'!I22</f>
        <v>21865532</v>
      </c>
      <c r="J28" s="122">
        <f>'[6]Billed kWh'!L71+'[5]II-H-1.2'!J22</f>
        <v>21871358</v>
      </c>
      <c r="K28" s="122">
        <f>'[6]Billed kWh'!M71+'[5]II-H-1.2'!K22</f>
        <v>21863875</v>
      </c>
      <c r="L28" s="122">
        <f>'[6]Billed kWh'!N71+'[5]II-H-1.2'!L22</f>
        <v>21895794</v>
      </c>
      <c r="M28" s="122">
        <f>'[6]Billed kWh'!O71+'[5]II-H-1.2'!M22</f>
        <v>21755659</v>
      </c>
      <c r="N28" s="122">
        <f>'[6]Billed kWh'!P71+'[5]II-H-1.2'!N22</f>
        <v>21974306</v>
      </c>
      <c r="O28" s="122">
        <f>'[6]Billed kWh'!Q71+'[5]II-H-1.2'!O22</f>
        <v>21864010</v>
      </c>
      <c r="P28" s="156">
        <f>SUM(D28:O28)</f>
        <v>262407146</v>
      </c>
      <c r="Q28" s="213">
        <f>'II-H-4.1 Functions'!F29/'II-H-1.2'!P28</f>
        <v>6.7212038730073309E-2</v>
      </c>
      <c r="R28" s="213">
        <f>'II-H-4.1 Functions'!H29/'II-H-1.2'!P28</f>
        <v>2.6093869791183203E-3</v>
      </c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  <c r="EO28" s="65"/>
    </row>
    <row r="29" spans="1:145" s="62" customFormat="1" x14ac:dyDescent="0.2">
      <c r="A29" s="74"/>
      <c r="B29" s="129"/>
      <c r="C29" s="143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22"/>
      <c r="P29" s="122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5"/>
    </row>
    <row r="30" spans="1:145" s="62" customFormat="1" x14ac:dyDescent="0.2">
      <c r="A30" s="74">
        <v>11</v>
      </c>
      <c r="B30" s="183" t="s">
        <v>34</v>
      </c>
      <c r="C30" s="236"/>
      <c r="D30" s="184">
        <f>D28+D26+D24+D20+D16+D14</f>
        <v>2865057234</v>
      </c>
      <c r="E30" s="184">
        <f t="shared" ref="E30:P30" si="2">E28+E26+E24+E20+E16+E14</f>
        <v>2254611625</v>
      </c>
      <c r="F30" s="184">
        <f t="shared" si="2"/>
        <v>2315992458</v>
      </c>
      <c r="G30" s="184">
        <f t="shared" si="2"/>
        <v>2380787390</v>
      </c>
      <c r="H30" s="184">
        <f t="shared" si="2"/>
        <v>2472499527</v>
      </c>
      <c r="I30" s="184">
        <f t="shared" si="2"/>
        <v>3108283707</v>
      </c>
      <c r="J30" s="184">
        <f t="shared" si="2"/>
        <v>3044218598</v>
      </c>
      <c r="K30" s="184">
        <f t="shared" si="2"/>
        <v>3122975462</v>
      </c>
      <c r="L30" s="184">
        <f t="shared" si="2"/>
        <v>3169759403</v>
      </c>
      <c r="M30" s="184">
        <f t="shared" si="2"/>
        <v>2499492452</v>
      </c>
      <c r="N30" s="184">
        <f t="shared" si="2"/>
        <v>2460251714</v>
      </c>
      <c r="O30" s="184">
        <f t="shared" si="2"/>
        <v>2313540885</v>
      </c>
      <c r="P30" s="184">
        <f t="shared" si="2"/>
        <v>32007470455</v>
      </c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5"/>
    </row>
    <row r="31" spans="1:145" s="62" customFormat="1" x14ac:dyDescent="0.2">
      <c r="B31" s="236"/>
      <c r="C31" s="236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56"/>
      <c r="P31" s="156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</row>
    <row r="32" spans="1:145" s="62" customFormat="1" x14ac:dyDescent="0.2">
      <c r="A32" s="74">
        <v>12</v>
      </c>
      <c r="B32" s="148" t="s">
        <v>91</v>
      </c>
      <c r="C32" s="125" t="s">
        <v>17</v>
      </c>
      <c r="D32" s="122">
        <v>0</v>
      </c>
      <c r="E32" s="122">
        <v>0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0</v>
      </c>
      <c r="L32" s="122">
        <v>0</v>
      </c>
      <c r="M32" s="122">
        <v>0</v>
      </c>
      <c r="N32" s="122">
        <v>0</v>
      </c>
      <c r="O32" s="122">
        <v>0</v>
      </c>
      <c r="P32" s="156">
        <f>SUM(D32:O32)</f>
        <v>0</v>
      </c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</row>
    <row r="33" spans="1:145" s="62" customFormat="1" x14ac:dyDescent="0.2">
      <c r="A33" s="74">
        <v>13</v>
      </c>
      <c r="B33" s="148" t="s">
        <v>92</v>
      </c>
      <c r="C33" s="125" t="s">
        <v>18</v>
      </c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73">
        <f>SUM(D33:O33)</f>
        <v>0</v>
      </c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  <c r="EO33" s="65"/>
    </row>
    <row r="34" spans="1:145" s="62" customFormat="1" x14ac:dyDescent="0.2">
      <c r="A34" s="74">
        <v>14</v>
      </c>
      <c r="B34" s="183" t="s">
        <v>35</v>
      </c>
      <c r="C34" s="238"/>
      <c r="D34" s="169">
        <f t="shared" ref="D34:P34" si="3">SUM(D32:D33)</f>
        <v>0</v>
      </c>
      <c r="E34" s="169">
        <f t="shared" si="3"/>
        <v>0</v>
      </c>
      <c r="F34" s="169">
        <f t="shared" si="3"/>
        <v>0</v>
      </c>
      <c r="G34" s="169">
        <f t="shared" si="3"/>
        <v>0</v>
      </c>
      <c r="H34" s="169">
        <f t="shared" si="3"/>
        <v>0</v>
      </c>
      <c r="I34" s="169">
        <f t="shared" si="3"/>
        <v>0</v>
      </c>
      <c r="J34" s="169">
        <f t="shared" si="3"/>
        <v>0</v>
      </c>
      <c r="K34" s="169">
        <f t="shared" si="3"/>
        <v>0</v>
      </c>
      <c r="L34" s="169">
        <f t="shared" si="3"/>
        <v>0</v>
      </c>
      <c r="M34" s="169">
        <f t="shared" si="3"/>
        <v>0</v>
      </c>
      <c r="N34" s="169">
        <f t="shared" si="3"/>
        <v>0</v>
      </c>
      <c r="O34" s="156">
        <f t="shared" si="3"/>
        <v>0</v>
      </c>
      <c r="P34" s="156">
        <f t="shared" si="3"/>
        <v>0</v>
      </c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</row>
    <row r="35" spans="1:145" s="62" customFormat="1" x14ac:dyDescent="0.2">
      <c r="A35" s="74"/>
      <c r="B35" s="129"/>
      <c r="C35" s="185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22"/>
      <c r="P35" s="122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</row>
    <row r="36" spans="1:145" s="62" customFormat="1" ht="12" thickBot="1" x14ac:dyDescent="0.25">
      <c r="A36" s="74">
        <v>15</v>
      </c>
      <c r="B36" s="243" t="s">
        <v>132</v>
      </c>
      <c r="C36" s="238"/>
      <c r="D36" s="244">
        <f t="shared" ref="D36:P36" si="4">+D34+D30</f>
        <v>2865057234</v>
      </c>
      <c r="E36" s="244">
        <f t="shared" si="4"/>
        <v>2254611625</v>
      </c>
      <c r="F36" s="244">
        <f t="shared" si="4"/>
        <v>2315992458</v>
      </c>
      <c r="G36" s="244">
        <f t="shared" si="4"/>
        <v>2380787390</v>
      </c>
      <c r="H36" s="244">
        <f t="shared" si="4"/>
        <v>2472499527</v>
      </c>
      <c r="I36" s="244">
        <f t="shared" si="4"/>
        <v>3108283707</v>
      </c>
      <c r="J36" s="244">
        <f t="shared" si="4"/>
        <v>3044218598</v>
      </c>
      <c r="K36" s="244">
        <f t="shared" si="4"/>
        <v>3122975462</v>
      </c>
      <c r="L36" s="244">
        <f t="shared" si="4"/>
        <v>3169759403</v>
      </c>
      <c r="M36" s="244">
        <f t="shared" si="4"/>
        <v>2499492452</v>
      </c>
      <c r="N36" s="244">
        <f t="shared" si="4"/>
        <v>2460251714</v>
      </c>
      <c r="O36" s="244">
        <f t="shared" si="4"/>
        <v>2313540885</v>
      </c>
      <c r="P36" s="244">
        <f t="shared" si="4"/>
        <v>32007470455</v>
      </c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</row>
    <row r="37" spans="1:145" s="68" customFormat="1" ht="12" thickTop="1" x14ac:dyDescent="0.2">
      <c r="B37" s="390" t="str">
        <f>+B7</f>
        <v>AEP TEXAS</v>
      </c>
      <c r="C37" s="390"/>
      <c r="D37" s="390"/>
      <c r="E37" s="390"/>
      <c r="F37" s="390"/>
      <c r="G37" s="390"/>
      <c r="H37" s="390"/>
      <c r="I37" s="390"/>
      <c r="J37" s="390"/>
      <c r="K37" s="390"/>
      <c r="L37" s="390"/>
      <c r="M37" s="390"/>
      <c r="N37" s="390"/>
      <c r="O37" s="390"/>
      <c r="P37" s="251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</row>
    <row r="38" spans="1:145" s="129" customFormat="1" ht="12.75" customHeight="1" x14ac:dyDescent="0.2">
      <c r="B38" s="390" t="s">
        <v>67</v>
      </c>
      <c r="C38" s="390"/>
      <c r="D38" s="390"/>
      <c r="E38" s="390"/>
      <c r="F38" s="390"/>
      <c r="G38" s="390"/>
      <c r="H38" s="390"/>
      <c r="I38" s="390"/>
      <c r="J38" s="390"/>
      <c r="K38" s="390"/>
      <c r="L38" s="390"/>
      <c r="M38" s="390"/>
      <c r="N38" s="390"/>
      <c r="O38" s="390"/>
      <c r="P38" s="130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117"/>
      <c r="BS38" s="117"/>
      <c r="BT38" s="117"/>
      <c r="BU38" s="117"/>
      <c r="BV38" s="117"/>
      <c r="BW38" s="117"/>
      <c r="BX38" s="117"/>
      <c r="BY38" s="117"/>
      <c r="BZ38" s="117"/>
      <c r="CA38" s="117"/>
      <c r="CB38" s="117"/>
      <c r="CC38" s="117"/>
      <c r="CD38" s="117"/>
      <c r="CE38" s="117"/>
      <c r="CF38" s="117"/>
      <c r="CG38" s="117"/>
      <c r="CH38" s="117"/>
      <c r="CI38" s="117"/>
      <c r="CJ38" s="117"/>
      <c r="CK38" s="117"/>
      <c r="CL38" s="117"/>
      <c r="CM38" s="117"/>
      <c r="CN38" s="117"/>
      <c r="CO38" s="117"/>
      <c r="CP38" s="117"/>
      <c r="CQ38" s="117"/>
      <c r="CR38" s="117"/>
      <c r="CS38" s="117"/>
      <c r="CT38" s="117"/>
      <c r="CU38" s="117"/>
      <c r="CV38" s="117"/>
      <c r="CW38" s="117"/>
      <c r="CX38" s="117"/>
      <c r="CY38" s="117"/>
      <c r="CZ38" s="117"/>
      <c r="DA38" s="117"/>
      <c r="DB38" s="117"/>
      <c r="DC38" s="117"/>
      <c r="DD38" s="117"/>
      <c r="DE38" s="117"/>
      <c r="DF38" s="117"/>
      <c r="DG38" s="117"/>
      <c r="DH38" s="117"/>
      <c r="DI38" s="117"/>
      <c r="DJ38" s="117"/>
      <c r="DK38" s="117"/>
      <c r="DL38" s="117"/>
      <c r="DM38" s="117"/>
      <c r="DN38" s="117"/>
      <c r="DO38" s="117"/>
      <c r="DP38" s="117"/>
      <c r="DQ38" s="117"/>
      <c r="DR38" s="117"/>
      <c r="DS38" s="117"/>
      <c r="DT38" s="117"/>
      <c r="DU38" s="117"/>
      <c r="DV38" s="117"/>
      <c r="DW38" s="117"/>
      <c r="DX38" s="117"/>
      <c r="DY38" s="117"/>
      <c r="DZ38" s="117"/>
      <c r="EA38" s="117"/>
      <c r="EB38" s="117"/>
      <c r="EC38" s="117"/>
      <c r="ED38" s="117"/>
      <c r="EE38" s="117"/>
      <c r="EF38" s="117"/>
      <c r="EG38" s="117"/>
      <c r="EH38" s="117"/>
      <c r="EI38" s="117"/>
      <c r="EJ38" s="117"/>
      <c r="EK38" s="117"/>
      <c r="EL38" s="117"/>
      <c r="EM38" s="117"/>
      <c r="EN38" s="117"/>
      <c r="EO38" s="117"/>
    </row>
    <row r="39" spans="1:145" s="62" customFormat="1" x14ac:dyDescent="0.2">
      <c r="B39" s="390" t="str">
        <f>+B9</f>
        <v>FOR TEST YEAR ENDED DECEMBER 31, 2018</v>
      </c>
      <c r="C39" s="390"/>
      <c r="D39" s="390"/>
      <c r="E39" s="390"/>
      <c r="F39" s="390"/>
      <c r="G39" s="390"/>
      <c r="H39" s="390"/>
      <c r="I39" s="390"/>
      <c r="J39" s="390"/>
      <c r="K39" s="390"/>
      <c r="L39" s="390"/>
      <c r="M39" s="390"/>
      <c r="N39" s="390"/>
      <c r="O39" s="390"/>
      <c r="P39" s="129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</row>
    <row r="40" spans="1:145" s="62" customFormat="1" x14ac:dyDescent="0.2">
      <c r="B40" s="238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129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</row>
    <row r="41" spans="1:145" s="62" customFormat="1" x14ac:dyDescent="0.2">
      <c r="B41" s="242"/>
      <c r="C41" s="143"/>
      <c r="D41" s="287"/>
      <c r="E41" s="287"/>
      <c r="F41" s="287"/>
      <c r="G41" s="287"/>
      <c r="H41" s="287"/>
      <c r="I41" s="287"/>
      <c r="J41" s="129"/>
      <c r="K41" s="287"/>
      <c r="L41" s="287"/>
      <c r="M41" s="287"/>
      <c r="N41" s="287"/>
      <c r="O41" s="287"/>
      <c r="P41" s="178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</row>
    <row r="42" spans="1:145" s="68" customFormat="1" x14ac:dyDescent="0.2">
      <c r="A42" s="38" t="s">
        <v>20</v>
      </c>
      <c r="B42" s="238" t="s">
        <v>0</v>
      </c>
      <c r="C42" s="238" t="s">
        <v>19</v>
      </c>
      <c r="D42" s="164" t="str">
        <f>D12</f>
        <v>JANUARY</v>
      </c>
      <c r="E42" s="164" t="str">
        <f>E12</f>
        <v>FEBRUARY</v>
      </c>
      <c r="F42" s="164" t="str">
        <f>F12</f>
        <v>MARCH</v>
      </c>
      <c r="G42" s="164" t="str">
        <f>G12</f>
        <v>APRIL</v>
      </c>
      <c r="H42" s="164" t="str">
        <f t="shared" ref="H42:O42" si="5">H12</f>
        <v>MAY</v>
      </c>
      <c r="I42" s="164" t="str">
        <f t="shared" si="5"/>
        <v>JUNE</v>
      </c>
      <c r="J42" s="164" t="str">
        <f t="shared" si="5"/>
        <v>JULY</v>
      </c>
      <c r="K42" s="164" t="str">
        <f t="shared" si="5"/>
        <v>AUGUST</v>
      </c>
      <c r="L42" s="164" t="str">
        <f t="shared" si="5"/>
        <v>SEPTEMBER</v>
      </c>
      <c r="M42" s="164" t="str">
        <f t="shared" si="5"/>
        <v>OCTOBER</v>
      </c>
      <c r="N42" s="164" t="str">
        <f t="shared" si="5"/>
        <v>NOVEMBER</v>
      </c>
      <c r="O42" s="164" t="str">
        <f t="shared" si="5"/>
        <v>DECEMBER</v>
      </c>
      <c r="P42" s="164" t="str">
        <f>+P12</f>
        <v>TOTAL</v>
      </c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</row>
    <row r="43" spans="1:145" s="62" customFormat="1" x14ac:dyDescent="0.2">
      <c r="B43" s="129"/>
      <c r="C43" s="143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56"/>
      <c r="P43" s="156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/>
      <c r="EA43" s="65"/>
      <c r="EB43" s="65"/>
      <c r="EC43" s="65"/>
      <c r="ED43" s="65"/>
      <c r="EE43" s="65"/>
      <c r="EF43" s="65"/>
      <c r="EG43" s="65"/>
      <c r="EH43" s="65"/>
      <c r="EI43" s="65"/>
      <c r="EJ43" s="65"/>
      <c r="EK43" s="65"/>
      <c r="EL43" s="65"/>
      <c r="EM43" s="65"/>
      <c r="EN43" s="65"/>
      <c r="EO43" s="65"/>
    </row>
    <row r="44" spans="1:145" s="129" customFormat="1" x14ac:dyDescent="0.2">
      <c r="A44" s="141" t="s">
        <v>21</v>
      </c>
      <c r="B44" s="129" t="s">
        <v>29</v>
      </c>
      <c r="C44" s="143" t="s">
        <v>16</v>
      </c>
      <c r="D44" s="122">
        <f>-'[7]TCC by class'!C22+'[5]II-H-1.2'!D39</f>
        <v>-155127058</v>
      </c>
      <c r="E44" s="122">
        <f>-'[7]TCC by class'!D22+'[5]II-H-1.2'!E39</f>
        <v>-62130204</v>
      </c>
      <c r="F44" s="122">
        <f>-'[7]TCC by class'!E22+'[5]II-H-1.2'!F39</f>
        <v>7333556</v>
      </c>
      <c r="G44" s="122">
        <f>-'[7]TCC by class'!F22+'[5]II-H-1.2'!G39</f>
        <v>-3961366</v>
      </c>
      <c r="H44" s="122">
        <f>-'[7]TCC by class'!G22+'[5]II-H-1.2'!H39</f>
        <v>31982624</v>
      </c>
      <c r="I44" s="122">
        <f>-'[7]TCC by class'!H22+'[5]II-H-1.2'!I39</f>
        <v>-59697400</v>
      </c>
      <c r="J44" s="122">
        <f>-'[7]TCC by class'!I22+'[5]II-H-1.2'!J39</f>
        <v>4322941</v>
      </c>
      <c r="K44" s="122">
        <f>-'[7]TCC by class'!J22+'[5]II-H-1.2'!K39</f>
        <v>16737076</v>
      </c>
      <c r="L44" s="122">
        <f>-'[7]TCC by class'!K22+'[5]II-H-1.2'!L39</f>
        <v>1901346</v>
      </c>
      <c r="M44" s="122">
        <f>-'[7]TCC by class'!L22+'[5]II-H-1.2'!M39</f>
        <v>5080024</v>
      </c>
      <c r="N44" s="122">
        <f>-'[7]TCC by class'!M22+'[5]II-H-1.2'!N39</f>
        <v>10542803</v>
      </c>
      <c r="O44" s="122">
        <f>-'[7]TCC by class'!N22+'[5]II-H-1.2'!O39</f>
        <v>33942751</v>
      </c>
      <c r="P44" s="156">
        <f>SUM(D44:O44)</f>
        <v>-169072907</v>
      </c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117"/>
      <c r="BB44" s="117"/>
      <c r="BC44" s="117"/>
      <c r="BD44" s="117"/>
      <c r="BE44" s="117"/>
      <c r="BF44" s="117"/>
      <c r="BG44" s="117"/>
      <c r="BH44" s="117"/>
      <c r="BI44" s="117"/>
      <c r="BJ44" s="117"/>
      <c r="BK44" s="117"/>
      <c r="BL44" s="117"/>
      <c r="BM44" s="117"/>
      <c r="BN44" s="117"/>
      <c r="BO44" s="117"/>
      <c r="BP44" s="117"/>
      <c r="BQ44" s="117"/>
      <c r="BR44" s="117"/>
      <c r="BS44" s="117"/>
      <c r="BT44" s="117"/>
      <c r="BU44" s="117"/>
      <c r="BV44" s="117"/>
      <c r="BW44" s="117"/>
      <c r="BX44" s="117"/>
      <c r="BY44" s="117"/>
      <c r="BZ44" s="117"/>
      <c r="CA44" s="117"/>
      <c r="CB44" s="117"/>
      <c r="CC44" s="117"/>
      <c r="CD44" s="117"/>
      <c r="CE44" s="117"/>
      <c r="CF44" s="117"/>
      <c r="CG44" s="117"/>
      <c r="CH44" s="117"/>
      <c r="CI44" s="117"/>
      <c r="CJ44" s="117"/>
      <c r="CK44" s="117"/>
      <c r="CL44" s="117"/>
      <c r="CM44" s="117"/>
      <c r="CN44" s="117"/>
      <c r="CO44" s="117"/>
      <c r="CP44" s="117"/>
      <c r="CQ44" s="117"/>
      <c r="CR44" s="117"/>
      <c r="CS44" s="117"/>
      <c r="CT44" s="117"/>
      <c r="CU44" s="117"/>
      <c r="CV44" s="117"/>
      <c r="CW44" s="117"/>
      <c r="CX44" s="117"/>
      <c r="CY44" s="117"/>
      <c r="CZ44" s="117"/>
      <c r="DA44" s="117"/>
      <c r="DB44" s="117"/>
      <c r="DC44" s="117"/>
      <c r="DD44" s="117"/>
      <c r="DE44" s="117"/>
      <c r="DF44" s="117"/>
      <c r="DG44" s="117"/>
      <c r="DH44" s="117"/>
      <c r="DI44" s="117"/>
      <c r="DJ44" s="117"/>
      <c r="DK44" s="117"/>
      <c r="DL44" s="117"/>
      <c r="DM44" s="117"/>
      <c r="DN44" s="117"/>
      <c r="DO44" s="117"/>
      <c r="DP44" s="117"/>
      <c r="DQ44" s="117"/>
      <c r="DR44" s="117"/>
      <c r="DS44" s="117"/>
      <c r="DT44" s="117"/>
      <c r="DU44" s="117"/>
      <c r="DV44" s="117"/>
      <c r="DW44" s="117"/>
      <c r="DX44" s="117"/>
      <c r="DY44" s="117"/>
      <c r="DZ44" s="117"/>
      <c r="EA44" s="117"/>
      <c r="EB44" s="117"/>
      <c r="EC44" s="117"/>
      <c r="ED44" s="117"/>
      <c r="EE44" s="117"/>
      <c r="EF44" s="117"/>
      <c r="EG44" s="117"/>
      <c r="EH44" s="117"/>
      <c r="EI44" s="117"/>
      <c r="EJ44" s="117"/>
      <c r="EK44" s="117"/>
      <c r="EL44" s="117"/>
      <c r="EM44" s="117"/>
      <c r="EN44" s="117"/>
      <c r="EO44" s="117"/>
    </row>
    <row r="45" spans="1:145" s="62" customFormat="1" x14ac:dyDescent="0.2">
      <c r="B45" s="129"/>
      <c r="C45" s="143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56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/>
      <c r="EA45" s="65"/>
      <c r="EB45" s="65"/>
      <c r="EC45" s="65"/>
      <c r="ED45" s="65"/>
      <c r="EE45" s="65"/>
      <c r="EF45" s="65"/>
      <c r="EG45" s="65"/>
      <c r="EH45" s="65"/>
      <c r="EI45" s="65"/>
      <c r="EJ45" s="65"/>
      <c r="EK45" s="65"/>
      <c r="EL45" s="65"/>
      <c r="EM45" s="65"/>
      <c r="EN45" s="65"/>
      <c r="EO45" s="65"/>
    </row>
    <row r="46" spans="1:145" s="62" customFormat="1" x14ac:dyDescent="0.2">
      <c r="A46" s="74">
        <v>2</v>
      </c>
      <c r="B46" s="129" t="s">
        <v>32</v>
      </c>
      <c r="C46" s="143" t="s">
        <v>16</v>
      </c>
      <c r="D46" s="122">
        <f>-'[7]TCC by class'!C17+'[5]II-H-1.2'!D41</f>
        <v>-647314.76367639517</v>
      </c>
      <c r="E46" s="122">
        <f>-'[7]TCC by class'!D17+'[5]II-H-1.2'!E41</f>
        <v>-203654.11344718467</v>
      </c>
      <c r="F46" s="122">
        <f>-'[7]TCC by class'!E17+'[5]II-H-1.2'!F41</f>
        <v>-610097.85662153817</v>
      </c>
      <c r="G46" s="122">
        <f>-'[7]TCC by class'!F17+'[5]II-H-1.2'!G41</f>
        <v>-266425.83832847863</v>
      </c>
      <c r="H46" s="122">
        <f>-'[7]TCC by class'!G17+'[5]II-H-1.2'!H41</f>
        <v>789362.18540709757</v>
      </c>
      <c r="I46" s="122">
        <f>-'[7]TCC by class'!H17+'[5]II-H-1.2'!I41</f>
        <v>-1548911.225236454</v>
      </c>
      <c r="J46" s="122">
        <f>-'[7]TCC by class'!I17+'[5]II-H-1.2'!J41</f>
        <v>46199.629732797679</v>
      </c>
      <c r="K46" s="122">
        <f>-'[7]TCC by class'!J17+'[5]II-H-1.2'!K41</f>
        <v>424092.28958123026</v>
      </c>
      <c r="L46" s="122">
        <f>-'[7]TCC by class'!K17+'[5]II-H-1.2'!L41</f>
        <v>92290.149226042777</v>
      </c>
      <c r="M46" s="122">
        <f>-'[7]TCC by class'!L17+'[5]II-H-1.2'!M41</f>
        <v>247625.95105883299</v>
      </c>
      <c r="N46" s="122">
        <f>-'[7]TCC by class'!M17+'[5]II-H-1.2'!N41</f>
        <v>821689.57610460324</v>
      </c>
      <c r="O46" s="122">
        <f>-'[7]TCC by class'!N17+'[5]II-H-1.2'!O41</f>
        <v>510140.70093057532</v>
      </c>
      <c r="P46" s="156">
        <f>SUM(D46:O46)</f>
        <v>-345003.31526887073</v>
      </c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65"/>
      <c r="EJ46" s="65"/>
      <c r="EK46" s="65"/>
      <c r="EL46" s="65"/>
      <c r="EM46" s="65"/>
      <c r="EN46" s="65"/>
      <c r="EO46" s="65"/>
    </row>
    <row r="47" spans="1:145" s="62" customFormat="1" x14ac:dyDescent="0.2">
      <c r="A47" s="74"/>
      <c r="B47" s="129"/>
      <c r="C47" s="143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56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5"/>
    </row>
    <row r="48" spans="1:145" s="62" customFormat="1" x14ac:dyDescent="0.2">
      <c r="A48" s="74">
        <v>3</v>
      </c>
      <c r="B48" s="146" t="s">
        <v>113</v>
      </c>
      <c r="C48" s="125" t="s">
        <v>16</v>
      </c>
      <c r="D48" s="142">
        <f>-'[7]TCC by class'!C19+'[5]II-H-1.2'!D43</f>
        <v>-7705107.0252194861</v>
      </c>
      <c r="E48" s="142">
        <f>-'[7]TCC by class'!D19+'[5]II-H-1.2'!E43</f>
        <v>-2506173.8672721526</v>
      </c>
      <c r="F48" s="142">
        <f>-'[7]TCC by class'!E19+'[5]II-H-1.2'!F43</f>
        <v>-9276340.1972804479</v>
      </c>
      <c r="G48" s="142">
        <f>-'[7]TCC by class'!F19+'[5]II-H-1.2'!G43</f>
        <v>-4400742.4908305872</v>
      </c>
      <c r="H48" s="142">
        <f>-'[7]TCC by class'!G19+'[5]II-H-1.2'!H43</f>
        <v>12271333.572341027</v>
      </c>
      <c r="I48" s="142">
        <f>-'[7]TCC by class'!H19+'[5]II-H-1.2'!I43</f>
        <v>-22290013.253324695</v>
      </c>
      <c r="J48" s="142">
        <f>-'[7]TCC by class'!I19+'[5]II-H-1.2'!J43</f>
        <v>2126732.0296563841</v>
      </c>
      <c r="K48" s="142">
        <f>-'[7]TCC by class'!J19+'[5]II-H-1.2'!K43</f>
        <v>6402328.7387289759</v>
      </c>
      <c r="L48" s="142">
        <f>-'[7]TCC by class'!K19+'[5]II-H-1.2'!L43</f>
        <v>563975.94538692804</v>
      </c>
      <c r="M48" s="142">
        <f>-'[7]TCC by class'!L19+'[5]II-H-1.2'!M43</f>
        <v>2961388.9592061243</v>
      </c>
      <c r="N48" s="142">
        <f>-'[7]TCC by class'!M19+'[5]II-H-1.2'!N43</f>
        <v>12305110.866581423</v>
      </c>
      <c r="O48" s="142">
        <f>-'[7]TCC by class'!N19+'[5]II-H-1.2'!O43</f>
        <v>7565286.220937348</v>
      </c>
      <c r="P48" s="156">
        <f t="shared" ref="P48:P49" si="6">SUM(D48:O48)</f>
        <v>-1982220.5010891659</v>
      </c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</row>
    <row r="49" spans="1:145" s="62" customFormat="1" x14ac:dyDescent="0.2">
      <c r="A49" s="74">
        <v>4</v>
      </c>
      <c r="B49" s="146" t="s">
        <v>114</v>
      </c>
      <c r="C49" s="125" t="s">
        <v>16</v>
      </c>
      <c r="D49" s="123">
        <f>-'[7]TCC by class'!C18+'[5]II-H-1.2'!D44</f>
        <v>-1245610.1402262999</v>
      </c>
      <c r="E49" s="123">
        <f>-'[7]TCC by class'!D18+'[5]II-H-1.2'!E44</f>
        <v>-462292.73268188309</v>
      </c>
      <c r="F49" s="123">
        <f>-'[7]TCC by class'!E18+'[5]II-H-1.2'!F44</f>
        <v>-1103737.7358943089</v>
      </c>
      <c r="G49" s="123">
        <f>-'[7]TCC by class'!F18+'[5]II-H-1.2'!G44</f>
        <v>-423723.26964016026</v>
      </c>
      <c r="H49" s="123">
        <f>-'[7]TCC by class'!G18+'[5]II-H-1.2'!H44</f>
        <v>1531043.3813541078</v>
      </c>
      <c r="I49" s="123">
        <f>-'[7]TCC by class'!H18+'[5]II-H-1.2'!I44</f>
        <v>-3302692.0149880378</v>
      </c>
      <c r="J49" s="123">
        <f>-'[7]TCC by class'!I18+'[5]II-H-1.2'!J44</f>
        <v>-199243.39513402805</v>
      </c>
      <c r="K49" s="123">
        <f>-'[7]TCC by class'!J18+'[5]II-H-1.2'!K44</f>
        <v>782122.86824419082</v>
      </c>
      <c r="L49" s="123">
        <f>-'[7]TCC by class'!K18+'[5]II-H-1.2'!L44</f>
        <v>252530.8919390082</v>
      </c>
      <c r="M49" s="123">
        <f>-'[7]TCC by class'!L18+'[5]II-H-1.2'!M44</f>
        <v>525949.7623305223</v>
      </c>
      <c r="N49" s="123">
        <f>-'[7]TCC by class'!M18+'[5]II-H-1.2'!N44</f>
        <v>1442959.327719636</v>
      </c>
      <c r="O49" s="123">
        <f>-'[7]TCC by class'!N18+'[5]II-H-1.2'!O44</f>
        <v>772567.18788971938</v>
      </c>
      <c r="P49" s="173">
        <f t="shared" si="6"/>
        <v>-1430125.8690875331</v>
      </c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  <c r="EO49" s="65"/>
    </row>
    <row r="50" spans="1:145" s="62" customFormat="1" x14ac:dyDescent="0.2">
      <c r="A50" s="74">
        <v>5</v>
      </c>
      <c r="B50" s="162" t="s">
        <v>30</v>
      </c>
      <c r="C50" s="143"/>
      <c r="D50" s="157">
        <f>SUM(D48:D49)</f>
        <v>-8950717.165445786</v>
      </c>
      <c r="E50" s="157">
        <f t="shared" ref="E50:O50" si="7">SUM(E48:E49)</f>
        <v>-2968466.5999540356</v>
      </c>
      <c r="F50" s="157">
        <f t="shared" si="7"/>
        <v>-10380077.933174757</v>
      </c>
      <c r="G50" s="157">
        <f t="shared" si="7"/>
        <v>-4824465.7604707479</v>
      </c>
      <c r="H50" s="157">
        <f t="shared" si="7"/>
        <v>13802376.953695135</v>
      </c>
      <c r="I50" s="157">
        <f t="shared" si="7"/>
        <v>-25592705.268312734</v>
      </c>
      <c r="J50" s="157">
        <f t="shared" si="7"/>
        <v>1927488.6345223561</v>
      </c>
      <c r="K50" s="157">
        <f t="shared" si="7"/>
        <v>7184451.6069731666</v>
      </c>
      <c r="L50" s="157">
        <f t="shared" si="7"/>
        <v>816506.83732593618</v>
      </c>
      <c r="M50" s="157">
        <f t="shared" si="7"/>
        <v>3487338.7215366466</v>
      </c>
      <c r="N50" s="157">
        <f t="shared" si="7"/>
        <v>13748070.194301059</v>
      </c>
      <c r="O50" s="157">
        <f t="shared" si="7"/>
        <v>8337853.4088270674</v>
      </c>
      <c r="P50" s="157">
        <f>SUM(P48:P49)</f>
        <v>-3412346.370176699</v>
      </c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5"/>
    </row>
    <row r="51" spans="1:145" s="62" customFormat="1" x14ac:dyDescent="0.2">
      <c r="B51" s="242"/>
      <c r="C51" s="143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22"/>
      <c r="P51" s="122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</row>
    <row r="52" spans="1:145" s="62" customFormat="1" x14ac:dyDescent="0.2">
      <c r="A52" s="74">
        <v>6</v>
      </c>
      <c r="B52" s="146" t="s">
        <v>110</v>
      </c>
      <c r="C52" s="125" t="s">
        <v>17</v>
      </c>
      <c r="D52" s="122">
        <f>+-'[7]TCC by class'!C21+'[5]II-H-1.2'!D47</f>
        <v>-1514158.0708778189</v>
      </c>
      <c r="E52" s="122">
        <f>+-'[7]TCC by class'!D21+'[5]II-H-1.2'!E47</f>
        <v>-456066.28659877967</v>
      </c>
      <c r="F52" s="122">
        <f>+-'[7]TCC by class'!E21+'[5]II-H-1.2'!F47</f>
        <v>-2415686.210203704</v>
      </c>
      <c r="G52" s="122">
        <f>+-'[7]TCC by class'!F21+'[5]II-H-1.2'!G47</f>
        <v>-1151685.4012007734</v>
      </c>
      <c r="H52" s="122">
        <f>+-'[7]TCC by class'!G21+'[5]II-H-1.2'!H47</f>
        <v>3105541.8608977683</v>
      </c>
      <c r="I52" s="122">
        <f>+-'[7]TCC by class'!H21+'[5]II-H-1.2'!I47</f>
        <v>-5087814.5064508142</v>
      </c>
      <c r="J52" s="122">
        <f>+-'[7]TCC by class'!I21+'[5]II-H-1.2'!J47</f>
        <v>574389.73574484617</v>
      </c>
      <c r="K52" s="122">
        <f>+-'[7]TCC by class'!J21+'[5]II-H-1.2'!K47</f>
        <v>1470588.103445603</v>
      </c>
      <c r="L52" s="122">
        <f>+-'[7]TCC by class'!K21+'[5]II-H-1.2'!L47</f>
        <v>30287.013448021084</v>
      </c>
      <c r="M52" s="122">
        <f>+-'[7]TCC by class'!L21+'[5]II-H-1.2'!M47</f>
        <v>545653.32740452036</v>
      </c>
      <c r="N52" s="122">
        <f>+-'[7]TCC by class'!M21+'[5]II-H-1.2'!N47</f>
        <v>3274288.2295943378</v>
      </c>
      <c r="O52" s="122">
        <f>+-'[7]TCC by class'!N21+'[5]II-H-1.2'!O47</f>
        <v>2082473.8902423573</v>
      </c>
      <c r="P52" s="156">
        <f>SUM(D52:O52)</f>
        <v>457811.6854455634</v>
      </c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</row>
    <row r="53" spans="1:145" s="62" customFormat="1" x14ac:dyDescent="0.2">
      <c r="A53" s="74">
        <v>7</v>
      </c>
      <c r="B53" s="146" t="s">
        <v>111</v>
      </c>
      <c r="C53" s="125" t="s">
        <v>17</v>
      </c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73">
        <f>SUM(D53:O53)</f>
        <v>0</v>
      </c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</row>
    <row r="54" spans="1:145" s="62" customFormat="1" x14ac:dyDescent="0.2">
      <c r="A54" s="74">
        <v>8</v>
      </c>
      <c r="B54" s="129" t="s">
        <v>31</v>
      </c>
      <c r="C54" s="125"/>
      <c r="D54" s="122">
        <f>SUM(D52:D53)</f>
        <v>-1514158.0708778189</v>
      </c>
      <c r="E54" s="122">
        <f t="shared" ref="E54:O54" si="8">SUM(E52:E53)</f>
        <v>-456066.28659877967</v>
      </c>
      <c r="F54" s="122">
        <f t="shared" si="8"/>
        <v>-2415686.210203704</v>
      </c>
      <c r="G54" s="122">
        <f t="shared" si="8"/>
        <v>-1151685.4012007734</v>
      </c>
      <c r="H54" s="122">
        <f t="shared" si="8"/>
        <v>3105541.8608977683</v>
      </c>
      <c r="I54" s="122">
        <f t="shared" si="8"/>
        <v>-5087814.5064508142</v>
      </c>
      <c r="J54" s="122">
        <f t="shared" si="8"/>
        <v>574389.73574484617</v>
      </c>
      <c r="K54" s="122">
        <f t="shared" si="8"/>
        <v>1470588.103445603</v>
      </c>
      <c r="L54" s="122">
        <f t="shared" si="8"/>
        <v>30287.013448021084</v>
      </c>
      <c r="M54" s="122">
        <f t="shared" si="8"/>
        <v>545653.32740452036</v>
      </c>
      <c r="N54" s="122">
        <f t="shared" si="8"/>
        <v>3274288.2295943378</v>
      </c>
      <c r="O54" s="122">
        <f t="shared" si="8"/>
        <v>2082473.8902423573</v>
      </c>
      <c r="P54" s="122">
        <f>SUM(P52:P53)</f>
        <v>457811.6854455634</v>
      </c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</row>
    <row r="55" spans="1:145" s="62" customFormat="1" x14ac:dyDescent="0.2">
      <c r="A55" s="74"/>
      <c r="B55" s="129"/>
      <c r="C55" s="125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56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</row>
    <row r="56" spans="1:145" s="62" customFormat="1" x14ac:dyDescent="0.2">
      <c r="A56" s="74">
        <v>9</v>
      </c>
      <c r="B56" s="162" t="s">
        <v>112</v>
      </c>
      <c r="C56" s="125" t="s">
        <v>18</v>
      </c>
      <c r="D56" s="122">
        <f>-'[7]TCC by class'!C23</f>
        <v>0</v>
      </c>
      <c r="E56" s="122">
        <f>-'[7]TCC by class'!D23</f>
        <v>0</v>
      </c>
      <c r="F56" s="122">
        <f>-'[7]TCC by class'!E23</f>
        <v>0</v>
      </c>
      <c r="G56" s="122">
        <f>-'[7]TCC by class'!F23</f>
        <v>0</v>
      </c>
      <c r="H56" s="122">
        <f>-'[7]TCC by class'!G23</f>
        <v>0</v>
      </c>
      <c r="I56" s="122">
        <f>-'[7]TCC by class'!H23</f>
        <v>0</v>
      </c>
      <c r="J56" s="122">
        <f>-'[7]TCC by class'!I23</f>
        <v>0</v>
      </c>
      <c r="K56" s="122">
        <f>-'[7]TCC by class'!J23</f>
        <v>0</v>
      </c>
      <c r="L56" s="122">
        <f>-'[7]TCC by class'!K23</f>
        <v>0</v>
      </c>
      <c r="M56" s="122">
        <f>-'[7]TCC by class'!L23</f>
        <v>0</v>
      </c>
      <c r="N56" s="122">
        <f>-'[7]TCC by class'!M23</f>
        <v>0</v>
      </c>
      <c r="O56" s="122">
        <f>-'[7]TCC by class'!N23</f>
        <v>0</v>
      </c>
      <c r="P56" s="156">
        <f>SUM(D56:O56)</f>
        <v>0</v>
      </c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</row>
    <row r="57" spans="1:145" s="62" customFormat="1" x14ac:dyDescent="0.2">
      <c r="B57" s="129"/>
      <c r="C57" s="143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22"/>
      <c r="P57" s="122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5"/>
    </row>
    <row r="58" spans="1:145" s="62" customFormat="1" x14ac:dyDescent="0.2">
      <c r="A58" s="74">
        <v>10</v>
      </c>
      <c r="B58" s="117" t="s">
        <v>33</v>
      </c>
      <c r="C58" s="125" t="s">
        <v>16</v>
      </c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56">
        <f>SUM(D58:O58)</f>
        <v>0</v>
      </c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</row>
    <row r="59" spans="1:145" s="62" customFormat="1" x14ac:dyDescent="0.2">
      <c r="A59" s="74"/>
      <c r="B59" s="129"/>
      <c r="C59" s="143"/>
      <c r="D59" s="157"/>
      <c r="E59" s="157"/>
      <c r="F59" s="157"/>
      <c r="G59" s="157">
        <v>0</v>
      </c>
      <c r="H59" s="157"/>
      <c r="I59" s="157"/>
      <c r="J59" s="157"/>
      <c r="K59" s="157"/>
      <c r="L59" s="157"/>
      <c r="M59" s="157"/>
      <c r="N59" s="157"/>
      <c r="O59" s="122"/>
      <c r="P59" s="122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</row>
    <row r="60" spans="1:145" s="62" customFormat="1" x14ac:dyDescent="0.2">
      <c r="A60" s="74">
        <v>11</v>
      </c>
      <c r="B60" s="183" t="s">
        <v>34</v>
      </c>
      <c r="C60" s="236"/>
      <c r="D60" s="184">
        <f>D58+D56+D54+D50+D46+D44</f>
        <v>-166239248</v>
      </c>
      <c r="E60" s="184">
        <f t="shared" ref="E60:P60" si="9">E58+E56+E54+E50+E46+E44</f>
        <v>-65758391</v>
      </c>
      <c r="F60" s="184">
        <f t="shared" si="9"/>
        <v>-6072305.9999999981</v>
      </c>
      <c r="G60" s="184">
        <f t="shared" si="9"/>
        <v>-10203943</v>
      </c>
      <c r="H60" s="184">
        <f t="shared" si="9"/>
        <v>49679905</v>
      </c>
      <c r="I60" s="184">
        <f t="shared" si="9"/>
        <v>-91926831</v>
      </c>
      <c r="J60" s="184">
        <f t="shared" si="9"/>
        <v>6871019</v>
      </c>
      <c r="K60" s="184">
        <f t="shared" si="9"/>
        <v>25816208</v>
      </c>
      <c r="L60" s="184">
        <f t="shared" si="9"/>
        <v>2840430</v>
      </c>
      <c r="M60" s="184">
        <f t="shared" si="9"/>
        <v>9360642</v>
      </c>
      <c r="N60" s="184">
        <f t="shared" si="9"/>
        <v>28386851</v>
      </c>
      <c r="O60" s="184">
        <f t="shared" si="9"/>
        <v>44873219</v>
      </c>
      <c r="P60" s="184">
        <f t="shared" si="9"/>
        <v>-172372445</v>
      </c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</row>
    <row r="61" spans="1:145" s="62" customFormat="1" x14ac:dyDescent="0.2">
      <c r="B61" s="236"/>
      <c r="C61" s="236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56"/>
      <c r="P61" s="156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</row>
    <row r="62" spans="1:145" s="62" customFormat="1" x14ac:dyDescent="0.2">
      <c r="A62" s="74">
        <v>12</v>
      </c>
      <c r="B62" s="148" t="s">
        <v>91</v>
      </c>
      <c r="C62" s="125" t="s">
        <v>17</v>
      </c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56">
        <f>SUM(D62:O62)</f>
        <v>0</v>
      </c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</row>
    <row r="63" spans="1:145" s="62" customFormat="1" x14ac:dyDescent="0.2">
      <c r="A63" s="74">
        <v>13</v>
      </c>
      <c r="B63" s="148" t="s">
        <v>92</v>
      </c>
      <c r="C63" s="125" t="s">
        <v>18</v>
      </c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73">
        <f>SUM(D63:O63)</f>
        <v>0</v>
      </c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</row>
    <row r="64" spans="1:145" s="62" customFormat="1" x14ac:dyDescent="0.2">
      <c r="A64" s="74">
        <v>14</v>
      </c>
      <c r="B64" s="183" t="s">
        <v>35</v>
      </c>
      <c r="C64" s="238"/>
      <c r="D64" s="169">
        <f t="shared" ref="D64:P64" si="10">SUM(D62:D63)</f>
        <v>0</v>
      </c>
      <c r="E64" s="169">
        <f t="shared" si="10"/>
        <v>0</v>
      </c>
      <c r="F64" s="169">
        <f t="shared" si="10"/>
        <v>0</v>
      </c>
      <c r="G64" s="169">
        <f t="shared" si="10"/>
        <v>0</v>
      </c>
      <c r="H64" s="169">
        <f t="shared" si="10"/>
        <v>0</v>
      </c>
      <c r="I64" s="169">
        <f t="shared" si="10"/>
        <v>0</v>
      </c>
      <c r="J64" s="169">
        <f t="shared" si="10"/>
        <v>0</v>
      </c>
      <c r="K64" s="169">
        <f t="shared" si="10"/>
        <v>0</v>
      </c>
      <c r="L64" s="169">
        <f t="shared" si="10"/>
        <v>0</v>
      </c>
      <c r="M64" s="169">
        <f t="shared" si="10"/>
        <v>0</v>
      </c>
      <c r="N64" s="169">
        <f t="shared" si="10"/>
        <v>0</v>
      </c>
      <c r="O64" s="156">
        <f t="shared" si="10"/>
        <v>0</v>
      </c>
      <c r="P64" s="156">
        <f t="shared" si="10"/>
        <v>0</v>
      </c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</row>
    <row r="65" spans="1:145" s="62" customFormat="1" x14ac:dyDescent="0.2">
      <c r="A65" s="74"/>
      <c r="B65" s="129"/>
      <c r="C65" s="185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22"/>
      <c r="P65" s="122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</row>
    <row r="66" spans="1:145" s="62" customFormat="1" ht="12" thickBot="1" x14ac:dyDescent="0.25">
      <c r="A66" s="74">
        <v>15</v>
      </c>
      <c r="B66" s="243" t="str">
        <f>B36</f>
        <v>TOTAL AEP TEXAS</v>
      </c>
      <c r="C66" s="238"/>
      <c r="D66" s="244">
        <f t="shared" ref="D66:P66" si="11">+D64+D60</f>
        <v>-166239248</v>
      </c>
      <c r="E66" s="244">
        <f t="shared" si="11"/>
        <v>-65758391</v>
      </c>
      <c r="F66" s="244">
        <f t="shared" si="11"/>
        <v>-6072305.9999999981</v>
      </c>
      <c r="G66" s="244">
        <f t="shared" si="11"/>
        <v>-10203943</v>
      </c>
      <c r="H66" s="244">
        <f t="shared" si="11"/>
        <v>49679905</v>
      </c>
      <c r="I66" s="244">
        <f t="shared" si="11"/>
        <v>-91926831</v>
      </c>
      <c r="J66" s="244">
        <f t="shared" si="11"/>
        <v>6871019</v>
      </c>
      <c r="K66" s="244">
        <f t="shared" si="11"/>
        <v>25816208</v>
      </c>
      <c r="L66" s="244">
        <f t="shared" si="11"/>
        <v>2840430</v>
      </c>
      <c r="M66" s="244">
        <f t="shared" si="11"/>
        <v>9360642</v>
      </c>
      <c r="N66" s="244">
        <f t="shared" si="11"/>
        <v>28386851</v>
      </c>
      <c r="O66" s="244">
        <f t="shared" si="11"/>
        <v>44873219</v>
      </c>
      <c r="P66" s="244">
        <f t="shared" si="11"/>
        <v>-172372445</v>
      </c>
      <c r="Q66" s="65"/>
      <c r="R66" s="70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</row>
    <row r="67" spans="1:145" ht="12" thickTop="1" x14ac:dyDescent="0.2">
      <c r="B67" s="388" t="str">
        <f>B7</f>
        <v>AEP TEXAS</v>
      </c>
      <c r="C67" s="388"/>
      <c r="D67" s="388"/>
      <c r="E67" s="388"/>
      <c r="F67" s="388"/>
      <c r="G67" s="388"/>
      <c r="H67" s="388"/>
      <c r="I67" s="388"/>
      <c r="J67" s="388"/>
      <c r="K67" s="388"/>
      <c r="L67" s="388"/>
      <c r="M67" s="388"/>
      <c r="N67" s="388"/>
      <c r="O67" s="388"/>
      <c r="P67" s="251"/>
    </row>
    <row r="68" spans="1:145" s="146" customFormat="1" x14ac:dyDescent="0.2">
      <c r="B68" s="388" t="s">
        <v>25</v>
      </c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  <c r="CG68" s="148"/>
      <c r="CH68" s="148"/>
      <c r="CI68" s="148"/>
      <c r="CJ68" s="148"/>
      <c r="CK68" s="148"/>
      <c r="CL68" s="148"/>
      <c r="CM68" s="148"/>
      <c r="CN68" s="148"/>
      <c r="CO68" s="148"/>
      <c r="CP68" s="148"/>
      <c r="CQ68" s="148"/>
      <c r="CR68" s="148"/>
      <c r="CS68" s="148"/>
      <c r="CT68" s="148"/>
      <c r="CU68" s="148"/>
      <c r="CV68" s="148"/>
      <c r="CW68" s="148"/>
      <c r="CX68" s="148"/>
      <c r="CY68" s="148"/>
      <c r="CZ68" s="148"/>
      <c r="DA68" s="148"/>
      <c r="DB68" s="148"/>
      <c r="DC68" s="148"/>
      <c r="DD68" s="148"/>
      <c r="DE68" s="148"/>
      <c r="DF68" s="148"/>
      <c r="DG68" s="148"/>
      <c r="DH68" s="148"/>
      <c r="DI68" s="148"/>
      <c r="DJ68" s="148"/>
      <c r="DK68" s="148"/>
      <c r="DL68" s="148"/>
      <c r="DM68" s="148"/>
      <c r="DN68" s="148"/>
      <c r="DO68" s="148"/>
      <c r="DP68" s="148"/>
      <c r="DQ68" s="148"/>
      <c r="DR68" s="148"/>
      <c r="DS68" s="148"/>
      <c r="DT68" s="148"/>
      <c r="DU68" s="148"/>
      <c r="DV68" s="148"/>
      <c r="DW68" s="148"/>
      <c r="DX68" s="148"/>
      <c r="DY68" s="148"/>
      <c r="DZ68" s="148"/>
      <c r="EA68" s="148"/>
      <c r="EB68" s="148"/>
      <c r="EC68" s="148"/>
      <c r="ED68" s="148"/>
      <c r="EE68" s="148"/>
      <c r="EF68" s="148"/>
      <c r="EG68" s="148"/>
      <c r="EH68" s="148"/>
      <c r="EI68" s="148"/>
      <c r="EJ68" s="148"/>
      <c r="EK68" s="148"/>
      <c r="EL68" s="148"/>
      <c r="EM68" s="148"/>
      <c r="EN68" s="148"/>
      <c r="EO68" s="148"/>
    </row>
    <row r="69" spans="1:145" x14ac:dyDescent="0.2">
      <c r="B69" s="388" t="str">
        <f>+B39</f>
        <v>FOR TEST YEAR ENDED DECEMBER 31, 2018</v>
      </c>
      <c r="C69" s="388"/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146"/>
    </row>
    <row r="70" spans="1:145" x14ac:dyDescent="0.2"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146"/>
    </row>
    <row r="71" spans="1:145" x14ac:dyDescent="0.2">
      <c r="B71" s="175"/>
      <c r="C71" s="168"/>
      <c r="D71" s="164"/>
      <c r="E71" s="177"/>
      <c r="F71" s="177"/>
      <c r="G71" s="287"/>
      <c r="H71" s="177"/>
      <c r="I71" s="177"/>
      <c r="J71" s="157"/>
      <c r="K71" s="177"/>
      <c r="L71" s="177"/>
      <c r="M71" s="177"/>
      <c r="N71" s="177"/>
      <c r="O71" s="178"/>
      <c r="P71" s="178"/>
    </row>
    <row r="72" spans="1:145" s="26" customFormat="1" x14ac:dyDescent="0.2">
      <c r="A72" s="237" t="s">
        <v>20</v>
      </c>
      <c r="B72" s="237" t="s">
        <v>0</v>
      </c>
      <c r="C72" s="237" t="s">
        <v>19</v>
      </c>
      <c r="D72" s="164" t="str">
        <f>D12</f>
        <v>JANUARY</v>
      </c>
      <c r="E72" s="164" t="str">
        <f>E12</f>
        <v>FEBRUARY</v>
      </c>
      <c r="F72" s="164" t="str">
        <f>F12</f>
        <v>MARCH</v>
      </c>
      <c r="G72" s="164" t="str">
        <f>G12</f>
        <v>APRIL</v>
      </c>
      <c r="H72" s="164" t="str">
        <f t="shared" ref="H72:O72" si="12">H12</f>
        <v>MAY</v>
      </c>
      <c r="I72" s="164" t="str">
        <f t="shared" si="12"/>
        <v>JUNE</v>
      </c>
      <c r="J72" s="164" t="str">
        <f t="shared" si="12"/>
        <v>JULY</v>
      </c>
      <c r="K72" s="164" t="str">
        <f t="shared" si="12"/>
        <v>AUGUST</v>
      </c>
      <c r="L72" s="164" t="str">
        <f t="shared" si="12"/>
        <v>SEPTEMBER</v>
      </c>
      <c r="M72" s="164" t="str">
        <f t="shared" si="12"/>
        <v>OCTOBER</v>
      </c>
      <c r="N72" s="164" t="str">
        <f t="shared" si="12"/>
        <v>NOVEMBER</v>
      </c>
      <c r="O72" s="164" t="str">
        <f t="shared" si="12"/>
        <v>DECEMBER</v>
      </c>
      <c r="P72" s="164" t="str">
        <f>+P12</f>
        <v>TOTAL</v>
      </c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99"/>
      <c r="BS72" s="99"/>
      <c r="BT72" s="99"/>
      <c r="BU72" s="99"/>
      <c r="BV72" s="99"/>
      <c r="BW72" s="99"/>
      <c r="BX72" s="99"/>
      <c r="BY72" s="99"/>
      <c r="BZ72" s="99"/>
      <c r="CA72" s="99"/>
      <c r="CB72" s="99"/>
      <c r="CC72" s="99"/>
      <c r="CD72" s="99"/>
      <c r="CE72" s="99"/>
      <c r="CF72" s="99"/>
      <c r="CG72" s="99"/>
      <c r="CH72" s="99"/>
      <c r="CI72" s="99"/>
      <c r="CJ72" s="99"/>
      <c r="CK72" s="99"/>
      <c r="CL72" s="99"/>
      <c r="CM72" s="99"/>
      <c r="CN72" s="99"/>
      <c r="CO72" s="99"/>
      <c r="CP72" s="99"/>
      <c r="CQ72" s="99"/>
      <c r="CR72" s="99"/>
      <c r="CS72" s="99"/>
      <c r="CT72" s="99"/>
      <c r="CU72" s="99"/>
      <c r="CV72" s="99"/>
      <c r="CW72" s="99"/>
      <c r="CX72" s="99"/>
      <c r="CY72" s="99"/>
      <c r="CZ72" s="99"/>
      <c r="DA72" s="99"/>
      <c r="DB72" s="99"/>
      <c r="DC72" s="99"/>
      <c r="DD72" s="99"/>
      <c r="DE72" s="99"/>
      <c r="DF72" s="99"/>
      <c r="DG72" s="99"/>
      <c r="DH72" s="99"/>
      <c r="DI72" s="99"/>
      <c r="DJ72" s="99"/>
      <c r="DK72" s="99"/>
      <c r="DL72" s="99"/>
      <c r="DM72" s="99"/>
      <c r="DN72" s="99"/>
      <c r="DO72" s="99"/>
      <c r="DP72" s="99"/>
      <c r="DQ72" s="99"/>
      <c r="DR72" s="99"/>
      <c r="DS72" s="99"/>
      <c r="DT72" s="99"/>
      <c r="DU72" s="99"/>
      <c r="DV72" s="99"/>
      <c r="DW72" s="99"/>
      <c r="DX72" s="99"/>
      <c r="DY72" s="99"/>
      <c r="DZ72" s="99"/>
      <c r="EA72" s="99"/>
      <c r="EB72" s="99"/>
      <c r="EC72" s="99"/>
      <c r="ED72" s="99"/>
      <c r="EE72" s="99"/>
      <c r="EF72" s="99"/>
      <c r="EG72" s="99"/>
      <c r="EH72" s="99"/>
      <c r="EI72" s="99"/>
      <c r="EJ72" s="99"/>
      <c r="EK72" s="99"/>
      <c r="EL72" s="99"/>
      <c r="EM72" s="99"/>
      <c r="EN72" s="99"/>
      <c r="EO72" s="99"/>
    </row>
    <row r="73" spans="1:145" x14ac:dyDescent="0.2">
      <c r="A73" s="146"/>
      <c r="B73" s="146"/>
      <c r="C73" s="168"/>
      <c r="D73" s="157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56"/>
      <c r="P73" s="170"/>
      <c r="Q73" s="65"/>
      <c r="R73" s="48"/>
    </row>
    <row r="74" spans="1:145" s="62" customFormat="1" x14ac:dyDescent="0.2">
      <c r="A74" s="141" t="s">
        <v>21</v>
      </c>
      <c r="B74" s="129" t="s">
        <v>29</v>
      </c>
      <c r="C74" s="143" t="s">
        <v>16</v>
      </c>
      <c r="D74" s="156">
        <f>+'[5]II-H-1.2'!D70+'[4]II-H-1.2'!D68</f>
        <v>12503001.962527966</v>
      </c>
      <c r="E74" s="156">
        <f>+'[5]II-H-1.2'!E70+'[4]II-H-1.2'!E68</f>
        <v>9368048.5127431434</v>
      </c>
      <c r="F74" s="156">
        <f>+'[5]II-H-1.2'!F70+'[4]II-H-1.2'!F68</f>
        <v>7041552.2881829599</v>
      </c>
      <c r="G74" s="156">
        <f>+'[5]II-H-1.2'!G70+'[4]II-H-1.2'!G68</f>
        <v>6217210.277221309</v>
      </c>
      <c r="H74" s="156">
        <f>+'[5]II-H-1.2'!H70+'[4]II-H-1.2'!H68</f>
        <v>6003221.3359162919</v>
      </c>
      <c r="I74" s="156">
        <f>+'[5]II-H-1.2'!I70+'[4]II-H-1.2'!I68</f>
        <v>8258893.8180550216</v>
      </c>
      <c r="J74" s="156">
        <f>+'[5]II-H-1.2'!J70+'[4]II-H-1.2'!J68</f>
        <v>9280624.4455486964</v>
      </c>
      <c r="K74" s="156">
        <f>+'[5]II-H-1.2'!K70+'[4]II-H-1.2'!K68</f>
        <v>1650067.3844223307</v>
      </c>
      <c r="L74" s="156">
        <f>+'[5]II-H-1.2'!L70+'[4]II-H-1.2'!L68</f>
        <v>1624062.5258199773</v>
      </c>
      <c r="M74" s="156">
        <f>+'[5]II-H-1.2'!M70+'[4]II-H-1.2'!M68</f>
        <v>885673.23063908226</v>
      </c>
      <c r="N74" s="156">
        <f>+'[5]II-H-1.2'!N70+'[4]II-H-1.2'!N68</f>
        <v>310661.60844556044</v>
      </c>
      <c r="O74" s="156">
        <f>+'[5]II-H-1.2'!O70+'[4]II-H-1.2'!O68</f>
        <v>0</v>
      </c>
      <c r="P74" s="156">
        <f>SUM(D74:O74)</f>
        <v>63143017.389522344</v>
      </c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</row>
    <row r="75" spans="1:145" s="62" customFormat="1" x14ac:dyDescent="0.2">
      <c r="A75" s="129"/>
      <c r="B75" s="129"/>
      <c r="C75" s="143"/>
      <c r="D75" s="156">
        <f>+'[5]II-H-1.2'!D71+'[4]II-H-1.2'!D69</f>
        <v>0</v>
      </c>
      <c r="E75" s="156">
        <f>+'[5]II-H-1.2'!E71+'[4]II-H-1.2'!E69</f>
        <v>0</v>
      </c>
      <c r="F75" s="156">
        <f>+'[5]II-H-1.2'!F71+'[4]II-H-1.2'!F69</f>
        <v>0</v>
      </c>
      <c r="G75" s="156">
        <f>+'[5]II-H-1.2'!G71+'[4]II-H-1.2'!G69</f>
        <v>0</v>
      </c>
      <c r="H75" s="156">
        <f>+'[5]II-H-1.2'!H71+'[4]II-H-1.2'!H69</f>
        <v>0</v>
      </c>
      <c r="I75" s="156">
        <f>+'[5]II-H-1.2'!I71+'[4]II-H-1.2'!I69</f>
        <v>0</v>
      </c>
      <c r="J75" s="156">
        <f>+'[5]II-H-1.2'!J71+'[4]II-H-1.2'!J69</f>
        <v>0</v>
      </c>
      <c r="K75" s="156">
        <f>+'[5]II-H-1.2'!K71+'[4]II-H-1.2'!K69</f>
        <v>0</v>
      </c>
      <c r="L75" s="156">
        <f>+'[5]II-H-1.2'!L71+'[4]II-H-1.2'!L69</f>
        <v>0</v>
      </c>
      <c r="M75" s="156">
        <f>+'[5]II-H-1.2'!M71+'[4]II-H-1.2'!M69</f>
        <v>0</v>
      </c>
      <c r="N75" s="156">
        <f>+'[5]II-H-1.2'!N71+'[4]II-H-1.2'!N69</f>
        <v>0</v>
      </c>
      <c r="O75" s="156">
        <f>+'[5]II-H-1.2'!O71+'[4]II-H-1.2'!O69</f>
        <v>0</v>
      </c>
      <c r="P75" s="156"/>
      <c r="Q75" s="65"/>
      <c r="R75" s="48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</row>
    <row r="76" spans="1:145" s="62" customFormat="1" x14ac:dyDescent="0.2">
      <c r="A76" s="141">
        <v>2</v>
      </c>
      <c r="B76" s="129" t="s">
        <v>32</v>
      </c>
      <c r="C76" s="143" t="s">
        <v>16</v>
      </c>
      <c r="D76" s="156">
        <f>+'[5]II-H-1.2'!D72+'[4]II-H-1.2'!D70</f>
        <v>-700307.00199088</v>
      </c>
      <c r="E76" s="156">
        <f>+'[5]II-H-1.2'!E72+'[4]II-H-1.2'!E70</f>
        <v>159259.04592549679</v>
      </c>
      <c r="F76" s="156">
        <f>+'[5]II-H-1.2'!F72+'[4]II-H-1.2'!F70</f>
        <v>259624.52549715026</v>
      </c>
      <c r="G76" s="156">
        <f>+'[5]II-H-1.2'!G72+'[4]II-H-1.2'!G70</f>
        <v>139393.97061007677</v>
      </c>
      <c r="H76" s="156">
        <f>+'[5]II-H-1.2'!H72+'[4]II-H-1.2'!H70</f>
        <v>26978.47003800805</v>
      </c>
      <c r="I76" s="156">
        <f>+'[5]II-H-1.2'!I72+'[4]II-H-1.2'!I70</f>
        <v>-86538.954099637078</v>
      </c>
      <c r="J76" s="156">
        <f>+'[5]II-H-1.2'!J72+'[4]II-H-1.2'!J70</f>
        <v>-137188.95092526695</v>
      </c>
      <c r="K76" s="156">
        <f>+'[5]II-H-1.2'!K72+'[4]II-H-1.2'!K70</f>
        <v>-333211.50742972601</v>
      </c>
      <c r="L76" s="156">
        <f>+'[5]II-H-1.2'!L72+'[4]II-H-1.2'!L70</f>
        <v>-102604.19915126805</v>
      </c>
      <c r="M76" s="156">
        <f>+'[5]II-H-1.2'!M72+'[4]II-H-1.2'!M70</f>
        <v>-129234.1730509292</v>
      </c>
      <c r="N76" s="156">
        <f>+'[5]II-H-1.2'!N72+'[4]II-H-1.2'!N70</f>
        <v>-44015.711326944365</v>
      </c>
      <c r="O76" s="156">
        <f>+'[5]II-H-1.2'!O72+'[4]II-H-1.2'!O70</f>
        <v>0</v>
      </c>
      <c r="P76" s="156">
        <f>SUM(D76:O76)</f>
        <v>-947844.48590391979</v>
      </c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</row>
    <row r="77" spans="1:145" s="62" customFormat="1" x14ac:dyDescent="0.2">
      <c r="A77" s="141"/>
      <c r="B77" s="129"/>
      <c r="C77" s="143"/>
      <c r="D77" s="156">
        <f>+'[5]II-H-1.2'!D73+'[4]II-H-1.2'!D71</f>
        <v>0</v>
      </c>
      <c r="E77" s="156">
        <f>+'[5]II-H-1.2'!E73+'[4]II-H-1.2'!E71</f>
        <v>0</v>
      </c>
      <c r="F77" s="156">
        <f>+'[5]II-H-1.2'!F73+'[4]II-H-1.2'!F71</f>
        <v>0</v>
      </c>
      <c r="G77" s="156">
        <f>+'[5]II-H-1.2'!G73+'[4]II-H-1.2'!G71</f>
        <v>0</v>
      </c>
      <c r="H77" s="156">
        <f>+'[5]II-H-1.2'!H73+'[4]II-H-1.2'!H71</f>
        <v>0</v>
      </c>
      <c r="I77" s="156">
        <f>+'[5]II-H-1.2'!I73+'[4]II-H-1.2'!I71</f>
        <v>0</v>
      </c>
      <c r="J77" s="156">
        <f>+'[5]II-H-1.2'!J73+'[4]II-H-1.2'!J71</f>
        <v>0</v>
      </c>
      <c r="K77" s="156">
        <f>+'[5]II-H-1.2'!K73+'[4]II-H-1.2'!K71</f>
        <v>0</v>
      </c>
      <c r="L77" s="156">
        <f>+'[5]II-H-1.2'!L73+'[4]II-H-1.2'!L71</f>
        <v>0</v>
      </c>
      <c r="M77" s="156">
        <f>+'[5]II-H-1.2'!M73+'[4]II-H-1.2'!M71</f>
        <v>0</v>
      </c>
      <c r="N77" s="156">
        <f>+'[5]II-H-1.2'!N73+'[4]II-H-1.2'!N71</f>
        <v>0</v>
      </c>
      <c r="O77" s="156">
        <f>+'[5]II-H-1.2'!O73+'[4]II-H-1.2'!O71</f>
        <v>0</v>
      </c>
      <c r="P77" s="156"/>
      <c r="Q77" s="65"/>
      <c r="R77" s="48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</row>
    <row r="78" spans="1:145" s="62" customFormat="1" x14ac:dyDescent="0.2">
      <c r="A78" s="141">
        <v>3</v>
      </c>
      <c r="B78" s="146" t="s">
        <v>113</v>
      </c>
      <c r="C78" s="125" t="s">
        <v>16</v>
      </c>
      <c r="D78" s="156">
        <f>+'[5]II-H-1.2'!D74+'[4]II-H-1.2'!D72</f>
        <v>22895548.639268335</v>
      </c>
      <c r="E78" s="156">
        <f>+'[5]II-H-1.2'!E74+'[4]II-H-1.2'!E72</f>
        <v>10553448.419021253</v>
      </c>
      <c r="F78" s="156">
        <f>+'[5]II-H-1.2'!F74+'[4]II-H-1.2'!F72</f>
        <v>4666453.077750382</v>
      </c>
      <c r="G78" s="156">
        <f>+'[5]II-H-1.2'!G74+'[4]II-H-1.2'!G72</f>
        <v>4426841.600062985</v>
      </c>
      <c r="H78" s="156">
        <f>+'[5]II-H-1.2'!H74+'[4]II-H-1.2'!H72</f>
        <v>5570828.1564719165</v>
      </c>
      <c r="I78" s="156">
        <f>+'[5]II-H-1.2'!I74+'[4]II-H-1.2'!I72</f>
        <v>5859441.8462417405</v>
      </c>
      <c r="J78" s="156">
        <f>+'[5]II-H-1.2'!J74+'[4]II-H-1.2'!J72</f>
        <v>4628389.0194546795</v>
      </c>
      <c r="K78" s="156">
        <f>+'[5]II-H-1.2'!K74+'[4]II-H-1.2'!K72</f>
        <v>1326701.4113468481</v>
      </c>
      <c r="L78" s="156">
        <f>+'[5]II-H-1.2'!L74+'[4]II-H-1.2'!L72</f>
        <v>4104658.9460687647</v>
      </c>
      <c r="M78" s="156">
        <f>+'[5]II-H-1.2'!M74+'[4]II-H-1.2'!M72</f>
        <v>3468755.0722592948</v>
      </c>
      <c r="N78" s="156">
        <f>+'[5]II-H-1.2'!N74+'[4]II-H-1.2'!N72</f>
        <v>1210246.4456300514</v>
      </c>
      <c r="O78" s="156">
        <f>+'[5]II-H-1.2'!O74+'[4]II-H-1.2'!O72</f>
        <v>0</v>
      </c>
      <c r="P78" s="156">
        <f>SUM(D78:O78)</f>
        <v>68711312.633576259</v>
      </c>
      <c r="Q78" s="65"/>
      <c r="R78" s="48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</row>
    <row r="79" spans="1:145" s="62" customFormat="1" x14ac:dyDescent="0.2">
      <c r="A79" s="141">
        <v>4</v>
      </c>
      <c r="B79" s="146" t="s">
        <v>114</v>
      </c>
      <c r="C79" s="125" t="s">
        <v>16</v>
      </c>
      <c r="D79" s="173">
        <f>+'[5]II-H-1.2'!D75+'[4]II-H-1.2'!D73</f>
        <v>-5167683.1414305177</v>
      </c>
      <c r="E79" s="173">
        <f>+'[5]II-H-1.2'!E75+'[4]II-H-1.2'!E73</f>
        <v>-4582950.154075942</v>
      </c>
      <c r="F79" s="173">
        <f>+'[5]II-H-1.2'!F75+'[4]II-H-1.2'!F73</f>
        <v>-4540207.7461130256</v>
      </c>
      <c r="G79" s="173">
        <f>+'[5]II-H-1.2'!G75+'[4]II-H-1.2'!G73</f>
        <v>-4271688.7538686004</v>
      </c>
      <c r="H79" s="173">
        <f>+'[5]II-H-1.2'!H75+'[4]II-H-1.2'!H73</f>
        <v>-4819129.5956892679</v>
      </c>
      <c r="I79" s="173">
        <f>+'[5]II-H-1.2'!I75+'[4]II-H-1.2'!I73</f>
        <v>-3265143.5120353913</v>
      </c>
      <c r="J79" s="173">
        <f>+'[5]II-H-1.2'!J75+'[4]II-H-1.2'!J73</f>
        <v>-3785376.1752679218</v>
      </c>
      <c r="K79" s="173">
        <f>+'[5]II-H-1.2'!K75+'[4]II-H-1.2'!K73</f>
        <v>-4031956.098424946</v>
      </c>
      <c r="L79" s="173">
        <f>+'[5]II-H-1.2'!L75+'[4]II-H-1.2'!L73</f>
        <v>264896.81834035262</v>
      </c>
      <c r="M79" s="173">
        <f>+'[5]II-H-1.2'!M75+'[4]II-H-1.2'!M73</f>
        <v>449422.98193181958</v>
      </c>
      <c r="N79" s="173">
        <f>+'[5]II-H-1.2'!N75+'[4]II-H-1.2'!N73</f>
        <v>0</v>
      </c>
      <c r="O79" s="173">
        <f>+'[5]II-H-1.2'!O75+'[4]II-H-1.2'!O73</f>
        <v>0</v>
      </c>
      <c r="P79" s="123">
        <f>SUM(D79:O79)</f>
        <v>-33749815.376633435</v>
      </c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</row>
    <row r="80" spans="1:145" s="62" customFormat="1" x14ac:dyDescent="0.2">
      <c r="A80" s="141">
        <v>5</v>
      </c>
      <c r="B80" s="162" t="s">
        <v>30</v>
      </c>
      <c r="C80" s="143"/>
      <c r="D80" s="157">
        <f>SUM(D78:D79)</f>
        <v>17727865.497837819</v>
      </c>
      <c r="E80" s="157">
        <f t="shared" ref="E80:O80" si="13">SUM(E78:E79)</f>
        <v>5970498.2649453105</v>
      </c>
      <c r="F80" s="157">
        <f t="shared" si="13"/>
        <v>126245.33163735643</v>
      </c>
      <c r="G80" s="157">
        <f t="shared" si="13"/>
        <v>155152.84619438462</v>
      </c>
      <c r="H80" s="157">
        <f t="shared" si="13"/>
        <v>751698.56078264862</v>
      </c>
      <c r="I80" s="157">
        <f t="shared" si="13"/>
        <v>2594298.3342063492</v>
      </c>
      <c r="J80" s="157">
        <f t="shared" si="13"/>
        <v>843012.84418675769</v>
      </c>
      <c r="K80" s="157">
        <f t="shared" si="13"/>
        <v>-2705254.6870780978</v>
      </c>
      <c r="L80" s="157">
        <f t="shared" si="13"/>
        <v>4369555.7644091174</v>
      </c>
      <c r="M80" s="157">
        <f t="shared" si="13"/>
        <v>3918178.0541911144</v>
      </c>
      <c r="N80" s="157">
        <f t="shared" si="13"/>
        <v>1210246.4456300514</v>
      </c>
      <c r="O80" s="157">
        <f t="shared" si="13"/>
        <v>0</v>
      </c>
      <c r="P80" s="157">
        <f>SUM(P78:P79)</f>
        <v>34961497.256942824</v>
      </c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</row>
    <row r="81" spans="1:145" s="62" customFormat="1" x14ac:dyDescent="0.2">
      <c r="A81" s="129"/>
      <c r="B81" s="242"/>
      <c r="C81" s="143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22"/>
      <c r="P81" s="122"/>
      <c r="Q81" s="65"/>
      <c r="R81" s="48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</row>
    <row r="82" spans="1:145" s="62" customFormat="1" x14ac:dyDescent="0.2">
      <c r="A82" s="141">
        <v>6</v>
      </c>
      <c r="B82" s="146" t="s">
        <v>110</v>
      </c>
      <c r="C82" s="125" t="s">
        <v>17</v>
      </c>
      <c r="D82" s="156">
        <f>+'[5]II-H-1.2'!D78+'[4]II-H-1.2'!D76</f>
        <v>209850.3923750346</v>
      </c>
      <c r="E82" s="156">
        <f>+'[5]II-H-1.2'!E78+'[4]II-H-1.2'!E76</f>
        <v>433777.94186544657</v>
      </c>
      <c r="F82" s="156">
        <f>+'[5]II-H-1.2'!F78+'[4]II-H-1.2'!F76</f>
        <v>320784.30715973186</v>
      </c>
      <c r="G82" s="156">
        <f>+'[5]II-H-1.2'!G78+'[4]II-H-1.2'!G76</f>
        <v>592649.43773125333</v>
      </c>
      <c r="H82" s="156">
        <f>+'[5]II-H-1.2'!H78+'[4]II-H-1.2'!H76</f>
        <v>504307.95933975512</v>
      </c>
      <c r="I82" s="156">
        <f>+'[5]II-H-1.2'!I78+'[4]II-H-1.2'!I76</f>
        <v>197862.45859604163</v>
      </c>
      <c r="J82" s="156">
        <f>+'[5]II-H-1.2'!J78+'[4]II-H-1.2'!J76</f>
        <v>285981.57726132829</v>
      </c>
      <c r="K82" s="156">
        <f>+'[5]II-H-1.2'!K78+'[4]II-H-1.2'!K76</f>
        <v>-211713.00053534671</v>
      </c>
      <c r="L82" s="156">
        <f>+'[5]II-H-1.2'!L78+'[4]II-H-1.2'!L76</f>
        <v>-288288.41050188278</v>
      </c>
      <c r="M82" s="156">
        <f>+'[5]II-H-1.2'!M78+'[4]II-H-1.2'!M76</f>
        <v>-138470.13728491118</v>
      </c>
      <c r="N82" s="156">
        <f>+'[5]II-H-1.2'!N78+'[4]II-H-1.2'!N76</f>
        <v>-91938.91871109049</v>
      </c>
      <c r="O82" s="156">
        <f>+'[5]II-H-1.2'!O78+'[4]II-H-1.2'!O76</f>
        <v>0</v>
      </c>
      <c r="P82" s="156">
        <f>SUM(D82:O82)</f>
        <v>1814803.60729536</v>
      </c>
      <c r="Q82" s="65"/>
      <c r="R82" s="48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</row>
    <row r="83" spans="1:145" s="62" customFormat="1" x14ac:dyDescent="0.2">
      <c r="A83" s="141">
        <v>7</v>
      </c>
      <c r="B83" s="146" t="s">
        <v>111</v>
      </c>
      <c r="C83" s="125" t="s">
        <v>17</v>
      </c>
      <c r="D83" s="173">
        <f>+'[5]II-H-1.2'!D79+'[4]II-H-1.2'!D77</f>
        <v>3164932.2107142857</v>
      </c>
      <c r="E83" s="173">
        <f>+'[5]II-H-1.2'!E79+'[4]II-H-1.2'!E77</f>
        <v>1963012.5326926701</v>
      </c>
      <c r="F83" s="173">
        <f>+'[5]II-H-1.2'!F79+'[4]II-H-1.2'!F77</f>
        <v>-3532867.7420073845</v>
      </c>
      <c r="G83" s="173">
        <f>+'[5]II-H-1.2'!G79+'[4]II-H-1.2'!G77</f>
        <v>6144855.2053827439</v>
      </c>
      <c r="H83" s="173">
        <f>+'[5]II-H-1.2'!H79+'[4]II-H-1.2'!H77</f>
        <v>-2412108.9294354832</v>
      </c>
      <c r="I83" s="173">
        <f>+'[5]II-H-1.2'!I79+'[4]II-H-1.2'!I77</f>
        <v>-7708862.3112038691</v>
      </c>
      <c r="J83" s="173">
        <f>+'[5]II-H-1.2'!J79+'[4]II-H-1.2'!J77</f>
        <v>-117472.07981090108</v>
      </c>
      <c r="K83" s="173">
        <f>+'[5]II-H-1.2'!K79+'[4]II-H-1.2'!K77</f>
        <v>1461196.6332497909</v>
      </c>
      <c r="L83" s="173">
        <f>+'[5]II-H-1.2'!L79+'[4]II-H-1.2'!L77</f>
        <v>-660134.82132564834</v>
      </c>
      <c r="M83" s="173">
        <f>+'[5]II-H-1.2'!M79+'[4]II-H-1.2'!M77</f>
        <v>-3866734.3489571656</v>
      </c>
      <c r="N83" s="173">
        <f>+'[5]II-H-1.2'!N79+'[4]II-H-1.2'!N77</f>
        <v>-405633.1046807922</v>
      </c>
      <c r="O83" s="173">
        <f>+'[5]II-H-1.2'!O79+'[4]II-H-1.2'!O77</f>
        <v>0</v>
      </c>
      <c r="P83" s="173">
        <f>SUM(D83:O83)</f>
        <v>-5969816.7553817537</v>
      </c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  <c r="EO83" s="65"/>
    </row>
    <row r="84" spans="1:145" s="62" customFormat="1" x14ac:dyDescent="0.2">
      <c r="A84" s="141">
        <v>8</v>
      </c>
      <c r="B84" s="129" t="s">
        <v>31</v>
      </c>
      <c r="C84" s="125"/>
      <c r="D84" s="122">
        <f>SUM(D82:D83)</f>
        <v>3374782.6030893205</v>
      </c>
      <c r="E84" s="122">
        <f t="shared" ref="E84:O84" si="14">SUM(E82:E83)</f>
        <v>2396790.4745581169</v>
      </c>
      <c r="F84" s="122">
        <f t="shared" si="14"/>
        <v>-3212083.4348476529</v>
      </c>
      <c r="G84" s="122">
        <f t="shared" si="14"/>
        <v>6737504.6431139968</v>
      </c>
      <c r="H84" s="122">
        <f t="shared" si="14"/>
        <v>-1907800.9700957281</v>
      </c>
      <c r="I84" s="122">
        <f t="shared" si="14"/>
        <v>-7510999.8526078276</v>
      </c>
      <c r="J84" s="122">
        <f t="shared" si="14"/>
        <v>168509.49745042721</v>
      </c>
      <c r="K84" s="122">
        <f t="shared" si="14"/>
        <v>1249483.6327144441</v>
      </c>
      <c r="L84" s="122">
        <f t="shared" si="14"/>
        <v>-948423.23182753113</v>
      </c>
      <c r="M84" s="122">
        <f t="shared" si="14"/>
        <v>-4005204.4862420768</v>
      </c>
      <c r="N84" s="122">
        <f t="shared" si="14"/>
        <v>-497572.02339188266</v>
      </c>
      <c r="O84" s="122">
        <f t="shared" si="14"/>
        <v>0</v>
      </c>
      <c r="P84" s="122">
        <f>SUM(P82:P83)</f>
        <v>-4155013.1480863937</v>
      </c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  <c r="EO84" s="65"/>
    </row>
    <row r="85" spans="1:145" s="62" customFormat="1" x14ac:dyDescent="0.2">
      <c r="A85" s="141"/>
      <c r="B85" s="129"/>
      <c r="C85" s="125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56"/>
      <c r="Q85" s="65"/>
      <c r="R85" s="48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  <c r="EO85" s="65"/>
    </row>
    <row r="86" spans="1:145" s="62" customFormat="1" x14ac:dyDescent="0.2">
      <c r="A86" s="141">
        <v>9</v>
      </c>
      <c r="B86" s="162" t="s">
        <v>112</v>
      </c>
      <c r="C86" s="125" t="s">
        <v>18</v>
      </c>
      <c r="D86" s="156">
        <f>+'[5]II-H-1.2'!D82+'[4]II-H-1.2'!D80</f>
        <v>-15404659.381486675</v>
      </c>
      <c r="E86" s="156">
        <f>+'[5]II-H-1.2'!E82+'[4]II-H-1.2'!E80</f>
        <v>19485195.622009568</v>
      </c>
      <c r="F86" s="156">
        <f>+'[5]II-H-1.2'!F82+'[4]II-H-1.2'!F80</f>
        <v>51046726.287878789</v>
      </c>
      <c r="G86" s="156">
        <f>+'[5]II-H-1.2'!G82+'[4]II-H-1.2'!G80</f>
        <v>28086496.947368421</v>
      </c>
      <c r="H86" s="156">
        <f>+'[5]II-H-1.2'!H82+'[4]II-H-1.2'!H80</f>
        <v>16135193.931034483</v>
      </c>
      <c r="I86" s="156">
        <f>+'[5]II-H-1.2'!I82+'[4]II-H-1.2'!I80</f>
        <v>771941.66666666663</v>
      </c>
      <c r="J86" s="156">
        <f>+'[5]II-H-1.2'!J82+'[4]II-H-1.2'!J80</f>
        <v>32620129.681818184</v>
      </c>
      <c r="K86" s="156">
        <f>+'[5]II-H-1.2'!K82+'[4]II-H-1.2'!K80</f>
        <v>21715583.464912277</v>
      </c>
      <c r="L86" s="156">
        <f>+'[5]II-H-1.2'!L82+'[4]II-H-1.2'!L80</f>
        <v>1549532.5217391304</v>
      </c>
      <c r="M86" s="156">
        <f>+'[5]II-H-1.2'!M82+'[4]II-H-1.2'!M80</f>
        <v>105767097.6097561</v>
      </c>
      <c r="N86" s="156">
        <f>+'[5]II-H-1.2'!N82+'[4]II-H-1.2'!N80</f>
        <v>-155414237.85365856</v>
      </c>
      <c r="O86" s="156">
        <f>+'[5]II-H-1.2'!O82+'[4]II-H-1.2'!O80</f>
        <v>185447500</v>
      </c>
      <c r="P86" s="156">
        <f>SUM(D86:O86)</f>
        <v>291806500.49803841</v>
      </c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  <c r="EO86" s="65"/>
    </row>
    <row r="87" spans="1:145" s="62" customFormat="1" x14ac:dyDescent="0.2">
      <c r="A87" s="129"/>
      <c r="B87" s="129"/>
      <c r="C87" s="143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22"/>
      <c r="Q87" s="65"/>
      <c r="R87" s="48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</row>
    <row r="88" spans="1:145" s="62" customFormat="1" x14ac:dyDescent="0.2">
      <c r="A88" s="141">
        <v>10</v>
      </c>
      <c r="B88" s="117" t="s">
        <v>33</v>
      </c>
      <c r="C88" s="125" t="s">
        <v>16</v>
      </c>
      <c r="D88" s="156">
        <f>+'[5]II-H-1.2'!D84+'[4]II-H-1.2'!D82</f>
        <v>-469391.31822848576</v>
      </c>
      <c r="E88" s="156">
        <f>+'[5]II-H-1.2'!E84+'[4]II-H-1.2'!E82</f>
        <v>104486.5015240777</v>
      </c>
      <c r="F88" s="156">
        <f>+'[5]II-H-1.2'!F84+'[4]II-H-1.2'!F82</f>
        <v>24170.17062687928</v>
      </c>
      <c r="G88" s="156">
        <f>+'[5]II-H-1.2'!G84+'[4]II-H-1.2'!G82</f>
        <v>10419.223750707904</v>
      </c>
      <c r="H88" s="156">
        <f>+'[5]II-H-1.2'!H84+'[4]II-H-1.2'!H82</f>
        <v>-29278.819961999663</v>
      </c>
      <c r="I88" s="156">
        <f>+'[5]II-H-1.2'!I84+'[4]II-H-1.2'!I82</f>
        <v>12012.603075401314</v>
      </c>
      <c r="J88" s="156">
        <f>+'[5]II-H-1.2'!J84+'[4]II-H-1.2'!J82</f>
        <v>326579.70025258936</v>
      </c>
      <c r="K88" s="156">
        <f>+'[5]II-H-1.2'!K84+'[4]II-H-1.2'!K82</f>
        <v>-120075.73194560967</v>
      </c>
      <c r="L88" s="156">
        <f>+'[5]II-H-1.2'!L84+'[4]II-H-1.2'!L82</f>
        <v>-19675.364549511331</v>
      </c>
      <c r="M88" s="156">
        <f>+'[5]II-H-1.2'!M84+'[4]II-H-1.2'!M82</f>
        <v>-32642.081960864271</v>
      </c>
      <c r="N88" s="156">
        <f>+'[5]II-H-1.2'!N84+'[4]II-H-1.2'!N82</f>
        <v>12294.555956513988</v>
      </c>
      <c r="O88" s="156">
        <f>+'[5]II-H-1.2'!O84+'[4]II-H-1.2'!O82</f>
        <v>0</v>
      </c>
      <c r="P88" s="156">
        <f>SUM(D88:O88)</f>
        <v>-181100.56146030111</v>
      </c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</row>
    <row r="89" spans="1:145" s="62" customFormat="1" x14ac:dyDescent="0.2">
      <c r="A89" s="141"/>
      <c r="B89" s="129"/>
      <c r="C89" s="143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22"/>
      <c r="P89" s="122"/>
      <c r="Q89" s="65"/>
      <c r="R89" s="106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</row>
    <row r="90" spans="1:145" s="62" customFormat="1" x14ac:dyDescent="0.2">
      <c r="A90" s="141">
        <v>11</v>
      </c>
      <c r="B90" s="183" t="s">
        <v>34</v>
      </c>
      <c r="C90" s="236"/>
      <c r="D90" s="184">
        <f t="shared" ref="D90:P90" si="15">D88+D86+D84+D80+D76+D74</f>
        <v>17031292.361749068</v>
      </c>
      <c r="E90" s="184">
        <f t="shared" si="15"/>
        <v>37484278.421705708</v>
      </c>
      <c r="F90" s="184">
        <f t="shared" si="15"/>
        <v>55286235.168975487</v>
      </c>
      <c r="G90" s="184">
        <f t="shared" si="15"/>
        <v>41346177.908258893</v>
      </c>
      <c r="H90" s="184">
        <f t="shared" si="15"/>
        <v>20980012.507713705</v>
      </c>
      <c r="I90" s="184">
        <f t="shared" si="15"/>
        <v>4039607.6152959736</v>
      </c>
      <c r="J90" s="184">
        <f t="shared" si="15"/>
        <v>43101667.218331389</v>
      </c>
      <c r="K90" s="184">
        <f t="shared" si="15"/>
        <v>21456592.555595621</v>
      </c>
      <c r="L90" s="184">
        <f t="shared" si="15"/>
        <v>6472448.0164399147</v>
      </c>
      <c r="M90" s="184">
        <f t="shared" si="15"/>
        <v>106403868.15333244</v>
      </c>
      <c r="N90" s="184">
        <f t="shared" si="15"/>
        <v>-154422622.97834527</v>
      </c>
      <c r="O90" s="184">
        <f t="shared" si="15"/>
        <v>185447500</v>
      </c>
      <c r="P90" s="184">
        <f t="shared" si="15"/>
        <v>384627056.94905293</v>
      </c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</row>
    <row r="91" spans="1:145" s="62" customFormat="1" x14ac:dyDescent="0.2">
      <c r="A91" s="129"/>
      <c r="B91" s="236"/>
      <c r="C91" s="236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56"/>
      <c r="P91" s="156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</row>
    <row r="92" spans="1:145" s="62" customFormat="1" x14ac:dyDescent="0.2">
      <c r="A92" s="141">
        <v>12</v>
      </c>
      <c r="B92" s="148" t="s">
        <v>91</v>
      </c>
      <c r="C92" s="125" t="s">
        <v>17</v>
      </c>
      <c r="D92" s="156">
        <f>+'[5]II-H-1.2'!D88+'[4]II-H-1.2'!D86</f>
        <v>0</v>
      </c>
      <c r="E92" s="156">
        <f>+'[5]II-H-1.2'!E88+'[4]II-H-1.2'!E86</f>
        <v>0</v>
      </c>
      <c r="F92" s="156">
        <f>+'[5]II-H-1.2'!F88+'[4]II-H-1.2'!F86</f>
        <v>0</v>
      </c>
      <c r="G92" s="156">
        <f>+'[5]II-H-1.2'!G88+'[4]II-H-1.2'!G86</f>
        <v>0</v>
      </c>
      <c r="H92" s="156">
        <f>+'[5]II-H-1.2'!H88+'[4]II-H-1.2'!H86</f>
        <v>0</v>
      </c>
      <c r="I92" s="156">
        <f>+'[5]II-H-1.2'!I88+'[4]II-H-1.2'!I86</f>
        <v>0</v>
      </c>
      <c r="J92" s="156">
        <f>+'[5]II-H-1.2'!J88+'[4]II-H-1.2'!J86</f>
        <v>0</v>
      </c>
      <c r="K92" s="156">
        <f>+'[5]II-H-1.2'!K88+'[4]II-H-1.2'!K86</f>
        <v>0</v>
      </c>
      <c r="L92" s="156">
        <f>+'[5]II-H-1.2'!L88+'[4]II-H-1.2'!L86</f>
        <v>0</v>
      </c>
      <c r="M92" s="156">
        <f>+'[5]II-H-1.2'!M88+'[4]II-H-1.2'!M86</f>
        <v>0</v>
      </c>
      <c r="N92" s="156">
        <f>+'[5]II-H-1.2'!N88+'[4]II-H-1.2'!N86</f>
        <v>0</v>
      </c>
      <c r="O92" s="156">
        <f>+'[5]II-H-1.2'!O88+'[4]II-H-1.2'!O86</f>
        <v>0</v>
      </c>
      <c r="P92" s="156">
        <f>SUM(D92:O92)</f>
        <v>0</v>
      </c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</row>
    <row r="93" spans="1:145" s="62" customFormat="1" x14ac:dyDescent="0.2">
      <c r="A93" s="141">
        <v>13</v>
      </c>
      <c r="B93" s="148" t="s">
        <v>92</v>
      </c>
      <c r="C93" s="125" t="s">
        <v>18</v>
      </c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73">
        <f>SUM(D93:O93)</f>
        <v>0</v>
      </c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</row>
    <row r="94" spans="1:145" s="62" customFormat="1" x14ac:dyDescent="0.2">
      <c r="A94" s="141">
        <v>14</v>
      </c>
      <c r="B94" s="183" t="s">
        <v>35</v>
      </c>
      <c r="C94" s="238"/>
      <c r="D94" s="169">
        <f t="shared" ref="D94:P94" si="16">SUM(D92:D93)</f>
        <v>0</v>
      </c>
      <c r="E94" s="169">
        <f t="shared" si="16"/>
        <v>0</v>
      </c>
      <c r="F94" s="169">
        <f t="shared" si="16"/>
        <v>0</v>
      </c>
      <c r="G94" s="169">
        <f t="shared" si="16"/>
        <v>0</v>
      </c>
      <c r="H94" s="169">
        <f t="shared" si="16"/>
        <v>0</v>
      </c>
      <c r="I94" s="169">
        <f t="shared" si="16"/>
        <v>0</v>
      </c>
      <c r="J94" s="169">
        <f t="shared" si="16"/>
        <v>0</v>
      </c>
      <c r="K94" s="169">
        <f t="shared" si="16"/>
        <v>0</v>
      </c>
      <c r="L94" s="169">
        <f t="shared" si="16"/>
        <v>0</v>
      </c>
      <c r="M94" s="169">
        <f t="shared" si="16"/>
        <v>0</v>
      </c>
      <c r="N94" s="169">
        <f t="shared" si="16"/>
        <v>0</v>
      </c>
      <c r="O94" s="156">
        <f t="shared" si="16"/>
        <v>0</v>
      </c>
      <c r="P94" s="156">
        <f t="shared" si="16"/>
        <v>0</v>
      </c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</row>
    <row r="95" spans="1:145" s="62" customFormat="1" x14ac:dyDescent="0.2">
      <c r="A95" s="141"/>
      <c r="B95" s="129"/>
      <c r="C95" s="185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22"/>
      <c r="P95" s="122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</row>
    <row r="96" spans="1:145" s="62" customFormat="1" ht="12" thickBot="1" x14ac:dyDescent="0.25">
      <c r="A96" s="141">
        <v>15</v>
      </c>
      <c r="B96" s="243" t="str">
        <f>B36</f>
        <v>TOTAL AEP TEXAS</v>
      </c>
      <c r="C96" s="238"/>
      <c r="D96" s="244">
        <f t="shared" ref="D96:P96" si="17">+D94+D90</f>
        <v>17031292.361749068</v>
      </c>
      <c r="E96" s="244">
        <f t="shared" si="17"/>
        <v>37484278.421705708</v>
      </c>
      <c r="F96" s="244">
        <f t="shared" si="17"/>
        <v>55286235.168975487</v>
      </c>
      <c r="G96" s="244">
        <f t="shared" si="17"/>
        <v>41346177.908258893</v>
      </c>
      <c r="H96" s="244">
        <f t="shared" si="17"/>
        <v>20980012.507713705</v>
      </c>
      <c r="I96" s="244">
        <f t="shared" si="17"/>
        <v>4039607.6152959736</v>
      </c>
      <c r="J96" s="244">
        <f t="shared" si="17"/>
        <v>43101667.218331389</v>
      </c>
      <c r="K96" s="244">
        <f t="shared" si="17"/>
        <v>21456592.555595621</v>
      </c>
      <c r="L96" s="244">
        <f t="shared" si="17"/>
        <v>6472448.0164399147</v>
      </c>
      <c r="M96" s="244">
        <f t="shared" si="17"/>
        <v>106403868.15333244</v>
      </c>
      <c r="N96" s="244">
        <f t="shared" si="17"/>
        <v>-154422622.97834527</v>
      </c>
      <c r="O96" s="244">
        <f t="shared" si="17"/>
        <v>185447500</v>
      </c>
      <c r="P96" s="244">
        <f t="shared" si="17"/>
        <v>384627056.94905293</v>
      </c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</row>
    <row r="97" spans="1:145" s="62" customFormat="1" ht="12" thickTop="1" x14ac:dyDescent="0.2">
      <c r="A97" s="141"/>
      <c r="B97" s="152"/>
      <c r="C97" s="238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</row>
    <row r="98" spans="1:145" s="62" customFormat="1" x14ac:dyDescent="0.2">
      <c r="A98" s="141"/>
      <c r="B98" s="152"/>
      <c r="C98" s="238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</row>
    <row r="99" spans="1:145" s="62" customFormat="1" x14ac:dyDescent="0.2">
      <c r="A99" s="129"/>
      <c r="B99" s="391" t="str">
        <f>+B7</f>
        <v>AEP TEXAS</v>
      </c>
      <c r="C99" s="391"/>
      <c r="D99" s="391"/>
      <c r="E99" s="391"/>
      <c r="F99" s="391"/>
      <c r="G99" s="391"/>
      <c r="H99" s="391"/>
      <c r="I99" s="391"/>
      <c r="J99" s="391"/>
      <c r="K99" s="391"/>
      <c r="L99" s="391"/>
      <c r="M99" s="391"/>
      <c r="N99" s="391"/>
      <c r="O99" s="391"/>
      <c r="P99" s="391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</row>
    <row r="100" spans="1:145" s="62" customFormat="1" x14ac:dyDescent="0.2">
      <c r="A100" s="129"/>
      <c r="B100" s="390" t="s">
        <v>68</v>
      </c>
      <c r="C100" s="391"/>
      <c r="D100" s="391"/>
      <c r="E100" s="391"/>
      <c r="F100" s="391"/>
      <c r="G100" s="391"/>
      <c r="H100" s="391"/>
      <c r="I100" s="391"/>
      <c r="J100" s="391"/>
      <c r="K100" s="391"/>
      <c r="L100" s="391"/>
      <c r="M100" s="391"/>
      <c r="N100" s="391"/>
      <c r="O100" s="391"/>
      <c r="P100" s="391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</row>
    <row r="101" spans="1:145" s="62" customFormat="1" x14ac:dyDescent="0.2">
      <c r="A101" s="129"/>
      <c r="B101" s="391" t="str">
        <f>+B39</f>
        <v>FOR TEST YEAR ENDED DECEMBER 31, 2018</v>
      </c>
      <c r="C101" s="391"/>
      <c r="D101" s="391"/>
      <c r="E101" s="391"/>
      <c r="F101" s="391"/>
      <c r="G101" s="391"/>
      <c r="H101" s="391"/>
      <c r="I101" s="391"/>
      <c r="J101" s="391"/>
      <c r="K101" s="391"/>
      <c r="L101" s="391"/>
      <c r="M101" s="391"/>
      <c r="N101" s="391"/>
      <c r="O101" s="391"/>
      <c r="P101" s="391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  <c r="EF101" s="65"/>
      <c r="EG101" s="65"/>
      <c r="EH101" s="65"/>
      <c r="EI101" s="65"/>
      <c r="EJ101" s="65"/>
      <c r="EK101" s="65"/>
      <c r="EL101" s="65"/>
      <c r="EM101" s="65"/>
      <c r="EN101" s="65"/>
      <c r="EO101" s="65"/>
    </row>
    <row r="102" spans="1:145" x14ac:dyDescent="0.2">
      <c r="A102" s="146"/>
      <c r="B102" s="257"/>
      <c r="C102" s="257"/>
      <c r="D102" s="257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</row>
    <row r="103" spans="1:145" x14ac:dyDescent="0.2">
      <c r="A103" s="146"/>
      <c r="B103" s="258"/>
      <c r="C103" s="259"/>
      <c r="D103" s="258"/>
      <c r="E103" s="127"/>
      <c r="F103" s="127"/>
      <c r="G103" s="261"/>
      <c r="H103" s="127"/>
      <c r="I103" s="127"/>
      <c r="J103" s="157"/>
      <c r="K103" s="127"/>
      <c r="L103" s="127"/>
      <c r="M103" s="127"/>
      <c r="N103" s="127"/>
      <c r="O103" s="172"/>
      <c r="P103" s="127"/>
    </row>
    <row r="104" spans="1:145" x14ac:dyDescent="0.2">
      <c r="A104" s="238" t="s">
        <v>20</v>
      </c>
      <c r="B104" s="258" t="str">
        <f>+B42</f>
        <v>DESCRIPTION</v>
      </c>
      <c r="C104" s="258" t="str">
        <f>+C42</f>
        <v>VOLT</v>
      </c>
      <c r="D104" s="258" t="str">
        <f>+D42</f>
        <v>JANUARY</v>
      </c>
      <c r="E104" s="258" t="str">
        <f t="shared" ref="E104:P104" si="18">+E42</f>
        <v>FEBRUARY</v>
      </c>
      <c r="F104" s="258" t="str">
        <f t="shared" si="18"/>
        <v>MARCH</v>
      </c>
      <c r="G104" s="258" t="str">
        <f t="shared" si="18"/>
        <v>APRIL</v>
      </c>
      <c r="H104" s="258" t="str">
        <f t="shared" si="18"/>
        <v>MAY</v>
      </c>
      <c r="I104" s="258" t="str">
        <f t="shared" si="18"/>
        <v>JUNE</v>
      </c>
      <c r="J104" s="258" t="str">
        <f t="shared" si="18"/>
        <v>JULY</v>
      </c>
      <c r="K104" s="258" t="str">
        <f t="shared" si="18"/>
        <v>AUGUST</v>
      </c>
      <c r="L104" s="258" t="str">
        <f t="shared" si="18"/>
        <v>SEPTEMBER</v>
      </c>
      <c r="M104" s="258" t="str">
        <f t="shared" si="18"/>
        <v>OCTOBER</v>
      </c>
      <c r="N104" s="258" t="str">
        <f t="shared" si="18"/>
        <v>NOVEMBER</v>
      </c>
      <c r="O104" s="258" t="str">
        <f t="shared" si="18"/>
        <v>DECEMBER</v>
      </c>
      <c r="P104" s="258" t="str">
        <f t="shared" si="18"/>
        <v>TOTAL</v>
      </c>
    </row>
    <row r="105" spans="1:145" x14ac:dyDescent="0.2">
      <c r="A105" s="146"/>
      <c r="B105" s="148"/>
      <c r="C105" s="263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72"/>
      <c r="P105" s="264"/>
    </row>
    <row r="106" spans="1:145" s="62" customFormat="1" x14ac:dyDescent="0.2">
      <c r="A106" s="141" t="s">
        <v>21</v>
      </c>
      <c r="B106" s="129" t="s">
        <v>29</v>
      </c>
      <c r="C106" s="143" t="s">
        <v>16</v>
      </c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56">
        <f>SUM(D106:O106)</f>
        <v>0</v>
      </c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  <c r="EF106" s="65"/>
      <c r="EG106" s="65"/>
      <c r="EH106" s="65"/>
      <c r="EI106" s="65"/>
      <c r="EJ106" s="65"/>
      <c r="EK106" s="65"/>
      <c r="EL106" s="65"/>
      <c r="EM106" s="65"/>
      <c r="EN106" s="65"/>
      <c r="EO106" s="65"/>
    </row>
    <row r="107" spans="1:145" s="62" customFormat="1" x14ac:dyDescent="0.2">
      <c r="A107" s="129"/>
      <c r="B107" s="129"/>
      <c r="C107" s="143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56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65"/>
      <c r="EJ107" s="65"/>
      <c r="EK107" s="65"/>
      <c r="EL107" s="65"/>
      <c r="EM107" s="65"/>
      <c r="EN107" s="65"/>
      <c r="EO107" s="65"/>
    </row>
    <row r="108" spans="1:145" s="62" customFormat="1" x14ac:dyDescent="0.2">
      <c r="A108" s="141">
        <v>2</v>
      </c>
      <c r="B108" s="129" t="s">
        <v>32</v>
      </c>
      <c r="C108" s="143" t="s">
        <v>16</v>
      </c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56">
        <f>SUM(D108:O108)</f>
        <v>0</v>
      </c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/>
      <c r="EJ108" s="65"/>
      <c r="EK108" s="65"/>
      <c r="EL108" s="65"/>
      <c r="EM108" s="65"/>
      <c r="EN108" s="65"/>
      <c r="EO108" s="65"/>
    </row>
    <row r="109" spans="1:145" s="62" customFormat="1" x14ac:dyDescent="0.2">
      <c r="A109" s="141"/>
      <c r="B109" s="129"/>
      <c r="C109" s="143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56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65"/>
      <c r="EJ109" s="65"/>
      <c r="EK109" s="65"/>
      <c r="EL109" s="65"/>
      <c r="EM109" s="65"/>
      <c r="EN109" s="65"/>
      <c r="EO109" s="65"/>
    </row>
    <row r="110" spans="1:145" s="62" customFormat="1" x14ac:dyDescent="0.2">
      <c r="A110" s="141">
        <v>3</v>
      </c>
      <c r="B110" s="146" t="s">
        <v>113</v>
      </c>
      <c r="C110" s="125" t="s">
        <v>16</v>
      </c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56">
        <f>SUM(D110:O110)</f>
        <v>0</v>
      </c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65"/>
      <c r="EJ110" s="65"/>
      <c r="EK110" s="65"/>
      <c r="EL110" s="65"/>
      <c r="EM110" s="65"/>
      <c r="EN110" s="65"/>
      <c r="EO110" s="65"/>
    </row>
    <row r="111" spans="1:145" s="62" customFormat="1" x14ac:dyDescent="0.2">
      <c r="A111" s="141">
        <v>4</v>
      </c>
      <c r="B111" s="146" t="s">
        <v>114</v>
      </c>
      <c r="C111" s="125" t="s">
        <v>16</v>
      </c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>
        <f>SUM(D111:O111)</f>
        <v>0</v>
      </c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  <c r="EO111" s="65"/>
    </row>
    <row r="112" spans="1:145" s="62" customFormat="1" x14ac:dyDescent="0.2">
      <c r="A112" s="141">
        <v>5</v>
      </c>
      <c r="B112" s="162" t="s">
        <v>30</v>
      </c>
      <c r="C112" s="143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>
        <f>SUM(P110:P111)</f>
        <v>0</v>
      </c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  <c r="EO112" s="65"/>
    </row>
    <row r="113" spans="1:145" s="62" customFormat="1" x14ac:dyDescent="0.2">
      <c r="B113" s="242"/>
      <c r="C113" s="143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22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</row>
    <row r="114" spans="1:145" s="62" customFormat="1" x14ac:dyDescent="0.2">
      <c r="A114" s="74">
        <v>6</v>
      </c>
      <c r="B114" s="146" t="s">
        <v>110</v>
      </c>
      <c r="C114" s="125" t="s">
        <v>17</v>
      </c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56">
        <f>SUM(D114:O114)</f>
        <v>0</v>
      </c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</row>
    <row r="115" spans="1:145" s="62" customFormat="1" x14ac:dyDescent="0.2">
      <c r="A115" s="74">
        <v>7</v>
      </c>
      <c r="B115" s="146" t="s">
        <v>111</v>
      </c>
      <c r="C115" s="125" t="s">
        <v>17</v>
      </c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73">
        <f>SUM(D115:O115)</f>
        <v>0</v>
      </c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  <c r="EO115" s="65"/>
    </row>
    <row r="116" spans="1:145" s="62" customFormat="1" x14ac:dyDescent="0.2">
      <c r="A116" s="74">
        <v>8</v>
      </c>
      <c r="B116" s="129" t="s">
        <v>31</v>
      </c>
      <c r="C116" s="125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>
        <f>SUM(P114:P115)</f>
        <v>0</v>
      </c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  <c r="EO116" s="65"/>
    </row>
    <row r="117" spans="1:145" s="62" customFormat="1" x14ac:dyDescent="0.2">
      <c r="A117" s="74"/>
      <c r="B117" s="129"/>
      <c r="C117" s="125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56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  <c r="EO117" s="65"/>
    </row>
    <row r="118" spans="1:145" s="62" customFormat="1" x14ac:dyDescent="0.2">
      <c r="A118" s="74">
        <v>9</v>
      </c>
      <c r="B118" s="162" t="s">
        <v>112</v>
      </c>
      <c r="C118" s="125" t="s">
        <v>18</v>
      </c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56">
        <f>SUM(D118:O118)</f>
        <v>0</v>
      </c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  <c r="EO118" s="65"/>
    </row>
    <row r="119" spans="1:145" s="62" customFormat="1" x14ac:dyDescent="0.2">
      <c r="B119" s="129"/>
      <c r="C119" s="143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22"/>
      <c r="P119" s="122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  <c r="EO119" s="65"/>
    </row>
    <row r="120" spans="1:145" s="62" customFormat="1" x14ac:dyDescent="0.2">
      <c r="A120" s="74">
        <v>10</v>
      </c>
      <c r="B120" s="117" t="s">
        <v>33</v>
      </c>
      <c r="C120" s="125" t="s">
        <v>16</v>
      </c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56">
        <f>SUM(D120:O120)</f>
        <v>0</v>
      </c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  <c r="EO120" s="65"/>
    </row>
    <row r="121" spans="1:145" s="62" customFormat="1" x14ac:dyDescent="0.2">
      <c r="A121" s="74"/>
      <c r="B121" s="129"/>
      <c r="C121" s="143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22"/>
      <c r="P121" s="122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  <c r="EO121" s="65"/>
    </row>
    <row r="122" spans="1:145" s="62" customFormat="1" x14ac:dyDescent="0.2">
      <c r="A122" s="74">
        <v>11</v>
      </c>
      <c r="B122" s="183" t="s">
        <v>34</v>
      </c>
      <c r="C122" s="236"/>
      <c r="D122" s="184">
        <f>D120+D118+D116+D112+D108+D106</f>
        <v>0</v>
      </c>
      <c r="E122" s="184">
        <f t="shared" ref="E122:P122" si="19">E120+E118+E116+E112+E108+E106</f>
        <v>0</v>
      </c>
      <c r="F122" s="184">
        <f t="shared" si="19"/>
        <v>0</v>
      </c>
      <c r="G122" s="184">
        <f t="shared" si="19"/>
        <v>0</v>
      </c>
      <c r="H122" s="184">
        <f t="shared" si="19"/>
        <v>0</v>
      </c>
      <c r="I122" s="184">
        <f t="shared" si="19"/>
        <v>0</v>
      </c>
      <c r="J122" s="184">
        <f t="shared" si="19"/>
        <v>0</v>
      </c>
      <c r="K122" s="184">
        <f t="shared" si="19"/>
        <v>0</v>
      </c>
      <c r="L122" s="184">
        <f t="shared" si="19"/>
        <v>0</v>
      </c>
      <c r="M122" s="184">
        <f t="shared" si="19"/>
        <v>0</v>
      </c>
      <c r="N122" s="184">
        <f t="shared" si="19"/>
        <v>0</v>
      </c>
      <c r="O122" s="184">
        <f t="shared" si="19"/>
        <v>0</v>
      </c>
      <c r="P122" s="184">
        <f t="shared" si="19"/>
        <v>0</v>
      </c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  <c r="EO122" s="65"/>
    </row>
    <row r="123" spans="1:145" s="62" customFormat="1" x14ac:dyDescent="0.2">
      <c r="B123" s="236"/>
      <c r="C123" s="236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56"/>
      <c r="P123" s="156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  <c r="EO123" s="65"/>
    </row>
    <row r="124" spans="1:145" s="62" customFormat="1" x14ac:dyDescent="0.2">
      <c r="A124" s="74">
        <v>12</v>
      </c>
      <c r="B124" s="148" t="s">
        <v>91</v>
      </c>
      <c r="C124" s="125" t="s">
        <v>17</v>
      </c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56">
        <f>SUM(D124:O124)</f>
        <v>0</v>
      </c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  <c r="EO124" s="65"/>
    </row>
    <row r="125" spans="1:145" s="62" customFormat="1" x14ac:dyDescent="0.2">
      <c r="A125" s="74">
        <v>13</v>
      </c>
      <c r="B125" s="148" t="s">
        <v>92</v>
      </c>
      <c r="C125" s="125" t="s">
        <v>18</v>
      </c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73">
        <f>SUM(D125:O125)</f>
        <v>0</v>
      </c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  <c r="EO125" s="65"/>
    </row>
    <row r="126" spans="1:145" s="62" customFormat="1" x14ac:dyDescent="0.2">
      <c r="A126" s="74">
        <v>14</v>
      </c>
      <c r="B126" s="183" t="s">
        <v>35</v>
      </c>
      <c r="C126" s="238"/>
      <c r="D126" s="169">
        <f t="shared" ref="D126:P126" si="20">SUM(D124:D125)</f>
        <v>0</v>
      </c>
      <c r="E126" s="169">
        <f t="shared" si="20"/>
        <v>0</v>
      </c>
      <c r="F126" s="169">
        <f t="shared" si="20"/>
        <v>0</v>
      </c>
      <c r="G126" s="169">
        <f t="shared" si="20"/>
        <v>0</v>
      </c>
      <c r="H126" s="169">
        <f t="shared" si="20"/>
        <v>0</v>
      </c>
      <c r="I126" s="169">
        <f t="shared" si="20"/>
        <v>0</v>
      </c>
      <c r="J126" s="169">
        <f t="shared" si="20"/>
        <v>0</v>
      </c>
      <c r="K126" s="169">
        <f t="shared" si="20"/>
        <v>0</v>
      </c>
      <c r="L126" s="169">
        <f t="shared" si="20"/>
        <v>0</v>
      </c>
      <c r="M126" s="169">
        <f t="shared" si="20"/>
        <v>0</v>
      </c>
      <c r="N126" s="169">
        <f t="shared" si="20"/>
        <v>0</v>
      </c>
      <c r="O126" s="156">
        <f t="shared" si="20"/>
        <v>0</v>
      </c>
      <c r="P126" s="156">
        <f t="shared" si="20"/>
        <v>0</v>
      </c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/>
      <c r="EJ126" s="65"/>
      <c r="EK126" s="65"/>
      <c r="EL126" s="65"/>
      <c r="EM126" s="65"/>
      <c r="EN126" s="65"/>
      <c r="EO126" s="65"/>
    </row>
    <row r="127" spans="1:145" s="62" customFormat="1" x14ac:dyDescent="0.2">
      <c r="A127" s="74"/>
      <c r="B127" s="129"/>
      <c r="C127" s="185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22"/>
      <c r="P127" s="122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  <c r="EO127" s="65"/>
    </row>
    <row r="128" spans="1:145" s="62" customFormat="1" ht="12" thickBot="1" x14ac:dyDescent="0.25">
      <c r="A128" s="74">
        <v>15</v>
      </c>
      <c r="B128" s="243" t="str">
        <f>B36</f>
        <v>TOTAL AEP TEXAS</v>
      </c>
      <c r="C128" s="238"/>
      <c r="D128" s="244">
        <f t="shared" ref="D128:P128" si="21">+D126+D122</f>
        <v>0</v>
      </c>
      <c r="E128" s="244">
        <f t="shared" si="21"/>
        <v>0</v>
      </c>
      <c r="F128" s="244">
        <f t="shared" si="21"/>
        <v>0</v>
      </c>
      <c r="G128" s="244">
        <f t="shared" si="21"/>
        <v>0</v>
      </c>
      <c r="H128" s="244">
        <f t="shared" si="21"/>
        <v>0</v>
      </c>
      <c r="I128" s="244">
        <f t="shared" si="21"/>
        <v>0</v>
      </c>
      <c r="J128" s="244">
        <f t="shared" si="21"/>
        <v>0</v>
      </c>
      <c r="K128" s="244">
        <f t="shared" si="21"/>
        <v>0</v>
      </c>
      <c r="L128" s="244">
        <f t="shared" si="21"/>
        <v>0</v>
      </c>
      <c r="M128" s="244">
        <f t="shared" si="21"/>
        <v>0</v>
      </c>
      <c r="N128" s="244">
        <f t="shared" si="21"/>
        <v>0</v>
      </c>
      <c r="O128" s="244">
        <f t="shared" si="21"/>
        <v>0</v>
      </c>
      <c r="P128" s="244">
        <f t="shared" si="21"/>
        <v>0</v>
      </c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/>
      <c r="EJ128" s="65"/>
      <c r="EK128" s="65"/>
      <c r="EL128" s="65"/>
      <c r="EM128" s="65"/>
      <c r="EN128" s="65"/>
      <c r="EO128" s="65"/>
    </row>
    <row r="129" spans="1:145" s="62" customFormat="1" ht="12" thickTop="1" x14ac:dyDescent="0.2">
      <c r="B129" s="391" t="str">
        <f>B7</f>
        <v>AEP TEXAS</v>
      </c>
      <c r="C129" s="391"/>
      <c r="D129" s="391"/>
      <c r="E129" s="391"/>
      <c r="F129" s="391"/>
      <c r="G129" s="391"/>
      <c r="H129" s="391"/>
      <c r="I129" s="391"/>
      <c r="J129" s="391"/>
      <c r="K129" s="391"/>
      <c r="L129" s="391"/>
      <c r="M129" s="391"/>
      <c r="N129" s="391"/>
      <c r="O129" s="391"/>
      <c r="P129" s="391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  <c r="EO129" s="65"/>
    </row>
    <row r="130" spans="1:145" s="62" customFormat="1" x14ac:dyDescent="0.2">
      <c r="B130" s="391" t="s">
        <v>51</v>
      </c>
      <c r="C130" s="391"/>
      <c r="D130" s="391"/>
      <c r="E130" s="391"/>
      <c r="F130" s="391"/>
      <c r="G130" s="391"/>
      <c r="H130" s="391"/>
      <c r="I130" s="391"/>
      <c r="J130" s="391"/>
      <c r="K130" s="391"/>
      <c r="L130" s="391"/>
      <c r="M130" s="391"/>
      <c r="N130" s="391"/>
      <c r="O130" s="391"/>
      <c r="P130" s="391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/>
      <c r="EJ130" s="65"/>
      <c r="EK130" s="65"/>
      <c r="EL130" s="65"/>
      <c r="EM130" s="65"/>
      <c r="EN130" s="65"/>
      <c r="EO130" s="65"/>
    </row>
    <row r="131" spans="1:145" s="62" customFormat="1" x14ac:dyDescent="0.2">
      <c r="B131" s="391" t="str">
        <f>B9</f>
        <v>FOR TEST YEAR ENDED DECEMBER 31, 2018</v>
      </c>
      <c r="C131" s="391"/>
      <c r="D131" s="391"/>
      <c r="E131" s="391"/>
      <c r="F131" s="391"/>
      <c r="G131" s="391"/>
      <c r="H131" s="391"/>
      <c r="I131" s="391"/>
      <c r="J131" s="391"/>
      <c r="K131" s="391"/>
      <c r="L131" s="391"/>
      <c r="M131" s="391"/>
      <c r="N131" s="391"/>
      <c r="O131" s="391"/>
      <c r="P131" s="391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65"/>
      <c r="EK131" s="65"/>
      <c r="EL131" s="65"/>
      <c r="EM131" s="65"/>
      <c r="EN131" s="65"/>
      <c r="EO131" s="65"/>
    </row>
    <row r="132" spans="1:145" x14ac:dyDescent="0.2">
      <c r="A132" s="21"/>
      <c r="B132" s="265"/>
      <c r="C132" s="266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</row>
    <row r="133" spans="1:145" x14ac:dyDescent="0.2">
      <c r="B133" s="168"/>
      <c r="C133" s="267"/>
      <c r="D133" s="268"/>
      <c r="E133" s="169"/>
      <c r="F133" s="169"/>
      <c r="G133" s="269"/>
      <c r="H133" s="169"/>
      <c r="I133" s="169"/>
      <c r="J133" s="157"/>
      <c r="K133" s="169"/>
      <c r="L133" s="169"/>
      <c r="M133" s="169"/>
      <c r="N133" s="169"/>
      <c r="O133" s="169"/>
      <c r="P133" s="169"/>
    </row>
    <row r="134" spans="1:145" x14ac:dyDescent="0.2">
      <c r="A134" s="68" t="s">
        <v>20</v>
      </c>
      <c r="B134" s="238" t="s">
        <v>0</v>
      </c>
      <c r="C134" s="238" t="s">
        <v>19</v>
      </c>
      <c r="D134" s="270" t="str">
        <f>D12</f>
        <v>JANUARY</v>
      </c>
      <c r="E134" s="270" t="str">
        <f>E12</f>
        <v>FEBRUARY</v>
      </c>
      <c r="F134" s="270" t="str">
        <f>F12</f>
        <v>MARCH</v>
      </c>
      <c r="G134" s="270" t="str">
        <f>G12</f>
        <v>APRIL</v>
      </c>
      <c r="H134" s="270" t="str">
        <f t="shared" ref="H134:O134" si="22">H12</f>
        <v>MAY</v>
      </c>
      <c r="I134" s="270" t="str">
        <f t="shared" si="22"/>
        <v>JUNE</v>
      </c>
      <c r="J134" s="270" t="str">
        <f t="shared" si="22"/>
        <v>JULY</v>
      </c>
      <c r="K134" s="270" t="str">
        <f t="shared" si="22"/>
        <v>AUGUST</v>
      </c>
      <c r="L134" s="270" t="str">
        <f t="shared" si="22"/>
        <v>SEPTEMBER</v>
      </c>
      <c r="M134" s="270" t="str">
        <f t="shared" si="22"/>
        <v>OCTOBER</v>
      </c>
      <c r="N134" s="270" t="str">
        <f t="shared" si="22"/>
        <v>NOVEMBER</v>
      </c>
      <c r="O134" s="270" t="str">
        <f t="shared" si="22"/>
        <v>DECEMBER</v>
      </c>
      <c r="P134" s="238" t="s">
        <v>14</v>
      </c>
    </row>
    <row r="135" spans="1:145" x14ac:dyDescent="0.2">
      <c r="B135" s="168"/>
      <c r="C135" s="267"/>
      <c r="D135" s="266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</row>
    <row r="136" spans="1:145" s="62" customFormat="1" x14ac:dyDescent="0.2">
      <c r="A136" s="74" t="s">
        <v>21</v>
      </c>
      <c r="B136" s="129" t="s">
        <v>29</v>
      </c>
      <c r="C136" s="143" t="s">
        <v>16</v>
      </c>
      <c r="D136" s="122">
        <f t="shared" ref="D136:O136" si="23">D106+D74+D44+D14</f>
        <v>1045141190.962528</v>
      </c>
      <c r="E136" s="122">
        <f t="shared" si="23"/>
        <v>828022448.51274312</v>
      </c>
      <c r="F136" s="122">
        <f t="shared" si="23"/>
        <v>717259893.28818297</v>
      </c>
      <c r="G136" s="122">
        <f t="shared" si="23"/>
        <v>739485063.27722132</v>
      </c>
      <c r="H136" s="122">
        <f t="shared" si="23"/>
        <v>856118476.33591628</v>
      </c>
      <c r="I136" s="122">
        <f t="shared" si="23"/>
        <v>1197055852.8180549</v>
      </c>
      <c r="J136" s="122">
        <f t="shared" si="23"/>
        <v>1320877994.4455488</v>
      </c>
      <c r="K136" s="122">
        <f t="shared" si="23"/>
        <v>1345542985.3844223</v>
      </c>
      <c r="L136" s="122">
        <f t="shared" si="23"/>
        <v>1284528693.52582</v>
      </c>
      <c r="M136" s="122">
        <f t="shared" si="23"/>
        <v>1005021429.2306391</v>
      </c>
      <c r="N136" s="122">
        <f t="shared" si="23"/>
        <v>769051426.60844553</v>
      </c>
      <c r="O136" s="122">
        <f t="shared" si="23"/>
        <v>889076128</v>
      </c>
      <c r="P136" s="156">
        <f>SUM(D136:O136)</f>
        <v>11997181582.389523</v>
      </c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65"/>
      <c r="CQ136" s="65"/>
      <c r="CR136" s="65"/>
      <c r="CS136" s="65"/>
      <c r="CT136" s="65"/>
      <c r="CU136" s="65"/>
      <c r="CV136" s="65"/>
      <c r="CW136" s="65"/>
      <c r="CX136" s="65"/>
      <c r="CY136" s="65"/>
      <c r="CZ136" s="65"/>
      <c r="DA136" s="65"/>
      <c r="DB136" s="65"/>
      <c r="DC136" s="65"/>
      <c r="DD136" s="65"/>
      <c r="DE136" s="65"/>
      <c r="DF136" s="65"/>
      <c r="DG136" s="65"/>
      <c r="DH136" s="65"/>
      <c r="DI136" s="65"/>
      <c r="DJ136" s="65"/>
      <c r="DK136" s="65"/>
      <c r="DL136" s="65"/>
      <c r="DM136" s="65"/>
      <c r="DN136" s="65"/>
      <c r="DO136" s="65"/>
      <c r="DP136" s="65"/>
      <c r="DQ136" s="65"/>
      <c r="DR136" s="65"/>
      <c r="DS136" s="65"/>
      <c r="DT136" s="65"/>
      <c r="DU136" s="65"/>
      <c r="DV136" s="65"/>
      <c r="DW136" s="65"/>
      <c r="DX136" s="65"/>
      <c r="DY136" s="65"/>
      <c r="DZ136" s="65"/>
      <c r="EA136" s="65"/>
      <c r="EB136" s="65"/>
      <c r="EC136" s="65"/>
      <c r="ED136" s="65"/>
      <c r="EE136" s="65"/>
      <c r="EF136" s="65"/>
      <c r="EG136" s="65"/>
      <c r="EH136" s="65"/>
      <c r="EI136" s="65"/>
      <c r="EJ136" s="65"/>
      <c r="EK136" s="65"/>
      <c r="EL136" s="65"/>
      <c r="EM136" s="65"/>
      <c r="EN136" s="65"/>
      <c r="EO136" s="65"/>
    </row>
    <row r="137" spans="1:145" s="62" customFormat="1" x14ac:dyDescent="0.2">
      <c r="B137" s="129"/>
      <c r="C137" s="143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56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5"/>
      <c r="DI137" s="65"/>
      <c r="DJ137" s="65"/>
      <c r="DK137" s="65"/>
      <c r="DL137" s="65"/>
      <c r="DM137" s="65"/>
      <c r="DN137" s="65"/>
      <c r="DO137" s="65"/>
      <c r="DP137" s="65"/>
      <c r="DQ137" s="65"/>
      <c r="DR137" s="65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  <c r="EF137" s="65"/>
      <c r="EG137" s="65"/>
      <c r="EH137" s="65"/>
      <c r="EI137" s="65"/>
      <c r="EJ137" s="65"/>
      <c r="EK137" s="65"/>
      <c r="EL137" s="65"/>
      <c r="EM137" s="65"/>
      <c r="EN137" s="65"/>
      <c r="EO137" s="65"/>
    </row>
    <row r="138" spans="1:145" s="62" customFormat="1" x14ac:dyDescent="0.2">
      <c r="A138" s="74">
        <v>2</v>
      </c>
      <c r="B138" s="129" t="s">
        <v>32</v>
      </c>
      <c r="C138" s="143" t="s">
        <v>16</v>
      </c>
      <c r="D138" s="122">
        <f t="shared" ref="D138:O138" si="24">D108+D76+D46+D16</f>
        <v>51040061.234332725</v>
      </c>
      <c r="E138" s="122">
        <f t="shared" si="24"/>
        <v>43963029.932478309</v>
      </c>
      <c r="F138" s="122">
        <f t="shared" si="24"/>
        <v>41064761.668875612</v>
      </c>
      <c r="G138" s="122">
        <f t="shared" si="24"/>
        <v>43093481.132281601</v>
      </c>
      <c r="H138" s="122">
        <f t="shared" si="24"/>
        <v>44811159.655445106</v>
      </c>
      <c r="I138" s="122">
        <f t="shared" si="24"/>
        <v>52165335.820663907</v>
      </c>
      <c r="J138" s="122">
        <f t="shared" si="24"/>
        <v>55073386.678807534</v>
      </c>
      <c r="K138" s="122">
        <f t="shared" si="24"/>
        <v>55523957.782151505</v>
      </c>
      <c r="L138" s="122">
        <f t="shared" si="24"/>
        <v>55179390.950074777</v>
      </c>
      <c r="M138" s="122">
        <f t="shared" si="24"/>
        <v>48591154.778007902</v>
      </c>
      <c r="N138" s="122">
        <f t="shared" si="24"/>
        <v>43424265.864777662</v>
      </c>
      <c r="O138" s="122">
        <f t="shared" si="24"/>
        <v>45373398.700930573</v>
      </c>
      <c r="P138" s="156">
        <f>SUM(D138:O138)</f>
        <v>579303384.19882727</v>
      </c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  <c r="EH138" s="65"/>
      <c r="EI138" s="65"/>
      <c r="EJ138" s="65"/>
      <c r="EK138" s="65"/>
      <c r="EL138" s="65"/>
      <c r="EM138" s="65"/>
      <c r="EN138" s="65"/>
      <c r="EO138" s="65"/>
    </row>
    <row r="139" spans="1:145" s="62" customFormat="1" x14ac:dyDescent="0.2">
      <c r="A139" s="74"/>
      <c r="B139" s="129"/>
      <c r="C139" s="143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56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/>
      <c r="EJ139" s="65"/>
      <c r="EK139" s="65"/>
      <c r="EL139" s="65"/>
      <c r="EM139" s="65"/>
      <c r="EN139" s="65"/>
      <c r="EO139" s="65"/>
    </row>
    <row r="140" spans="1:145" s="62" customFormat="1" x14ac:dyDescent="0.2">
      <c r="A140" s="74">
        <v>3</v>
      </c>
      <c r="B140" s="146" t="s">
        <v>113</v>
      </c>
      <c r="C140" s="125" t="s">
        <v>16</v>
      </c>
      <c r="D140" s="122">
        <f t="shared" ref="D140:O140" si="25">D110+D78+D48+D18</f>
        <v>632948668.61404884</v>
      </c>
      <c r="E140" s="122">
        <f t="shared" si="25"/>
        <v>564132115.55174911</v>
      </c>
      <c r="F140" s="122">
        <f>F110+F78+F48+F18</f>
        <v>554332725.88046992</v>
      </c>
      <c r="G140" s="122">
        <f t="shared" si="25"/>
        <v>605188612.10923243</v>
      </c>
      <c r="H140" s="122">
        <f t="shared" si="25"/>
        <v>646229571.72881293</v>
      </c>
      <c r="I140" s="122">
        <f t="shared" si="25"/>
        <v>762998225.59291708</v>
      </c>
      <c r="J140" s="122">
        <f t="shared" si="25"/>
        <v>795280256.04911101</v>
      </c>
      <c r="K140" s="122">
        <f t="shared" si="25"/>
        <v>804830030.15007579</v>
      </c>
      <c r="L140" s="122">
        <f t="shared" si="25"/>
        <v>811008378.89145565</v>
      </c>
      <c r="M140" s="122">
        <f t="shared" si="25"/>
        <v>705770856.03146541</v>
      </c>
      <c r="N140" s="122">
        <f t="shared" si="25"/>
        <v>599352104.31221151</v>
      </c>
      <c r="O140" s="122">
        <f t="shared" si="25"/>
        <v>588298206.22093737</v>
      </c>
      <c r="P140" s="156">
        <f>SUM(D140:O140)</f>
        <v>8070369751.1324883</v>
      </c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  <c r="CW140" s="65"/>
      <c r="CX140" s="65"/>
      <c r="CY140" s="65"/>
      <c r="CZ140" s="65"/>
      <c r="DA140" s="65"/>
      <c r="DB140" s="65"/>
      <c r="DC140" s="65"/>
      <c r="DD140" s="65"/>
      <c r="DE140" s="65"/>
      <c r="DF140" s="65"/>
      <c r="DG140" s="65"/>
      <c r="DH140" s="65"/>
      <c r="DI140" s="65"/>
      <c r="DJ140" s="65"/>
      <c r="DK140" s="65"/>
      <c r="DL140" s="65"/>
      <c r="DM140" s="65"/>
      <c r="DN140" s="65"/>
      <c r="DO140" s="65"/>
      <c r="DP140" s="65"/>
      <c r="DQ140" s="65"/>
      <c r="DR140" s="65"/>
      <c r="DS140" s="65"/>
      <c r="DT140" s="65"/>
      <c r="DU140" s="65"/>
      <c r="DV140" s="65"/>
      <c r="DW140" s="65"/>
      <c r="DX140" s="65"/>
      <c r="DY140" s="65"/>
      <c r="DZ140" s="65"/>
      <c r="EA140" s="65"/>
      <c r="EB140" s="65"/>
      <c r="EC140" s="65"/>
      <c r="ED140" s="65"/>
      <c r="EE140" s="65"/>
      <c r="EF140" s="65"/>
      <c r="EG140" s="65"/>
      <c r="EH140" s="65"/>
      <c r="EI140" s="65"/>
      <c r="EJ140" s="65"/>
      <c r="EK140" s="65"/>
      <c r="EL140" s="65"/>
      <c r="EM140" s="65"/>
      <c r="EN140" s="65"/>
      <c r="EO140" s="65"/>
    </row>
    <row r="141" spans="1:145" s="62" customFormat="1" x14ac:dyDescent="0.2">
      <c r="A141" s="74">
        <v>4</v>
      </c>
      <c r="B141" s="146" t="s">
        <v>114</v>
      </c>
      <c r="C141" s="125" t="s">
        <v>16</v>
      </c>
      <c r="D141" s="123">
        <f t="shared" ref="D141:O141" si="26">D111+D79+D49+D19</f>
        <v>96871874.718343183</v>
      </c>
      <c r="E141" s="123">
        <f t="shared" si="26"/>
        <v>83160063.113242179</v>
      </c>
      <c r="F141" s="123">
        <f t="shared" si="26"/>
        <v>83193730.51799266</v>
      </c>
      <c r="G141" s="123">
        <f t="shared" si="26"/>
        <v>87922049.976491243</v>
      </c>
      <c r="H141" s="123">
        <f t="shared" si="26"/>
        <v>92988963.785664842</v>
      </c>
      <c r="I141" s="123">
        <f t="shared" si="26"/>
        <v>95214257.472976565</v>
      </c>
      <c r="J141" s="123">
        <f t="shared" si="26"/>
        <v>108903447.42959805</v>
      </c>
      <c r="K141" s="123">
        <f t="shared" si="26"/>
        <v>104506924.76981924</v>
      </c>
      <c r="L141" s="123">
        <f t="shared" si="26"/>
        <v>123100993.71027936</v>
      </c>
      <c r="M141" s="123">
        <f t="shared" si="26"/>
        <v>108819771.74426234</v>
      </c>
      <c r="N141" s="123">
        <f t="shared" si="26"/>
        <v>97898784.327719629</v>
      </c>
      <c r="O141" s="123">
        <f t="shared" si="26"/>
        <v>93319846.187889725</v>
      </c>
      <c r="P141" s="123">
        <f>SUM(D141:O141)</f>
        <v>1175900707.7542791</v>
      </c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65"/>
      <c r="CQ141" s="65"/>
      <c r="CR141" s="65"/>
      <c r="CS141" s="65"/>
      <c r="CT141" s="65"/>
      <c r="CU141" s="65"/>
      <c r="CV141" s="65"/>
      <c r="CW141" s="65"/>
      <c r="CX141" s="65"/>
      <c r="CY141" s="65"/>
      <c r="CZ141" s="65"/>
      <c r="DA141" s="65"/>
      <c r="DB141" s="65"/>
      <c r="DC141" s="65"/>
      <c r="DD141" s="65"/>
      <c r="DE141" s="65"/>
      <c r="DF141" s="65"/>
      <c r="DG141" s="65"/>
      <c r="DH141" s="65"/>
      <c r="DI141" s="65"/>
      <c r="DJ141" s="65"/>
      <c r="DK141" s="65"/>
      <c r="DL141" s="65"/>
      <c r="DM141" s="65"/>
      <c r="DN141" s="65"/>
      <c r="DO141" s="65"/>
      <c r="DP141" s="65"/>
      <c r="DQ141" s="65"/>
      <c r="DR141" s="65"/>
      <c r="DS141" s="65"/>
      <c r="DT141" s="65"/>
      <c r="DU141" s="65"/>
      <c r="DV141" s="65"/>
      <c r="DW141" s="65"/>
      <c r="DX141" s="65"/>
      <c r="DY141" s="65"/>
      <c r="DZ141" s="65"/>
      <c r="EA141" s="65"/>
      <c r="EB141" s="65"/>
      <c r="EC141" s="65"/>
      <c r="ED141" s="65"/>
      <c r="EE141" s="65"/>
      <c r="EF141" s="65"/>
      <c r="EG141" s="65"/>
      <c r="EH141" s="65"/>
      <c r="EI141" s="65"/>
      <c r="EJ141" s="65"/>
      <c r="EK141" s="65"/>
      <c r="EL141" s="65"/>
      <c r="EM141" s="65"/>
      <c r="EN141" s="65"/>
      <c r="EO141" s="65"/>
    </row>
    <row r="142" spans="1:145" s="62" customFormat="1" x14ac:dyDescent="0.2">
      <c r="A142" s="74">
        <v>5</v>
      </c>
      <c r="B142" s="162" t="s">
        <v>30</v>
      </c>
      <c r="C142" s="143"/>
      <c r="D142" s="157">
        <f t="shared" ref="D142:P142" si="27">SUM(D140:D141)</f>
        <v>729820543.33239198</v>
      </c>
      <c r="E142" s="157">
        <f t="shared" si="27"/>
        <v>647292178.66499126</v>
      </c>
      <c r="F142" s="157">
        <f t="shared" si="27"/>
        <v>637526456.39846253</v>
      </c>
      <c r="G142" s="157">
        <f t="shared" si="27"/>
        <v>693110662.08572364</v>
      </c>
      <c r="H142" s="157">
        <f t="shared" si="27"/>
        <v>739218535.51447773</v>
      </c>
      <c r="I142" s="157">
        <f t="shared" si="27"/>
        <v>858212483.06589365</v>
      </c>
      <c r="J142" s="157">
        <f t="shared" si="27"/>
        <v>904183703.4787091</v>
      </c>
      <c r="K142" s="157">
        <f t="shared" si="27"/>
        <v>909336954.91989505</v>
      </c>
      <c r="L142" s="157">
        <f t="shared" si="27"/>
        <v>934109372.601735</v>
      </c>
      <c r="M142" s="157">
        <f t="shared" si="27"/>
        <v>814590627.77572775</v>
      </c>
      <c r="N142" s="157">
        <f t="shared" si="27"/>
        <v>697250888.6399312</v>
      </c>
      <c r="O142" s="157">
        <f t="shared" si="27"/>
        <v>681618052.40882707</v>
      </c>
      <c r="P142" s="157">
        <f t="shared" si="27"/>
        <v>9246270458.8867683</v>
      </c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5"/>
      <c r="CT142" s="65"/>
      <c r="CU142" s="65"/>
      <c r="CV142" s="65"/>
      <c r="CW142" s="65"/>
      <c r="CX142" s="65"/>
      <c r="CY142" s="65"/>
      <c r="CZ142" s="65"/>
      <c r="DA142" s="65"/>
      <c r="DB142" s="65"/>
      <c r="DC142" s="65"/>
      <c r="DD142" s="65"/>
      <c r="DE142" s="65"/>
      <c r="DF142" s="65"/>
      <c r="DG142" s="65"/>
      <c r="DH142" s="65"/>
      <c r="DI142" s="65"/>
      <c r="DJ142" s="65"/>
      <c r="DK142" s="65"/>
      <c r="DL142" s="65"/>
      <c r="DM142" s="65"/>
      <c r="DN142" s="65"/>
      <c r="DO142" s="65"/>
      <c r="DP142" s="65"/>
      <c r="DQ142" s="65"/>
      <c r="DR142" s="65"/>
      <c r="DS142" s="65"/>
      <c r="DT142" s="65"/>
      <c r="DU142" s="65"/>
      <c r="DV142" s="65"/>
      <c r="DW142" s="65"/>
      <c r="DX142" s="65"/>
      <c r="DY142" s="65"/>
      <c r="DZ142" s="65"/>
      <c r="EA142" s="65"/>
      <c r="EB142" s="65"/>
      <c r="EC142" s="65"/>
      <c r="ED142" s="65"/>
      <c r="EE142" s="65"/>
      <c r="EF142" s="65"/>
      <c r="EG142" s="65"/>
      <c r="EH142" s="65"/>
      <c r="EI142" s="65"/>
      <c r="EJ142" s="65"/>
      <c r="EK142" s="65"/>
      <c r="EL142" s="65"/>
      <c r="EM142" s="65"/>
      <c r="EN142" s="65"/>
      <c r="EO142" s="65"/>
    </row>
    <row r="143" spans="1:145" s="62" customFormat="1" x14ac:dyDescent="0.2">
      <c r="B143" s="242"/>
      <c r="C143" s="143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22"/>
      <c r="P143" s="122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5"/>
      <c r="CT143" s="65"/>
      <c r="CU143" s="65"/>
      <c r="CV143" s="65"/>
      <c r="CW143" s="65"/>
      <c r="CX143" s="65"/>
      <c r="CY143" s="65"/>
      <c r="CZ143" s="65"/>
      <c r="DA143" s="65"/>
      <c r="DB143" s="65"/>
      <c r="DC143" s="65"/>
      <c r="DD143" s="65"/>
      <c r="DE143" s="65"/>
      <c r="DF143" s="65"/>
      <c r="DG143" s="65"/>
      <c r="DH143" s="65"/>
      <c r="DI143" s="65"/>
      <c r="DJ143" s="65"/>
      <c r="DK143" s="65"/>
      <c r="DL143" s="65"/>
      <c r="DM143" s="65"/>
      <c r="DN143" s="65"/>
      <c r="DO143" s="65"/>
      <c r="DP143" s="65"/>
      <c r="DQ143" s="65"/>
      <c r="DR143" s="65"/>
      <c r="DS143" s="65"/>
      <c r="DT143" s="65"/>
      <c r="DU143" s="65"/>
      <c r="DV143" s="65"/>
      <c r="DW143" s="65"/>
      <c r="DX143" s="65"/>
      <c r="DY143" s="65"/>
      <c r="DZ143" s="65"/>
      <c r="EA143" s="65"/>
      <c r="EB143" s="65"/>
      <c r="EC143" s="65"/>
      <c r="ED143" s="65"/>
      <c r="EE143" s="65"/>
      <c r="EF143" s="65"/>
      <c r="EG143" s="65"/>
      <c r="EH143" s="65"/>
      <c r="EI143" s="65"/>
      <c r="EJ143" s="65"/>
      <c r="EK143" s="65"/>
      <c r="EL143" s="65"/>
      <c r="EM143" s="65"/>
      <c r="EN143" s="65"/>
      <c r="EO143" s="65"/>
    </row>
    <row r="144" spans="1:145" s="62" customFormat="1" x14ac:dyDescent="0.2">
      <c r="A144" s="74">
        <v>6</v>
      </c>
      <c r="B144" s="146" t="s">
        <v>110</v>
      </c>
      <c r="C144" s="125" t="s">
        <v>17</v>
      </c>
      <c r="D144" s="122">
        <f t="shared" ref="D144:O144" si="28">D114+D82+D52+D22</f>
        <v>21459619.321497217</v>
      </c>
      <c r="E144" s="122">
        <f t="shared" si="28"/>
        <v>22211405.655266669</v>
      </c>
      <c r="F144" s="122">
        <f t="shared" si="28"/>
        <v>19410819.09695603</v>
      </c>
      <c r="G144" s="122">
        <f t="shared" si="28"/>
        <v>23022169.03653048</v>
      </c>
      <c r="H144" s="122">
        <f t="shared" si="28"/>
        <v>27639594.820237525</v>
      </c>
      <c r="I144" s="122">
        <f t="shared" si="28"/>
        <v>22879123.952145226</v>
      </c>
      <c r="J144" s="122">
        <f t="shared" si="28"/>
        <v>26078042.313006174</v>
      </c>
      <c r="K144" s="122">
        <f t="shared" si="28"/>
        <v>30988423.102910258</v>
      </c>
      <c r="L144" s="122">
        <f t="shared" si="28"/>
        <v>25678115.60294614</v>
      </c>
      <c r="M144" s="122">
        <f t="shared" si="28"/>
        <v>29243840.190119609</v>
      </c>
      <c r="N144" s="122">
        <f t="shared" si="28"/>
        <v>29990006.310883246</v>
      </c>
      <c r="O144" s="122">
        <f t="shared" si="28"/>
        <v>27450409.890242357</v>
      </c>
      <c r="P144" s="156">
        <f>SUM(D144:O144)</f>
        <v>306051569.29274088</v>
      </c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5"/>
      <c r="CT144" s="65"/>
      <c r="CU144" s="65"/>
      <c r="CV144" s="65"/>
      <c r="CW144" s="65"/>
      <c r="CX144" s="65"/>
      <c r="CY144" s="65"/>
      <c r="CZ144" s="65"/>
      <c r="DA144" s="65"/>
      <c r="DB144" s="65"/>
      <c r="DC144" s="65"/>
      <c r="DD144" s="65"/>
      <c r="DE144" s="65"/>
      <c r="DF144" s="65"/>
      <c r="DG144" s="65"/>
      <c r="DH144" s="65"/>
      <c r="DI144" s="65"/>
      <c r="DJ144" s="65"/>
      <c r="DK144" s="65"/>
      <c r="DL144" s="65"/>
      <c r="DM144" s="65"/>
      <c r="DN144" s="65"/>
      <c r="DO144" s="65"/>
      <c r="DP144" s="65"/>
      <c r="DQ144" s="65"/>
      <c r="DR144" s="65"/>
      <c r="DS144" s="65"/>
      <c r="DT144" s="65"/>
      <c r="DU144" s="65"/>
      <c r="DV144" s="65"/>
      <c r="DW144" s="65"/>
      <c r="DX144" s="65"/>
      <c r="DY144" s="65"/>
      <c r="DZ144" s="65"/>
      <c r="EA144" s="65"/>
      <c r="EB144" s="65"/>
      <c r="EC144" s="65"/>
      <c r="ED144" s="65"/>
      <c r="EE144" s="65"/>
      <c r="EF144" s="65"/>
      <c r="EG144" s="65"/>
      <c r="EH144" s="65"/>
      <c r="EI144" s="65"/>
      <c r="EJ144" s="65"/>
      <c r="EK144" s="65"/>
      <c r="EL144" s="65"/>
      <c r="EM144" s="65"/>
      <c r="EN144" s="65"/>
      <c r="EO144" s="65"/>
    </row>
    <row r="145" spans="1:145" s="62" customFormat="1" x14ac:dyDescent="0.2">
      <c r="A145" s="74">
        <v>7</v>
      </c>
      <c r="B145" s="146" t="s">
        <v>111</v>
      </c>
      <c r="C145" s="125" t="s">
        <v>17</v>
      </c>
      <c r="D145" s="123">
        <f t="shared" ref="D145:O145" si="29">D115+D83+D53+D23</f>
        <v>331650837.21071428</v>
      </c>
      <c r="E145" s="123">
        <f t="shared" si="29"/>
        <v>294327764.53269267</v>
      </c>
      <c r="F145" s="123">
        <f t="shared" si="29"/>
        <v>308666625.25799263</v>
      </c>
      <c r="G145" s="123">
        <f t="shared" si="29"/>
        <v>326769302.20538276</v>
      </c>
      <c r="H145" s="123">
        <f t="shared" si="29"/>
        <v>336306769.07056451</v>
      </c>
      <c r="I145" s="123">
        <f t="shared" si="29"/>
        <v>362507701.6887961</v>
      </c>
      <c r="J145" s="123">
        <f t="shared" si="29"/>
        <v>364831613.92018908</v>
      </c>
      <c r="K145" s="123">
        <f t="shared" si="29"/>
        <v>369425318.63324982</v>
      </c>
      <c r="L145" s="123">
        <f t="shared" si="29"/>
        <v>379063933.17867434</v>
      </c>
      <c r="M145" s="123">
        <f t="shared" si="29"/>
        <v>343417467.65104282</v>
      </c>
      <c r="N145" s="123">
        <f t="shared" si="29"/>
        <v>337782819.89531922</v>
      </c>
      <c r="O145" s="123">
        <f t="shared" si="29"/>
        <v>328944965</v>
      </c>
      <c r="P145" s="173">
        <f>SUM(D145:O145)</f>
        <v>4083695118.2446184</v>
      </c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  <c r="CW145" s="65"/>
      <c r="CX145" s="65"/>
      <c r="CY145" s="65"/>
      <c r="CZ145" s="65"/>
      <c r="DA145" s="65"/>
      <c r="DB145" s="65"/>
      <c r="DC145" s="65"/>
      <c r="DD145" s="65"/>
      <c r="DE145" s="65"/>
      <c r="DF145" s="65"/>
      <c r="DG145" s="65"/>
      <c r="DH145" s="65"/>
      <c r="DI145" s="65"/>
      <c r="DJ145" s="65"/>
      <c r="DK145" s="65"/>
      <c r="DL145" s="65"/>
      <c r="DM145" s="65"/>
      <c r="DN145" s="65"/>
      <c r="DO145" s="65"/>
      <c r="DP145" s="65"/>
      <c r="DQ145" s="65"/>
      <c r="DR145" s="65"/>
      <c r="DS145" s="65"/>
      <c r="DT145" s="65"/>
      <c r="DU145" s="65"/>
      <c r="DV145" s="65"/>
      <c r="DW145" s="65"/>
      <c r="DX145" s="65"/>
      <c r="DY145" s="65"/>
      <c r="DZ145" s="65"/>
      <c r="EA145" s="65"/>
      <c r="EB145" s="65"/>
      <c r="EC145" s="65"/>
      <c r="ED145" s="65"/>
      <c r="EE145" s="65"/>
      <c r="EF145" s="65"/>
      <c r="EG145" s="65"/>
      <c r="EH145" s="65"/>
      <c r="EI145" s="65"/>
      <c r="EJ145" s="65"/>
      <c r="EK145" s="65"/>
      <c r="EL145" s="65"/>
      <c r="EM145" s="65"/>
      <c r="EN145" s="65"/>
      <c r="EO145" s="65"/>
    </row>
    <row r="146" spans="1:145" s="62" customFormat="1" x14ac:dyDescent="0.2">
      <c r="A146" s="74">
        <v>8</v>
      </c>
      <c r="B146" s="129" t="s">
        <v>31</v>
      </c>
      <c r="C146" s="125"/>
      <c r="D146" s="122">
        <f t="shared" ref="D146:P146" si="30">SUM(D144:D145)</f>
        <v>353110456.53221148</v>
      </c>
      <c r="E146" s="122">
        <f t="shared" si="30"/>
        <v>316539170.18795931</v>
      </c>
      <c r="F146" s="122">
        <f t="shared" si="30"/>
        <v>328077444.35494864</v>
      </c>
      <c r="G146" s="122">
        <f t="shared" si="30"/>
        <v>349791471.24191326</v>
      </c>
      <c r="H146" s="122">
        <f t="shared" si="30"/>
        <v>363946363.89080203</v>
      </c>
      <c r="I146" s="122">
        <f t="shared" si="30"/>
        <v>385386825.64094132</v>
      </c>
      <c r="J146" s="122">
        <f t="shared" si="30"/>
        <v>390909656.23319525</v>
      </c>
      <c r="K146" s="122">
        <f t="shared" si="30"/>
        <v>400413741.7361601</v>
      </c>
      <c r="L146" s="122">
        <f t="shared" si="30"/>
        <v>404742048.7816205</v>
      </c>
      <c r="M146" s="122">
        <f t="shared" si="30"/>
        <v>372661307.84116244</v>
      </c>
      <c r="N146" s="122">
        <f t="shared" si="30"/>
        <v>367772826.20620245</v>
      </c>
      <c r="O146" s="122">
        <f t="shared" si="30"/>
        <v>356395374.89024234</v>
      </c>
      <c r="P146" s="122">
        <f t="shared" si="30"/>
        <v>4389746687.5373592</v>
      </c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  <c r="EH146" s="65"/>
      <c r="EI146" s="65"/>
      <c r="EJ146" s="65"/>
      <c r="EK146" s="65"/>
      <c r="EL146" s="65"/>
      <c r="EM146" s="65"/>
      <c r="EN146" s="65"/>
      <c r="EO146" s="65"/>
    </row>
    <row r="147" spans="1:145" s="62" customFormat="1" x14ac:dyDescent="0.2">
      <c r="A147" s="74"/>
      <c r="B147" s="129"/>
      <c r="C147" s="125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56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/>
      <c r="EJ147" s="65"/>
      <c r="EK147" s="65"/>
      <c r="EL147" s="65"/>
      <c r="EM147" s="65"/>
      <c r="EN147" s="65"/>
      <c r="EO147" s="65"/>
    </row>
    <row r="148" spans="1:145" s="62" customFormat="1" x14ac:dyDescent="0.2">
      <c r="A148" s="74">
        <v>9</v>
      </c>
      <c r="B148" s="162" t="s">
        <v>112</v>
      </c>
      <c r="C148" s="125" t="s">
        <v>18</v>
      </c>
      <c r="D148" s="122">
        <f t="shared" ref="D148:O148" si="31">D118+D86+D56+D26</f>
        <v>515314613.61851335</v>
      </c>
      <c r="E148" s="122">
        <f t="shared" si="31"/>
        <v>368607630.62200958</v>
      </c>
      <c r="F148" s="122">
        <f t="shared" si="31"/>
        <v>619387975.28787875</v>
      </c>
      <c r="G148" s="122">
        <f t="shared" si="31"/>
        <v>564553863.94736838</v>
      </c>
      <c r="H148" s="122">
        <f t="shared" si="31"/>
        <v>517228297.93103451</v>
      </c>
      <c r="I148" s="122">
        <f t="shared" si="31"/>
        <v>505698441.66666669</v>
      </c>
      <c r="J148" s="122">
        <f t="shared" si="31"/>
        <v>400948605.68181819</v>
      </c>
      <c r="K148" s="122">
        <f t="shared" si="31"/>
        <v>437686823.4649123</v>
      </c>
      <c r="L148" s="122">
        <f t="shared" si="31"/>
        <v>478636656.52173913</v>
      </c>
      <c r="M148" s="122">
        <f t="shared" si="31"/>
        <v>352669425.60975611</v>
      </c>
      <c r="N148" s="122">
        <f t="shared" si="31"/>
        <v>434729934.14634144</v>
      </c>
      <c r="O148" s="122">
        <f t="shared" si="31"/>
        <v>549534640</v>
      </c>
      <c r="P148" s="156">
        <f>SUM(D148:O148)</f>
        <v>5744996908.4980383</v>
      </c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/>
      <c r="DJ148" s="65"/>
      <c r="DK148" s="65"/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  <c r="EH148" s="65"/>
      <c r="EI148" s="65"/>
      <c r="EJ148" s="65"/>
      <c r="EK148" s="65"/>
      <c r="EL148" s="65"/>
      <c r="EM148" s="65"/>
      <c r="EN148" s="65"/>
      <c r="EO148" s="65"/>
    </row>
    <row r="149" spans="1:145" s="62" customFormat="1" x14ac:dyDescent="0.2">
      <c r="B149" s="129"/>
      <c r="C149" s="143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/>
      <c r="DJ149" s="65"/>
      <c r="DK149" s="65"/>
      <c r="DL149" s="65"/>
      <c r="DM149" s="65"/>
      <c r="DN149" s="65"/>
      <c r="DO149" s="65"/>
      <c r="DP149" s="65"/>
      <c r="DQ149" s="65"/>
      <c r="DR149" s="65"/>
      <c r="DS149" s="65"/>
      <c r="DT149" s="65"/>
      <c r="DU149" s="65"/>
      <c r="DV149" s="65"/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  <c r="EH149" s="65"/>
      <c r="EI149" s="65"/>
      <c r="EJ149" s="65"/>
      <c r="EK149" s="65"/>
      <c r="EL149" s="65"/>
      <c r="EM149" s="65"/>
      <c r="EN149" s="65"/>
      <c r="EO149" s="65"/>
    </row>
    <row r="150" spans="1:145" s="62" customFormat="1" x14ac:dyDescent="0.2">
      <c r="A150" s="74">
        <v>10</v>
      </c>
      <c r="B150" s="117" t="s">
        <v>33</v>
      </c>
      <c r="C150" s="125" t="s">
        <v>16</v>
      </c>
      <c r="D150" s="122">
        <f t="shared" ref="D150:O150" si="32">D120+D88+D58+D28</f>
        <v>21422412.681771513</v>
      </c>
      <c r="E150" s="122">
        <f t="shared" si="32"/>
        <v>21913054.501524076</v>
      </c>
      <c r="F150" s="122">
        <f t="shared" si="32"/>
        <v>21889856.170626879</v>
      </c>
      <c r="G150" s="122">
        <f t="shared" si="32"/>
        <v>21895083.223750707</v>
      </c>
      <c r="H150" s="122">
        <f t="shared" si="32"/>
        <v>21836611.180038001</v>
      </c>
      <c r="I150" s="122">
        <f t="shared" si="32"/>
        <v>21877544.6030754</v>
      </c>
      <c r="J150" s="122">
        <f t="shared" si="32"/>
        <v>22197937.700252589</v>
      </c>
      <c r="K150" s="122">
        <f t="shared" si="32"/>
        <v>21743799.268054388</v>
      </c>
      <c r="L150" s="122">
        <f t="shared" si="32"/>
        <v>21876118.63545049</v>
      </c>
      <c r="M150" s="122">
        <f t="shared" si="32"/>
        <v>21723016.918039136</v>
      </c>
      <c r="N150" s="122">
        <f t="shared" si="32"/>
        <v>21986600.555956513</v>
      </c>
      <c r="O150" s="122">
        <f t="shared" si="32"/>
        <v>21864010</v>
      </c>
      <c r="P150" s="156">
        <f>SUM(D150:O150)</f>
        <v>262226045.43853971</v>
      </c>
      <c r="Q150" s="70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/>
      <c r="DJ150" s="65"/>
      <c r="DK150" s="65"/>
      <c r="DL150" s="65"/>
      <c r="DM150" s="65"/>
      <c r="DN150" s="65"/>
      <c r="DO150" s="65"/>
      <c r="DP150" s="65"/>
      <c r="DQ150" s="65"/>
      <c r="DR150" s="65"/>
      <c r="DS150" s="65"/>
      <c r="DT150" s="65"/>
      <c r="DU150" s="65"/>
      <c r="DV150" s="65"/>
      <c r="DW150" s="65"/>
      <c r="DX150" s="65"/>
      <c r="DY150" s="65"/>
      <c r="DZ150" s="65"/>
      <c r="EA150" s="65"/>
      <c r="EB150" s="65"/>
      <c r="EC150" s="65"/>
      <c r="ED150" s="65"/>
      <c r="EE150" s="65"/>
      <c r="EF150" s="65"/>
      <c r="EG150" s="65"/>
      <c r="EH150" s="65"/>
      <c r="EI150" s="65"/>
      <c r="EJ150" s="65"/>
      <c r="EK150" s="65"/>
      <c r="EL150" s="65"/>
      <c r="EM150" s="65"/>
      <c r="EN150" s="65"/>
      <c r="EO150" s="65"/>
    </row>
    <row r="151" spans="1:145" s="62" customFormat="1" x14ac:dyDescent="0.2">
      <c r="A151" s="74"/>
      <c r="B151" s="129"/>
      <c r="C151" s="143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22"/>
      <c r="P151" s="122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5"/>
      <c r="DI151" s="65"/>
      <c r="DJ151" s="65"/>
      <c r="DK151" s="65"/>
      <c r="DL151" s="65"/>
      <c r="DM151" s="65"/>
      <c r="DN151" s="65"/>
      <c r="DO151" s="65"/>
      <c r="DP151" s="65"/>
      <c r="DQ151" s="65"/>
      <c r="DR151" s="65"/>
      <c r="DS151" s="65"/>
      <c r="DT151" s="65"/>
      <c r="DU151" s="65"/>
      <c r="DV151" s="65"/>
      <c r="DW151" s="65"/>
      <c r="DX151" s="65"/>
      <c r="DY151" s="65"/>
      <c r="DZ151" s="65"/>
      <c r="EA151" s="65"/>
      <c r="EB151" s="65"/>
      <c r="EC151" s="65"/>
      <c r="ED151" s="65"/>
      <c r="EE151" s="65"/>
      <c r="EF151" s="65"/>
      <c r="EG151" s="65"/>
      <c r="EH151" s="65"/>
      <c r="EI151" s="65"/>
      <c r="EJ151" s="65"/>
      <c r="EK151" s="65"/>
      <c r="EL151" s="65"/>
      <c r="EM151" s="65"/>
      <c r="EN151" s="65"/>
      <c r="EO151" s="65"/>
    </row>
    <row r="152" spans="1:145" s="62" customFormat="1" x14ac:dyDescent="0.2">
      <c r="A152" s="74">
        <v>11</v>
      </c>
      <c r="B152" s="183" t="s">
        <v>34</v>
      </c>
      <c r="C152" s="236"/>
      <c r="D152" s="184">
        <f>D150+D148+D146+D142+D138+D136</f>
        <v>2715849278.3617492</v>
      </c>
      <c r="E152" s="184">
        <f t="shared" ref="E152:P152" si="33">E150+E148+E146+E142+E138+E136</f>
        <v>2226337512.4217057</v>
      </c>
      <c r="F152" s="184">
        <f t="shared" si="33"/>
        <v>2365206387.1689758</v>
      </c>
      <c r="G152" s="184">
        <f t="shared" si="33"/>
        <v>2411929624.9082589</v>
      </c>
      <c r="H152" s="184">
        <f t="shared" si="33"/>
        <v>2543159444.5077133</v>
      </c>
      <c r="I152" s="184">
        <f t="shared" si="33"/>
        <v>3020396483.6152959</v>
      </c>
      <c r="J152" s="184">
        <f t="shared" si="33"/>
        <v>3094191284.2183313</v>
      </c>
      <c r="K152" s="184">
        <f t="shared" si="33"/>
        <v>3170248262.5555954</v>
      </c>
      <c r="L152" s="184">
        <f t="shared" si="33"/>
        <v>3179072281.0164394</v>
      </c>
      <c r="M152" s="184">
        <f t="shared" si="33"/>
        <v>2615256962.1533327</v>
      </c>
      <c r="N152" s="184">
        <f t="shared" si="33"/>
        <v>2334215942.0216546</v>
      </c>
      <c r="O152" s="184">
        <f t="shared" si="33"/>
        <v>2543861604</v>
      </c>
      <c r="P152" s="184">
        <f t="shared" si="33"/>
        <v>32219725066.949055</v>
      </c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/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5"/>
      <c r="DI152" s="65"/>
      <c r="DJ152" s="65"/>
      <c r="DK152" s="65"/>
      <c r="DL152" s="65"/>
      <c r="DM152" s="65"/>
      <c r="DN152" s="65"/>
      <c r="DO152" s="65"/>
      <c r="DP152" s="65"/>
      <c r="DQ152" s="65"/>
      <c r="DR152" s="65"/>
      <c r="DS152" s="65"/>
      <c r="DT152" s="65"/>
      <c r="DU152" s="65"/>
      <c r="DV152" s="65"/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  <c r="EH152" s="65"/>
      <c r="EI152" s="65"/>
      <c r="EJ152" s="65"/>
      <c r="EK152" s="65"/>
      <c r="EL152" s="65"/>
      <c r="EM152" s="65"/>
      <c r="EN152" s="65"/>
      <c r="EO152" s="65"/>
    </row>
    <row r="153" spans="1:145" s="62" customFormat="1" x14ac:dyDescent="0.2">
      <c r="B153" s="236"/>
      <c r="C153" s="236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56"/>
      <c r="P153" s="156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65"/>
      <c r="CQ153" s="65"/>
      <c r="CR153" s="65"/>
      <c r="CS153" s="65"/>
      <c r="CT153" s="65"/>
      <c r="CU153" s="65"/>
      <c r="CV153" s="65"/>
      <c r="CW153" s="65"/>
      <c r="CX153" s="65"/>
      <c r="CY153" s="65"/>
      <c r="CZ153" s="65"/>
      <c r="DA153" s="65"/>
      <c r="DB153" s="65"/>
      <c r="DC153" s="65"/>
      <c r="DD153" s="65"/>
      <c r="DE153" s="65"/>
      <c r="DF153" s="65"/>
      <c r="DG153" s="65"/>
      <c r="DH153" s="65"/>
      <c r="DI153" s="65"/>
      <c r="DJ153" s="65"/>
      <c r="DK153" s="65"/>
      <c r="DL153" s="65"/>
      <c r="DM153" s="65"/>
      <c r="DN153" s="65"/>
      <c r="DO153" s="65"/>
      <c r="DP153" s="65"/>
      <c r="DQ153" s="65"/>
      <c r="DR153" s="65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  <c r="EF153" s="65"/>
      <c r="EG153" s="65"/>
      <c r="EH153" s="65"/>
      <c r="EI153" s="65"/>
      <c r="EJ153" s="65"/>
      <c r="EK153" s="65"/>
      <c r="EL153" s="65"/>
      <c r="EM153" s="65"/>
      <c r="EN153" s="65"/>
      <c r="EO153" s="65"/>
    </row>
    <row r="154" spans="1:145" s="62" customFormat="1" x14ac:dyDescent="0.2">
      <c r="A154" s="74">
        <v>12</v>
      </c>
      <c r="B154" s="148" t="s">
        <v>91</v>
      </c>
      <c r="C154" s="125" t="s">
        <v>17</v>
      </c>
      <c r="D154" s="122">
        <f t="shared" ref="D154:O154" si="34">D124+D92+D62+D32</f>
        <v>0</v>
      </c>
      <c r="E154" s="122">
        <f t="shared" si="34"/>
        <v>0</v>
      </c>
      <c r="F154" s="122">
        <f t="shared" si="34"/>
        <v>0</v>
      </c>
      <c r="G154" s="122">
        <f t="shared" si="34"/>
        <v>0</v>
      </c>
      <c r="H154" s="122">
        <f t="shared" si="34"/>
        <v>0</v>
      </c>
      <c r="I154" s="122">
        <f t="shared" si="34"/>
        <v>0</v>
      </c>
      <c r="J154" s="122">
        <f t="shared" si="34"/>
        <v>0</v>
      </c>
      <c r="K154" s="122">
        <f t="shared" si="34"/>
        <v>0</v>
      </c>
      <c r="L154" s="122">
        <f t="shared" si="34"/>
        <v>0</v>
      </c>
      <c r="M154" s="122">
        <f t="shared" si="34"/>
        <v>0</v>
      </c>
      <c r="N154" s="122">
        <f t="shared" si="34"/>
        <v>0</v>
      </c>
      <c r="O154" s="122">
        <f t="shared" si="34"/>
        <v>0</v>
      </c>
      <c r="P154" s="156">
        <f>SUM(D154:O154)</f>
        <v>0</v>
      </c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65"/>
      <c r="CQ154" s="65"/>
      <c r="CR154" s="65"/>
      <c r="CS154" s="65"/>
      <c r="CT154" s="65"/>
      <c r="CU154" s="65"/>
      <c r="CV154" s="65"/>
      <c r="CW154" s="65"/>
      <c r="CX154" s="65"/>
      <c r="CY154" s="65"/>
      <c r="CZ154" s="65"/>
      <c r="DA154" s="65"/>
      <c r="DB154" s="65"/>
      <c r="DC154" s="65"/>
      <c r="DD154" s="65"/>
      <c r="DE154" s="65"/>
      <c r="DF154" s="65"/>
      <c r="DG154" s="65"/>
      <c r="DH154" s="65"/>
      <c r="DI154" s="65"/>
      <c r="DJ154" s="65"/>
      <c r="DK154" s="65"/>
      <c r="DL154" s="65"/>
      <c r="DM154" s="65"/>
      <c r="DN154" s="65"/>
      <c r="DO154" s="65"/>
      <c r="DP154" s="65"/>
      <c r="DQ154" s="65"/>
      <c r="DR154" s="65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  <c r="EF154" s="65"/>
      <c r="EG154" s="65"/>
      <c r="EH154" s="65"/>
      <c r="EI154" s="65"/>
      <c r="EJ154" s="65"/>
      <c r="EK154" s="65"/>
      <c r="EL154" s="65"/>
      <c r="EM154" s="65"/>
      <c r="EN154" s="65"/>
      <c r="EO154" s="65"/>
    </row>
    <row r="155" spans="1:145" s="62" customFormat="1" x14ac:dyDescent="0.2">
      <c r="A155" s="74">
        <v>13</v>
      </c>
      <c r="B155" s="148" t="s">
        <v>92</v>
      </c>
      <c r="C155" s="125" t="s">
        <v>18</v>
      </c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73">
        <f>SUM(D155:O155)</f>
        <v>0</v>
      </c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5"/>
      <c r="DI155" s="65"/>
      <c r="DJ155" s="65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/>
      <c r="EM155" s="65"/>
      <c r="EN155" s="65"/>
      <c r="EO155" s="65"/>
    </row>
    <row r="156" spans="1:145" s="62" customFormat="1" x14ac:dyDescent="0.2">
      <c r="A156" s="74">
        <v>14</v>
      </c>
      <c r="B156" s="183" t="s">
        <v>35</v>
      </c>
      <c r="C156" s="238"/>
      <c r="D156" s="169">
        <f t="shared" ref="D156:P156" si="35">SUM(D154:D155)</f>
        <v>0</v>
      </c>
      <c r="E156" s="169">
        <f t="shared" si="35"/>
        <v>0</v>
      </c>
      <c r="F156" s="169">
        <f t="shared" si="35"/>
        <v>0</v>
      </c>
      <c r="G156" s="169">
        <f t="shared" si="35"/>
        <v>0</v>
      </c>
      <c r="H156" s="169">
        <f t="shared" si="35"/>
        <v>0</v>
      </c>
      <c r="I156" s="169">
        <f t="shared" si="35"/>
        <v>0</v>
      </c>
      <c r="J156" s="169">
        <f t="shared" si="35"/>
        <v>0</v>
      </c>
      <c r="K156" s="169">
        <f t="shared" si="35"/>
        <v>0</v>
      </c>
      <c r="L156" s="169">
        <f t="shared" si="35"/>
        <v>0</v>
      </c>
      <c r="M156" s="169">
        <f t="shared" si="35"/>
        <v>0</v>
      </c>
      <c r="N156" s="169">
        <f t="shared" si="35"/>
        <v>0</v>
      </c>
      <c r="O156" s="156">
        <f t="shared" si="35"/>
        <v>0</v>
      </c>
      <c r="P156" s="156">
        <f t="shared" si="35"/>
        <v>0</v>
      </c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5"/>
      <c r="DI156" s="65"/>
      <c r="DJ156" s="65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  <c r="EH156" s="65"/>
      <c r="EI156" s="65"/>
      <c r="EJ156" s="65"/>
      <c r="EK156" s="65"/>
      <c r="EL156" s="65"/>
      <c r="EM156" s="65"/>
      <c r="EN156" s="65"/>
      <c r="EO156" s="65"/>
    </row>
    <row r="157" spans="1:145" s="62" customFormat="1" x14ac:dyDescent="0.2">
      <c r="A157" s="74"/>
      <c r="B157" s="129"/>
      <c r="C157" s="185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22"/>
      <c r="P157" s="122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65"/>
      <c r="CQ157" s="65"/>
      <c r="CR157" s="65"/>
      <c r="CS157" s="65"/>
      <c r="CT157" s="65"/>
      <c r="CU157" s="65"/>
      <c r="CV157" s="65"/>
      <c r="CW157" s="65"/>
      <c r="CX157" s="65"/>
      <c r="CY157" s="65"/>
      <c r="CZ157" s="65"/>
      <c r="DA157" s="65"/>
      <c r="DB157" s="65"/>
      <c r="DC157" s="65"/>
      <c r="DD157" s="65"/>
      <c r="DE157" s="65"/>
      <c r="DF157" s="65"/>
      <c r="DG157" s="65"/>
      <c r="DH157" s="65"/>
      <c r="DI157" s="65"/>
      <c r="DJ157" s="65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  <c r="EF157" s="65"/>
      <c r="EG157" s="65"/>
      <c r="EH157" s="65"/>
      <c r="EI157" s="65"/>
      <c r="EJ157" s="65"/>
      <c r="EK157" s="65"/>
      <c r="EL157" s="65"/>
      <c r="EM157" s="65"/>
      <c r="EN157" s="65"/>
      <c r="EO157" s="65"/>
    </row>
    <row r="158" spans="1:145" s="62" customFormat="1" ht="12" thickBot="1" x14ac:dyDescent="0.25">
      <c r="A158" s="74">
        <v>15</v>
      </c>
      <c r="B158" s="243" t="str">
        <f>B36</f>
        <v>TOTAL AEP TEXAS</v>
      </c>
      <c r="C158" s="238"/>
      <c r="D158" s="244">
        <f t="shared" ref="D158:P158" si="36">+D156+D152</f>
        <v>2715849278.3617492</v>
      </c>
      <c r="E158" s="244">
        <f t="shared" si="36"/>
        <v>2226337512.4217057</v>
      </c>
      <c r="F158" s="244">
        <f t="shared" si="36"/>
        <v>2365206387.1689758</v>
      </c>
      <c r="G158" s="244">
        <f t="shared" si="36"/>
        <v>2411929624.9082589</v>
      </c>
      <c r="H158" s="244">
        <f t="shared" si="36"/>
        <v>2543159444.5077133</v>
      </c>
      <c r="I158" s="244">
        <f t="shared" si="36"/>
        <v>3020396483.6152959</v>
      </c>
      <c r="J158" s="244">
        <f t="shared" si="36"/>
        <v>3094191284.2183313</v>
      </c>
      <c r="K158" s="244">
        <f t="shared" si="36"/>
        <v>3170248262.5555954</v>
      </c>
      <c r="L158" s="244">
        <f t="shared" si="36"/>
        <v>3179072281.0164394</v>
      </c>
      <c r="M158" s="244">
        <f t="shared" si="36"/>
        <v>2615256962.1533327</v>
      </c>
      <c r="N158" s="244">
        <f t="shared" si="36"/>
        <v>2334215942.0216546</v>
      </c>
      <c r="O158" s="244">
        <f t="shared" si="36"/>
        <v>2543861604</v>
      </c>
      <c r="P158" s="244">
        <f t="shared" si="36"/>
        <v>32219725066.949055</v>
      </c>
      <c r="Q158" s="70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65"/>
      <c r="CQ158" s="65"/>
      <c r="CR158" s="65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65"/>
      <c r="DH158" s="65"/>
      <c r="DI158" s="65"/>
      <c r="DJ158" s="65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  <c r="EF158" s="65"/>
      <c r="EG158" s="65"/>
      <c r="EH158" s="65"/>
      <c r="EI158" s="65"/>
      <c r="EJ158" s="65"/>
      <c r="EK158" s="65"/>
      <c r="EL158" s="65"/>
      <c r="EM158" s="65"/>
      <c r="EN158" s="65"/>
      <c r="EO158" s="65"/>
    </row>
    <row r="159" spans="1:145" ht="12" thickTop="1" x14ac:dyDescent="0.2">
      <c r="A159" s="64"/>
      <c r="B159" s="271"/>
      <c r="C159" s="143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56"/>
    </row>
    <row r="160" spans="1:145" x14ac:dyDescent="0.2">
      <c r="B160" s="388" t="str">
        <f>B7</f>
        <v>AEP TEXAS</v>
      </c>
      <c r="C160" s="388"/>
      <c r="D160" s="388"/>
      <c r="E160" s="388"/>
      <c r="F160" s="388"/>
      <c r="G160" s="388"/>
      <c r="H160" s="388"/>
      <c r="I160" s="388"/>
      <c r="J160" s="388"/>
      <c r="K160" s="388"/>
      <c r="L160" s="388"/>
      <c r="M160" s="388"/>
      <c r="N160" s="388"/>
      <c r="O160" s="388"/>
      <c r="P160" s="325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</row>
    <row r="161" spans="1:145" x14ac:dyDescent="0.2">
      <c r="B161" s="388" t="s">
        <v>24</v>
      </c>
      <c r="C161" s="388"/>
      <c r="D161" s="388"/>
      <c r="E161" s="388"/>
      <c r="F161" s="388"/>
      <c r="G161" s="388"/>
      <c r="H161" s="388"/>
      <c r="I161" s="388"/>
      <c r="J161" s="388"/>
      <c r="K161" s="388"/>
      <c r="L161" s="388"/>
      <c r="M161" s="388"/>
      <c r="N161" s="388"/>
      <c r="O161" s="388"/>
      <c r="P161" s="326"/>
      <c r="Q161" s="147"/>
      <c r="R161" s="148" t="s">
        <v>60</v>
      </c>
      <c r="S161" s="146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</row>
    <row r="162" spans="1:145" x14ac:dyDescent="0.2">
      <c r="B162" s="388" t="str">
        <f>B9</f>
        <v>FOR TEST YEAR ENDED DECEMBER 31, 2018</v>
      </c>
      <c r="C162" s="388"/>
      <c r="D162" s="388"/>
      <c r="E162" s="388"/>
      <c r="F162" s="388"/>
      <c r="G162" s="388"/>
      <c r="H162" s="388"/>
      <c r="I162" s="388"/>
      <c r="J162" s="388"/>
      <c r="K162" s="388"/>
      <c r="L162" s="388"/>
      <c r="M162" s="388"/>
      <c r="N162" s="388"/>
      <c r="O162" s="388"/>
      <c r="P162" s="326"/>
      <c r="Q162" s="240" t="s">
        <v>59</v>
      </c>
      <c r="R162" s="241">
        <v>1.0801400000000001</v>
      </c>
      <c r="S162" s="146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</row>
    <row r="163" spans="1:145" customFormat="1" ht="12.75" x14ac:dyDescent="0.2"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326"/>
      <c r="Q163" s="239" t="s">
        <v>58</v>
      </c>
      <c r="R163" s="245">
        <v>1.0508</v>
      </c>
      <c r="S163" s="126"/>
    </row>
    <row r="164" spans="1:145" x14ac:dyDescent="0.2">
      <c r="B164" s="175"/>
      <c r="C164" s="174"/>
      <c r="D164" s="287"/>
      <c r="E164" s="177"/>
      <c r="F164" s="177"/>
      <c r="G164" s="287"/>
      <c r="H164" s="177"/>
      <c r="I164" s="177"/>
      <c r="J164" s="157"/>
      <c r="K164" s="177"/>
      <c r="L164" s="177"/>
      <c r="M164" s="177"/>
      <c r="N164" s="177"/>
      <c r="O164" s="178"/>
      <c r="P164" s="326"/>
      <c r="Q164" s="246" t="s">
        <v>57</v>
      </c>
      <c r="R164" s="241">
        <v>1.01745</v>
      </c>
      <c r="S164" s="146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</row>
    <row r="165" spans="1:145" x14ac:dyDescent="0.2">
      <c r="A165" s="38" t="s">
        <v>20</v>
      </c>
      <c r="B165" s="237" t="s">
        <v>0</v>
      </c>
      <c r="C165" s="237" t="s">
        <v>19</v>
      </c>
      <c r="D165" s="164" t="str">
        <f>D12</f>
        <v>JANUARY</v>
      </c>
      <c r="E165" s="164" t="str">
        <f>E12</f>
        <v>FEBRUARY</v>
      </c>
      <c r="F165" s="164" t="str">
        <f>F12</f>
        <v>MARCH</v>
      </c>
      <c r="G165" s="164" t="str">
        <f>G12</f>
        <v>APRIL</v>
      </c>
      <c r="H165" s="164" t="str">
        <f t="shared" ref="H165:N165" si="37">H12</f>
        <v>MAY</v>
      </c>
      <c r="I165" s="164" t="str">
        <f t="shared" si="37"/>
        <v>JUNE</v>
      </c>
      <c r="J165" s="164" t="str">
        <f t="shared" si="37"/>
        <v>JULY</v>
      </c>
      <c r="K165" s="164" t="str">
        <f t="shared" si="37"/>
        <v>AUGUST</v>
      </c>
      <c r="L165" s="164" t="str">
        <f t="shared" si="37"/>
        <v>SEPTEMBER</v>
      </c>
      <c r="M165" s="164" t="str">
        <f t="shared" si="37"/>
        <v>OCTOBER</v>
      </c>
      <c r="N165" s="164" t="str">
        <f t="shared" si="37"/>
        <v>NOVEMBER</v>
      </c>
      <c r="O165" s="164" t="s">
        <v>45</v>
      </c>
      <c r="P165" s="179" t="s">
        <v>14</v>
      </c>
      <c r="Q165" s="148"/>
      <c r="R165" s="146"/>
      <c r="S165" s="146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</row>
    <row r="166" spans="1:145" s="62" customFormat="1" x14ac:dyDescent="0.2">
      <c r="A166" s="74"/>
      <c r="B166" s="180"/>
      <c r="C166" s="181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65"/>
    </row>
    <row r="167" spans="1:145" s="62" customFormat="1" x14ac:dyDescent="0.2">
      <c r="A167" s="74" t="s">
        <v>21</v>
      </c>
      <c r="B167" s="129" t="s">
        <v>29</v>
      </c>
      <c r="C167" s="143" t="s">
        <v>16</v>
      </c>
      <c r="D167" s="122">
        <f t="shared" ref="D167:O167" si="38">$R$162*D14</f>
        <v>1282952753.8945801</v>
      </c>
      <c r="E167" s="122">
        <f t="shared" si="38"/>
        <v>951370682.16456008</v>
      </c>
      <c r="F167" s="122">
        <f t="shared" si="38"/>
        <v>759213971.66990006</v>
      </c>
      <c r="G167" s="122">
        <f t="shared" si="38"/>
        <v>796310768.61066008</v>
      </c>
      <c r="H167" s="122">
        <f t="shared" si="38"/>
        <v>883697780.04834008</v>
      </c>
      <c r="I167" s="122">
        <f t="shared" si="38"/>
        <v>1348548696.9302602</v>
      </c>
      <c r="J167" s="122">
        <f t="shared" si="38"/>
        <v>1412039401.7400601</v>
      </c>
      <c r="K167" s="122">
        <f t="shared" si="38"/>
        <v>1433514111.17788</v>
      </c>
      <c r="L167" s="122">
        <f t="shared" si="38"/>
        <v>1383662888.2599001</v>
      </c>
      <c r="M167" s="122">
        <f t="shared" si="38"/>
        <v>1079120058.3624802</v>
      </c>
      <c r="N167" s="122">
        <f t="shared" si="38"/>
        <v>818959946.67468011</v>
      </c>
      <c r="O167" s="122">
        <f t="shared" si="38"/>
        <v>923663765.83278012</v>
      </c>
      <c r="P167" s="127">
        <f>SUM(D167:O167)</f>
        <v>13073054825.366081</v>
      </c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65"/>
      <c r="CQ167" s="65"/>
      <c r="CR167" s="65"/>
      <c r="CS167" s="65"/>
      <c r="CT167" s="65"/>
      <c r="CU167" s="65"/>
      <c r="CV167" s="65"/>
      <c r="CW167" s="65"/>
      <c r="CX167" s="65"/>
      <c r="CY167" s="65"/>
      <c r="CZ167" s="65"/>
      <c r="DA167" s="65"/>
      <c r="DB167" s="65"/>
      <c r="DC167" s="65"/>
      <c r="DD167" s="65"/>
      <c r="DE167" s="65"/>
      <c r="DF167" s="65"/>
      <c r="DG167" s="65"/>
      <c r="DH167" s="65"/>
      <c r="DI167" s="65"/>
      <c r="DJ167" s="65"/>
      <c r="DK167" s="65"/>
      <c r="DL167" s="65"/>
      <c r="DM167" s="65"/>
      <c r="DN167" s="65"/>
      <c r="DO167" s="65"/>
      <c r="DP167" s="65"/>
      <c r="DQ167" s="65"/>
      <c r="DR167" s="65"/>
      <c r="DS167" s="65"/>
      <c r="DT167" s="65"/>
      <c r="DU167" s="65"/>
      <c r="DV167" s="65"/>
      <c r="DW167" s="65"/>
      <c r="DX167" s="65"/>
      <c r="DY167" s="65"/>
      <c r="DZ167" s="65"/>
      <c r="EA167" s="65"/>
      <c r="EB167" s="65"/>
      <c r="EC167" s="65"/>
      <c r="ED167" s="65"/>
      <c r="EE167" s="65"/>
      <c r="EF167" s="65"/>
      <c r="EG167" s="65"/>
      <c r="EH167" s="65"/>
      <c r="EI167" s="65"/>
      <c r="EJ167" s="65"/>
      <c r="EK167" s="65"/>
      <c r="EL167" s="65"/>
      <c r="EM167" s="65"/>
      <c r="EN167" s="65"/>
    </row>
    <row r="168" spans="1:145" s="62" customFormat="1" x14ac:dyDescent="0.2">
      <c r="B168" s="129"/>
      <c r="C168" s="143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56"/>
      <c r="O168" s="156"/>
      <c r="P168" s="127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/>
      <c r="CB168" s="65"/>
      <c r="CC168" s="65"/>
      <c r="CD168" s="65"/>
      <c r="CE168" s="65"/>
      <c r="CF168" s="65"/>
      <c r="CG168" s="65"/>
      <c r="CH168" s="65"/>
      <c r="CI168" s="65"/>
      <c r="CJ168" s="65"/>
      <c r="CK168" s="65"/>
      <c r="CL168" s="65"/>
      <c r="CM168" s="65"/>
      <c r="CN168" s="65"/>
      <c r="CO168" s="65"/>
      <c r="CP168" s="65"/>
      <c r="CQ168" s="65"/>
      <c r="CR168" s="65"/>
      <c r="CS168" s="65"/>
      <c r="CT168" s="65"/>
      <c r="CU168" s="65"/>
      <c r="CV168" s="65"/>
      <c r="CW168" s="65"/>
      <c r="CX168" s="65"/>
      <c r="CY168" s="65"/>
      <c r="CZ168" s="65"/>
      <c r="DA168" s="65"/>
      <c r="DB168" s="65"/>
      <c r="DC168" s="65"/>
      <c r="DD168" s="65"/>
      <c r="DE168" s="65"/>
      <c r="DF168" s="65"/>
      <c r="DG168" s="65"/>
      <c r="DH168" s="65"/>
      <c r="DI168" s="65"/>
      <c r="DJ168" s="65"/>
      <c r="DK168" s="65"/>
      <c r="DL168" s="65"/>
      <c r="DM168" s="65"/>
      <c r="DN168" s="65"/>
      <c r="DO168" s="65"/>
      <c r="DP168" s="65"/>
      <c r="DQ168" s="65"/>
      <c r="DR168" s="65"/>
      <c r="DS168" s="65"/>
      <c r="DT168" s="65"/>
      <c r="DU168" s="65"/>
      <c r="DV168" s="65"/>
      <c r="DW168" s="65"/>
      <c r="DX168" s="65"/>
      <c r="DY168" s="65"/>
      <c r="DZ168" s="65"/>
      <c r="EA168" s="65"/>
      <c r="EB168" s="65"/>
      <c r="EC168" s="65"/>
      <c r="ED168" s="65"/>
      <c r="EE168" s="65"/>
      <c r="EF168" s="65"/>
      <c r="EG168" s="65"/>
      <c r="EH168" s="65"/>
      <c r="EI168" s="65"/>
      <c r="EJ168" s="65"/>
      <c r="EK168" s="65"/>
      <c r="EL168" s="65"/>
      <c r="EM168" s="65"/>
      <c r="EN168" s="65"/>
    </row>
    <row r="169" spans="1:145" s="62" customFormat="1" x14ac:dyDescent="0.2">
      <c r="A169" s="74">
        <v>2</v>
      </c>
      <c r="B169" s="129" t="s">
        <v>32</v>
      </c>
      <c r="C169" s="143" t="s">
        <v>16</v>
      </c>
      <c r="D169" s="122">
        <f t="shared" ref="D169:O169" si="39">$R$162*D16</f>
        <v>56586031.915620007</v>
      </c>
      <c r="E169" s="122">
        <f t="shared" si="39"/>
        <v>47534180.039500006</v>
      </c>
      <c r="F169" s="122">
        <f t="shared" si="39"/>
        <v>44734251.932900004</v>
      </c>
      <c r="G169" s="122">
        <f t="shared" si="39"/>
        <v>46684204.911820002</v>
      </c>
      <c r="H169" s="122">
        <f t="shared" si="39"/>
        <v>47520563.794660002</v>
      </c>
      <c r="I169" s="122">
        <f t="shared" si="39"/>
        <v>58112380.990040004</v>
      </c>
      <c r="J169" s="122">
        <f t="shared" si="39"/>
        <v>59585249.092640005</v>
      </c>
      <c r="K169" s="122">
        <f t="shared" si="39"/>
        <v>59875483.790780008</v>
      </c>
      <c r="L169" s="122">
        <f t="shared" si="39"/>
        <v>59612607.958700009</v>
      </c>
      <c r="M169" s="122">
        <f t="shared" si="39"/>
        <v>52357370.226820007</v>
      </c>
      <c r="N169" s="122">
        <f t="shared" si="39"/>
        <v>46064289.882880002</v>
      </c>
      <c r="O169" s="156">
        <f t="shared" si="39"/>
        <v>48458599.496120006</v>
      </c>
      <c r="P169" s="127">
        <f>SUM(D169:O169)</f>
        <v>627125214.03248</v>
      </c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/>
      <c r="CB169" s="65"/>
      <c r="CC169" s="65"/>
      <c r="CD169" s="65"/>
      <c r="CE169" s="65"/>
      <c r="CF169" s="65"/>
      <c r="CG169" s="65"/>
      <c r="CH169" s="65"/>
      <c r="CI169" s="65"/>
      <c r="CJ169" s="65"/>
      <c r="CK169" s="65"/>
      <c r="CL169" s="65"/>
      <c r="CM169" s="65"/>
      <c r="CN169" s="65"/>
      <c r="CO169" s="65"/>
      <c r="CP169" s="65"/>
      <c r="CQ169" s="65"/>
      <c r="CR169" s="65"/>
      <c r="CS169" s="65"/>
      <c r="CT169" s="65"/>
      <c r="CU169" s="65"/>
      <c r="CV169" s="65"/>
      <c r="CW169" s="65"/>
      <c r="CX169" s="65"/>
      <c r="CY169" s="65"/>
      <c r="CZ169" s="65"/>
      <c r="DA169" s="65"/>
      <c r="DB169" s="65"/>
      <c r="DC169" s="65"/>
      <c r="DD169" s="65"/>
      <c r="DE169" s="65"/>
      <c r="DF169" s="65"/>
      <c r="DG169" s="65"/>
      <c r="DH169" s="65"/>
      <c r="DI169" s="65"/>
      <c r="DJ169" s="65"/>
      <c r="DK169" s="65"/>
      <c r="DL169" s="65"/>
      <c r="DM169" s="65"/>
      <c r="DN169" s="65"/>
      <c r="DO169" s="65"/>
      <c r="DP169" s="65"/>
      <c r="DQ169" s="65"/>
      <c r="DR169" s="65"/>
      <c r="DS169" s="65"/>
      <c r="DT169" s="65"/>
      <c r="DU169" s="65"/>
      <c r="DV169" s="65"/>
      <c r="DW169" s="65"/>
      <c r="DX169" s="65"/>
      <c r="DY169" s="65"/>
      <c r="DZ169" s="65"/>
      <c r="EA169" s="65"/>
      <c r="EB169" s="65"/>
      <c r="EC169" s="65"/>
      <c r="ED169" s="65"/>
      <c r="EE169" s="65"/>
      <c r="EF169" s="65"/>
      <c r="EG169" s="65"/>
      <c r="EH169" s="65"/>
      <c r="EI169" s="65"/>
      <c r="EJ169" s="65"/>
      <c r="EK169" s="65"/>
      <c r="EL169" s="65"/>
      <c r="EM169" s="65"/>
      <c r="EN169" s="65"/>
    </row>
    <row r="170" spans="1:145" s="62" customFormat="1" x14ac:dyDescent="0.2">
      <c r="A170" s="74"/>
      <c r="B170" s="129"/>
      <c r="C170" s="143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56"/>
      <c r="P170" s="127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/>
      <c r="CB170" s="65"/>
      <c r="CC170" s="65"/>
      <c r="CD170" s="65"/>
      <c r="CE170" s="65"/>
      <c r="CF170" s="65"/>
      <c r="CG170" s="65"/>
      <c r="CH170" s="65"/>
      <c r="CI170" s="65"/>
      <c r="CJ170" s="65"/>
      <c r="CK170" s="65"/>
      <c r="CL170" s="65"/>
      <c r="CM170" s="65"/>
      <c r="CN170" s="65"/>
      <c r="CO170" s="65"/>
      <c r="CP170" s="65"/>
      <c r="CQ170" s="65"/>
      <c r="CR170" s="65"/>
      <c r="CS170" s="65"/>
      <c r="CT170" s="65"/>
      <c r="CU170" s="65"/>
      <c r="CV170" s="65"/>
      <c r="CW170" s="65"/>
      <c r="CX170" s="65"/>
      <c r="CY170" s="65"/>
      <c r="CZ170" s="65"/>
      <c r="DA170" s="65"/>
      <c r="DB170" s="65"/>
      <c r="DC170" s="65"/>
      <c r="DD170" s="65"/>
      <c r="DE170" s="65"/>
      <c r="DF170" s="65"/>
      <c r="DG170" s="65"/>
      <c r="DH170" s="65"/>
      <c r="DI170" s="65"/>
      <c r="DJ170" s="65"/>
      <c r="DK170" s="65"/>
      <c r="DL170" s="65"/>
      <c r="DM170" s="65"/>
      <c r="DN170" s="65"/>
      <c r="DO170" s="65"/>
      <c r="DP170" s="65"/>
      <c r="DQ170" s="65"/>
      <c r="DR170" s="65"/>
      <c r="DS170" s="65"/>
      <c r="DT170" s="65"/>
      <c r="DU170" s="65"/>
      <c r="DV170" s="65"/>
      <c r="DW170" s="65"/>
      <c r="DX170" s="65"/>
      <c r="DY170" s="65"/>
      <c r="DZ170" s="65"/>
      <c r="EA170" s="65"/>
      <c r="EB170" s="65"/>
      <c r="EC170" s="65"/>
      <c r="ED170" s="65"/>
      <c r="EE170" s="65"/>
      <c r="EF170" s="65"/>
      <c r="EG170" s="65"/>
      <c r="EH170" s="65"/>
      <c r="EI170" s="65"/>
      <c r="EJ170" s="65"/>
      <c r="EK170" s="65"/>
      <c r="EL170" s="65"/>
      <c r="EM170" s="65"/>
      <c r="EN170" s="65"/>
    </row>
    <row r="171" spans="1:145" s="62" customFormat="1" x14ac:dyDescent="0.2">
      <c r="A171" s="74">
        <v>3</v>
      </c>
      <c r="B171" s="146" t="s">
        <v>113</v>
      </c>
      <c r="C171" s="125" t="s">
        <v>16</v>
      </c>
      <c r="D171" s="142">
        <f t="shared" ref="D171:O171" si="40">$R$162*D18</f>
        <v>667265371.3117801</v>
      </c>
      <c r="E171" s="142">
        <f t="shared" si="40"/>
        <v>600649480.15774</v>
      </c>
      <c r="F171" s="142">
        <f t="shared" si="40"/>
        <v>603736274.00582004</v>
      </c>
      <c r="G171" s="142">
        <f t="shared" si="40"/>
        <v>653660236.79182005</v>
      </c>
      <c r="H171" s="142">
        <f t="shared" si="40"/>
        <v>678746377.03740001</v>
      </c>
      <c r="I171" s="142">
        <f t="shared" si="40"/>
        <v>841892220.79158008</v>
      </c>
      <c r="J171" s="142">
        <f t="shared" si="40"/>
        <v>851717539.31890011</v>
      </c>
      <c r="K171" s="142">
        <f t="shared" si="40"/>
        <v>860980674.1400001</v>
      </c>
      <c r="L171" s="142">
        <f t="shared" si="40"/>
        <v>870959811.08416009</v>
      </c>
      <c r="M171" s="142">
        <f t="shared" si="40"/>
        <v>755385876.65968013</v>
      </c>
      <c r="N171" s="142">
        <f t="shared" si="40"/>
        <v>632785703.90458012</v>
      </c>
      <c r="O171" s="156">
        <f t="shared" si="40"/>
        <v>627272856.20880008</v>
      </c>
      <c r="P171" s="127">
        <f>SUM(D171:O171)</f>
        <v>8645052421.412262</v>
      </c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/>
      <c r="CB171" s="65"/>
      <c r="CC171" s="65"/>
      <c r="CD171" s="65"/>
      <c r="CE171" s="65"/>
      <c r="CF171" s="65"/>
      <c r="CG171" s="65"/>
      <c r="CH171" s="65"/>
      <c r="CI171" s="65"/>
      <c r="CJ171" s="65"/>
      <c r="CK171" s="65"/>
      <c r="CL171" s="65"/>
      <c r="CM171" s="65"/>
      <c r="CN171" s="65"/>
      <c r="CO171" s="65"/>
      <c r="CP171" s="65"/>
      <c r="CQ171" s="65"/>
      <c r="CR171" s="65"/>
      <c r="CS171" s="65"/>
      <c r="CT171" s="65"/>
      <c r="CU171" s="65"/>
      <c r="CV171" s="65"/>
      <c r="CW171" s="65"/>
      <c r="CX171" s="65"/>
      <c r="CY171" s="65"/>
      <c r="CZ171" s="65"/>
      <c r="DA171" s="65"/>
      <c r="DB171" s="65"/>
      <c r="DC171" s="65"/>
      <c r="DD171" s="65"/>
      <c r="DE171" s="65"/>
      <c r="DF171" s="65"/>
      <c r="DG171" s="65"/>
      <c r="DH171" s="65"/>
      <c r="DI171" s="65"/>
      <c r="DJ171" s="65"/>
      <c r="DK171" s="65"/>
      <c r="DL171" s="65"/>
      <c r="DM171" s="65"/>
      <c r="DN171" s="65"/>
      <c r="DO171" s="65"/>
      <c r="DP171" s="65"/>
      <c r="DQ171" s="65"/>
      <c r="DR171" s="65"/>
      <c r="DS171" s="65"/>
      <c r="DT171" s="65"/>
      <c r="DU171" s="65"/>
      <c r="DV171" s="65"/>
      <c r="DW171" s="65"/>
      <c r="DX171" s="65"/>
      <c r="DY171" s="65"/>
      <c r="DZ171" s="65"/>
      <c r="EA171" s="65"/>
      <c r="EB171" s="65"/>
      <c r="EC171" s="65"/>
      <c r="ED171" s="65"/>
      <c r="EE171" s="65"/>
      <c r="EF171" s="65"/>
      <c r="EG171" s="65"/>
      <c r="EH171" s="65"/>
      <c r="EI171" s="65"/>
      <c r="EJ171" s="65"/>
      <c r="EK171" s="65"/>
      <c r="EL171" s="65"/>
      <c r="EM171" s="65"/>
      <c r="EN171" s="65"/>
    </row>
    <row r="172" spans="1:145" s="62" customFormat="1" x14ac:dyDescent="0.2">
      <c r="A172" s="74">
        <v>4</v>
      </c>
      <c r="B172" s="146" t="s">
        <v>114</v>
      </c>
      <c r="C172" s="125" t="s">
        <v>16</v>
      </c>
      <c r="D172" s="123">
        <f t="shared" ref="D172:O172" si="41">$R$162*D19</f>
        <v>111562441.36352001</v>
      </c>
      <c r="E172" s="123">
        <f t="shared" si="41"/>
        <v>95274079.222840011</v>
      </c>
      <c r="F172" s="123">
        <f t="shared" si="41"/>
        <v>95957127.354640007</v>
      </c>
      <c r="G172" s="123">
        <f t="shared" si="41"/>
        <v>100039825.40468001</v>
      </c>
      <c r="H172" s="123">
        <f t="shared" si="41"/>
        <v>103992692.78700002</v>
      </c>
      <c r="I172" s="123">
        <f t="shared" si="41"/>
        <v>109938909.93302001</v>
      </c>
      <c r="J172" s="123">
        <f t="shared" si="41"/>
        <v>121934916.68938001</v>
      </c>
      <c r="K172" s="123">
        <f t="shared" si="41"/>
        <v>116392384.58612001</v>
      </c>
      <c r="L172" s="123">
        <f t="shared" si="41"/>
        <v>132407412.97924002</v>
      </c>
      <c r="M172" s="123">
        <f t="shared" si="41"/>
        <v>116487049.13586001</v>
      </c>
      <c r="N172" s="123">
        <f t="shared" si="41"/>
        <v>104185794.81550001</v>
      </c>
      <c r="O172" s="123">
        <f t="shared" si="41"/>
        <v>99964017.939060003</v>
      </c>
      <c r="P172" s="167">
        <f>SUM(D172:O172)</f>
        <v>1308136652.2108603</v>
      </c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/>
      <c r="CB172" s="65"/>
      <c r="CC172" s="65"/>
      <c r="CD172" s="65"/>
      <c r="CE172" s="65"/>
      <c r="CF172" s="65"/>
      <c r="CG172" s="65"/>
      <c r="CH172" s="65"/>
      <c r="CI172" s="65"/>
      <c r="CJ172" s="65"/>
      <c r="CK172" s="65"/>
      <c r="CL172" s="65"/>
      <c r="CM172" s="65"/>
      <c r="CN172" s="65"/>
      <c r="CO172" s="65"/>
      <c r="CP172" s="65"/>
      <c r="CQ172" s="65"/>
      <c r="CR172" s="65"/>
      <c r="CS172" s="65"/>
      <c r="CT172" s="65"/>
      <c r="CU172" s="65"/>
      <c r="CV172" s="65"/>
      <c r="CW172" s="65"/>
      <c r="CX172" s="65"/>
      <c r="CY172" s="65"/>
      <c r="CZ172" s="65"/>
      <c r="DA172" s="65"/>
      <c r="DB172" s="65"/>
      <c r="DC172" s="65"/>
      <c r="DD172" s="65"/>
      <c r="DE172" s="65"/>
      <c r="DF172" s="65"/>
      <c r="DG172" s="65"/>
      <c r="DH172" s="65"/>
      <c r="DI172" s="65"/>
      <c r="DJ172" s="65"/>
      <c r="DK172" s="65"/>
      <c r="DL172" s="65"/>
      <c r="DM172" s="65"/>
      <c r="DN172" s="65"/>
      <c r="DO172" s="65"/>
      <c r="DP172" s="65"/>
      <c r="DQ172" s="65"/>
      <c r="DR172" s="65"/>
      <c r="DS172" s="65"/>
      <c r="DT172" s="65"/>
      <c r="DU172" s="65"/>
      <c r="DV172" s="65"/>
      <c r="DW172" s="65"/>
      <c r="DX172" s="65"/>
      <c r="DY172" s="65"/>
      <c r="DZ172" s="65"/>
      <c r="EA172" s="65"/>
      <c r="EB172" s="65"/>
      <c r="EC172" s="65"/>
      <c r="ED172" s="65"/>
      <c r="EE172" s="65"/>
      <c r="EF172" s="65"/>
      <c r="EG172" s="65"/>
      <c r="EH172" s="65"/>
      <c r="EI172" s="65"/>
      <c r="EJ172" s="65"/>
      <c r="EK172" s="65"/>
      <c r="EL172" s="65"/>
      <c r="EM172" s="65"/>
      <c r="EN172" s="65"/>
    </row>
    <row r="173" spans="1:145" s="62" customFormat="1" x14ac:dyDescent="0.2">
      <c r="A173" s="74">
        <v>5</v>
      </c>
      <c r="B173" s="162" t="s">
        <v>30</v>
      </c>
      <c r="C173" s="143"/>
      <c r="D173" s="157">
        <f t="shared" ref="D173:P173" si="42">SUM(D171:D172)</f>
        <v>778827812.67530012</v>
      </c>
      <c r="E173" s="157">
        <f t="shared" si="42"/>
        <v>695923559.38057995</v>
      </c>
      <c r="F173" s="157">
        <f t="shared" si="42"/>
        <v>699693401.36046004</v>
      </c>
      <c r="G173" s="157">
        <f t="shared" si="42"/>
        <v>753700062.19650006</v>
      </c>
      <c r="H173" s="157">
        <f t="shared" si="42"/>
        <v>782739069.82440007</v>
      </c>
      <c r="I173" s="157">
        <f t="shared" si="42"/>
        <v>951831130.72460008</v>
      </c>
      <c r="J173" s="157">
        <f t="shared" si="42"/>
        <v>973652456.00828016</v>
      </c>
      <c r="K173" s="157">
        <f t="shared" si="42"/>
        <v>977373058.72612011</v>
      </c>
      <c r="L173" s="157">
        <f t="shared" si="42"/>
        <v>1003367224.0634001</v>
      </c>
      <c r="M173" s="157">
        <f t="shared" si="42"/>
        <v>871872925.79554009</v>
      </c>
      <c r="N173" s="157">
        <f t="shared" si="42"/>
        <v>736971498.72008014</v>
      </c>
      <c r="O173" s="157">
        <f t="shared" si="42"/>
        <v>727236874.14786005</v>
      </c>
      <c r="P173" s="157">
        <f t="shared" si="42"/>
        <v>9953189073.6231232</v>
      </c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/>
      <c r="CB173" s="65"/>
      <c r="CC173" s="65"/>
      <c r="CD173" s="65"/>
      <c r="CE173" s="65"/>
      <c r="CF173" s="65"/>
      <c r="CG173" s="65"/>
      <c r="CH173" s="65"/>
      <c r="CI173" s="65"/>
      <c r="CJ173" s="65"/>
      <c r="CK173" s="65"/>
      <c r="CL173" s="65"/>
      <c r="CM173" s="65"/>
      <c r="CN173" s="65"/>
      <c r="CO173" s="65"/>
      <c r="CP173" s="65"/>
      <c r="CQ173" s="65"/>
      <c r="CR173" s="65"/>
      <c r="CS173" s="65"/>
      <c r="CT173" s="65"/>
      <c r="CU173" s="65"/>
      <c r="CV173" s="65"/>
      <c r="CW173" s="65"/>
      <c r="CX173" s="65"/>
      <c r="CY173" s="65"/>
      <c r="CZ173" s="65"/>
      <c r="DA173" s="65"/>
      <c r="DB173" s="65"/>
      <c r="DC173" s="65"/>
      <c r="DD173" s="65"/>
      <c r="DE173" s="65"/>
      <c r="DF173" s="65"/>
      <c r="DG173" s="65"/>
      <c r="DH173" s="65"/>
      <c r="DI173" s="65"/>
      <c r="DJ173" s="65"/>
      <c r="DK173" s="65"/>
      <c r="DL173" s="65"/>
      <c r="DM173" s="65"/>
      <c r="DN173" s="65"/>
      <c r="DO173" s="65"/>
      <c r="DP173" s="65"/>
      <c r="DQ173" s="65"/>
      <c r="DR173" s="65"/>
      <c r="DS173" s="65"/>
      <c r="DT173" s="65"/>
      <c r="DU173" s="65"/>
      <c r="DV173" s="65"/>
      <c r="DW173" s="65"/>
      <c r="DX173" s="65"/>
      <c r="DY173" s="65"/>
      <c r="DZ173" s="65"/>
      <c r="EA173" s="65"/>
      <c r="EB173" s="65"/>
      <c r="EC173" s="65"/>
      <c r="ED173" s="65"/>
      <c r="EE173" s="65"/>
      <c r="EF173" s="65"/>
      <c r="EG173" s="65"/>
      <c r="EH173" s="65"/>
      <c r="EI173" s="65"/>
      <c r="EJ173" s="65"/>
      <c r="EK173" s="65"/>
      <c r="EL173" s="65"/>
      <c r="EM173" s="65"/>
      <c r="EN173" s="65"/>
    </row>
    <row r="174" spans="1:145" s="62" customFormat="1" x14ac:dyDescent="0.2">
      <c r="B174" s="242"/>
      <c r="C174" s="143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22"/>
      <c r="O174" s="122"/>
      <c r="P174" s="127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/>
      <c r="CB174" s="65"/>
      <c r="CC174" s="65"/>
      <c r="CD174" s="65"/>
      <c r="CE174" s="65"/>
      <c r="CF174" s="65"/>
      <c r="CG174" s="65"/>
      <c r="CH174" s="65"/>
      <c r="CI174" s="65"/>
      <c r="CJ174" s="65"/>
      <c r="CK174" s="65"/>
      <c r="CL174" s="65"/>
      <c r="CM174" s="65"/>
      <c r="CN174" s="65"/>
      <c r="CO174" s="65"/>
      <c r="CP174" s="65"/>
      <c r="CQ174" s="65"/>
      <c r="CR174" s="65"/>
      <c r="CS174" s="65"/>
      <c r="CT174" s="65"/>
      <c r="CU174" s="65"/>
      <c r="CV174" s="65"/>
      <c r="CW174" s="65"/>
      <c r="CX174" s="65"/>
      <c r="CY174" s="65"/>
      <c r="CZ174" s="65"/>
      <c r="DA174" s="65"/>
      <c r="DB174" s="65"/>
      <c r="DC174" s="65"/>
      <c r="DD174" s="65"/>
      <c r="DE174" s="65"/>
      <c r="DF174" s="65"/>
      <c r="DG174" s="65"/>
      <c r="DH174" s="65"/>
      <c r="DI174" s="65"/>
      <c r="DJ174" s="65"/>
      <c r="DK174" s="65"/>
      <c r="DL174" s="65"/>
      <c r="DM174" s="65"/>
      <c r="DN174" s="65"/>
      <c r="DO174" s="65"/>
      <c r="DP174" s="65"/>
      <c r="DQ174" s="65"/>
      <c r="DR174" s="65"/>
      <c r="DS174" s="65"/>
      <c r="DT174" s="65"/>
      <c r="DU174" s="65"/>
      <c r="DV174" s="65"/>
      <c r="DW174" s="65"/>
      <c r="DX174" s="65"/>
      <c r="DY174" s="65"/>
      <c r="DZ174" s="65"/>
      <c r="EA174" s="65"/>
      <c r="EB174" s="65"/>
      <c r="EC174" s="65"/>
      <c r="ED174" s="65"/>
      <c r="EE174" s="65"/>
      <c r="EF174" s="65"/>
      <c r="EG174" s="65"/>
      <c r="EH174" s="65"/>
      <c r="EI174" s="65"/>
      <c r="EJ174" s="65"/>
      <c r="EK174" s="65"/>
      <c r="EL174" s="65"/>
      <c r="EM174" s="65"/>
      <c r="EN174" s="65"/>
    </row>
    <row r="175" spans="1:145" s="62" customFormat="1" x14ac:dyDescent="0.2">
      <c r="A175" s="74">
        <v>6</v>
      </c>
      <c r="B175" s="146" t="s">
        <v>110</v>
      </c>
      <c r="C175" s="125" t="s">
        <v>17</v>
      </c>
      <c r="D175" s="142">
        <f t="shared" ref="D175:O175" si="43">$R$163*D22</f>
        <v>23920334.491599999</v>
      </c>
      <c r="E175" s="142">
        <f t="shared" si="43"/>
        <v>23363165.655200001</v>
      </c>
      <c r="F175" s="142">
        <f t="shared" si="43"/>
        <v>22598211.626800001</v>
      </c>
      <c r="G175" s="142">
        <f t="shared" si="43"/>
        <v>24779130.213999998</v>
      </c>
      <c r="H175" s="142">
        <f t="shared" si="43"/>
        <v>25250456.046</v>
      </c>
      <c r="I175" s="142">
        <f t="shared" si="43"/>
        <v>29179745.060799997</v>
      </c>
      <c r="J175" s="142">
        <f t="shared" si="43"/>
        <v>26498728.686799999</v>
      </c>
      <c r="K175" s="142">
        <f t="shared" si="43"/>
        <v>31239809.038399998</v>
      </c>
      <c r="L175" s="142">
        <f t="shared" si="43"/>
        <v>27253671.7436</v>
      </c>
      <c r="M175" s="142">
        <f t="shared" si="43"/>
        <v>30301559.1756</v>
      </c>
      <c r="N175" s="142">
        <f t="shared" si="43"/>
        <v>28169485.9756</v>
      </c>
      <c r="O175" s="142">
        <f t="shared" si="43"/>
        <v>26656627.148800001</v>
      </c>
      <c r="P175" s="127">
        <f>SUM(D175:O175)</f>
        <v>319210924.86320001</v>
      </c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/>
      <c r="CB175" s="65"/>
      <c r="CC175" s="65"/>
      <c r="CD175" s="65"/>
      <c r="CE175" s="65"/>
      <c r="CF175" s="65"/>
      <c r="CG175" s="65"/>
      <c r="CH175" s="65"/>
      <c r="CI175" s="65"/>
      <c r="CJ175" s="65"/>
      <c r="CK175" s="65"/>
      <c r="CL175" s="65"/>
      <c r="CM175" s="65"/>
      <c r="CN175" s="65"/>
      <c r="CO175" s="65"/>
      <c r="CP175" s="65"/>
      <c r="CQ175" s="65"/>
      <c r="CR175" s="65"/>
      <c r="CS175" s="65"/>
      <c r="CT175" s="65"/>
      <c r="CU175" s="65"/>
      <c r="CV175" s="65"/>
      <c r="CW175" s="65"/>
      <c r="CX175" s="65"/>
      <c r="CY175" s="65"/>
      <c r="CZ175" s="65"/>
      <c r="DA175" s="65"/>
      <c r="DB175" s="65"/>
      <c r="DC175" s="65"/>
      <c r="DD175" s="65"/>
      <c r="DE175" s="65"/>
      <c r="DF175" s="65"/>
      <c r="DG175" s="65"/>
      <c r="DH175" s="65"/>
      <c r="DI175" s="65"/>
      <c r="DJ175" s="65"/>
      <c r="DK175" s="65"/>
      <c r="DL175" s="65"/>
      <c r="DM175" s="65"/>
      <c r="DN175" s="65"/>
      <c r="DO175" s="65"/>
      <c r="DP175" s="65"/>
      <c r="DQ175" s="65"/>
      <c r="DR175" s="65"/>
      <c r="DS175" s="65"/>
      <c r="DT175" s="65"/>
      <c r="DU175" s="65"/>
      <c r="DV175" s="65"/>
      <c r="DW175" s="65"/>
      <c r="DX175" s="65"/>
      <c r="DY175" s="65"/>
      <c r="DZ175" s="65"/>
      <c r="EA175" s="65"/>
      <c r="EB175" s="65"/>
      <c r="EC175" s="65"/>
      <c r="ED175" s="65"/>
      <c r="EE175" s="65"/>
      <c r="EF175" s="65"/>
      <c r="EG175" s="65"/>
      <c r="EH175" s="65"/>
      <c r="EI175" s="65"/>
      <c r="EJ175" s="65"/>
      <c r="EK175" s="65"/>
      <c r="EL175" s="65"/>
      <c r="EM175" s="65"/>
      <c r="EN175" s="65"/>
    </row>
    <row r="176" spans="1:145" s="62" customFormat="1" x14ac:dyDescent="0.2">
      <c r="A176" s="74">
        <v>7</v>
      </c>
      <c r="B176" s="146" t="s">
        <v>111</v>
      </c>
      <c r="C176" s="125" t="s">
        <v>17</v>
      </c>
      <c r="D176" s="123">
        <f t="shared" ref="D176:O176" si="44">$R$163*D23</f>
        <v>345172988.97399998</v>
      </c>
      <c r="E176" s="123">
        <f t="shared" si="44"/>
        <v>307216881.4016</v>
      </c>
      <c r="F176" s="123">
        <f t="shared" si="44"/>
        <v>328059227.24439996</v>
      </c>
      <c r="G176" s="123">
        <f t="shared" si="44"/>
        <v>336912168.90759999</v>
      </c>
      <c r="H176" s="123">
        <f t="shared" si="44"/>
        <v>355925797.00239998</v>
      </c>
      <c r="I176" s="123">
        <f t="shared" si="44"/>
        <v>389023565.45120001</v>
      </c>
      <c r="J176" s="123">
        <f t="shared" si="44"/>
        <v>383488499.56879997</v>
      </c>
      <c r="K176" s="123">
        <f t="shared" si="44"/>
        <v>386656699.3976</v>
      </c>
      <c r="L176" s="123">
        <f t="shared" si="44"/>
        <v>399014050.65439999</v>
      </c>
      <c r="M176" s="123">
        <f t="shared" si="44"/>
        <v>364926239.46160001</v>
      </c>
      <c r="N176" s="123">
        <f t="shared" si="44"/>
        <v>355368426.41240001</v>
      </c>
      <c r="O176" s="123">
        <f t="shared" si="44"/>
        <v>345655369.222</v>
      </c>
      <c r="P176" s="167">
        <f>SUM(D176:O176)</f>
        <v>4297419913.698</v>
      </c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/>
      <c r="CB176" s="65"/>
      <c r="CC176" s="65"/>
      <c r="CD176" s="65"/>
      <c r="CE176" s="65"/>
      <c r="CF176" s="65"/>
      <c r="CG176" s="65"/>
      <c r="CH176" s="65"/>
      <c r="CI176" s="65"/>
      <c r="CJ176" s="65"/>
      <c r="CK176" s="65"/>
      <c r="CL176" s="65"/>
      <c r="CM176" s="65"/>
      <c r="CN176" s="65"/>
      <c r="CO176" s="65"/>
      <c r="CP176" s="65"/>
      <c r="CQ176" s="65"/>
      <c r="CR176" s="65"/>
      <c r="CS176" s="65"/>
      <c r="CT176" s="65"/>
      <c r="CU176" s="65"/>
      <c r="CV176" s="65"/>
      <c r="CW176" s="65"/>
      <c r="CX176" s="65"/>
      <c r="CY176" s="65"/>
      <c r="CZ176" s="65"/>
      <c r="DA176" s="65"/>
      <c r="DB176" s="65"/>
      <c r="DC176" s="65"/>
      <c r="DD176" s="65"/>
      <c r="DE176" s="65"/>
      <c r="DF176" s="65"/>
      <c r="DG176" s="65"/>
      <c r="DH176" s="65"/>
      <c r="DI176" s="65"/>
      <c r="DJ176" s="65"/>
      <c r="DK176" s="65"/>
      <c r="DL176" s="65"/>
      <c r="DM176" s="65"/>
      <c r="DN176" s="65"/>
      <c r="DO176" s="65"/>
      <c r="DP176" s="65"/>
      <c r="DQ176" s="65"/>
      <c r="DR176" s="65"/>
      <c r="DS176" s="65"/>
      <c r="DT176" s="65"/>
      <c r="DU176" s="65"/>
      <c r="DV176" s="65"/>
      <c r="DW176" s="65"/>
      <c r="DX176" s="65"/>
      <c r="DY176" s="65"/>
      <c r="DZ176" s="65"/>
      <c r="EA176" s="65"/>
      <c r="EB176" s="65"/>
      <c r="EC176" s="65"/>
      <c r="ED176" s="65"/>
      <c r="EE176" s="65"/>
      <c r="EF176" s="65"/>
      <c r="EG176" s="65"/>
      <c r="EH176" s="65"/>
      <c r="EI176" s="65"/>
      <c r="EJ176" s="65"/>
      <c r="EK176" s="65"/>
      <c r="EL176" s="65"/>
      <c r="EM176" s="65"/>
      <c r="EN176" s="65"/>
    </row>
    <row r="177" spans="1:145" s="62" customFormat="1" x14ac:dyDescent="0.2">
      <c r="A177" s="74">
        <v>8</v>
      </c>
      <c r="B177" s="129" t="s">
        <v>31</v>
      </c>
      <c r="C177" s="125"/>
      <c r="D177" s="122">
        <f t="shared" ref="D177:P177" si="45">SUM(D175:D176)</f>
        <v>369093323.46559995</v>
      </c>
      <c r="E177" s="122">
        <f t="shared" si="45"/>
        <v>330580047.05680001</v>
      </c>
      <c r="F177" s="122">
        <f t="shared" si="45"/>
        <v>350657438.87119997</v>
      </c>
      <c r="G177" s="122">
        <f t="shared" si="45"/>
        <v>361691299.12159997</v>
      </c>
      <c r="H177" s="122">
        <f t="shared" si="45"/>
        <v>381176253.04839998</v>
      </c>
      <c r="I177" s="122">
        <f t="shared" si="45"/>
        <v>418203310.51200002</v>
      </c>
      <c r="J177" s="122">
        <f t="shared" si="45"/>
        <v>409987228.25559998</v>
      </c>
      <c r="K177" s="122">
        <f t="shared" si="45"/>
        <v>417896508.43599999</v>
      </c>
      <c r="L177" s="122">
        <f t="shared" si="45"/>
        <v>426267722.398</v>
      </c>
      <c r="M177" s="122">
        <f t="shared" si="45"/>
        <v>395227798.6372</v>
      </c>
      <c r="N177" s="122">
        <f t="shared" si="45"/>
        <v>383537912.38800001</v>
      </c>
      <c r="O177" s="122">
        <f t="shared" si="45"/>
        <v>372311996.37080002</v>
      </c>
      <c r="P177" s="122">
        <f t="shared" si="45"/>
        <v>4616630838.5612001</v>
      </c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/>
      <c r="CB177" s="65"/>
      <c r="CC177" s="65"/>
      <c r="CD177" s="65"/>
      <c r="CE177" s="65"/>
      <c r="CF177" s="65"/>
      <c r="CG177" s="65"/>
      <c r="CH177" s="65"/>
      <c r="CI177" s="65"/>
      <c r="CJ177" s="65"/>
      <c r="CK177" s="65"/>
      <c r="CL177" s="65"/>
      <c r="CM177" s="65"/>
      <c r="CN177" s="65"/>
      <c r="CO177" s="65"/>
      <c r="CP177" s="65"/>
      <c r="CQ177" s="65"/>
      <c r="CR177" s="65"/>
      <c r="CS177" s="65"/>
      <c r="CT177" s="65"/>
      <c r="CU177" s="65"/>
      <c r="CV177" s="65"/>
      <c r="CW177" s="65"/>
      <c r="CX177" s="65"/>
      <c r="CY177" s="65"/>
      <c r="CZ177" s="65"/>
      <c r="DA177" s="65"/>
      <c r="DB177" s="65"/>
      <c r="DC177" s="65"/>
      <c r="DD177" s="65"/>
      <c r="DE177" s="65"/>
      <c r="DF177" s="65"/>
      <c r="DG177" s="65"/>
      <c r="DH177" s="65"/>
      <c r="DI177" s="65"/>
      <c r="DJ177" s="65"/>
      <c r="DK177" s="65"/>
      <c r="DL177" s="65"/>
      <c r="DM177" s="65"/>
      <c r="DN177" s="65"/>
      <c r="DO177" s="65"/>
      <c r="DP177" s="65"/>
      <c r="DQ177" s="65"/>
      <c r="DR177" s="65"/>
      <c r="DS177" s="65"/>
      <c r="DT177" s="65"/>
      <c r="DU177" s="65"/>
      <c r="DV177" s="65"/>
      <c r="DW177" s="65"/>
      <c r="DX177" s="65"/>
      <c r="DY177" s="65"/>
      <c r="DZ177" s="65"/>
      <c r="EA177" s="65"/>
      <c r="EB177" s="65"/>
      <c r="EC177" s="65"/>
      <c r="ED177" s="65"/>
      <c r="EE177" s="65"/>
      <c r="EF177" s="65"/>
      <c r="EG177" s="65"/>
      <c r="EH177" s="65"/>
      <c r="EI177" s="65"/>
      <c r="EJ177" s="65"/>
      <c r="EK177" s="65"/>
      <c r="EL177" s="65"/>
      <c r="EM177" s="65"/>
      <c r="EN177" s="65"/>
    </row>
    <row r="178" spans="1:145" s="62" customFormat="1" x14ac:dyDescent="0.2">
      <c r="A178" s="74"/>
      <c r="B178" s="129"/>
      <c r="C178" s="125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7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/>
      <c r="CB178" s="65"/>
      <c r="CC178" s="65"/>
      <c r="CD178" s="65"/>
      <c r="CE178" s="65"/>
      <c r="CF178" s="65"/>
      <c r="CG178" s="65"/>
      <c r="CH178" s="65"/>
      <c r="CI178" s="65"/>
      <c r="CJ178" s="65"/>
      <c r="CK178" s="65"/>
      <c r="CL178" s="65"/>
      <c r="CM178" s="65"/>
      <c r="CN178" s="65"/>
      <c r="CO178" s="65"/>
      <c r="CP178" s="65"/>
      <c r="CQ178" s="65"/>
      <c r="CR178" s="65"/>
      <c r="CS178" s="65"/>
      <c r="CT178" s="65"/>
      <c r="CU178" s="65"/>
      <c r="CV178" s="65"/>
      <c r="CW178" s="65"/>
      <c r="CX178" s="65"/>
      <c r="CY178" s="65"/>
      <c r="CZ178" s="65"/>
      <c r="DA178" s="65"/>
      <c r="DB178" s="65"/>
      <c r="DC178" s="65"/>
      <c r="DD178" s="65"/>
      <c r="DE178" s="65"/>
      <c r="DF178" s="65"/>
      <c r="DG178" s="65"/>
      <c r="DH178" s="65"/>
      <c r="DI178" s="65"/>
      <c r="DJ178" s="65"/>
      <c r="DK178" s="65"/>
      <c r="DL178" s="65"/>
      <c r="DM178" s="65"/>
      <c r="DN178" s="65"/>
      <c r="DO178" s="65"/>
      <c r="DP178" s="65"/>
      <c r="DQ178" s="65"/>
      <c r="DR178" s="65"/>
      <c r="DS178" s="65"/>
      <c r="DT178" s="65"/>
      <c r="DU178" s="65"/>
      <c r="DV178" s="65"/>
      <c r="DW178" s="65"/>
      <c r="DX178" s="65"/>
      <c r="DY178" s="65"/>
      <c r="DZ178" s="65"/>
      <c r="EA178" s="65"/>
      <c r="EB178" s="65"/>
      <c r="EC178" s="65"/>
      <c r="ED178" s="65"/>
      <c r="EE178" s="65"/>
      <c r="EF178" s="65"/>
      <c r="EG178" s="65"/>
      <c r="EH178" s="65"/>
      <c r="EI178" s="65"/>
      <c r="EJ178" s="65"/>
      <c r="EK178" s="65"/>
      <c r="EL178" s="65"/>
      <c r="EM178" s="65"/>
      <c r="EN178" s="65"/>
    </row>
    <row r="179" spans="1:145" s="62" customFormat="1" x14ac:dyDescent="0.2">
      <c r="A179" s="74">
        <v>9</v>
      </c>
      <c r="B179" s="162" t="s">
        <v>112</v>
      </c>
      <c r="C179" s="125" t="s">
        <v>18</v>
      </c>
      <c r="D179" s="142">
        <f t="shared" ref="D179:O179" si="46">$R$164*D26</f>
        <v>539980324.31384993</v>
      </c>
      <c r="E179" s="142">
        <f t="shared" si="46"/>
        <v>355214621.49075001</v>
      </c>
      <c r="F179" s="142">
        <f t="shared" si="46"/>
        <v>578258803.79505002</v>
      </c>
      <c r="G179" s="142">
        <f t="shared" si="46"/>
        <v>545828722.55414999</v>
      </c>
      <c r="H179" s="142">
        <f t="shared" si="46"/>
        <v>509837178.66479999</v>
      </c>
      <c r="I179" s="142">
        <f t="shared" si="46"/>
        <v>513737467.42500001</v>
      </c>
      <c r="J179" s="142">
        <f t="shared" si="46"/>
        <v>374755807.90619999</v>
      </c>
      <c r="K179" s="142">
        <f t="shared" si="46"/>
        <v>423229938.13800001</v>
      </c>
      <c r="L179" s="142">
        <f t="shared" si="46"/>
        <v>485412294.31379998</v>
      </c>
      <c r="M179" s="142">
        <f t="shared" si="46"/>
        <v>251210773.62360001</v>
      </c>
      <c r="N179" s="142">
        <f t="shared" si="46"/>
        <v>600442187.80139995</v>
      </c>
      <c r="O179" s="142">
        <f t="shared" si="46"/>
        <v>370440460.59299999</v>
      </c>
      <c r="P179" s="127">
        <f>SUM(D179:O179)</f>
        <v>5548348580.6196012</v>
      </c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  <c r="CB179" s="65"/>
      <c r="CC179" s="65"/>
      <c r="CD179" s="65"/>
      <c r="CE179" s="65"/>
      <c r="CF179" s="65"/>
      <c r="CG179" s="65"/>
      <c r="CH179" s="65"/>
      <c r="CI179" s="65"/>
      <c r="CJ179" s="65"/>
      <c r="CK179" s="65"/>
      <c r="CL179" s="65"/>
      <c r="CM179" s="65"/>
      <c r="CN179" s="65"/>
      <c r="CO179" s="65"/>
      <c r="CP179" s="65"/>
      <c r="CQ179" s="65"/>
      <c r="CR179" s="65"/>
      <c r="CS179" s="65"/>
      <c r="CT179" s="65"/>
      <c r="CU179" s="65"/>
      <c r="CV179" s="65"/>
      <c r="CW179" s="65"/>
      <c r="CX179" s="65"/>
      <c r="CY179" s="65"/>
      <c r="CZ179" s="65"/>
      <c r="DA179" s="65"/>
      <c r="DB179" s="65"/>
      <c r="DC179" s="65"/>
      <c r="DD179" s="65"/>
      <c r="DE179" s="65"/>
      <c r="DF179" s="65"/>
      <c r="DG179" s="65"/>
      <c r="DH179" s="65"/>
      <c r="DI179" s="65"/>
      <c r="DJ179" s="65"/>
      <c r="DK179" s="65"/>
      <c r="DL179" s="65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5"/>
      <c r="EA179" s="65"/>
      <c r="EB179" s="65"/>
      <c r="EC179" s="65"/>
      <c r="ED179" s="65"/>
      <c r="EE179" s="65"/>
      <c r="EF179" s="65"/>
      <c r="EG179" s="65"/>
      <c r="EH179" s="65"/>
      <c r="EI179" s="65"/>
      <c r="EJ179" s="65"/>
      <c r="EK179" s="65"/>
      <c r="EL179" s="65"/>
      <c r="EM179" s="65"/>
      <c r="EN179" s="65"/>
    </row>
    <row r="180" spans="1:145" s="62" customFormat="1" x14ac:dyDescent="0.2">
      <c r="B180" s="129"/>
      <c r="C180" s="143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27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/>
      <c r="CB180" s="65"/>
      <c r="CC180" s="65"/>
      <c r="CD180" s="65"/>
      <c r="CE180" s="65"/>
      <c r="CF180" s="65"/>
      <c r="CG180" s="65"/>
      <c r="CH180" s="65"/>
      <c r="CI180" s="65"/>
      <c r="CJ180" s="65"/>
      <c r="CK180" s="65"/>
      <c r="CL180" s="65"/>
      <c r="CM180" s="65"/>
      <c r="CN180" s="65"/>
      <c r="CO180" s="65"/>
      <c r="CP180" s="65"/>
      <c r="CQ180" s="65"/>
      <c r="CR180" s="65"/>
      <c r="CS180" s="65"/>
      <c r="CT180" s="65"/>
      <c r="CU180" s="65"/>
      <c r="CV180" s="65"/>
      <c r="CW180" s="65"/>
      <c r="CX180" s="65"/>
      <c r="CY180" s="65"/>
      <c r="CZ180" s="65"/>
      <c r="DA180" s="65"/>
      <c r="DB180" s="65"/>
      <c r="DC180" s="65"/>
      <c r="DD180" s="65"/>
      <c r="DE180" s="65"/>
      <c r="DF180" s="65"/>
      <c r="DG180" s="65"/>
      <c r="DH180" s="65"/>
      <c r="DI180" s="65"/>
      <c r="DJ180" s="65"/>
      <c r="DK180" s="65"/>
      <c r="DL180" s="65"/>
      <c r="DM180" s="65"/>
      <c r="DN180" s="65"/>
      <c r="DO180" s="65"/>
      <c r="DP180" s="65"/>
      <c r="DQ180" s="65"/>
      <c r="DR180" s="65"/>
      <c r="DS180" s="65"/>
      <c r="DT180" s="65"/>
      <c r="DU180" s="65"/>
      <c r="DV180" s="65"/>
      <c r="DW180" s="65"/>
      <c r="DX180" s="65"/>
      <c r="DY180" s="65"/>
      <c r="DZ180" s="65"/>
      <c r="EA180" s="65"/>
      <c r="EB180" s="65"/>
      <c r="EC180" s="65"/>
      <c r="ED180" s="65"/>
      <c r="EE180" s="65"/>
      <c r="EF180" s="65"/>
      <c r="EG180" s="65"/>
      <c r="EH180" s="65"/>
      <c r="EI180" s="65"/>
      <c r="EJ180" s="65"/>
      <c r="EK180" s="65"/>
      <c r="EL180" s="65"/>
      <c r="EM180" s="65"/>
      <c r="EN180" s="65"/>
    </row>
    <row r="181" spans="1:145" s="62" customFormat="1" x14ac:dyDescent="0.2">
      <c r="A181" s="74">
        <v>10</v>
      </c>
      <c r="B181" s="117" t="s">
        <v>33</v>
      </c>
      <c r="C181" s="125" t="s">
        <v>16</v>
      </c>
      <c r="D181" s="122">
        <f t="shared" ref="D181:O181" si="47">$R$162*D28</f>
        <v>23646213.172560003</v>
      </c>
      <c r="E181" s="122">
        <f t="shared" si="47"/>
        <v>23556306.639520001</v>
      </c>
      <c r="F181" s="122">
        <f t="shared" si="47"/>
        <v>23618002.076040003</v>
      </c>
      <c r="G181" s="122">
        <f t="shared" si="47"/>
        <v>23638500.972960003</v>
      </c>
      <c r="H181" s="122">
        <f t="shared" si="47"/>
        <v>23618222.424600001</v>
      </c>
      <c r="I181" s="122">
        <f t="shared" si="47"/>
        <v>23617835.734480001</v>
      </c>
      <c r="J181" s="122">
        <f t="shared" si="47"/>
        <v>23624128.630120002</v>
      </c>
      <c r="K181" s="122">
        <f t="shared" si="47"/>
        <v>23616045.942500003</v>
      </c>
      <c r="L181" s="122">
        <f t="shared" si="47"/>
        <v>23650522.931160003</v>
      </c>
      <c r="M181" s="122">
        <f t="shared" si="47"/>
        <v>23499157.512260001</v>
      </c>
      <c r="N181" s="122">
        <f t="shared" si="47"/>
        <v>23735326.882840004</v>
      </c>
      <c r="O181" s="122">
        <f t="shared" si="47"/>
        <v>23616191.761400003</v>
      </c>
      <c r="P181" s="127">
        <f>SUM(D181:O181)</f>
        <v>283436454.68044001</v>
      </c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/>
      <c r="CB181" s="65"/>
      <c r="CC181" s="65"/>
      <c r="CD181" s="65"/>
      <c r="CE181" s="65"/>
      <c r="CF181" s="65"/>
      <c r="CG181" s="65"/>
      <c r="CH181" s="65"/>
      <c r="CI181" s="65"/>
      <c r="CJ181" s="65"/>
      <c r="CK181" s="65"/>
      <c r="CL181" s="65"/>
      <c r="CM181" s="65"/>
      <c r="CN181" s="65"/>
      <c r="CO181" s="65"/>
      <c r="CP181" s="65"/>
      <c r="CQ181" s="65"/>
      <c r="CR181" s="65"/>
      <c r="CS181" s="65"/>
      <c r="CT181" s="65"/>
      <c r="CU181" s="65"/>
      <c r="CV181" s="65"/>
      <c r="CW181" s="65"/>
      <c r="CX181" s="65"/>
      <c r="CY181" s="65"/>
      <c r="CZ181" s="65"/>
      <c r="DA181" s="65"/>
      <c r="DB181" s="65"/>
      <c r="DC181" s="65"/>
      <c r="DD181" s="65"/>
      <c r="DE181" s="65"/>
      <c r="DF181" s="65"/>
      <c r="DG181" s="65"/>
      <c r="DH181" s="65"/>
      <c r="DI181" s="65"/>
      <c r="DJ181" s="65"/>
      <c r="DK181" s="65"/>
      <c r="DL181" s="65"/>
      <c r="DM181" s="65"/>
      <c r="DN181" s="65"/>
      <c r="DO181" s="65"/>
      <c r="DP181" s="65"/>
      <c r="DQ181" s="65"/>
      <c r="DR181" s="65"/>
      <c r="DS181" s="65"/>
      <c r="DT181" s="65"/>
      <c r="DU181" s="65"/>
      <c r="DV181" s="65"/>
      <c r="DW181" s="65"/>
      <c r="DX181" s="65"/>
      <c r="DY181" s="65"/>
      <c r="DZ181" s="65"/>
      <c r="EA181" s="65"/>
      <c r="EB181" s="65"/>
      <c r="EC181" s="65"/>
      <c r="ED181" s="65"/>
      <c r="EE181" s="65"/>
      <c r="EF181" s="65"/>
      <c r="EG181" s="65"/>
      <c r="EH181" s="65"/>
      <c r="EI181" s="65"/>
      <c r="EJ181" s="65"/>
      <c r="EK181" s="65"/>
      <c r="EL181" s="65"/>
      <c r="EM181" s="65"/>
      <c r="EN181" s="65"/>
    </row>
    <row r="182" spans="1:145" s="62" customFormat="1" x14ac:dyDescent="0.2">
      <c r="A182" s="74"/>
      <c r="B182" s="129"/>
      <c r="C182" s="143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22"/>
      <c r="O182" s="122"/>
      <c r="P182" s="127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  <c r="CB182" s="65"/>
      <c r="CC182" s="65"/>
      <c r="CD182" s="65"/>
      <c r="CE182" s="65"/>
      <c r="CF182" s="65"/>
      <c r="CG182" s="65"/>
      <c r="CH182" s="65"/>
      <c r="CI182" s="65"/>
      <c r="CJ182" s="65"/>
      <c r="CK182" s="65"/>
      <c r="CL182" s="65"/>
      <c r="CM182" s="65"/>
      <c r="CN182" s="65"/>
      <c r="CO182" s="65"/>
      <c r="CP182" s="65"/>
      <c r="CQ182" s="65"/>
      <c r="CR182" s="65"/>
      <c r="CS182" s="65"/>
      <c r="CT182" s="65"/>
      <c r="CU182" s="65"/>
      <c r="CV182" s="65"/>
      <c r="CW182" s="65"/>
      <c r="CX182" s="65"/>
      <c r="CY182" s="65"/>
      <c r="CZ182" s="65"/>
      <c r="DA182" s="65"/>
      <c r="DB182" s="65"/>
      <c r="DC182" s="65"/>
      <c r="DD182" s="65"/>
      <c r="DE182" s="65"/>
      <c r="DF182" s="65"/>
      <c r="DG182" s="65"/>
      <c r="DH182" s="65"/>
      <c r="DI182" s="65"/>
      <c r="DJ182" s="65"/>
      <c r="DK182" s="65"/>
      <c r="DL182" s="65"/>
      <c r="DM182" s="65"/>
      <c r="DN182" s="65"/>
      <c r="DO182" s="65"/>
      <c r="DP182" s="65"/>
      <c r="DQ182" s="65"/>
      <c r="DR182" s="65"/>
      <c r="DS182" s="65"/>
      <c r="DT182" s="65"/>
      <c r="DU182" s="65"/>
      <c r="DV182" s="65"/>
      <c r="DW182" s="65"/>
      <c r="DX182" s="65"/>
      <c r="DY182" s="65"/>
      <c r="DZ182" s="65"/>
      <c r="EA182" s="65"/>
      <c r="EB182" s="65"/>
      <c r="EC182" s="65"/>
      <c r="ED182" s="65"/>
      <c r="EE182" s="65"/>
      <c r="EF182" s="65"/>
      <c r="EG182" s="65"/>
      <c r="EH182" s="65"/>
      <c r="EI182" s="65"/>
      <c r="EJ182" s="65"/>
      <c r="EK182" s="65"/>
      <c r="EL182" s="65"/>
      <c r="EM182" s="65"/>
      <c r="EN182" s="65"/>
    </row>
    <row r="183" spans="1:145" s="62" customFormat="1" x14ac:dyDescent="0.2">
      <c r="A183" s="74">
        <v>11</v>
      </c>
      <c r="B183" s="183" t="s">
        <v>34</v>
      </c>
      <c r="C183" s="236"/>
      <c r="D183" s="184">
        <f t="shared" ref="D183:P183" si="48">D181+D179+D177+D173+D169+D167</f>
        <v>3051086459.4375105</v>
      </c>
      <c r="E183" s="184">
        <f t="shared" si="48"/>
        <v>2404179396.7717099</v>
      </c>
      <c r="F183" s="184">
        <f t="shared" si="48"/>
        <v>2456175869.7055502</v>
      </c>
      <c r="G183" s="184">
        <f t="shared" si="48"/>
        <v>2527853558.3676901</v>
      </c>
      <c r="H183" s="184">
        <f t="shared" si="48"/>
        <v>2628589067.8052006</v>
      </c>
      <c r="I183" s="184">
        <f t="shared" si="48"/>
        <v>3314050822.3163805</v>
      </c>
      <c r="J183" s="184">
        <f t="shared" si="48"/>
        <v>3253644271.6329002</v>
      </c>
      <c r="K183" s="184">
        <f t="shared" si="48"/>
        <v>3335505146.2112799</v>
      </c>
      <c r="L183" s="184">
        <f t="shared" si="48"/>
        <v>3381973259.9249601</v>
      </c>
      <c r="M183" s="184">
        <f t="shared" si="48"/>
        <v>2673288084.1579003</v>
      </c>
      <c r="N183" s="184">
        <f t="shared" si="48"/>
        <v>2609711162.3498802</v>
      </c>
      <c r="O183" s="184">
        <f t="shared" si="48"/>
        <v>2465727888.2019601</v>
      </c>
      <c r="P183" s="184">
        <f t="shared" si="48"/>
        <v>34101784986.882923</v>
      </c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/>
      <c r="CB183" s="65"/>
      <c r="CC183" s="65"/>
      <c r="CD183" s="65"/>
      <c r="CE183" s="65"/>
      <c r="CF183" s="65"/>
      <c r="CG183" s="65"/>
      <c r="CH183" s="65"/>
      <c r="CI183" s="65"/>
      <c r="CJ183" s="65"/>
      <c r="CK183" s="65"/>
      <c r="CL183" s="65"/>
      <c r="CM183" s="65"/>
      <c r="CN183" s="65"/>
      <c r="CO183" s="65"/>
      <c r="CP183" s="65"/>
      <c r="CQ183" s="65"/>
      <c r="CR183" s="65"/>
      <c r="CS183" s="65"/>
      <c r="CT183" s="65"/>
      <c r="CU183" s="65"/>
      <c r="CV183" s="65"/>
      <c r="CW183" s="65"/>
      <c r="CX183" s="65"/>
      <c r="CY183" s="65"/>
      <c r="CZ183" s="65"/>
      <c r="DA183" s="65"/>
      <c r="DB183" s="65"/>
      <c r="DC183" s="65"/>
      <c r="DD183" s="65"/>
      <c r="DE183" s="65"/>
      <c r="DF183" s="65"/>
      <c r="DG183" s="65"/>
      <c r="DH183" s="65"/>
      <c r="DI183" s="65"/>
      <c r="DJ183" s="65"/>
      <c r="DK183" s="65"/>
      <c r="DL183" s="65"/>
      <c r="DM183" s="65"/>
      <c r="DN183" s="65"/>
      <c r="DO183" s="65"/>
      <c r="DP183" s="65"/>
      <c r="DQ183" s="65"/>
      <c r="DR183" s="65"/>
      <c r="DS183" s="65"/>
      <c r="DT183" s="65"/>
      <c r="DU183" s="65"/>
      <c r="DV183" s="65"/>
      <c r="DW183" s="65"/>
      <c r="DX183" s="65"/>
      <c r="DY183" s="65"/>
      <c r="DZ183" s="65"/>
      <c r="EA183" s="65"/>
      <c r="EB183" s="65"/>
      <c r="EC183" s="65"/>
      <c r="ED183" s="65"/>
      <c r="EE183" s="65"/>
      <c r="EF183" s="65"/>
      <c r="EG183" s="65"/>
      <c r="EH183" s="65"/>
      <c r="EI183" s="65"/>
      <c r="EJ183" s="65"/>
      <c r="EK183" s="65"/>
      <c r="EL183" s="65"/>
      <c r="EM183" s="65"/>
      <c r="EN183" s="65"/>
    </row>
    <row r="184" spans="1:145" s="62" customFormat="1" x14ac:dyDescent="0.2">
      <c r="B184" s="236"/>
      <c r="C184" s="236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56"/>
      <c r="O184" s="156"/>
      <c r="P184" s="127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  <c r="CB184" s="65"/>
      <c r="CC184" s="65"/>
      <c r="CD184" s="65"/>
      <c r="CE184" s="65"/>
      <c r="CF184" s="65"/>
      <c r="CG184" s="65"/>
      <c r="CH184" s="65"/>
      <c r="CI184" s="65"/>
      <c r="CJ184" s="65"/>
      <c r="CK184" s="65"/>
      <c r="CL184" s="65"/>
      <c r="CM184" s="65"/>
      <c r="CN184" s="65"/>
      <c r="CO184" s="65"/>
      <c r="CP184" s="65"/>
      <c r="CQ184" s="65"/>
      <c r="CR184" s="65"/>
      <c r="CS184" s="65"/>
      <c r="CT184" s="65"/>
      <c r="CU184" s="65"/>
      <c r="CV184" s="65"/>
      <c r="CW184" s="65"/>
      <c r="CX184" s="65"/>
      <c r="CY184" s="65"/>
      <c r="CZ184" s="65"/>
      <c r="DA184" s="65"/>
      <c r="DB184" s="65"/>
      <c r="DC184" s="65"/>
      <c r="DD184" s="65"/>
      <c r="DE184" s="65"/>
      <c r="DF184" s="65"/>
      <c r="DG184" s="65"/>
      <c r="DH184" s="65"/>
      <c r="DI184" s="65"/>
      <c r="DJ184" s="65"/>
      <c r="DK184" s="65"/>
      <c r="DL184" s="65"/>
      <c r="DM184" s="65"/>
      <c r="DN184" s="65"/>
      <c r="DO184" s="65"/>
      <c r="DP184" s="65"/>
      <c r="DQ184" s="65"/>
      <c r="DR184" s="65"/>
      <c r="DS184" s="65"/>
      <c r="DT184" s="65"/>
      <c r="DU184" s="65"/>
      <c r="DV184" s="65"/>
      <c r="DW184" s="65"/>
      <c r="DX184" s="65"/>
      <c r="DY184" s="65"/>
      <c r="DZ184" s="65"/>
      <c r="EA184" s="65"/>
      <c r="EB184" s="65"/>
      <c r="EC184" s="65"/>
      <c r="ED184" s="65"/>
      <c r="EE184" s="65"/>
      <c r="EF184" s="65"/>
      <c r="EG184" s="65"/>
      <c r="EH184" s="65"/>
      <c r="EI184" s="65"/>
      <c r="EJ184" s="65"/>
      <c r="EK184" s="65"/>
      <c r="EL184" s="65"/>
      <c r="EM184" s="65"/>
      <c r="EN184" s="65"/>
    </row>
    <row r="185" spans="1:145" s="62" customFormat="1" x14ac:dyDescent="0.2">
      <c r="A185" s="74">
        <v>12</v>
      </c>
      <c r="B185" s="148" t="s">
        <v>91</v>
      </c>
      <c r="C185" s="125" t="s">
        <v>17</v>
      </c>
      <c r="D185" s="142">
        <f t="shared" ref="D185:O185" si="49">$R$163*D32</f>
        <v>0</v>
      </c>
      <c r="E185" s="122">
        <f t="shared" si="49"/>
        <v>0</v>
      </c>
      <c r="F185" s="122">
        <f t="shared" si="49"/>
        <v>0</v>
      </c>
      <c r="G185" s="122">
        <f t="shared" si="49"/>
        <v>0</v>
      </c>
      <c r="H185" s="122">
        <f t="shared" si="49"/>
        <v>0</v>
      </c>
      <c r="I185" s="122">
        <f t="shared" si="49"/>
        <v>0</v>
      </c>
      <c r="J185" s="122">
        <f t="shared" si="49"/>
        <v>0</v>
      </c>
      <c r="K185" s="122">
        <f t="shared" si="49"/>
        <v>0</v>
      </c>
      <c r="L185" s="122">
        <f t="shared" si="49"/>
        <v>0</v>
      </c>
      <c r="M185" s="122">
        <f t="shared" si="49"/>
        <v>0</v>
      </c>
      <c r="N185" s="122">
        <f t="shared" si="49"/>
        <v>0</v>
      </c>
      <c r="O185" s="122">
        <f t="shared" si="49"/>
        <v>0</v>
      </c>
      <c r="P185" s="127">
        <f>SUM(D185:O185)</f>
        <v>0</v>
      </c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/>
      <c r="CB185" s="65"/>
      <c r="CC185" s="65"/>
      <c r="CD185" s="65"/>
      <c r="CE185" s="65"/>
      <c r="CF185" s="65"/>
      <c r="CG185" s="65"/>
      <c r="CH185" s="65"/>
      <c r="CI185" s="65"/>
      <c r="CJ185" s="65"/>
      <c r="CK185" s="65"/>
      <c r="CL185" s="65"/>
      <c r="CM185" s="65"/>
      <c r="CN185" s="65"/>
      <c r="CO185" s="65"/>
      <c r="CP185" s="65"/>
      <c r="CQ185" s="65"/>
      <c r="CR185" s="65"/>
      <c r="CS185" s="65"/>
      <c r="CT185" s="65"/>
      <c r="CU185" s="65"/>
      <c r="CV185" s="65"/>
      <c r="CW185" s="65"/>
      <c r="CX185" s="65"/>
      <c r="CY185" s="65"/>
      <c r="CZ185" s="65"/>
      <c r="DA185" s="65"/>
      <c r="DB185" s="65"/>
      <c r="DC185" s="65"/>
      <c r="DD185" s="65"/>
      <c r="DE185" s="65"/>
      <c r="DF185" s="65"/>
      <c r="DG185" s="65"/>
      <c r="DH185" s="65"/>
      <c r="DI185" s="65"/>
      <c r="DJ185" s="65"/>
      <c r="DK185" s="65"/>
      <c r="DL185" s="65"/>
      <c r="DM185" s="65"/>
      <c r="DN185" s="65"/>
      <c r="DO185" s="65"/>
      <c r="DP185" s="65"/>
      <c r="DQ185" s="65"/>
      <c r="DR185" s="65"/>
      <c r="DS185" s="65"/>
      <c r="DT185" s="65"/>
      <c r="DU185" s="65"/>
      <c r="DV185" s="65"/>
      <c r="DW185" s="65"/>
      <c r="DX185" s="65"/>
      <c r="DY185" s="65"/>
      <c r="DZ185" s="65"/>
      <c r="EA185" s="65"/>
      <c r="EB185" s="65"/>
      <c r="EC185" s="65"/>
      <c r="ED185" s="65"/>
      <c r="EE185" s="65"/>
      <c r="EF185" s="65"/>
      <c r="EG185" s="65"/>
      <c r="EH185" s="65"/>
      <c r="EI185" s="65"/>
      <c r="EJ185" s="65"/>
      <c r="EK185" s="65"/>
      <c r="EL185" s="65"/>
      <c r="EM185" s="65"/>
      <c r="EN185" s="65"/>
    </row>
    <row r="186" spans="1:145" s="62" customFormat="1" x14ac:dyDescent="0.2">
      <c r="A186" s="74">
        <v>13</v>
      </c>
      <c r="B186" s="148" t="s">
        <v>92</v>
      </c>
      <c r="C186" s="125" t="s">
        <v>18</v>
      </c>
      <c r="D186" s="123">
        <f t="shared" ref="D186:O186" si="50">$R$164*D33</f>
        <v>0</v>
      </c>
      <c r="E186" s="123">
        <f t="shared" si="50"/>
        <v>0</v>
      </c>
      <c r="F186" s="123">
        <f t="shared" si="50"/>
        <v>0</v>
      </c>
      <c r="G186" s="123">
        <f t="shared" si="50"/>
        <v>0</v>
      </c>
      <c r="H186" s="123">
        <f t="shared" si="50"/>
        <v>0</v>
      </c>
      <c r="I186" s="123">
        <f t="shared" si="50"/>
        <v>0</v>
      </c>
      <c r="J186" s="123">
        <f t="shared" si="50"/>
        <v>0</v>
      </c>
      <c r="K186" s="123">
        <f t="shared" si="50"/>
        <v>0</v>
      </c>
      <c r="L186" s="123">
        <f t="shared" si="50"/>
        <v>0</v>
      </c>
      <c r="M186" s="123">
        <f t="shared" si="50"/>
        <v>0</v>
      </c>
      <c r="N186" s="123">
        <f t="shared" si="50"/>
        <v>0</v>
      </c>
      <c r="O186" s="123">
        <f t="shared" si="50"/>
        <v>0</v>
      </c>
      <c r="P186" s="167">
        <f>SUM(D186:O186)</f>
        <v>0</v>
      </c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  <c r="CC186" s="65"/>
      <c r="CD186" s="65"/>
      <c r="CE186" s="65"/>
      <c r="CF186" s="65"/>
      <c r="CG186" s="65"/>
      <c r="CH186" s="65"/>
      <c r="CI186" s="65"/>
      <c r="CJ186" s="65"/>
      <c r="CK186" s="65"/>
      <c r="CL186" s="65"/>
      <c r="CM186" s="65"/>
      <c r="CN186" s="65"/>
      <c r="CO186" s="65"/>
      <c r="CP186" s="65"/>
      <c r="CQ186" s="65"/>
      <c r="CR186" s="65"/>
      <c r="CS186" s="65"/>
      <c r="CT186" s="65"/>
      <c r="CU186" s="65"/>
      <c r="CV186" s="65"/>
      <c r="CW186" s="65"/>
      <c r="CX186" s="65"/>
      <c r="CY186" s="65"/>
      <c r="CZ186" s="65"/>
      <c r="DA186" s="65"/>
      <c r="DB186" s="65"/>
      <c r="DC186" s="65"/>
      <c r="DD186" s="65"/>
      <c r="DE186" s="65"/>
      <c r="DF186" s="65"/>
      <c r="DG186" s="65"/>
      <c r="DH186" s="65"/>
      <c r="DI186" s="65"/>
      <c r="DJ186" s="65"/>
      <c r="DK186" s="65"/>
      <c r="DL186" s="65"/>
      <c r="DM186" s="65"/>
      <c r="DN186" s="65"/>
      <c r="DO186" s="65"/>
      <c r="DP186" s="65"/>
      <c r="DQ186" s="65"/>
      <c r="DR186" s="65"/>
      <c r="DS186" s="65"/>
      <c r="DT186" s="65"/>
      <c r="DU186" s="65"/>
      <c r="DV186" s="65"/>
      <c r="DW186" s="65"/>
      <c r="DX186" s="65"/>
      <c r="DY186" s="65"/>
      <c r="DZ186" s="65"/>
      <c r="EA186" s="65"/>
      <c r="EB186" s="65"/>
      <c r="EC186" s="65"/>
      <c r="ED186" s="65"/>
      <c r="EE186" s="65"/>
      <c r="EF186" s="65"/>
      <c r="EG186" s="65"/>
      <c r="EH186" s="65"/>
      <c r="EI186" s="65"/>
      <c r="EJ186" s="65"/>
      <c r="EK186" s="65"/>
      <c r="EL186" s="65"/>
      <c r="EM186" s="65"/>
      <c r="EN186" s="65"/>
    </row>
    <row r="187" spans="1:145" s="62" customFormat="1" x14ac:dyDescent="0.2">
      <c r="A187" s="74">
        <v>14</v>
      </c>
      <c r="B187" s="183" t="s">
        <v>35</v>
      </c>
      <c r="C187" s="238"/>
      <c r="D187" s="169">
        <f t="shared" ref="D187:P187" si="51">SUM(D185:D186)</f>
        <v>0</v>
      </c>
      <c r="E187" s="169">
        <f t="shared" si="51"/>
        <v>0</v>
      </c>
      <c r="F187" s="169">
        <f t="shared" si="51"/>
        <v>0</v>
      </c>
      <c r="G187" s="169">
        <f t="shared" si="51"/>
        <v>0</v>
      </c>
      <c r="H187" s="169">
        <f t="shared" si="51"/>
        <v>0</v>
      </c>
      <c r="I187" s="169">
        <f t="shared" si="51"/>
        <v>0</v>
      </c>
      <c r="J187" s="169">
        <f t="shared" si="51"/>
        <v>0</v>
      </c>
      <c r="K187" s="169">
        <f t="shared" si="51"/>
        <v>0</v>
      </c>
      <c r="L187" s="169">
        <f t="shared" si="51"/>
        <v>0</v>
      </c>
      <c r="M187" s="169">
        <f t="shared" si="51"/>
        <v>0</v>
      </c>
      <c r="N187" s="156">
        <f t="shared" si="51"/>
        <v>0</v>
      </c>
      <c r="O187" s="156">
        <f t="shared" si="51"/>
        <v>0</v>
      </c>
      <c r="P187" s="156">
        <f t="shared" si="51"/>
        <v>0</v>
      </c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/>
      <c r="CB187" s="65"/>
      <c r="CC187" s="65"/>
      <c r="CD187" s="65"/>
      <c r="CE187" s="65"/>
      <c r="CF187" s="65"/>
      <c r="CG187" s="65"/>
      <c r="CH187" s="65"/>
      <c r="CI187" s="65"/>
      <c r="CJ187" s="65"/>
      <c r="CK187" s="65"/>
      <c r="CL187" s="65"/>
      <c r="CM187" s="65"/>
      <c r="CN187" s="65"/>
      <c r="CO187" s="65"/>
      <c r="CP187" s="65"/>
      <c r="CQ187" s="65"/>
      <c r="CR187" s="65"/>
      <c r="CS187" s="65"/>
      <c r="CT187" s="65"/>
      <c r="CU187" s="65"/>
      <c r="CV187" s="65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65"/>
      <c r="DH187" s="65"/>
      <c r="DI187" s="65"/>
      <c r="DJ187" s="65"/>
      <c r="DK187" s="65"/>
      <c r="DL187" s="65"/>
      <c r="DM187" s="65"/>
      <c r="DN187" s="65"/>
      <c r="DO187" s="65"/>
      <c r="DP187" s="65"/>
      <c r="DQ187" s="65"/>
      <c r="DR187" s="65"/>
      <c r="DS187" s="65"/>
      <c r="DT187" s="65"/>
      <c r="DU187" s="65"/>
      <c r="DV187" s="65"/>
      <c r="DW187" s="65"/>
      <c r="DX187" s="65"/>
      <c r="DY187" s="65"/>
      <c r="DZ187" s="65"/>
      <c r="EA187" s="65"/>
      <c r="EB187" s="65"/>
      <c r="EC187" s="65"/>
      <c r="ED187" s="65"/>
      <c r="EE187" s="65"/>
      <c r="EF187" s="65"/>
      <c r="EG187" s="65"/>
      <c r="EH187" s="65"/>
      <c r="EI187" s="65"/>
      <c r="EJ187" s="65"/>
      <c r="EK187" s="65"/>
      <c r="EL187" s="65"/>
      <c r="EM187" s="65"/>
      <c r="EN187" s="65"/>
    </row>
    <row r="188" spans="1:145" s="62" customFormat="1" x14ac:dyDescent="0.2">
      <c r="A188" s="74"/>
      <c r="B188" s="129"/>
      <c r="C188" s="185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22"/>
      <c r="O188" s="122"/>
      <c r="P188" s="127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/>
      <c r="CB188" s="65"/>
      <c r="CC188" s="65"/>
      <c r="CD188" s="65"/>
      <c r="CE188" s="65"/>
      <c r="CF188" s="65"/>
      <c r="CG188" s="65"/>
      <c r="CH188" s="65"/>
      <c r="CI188" s="65"/>
      <c r="CJ188" s="65"/>
      <c r="CK188" s="65"/>
      <c r="CL188" s="65"/>
      <c r="CM188" s="65"/>
      <c r="CN188" s="65"/>
      <c r="CO188" s="65"/>
      <c r="CP188" s="65"/>
      <c r="CQ188" s="65"/>
      <c r="CR188" s="65"/>
      <c r="CS188" s="65"/>
      <c r="CT188" s="65"/>
      <c r="CU188" s="65"/>
      <c r="CV188" s="65"/>
      <c r="CW188" s="65"/>
      <c r="CX188" s="65"/>
      <c r="CY188" s="65"/>
      <c r="CZ188" s="65"/>
      <c r="DA188" s="65"/>
      <c r="DB188" s="65"/>
      <c r="DC188" s="65"/>
      <c r="DD188" s="65"/>
      <c r="DE188" s="65"/>
      <c r="DF188" s="65"/>
      <c r="DG188" s="65"/>
      <c r="DH188" s="65"/>
      <c r="DI188" s="65"/>
      <c r="DJ188" s="65"/>
      <c r="DK188" s="65"/>
      <c r="DL188" s="65"/>
      <c r="DM188" s="65"/>
      <c r="DN188" s="65"/>
      <c r="DO188" s="65"/>
      <c r="DP188" s="65"/>
      <c r="DQ188" s="65"/>
      <c r="DR188" s="65"/>
      <c r="DS188" s="65"/>
      <c r="DT188" s="65"/>
      <c r="DU188" s="65"/>
      <c r="DV188" s="65"/>
      <c r="DW188" s="65"/>
      <c r="DX188" s="65"/>
      <c r="DY188" s="65"/>
      <c r="DZ188" s="65"/>
      <c r="EA188" s="65"/>
      <c r="EB188" s="65"/>
      <c r="EC188" s="65"/>
      <c r="ED188" s="65"/>
      <c r="EE188" s="65"/>
      <c r="EF188" s="65"/>
      <c r="EG188" s="65"/>
      <c r="EH188" s="65"/>
      <c r="EI188" s="65"/>
      <c r="EJ188" s="65"/>
      <c r="EK188" s="65"/>
      <c r="EL188" s="65"/>
      <c r="EM188" s="65"/>
      <c r="EN188" s="65"/>
    </row>
    <row r="189" spans="1:145" s="62" customFormat="1" ht="12" thickBot="1" x14ac:dyDescent="0.25">
      <c r="A189" s="74">
        <v>15</v>
      </c>
      <c r="B189" s="243" t="str">
        <f>B36</f>
        <v>TOTAL AEP TEXAS</v>
      </c>
      <c r="C189" s="238"/>
      <c r="D189" s="244">
        <f t="shared" ref="D189:P189" si="52">+D187+D183</f>
        <v>3051086459.4375105</v>
      </c>
      <c r="E189" s="244">
        <f t="shared" si="52"/>
        <v>2404179396.7717099</v>
      </c>
      <c r="F189" s="244">
        <f t="shared" si="52"/>
        <v>2456175869.7055502</v>
      </c>
      <c r="G189" s="244">
        <f t="shared" si="52"/>
        <v>2527853558.3676901</v>
      </c>
      <c r="H189" s="244">
        <f t="shared" si="52"/>
        <v>2628589067.8052006</v>
      </c>
      <c r="I189" s="244">
        <f t="shared" si="52"/>
        <v>3314050822.3163805</v>
      </c>
      <c r="J189" s="244">
        <f t="shared" si="52"/>
        <v>3253644271.6329002</v>
      </c>
      <c r="K189" s="244">
        <f t="shared" si="52"/>
        <v>3335505146.2112799</v>
      </c>
      <c r="L189" s="244">
        <f t="shared" si="52"/>
        <v>3381973259.9249601</v>
      </c>
      <c r="M189" s="244">
        <f t="shared" si="52"/>
        <v>2673288084.1579003</v>
      </c>
      <c r="N189" s="244">
        <f t="shared" si="52"/>
        <v>2609711162.3498802</v>
      </c>
      <c r="O189" s="244">
        <f t="shared" si="52"/>
        <v>2465727888.2019601</v>
      </c>
      <c r="P189" s="244">
        <f t="shared" si="52"/>
        <v>34101784986.882923</v>
      </c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  <c r="CE189" s="65"/>
      <c r="CF189" s="65"/>
      <c r="CG189" s="65"/>
      <c r="CH189" s="65"/>
      <c r="CI189" s="65"/>
      <c r="CJ189" s="65"/>
      <c r="CK189" s="65"/>
      <c r="CL189" s="65"/>
      <c r="CM189" s="65"/>
      <c r="CN189" s="65"/>
      <c r="CO189" s="65"/>
      <c r="CP189" s="65"/>
      <c r="CQ189" s="65"/>
      <c r="CR189" s="65"/>
      <c r="CS189" s="65"/>
      <c r="CT189" s="65"/>
      <c r="CU189" s="65"/>
      <c r="CV189" s="65"/>
      <c r="CW189" s="65"/>
      <c r="CX189" s="65"/>
      <c r="CY189" s="65"/>
      <c r="CZ189" s="65"/>
      <c r="DA189" s="65"/>
      <c r="DB189" s="65"/>
      <c r="DC189" s="65"/>
      <c r="DD189" s="65"/>
      <c r="DE189" s="65"/>
      <c r="DF189" s="65"/>
      <c r="DG189" s="65"/>
      <c r="DH189" s="65"/>
      <c r="DI189" s="65"/>
      <c r="DJ189" s="65"/>
      <c r="DK189" s="65"/>
      <c r="DL189" s="65"/>
      <c r="DM189" s="65"/>
      <c r="DN189" s="65"/>
      <c r="DO189" s="65"/>
      <c r="DP189" s="65"/>
      <c r="DQ189" s="65"/>
      <c r="DR189" s="65"/>
      <c r="DS189" s="65"/>
      <c r="DT189" s="65"/>
      <c r="DU189" s="65"/>
      <c r="DV189" s="65"/>
      <c r="DW189" s="65"/>
      <c r="DX189" s="65"/>
      <c r="DY189" s="65"/>
      <c r="DZ189" s="65"/>
      <c r="EA189" s="65"/>
      <c r="EB189" s="65"/>
      <c r="EC189" s="65"/>
      <c r="ED189" s="65"/>
      <c r="EE189" s="65"/>
      <c r="EF189" s="65"/>
      <c r="EG189" s="65"/>
      <c r="EH189" s="65"/>
      <c r="EI189" s="65"/>
      <c r="EJ189" s="65"/>
      <c r="EK189" s="65"/>
      <c r="EL189" s="65"/>
      <c r="EM189" s="65"/>
      <c r="EN189" s="65"/>
    </row>
    <row r="190" spans="1:145" customFormat="1" ht="13.5" thickTop="1" x14ac:dyDescent="0.2"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</row>
    <row r="191" spans="1:145" x14ac:dyDescent="0.2">
      <c r="B191" s="388" t="str">
        <f>B7</f>
        <v>AEP TEXAS</v>
      </c>
      <c r="C191" s="388"/>
      <c r="D191" s="388"/>
      <c r="E191" s="388"/>
      <c r="F191" s="388"/>
      <c r="G191" s="388"/>
      <c r="H191" s="388"/>
      <c r="I191" s="388"/>
      <c r="J191" s="388"/>
      <c r="K191" s="388"/>
      <c r="L191" s="388"/>
      <c r="M191" s="388"/>
      <c r="N191" s="388"/>
      <c r="O191" s="388"/>
      <c r="P191" s="174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</row>
    <row r="192" spans="1:145" x14ac:dyDescent="0.2">
      <c r="B192" s="388" t="s">
        <v>69</v>
      </c>
      <c r="C192" s="388"/>
      <c r="D192" s="388"/>
      <c r="E192" s="388"/>
      <c r="F192" s="388"/>
      <c r="G192" s="388"/>
      <c r="H192" s="388"/>
      <c r="I192" s="388"/>
      <c r="J192" s="388"/>
      <c r="K192" s="388"/>
      <c r="L192" s="388"/>
      <c r="M192" s="388"/>
      <c r="N192" s="388"/>
      <c r="O192" s="388"/>
      <c r="P192" s="147" t="s">
        <v>1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</row>
    <row r="193" spans="1:145" x14ac:dyDescent="0.2">
      <c r="B193" s="388" t="str">
        <f>B9</f>
        <v>FOR TEST YEAR ENDED DECEMBER 31, 2018</v>
      </c>
      <c r="C193" s="388"/>
      <c r="D193" s="388"/>
      <c r="E193" s="388"/>
      <c r="F193" s="388"/>
      <c r="G193" s="388"/>
      <c r="H193" s="388"/>
      <c r="I193" s="388"/>
      <c r="J193" s="388"/>
      <c r="K193" s="388"/>
      <c r="L193" s="388"/>
      <c r="M193" s="388"/>
      <c r="N193" s="388"/>
      <c r="O193" s="388"/>
      <c r="P193" s="146" t="s">
        <v>1</v>
      </c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</row>
    <row r="194" spans="1:145" customFormat="1" ht="12.75" x14ac:dyDescent="0.2"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</row>
    <row r="195" spans="1:145" x14ac:dyDescent="0.2">
      <c r="B195" s="175"/>
      <c r="C195" s="174"/>
      <c r="D195" s="176"/>
      <c r="E195" s="177"/>
      <c r="F195" s="177"/>
      <c r="G195" s="176"/>
      <c r="H195" s="157"/>
      <c r="I195" s="157"/>
      <c r="J195" s="157"/>
      <c r="K195" s="157"/>
      <c r="L195" s="157"/>
      <c r="M195" s="157"/>
      <c r="N195" s="157"/>
      <c r="O195" s="122"/>
      <c r="P195" s="178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</row>
    <row r="196" spans="1:145" x14ac:dyDescent="0.2">
      <c r="A196" s="38" t="s">
        <v>20</v>
      </c>
      <c r="B196" s="237" t="s">
        <v>0</v>
      </c>
      <c r="C196" s="237" t="s">
        <v>19</v>
      </c>
      <c r="D196" s="164" t="str">
        <f>+D12</f>
        <v>JANUARY</v>
      </c>
      <c r="E196" s="164" t="str">
        <f t="shared" ref="E196:O196" si="53">+E12</f>
        <v>FEBRUARY</v>
      </c>
      <c r="F196" s="164" t="str">
        <f t="shared" si="53"/>
        <v>MARCH</v>
      </c>
      <c r="G196" s="164" t="str">
        <f t="shared" si="53"/>
        <v>APRIL</v>
      </c>
      <c r="H196" s="164" t="str">
        <f t="shared" si="53"/>
        <v>MAY</v>
      </c>
      <c r="I196" s="164" t="str">
        <f t="shared" si="53"/>
        <v>JUNE</v>
      </c>
      <c r="J196" s="164" t="str">
        <f t="shared" si="53"/>
        <v>JULY</v>
      </c>
      <c r="K196" s="164" t="str">
        <f t="shared" si="53"/>
        <v>AUGUST</v>
      </c>
      <c r="L196" s="164" t="str">
        <f t="shared" si="53"/>
        <v>SEPTEMBER</v>
      </c>
      <c r="M196" s="164" t="str">
        <f t="shared" si="53"/>
        <v>OCTOBER</v>
      </c>
      <c r="N196" s="164" t="str">
        <f t="shared" si="53"/>
        <v>NOVEMBER</v>
      </c>
      <c r="O196" s="164" t="str">
        <f t="shared" si="53"/>
        <v>DECEMBER</v>
      </c>
      <c r="P196" s="179" t="s">
        <v>14</v>
      </c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</row>
    <row r="197" spans="1:145" s="62" customFormat="1" x14ac:dyDescent="0.2">
      <c r="A197" s="74"/>
      <c r="B197" s="180"/>
      <c r="C197" s="181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65"/>
    </row>
    <row r="198" spans="1:145" s="62" customFormat="1" x14ac:dyDescent="0.2">
      <c r="A198" s="74" t="s">
        <v>21</v>
      </c>
      <c r="B198" s="129" t="s">
        <v>29</v>
      </c>
      <c r="C198" s="143" t="s">
        <v>16</v>
      </c>
      <c r="D198" s="122">
        <f t="shared" ref="D198:O198" si="54">D44*$R$162</f>
        <v>-167558940.42812002</v>
      </c>
      <c r="E198" s="122">
        <f t="shared" si="54"/>
        <v>-67109318.548560008</v>
      </c>
      <c r="F198" s="122">
        <f t="shared" si="54"/>
        <v>7921267.1778400009</v>
      </c>
      <c r="G198" s="122">
        <f t="shared" si="54"/>
        <v>-4278829.8712400002</v>
      </c>
      <c r="H198" s="122">
        <f t="shared" si="54"/>
        <v>34545711.487360001</v>
      </c>
      <c r="I198" s="122">
        <f t="shared" si="54"/>
        <v>-64481549.636000007</v>
      </c>
      <c r="J198" s="122">
        <f t="shared" si="54"/>
        <v>4669381.4917400004</v>
      </c>
      <c r="K198" s="122">
        <f t="shared" si="54"/>
        <v>18078385.270640001</v>
      </c>
      <c r="L198" s="122">
        <f t="shared" si="54"/>
        <v>2053719.8684400001</v>
      </c>
      <c r="M198" s="122">
        <f t="shared" si="54"/>
        <v>5487137.1233600006</v>
      </c>
      <c r="N198" s="122">
        <f t="shared" si="54"/>
        <v>11387703.232420001</v>
      </c>
      <c r="O198" s="122">
        <f t="shared" si="54"/>
        <v>36662923.065140001</v>
      </c>
      <c r="P198" s="127">
        <f>SUM(D198:O198)</f>
        <v>-182622409.76698002</v>
      </c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5"/>
      <c r="BN198" s="65"/>
      <c r="BO198" s="65"/>
      <c r="BP198" s="65"/>
      <c r="BQ198" s="65"/>
      <c r="BR198" s="65"/>
      <c r="BS198" s="65"/>
      <c r="BT198" s="65"/>
      <c r="BU198" s="65"/>
      <c r="BV198" s="65"/>
      <c r="BW198" s="65"/>
      <c r="BX198" s="65"/>
      <c r="BY198" s="65"/>
      <c r="BZ198" s="65"/>
      <c r="CA198" s="65"/>
      <c r="CB198" s="65"/>
      <c r="CC198" s="65"/>
      <c r="CD198" s="65"/>
      <c r="CE198" s="65"/>
      <c r="CF198" s="65"/>
      <c r="CG198" s="65"/>
      <c r="CH198" s="65"/>
      <c r="CI198" s="65"/>
      <c r="CJ198" s="65"/>
      <c r="CK198" s="65"/>
      <c r="CL198" s="65"/>
      <c r="CM198" s="65"/>
      <c r="CN198" s="65"/>
      <c r="CO198" s="65"/>
      <c r="CP198" s="65"/>
      <c r="CQ198" s="65"/>
      <c r="CR198" s="65"/>
      <c r="CS198" s="65"/>
      <c r="CT198" s="65"/>
      <c r="CU198" s="65"/>
      <c r="CV198" s="65"/>
      <c r="CW198" s="65"/>
      <c r="CX198" s="65"/>
      <c r="CY198" s="65"/>
      <c r="CZ198" s="65"/>
      <c r="DA198" s="65"/>
      <c r="DB198" s="65"/>
      <c r="DC198" s="65"/>
      <c r="DD198" s="65"/>
      <c r="DE198" s="65"/>
      <c r="DF198" s="65"/>
      <c r="DG198" s="65"/>
      <c r="DH198" s="65"/>
      <c r="DI198" s="65"/>
      <c r="DJ198" s="65"/>
      <c r="DK198" s="65"/>
      <c r="DL198" s="65"/>
      <c r="DM198" s="65"/>
      <c r="DN198" s="65"/>
      <c r="DO198" s="65"/>
      <c r="DP198" s="65"/>
      <c r="DQ198" s="65"/>
      <c r="DR198" s="65"/>
      <c r="DS198" s="65"/>
      <c r="DT198" s="65"/>
      <c r="DU198" s="65"/>
      <c r="DV198" s="65"/>
      <c r="DW198" s="65"/>
      <c r="DX198" s="65"/>
      <c r="DY198" s="65"/>
      <c r="DZ198" s="65"/>
      <c r="EA198" s="65"/>
      <c r="EB198" s="65"/>
      <c r="EC198" s="65"/>
      <c r="ED198" s="65"/>
      <c r="EE198" s="65"/>
      <c r="EF198" s="65"/>
      <c r="EG198" s="65"/>
      <c r="EH198" s="65"/>
      <c r="EI198" s="65"/>
      <c r="EJ198" s="65"/>
      <c r="EK198" s="65"/>
      <c r="EL198" s="65"/>
      <c r="EM198" s="65"/>
      <c r="EN198" s="65"/>
    </row>
    <row r="199" spans="1:145" s="62" customFormat="1" x14ac:dyDescent="0.2">
      <c r="B199" s="129"/>
      <c r="C199" s="143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56"/>
      <c r="O199" s="156"/>
      <c r="P199" s="127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65"/>
      <c r="BP199" s="65"/>
      <c r="BQ199" s="65"/>
      <c r="BR199" s="65"/>
      <c r="BS199" s="65"/>
      <c r="BT199" s="65"/>
      <c r="BU199" s="65"/>
      <c r="BV199" s="65"/>
      <c r="BW199" s="65"/>
      <c r="BX199" s="65"/>
      <c r="BY199" s="65"/>
      <c r="BZ199" s="65"/>
      <c r="CA199" s="65"/>
      <c r="CB199" s="65"/>
      <c r="CC199" s="65"/>
      <c r="CD199" s="65"/>
      <c r="CE199" s="65"/>
      <c r="CF199" s="65"/>
      <c r="CG199" s="65"/>
      <c r="CH199" s="65"/>
      <c r="CI199" s="65"/>
      <c r="CJ199" s="65"/>
      <c r="CK199" s="65"/>
      <c r="CL199" s="65"/>
      <c r="CM199" s="65"/>
      <c r="CN199" s="65"/>
      <c r="CO199" s="65"/>
      <c r="CP199" s="65"/>
      <c r="CQ199" s="65"/>
      <c r="CR199" s="65"/>
      <c r="CS199" s="65"/>
      <c r="CT199" s="65"/>
      <c r="CU199" s="65"/>
      <c r="CV199" s="65"/>
      <c r="CW199" s="65"/>
      <c r="CX199" s="65"/>
      <c r="CY199" s="65"/>
      <c r="CZ199" s="65"/>
      <c r="DA199" s="65"/>
      <c r="DB199" s="65"/>
      <c r="DC199" s="65"/>
      <c r="DD199" s="65"/>
      <c r="DE199" s="65"/>
      <c r="DF199" s="65"/>
      <c r="DG199" s="65"/>
      <c r="DH199" s="65"/>
      <c r="DI199" s="65"/>
      <c r="DJ199" s="65"/>
      <c r="DK199" s="65"/>
      <c r="DL199" s="65"/>
      <c r="DM199" s="65"/>
      <c r="DN199" s="65"/>
      <c r="DO199" s="65"/>
      <c r="DP199" s="65"/>
      <c r="DQ199" s="65"/>
      <c r="DR199" s="65"/>
      <c r="DS199" s="65"/>
      <c r="DT199" s="65"/>
      <c r="DU199" s="65"/>
      <c r="DV199" s="65"/>
      <c r="DW199" s="65"/>
      <c r="DX199" s="65"/>
      <c r="DY199" s="65"/>
      <c r="DZ199" s="65"/>
      <c r="EA199" s="65"/>
      <c r="EB199" s="65"/>
      <c r="EC199" s="65"/>
      <c r="ED199" s="65"/>
      <c r="EE199" s="65"/>
      <c r="EF199" s="65"/>
      <c r="EG199" s="65"/>
      <c r="EH199" s="65"/>
      <c r="EI199" s="65"/>
      <c r="EJ199" s="65"/>
      <c r="EK199" s="65"/>
      <c r="EL199" s="65"/>
      <c r="EM199" s="65"/>
      <c r="EN199" s="65"/>
    </row>
    <row r="200" spans="1:145" s="62" customFormat="1" x14ac:dyDescent="0.2">
      <c r="A200" s="74">
        <v>2</v>
      </c>
      <c r="B200" s="129" t="s">
        <v>32</v>
      </c>
      <c r="C200" s="143" t="s">
        <v>16</v>
      </c>
      <c r="D200" s="122">
        <f t="shared" ref="D200:O200" si="55">D46*$R$162</f>
        <v>-699190.5688374216</v>
      </c>
      <c r="E200" s="122">
        <f t="shared" si="55"/>
        <v>-219974.95409884208</v>
      </c>
      <c r="F200" s="122">
        <f t="shared" si="55"/>
        <v>-658991.09885118832</v>
      </c>
      <c r="G200" s="122">
        <f t="shared" si="55"/>
        <v>-287777.20501212293</v>
      </c>
      <c r="H200" s="122">
        <f t="shared" si="55"/>
        <v>852621.67094562249</v>
      </c>
      <c r="I200" s="122">
        <f t="shared" si="55"/>
        <v>-1673040.9708269036</v>
      </c>
      <c r="J200" s="122">
        <f t="shared" si="55"/>
        <v>49902.068059584089</v>
      </c>
      <c r="K200" s="122">
        <f t="shared" si="55"/>
        <v>458079.04566827009</v>
      </c>
      <c r="L200" s="122">
        <f t="shared" si="55"/>
        <v>99686.281785017854</v>
      </c>
      <c r="M200" s="122">
        <f t="shared" si="55"/>
        <v>267470.69477668789</v>
      </c>
      <c r="N200" s="122">
        <f t="shared" si="55"/>
        <v>887539.77873362624</v>
      </c>
      <c r="O200" s="122">
        <f t="shared" si="55"/>
        <v>551023.37670315162</v>
      </c>
      <c r="P200" s="127">
        <f>SUM(D200:O200)</f>
        <v>-372651.88095451856</v>
      </c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5"/>
      <c r="BN200" s="65"/>
      <c r="BO200" s="65"/>
      <c r="BP200" s="65"/>
      <c r="BQ200" s="65"/>
      <c r="BR200" s="65"/>
      <c r="BS200" s="65"/>
      <c r="BT200" s="65"/>
      <c r="BU200" s="65"/>
      <c r="BV200" s="65"/>
      <c r="BW200" s="65"/>
      <c r="BX200" s="65"/>
      <c r="BY200" s="65"/>
      <c r="BZ200" s="65"/>
      <c r="CA200" s="65"/>
      <c r="CB200" s="65"/>
      <c r="CC200" s="65"/>
      <c r="CD200" s="65"/>
      <c r="CE200" s="65"/>
      <c r="CF200" s="65"/>
      <c r="CG200" s="65"/>
      <c r="CH200" s="65"/>
      <c r="CI200" s="65"/>
      <c r="CJ200" s="65"/>
      <c r="CK200" s="65"/>
      <c r="CL200" s="65"/>
      <c r="CM200" s="65"/>
      <c r="CN200" s="65"/>
      <c r="CO200" s="65"/>
      <c r="CP200" s="65"/>
      <c r="CQ200" s="65"/>
      <c r="CR200" s="65"/>
      <c r="CS200" s="65"/>
      <c r="CT200" s="65"/>
      <c r="CU200" s="65"/>
      <c r="CV200" s="65"/>
      <c r="CW200" s="65"/>
      <c r="CX200" s="65"/>
      <c r="CY200" s="65"/>
      <c r="CZ200" s="65"/>
      <c r="DA200" s="65"/>
      <c r="DB200" s="65"/>
      <c r="DC200" s="65"/>
      <c r="DD200" s="65"/>
      <c r="DE200" s="65"/>
      <c r="DF200" s="65"/>
      <c r="DG200" s="65"/>
      <c r="DH200" s="65"/>
      <c r="DI200" s="65"/>
      <c r="DJ200" s="65"/>
      <c r="DK200" s="65"/>
      <c r="DL200" s="65"/>
      <c r="DM200" s="65"/>
      <c r="DN200" s="65"/>
      <c r="DO200" s="65"/>
      <c r="DP200" s="65"/>
      <c r="DQ200" s="65"/>
      <c r="DR200" s="65"/>
      <c r="DS200" s="65"/>
      <c r="DT200" s="65"/>
      <c r="DU200" s="65"/>
      <c r="DV200" s="65"/>
      <c r="DW200" s="65"/>
      <c r="DX200" s="65"/>
      <c r="DY200" s="65"/>
      <c r="DZ200" s="65"/>
      <c r="EA200" s="65"/>
      <c r="EB200" s="65"/>
      <c r="EC200" s="65"/>
      <c r="ED200" s="65"/>
      <c r="EE200" s="65"/>
      <c r="EF200" s="65"/>
      <c r="EG200" s="65"/>
      <c r="EH200" s="65"/>
      <c r="EI200" s="65"/>
      <c r="EJ200" s="65"/>
      <c r="EK200" s="65"/>
      <c r="EL200" s="65"/>
      <c r="EM200" s="65"/>
      <c r="EN200" s="65"/>
    </row>
    <row r="201" spans="1:145" s="62" customFormat="1" x14ac:dyDescent="0.2">
      <c r="A201" s="74"/>
      <c r="B201" s="129"/>
      <c r="C201" s="143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56"/>
      <c r="P201" s="127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65"/>
      <c r="BP201" s="65"/>
      <c r="BQ201" s="65"/>
      <c r="BR201" s="65"/>
      <c r="BS201" s="65"/>
      <c r="BT201" s="65"/>
      <c r="BU201" s="65"/>
      <c r="BV201" s="65"/>
      <c r="BW201" s="65"/>
      <c r="BX201" s="65"/>
      <c r="BY201" s="65"/>
      <c r="BZ201" s="65"/>
      <c r="CA201" s="65"/>
      <c r="CB201" s="65"/>
      <c r="CC201" s="65"/>
      <c r="CD201" s="65"/>
      <c r="CE201" s="65"/>
      <c r="CF201" s="65"/>
      <c r="CG201" s="65"/>
      <c r="CH201" s="65"/>
      <c r="CI201" s="65"/>
      <c r="CJ201" s="65"/>
      <c r="CK201" s="65"/>
      <c r="CL201" s="65"/>
      <c r="CM201" s="65"/>
      <c r="CN201" s="65"/>
      <c r="CO201" s="65"/>
      <c r="CP201" s="65"/>
      <c r="CQ201" s="65"/>
      <c r="CR201" s="65"/>
      <c r="CS201" s="65"/>
      <c r="CT201" s="65"/>
      <c r="CU201" s="65"/>
      <c r="CV201" s="65"/>
      <c r="CW201" s="65"/>
      <c r="CX201" s="65"/>
      <c r="CY201" s="65"/>
      <c r="CZ201" s="65"/>
      <c r="DA201" s="65"/>
      <c r="DB201" s="65"/>
      <c r="DC201" s="65"/>
      <c r="DD201" s="65"/>
      <c r="DE201" s="65"/>
      <c r="DF201" s="65"/>
      <c r="DG201" s="65"/>
      <c r="DH201" s="65"/>
      <c r="DI201" s="65"/>
      <c r="DJ201" s="65"/>
      <c r="DK201" s="65"/>
      <c r="DL201" s="65"/>
      <c r="DM201" s="65"/>
      <c r="DN201" s="65"/>
      <c r="DO201" s="65"/>
      <c r="DP201" s="65"/>
      <c r="DQ201" s="65"/>
      <c r="DR201" s="65"/>
      <c r="DS201" s="65"/>
      <c r="DT201" s="65"/>
      <c r="DU201" s="65"/>
      <c r="DV201" s="65"/>
      <c r="DW201" s="65"/>
      <c r="DX201" s="65"/>
      <c r="DY201" s="65"/>
      <c r="DZ201" s="65"/>
      <c r="EA201" s="65"/>
      <c r="EB201" s="65"/>
      <c r="EC201" s="65"/>
      <c r="ED201" s="65"/>
      <c r="EE201" s="65"/>
      <c r="EF201" s="65"/>
      <c r="EG201" s="65"/>
      <c r="EH201" s="65"/>
      <c r="EI201" s="65"/>
      <c r="EJ201" s="65"/>
      <c r="EK201" s="65"/>
      <c r="EL201" s="65"/>
      <c r="EM201" s="65"/>
      <c r="EN201" s="65"/>
    </row>
    <row r="202" spans="1:145" s="62" customFormat="1" x14ac:dyDescent="0.2">
      <c r="A202" s="74">
        <v>3</v>
      </c>
      <c r="B202" s="146" t="s">
        <v>113</v>
      </c>
      <c r="C202" s="125" t="s">
        <v>16</v>
      </c>
      <c r="D202" s="122">
        <f t="shared" ref="D202:O202" si="56">D48*$R$162</f>
        <v>-8322594.3022205764</v>
      </c>
      <c r="E202" s="122">
        <f t="shared" si="56"/>
        <v>-2707018.6409953432</v>
      </c>
      <c r="F202" s="122">
        <f t="shared" si="56"/>
        <v>-10019746.100690505</v>
      </c>
      <c r="G202" s="122">
        <f t="shared" si="56"/>
        <v>-4753417.9940457512</v>
      </c>
      <c r="H202" s="122">
        <f t="shared" si="56"/>
        <v>13254758.244828438</v>
      </c>
      <c r="I202" s="122">
        <f t="shared" si="56"/>
        <v>-24076334.91544614</v>
      </c>
      <c r="J202" s="122">
        <f t="shared" si="56"/>
        <v>2297168.3345130468</v>
      </c>
      <c r="K202" s="122">
        <f t="shared" si="56"/>
        <v>6915411.3638507165</v>
      </c>
      <c r="L202" s="122">
        <f t="shared" si="56"/>
        <v>609172.97765023645</v>
      </c>
      <c r="M202" s="122">
        <f t="shared" si="56"/>
        <v>3198714.6703969035</v>
      </c>
      <c r="N202" s="122">
        <f t="shared" si="56"/>
        <v>13291242.451429259</v>
      </c>
      <c r="O202" s="122">
        <f t="shared" si="56"/>
        <v>8171568.258683268</v>
      </c>
      <c r="P202" s="127">
        <f>SUM(D202:O202)</f>
        <v>-2141075.6520464495</v>
      </c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  <c r="BM202" s="65"/>
      <c r="BN202" s="65"/>
      <c r="BO202" s="65"/>
      <c r="BP202" s="65"/>
      <c r="BQ202" s="65"/>
      <c r="BR202" s="65"/>
      <c r="BS202" s="65"/>
      <c r="BT202" s="65"/>
      <c r="BU202" s="65"/>
      <c r="BV202" s="65"/>
      <c r="BW202" s="65"/>
      <c r="BX202" s="65"/>
      <c r="BY202" s="65"/>
      <c r="BZ202" s="65"/>
      <c r="CA202" s="65"/>
      <c r="CB202" s="65"/>
      <c r="CC202" s="65"/>
      <c r="CD202" s="65"/>
      <c r="CE202" s="65"/>
      <c r="CF202" s="65"/>
      <c r="CG202" s="65"/>
      <c r="CH202" s="65"/>
      <c r="CI202" s="65"/>
      <c r="CJ202" s="65"/>
      <c r="CK202" s="65"/>
      <c r="CL202" s="65"/>
      <c r="CM202" s="65"/>
      <c r="CN202" s="65"/>
      <c r="CO202" s="65"/>
      <c r="CP202" s="65"/>
      <c r="CQ202" s="65"/>
      <c r="CR202" s="65"/>
      <c r="CS202" s="65"/>
      <c r="CT202" s="65"/>
      <c r="CU202" s="65"/>
      <c r="CV202" s="65"/>
      <c r="CW202" s="65"/>
      <c r="CX202" s="65"/>
      <c r="CY202" s="65"/>
      <c r="CZ202" s="65"/>
      <c r="DA202" s="65"/>
      <c r="DB202" s="65"/>
      <c r="DC202" s="65"/>
      <c r="DD202" s="65"/>
      <c r="DE202" s="65"/>
      <c r="DF202" s="65"/>
      <c r="DG202" s="65"/>
      <c r="DH202" s="65"/>
      <c r="DI202" s="65"/>
      <c r="DJ202" s="65"/>
      <c r="DK202" s="65"/>
      <c r="DL202" s="65"/>
      <c r="DM202" s="65"/>
      <c r="DN202" s="65"/>
      <c r="DO202" s="65"/>
      <c r="DP202" s="65"/>
      <c r="DQ202" s="65"/>
      <c r="DR202" s="65"/>
      <c r="DS202" s="65"/>
      <c r="DT202" s="65"/>
      <c r="DU202" s="65"/>
      <c r="DV202" s="65"/>
      <c r="DW202" s="65"/>
      <c r="DX202" s="65"/>
      <c r="DY202" s="65"/>
      <c r="DZ202" s="65"/>
      <c r="EA202" s="65"/>
      <c r="EB202" s="65"/>
      <c r="EC202" s="65"/>
      <c r="ED202" s="65"/>
      <c r="EE202" s="65"/>
      <c r="EF202" s="65"/>
      <c r="EG202" s="65"/>
      <c r="EH202" s="65"/>
      <c r="EI202" s="65"/>
      <c r="EJ202" s="65"/>
      <c r="EK202" s="65"/>
      <c r="EL202" s="65"/>
      <c r="EM202" s="65"/>
      <c r="EN202" s="65"/>
    </row>
    <row r="203" spans="1:145" s="62" customFormat="1" x14ac:dyDescent="0.2">
      <c r="A203" s="74">
        <v>4</v>
      </c>
      <c r="B203" s="146" t="s">
        <v>114</v>
      </c>
      <c r="C203" s="125" t="s">
        <v>16</v>
      </c>
      <c r="D203" s="123">
        <f t="shared" ref="D203:O203" si="57">D49*$R$162</f>
        <v>-1345433.3368640356</v>
      </c>
      <c r="E203" s="123">
        <f t="shared" si="57"/>
        <v>-499340.87227900926</v>
      </c>
      <c r="F203" s="123">
        <f t="shared" si="57"/>
        <v>-1192191.278048879</v>
      </c>
      <c r="G203" s="123">
        <f t="shared" si="57"/>
        <v>-457680.45246912277</v>
      </c>
      <c r="H203" s="123">
        <f t="shared" si="57"/>
        <v>1653741.1979358261</v>
      </c>
      <c r="I203" s="123">
        <f t="shared" si="57"/>
        <v>-3567369.7530691796</v>
      </c>
      <c r="J203" s="123">
        <f t="shared" si="57"/>
        <v>-215210.76082006909</v>
      </c>
      <c r="K203" s="123">
        <f t="shared" si="57"/>
        <v>844802.19490528037</v>
      </c>
      <c r="L203" s="123">
        <f t="shared" si="57"/>
        <v>272768.71761900035</v>
      </c>
      <c r="M203" s="123">
        <f t="shared" si="57"/>
        <v>568099.37628369045</v>
      </c>
      <c r="N203" s="123">
        <f t="shared" si="57"/>
        <v>1558598.0882430878</v>
      </c>
      <c r="O203" s="123">
        <f t="shared" si="57"/>
        <v>834480.72232720163</v>
      </c>
      <c r="P203" s="167">
        <f>SUM(D203:O203)</f>
        <v>-1544736.1562362099</v>
      </c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  <c r="BM203" s="65"/>
      <c r="BN203" s="65"/>
      <c r="BO203" s="65"/>
      <c r="BP203" s="65"/>
      <c r="BQ203" s="65"/>
      <c r="BR203" s="65"/>
      <c r="BS203" s="65"/>
      <c r="BT203" s="65"/>
      <c r="BU203" s="65"/>
      <c r="BV203" s="65"/>
      <c r="BW203" s="65"/>
      <c r="BX203" s="65"/>
      <c r="BY203" s="65"/>
      <c r="BZ203" s="65"/>
      <c r="CA203" s="65"/>
      <c r="CB203" s="65"/>
      <c r="CC203" s="65"/>
      <c r="CD203" s="65"/>
      <c r="CE203" s="65"/>
      <c r="CF203" s="65"/>
      <c r="CG203" s="65"/>
      <c r="CH203" s="65"/>
      <c r="CI203" s="65"/>
      <c r="CJ203" s="65"/>
      <c r="CK203" s="65"/>
      <c r="CL203" s="65"/>
      <c r="CM203" s="65"/>
      <c r="CN203" s="65"/>
      <c r="CO203" s="65"/>
      <c r="CP203" s="65"/>
      <c r="CQ203" s="65"/>
      <c r="CR203" s="65"/>
      <c r="CS203" s="65"/>
      <c r="CT203" s="65"/>
      <c r="CU203" s="65"/>
      <c r="CV203" s="65"/>
      <c r="CW203" s="65"/>
      <c r="CX203" s="65"/>
      <c r="CY203" s="65"/>
      <c r="CZ203" s="65"/>
      <c r="DA203" s="65"/>
      <c r="DB203" s="65"/>
      <c r="DC203" s="65"/>
      <c r="DD203" s="65"/>
      <c r="DE203" s="65"/>
      <c r="DF203" s="65"/>
      <c r="DG203" s="65"/>
      <c r="DH203" s="65"/>
      <c r="DI203" s="65"/>
      <c r="DJ203" s="65"/>
      <c r="DK203" s="65"/>
      <c r="DL203" s="65"/>
      <c r="DM203" s="65"/>
      <c r="DN203" s="65"/>
      <c r="DO203" s="65"/>
      <c r="DP203" s="65"/>
      <c r="DQ203" s="65"/>
      <c r="DR203" s="65"/>
      <c r="DS203" s="65"/>
      <c r="DT203" s="65"/>
      <c r="DU203" s="65"/>
      <c r="DV203" s="65"/>
      <c r="DW203" s="65"/>
      <c r="DX203" s="65"/>
      <c r="DY203" s="65"/>
      <c r="DZ203" s="65"/>
      <c r="EA203" s="65"/>
      <c r="EB203" s="65"/>
      <c r="EC203" s="65"/>
      <c r="ED203" s="65"/>
      <c r="EE203" s="65"/>
      <c r="EF203" s="65"/>
      <c r="EG203" s="65"/>
      <c r="EH203" s="65"/>
      <c r="EI203" s="65"/>
      <c r="EJ203" s="65"/>
      <c r="EK203" s="65"/>
      <c r="EL203" s="65"/>
      <c r="EM203" s="65"/>
      <c r="EN203" s="65"/>
    </row>
    <row r="204" spans="1:145" s="62" customFormat="1" x14ac:dyDescent="0.2">
      <c r="A204" s="74">
        <v>5</v>
      </c>
      <c r="B204" s="162" t="s">
        <v>30</v>
      </c>
      <c r="C204" s="143"/>
      <c r="D204" s="157">
        <f t="shared" ref="D204:N204" si="58">SUM(D202:D203)</f>
        <v>-9668027.6390846111</v>
      </c>
      <c r="E204" s="157">
        <f t="shared" si="58"/>
        <v>-3206359.5132743525</v>
      </c>
      <c r="F204" s="157">
        <f t="shared" si="58"/>
        <v>-11211937.378739383</v>
      </c>
      <c r="G204" s="157">
        <f t="shared" si="58"/>
        <v>-5211098.4465148738</v>
      </c>
      <c r="H204" s="157">
        <f t="shared" si="58"/>
        <v>14908499.442764264</v>
      </c>
      <c r="I204" s="157">
        <f t="shared" si="58"/>
        <v>-27643704.668515321</v>
      </c>
      <c r="J204" s="157">
        <f t="shared" si="58"/>
        <v>2081957.5736929777</v>
      </c>
      <c r="K204" s="157">
        <f t="shared" si="58"/>
        <v>7760213.5587559966</v>
      </c>
      <c r="L204" s="157">
        <f t="shared" si="58"/>
        <v>881941.69526923681</v>
      </c>
      <c r="M204" s="157">
        <f t="shared" si="58"/>
        <v>3766814.0466805939</v>
      </c>
      <c r="N204" s="157">
        <f t="shared" si="58"/>
        <v>14849840.539672347</v>
      </c>
      <c r="O204" s="157">
        <f>SUM(O202:O203)</f>
        <v>9006048.9810104705</v>
      </c>
      <c r="P204" s="157">
        <f>SUM(P202:P203)</f>
        <v>-3685811.8082826594</v>
      </c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  <c r="CA204" s="65"/>
      <c r="CB204" s="65"/>
      <c r="CC204" s="65"/>
      <c r="CD204" s="65"/>
      <c r="CE204" s="65"/>
      <c r="CF204" s="65"/>
      <c r="CG204" s="65"/>
      <c r="CH204" s="65"/>
      <c r="CI204" s="65"/>
      <c r="CJ204" s="65"/>
      <c r="CK204" s="65"/>
      <c r="CL204" s="65"/>
      <c r="CM204" s="65"/>
      <c r="CN204" s="65"/>
      <c r="CO204" s="65"/>
      <c r="CP204" s="65"/>
      <c r="CQ204" s="65"/>
      <c r="CR204" s="65"/>
      <c r="CS204" s="65"/>
      <c r="CT204" s="65"/>
      <c r="CU204" s="65"/>
      <c r="CV204" s="65"/>
      <c r="CW204" s="65"/>
      <c r="CX204" s="65"/>
      <c r="CY204" s="65"/>
      <c r="CZ204" s="65"/>
      <c r="DA204" s="65"/>
      <c r="DB204" s="65"/>
      <c r="DC204" s="65"/>
      <c r="DD204" s="65"/>
      <c r="DE204" s="65"/>
      <c r="DF204" s="65"/>
      <c r="DG204" s="65"/>
      <c r="DH204" s="65"/>
      <c r="DI204" s="65"/>
      <c r="DJ204" s="65"/>
      <c r="DK204" s="65"/>
      <c r="DL204" s="65"/>
      <c r="DM204" s="65"/>
      <c r="DN204" s="65"/>
      <c r="DO204" s="65"/>
      <c r="DP204" s="65"/>
      <c r="DQ204" s="65"/>
      <c r="DR204" s="65"/>
      <c r="DS204" s="65"/>
      <c r="DT204" s="65"/>
      <c r="DU204" s="65"/>
      <c r="DV204" s="65"/>
      <c r="DW204" s="65"/>
      <c r="DX204" s="65"/>
      <c r="DY204" s="65"/>
      <c r="DZ204" s="65"/>
      <c r="EA204" s="65"/>
      <c r="EB204" s="65"/>
      <c r="EC204" s="65"/>
      <c r="ED204" s="65"/>
      <c r="EE204" s="65"/>
      <c r="EF204" s="65"/>
      <c r="EG204" s="65"/>
      <c r="EH204" s="65"/>
      <c r="EI204" s="65"/>
      <c r="EJ204" s="65"/>
      <c r="EK204" s="65"/>
      <c r="EL204" s="65"/>
      <c r="EM204" s="65"/>
      <c r="EN204" s="65"/>
    </row>
    <row r="205" spans="1:145" s="62" customFormat="1" x14ac:dyDescent="0.2">
      <c r="B205" s="242"/>
      <c r="C205" s="143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22"/>
      <c r="O205" s="122"/>
      <c r="P205" s="127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65"/>
      <c r="BP205" s="65"/>
      <c r="BQ205" s="65"/>
      <c r="BR205" s="65"/>
      <c r="BS205" s="65"/>
      <c r="BT205" s="65"/>
      <c r="BU205" s="65"/>
      <c r="BV205" s="65"/>
      <c r="BW205" s="65"/>
      <c r="BX205" s="65"/>
      <c r="BY205" s="65"/>
      <c r="BZ205" s="65"/>
      <c r="CA205" s="65"/>
      <c r="CB205" s="65"/>
      <c r="CC205" s="65"/>
      <c r="CD205" s="65"/>
      <c r="CE205" s="65"/>
      <c r="CF205" s="65"/>
      <c r="CG205" s="65"/>
      <c r="CH205" s="65"/>
      <c r="CI205" s="65"/>
      <c r="CJ205" s="65"/>
      <c r="CK205" s="65"/>
      <c r="CL205" s="65"/>
      <c r="CM205" s="65"/>
      <c r="CN205" s="65"/>
      <c r="CO205" s="65"/>
      <c r="CP205" s="65"/>
      <c r="CQ205" s="65"/>
      <c r="CR205" s="65"/>
      <c r="CS205" s="65"/>
      <c r="CT205" s="65"/>
      <c r="CU205" s="65"/>
      <c r="CV205" s="65"/>
      <c r="CW205" s="65"/>
      <c r="CX205" s="65"/>
      <c r="CY205" s="65"/>
      <c r="CZ205" s="65"/>
      <c r="DA205" s="65"/>
      <c r="DB205" s="65"/>
      <c r="DC205" s="65"/>
      <c r="DD205" s="65"/>
      <c r="DE205" s="65"/>
      <c r="DF205" s="65"/>
      <c r="DG205" s="65"/>
      <c r="DH205" s="65"/>
      <c r="DI205" s="65"/>
      <c r="DJ205" s="65"/>
      <c r="DK205" s="65"/>
      <c r="DL205" s="65"/>
      <c r="DM205" s="65"/>
      <c r="DN205" s="65"/>
      <c r="DO205" s="65"/>
      <c r="DP205" s="65"/>
      <c r="DQ205" s="65"/>
      <c r="DR205" s="65"/>
      <c r="DS205" s="65"/>
      <c r="DT205" s="65"/>
      <c r="DU205" s="65"/>
      <c r="DV205" s="65"/>
      <c r="DW205" s="65"/>
      <c r="DX205" s="65"/>
      <c r="DY205" s="65"/>
      <c r="DZ205" s="65"/>
      <c r="EA205" s="65"/>
      <c r="EB205" s="65"/>
      <c r="EC205" s="65"/>
      <c r="ED205" s="65"/>
      <c r="EE205" s="65"/>
      <c r="EF205" s="65"/>
      <c r="EG205" s="65"/>
      <c r="EH205" s="65"/>
      <c r="EI205" s="65"/>
      <c r="EJ205" s="65"/>
      <c r="EK205" s="65"/>
      <c r="EL205" s="65"/>
      <c r="EM205" s="65"/>
      <c r="EN205" s="65"/>
    </row>
    <row r="206" spans="1:145" s="62" customFormat="1" x14ac:dyDescent="0.2">
      <c r="A206" s="74">
        <v>6</v>
      </c>
      <c r="B206" s="146" t="s">
        <v>110</v>
      </c>
      <c r="C206" s="125" t="s">
        <v>17</v>
      </c>
      <c r="D206" s="122">
        <f t="shared" ref="D206:O206" si="59">D52*$R$163</f>
        <v>-1591077.3008784121</v>
      </c>
      <c r="E206" s="122">
        <f t="shared" si="59"/>
        <v>-479234.45395799767</v>
      </c>
      <c r="F206" s="122">
        <f t="shared" si="59"/>
        <v>-2538403.0696820519</v>
      </c>
      <c r="G206" s="122">
        <f t="shared" si="59"/>
        <v>-1210191.0195817726</v>
      </c>
      <c r="H206" s="122">
        <f t="shared" si="59"/>
        <v>3263303.3874313748</v>
      </c>
      <c r="I206" s="122">
        <f t="shared" si="59"/>
        <v>-5346275.4833785156</v>
      </c>
      <c r="J206" s="122">
        <f t="shared" si="59"/>
        <v>603568.73432068434</v>
      </c>
      <c r="K206" s="122">
        <f t="shared" si="59"/>
        <v>1545293.9791006397</v>
      </c>
      <c r="L206" s="122">
        <f t="shared" si="59"/>
        <v>31825.593731180554</v>
      </c>
      <c r="M206" s="122">
        <f t="shared" si="59"/>
        <v>573372.51643666998</v>
      </c>
      <c r="N206" s="122">
        <f t="shared" si="59"/>
        <v>3440622.0716577298</v>
      </c>
      <c r="O206" s="122">
        <f t="shared" si="59"/>
        <v>2188263.5638666688</v>
      </c>
      <c r="P206" s="127">
        <f>SUM(D206:O206)</f>
        <v>481068.51906619873</v>
      </c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  <c r="BP206" s="65"/>
      <c r="BQ206" s="65"/>
      <c r="BR206" s="65"/>
      <c r="BS206" s="65"/>
      <c r="BT206" s="65"/>
      <c r="BU206" s="65"/>
      <c r="BV206" s="65"/>
      <c r="BW206" s="65"/>
      <c r="BX206" s="65"/>
      <c r="BY206" s="65"/>
      <c r="BZ206" s="65"/>
      <c r="CA206" s="65"/>
      <c r="CB206" s="65"/>
      <c r="CC206" s="65"/>
      <c r="CD206" s="65"/>
      <c r="CE206" s="65"/>
      <c r="CF206" s="65"/>
      <c r="CG206" s="65"/>
      <c r="CH206" s="65"/>
      <c r="CI206" s="65"/>
      <c r="CJ206" s="65"/>
      <c r="CK206" s="65"/>
      <c r="CL206" s="65"/>
      <c r="CM206" s="65"/>
      <c r="CN206" s="65"/>
      <c r="CO206" s="65"/>
      <c r="CP206" s="65"/>
      <c r="CQ206" s="65"/>
      <c r="CR206" s="65"/>
      <c r="CS206" s="65"/>
      <c r="CT206" s="65"/>
      <c r="CU206" s="65"/>
      <c r="CV206" s="65"/>
      <c r="CW206" s="65"/>
      <c r="CX206" s="65"/>
      <c r="CY206" s="65"/>
      <c r="CZ206" s="65"/>
      <c r="DA206" s="65"/>
      <c r="DB206" s="65"/>
      <c r="DC206" s="65"/>
      <c r="DD206" s="65"/>
      <c r="DE206" s="65"/>
      <c r="DF206" s="65"/>
      <c r="DG206" s="65"/>
      <c r="DH206" s="65"/>
      <c r="DI206" s="65"/>
      <c r="DJ206" s="65"/>
      <c r="DK206" s="65"/>
      <c r="DL206" s="65"/>
      <c r="DM206" s="65"/>
      <c r="DN206" s="65"/>
      <c r="DO206" s="65"/>
      <c r="DP206" s="65"/>
      <c r="DQ206" s="65"/>
      <c r="DR206" s="65"/>
      <c r="DS206" s="65"/>
      <c r="DT206" s="65"/>
      <c r="DU206" s="65"/>
      <c r="DV206" s="65"/>
      <c r="DW206" s="65"/>
      <c r="DX206" s="65"/>
      <c r="DY206" s="65"/>
      <c r="DZ206" s="65"/>
      <c r="EA206" s="65"/>
      <c r="EB206" s="65"/>
      <c r="EC206" s="65"/>
      <c r="ED206" s="65"/>
      <c r="EE206" s="65"/>
      <c r="EF206" s="65"/>
      <c r="EG206" s="65"/>
      <c r="EH206" s="65"/>
      <c r="EI206" s="65"/>
      <c r="EJ206" s="65"/>
      <c r="EK206" s="65"/>
      <c r="EL206" s="65"/>
      <c r="EM206" s="65"/>
      <c r="EN206" s="65"/>
    </row>
    <row r="207" spans="1:145" s="62" customFormat="1" x14ac:dyDescent="0.2">
      <c r="A207" s="74">
        <v>7</v>
      </c>
      <c r="B207" s="146" t="s">
        <v>111</v>
      </c>
      <c r="C207" s="125" t="s">
        <v>17</v>
      </c>
      <c r="D207" s="123">
        <f t="shared" ref="D207:O207" si="60">D53*$R$163</f>
        <v>0</v>
      </c>
      <c r="E207" s="123">
        <f t="shared" si="60"/>
        <v>0</v>
      </c>
      <c r="F207" s="123">
        <f t="shared" si="60"/>
        <v>0</v>
      </c>
      <c r="G207" s="123">
        <f t="shared" si="60"/>
        <v>0</v>
      </c>
      <c r="H207" s="123">
        <f t="shared" si="60"/>
        <v>0</v>
      </c>
      <c r="I207" s="123">
        <f t="shared" si="60"/>
        <v>0</v>
      </c>
      <c r="J207" s="123">
        <f t="shared" si="60"/>
        <v>0</v>
      </c>
      <c r="K207" s="123">
        <f t="shared" si="60"/>
        <v>0</v>
      </c>
      <c r="L207" s="123">
        <f t="shared" si="60"/>
        <v>0</v>
      </c>
      <c r="M207" s="123">
        <f t="shared" si="60"/>
        <v>0</v>
      </c>
      <c r="N207" s="123">
        <f t="shared" si="60"/>
        <v>0</v>
      </c>
      <c r="O207" s="123">
        <f t="shared" si="60"/>
        <v>0</v>
      </c>
      <c r="P207" s="167">
        <f>SUM(D207:O207)</f>
        <v>0</v>
      </c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  <c r="BQ207" s="65"/>
      <c r="BR207" s="65"/>
      <c r="BS207" s="65"/>
      <c r="BT207" s="65"/>
      <c r="BU207" s="65"/>
      <c r="BV207" s="65"/>
      <c r="BW207" s="65"/>
      <c r="BX207" s="65"/>
      <c r="BY207" s="65"/>
      <c r="BZ207" s="65"/>
      <c r="CA207" s="65"/>
      <c r="CB207" s="65"/>
      <c r="CC207" s="65"/>
      <c r="CD207" s="65"/>
      <c r="CE207" s="65"/>
      <c r="CF207" s="65"/>
      <c r="CG207" s="65"/>
      <c r="CH207" s="65"/>
      <c r="CI207" s="65"/>
      <c r="CJ207" s="65"/>
      <c r="CK207" s="65"/>
      <c r="CL207" s="65"/>
      <c r="CM207" s="65"/>
      <c r="CN207" s="65"/>
      <c r="CO207" s="65"/>
      <c r="CP207" s="65"/>
      <c r="CQ207" s="65"/>
      <c r="CR207" s="65"/>
      <c r="CS207" s="65"/>
      <c r="CT207" s="65"/>
      <c r="CU207" s="65"/>
      <c r="CV207" s="65"/>
      <c r="CW207" s="65"/>
      <c r="CX207" s="65"/>
      <c r="CY207" s="65"/>
      <c r="CZ207" s="65"/>
      <c r="DA207" s="65"/>
      <c r="DB207" s="65"/>
      <c r="DC207" s="65"/>
      <c r="DD207" s="65"/>
      <c r="DE207" s="65"/>
      <c r="DF207" s="65"/>
      <c r="DG207" s="65"/>
      <c r="DH207" s="65"/>
      <c r="DI207" s="65"/>
      <c r="DJ207" s="65"/>
      <c r="DK207" s="65"/>
      <c r="DL207" s="65"/>
      <c r="DM207" s="65"/>
      <c r="DN207" s="65"/>
      <c r="DO207" s="65"/>
      <c r="DP207" s="65"/>
      <c r="DQ207" s="65"/>
      <c r="DR207" s="65"/>
      <c r="DS207" s="65"/>
      <c r="DT207" s="65"/>
      <c r="DU207" s="65"/>
      <c r="DV207" s="65"/>
      <c r="DW207" s="65"/>
      <c r="DX207" s="65"/>
      <c r="DY207" s="65"/>
      <c r="DZ207" s="65"/>
      <c r="EA207" s="65"/>
      <c r="EB207" s="65"/>
      <c r="EC207" s="65"/>
      <c r="ED207" s="65"/>
      <c r="EE207" s="65"/>
      <c r="EF207" s="65"/>
      <c r="EG207" s="65"/>
      <c r="EH207" s="65"/>
      <c r="EI207" s="65"/>
      <c r="EJ207" s="65"/>
      <c r="EK207" s="65"/>
      <c r="EL207" s="65"/>
      <c r="EM207" s="65"/>
      <c r="EN207" s="65"/>
    </row>
    <row r="208" spans="1:145" s="62" customFormat="1" x14ac:dyDescent="0.2">
      <c r="A208" s="74">
        <v>8</v>
      </c>
      <c r="B208" s="129" t="s">
        <v>31</v>
      </c>
      <c r="C208" s="125"/>
      <c r="D208" s="122">
        <f>SUM(D206:D207)</f>
        <v>-1591077.3008784121</v>
      </c>
      <c r="E208" s="122">
        <f t="shared" ref="E208:O208" si="61">SUM(E206:E207)</f>
        <v>-479234.45395799767</v>
      </c>
      <c r="F208" s="122">
        <f t="shared" si="61"/>
        <v>-2538403.0696820519</v>
      </c>
      <c r="G208" s="122">
        <f t="shared" si="61"/>
        <v>-1210191.0195817726</v>
      </c>
      <c r="H208" s="122">
        <f t="shared" si="61"/>
        <v>3263303.3874313748</v>
      </c>
      <c r="I208" s="122">
        <f t="shared" si="61"/>
        <v>-5346275.4833785156</v>
      </c>
      <c r="J208" s="122">
        <f t="shared" si="61"/>
        <v>603568.73432068434</v>
      </c>
      <c r="K208" s="122">
        <f t="shared" si="61"/>
        <v>1545293.9791006397</v>
      </c>
      <c r="L208" s="122">
        <f t="shared" si="61"/>
        <v>31825.593731180554</v>
      </c>
      <c r="M208" s="122">
        <f t="shared" si="61"/>
        <v>573372.51643666998</v>
      </c>
      <c r="N208" s="122">
        <f t="shared" si="61"/>
        <v>3440622.0716577298</v>
      </c>
      <c r="O208" s="122">
        <f t="shared" si="61"/>
        <v>2188263.5638666688</v>
      </c>
      <c r="P208" s="122">
        <f>SUM(P206:P207)</f>
        <v>481068.51906619873</v>
      </c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65"/>
      <c r="BP208" s="65"/>
      <c r="BQ208" s="65"/>
      <c r="BR208" s="65"/>
      <c r="BS208" s="65"/>
      <c r="BT208" s="65"/>
      <c r="BU208" s="65"/>
      <c r="BV208" s="65"/>
      <c r="BW208" s="65"/>
      <c r="BX208" s="65"/>
      <c r="BY208" s="65"/>
      <c r="BZ208" s="65"/>
      <c r="CA208" s="65"/>
      <c r="CB208" s="65"/>
      <c r="CC208" s="65"/>
      <c r="CD208" s="65"/>
      <c r="CE208" s="65"/>
      <c r="CF208" s="65"/>
      <c r="CG208" s="65"/>
      <c r="CH208" s="65"/>
      <c r="CI208" s="65"/>
      <c r="CJ208" s="65"/>
      <c r="CK208" s="65"/>
      <c r="CL208" s="65"/>
      <c r="CM208" s="65"/>
      <c r="CN208" s="65"/>
      <c r="CO208" s="65"/>
      <c r="CP208" s="65"/>
      <c r="CQ208" s="65"/>
      <c r="CR208" s="65"/>
      <c r="CS208" s="65"/>
      <c r="CT208" s="65"/>
      <c r="CU208" s="65"/>
      <c r="CV208" s="65"/>
      <c r="CW208" s="65"/>
      <c r="CX208" s="65"/>
      <c r="CY208" s="65"/>
      <c r="CZ208" s="65"/>
      <c r="DA208" s="65"/>
      <c r="DB208" s="65"/>
      <c r="DC208" s="65"/>
      <c r="DD208" s="65"/>
      <c r="DE208" s="65"/>
      <c r="DF208" s="65"/>
      <c r="DG208" s="65"/>
      <c r="DH208" s="65"/>
      <c r="DI208" s="65"/>
      <c r="DJ208" s="65"/>
      <c r="DK208" s="65"/>
      <c r="DL208" s="65"/>
      <c r="DM208" s="65"/>
      <c r="DN208" s="65"/>
      <c r="DO208" s="65"/>
      <c r="DP208" s="65"/>
      <c r="DQ208" s="65"/>
      <c r="DR208" s="65"/>
      <c r="DS208" s="65"/>
      <c r="DT208" s="65"/>
      <c r="DU208" s="65"/>
      <c r="DV208" s="65"/>
      <c r="DW208" s="65"/>
      <c r="DX208" s="65"/>
      <c r="DY208" s="65"/>
      <c r="DZ208" s="65"/>
      <c r="EA208" s="65"/>
      <c r="EB208" s="65"/>
      <c r="EC208" s="65"/>
      <c r="ED208" s="65"/>
      <c r="EE208" s="65"/>
      <c r="EF208" s="65"/>
      <c r="EG208" s="65"/>
      <c r="EH208" s="65"/>
      <c r="EI208" s="65"/>
      <c r="EJ208" s="65"/>
      <c r="EK208" s="65"/>
      <c r="EL208" s="65"/>
      <c r="EM208" s="65"/>
      <c r="EN208" s="65"/>
    </row>
    <row r="209" spans="1:145" s="62" customFormat="1" x14ac:dyDescent="0.2">
      <c r="A209" s="74"/>
      <c r="B209" s="129"/>
      <c r="C209" s="125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7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65"/>
      <c r="BP209" s="65"/>
      <c r="BQ209" s="65"/>
      <c r="BR209" s="65"/>
      <c r="BS209" s="65"/>
      <c r="BT209" s="65"/>
      <c r="BU209" s="65"/>
      <c r="BV209" s="65"/>
      <c r="BW209" s="65"/>
      <c r="BX209" s="65"/>
      <c r="BY209" s="65"/>
      <c r="BZ209" s="65"/>
      <c r="CA209" s="65"/>
      <c r="CB209" s="65"/>
      <c r="CC209" s="65"/>
      <c r="CD209" s="65"/>
      <c r="CE209" s="65"/>
      <c r="CF209" s="65"/>
      <c r="CG209" s="65"/>
      <c r="CH209" s="65"/>
      <c r="CI209" s="65"/>
      <c r="CJ209" s="65"/>
      <c r="CK209" s="65"/>
      <c r="CL209" s="65"/>
      <c r="CM209" s="65"/>
      <c r="CN209" s="65"/>
      <c r="CO209" s="65"/>
      <c r="CP209" s="65"/>
      <c r="CQ209" s="65"/>
      <c r="CR209" s="65"/>
      <c r="CS209" s="65"/>
      <c r="CT209" s="65"/>
      <c r="CU209" s="65"/>
      <c r="CV209" s="65"/>
      <c r="CW209" s="65"/>
      <c r="CX209" s="65"/>
      <c r="CY209" s="65"/>
      <c r="CZ209" s="65"/>
      <c r="DA209" s="65"/>
      <c r="DB209" s="65"/>
      <c r="DC209" s="65"/>
      <c r="DD209" s="65"/>
      <c r="DE209" s="65"/>
      <c r="DF209" s="65"/>
      <c r="DG209" s="65"/>
      <c r="DH209" s="65"/>
      <c r="DI209" s="65"/>
      <c r="DJ209" s="65"/>
      <c r="DK209" s="65"/>
      <c r="DL209" s="65"/>
      <c r="DM209" s="65"/>
      <c r="DN209" s="65"/>
      <c r="DO209" s="65"/>
      <c r="DP209" s="65"/>
      <c r="DQ209" s="65"/>
      <c r="DR209" s="65"/>
      <c r="DS209" s="65"/>
      <c r="DT209" s="65"/>
      <c r="DU209" s="65"/>
      <c r="DV209" s="65"/>
      <c r="DW209" s="65"/>
      <c r="DX209" s="65"/>
      <c r="DY209" s="65"/>
      <c r="DZ209" s="65"/>
      <c r="EA209" s="65"/>
      <c r="EB209" s="65"/>
      <c r="EC209" s="65"/>
      <c r="ED209" s="65"/>
      <c r="EE209" s="65"/>
      <c r="EF209" s="65"/>
      <c r="EG209" s="65"/>
      <c r="EH209" s="65"/>
      <c r="EI209" s="65"/>
      <c r="EJ209" s="65"/>
      <c r="EK209" s="65"/>
      <c r="EL209" s="65"/>
      <c r="EM209" s="65"/>
      <c r="EN209" s="65"/>
    </row>
    <row r="210" spans="1:145" s="62" customFormat="1" x14ac:dyDescent="0.2">
      <c r="A210" s="74">
        <v>9</v>
      </c>
      <c r="B210" s="162" t="s">
        <v>112</v>
      </c>
      <c r="C210" s="125" t="s">
        <v>18</v>
      </c>
      <c r="D210" s="122">
        <f t="shared" ref="D210:O210" si="62">D56*$R$164</f>
        <v>0</v>
      </c>
      <c r="E210" s="122">
        <f t="shared" si="62"/>
        <v>0</v>
      </c>
      <c r="F210" s="122">
        <f t="shared" si="62"/>
        <v>0</v>
      </c>
      <c r="G210" s="122">
        <f t="shared" si="62"/>
        <v>0</v>
      </c>
      <c r="H210" s="122">
        <f t="shared" si="62"/>
        <v>0</v>
      </c>
      <c r="I210" s="122">
        <f t="shared" si="62"/>
        <v>0</v>
      </c>
      <c r="J210" s="122">
        <f t="shared" si="62"/>
        <v>0</v>
      </c>
      <c r="K210" s="122">
        <f t="shared" si="62"/>
        <v>0</v>
      </c>
      <c r="L210" s="122">
        <f t="shared" si="62"/>
        <v>0</v>
      </c>
      <c r="M210" s="122">
        <f t="shared" si="62"/>
        <v>0</v>
      </c>
      <c r="N210" s="122">
        <f t="shared" si="62"/>
        <v>0</v>
      </c>
      <c r="O210" s="122">
        <f t="shared" si="62"/>
        <v>0</v>
      </c>
      <c r="P210" s="127">
        <f>SUM(D210:O210)</f>
        <v>0</v>
      </c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65"/>
      <c r="BP210" s="65"/>
      <c r="BQ210" s="65"/>
      <c r="BR210" s="65"/>
      <c r="BS210" s="65"/>
      <c r="BT210" s="65"/>
      <c r="BU210" s="65"/>
      <c r="BV210" s="65"/>
      <c r="BW210" s="65"/>
      <c r="BX210" s="65"/>
      <c r="BY210" s="65"/>
      <c r="BZ210" s="65"/>
      <c r="CA210" s="65"/>
      <c r="CB210" s="65"/>
      <c r="CC210" s="65"/>
      <c r="CD210" s="65"/>
      <c r="CE210" s="65"/>
      <c r="CF210" s="65"/>
      <c r="CG210" s="65"/>
      <c r="CH210" s="65"/>
      <c r="CI210" s="65"/>
      <c r="CJ210" s="65"/>
      <c r="CK210" s="65"/>
      <c r="CL210" s="65"/>
      <c r="CM210" s="65"/>
      <c r="CN210" s="65"/>
      <c r="CO210" s="65"/>
      <c r="CP210" s="65"/>
      <c r="CQ210" s="65"/>
      <c r="CR210" s="65"/>
      <c r="CS210" s="65"/>
      <c r="CT210" s="65"/>
      <c r="CU210" s="65"/>
      <c r="CV210" s="65"/>
      <c r="CW210" s="65"/>
      <c r="CX210" s="65"/>
      <c r="CY210" s="65"/>
      <c r="CZ210" s="65"/>
      <c r="DA210" s="65"/>
      <c r="DB210" s="65"/>
      <c r="DC210" s="65"/>
      <c r="DD210" s="65"/>
      <c r="DE210" s="65"/>
      <c r="DF210" s="65"/>
      <c r="DG210" s="65"/>
      <c r="DH210" s="65"/>
      <c r="DI210" s="65"/>
      <c r="DJ210" s="65"/>
      <c r="DK210" s="65"/>
      <c r="DL210" s="65"/>
      <c r="DM210" s="65"/>
      <c r="DN210" s="65"/>
      <c r="DO210" s="65"/>
      <c r="DP210" s="65"/>
      <c r="DQ210" s="65"/>
      <c r="DR210" s="65"/>
      <c r="DS210" s="65"/>
      <c r="DT210" s="65"/>
      <c r="DU210" s="65"/>
      <c r="DV210" s="65"/>
      <c r="DW210" s="65"/>
      <c r="DX210" s="65"/>
      <c r="DY210" s="65"/>
      <c r="DZ210" s="65"/>
      <c r="EA210" s="65"/>
      <c r="EB210" s="65"/>
      <c r="EC210" s="65"/>
      <c r="ED210" s="65"/>
      <c r="EE210" s="65"/>
      <c r="EF210" s="65"/>
      <c r="EG210" s="65"/>
      <c r="EH210" s="65"/>
      <c r="EI210" s="65"/>
      <c r="EJ210" s="65"/>
      <c r="EK210" s="65"/>
      <c r="EL210" s="65"/>
      <c r="EM210" s="65"/>
      <c r="EN210" s="65"/>
    </row>
    <row r="211" spans="1:145" s="62" customFormat="1" x14ac:dyDescent="0.2">
      <c r="B211" s="129"/>
      <c r="C211" s="143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22"/>
      <c r="O211" s="122"/>
      <c r="P211" s="127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65"/>
      <c r="BU211" s="65"/>
      <c r="BV211" s="65"/>
      <c r="BW211" s="65"/>
      <c r="BX211" s="65"/>
      <c r="BY211" s="65"/>
      <c r="BZ211" s="65"/>
      <c r="CA211" s="65"/>
      <c r="CB211" s="65"/>
      <c r="CC211" s="65"/>
      <c r="CD211" s="65"/>
      <c r="CE211" s="65"/>
      <c r="CF211" s="65"/>
      <c r="CG211" s="65"/>
      <c r="CH211" s="65"/>
      <c r="CI211" s="65"/>
      <c r="CJ211" s="65"/>
      <c r="CK211" s="65"/>
      <c r="CL211" s="65"/>
      <c r="CM211" s="65"/>
      <c r="CN211" s="65"/>
      <c r="CO211" s="65"/>
      <c r="CP211" s="65"/>
      <c r="CQ211" s="65"/>
      <c r="CR211" s="65"/>
      <c r="CS211" s="65"/>
      <c r="CT211" s="65"/>
      <c r="CU211" s="65"/>
      <c r="CV211" s="65"/>
      <c r="CW211" s="65"/>
      <c r="CX211" s="65"/>
      <c r="CY211" s="65"/>
      <c r="CZ211" s="65"/>
      <c r="DA211" s="65"/>
      <c r="DB211" s="65"/>
      <c r="DC211" s="65"/>
      <c r="DD211" s="65"/>
      <c r="DE211" s="65"/>
      <c r="DF211" s="65"/>
      <c r="DG211" s="65"/>
      <c r="DH211" s="65"/>
      <c r="DI211" s="65"/>
      <c r="DJ211" s="65"/>
      <c r="DK211" s="65"/>
      <c r="DL211" s="65"/>
      <c r="DM211" s="65"/>
      <c r="DN211" s="65"/>
      <c r="DO211" s="65"/>
      <c r="DP211" s="65"/>
      <c r="DQ211" s="65"/>
      <c r="DR211" s="65"/>
      <c r="DS211" s="65"/>
      <c r="DT211" s="65"/>
      <c r="DU211" s="65"/>
      <c r="DV211" s="65"/>
      <c r="DW211" s="65"/>
      <c r="DX211" s="65"/>
      <c r="DY211" s="65"/>
      <c r="DZ211" s="65"/>
      <c r="EA211" s="65"/>
      <c r="EB211" s="65"/>
      <c r="EC211" s="65"/>
      <c r="ED211" s="65"/>
      <c r="EE211" s="65"/>
      <c r="EF211" s="65"/>
      <c r="EG211" s="65"/>
      <c r="EH211" s="65"/>
      <c r="EI211" s="65"/>
      <c r="EJ211" s="65"/>
      <c r="EK211" s="65"/>
      <c r="EL211" s="65"/>
      <c r="EM211" s="65"/>
      <c r="EN211" s="65"/>
    </row>
    <row r="212" spans="1:145" s="62" customFormat="1" x14ac:dyDescent="0.2">
      <c r="A212" s="74">
        <v>10</v>
      </c>
      <c r="B212" s="117" t="s">
        <v>33</v>
      </c>
      <c r="C212" s="125" t="s">
        <v>16</v>
      </c>
      <c r="D212" s="122">
        <f t="shared" ref="D212:O212" si="63">D58*$R$162</f>
        <v>0</v>
      </c>
      <c r="E212" s="122">
        <f t="shared" si="63"/>
        <v>0</v>
      </c>
      <c r="F212" s="122">
        <f t="shared" si="63"/>
        <v>0</v>
      </c>
      <c r="G212" s="122">
        <f t="shared" si="63"/>
        <v>0</v>
      </c>
      <c r="H212" s="122">
        <f t="shared" si="63"/>
        <v>0</v>
      </c>
      <c r="I212" s="122">
        <f t="shared" si="63"/>
        <v>0</v>
      </c>
      <c r="J212" s="122">
        <f t="shared" si="63"/>
        <v>0</v>
      </c>
      <c r="K212" s="122">
        <f t="shared" si="63"/>
        <v>0</v>
      </c>
      <c r="L212" s="122">
        <f t="shared" si="63"/>
        <v>0</v>
      </c>
      <c r="M212" s="122">
        <f t="shared" si="63"/>
        <v>0</v>
      </c>
      <c r="N212" s="122">
        <f t="shared" si="63"/>
        <v>0</v>
      </c>
      <c r="O212" s="122">
        <f t="shared" si="63"/>
        <v>0</v>
      </c>
      <c r="P212" s="127">
        <f>SUM(D212:O212)</f>
        <v>0</v>
      </c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5"/>
      <c r="BU212" s="65"/>
      <c r="BV212" s="65"/>
      <c r="BW212" s="65"/>
      <c r="BX212" s="65"/>
      <c r="BY212" s="65"/>
      <c r="BZ212" s="65"/>
      <c r="CA212" s="65"/>
      <c r="CB212" s="65"/>
      <c r="CC212" s="65"/>
      <c r="CD212" s="65"/>
      <c r="CE212" s="65"/>
      <c r="CF212" s="65"/>
      <c r="CG212" s="65"/>
      <c r="CH212" s="65"/>
      <c r="CI212" s="65"/>
      <c r="CJ212" s="65"/>
      <c r="CK212" s="65"/>
      <c r="CL212" s="65"/>
      <c r="CM212" s="65"/>
      <c r="CN212" s="65"/>
      <c r="CO212" s="65"/>
      <c r="CP212" s="65"/>
      <c r="CQ212" s="65"/>
      <c r="CR212" s="65"/>
      <c r="CS212" s="65"/>
      <c r="CT212" s="65"/>
      <c r="CU212" s="65"/>
      <c r="CV212" s="65"/>
      <c r="CW212" s="65"/>
      <c r="CX212" s="65"/>
      <c r="CY212" s="65"/>
      <c r="CZ212" s="65"/>
      <c r="DA212" s="65"/>
      <c r="DB212" s="65"/>
      <c r="DC212" s="65"/>
      <c r="DD212" s="65"/>
      <c r="DE212" s="65"/>
      <c r="DF212" s="65"/>
      <c r="DG212" s="65"/>
      <c r="DH212" s="65"/>
      <c r="DI212" s="65"/>
      <c r="DJ212" s="65"/>
      <c r="DK212" s="65"/>
      <c r="DL212" s="65"/>
      <c r="DM212" s="65"/>
      <c r="DN212" s="65"/>
      <c r="DO212" s="65"/>
      <c r="DP212" s="65"/>
      <c r="DQ212" s="65"/>
      <c r="DR212" s="65"/>
      <c r="DS212" s="65"/>
      <c r="DT212" s="65"/>
      <c r="DU212" s="65"/>
      <c r="DV212" s="65"/>
      <c r="DW212" s="65"/>
      <c r="DX212" s="65"/>
      <c r="DY212" s="65"/>
      <c r="DZ212" s="65"/>
      <c r="EA212" s="65"/>
      <c r="EB212" s="65"/>
      <c r="EC212" s="65"/>
      <c r="ED212" s="65"/>
      <c r="EE212" s="65"/>
      <c r="EF212" s="65"/>
      <c r="EG212" s="65"/>
      <c r="EH212" s="65"/>
      <c r="EI212" s="65"/>
      <c r="EJ212" s="65"/>
      <c r="EK212" s="65"/>
      <c r="EL212" s="65"/>
      <c r="EM212" s="65"/>
      <c r="EN212" s="65"/>
    </row>
    <row r="213" spans="1:145" s="62" customFormat="1" x14ac:dyDescent="0.2">
      <c r="A213" s="74"/>
      <c r="B213" s="129"/>
      <c r="C213" s="143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22"/>
      <c r="O213" s="122"/>
      <c r="P213" s="127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  <c r="BM213" s="65"/>
      <c r="BN213" s="65"/>
      <c r="BO213" s="65"/>
      <c r="BP213" s="65"/>
      <c r="BQ213" s="65"/>
      <c r="BR213" s="65"/>
      <c r="BS213" s="65"/>
      <c r="BT213" s="65"/>
      <c r="BU213" s="65"/>
      <c r="BV213" s="65"/>
      <c r="BW213" s="65"/>
      <c r="BX213" s="65"/>
      <c r="BY213" s="65"/>
      <c r="BZ213" s="65"/>
      <c r="CA213" s="65"/>
      <c r="CB213" s="65"/>
      <c r="CC213" s="65"/>
      <c r="CD213" s="65"/>
      <c r="CE213" s="65"/>
      <c r="CF213" s="65"/>
      <c r="CG213" s="65"/>
      <c r="CH213" s="65"/>
      <c r="CI213" s="65"/>
      <c r="CJ213" s="65"/>
      <c r="CK213" s="65"/>
      <c r="CL213" s="65"/>
      <c r="CM213" s="65"/>
      <c r="CN213" s="65"/>
      <c r="CO213" s="65"/>
      <c r="CP213" s="65"/>
      <c r="CQ213" s="65"/>
      <c r="CR213" s="65"/>
      <c r="CS213" s="65"/>
      <c r="CT213" s="65"/>
      <c r="CU213" s="65"/>
      <c r="CV213" s="65"/>
      <c r="CW213" s="65"/>
      <c r="CX213" s="65"/>
      <c r="CY213" s="65"/>
      <c r="CZ213" s="65"/>
      <c r="DA213" s="65"/>
      <c r="DB213" s="65"/>
      <c r="DC213" s="65"/>
      <c r="DD213" s="65"/>
      <c r="DE213" s="65"/>
      <c r="DF213" s="65"/>
      <c r="DG213" s="65"/>
      <c r="DH213" s="65"/>
      <c r="DI213" s="65"/>
      <c r="DJ213" s="65"/>
      <c r="DK213" s="65"/>
      <c r="DL213" s="65"/>
      <c r="DM213" s="65"/>
      <c r="DN213" s="65"/>
      <c r="DO213" s="65"/>
      <c r="DP213" s="65"/>
      <c r="DQ213" s="65"/>
      <c r="DR213" s="65"/>
      <c r="DS213" s="65"/>
      <c r="DT213" s="65"/>
      <c r="DU213" s="65"/>
      <c r="DV213" s="65"/>
      <c r="DW213" s="65"/>
      <c r="DX213" s="65"/>
      <c r="DY213" s="65"/>
      <c r="DZ213" s="65"/>
      <c r="EA213" s="65"/>
      <c r="EB213" s="65"/>
      <c r="EC213" s="65"/>
      <c r="ED213" s="65"/>
      <c r="EE213" s="65"/>
      <c r="EF213" s="65"/>
      <c r="EG213" s="65"/>
      <c r="EH213" s="65"/>
      <c r="EI213" s="65"/>
      <c r="EJ213" s="65"/>
      <c r="EK213" s="65"/>
      <c r="EL213" s="65"/>
      <c r="EM213" s="65"/>
      <c r="EN213" s="65"/>
    </row>
    <row r="214" spans="1:145" s="62" customFormat="1" x14ac:dyDescent="0.2">
      <c r="A214" s="74">
        <v>11</v>
      </c>
      <c r="B214" s="183" t="s">
        <v>34</v>
      </c>
      <c r="C214" s="236"/>
      <c r="D214" s="184">
        <f t="shared" ref="D214:P214" si="64">D212+D210+D208+D204+D200+D198</f>
        <v>-179517235.93692046</v>
      </c>
      <c r="E214" s="184">
        <f t="shared" si="64"/>
        <v>-71014887.469891205</v>
      </c>
      <c r="F214" s="184">
        <f t="shared" si="64"/>
        <v>-6488064.3694326235</v>
      </c>
      <c r="G214" s="184">
        <f t="shared" si="64"/>
        <v>-10987896.542348769</v>
      </c>
      <c r="H214" s="184">
        <f t="shared" si="64"/>
        <v>53570135.988501266</v>
      </c>
      <c r="I214" s="184">
        <f t="shared" si="64"/>
        <v>-99144570.758720756</v>
      </c>
      <c r="J214" s="184">
        <f t="shared" si="64"/>
        <v>7404809.8678132463</v>
      </c>
      <c r="K214" s="184">
        <f t="shared" si="64"/>
        <v>27841971.854164906</v>
      </c>
      <c r="L214" s="184">
        <f t="shared" si="64"/>
        <v>3067173.4392254353</v>
      </c>
      <c r="M214" s="184">
        <f t="shared" si="64"/>
        <v>10094794.381253952</v>
      </c>
      <c r="N214" s="184">
        <f t="shared" si="64"/>
        <v>30565705.622483704</v>
      </c>
      <c r="O214" s="184">
        <f t="shared" si="64"/>
        <v>48408258.986720294</v>
      </c>
      <c r="P214" s="184">
        <f t="shared" si="64"/>
        <v>-186199804.93715101</v>
      </c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65"/>
      <c r="BP214" s="65"/>
      <c r="BQ214" s="65"/>
      <c r="BR214" s="65"/>
      <c r="BS214" s="65"/>
      <c r="BT214" s="65"/>
      <c r="BU214" s="65"/>
      <c r="BV214" s="65"/>
      <c r="BW214" s="65"/>
      <c r="BX214" s="65"/>
      <c r="BY214" s="65"/>
      <c r="BZ214" s="65"/>
      <c r="CA214" s="65"/>
      <c r="CB214" s="65"/>
      <c r="CC214" s="65"/>
      <c r="CD214" s="65"/>
      <c r="CE214" s="65"/>
      <c r="CF214" s="65"/>
      <c r="CG214" s="65"/>
      <c r="CH214" s="65"/>
      <c r="CI214" s="65"/>
      <c r="CJ214" s="65"/>
      <c r="CK214" s="65"/>
      <c r="CL214" s="65"/>
      <c r="CM214" s="65"/>
      <c r="CN214" s="65"/>
      <c r="CO214" s="65"/>
      <c r="CP214" s="65"/>
      <c r="CQ214" s="65"/>
      <c r="CR214" s="65"/>
      <c r="CS214" s="65"/>
      <c r="CT214" s="65"/>
      <c r="CU214" s="65"/>
      <c r="CV214" s="65"/>
      <c r="CW214" s="65"/>
      <c r="CX214" s="65"/>
      <c r="CY214" s="65"/>
      <c r="CZ214" s="65"/>
      <c r="DA214" s="65"/>
      <c r="DB214" s="65"/>
      <c r="DC214" s="65"/>
      <c r="DD214" s="65"/>
      <c r="DE214" s="65"/>
      <c r="DF214" s="65"/>
      <c r="DG214" s="65"/>
      <c r="DH214" s="65"/>
      <c r="DI214" s="65"/>
      <c r="DJ214" s="65"/>
      <c r="DK214" s="65"/>
      <c r="DL214" s="65"/>
      <c r="DM214" s="65"/>
      <c r="DN214" s="65"/>
      <c r="DO214" s="65"/>
      <c r="DP214" s="65"/>
      <c r="DQ214" s="65"/>
      <c r="DR214" s="65"/>
      <c r="DS214" s="65"/>
      <c r="DT214" s="65"/>
      <c r="DU214" s="65"/>
      <c r="DV214" s="65"/>
      <c r="DW214" s="65"/>
      <c r="DX214" s="65"/>
      <c r="DY214" s="65"/>
      <c r="DZ214" s="65"/>
      <c r="EA214" s="65"/>
      <c r="EB214" s="65"/>
      <c r="EC214" s="65"/>
      <c r="ED214" s="65"/>
      <c r="EE214" s="65"/>
      <c r="EF214" s="65"/>
      <c r="EG214" s="65"/>
      <c r="EH214" s="65"/>
      <c r="EI214" s="65"/>
      <c r="EJ214" s="65"/>
      <c r="EK214" s="65"/>
      <c r="EL214" s="65"/>
      <c r="EM214" s="65"/>
      <c r="EN214" s="65"/>
    </row>
    <row r="215" spans="1:145" s="62" customFormat="1" x14ac:dyDescent="0.2">
      <c r="B215" s="236"/>
      <c r="C215" s="236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56"/>
      <c r="O215" s="156"/>
      <c r="P215" s="127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5"/>
      <c r="BO215" s="65"/>
      <c r="BP215" s="65"/>
      <c r="BQ215" s="65"/>
      <c r="BR215" s="65"/>
      <c r="BS215" s="65"/>
      <c r="BT215" s="65"/>
      <c r="BU215" s="65"/>
      <c r="BV215" s="65"/>
      <c r="BW215" s="65"/>
      <c r="BX215" s="65"/>
      <c r="BY215" s="65"/>
      <c r="BZ215" s="65"/>
      <c r="CA215" s="65"/>
      <c r="CB215" s="65"/>
      <c r="CC215" s="65"/>
      <c r="CD215" s="65"/>
      <c r="CE215" s="65"/>
      <c r="CF215" s="65"/>
      <c r="CG215" s="65"/>
      <c r="CH215" s="65"/>
      <c r="CI215" s="65"/>
      <c r="CJ215" s="65"/>
      <c r="CK215" s="65"/>
      <c r="CL215" s="65"/>
      <c r="CM215" s="65"/>
      <c r="CN215" s="65"/>
      <c r="CO215" s="65"/>
      <c r="CP215" s="65"/>
      <c r="CQ215" s="65"/>
      <c r="CR215" s="65"/>
      <c r="CS215" s="65"/>
      <c r="CT215" s="65"/>
      <c r="CU215" s="65"/>
      <c r="CV215" s="65"/>
      <c r="CW215" s="65"/>
      <c r="CX215" s="65"/>
      <c r="CY215" s="65"/>
      <c r="CZ215" s="65"/>
      <c r="DA215" s="65"/>
      <c r="DB215" s="65"/>
      <c r="DC215" s="65"/>
      <c r="DD215" s="65"/>
      <c r="DE215" s="65"/>
      <c r="DF215" s="65"/>
      <c r="DG215" s="65"/>
      <c r="DH215" s="65"/>
      <c r="DI215" s="65"/>
      <c r="DJ215" s="65"/>
      <c r="DK215" s="65"/>
      <c r="DL215" s="65"/>
      <c r="DM215" s="65"/>
      <c r="DN215" s="65"/>
      <c r="DO215" s="65"/>
      <c r="DP215" s="65"/>
      <c r="DQ215" s="65"/>
      <c r="DR215" s="65"/>
      <c r="DS215" s="65"/>
      <c r="DT215" s="65"/>
      <c r="DU215" s="65"/>
      <c r="DV215" s="65"/>
      <c r="DW215" s="65"/>
      <c r="DX215" s="65"/>
      <c r="DY215" s="65"/>
      <c r="DZ215" s="65"/>
      <c r="EA215" s="65"/>
      <c r="EB215" s="65"/>
      <c r="EC215" s="65"/>
      <c r="ED215" s="65"/>
      <c r="EE215" s="65"/>
      <c r="EF215" s="65"/>
      <c r="EG215" s="65"/>
      <c r="EH215" s="65"/>
      <c r="EI215" s="65"/>
      <c r="EJ215" s="65"/>
      <c r="EK215" s="65"/>
      <c r="EL215" s="65"/>
      <c r="EM215" s="65"/>
      <c r="EN215" s="65"/>
    </row>
    <row r="216" spans="1:145" s="62" customFormat="1" x14ac:dyDescent="0.2">
      <c r="A216" s="74">
        <v>12</v>
      </c>
      <c r="B216" s="148" t="s">
        <v>91</v>
      </c>
      <c r="C216" s="125" t="s">
        <v>17</v>
      </c>
      <c r="D216" s="122">
        <f t="shared" ref="D216:O216" si="65">D62*$R$163</f>
        <v>0</v>
      </c>
      <c r="E216" s="122">
        <f t="shared" si="65"/>
        <v>0</v>
      </c>
      <c r="F216" s="122">
        <f t="shared" si="65"/>
        <v>0</v>
      </c>
      <c r="G216" s="122">
        <f t="shared" si="65"/>
        <v>0</v>
      </c>
      <c r="H216" s="122">
        <f t="shared" si="65"/>
        <v>0</v>
      </c>
      <c r="I216" s="122">
        <f t="shared" si="65"/>
        <v>0</v>
      </c>
      <c r="J216" s="122">
        <f t="shared" si="65"/>
        <v>0</v>
      </c>
      <c r="K216" s="122">
        <f t="shared" si="65"/>
        <v>0</v>
      </c>
      <c r="L216" s="122">
        <f t="shared" si="65"/>
        <v>0</v>
      </c>
      <c r="M216" s="122">
        <f t="shared" si="65"/>
        <v>0</v>
      </c>
      <c r="N216" s="122">
        <f t="shared" si="65"/>
        <v>0</v>
      </c>
      <c r="O216" s="122">
        <f t="shared" si="65"/>
        <v>0</v>
      </c>
      <c r="P216" s="127">
        <f>SUM(D216:O216)</f>
        <v>0</v>
      </c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  <c r="BM216" s="65"/>
      <c r="BN216" s="65"/>
      <c r="BO216" s="65"/>
      <c r="BP216" s="65"/>
      <c r="BQ216" s="65"/>
      <c r="BR216" s="65"/>
      <c r="BS216" s="65"/>
      <c r="BT216" s="65"/>
      <c r="BU216" s="65"/>
      <c r="BV216" s="65"/>
      <c r="BW216" s="65"/>
      <c r="BX216" s="65"/>
      <c r="BY216" s="65"/>
      <c r="BZ216" s="65"/>
      <c r="CA216" s="65"/>
      <c r="CB216" s="65"/>
      <c r="CC216" s="65"/>
      <c r="CD216" s="65"/>
      <c r="CE216" s="65"/>
      <c r="CF216" s="65"/>
      <c r="CG216" s="65"/>
      <c r="CH216" s="65"/>
      <c r="CI216" s="65"/>
      <c r="CJ216" s="65"/>
      <c r="CK216" s="65"/>
      <c r="CL216" s="65"/>
      <c r="CM216" s="65"/>
      <c r="CN216" s="65"/>
      <c r="CO216" s="65"/>
      <c r="CP216" s="65"/>
      <c r="CQ216" s="65"/>
      <c r="CR216" s="65"/>
      <c r="CS216" s="65"/>
      <c r="CT216" s="65"/>
      <c r="CU216" s="65"/>
      <c r="CV216" s="65"/>
      <c r="CW216" s="65"/>
      <c r="CX216" s="65"/>
      <c r="CY216" s="65"/>
      <c r="CZ216" s="65"/>
      <c r="DA216" s="65"/>
      <c r="DB216" s="65"/>
      <c r="DC216" s="65"/>
      <c r="DD216" s="65"/>
      <c r="DE216" s="65"/>
      <c r="DF216" s="65"/>
      <c r="DG216" s="65"/>
      <c r="DH216" s="65"/>
      <c r="DI216" s="65"/>
      <c r="DJ216" s="65"/>
      <c r="DK216" s="65"/>
      <c r="DL216" s="65"/>
      <c r="DM216" s="65"/>
      <c r="DN216" s="65"/>
      <c r="DO216" s="65"/>
      <c r="DP216" s="65"/>
      <c r="DQ216" s="65"/>
      <c r="DR216" s="65"/>
      <c r="DS216" s="65"/>
      <c r="DT216" s="65"/>
      <c r="DU216" s="65"/>
      <c r="DV216" s="65"/>
      <c r="DW216" s="65"/>
      <c r="DX216" s="65"/>
      <c r="DY216" s="65"/>
      <c r="DZ216" s="65"/>
      <c r="EA216" s="65"/>
      <c r="EB216" s="65"/>
      <c r="EC216" s="65"/>
      <c r="ED216" s="65"/>
      <c r="EE216" s="65"/>
      <c r="EF216" s="65"/>
      <c r="EG216" s="65"/>
      <c r="EH216" s="65"/>
      <c r="EI216" s="65"/>
      <c r="EJ216" s="65"/>
      <c r="EK216" s="65"/>
      <c r="EL216" s="65"/>
      <c r="EM216" s="65"/>
      <c r="EN216" s="65"/>
    </row>
    <row r="217" spans="1:145" s="62" customFormat="1" x14ac:dyDescent="0.2">
      <c r="A217" s="74">
        <v>13</v>
      </c>
      <c r="B217" s="148" t="s">
        <v>92</v>
      </c>
      <c r="C217" s="125" t="s">
        <v>18</v>
      </c>
      <c r="D217" s="123">
        <f t="shared" ref="D217:O217" si="66">D63*$R$164</f>
        <v>0</v>
      </c>
      <c r="E217" s="123">
        <f t="shared" si="66"/>
        <v>0</v>
      </c>
      <c r="F217" s="123">
        <f t="shared" si="66"/>
        <v>0</v>
      </c>
      <c r="G217" s="123">
        <f t="shared" si="66"/>
        <v>0</v>
      </c>
      <c r="H217" s="123">
        <f t="shared" si="66"/>
        <v>0</v>
      </c>
      <c r="I217" s="123">
        <f t="shared" si="66"/>
        <v>0</v>
      </c>
      <c r="J217" s="123">
        <f t="shared" si="66"/>
        <v>0</v>
      </c>
      <c r="K217" s="123">
        <f t="shared" si="66"/>
        <v>0</v>
      </c>
      <c r="L217" s="123">
        <f t="shared" si="66"/>
        <v>0</v>
      </c>
      <c r="M217" s="123">
        <f t="shared" si="66"/>
        <v>0</v>
      </c>
      <c r="N217" s="123">
        <f t="shared" si="66"/>
        <v>0</v>
      </c>
      <c r="O217" s="123">
        <f t="shared" si="66"/>
        <v>0</v>
      </c>
      <c r="P217" s="167">
        <f>SUM(D217:O217)</f>
        <v>0</v>
      </c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  <c r="BM217" s="65"/>
      <c r="BN217" s="65"/>
      <c r="BO217" s="65"/>
      <c r="BP217" s="65"/>
      <c r="BQ217" s="65"/>
      <c r="BR217" s="65"/>
      <c r="BS217" s="65"/>
      <c r="BT217" s="65"/>
      <c r="BU217" s="65"/>
      <c r="BV217" s="65"/>
      <c r="BW217" s="65"/>
      <c r="BX217" s="65"/>
      <c r="BY217" s="65"/>
      <c r="BZ217" s="65"/>
      <c r="CA217" s="65"/>
      <c r="CB217" s="65"/>
      <c r="CC217" s="65"/>
      <c r="CD217" s="65"/>
      <c r="CE217" s="65"/>
      <c r="CF217" s="65"/>
      <c r="CG217" s="65"/>
      <c r="CH217" s="65"/>
      <c r="CI217" s="65"/>
      <c r="CJ217" s="65"/>
      <c r="CK217" s="65"/>
      <c r="CL217" s="65"/>
      <c r="CM217" s="65"/>
      <c r="CN217" s="65"/>
      <c r="CO217" s="65"/>
      <c r="CP217" s="65"/>
      <c r="CQ217" s="65"/>
      <c r="CR217" s="65"/>
      <c r="CS217" s="65"/>
      <c r="CT217" s="65"/>
      <c r="CU217" s="65"/>
      <c r="CV217" s="65"/>
      <c r="CW217" s="65"/>
      <c r="CX217" s="65"/>
      <c r="CY217" s="65"/>
      <c r="CZ217" s="65"/>
      <c r="DA217" s="65"/>
      <c r="DB217" s="65"/>
      <c r="DC217" s="65"/>
      <c r="DD217" s="65"/>
      <c r="DE217" s="65"/>
      <c r="DF217" s="65"/>
      <c r="DG217" s="65"/>
      <c r="DH217" s="65"/>
      <c r="DI217" s="65"/>
      <c r="DJ217" s="65"/>
      <c r="DK217" s="65"/>
      <c r="DL217" s="65"/>
      <c r="DM217" s="65"/>
      <c r="DN217" s="65"/>
      <c r="DO217" s="65"/>
      <c r="DP217" s="65"/>
      <c r="DQ217" s="65"/>
      <c r="DR217" s="65"/>
      <c r="DS217" s="65"/>
      <c r="DT217" s="65"/>
      <c r="DU217" s="65"/>
      <c r="DV217" s="65"/>
      <c r="DW217" s="65"/>
      <c r="DX217" s="65"/>
      <c r="DY217" s="65"/>
      <c r="DZ217" s="65"/>
      <c r="EA217" s="65"/>
      <c r="EB217" s="65"/>
      <c r="EC217" s="65"/>
      <c r="ED217" s="65"/>
      <c r="EE217" s="65"/>
      <c r="EF217" s="65"/>
      <c r="EG217" s="65"/>
      <c r="EH217" s="65"/>
      <c r="EI217" s="65"/>
      <c r="EJ217" s="65"/>
      <c r="EK217" s="65"/>
      <c r="EL217" s="65"/>
      <c r="EM217" s="65"/>
      <c r="EN217" s="65"/>
    </row>
    <row r="218" spans="1:145" s="62" customFormat="1" x14ac:dyDescent="0.2">
      <c r="A218" s="74">
        <v>14</v>
      </c>
      <c r="B218" s="183" t="s">
        <v>35</v>
      </c>
      <c r="C218" s="238"/>
      <c r="D218" s="169">
        <f t="shared" ref="D218:P218" si="67">SUM(D216:D217)</f>
        <v>0</v>
      </c>
      <c r="E218" s="169">
        <f t="shared" si="67"/>
        <v>0</v>
      </c>
      <c r="F218" s="169">
        <f t="shared" si="67"/>
        <v>0</v>
      </c>
      <c r="G218" s="169">
        <f t="shared" si="67"/>
        <v>0</v>
      </c>
      <c r="H218" s="169">
        <f t="shared" si="67"/>
        <v>0</v>
      </c>
      <c r="I218" s="169">
        <f t="shared" si="67"/>
        <v>0</v>
      </c>
      <c r="J218" s="169">
        <f t="shared" si="67"/>
        <v>0</v>
      </c>
      <c r="K218" s="169">
        <f t="shared" si="67"/>
        <v>0</v>
      </c>
      <c r="L218" s="169">
        <f t="shared" si="67"/>
        <v>0</v>
      </c>
      <c r="M218" s="169">
        <f t="shared" si="67"/>
        <v>0</v>
      </c>
      <c r="N218" s="156">
        <f t="shared" si="67"/>
        <v>0</v>
      </c>
      <c r="O218" s="156">
        <f t="shared" si="67"/>
        <v>0</v>
      </c>
      <c r="P218" s="156">
        <f t="shared" si="67"/>
        <v>0</v>
      </c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  <c r="BM218" s="65"/>
      <c r="BN218" s="65"/>
      <c r="BO218" s="65"/>
      <c r="BP218" s="65"/>
      <c r="BQ218" s="65"/>
      <c r="BR218" s="65"/>
      <c r="BS218" s="65"/>
      <c r="BT218" s="65"/>
      <c r="BU218" s="65"/>
      <c r="BV218" s="65"/>
      <c r="BW218" s="65"/>
      <c r="BX218" s="65"/>
      <c r="BY218" s="65"/>
      <c r="BZ218" s="65"/>
      <c r="CA218" s="65"/>
      <c r="CB218" s="65"/>
      <c r="CC218" s="65"/>
      <c r="CD218" s="65"/>
      <c r="CE218" s="65"/>
      <c r="CF218" s="65"/>
      <c r="CG218" s="65"/>
      <c r="CH218" s="65"/>
      <c r="CI218" s="65"/>
      <c r="CJ218" s="65"/>
      <c r="CK218" s="65"/>
      <c r="CL218" s="65"/>
      <c r="CM218" s="65"/>
      <c r="CN218" s="65"/>
      <c r="CO218" s="65"/>
      <c r="CP218" s="65"/>
      <c r="CQ218" s="65"/>
      <c r="CR218" s="65"/>
      <c r="CS218" s="65"/>
      <c r="CT218" s="65"/>
      <c r="CU218" s="65"/>
      <c r="CV218" s="65"/>
      <c r="CW218" s="65"/>
      <c r="CX218" s="65"/>
      <c r="CY218" s="65"/>
      <c r="CZ218" s="65"/>
      <c r="DA218" s="65"/>
      <c r="DB218" s="65"/>
      <c r="DC218" s="65"/>
      <c r="DD218" s="65"/>
      <c r="DE218" s="65"/>
      <c r="DF218" s="65"/>
      <c r="DG218" s="65"/>
      <c r="DH218" s="65"/>
      <c r="DI218" s="65"/>
      <c r="DJ218" s="65"/>
      <c r="DK218" s="65"/>
      <c r="DL218" s="65"/>
      <c r="DM218" s="65"/>
      <c r="DN218" s="65"/>
      <c r="DO218" s="65"/>
      <c r="DP218" s="65"/>
      <c r="DQ218" s="65"/>
      <c r="DR218" s="65"/>
      <c r="DS218" s="65"/>
      <c r="DT218" s="65"/>
      <c r="DU218" s="65"/>
      <c r="DV218" s="65"/>
      <c r="DW218" s="65"/>
      <c r="DX218" s="65"/>
      <c r="DY218" s="65"/>
      <c r="DZ218" s="65"/>
      <c r="EA218" s="65"/>
      <c r="EB218" s="65"/>
      <c r="EC218" s="65"/>
      <c r="ED218" s="65"/>
      <c r="EE218" s="65"/>
      <c r="EF218" s="65"/>
      <c r="EG218" s="65"/>
      <c r="EH218" s="65"/>
      <c r="EI218" s="65"/>
      <c r="EJ218" s="65"/>
      <c r="EK218" s="65"/>
      <c r="EL218" s="65"/>
      <c r="EM218" s="65"/>
      <c r="EN218" s="65"/>
    </row>
    <row r="219" spans="1:145" s="62" customFormat="1" x14ac:dyDescent="0.2">
      <c r="A219" s="74"/>
      <c r="B219" s="129"/>
      <c r="C219" s="185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22"/>
      <c r="O219" s="122"/>
      <c r="P219" s="127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5"/>
      <c r="CA219" s="65"/>
      <c r="CB219" s="65"/>
      <c r="CC219" s="65"/>
      <c r="CD219" s="65"/>
      <c r="CE219" s="65"/>
      <c r="CF219" s="65"/>
      <c r="CG219" s="65"/>
      <c r="CH219" s="65"/>
      <c r="CI219" s="65"/>
      <c r="CJ219" s="65"/>
      <c r="CK219" s="65"/>
      <c r="CL219" s="65"/>
      <c r="CM219" s="65"/>
      <c r="CN219" s="65"/>
      <c r="CO219" s="65"/>
      <c r="CP219" s="65"/>
      <c r="CQ219" s="65"/>
      <c r="CR219" s="65"/>
      <c r="CS219" s="65"/>
      <c r="CT219" s="65"/>
      <c r="CU219" s="65"/>
      <c r="CV219" s="65"/>
      <c r="CW219" s="65"/>
      <c r="CX219" s="65"/>
      <c r="CY219" s="65"/>
      <c r="CZ219" s="65"/>
      <c r="DA219" s="65"/>
      <c r="DB219" s="65"/>
      <c r="DC219" s="65"/>
      <c r="DD219" s="65"/>
      <c r="DE219" s="65"/>
      <c r="DF219" s="65"/>
      <c r="DG219" s="65"/>
      <c r="DH219" s="65"/>
      <c r="DI219" s="65"/>
      <c r="DJ219" s="65"/>
      <c r="DK219" s="65"/>
      <c r="DL219" s="65"/>
      <c r="DM219" s="65"/>
      <c r="DN219" s="65"/>
      <c r="DO219" s="65"/>
      <c r="DP219" s="65"/>
      <c r="DQ219" s="65"/>
      <c r="DR219" s="65"/>
      <c r="DS219" s="65"/>
      <c r="DT219" s="65"/>
      <c r="DU219" s="65"/>
      <c r="DV219" s="65"/>
      <c r="DW219" s="65"/>
      <c r="DX219" s="65"/>
      <c r="DY219" s="65"/>
      <c r="DZ219" s="65"/>
      <c r="EA219" s="65"/>
      <c r="EB219" s="65"/>
      <c r="EC219" s="65"/>
      <c r="ED219" s="65"/>
      <c r="EE219" s="65"/>
      <c r="EF219" s="65"/>
      <c r="EG219" s="65"/>
      <c r="EH219" s="65"/>
      <c r="EI219" s="65"/>
      <c r="EJ219" s="65"/>
      <c r="EK219" s="65"/>
      <c r="EL219" s="65"/>
      <c r="EM219" s="65"/>
      <c r="EN219" s="65"/>
    </row>
    <row r="220" spans="1:145" s="62" customFormat="1" ht="12" thickBot="1" x14ac:dyDescent="0.25">
      <c r="A220" s="74">
        <v>15</v>
      </c>
      <c r="B220" s="243" t="str">
        <f>B36</f>
        <v>TOTAL AEP TEXAS</v>
      </c>
      <c r="C220" s="238"/>
      <c r="D220" s="244">
        <f t="shared" ref="D220:P220" si="68">+D218+D214</f>
        <v>-179517235.93692046</v>
      </c>
      <c r="E220" s="244">
        <f t="shared" si="68"/>
        <v>-71014887.469891205</v>
      </c>
      <c r="F220" s="244">
        <f t="shared" si="68"/>
        <v>-6488064.3694326235</v>
      </c>
      <c r="G220" s="244">
        <f t="shared" si="68"/>
        <v>-10987896.542348769</v>
      </c>
      <c r="H220" s="244">
        <f t="shared" si="68"/>
        <v>53570135.988501266</v>
      </c>
      <c r="I220" s="244">
        <f t="shared" si="68"/>
        <v>-99144570.758720756</v>
      </c>
      <c r="J220" s="244">
        <f t="shared" si="68"/>
        <v>7404809.8678132463</v>
      </c>
      <c r="K220" s="244">
        <f t="shared" si="68"/>
        <v>27841971.854164906</v>
      </c>
      <c r="L220" s="244">
        <f t="shared" si="68"/>
        <v>3067173.4392254353</v>
      </c>
      <c r="M220" s="244">
        <f t="shared" si="68"/>
        <v>10094794.381253952</v>
      </c>
      <c r="N220" s="244">
        <f t="shared" si="68"/>
        <v>30565705.622483704</v>
      </c>
      <c r="O220" s="244">
        <f t="shared" si="68"/>
        <v>48408258.986720294</v>
      </c>
      <c r="P220" s="244">
        <f t="shared" si="68"/>
        <v>-186199804.93715101</v>
      </c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  <c r="BJ220" s="65"/>
      <c r="BK220" s="65"/>
      <c r="BL220" s="65"/>
      <c r="BM220" s="65"/>
      <c r="BN220" s="65"/>
      <c r="BO220" s="65"/>
      <c r="BP220" s="65"/>
      <c r="BQ220" s="65"/>
      <c r="BR220" s="65"/>
      <c r="BS220" s="65"/>
      <c r="BT220" s="65"/>
      <c r="BU220" s="65"/>
      <c r="BV220" s="65"/>
      <c r="BW220" s="65"/>
      <c r="BX220" s="65"/>
      <c r="BY220" s="65"/>
      <c r="BZ220" s="65"/>
      <c r="CA220" s="65"/>
      <c r="CB220" s="65"/>
      <c r="CC220" s="65"/>
      <c r="CD220" s="65"/>
      <c r="CE220" s="65"/>
      <c r="CF220" s="65"/>
      <c r="CG220" s="65"/>
      <c r="CH220" s="65"/>
      <c r="CI220" s="65"/>
      <c r="CJ220" s="65"/>
      <c r="CK220" s="65"/>
      <c r="CL220" s="65"/>
      <c r="CM220" s="65"/>
      <c r="CN220" s="65"/>
      <c r="CO220" s="65"/>
      <c r="CP220" s="65"/>
      <c r="CQ220" s="65"/>
      <c r="CR220" s="65"/>
      <c r="CS220" s="65"/>
      <c r="CT220" s="65"/>
      <c r="CU220" s="65"/>
      <c r="CV220" s="65"/>
      <c r="CW220" s="65"/>
      <c r="CX220" s="65"/>
      <c r="CY220" s="65"/>
      <c r="CZ220" s="65"/>
      <c r="DA220" s="65"/>
      <c r="DB220" s="65"/>
      <c r="DC220" s="65"/>
      <c r="DD220" s="65"/>
      <c r="DE220" s="65"/>
      <c r="DF220" s="65"/>
      <c r="DG220" s="65"/>
      <c r="DH220" s="65"/>
      <c r="DI220" s="65"/>
      <c r="DJ220" s="65"/>
      <c r="DK220" s="65"/>
      <c r="DL220" s="65"/>
      <c r="DM220" s="65"/>
      <c r="DN220" s="65"/>
      <c r="DO220" s="65"/>
      <c r="DP220" s="65"/>
      <c r="DQ220" s="65"/>
      <c r="DR220" s="65"/>
      <c r="DS220" s="65"/>
      <c r="DT220" s="65"/>
      <c r="DU220" s="65"/>
      <c r="DV220" s="65"/>
      <c r="DW220" s="65"/>
      <c r="DX220" s="65"/>
      <c r="DY220" s="65"/>
      <c r="DZ220" s="65"/>
      <c r="EA220" s="65"/>
      <c r="EB220" s="65"/>
      <c r="EC220" s="65"/>
      <c r="ED220" s="65"/>
      <c r="EE220" s="65"/>
      <c r="EF220" s="65"/>
      <c r="EG220" s="65"/>
      <c r="EH220" s="65"/>
      <c r="EI220" s="65"/>
      <c r="EJ220" s="65"/>
      <c r="EK220" s="65"/>
      <c r="EL220" s="65"/>
      <c r="EM220" s="65"/>
      <c r="EN220" s="65"/>
    </row>
    <row r="221" spans="1:145" customFormat="1" ht="13.5" thickTop="1" x14ac:dyDescent="0.2"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</row>
    <row r="222" spans="1:145" customFormat="1" ht="12.75" x14ac:dyDescent="0.2"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</row>
    <row r="223" spans="1:145" customFormat="1" ht="12.75" x14ac:dyDescent="0.2"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</row>
    <row r="224" spans="1:145" ht="12.75" customHeight="1" x14ac:dyDescent="0.2">
      <c r="B224" s="388" t="str">
        <f>B7</f>
        <v>AEP TEXAS</v>
      </c>
      <c r="C224" s="388"/>
      <c r="D224" s="388"/>
      <c r="E224" s="388"/>
      <c r="F224" s="388"/>
      <c r="G224" s="388"/>
      <c r="H224" s="388"/>
      <c r="I224" s="388"/>
      <c r="J224" s="388"/>
      <c r="K224" s="388"/>
      <c r="L224" s="388"/>
      <c r="M224" s="388"/>
      <c r="N224" s="388"/>
      <c r="O224" s="388"/>
      <c r="P224" s="174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</row>
    <row r="225" spans="1:145" x14ac:dyDescent="0.2">
      <c r="B225" s="388" t="s">
        <v>71</v>
      </c>
      <c r="C225" s="388"/>
      <c r="D225" s="388"/>
      <c r="E225" s="388"/>
      <c r="F225" s="388"/>
      <c r="G225" s="388"/>
      <c r="H225" s="388"/>
      <c r="I225" s="388"/>
      <c r="J225" s="388"/>
      <c r="K225" s="388"/>
      <c r="L225" s="388"/>
      <c r="M225" s="388"/>
      <c r="N225" s="388"/>
      <c r="O225" s="388"/>
      <c r="P225" s="147" t="s">
        <v>1</v>
      </c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</row>
    <row r="226" spans="1:145" x14ac:dyDescent="0.2">
      <c r="B226" s="388" t="str">
        <f>B9</f>
        <v>FOR TEST YEAR ENDED DECEMBER 31, 2018</v>
      </c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146" t="s">
        <v>1</v>
      </c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</row>
    <row r="227" spans="1:145" customFormat="1" ht="12.75" x14ac:dyDescent="0.2"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</row>
    <row r="228" spans="1:145" x14ac:dyDescent="0.2">
      <c r="B228" s="175"/>
      <c r="C228" s="174"/>
      <c r="D228" s="176"/>
      <c r="E228" s="177"/>
      <c r="F228" s="177"/>
      <c r="G228" s="176"/>
      <c r="H228" s="157"/>
      <c r="I228" s="157"/>
      <c r="J228" s="157"/>
      <c r="K228" s="157"/>
      <c r="L228" s="157"/>
      <c r="M228" s="157"/>
      <c r="N228" s="157"/>
      <c r="O228" s="122"/>
      <c r="P228" s="178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</row>
    <row r="229" spans="1:145" x14ac:dyDescent="0.2">
      <c r="A229" s="38" t="s">
        <v>20</v>
      </c>
      <c r="B229" s="237" t="s">
        <v>0</v>
      </c>
      <c r="C229" s="237" t="s">
        <v>19</v>
      </c>
      <c r="D229" s="164" t="str">
        <f>+D12</f>
        <v>JANUARY</v>
      </c>
      <c r="E229" s="164" t="str">
        <f t="shared" ref="E229:O229" si="69">+E12</f>
        <v>FEBRUARY</v>
      </c>
      <c r="F229" s="164" t="str">
        <f t="shared" si="69"/>
        <v>MARCH</v>
      </c>
      <c r="G229" s="164" t="str">
        <f t="shared" si="69"/>
        <v>APRIL</v>
      </c>
      <c r="H229" s="164" t="str">
        <f t="shared" si="69"/>
        <v>MAY</v>
      </c>
      <c r="I229" s="164" t="str">
        <f t="shared" si="69"/>
        <v>JUNE</v>
      </c>
      <c r="J229" s="164" t="str">
        <f t="shared" si="69"/>
        <v>JULY</v>
      </c>
      <c r="K229" s="164" t="str">
        <f t="shared" si="69"/>
        <v>AUGUST</v>
      </c>
      <c r="L229" s="164" t="str">
        <f t="shared" si="69"/>
        <v>SEPTEMBER</v>
      </c>
      <c r="M229" s="164" t="str">
        <f t="shared" si="69"/>
        <v>OCTOBER</v>
      </c>
      <c r="N229" s="164" t="str">
        <f t="shared" si="69"/>
        <v>NOVEMBER</v>
      </c>
      <c r="O229" s="164" t="str">
        <f t="shared" si="69"/>
        <v>DECEMBER</v>
      </c>
      <c r="P229" s="179" t="s">
        <v>14</v>
      </c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</row>
    <row r="230" spans="1:145" s="62" customFormat="1" x14ac:dyDescent="0.2">
      <c r="A230" s="74"/>
      <c r="B230" s="180"/>
      <c r="C230" s="181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65"/>
    </row>
    <row r="231" spans="1:145" s="62" customFormat="1" x14ac:dyDescent="0.2">
      <c r="A231" s="74" t="s">
        <v>21</v>
      </c>
      <c r="B231" s="129" t="s">
        <v>29</v>
      </c>
      <c r="C231" s="143" t="s">
        <v>16</v>
      </c>
      <c r="D231" s="122">
        <f t="shared" ref="D231:O231" si="70">D74*$R$162</f>
        <v>13504992.539804958</v>
      </c>
      <c r="E231" s="122">
        <f t="shared" si="70"/>
        <v>10118803.920554379</v>
      </c>
      <c r="F231" s="122">
        <f t="shared" si="70"/>
        <v>7605862.288557943</v>
      </c>
      <c r="G231" s="122">
        <f t="shared" si="70"/>
        <v>6715457.5088378256</v>
      </c>
      <c r="H231" s="122">
        <f t="shared" si="70"/>
        <v>6484319.4937766241</v>
      </c>
      <c r="I231" s="122">
        <f t="shared" si="70"/>
        <v>8920761.5686339512</v>
      </c>
      <c r="J231" s="122">
        <f t="shared" si="70"/>
        <v>10024373.68861497</v>
      </c>
      <c r="K231" s="122">
        <f t="shared" si="70"/>
        <v>1782303.7846099364</v>
      </c>
      <c r="L231" s="122">
        <f t="shared" si="70"/>
        <v>1754214.8966391904</v>
      </c>
      <c r="M231" s="122">
        <f t="shared" si="70"/>
        <v>956651.0833424984</v>
      </c>
      <c r="N231" s="122">
        <f t="shared" si="70"/>
        <v>335558.02974638768</v>
      </c>
      <c r="O231" s="122">
        <f t="shared" si="70"/>
        <v>0</v>
      </c>
      <c r="P231" s="127">
        <f>SUM(D231:O231)</f>
        <v>68203298.803118661</v>
      </c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  <c r="BM231" s="65"/>
      <c r="BN231" s="65"/>
      <c r="BO231" s="65"/>
      <c r="BP231" s="65"/>
      <c r="BQ231" s="65"/>
      <c r="BR231" s="65"/>
      <c r="BS231" s="65"/>
      <c r="BT231" s="65"/>
      <c r="BU231" s="65"/>
      <c r="BV231" s="65"/>
      <c r="BW231" s="65"/>
      <c r="BX231" s="65"/>
      <c r="BY231" s="65"/>
      <c r="BZ231" s="65"/>
      <c r="CA231" s="65"/>
      <c r="CB231" s="65"/>
      <c r="CC231" s="65"/>
      <c r="CD231" s="65"/>
      <c r="CE231" s="65"/>
      <c r="CF231" s="65"/>
      <c r="CG231" s="65"/>
      <c r="CH231" s="65"/>
      <c r="CI231" s="65"/>
      <c r="CJ231" s="65"/>
      <c r="CK231" s="65"/>
      <c r="CL231" s="65"/>
      <c r="CM231" s="65"/>
      <c r="CN231" s="65"/>
      <c r="CO231" s="65"/>
      <c r="CP231" s="65"/>
      <c r="CQ231" s="65"/>
      <c r="CR231" s="65"/>
      <c r="CS231" s="65"/>
      <c r="CT231" s="65"/>
      <c r="CU231" s="65"/>
      <c r="CV231" s="65"/>
      <c r="CW231" s="65"/>
      <c r="CX231" s="65"/>
      <c r="CY231" s="65"/>
      <c r="CZ231" s="65"/>
      <c r="DA231" s="65"/>
      <c r="DB231" s="65"/>
      <c r="DC231" s="65"/>
      <c r="DD231" s="65"/>
      <c r="DE231" s="65"/>
      <c r="DF231" s="65"/>
      <c r="DG231" s="65"/>
      <c r="DH231" s="65"/>
      <c r="DI231" s="65"/>
      <c r="DJ231" s="65"/>
      <c r="DK231" s="65"/>
      <c r="DL231" s="65"/>
      <c r="DM231" s="65"/>
      <c r="DN231" s="65"/>
      <c r="DO231" s="65"/>
      <c r="DP231" s="65"/>
      <c r="DQ231" s="65"/>
      <c r="DR231" s="65"/>
      <c r="DS231" s="65"/>
      <c r="DT231" s="65"/>
      <c r="DU231" s="65"/>
      <c r="DV231" s="65"/>
      <c r="DW231" s="65"/>
      <c r="DX231" s="65"/>
      <c r="DY231" s="65"/>
      <c r="DZ231" s="65"/>
      <c r="EA231" s="65"/>
      <c r="EB231" s="65"/>
      <c r="EC231" s="65"/>
      <c r="ED231" s="65"/>
      <c r="EE231" s="65"/>
      <c r="EF231" s="65"/>
      <c r="EG231" s="65"/>
      <c r="EH231" s="65"/>
      <c r="EI231" s="65"/>
      <c r="EJ231" s="65"/>
      <c r="EK231" s="65"/>
      <c r="EL231" s="65"/>
      <c r="EM231" s="65"/>
      <c r="EN231" s="65"/>
    </row>
    <row r="232" spans="1:145" s="62" customFormat="1" x14ac:dyDescent="0.2">
      <c r="B232" s="129"/>
      <c r="C232" s="143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56"/>
      <c r="O232" s="156"/>
      <c r="P232" s="127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5"/>
      <c r="BK232" s="65"/>
      <c r="BL232" s="65"/>
      <c r="BM232" s="65"/>
      <c r="BN232" s="65"/>
      <c r="BO232" s="65"/>
      <c r="BP232" s="65"/>
      <c r="BQ232" s="65"/>
      <c r="BR232" s="65"/>
      <c r="BS232" s="65"/>
      <c r="BT232" s="65"/>
      <c r="BU232" s="65"/>
      <c r="BV232" s="65"/>
      <c r="BW232" s="65"/>
      <c r="BX232" s="65"/>
      <c r="BY232" s="65"/>
      <c r="BZ232" s="65"/>
      <c r="CA232" s="65"/>
      <c r="CB232" s="65"/>
      <c r="CC232" s="65"/>
      <c r="CD232" s="65"/>
      <c r="CE232" s="65"/>
      <c r="CF232" s="65"/>
      <c r="CG232" s="65"/>
      <c r="CH232" s="65"/>
      <c r="CI232" s="65"/>
      <c r="CJ232" s="65"/>
      <c r="CK232" s="65"/>
      <c r="CL232" s="65"/>
      <c r="CM232" s="65"/>
      <c r="CN232" s="65"/>
      <c r="CO232" s="65"/>
      <c r="CP232" s="65"/>
      <c r="CQ232" s="65"/>
      <c r="CR232" s="65"/>
      <c r="CS232" s="65"/>
      <c r="CT232" s="65"/>
      <c r="CU232" s="65"/>
      <c r="CV232" s="65"/>
      <c r="CW232" s="65"/>
      <c r="CX232" s="65"/>
      <c r="CY232" s="65"/>
      <c r="CZ232" s="65"/>
      <c r="DA232" s="65"/>
      <c r="DB232" s="65"/>
      <c r="DC232" s="65"/>
      <c r="DD232" s="65"/>
      <c r="DE232" s="65"/>
      <c r="DF232" s="65"/>
      <c r="DG232" s="65"/>
      <c r="DH232" s="65"/>
      <c r="DI232" s="65"/>
      <c r="DJ232" s="65"/>
      <c r="DK232" s="65"/>
      <c r="DL232" s="65"/>
      <c r="DM232" s="65"/>
      <c r="DN232" s="65"/>
      <c r="DO232" s="65"/>
      <c r="DP232" s="65"/>
      <c r="DQ232" s="65"/>
      <c r="DR232" s="65"/>
      <c r="DS232" s="65"/>
      <c r="DT232" s="65"/>
      <c r="DU232" s="65"/>
      <c r="DV232" s="65"/>
      <c r="DW232" s="65"/>
      <c r="DX232" s="65"/>
      <c r="DY232" s="65"/>
      <c r="DZ232" s="65"/>
      <c r="EA232" s="65"/>
      <c r="EB232" s="65"/>
      <c r="EC232" s="65"/>
      <c r="ED232" s="65"/>
      <c r="EE232" s="65"/>
      <c r="EF232" s="65"/>
      <c r="EG232" s="65"/>
      <c r="EH232" s="65"/>
      <c r="EI232" s="65"/>
      <c r="EJ232" s="65"/>
      <c r="EK232" s="65"/>
      <c r="EL232" s="65"/>
      <c r="EM232" s="65"/>
      <c r="EN232" s="65"/>
    </row>
    <row r="233" spans="1:145" s="62" customFormat="1" x14ac:dyDescent="0.2">
      <c r="A233" s="74">
        <v>2</v>
      </c>
      <c r="B233" s="129" t="s">
        <v>32</v>
      </c>
      <c r="C233" s="143" t="s">
        <v>16</v>
      </c>
      <c r="D233" s="122">
        <f t="shared" ref="D233:O233" si="71">D76*$R$162</f>
        <v>-756429.60513042915</v>
      </c>
      <c r="E233" s="122">
        <f t="shared" si="71"/>
        <v>172022.06586596611</v>
      </c>
      <c r="F233" s="122">
        <f t="shared" si="71"/>
        <v>280430.83497049188</v>
      </c>
      <c r="G233" s="122">
        <f t="shared" si="71"/>
        <v>150565.00341476832</v>
      </c>
      <c r="H233" s="122">
        <f t="shared" si="71"/>
        <v>29140.524626854018</v>
      </c>
      <c r="I233" s="122">
        <f t="shared" si="71"/>
        <v>-93474.185881181998</v>
      </c>
      <c r="J233" s="122">
        <f t="shared" si="71"/>
        <v>-148183.27345241787</v>
      </c>
      <c r="K233" s="122">
        <f t="shared" si="71"/>
        <v>-359915.07763514429</v>
      </c>
      <c r="L233" s="122">
        <f t="shared" si="71"/>
        <v>-110826.89967125069</v>
      </c>
      <c r="M233" s="122">
        <f t="shared" si="71"/>
        <v>-139590.99967923068</v>
      </c>
      <c r="N233" s="122">
        <f t="shared" si="71"/>
        <v>-47543.130432685692</v>
      </c>
      <c r="O233" s="122">
        <f t="shared" si="71"/>
        <v>0</v>
      </c>
      <c r="P233" s="127">
        <f>SUM(D233:O233)</f>
        <v>-1023804.74300426</v>
      </c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5"/>
      <c r="BK233" s="65"/>
      <c r="BL233" s="65"/>
      <c r="BM233" s="65"/>
      <c r="BN233" s="65"/>
      <c r="BO233" s="65"/>
      <c r="BP233" s="65"/>
      <c r="BQ233" s="65"/>
      <c r="BR233" s="65"/>
      <c r="BS233" s="65"/>
      <c r="BT233" s="65"/>
      <c r="BU233" s="65"/>
      <c r="BV233" s="65"/>
      <c r="BW233" s="65"/>
      <c r="BX233" s="65"/>
      <c r="BY233" s="65"/>
      <c r="BZ233" s="65"/>
      <c r="CA233" s="65"/>
      <c r="CB233" s="65"/>
      <c r="CC233" s="65"/>
      <c r="CD233" s="65"/>
      <c r="CE233" s="65"/>
      <c r="CF233" s="65"/>
      <c r="CG233" s="65"/>
      <c r="CH233" s="65"/>
      <c r="CI233" s="65"/>
      <c r="CJ233" s="65"/>
      <c r="CK233" s="65"/>
      <c r="CL233" s="65"/>
      <c r="CM233" s="65"/>
      <c r="CN233" s="65"/>
      <c r="CO233" s="65"/>
      <c r="CP233" s="65"/>
      <c r="CQ233" s="65"/>
      <c r="CR233" s="65"/>
      <c r="CS233" s="65"/>
      <c r="CT233" s="65"/>
      <c r="CU233" s="65"/>
      <c r="CV233" s="65"/>
      <c r="CW233" s="65"/>
      <c r="CX233" s="65"/>
      <c r="CY233" s="65"/>
      <c r="CZ233" s="65"/>
      <c r="DA233" s="65"/>
      <c r="DB233" s="65"/>
      <c r="DC233" s="65"/>
      <c r="DD233" s="65"/>
      <c r="DE233" s="65"/>
      <c r="DF233" s="65"/>
      <c r="DG233" s="65"/>
      <c r="DH233" s="65"/>
      <c r="DI233" s="65"/>
      <c r="DJ233" s="65"/>
      <c r="DK233" s="65"/>
      <c r="DL233" s="65"/>
      <c r="DM233" s="65"/>
      <c r="DN233" s="65"/>
      <c r="DO233" s="65"/>
      <c r="DP233" s="65"/>
      <c r="DQ233" s="65"/>
      <c r="DR233" s="65"/>
      <c r="DS233" s="65"/>
      <c r="DT233" s="65"/>
      <c r="DU233" s="65"/>
      <c r="DV233" s="65"/>
      <c r="DW233" s="65"/>
      <c r="DX233" s="65"/>
      <c r="DY233" s="65"/>
      <c r="DZ233" s="65"/>
      <c r="EA233" s="65"/>
      <c r="EB233" s="65"/>
      <c r="EC233" s="65"/>
      <c r="ED233" s="65"/>
      <c r="EE233" s="65"/>
      <c r="EF233" s="65"/>
      <c r="EG233" s="65"/>
      <c r="EH233" s="65"/>
      <c r="EI233" s="65"/>
      <c r="EJ233" s="65"/>
      <c r="EK233" s="65"/>
      <c r="EL233" s="65"/>
      <c r="EM233" s="65"/>
      <c r="EN233" s="65"/>
    </row>
    <row r="234" spans="1:145" s="62" customFormat="1" x14ac:dyDescent="0.2">
      <c r="A234" s="74"/>
      <c r="B234" s="129"/>
      <c r="C234" s="143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7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  <c r="BZ234" s="65"/>
      <c r="CA234" s="65"/>
      <c r="CB234" s="65"/>
      <c r="CC234" s="65"/>
      <c r="CD234" s="65"/>
      <c r="CE234" s="65"/>
      <c r="CF234" s="65"/>
      <c r="CG234" s="65"/>
      <c r="CH234" s="65"/>
      <c r="CI234" s="65"/>
      <c r="CJ234" s="65"/>
      <c r="CK234" s="65"/>
      <c r="CL234" s="65"/>
      <c r="CM234" s="65"/>
      <c r="CN234" s="65"/>
      <c r="CO234" s="65"/>
      <c r="CP234" s="65"/>
      <c r="CQ234" s="65"/>
      <c r="CR234" s="65"/>
      <c r="CS234" s="65"/>
      <c r="CT234" s="65"/>
      <c r="CU234" s="65"/>
      <c r="CV234" s="65"/>
      <c r="CW234" s="65"/>
      <c r="CX234" s="65"/>
      <c r="CY234" s="65"/>
      <c r="CZ234" s="65"/>
      <c r="DA234" s="65"/>
      <c r="DB234" s="65"/>
      <c r="DC234" s="65"/>
      <c r="DD234" s="65"/>
      <c r="DE234" s="65"/>
      <c r="DF234" s="65"/>
      <c r="DG234" s="65"/>
      <c r="DH234" s="65"/>
      <c r="DI234" s="65"/>
      <c r="DJ234" s="65"/>
      <c r="DK234" s="65"/>
      <c r="DL234" s="65"/>
      <c r="DM234" s="65"/>
      <c r="DN234" s="65"/>
      <c r="DO234" s="65"/>
      <c r="DP234" s="65"/>
      <c r="DQ234" s="65"/>
      <c r="DR234" s="65"/>
      <c r="DS234" s="65"/>
      <c r="DT234" s="65"/>
      <c r="DU234" s="65"/>
      <c r="DV234" s="65"/>
      <c r="DW234" s="65"/>
      <c r="DX234" s="65"/>
      <c r="DY234" s="65"/>
      <c r="DZ234" s="65"/>
      <c r="EA234" s="65"/>
      <c r="EB234" s="65"/>
      <c r="EC234" s="65"/>
      <c r="ED234" s="65"/>
      <c r="EE234" s="65"/>
      <c r="EF234" s="65"/>
      <c r="EG234" s="65"/>
      <c r="EH234" s="65"/>
      <c r="EI234" s="65"/>
      <c r="EJ234" s="65"/>
      <c r="EK234" s="65"/>
      <c r="EL234" s="65"/>
      <c r="EM234" s="65"/>
      <c r="EN234" s="65"/>
    </row>
    <row r="235" spans="1:145" s="62" customFormat="1" x14ac:dyDescent="0.2">
      <c r="A235" s="74">
        <v>3</v>
      </c>
      <c r="B235" s="146" t="s">
        <v>113</v>
      </c>
      <c r="C235" s="125" t="s">
        <v>16</v>
      </c>
      <c r="D235" s="122">
        <f t="shared" ref="D235:O235" si="72">D78*$R$162</f>
        <v>24730397.907219302</v>
      </c>
      <c r="E235" s="122">
        <f t="shared" si="72"/>
        <v>11399201.775321616</v>
      </c>
      <c r="F235" s="122">
        <f t="shared" si="72"/>
        <v>5040422.6274012979</v>
      </c>
      <c r="G235" s="122">
        <f t="shared" si="72"/>
        <v>4781608.6858920334</v>
      </c>
      <c r="H235" s="122">
        <f t="shared" si="72"/>
        <v>6017274.3249315768</v>
      </c>
      <c r="I235" s="122">
        <f t="shared" si="72"/>
        <v>6329017.5157995541</v>
      </c>
      <c r="J235" s="122">
        <f t="shared" si="72"/>
        <v>4999308.115473778</v>
      </c>
      <c r="K235" s="122">
        <f t="shared" si="72"/>
        <v>1433023.2624521847</v>
      </c>
      <c r="L235" s="122">
        <f t="shared" si="72"/>
        <v>4433606.314006716</v>
      </c>
      <c r="M235" s="122">
        <f t="shared" si="72"/>
        <v>3746741.1037501548</v>
      </c>
      <c r="N235" s="122">
        <f t="shared" si="72"/>
        <v>1307235.5957828439</v>
      </c>
      <c r="O235" s="122">
        <f t="shared" si="72"/>
        <v>0</v>
      </c>
      <c r="P235" s="127">
        <f>SUM(D235:O235)</f>
        <v>74217837.228031054</v>
      </c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5"/>
      <c r="CJ235" s="65"/>
      <c r="CK235" s="65"/>
      <c r="CL235" s="65"/>
      <c r="CM235" s="65"/>
      <c r="CN235" s="65"/>
      <c r="CO235" s="65"/>
      <c r="CP235" s="65"/>
      <c r="CQ235" s="65"/>
      <c r="CR235" s="65"/>
      <c r="CS235" s="65"/>
      <c r="CT235" s="65"/>
      <c r="CU235" s="65"/>
      <c r="CV235" s="65"/>
      <c r="CW235" s="65"/>
      <c r="CX235" s="65"/>
      <c r="CY235" s="65"/>
      <c r="CZ235" s="65"/>
      <c r="DA235" s="65"/>
      <c r="DB235" s="65"/>
      <c r="DC235" s="65"/>
      <c r="DD235" s="65"/>
      <c r="DE235" s="65"/>
      <c r="DF235" s="65"/>
      <c r="DG235" s="65"/>
      <c r="DH235" s="65"/>
      <c r="DI235" s="65"/>
      <c r="DJ235" s="65"/>
      <c r="DK235" s="65"/>
      <c r="DL235" s="65"/>
      <c r="DM235" s="65"/>
      <c r="DN235" s="65"/>
      <c r="DO235" s="65"/>
      <c r="DP235" s="65"/>
      <c r="DQ235" s="65"/>
      <c r="DR235" s="65"/>
      <c r="DS235" s="65"/>
      <c r="DT235" s="65"/>
      <c r="DU235" s="65"/>
      <c r="DV235" s="65"/>
      <c r="DW235" s="65"/>
      <c r="DX235" s="65"/>
      <c r="DY235" s="65"/>
      <c r="DZ235" s="65"/>
      <c r="EA235" s="65"/>
      <c r="EB235" s="65"/>
      <c r="EC235" s="65"/>
      <c r="ED235" s="65"/>
      <c r="EE235" s="65"/>
      <c r="EF235" s="65"/>
      <c r="EG235" s="65"/>
      <c r="EH235" s="65"/>
      <c r="EI235" s="65"/>
      <c r="EJ235" s="65"/>
      <c r="EK235" s="65"/>
      <c r="EL235" s="65"/>
      <c r="EM235" s="65"/>
      <c r="EN235" s="65"/>
    </row>
    <row r="236" spans="1:145" s="62" customFormat="1" x14ac:dyDescent="0.2">
      <c r="A236" s="74">
        <v>4</v>
      </c>
      <c r="B236" s="146" t="s">
        <v>114</v>
      </c>
      <c r="C236" s="125" t="s">
        <v>16</v>
      </c>
      <c r="D236" s="123">
        <f t="shared" ref="D236:O236" si="73">D79*$R$162</f>
        <v>-5581821.2683847602</v>
      </c>
      <c r="E236" s="123">
        <f t="shared" si="73"/>
        <v>-4950227.7794235889</v>
      </c>
      <c r="F236" s="123">
        <f t="shared" si="73"/>
        <v>-4904059.994886524</v>
      </c>
      <c r="G236" s="123">
        <f t="shared" si="73"/>
        <v>-4614021.8906036308</v>
      </c>
      <c r="H236" s="123">
        <f t="shared" si="73"/>
        <v>-5205334.6414878061</v>
      </c>
      <c r="I236" s="123">
        <f t="shared" si="73"/>
        <v>-3526812.1130899079</v>
      </c>
      <c r="J236" s="123">
        <f t="shared" si="73"/>
        <v>-4088736.2219538935</v>
      </c>
      <c r="K236" s="123">
        <f t="shared" si="73"/>
        <v>-4355077.0601527216</v>
      </c>
      <c r="L236" s="123">
        <f t="shared" si="73"/>
        <v>286125.64936214848</v>
      </c>
      <c r="M236" s="123">
        <f t="shared" si="73"/>
        <v>485439.73970383563</v>
      </c>
      <c r="N236" s="123">
        <f t="shared" si="73"/>
        <v>0</v>
      </c>
      <c r="O236" s="123">
        <f t="shared" si="73"/>
        <v>0</v>
      </c>
      <c r="P236" s="167">
        <f>SUM(D236:O236)</f>
        <v>-36454525.580916859</v>
      </c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5"/>
      <c r="BU236" s="65"/>
      <c r="BV236" s="65"/>
      <c r="BW236" s="65"/>
      <c r="BX236" s="65"/>
      <c r="BY236" s="65"/>
      <c r="BZ236" s="65"/>
      <c r="CA236" s="65"/>
      <c r="CB236" s="65"/>
      <c r="CC236" s="65"/>
      <c r="CD236" s="65"/>
      <c r="CE236" s="65"/>
      <c r="CF236" s="65"/>
      <c r="CG236" s="65"/>
      <c r="CH236" s="65"/>
      <c r="CI236" s="65"/>
      <c r="CJ236" s="65"/>
      <c r="CK236" s="65"/>
      <c r="CL236" s="65"/>
      <c r="CM236" s="65"/>
      <c r="CN236" s="65"/>
      <c r="CO236" s="65"/>
      <c r="CP236" s="65"/>
      <c r="CQ236" s="65"/>
      <c r="CR236" s="65"/>
      <c r="CS236" s="65"/>
      <c r="CT236" s="65"/>
      <c r="CU236" s="65"/>
      <c r="CV236" s="65"/>
      <c r="CW236" s="65"/>
      <c r="CX236" s="65"/>
      <c r="CY236" s="65"/>
      <c r="CZ236" s="65"/>
      <c r="DA236" s="65"/>
      <c r="DB236" s="65"/>
      <c r="DC236" s="65"/>
      <c r="DD236" s="65"/>
      <c r="DE236" s="65"/>
      <c r="DF236" s="65"/>
      <c r="DG236" s="65"/>
      <c r="DH236" s="65"/>
      <c r="DI236" s="65"/>
      <c r="DJ236" s="65"/>
      <c r="DK236" s="65"/>
      <c r="DL236" s="65"/>
      <c r="DM236" s="65"/>
      <c r="DN236" s="65"/>
      <c r="DO236" s="65"/>
      <c r="DP236" s="65"/>
      <c r="DQ236" s="65"/>
      <c r="DR236" s="65"/>
      <c r="DS236" s="65"/>
      <c r="DT236" s="65"/>
      <c r="DU236" s="65"/>
      <c r="DV236" s="65"/>
      <c r="DW236" s="65"/>
      <c r="DX236" s="65"/>
      <c r="DY236" s="65"/>
      <c r="DZ236" s="65"/>
      <c r="EA236" s="65"/>
      <c r="EB236" s="65"/>
      <c r="EC236" s="65"/>
      <c r="ED236" s="65"/>
      <c r="EE236" s="65"/>
      <c r="EF236" s="65"/>
      <c r="EG236" s="65"/>
      <c r="EH236" s="65"/>
      <c r="EI236" s="65"/>
      <c r="EJ236" s="65"/>
      <c r="EK236" s="65"/>
      <c r="EL236" s="65"/>
      <c r="EM236" s="65"/>
      <c r="EN236" s="65"/>
    </row>
    <row r="237" spans="1:145" s="62" customFormat="1" x14ac:dyDescent="0.2">
      <c r="A237" s="74">
        <v>5</v>
      </c>
      <c r="B237" s="162" t="s">
        <v>30</v>
      </c>
      <c r="C237" s="143"/>
      <c r="D237" s="157">
        <f t="shared" ref="D237:P237" si="74">SUM(D235:D236)</f>
        <v>19148576.638834544</v>
      </c>
      <c r="E237" s="157">
        <f t="shared" si="74"/>
        <v>6448973.995898027</v>
      </c>
      <c r="F237" s="157">
        <f t="shared" si="74"/>
        <v>136362.63251477387</v>
      </c>
      <c r="G237" s="157">
        <f t="shared" si="74"/>
        <v>167586.79528840259</v>
      </c>
      <c r="H237" s="157">
        <f t="shared" si="74"/>
        <v>811939.68344377074</v>
      </c>
      <c r="I237" s="157">
        <f t="shared" si="74"/>
        <v>2802205.4027096462</v>
      </c>
      <c r="J237" s="157">
        <f t="shared" si="74"/>
        <v>910571.89351988444</v>
      </c>
      <c r="K237" s="157">
        <f t="shared" si="74"/>
        <v>-2922053.7977005369</v>
      </c>
      <c r="L237" s="157">
        <f t="shared" si="74"/>
        <v>4719731.9633688647</v>
      </c>
      <c r="M237" s="157">
        <f t="shared" si="74"/>
        <v>4232180.8434539903</v>
      </c>
      <c r="N237" s="157">
        <f t="shared" si="74"/>
        <v>1307235.5957828439</v>
      </c>
      <c r="O237" s="157">
        <f t="shared" si="74"/>
        <v>0</v>
      </c>
      <c r="P237" s="157">
        <f t="shared" si="74"/>
        <v>37763311.647114195</v>
      </c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5"/>
      <c r="CL237" s="65"/>
      <c r="CM237" s="65"/>
      <c r="CN237" s="65"/>
      <c r="CO237" s="65"/>
      <c r="CP237" s="65"/>
      <c r="CQ237" s="65"/>
      <c r="CR237" s="65"/>
      <c r="CS237" s="65"/>
      <c r="CT237" s="65"/>
      <c r="CU237" s="65"/>
      <c r="CV237" s="65"/>
      <c r="CW237" s="65"/>
      <c r="CX237" s="65"/>
      <c r="CY237" s="65"/>
      <c r="CZ237" s="65"/>
      <c r="DA237" s="65"/>
      <c r="DB237" s="65"/>
      <c r="DC237" s="65"/>
      <c r="DD237" s="65"/>
      <c r="DE237" s="65"/>
      <c r="DF237" s="65"/>
      <c r="DG237" s="65"/>
      <c r="DH237" s="65"/>
      <c r="DI237" s="65"/>
      <c r="DJ237" s="65"/>
      <c r="DK237" s="65"/>
      <c r="DL237" s="65"/>
      <c r="DM237" s="65"/>
      <c r="DN237" s="65"/>
      <c r="DO237" s="65"/>
      <c r="DP237" s="65"/>
      <c r="DQ237" s="65"/>
      <c r="DR237" s="65"/>
      <c r="DS237" s="65"/>
      <c r="DT237" s="65"/>
      <c r="DU237" s="65"/>
      <c r="DV237" s="65"/>
      <c r="DW237" s="65"/>
      <c r="DX237" s="65"/>
      <c r="DY237" s="65"/>
      <c r="DZ237" s="65"/>
      <c r="EA237" s="65"/>
      <c r="EB237" s="65"/>
      <c r="EC237" s="65"/>
      <c r="ED237" s="65"/>
      <c r="EE237" s="65"/>
      <c r="EF237" s="65"/>
      <c r="EG237" s="65"/>
      <c r="EH237" s="65"/>
      <c r="EI237" s="65"/>
      <c r="EJ237" s="65"/>
      <c r="EK237" s="65"/>
      <c r="EL237" s="65"/>
      <c r="EM237" s="65"/>
      <c r="EN237" s="65"/>
    </row>
    <row r="238" spans="1:145" s="62" customFormat="1" x14ac:dyDescent="0.2">
      <c r="B238" s="242"/>
      <c r="C238" s="143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22"/>
      <c r="O238" s="122"/>
      <c r="P238" s="127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  <c r="BU238" s="65"/>
      <c r="BV238" s="65"/>
      <c r="BW238" s="65"/>
      <c r="BX238" s="65"/>
      <c r="BY238" s="65"/>
      <c r="BZ238" s="65"/>
      <c r="CA238" s="65"/>
      <c r="CB238" s="65"/>
      <c r="CC238" s="65"/>
      <c r="CD238" s="65"/>
      <c r="CE238" s="65"/>
      <c r="CF238" s="65"/>
      <c r="CG238" s="65"/>
      <c r="CH238" s="65"/>
      <c r="CI238" s="65"/>
      <c r="CJ238" s="65"/>
      <c r="CK238" s="65"/>
      <c r="CL238" s="65"/>
      <c r="CM238" s="65"/>
      <c r="CN238" s="65"/>
      <c r="CO238" s="65"/>
      <c r="CP238" s="65"/>
      <c r="CQ238" s="65"/>
      <c r="CR238" s="65"/>
      <c r="CS238" s="65"/>
      <c r="CT238" s="65"/>
      <c r="CU238" s="65"/>
      <c r="CV238" s="65"/>
      <c r="CW238" s="65"/>
      <c r="CX238" s="65"/>
      <c r="CY238" s="65"/>
      <c r="CZ238" s="65"/>
      <c r="DA238" s="65"/>
      <c r="DB238" s="65"/>
      <c r="DC238" s="65"/>
      <c r="DD238" s="65"/>
      <c r="DE238" s="65"/>
      <c r="DF238" s="65"/>
      <c r="DG238" s="65"/>
      <c r="DH238" s="65"/>
      <c r="DI238" s="65"/>
      <c r="DJ238" s="65"/>
      <c r="DK238" s="65"/>
      <c r="DL238" s="65"/>
      <c r="DM238" s="65"/>
      <c r="DN238" s="65"/>
      <c r="DO238" s="65"/>
      <c r="DP238" s="65"/>
      <c r="DQ238" s="65"/>
      <c r="DR238" s="65"/>
      <c r="DS238" s="65"/>
      <c r="DT238" s="65"/>
      <c r="DU238" s="65"/>
      <c r="DV238" s="65"/>
      <c r="DW238" s="65"/>
      <c r="DX238" s="65"/>
      <c r="DY238" s="65"/>
      <c r="DZ238" s="65"/>
      <c r="EA238" s="65"/>
      <c r="EB238" s="65"/>
      <c r="EC238" s="65"/>
      <c r="ED238" s="65"/>
      <c r="EE238" s="65"/>
      <c r="EF238" s="65"/>
      <c r="EG238" s="65"/>
      <c r="EH238" s="65"/>
      <c r="EI238" s="65"/>
      <c r="EJ238" s="65"/>
      <c r="EK238" s="65"/>
      <c r="EL238" s="65"/>
      <c r="EM238" s="65"/>
      <c r="EN238" s="65"/>
    </row>
    <row r="239" spans="1:145" s="62" customFormat="1" x14ac:dyDescent="0.2">
      <c r="A239" s="74">
        <v>6</v>
      </c>
      <c r="B239" s="146" t="s">
        <v>110</v>
      </c>
      <c r="C239" s="125" t="s">
        <v>17</v>
      </c>
      <c r="D239" s="122">
        <f t="shared" ref="D239:O239" si="75">D82*$R$163</f>
        <v>220510.79230768635</v>
      </c>
      <c r="E239" s="122">
        <f t="shared" si="75"/>
        <v>455813.86131221126</v>
      </c>
      <c r="F239" s="122">
        <f t="shared" si="75"/>
        <v>337080.14996344625</v>
      </c>
      <c r="G239" s="122">
        <f t="shared" si="75"/>
        <v>622756.02916800103</v>
      </c>
      <c r="H239" s="122">
        <f t="shared" si="75"/>
        <v>529926.80367421464</v>
      </c>
      <c r="I239" s="122">
        <f t="shared" si="75"/>
        <v>207913.87149272053</v>
      </c>
      <c r="J239" s="122">
        <f t="shared" si="75"/>
        <v>300509.44138620375</v>
      </c>
      <c r="K239" s="122">
        <f t="shared" si="75"/>
        <v>-222468.02096254233</v>
      </c>
      <c r="L239" s="122">
        <f t="shared" si="75"/>
        <v>-302933.4617553784</v>
      </c>
      <c r="M239" s="122">
        <f t="shared" si="75"/>
        <v>-145504.42025898467</v>
      </c>
      <c r="N239" s="122">
        <f t="shared" si="75"/>
        <v>-96609.415781613876</v>
      </c>
      <c r="O239" s="122">
        <f t="shared" si="75"/>
        <v>0</v>
      </c>
      <c r="P239" s="127">
        <f>SUM(D239:O239)</f>
        <v>1906995.6305459642</v>
      </c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  <c r="BM239" s="65"/>
      <c r="BN239" s="65"/>
      <c r="BO239" s="65"/>
      <c r="BP239" s="65"/>
      <c r="BQ239" s="65"/>
      <c r="BR239" s="65"/>
      <c r="BS239" s="65"/>
      <c r="BT239" s="65"/>
      <c r="BU239" s="65"/>
      <c r="BV239" s="65"/>
      <c r="BW239" s="65"/>
      <c r="BX239" s="65"/>
      <c r="BY239" s="65"/>
      <c r="BZ239" s="65"/>
      <c r="CA239" s="65"/>
      <c r="CB239" s="65"/>
      <c r="CC239" s="65"/>
      <c r="CD239" s="65"/>
      <c r="CE239" s="65"/>
      <c r="CF239" s="65"/>
      <c r="CG239" s="65"/>
      <c r="CH239" s="65"/>
      <c r="CI239" s="65"/>
      <c r="CJ239" s="65"/>
      <c r="CK239" s="65"/>
      <c r="CL239" s="65"/>
      <c r="CM239" s="65"/>
      <c r="CN239" s="65"/>
      <c r="CO239" s="65"/>
      <c r="CP239" s="65"/>
      <c r="CQ239" s="65"/>
      <c r="CR239" s="65"/>
      <c r="CS239" s="65"/>
      <c r="CT239" s="65"/>
      <c r="CU239" s="65"/>
      <c r="CV239" s="65"/>
      <c r="CW239" s="65"/>
      <c r="CX239" s="65"/>
      <c r="CY239" s="65"/>
      <c r="CZ239" s="65"/>
      <c r="DA239" s="65"/>
      <c r="DB239" s="65"/>
      <c r="DC239" s="65"/>
      <c r="DD239" s="65"/>
      <c r="DE239" s="65"/>
      <c r="DF239" s="65"/>
      <c r="DG239" s="65"/>
      <c r="DH239" s="65"/>
      <c r="DI239" s="65"/>
      <c r="DJ239" s="65"/>
      <c r="DK239" s="65"/>
      <c r="DL239" s="65"/>
      <c r="DM239" s="65"/>
      <c r="DN239" s="65"/>
      <c r="DO239" s="65"/>
      <c r="DP239" s="65"/>
      <c r="DQ239" s="65"/>
      <c r="DR239" s="65"/>
      <c r="DS239" s="65"/>
      <c r="DT239" s="65"/>
      <c r="DU239" s="65"/>
      <c r="DV239" s="65"/>
      <c r="DW239" s="65"/>
      <c r="DX239" s="65"/>
      <c r="DY239" s="65"/>
      <c r="DZ239" s="65"/>
      <c r="EA239" s="65"/>
      <c r="EB239" s="65"/>
      <c r="EC239" s="65"/>
      <c r="ED239" s="65"/>
      <c r="EE239" s="65"/>
      <c r="EF239" s="65"/>
      <c r="EG239" s="65"/>
      <c r="EH239" s="65"/>
      <c r="EI239" s="65"/>
      <c r="EJ239" s="65"/>
      <c r="EK239" s="65"/>
      <c r="EL239" s="65"/>
      <c r="EM239" s="65"/>
      <c r="EN239" s="65"/>
    </row>
    <row r="240" spans="1:145" s="62" customFormat="1" x14ac:dyDescent="0.2">
      <c r="A240" s="74">
        <v>7</v>
      </c>
      <c r="B240" s="146" t="s">
        <v>111</v>
      </c>
      <c r="C240" s="125" t="s">
        <v>17</v>
      </c>
      <c r="D240" s="123">
        <f t="shared" ref="D240:O240" si="76">D83*$R$163</f>
        <v>3325710.7670185715</v>
      </c>
      <c r="E240" s="123">
        <f t="shared" si="76"/>
        <v>2062733.5693534578</v>
      </c>
      <c r="F240" s="123">
        <f t="shared" si="76"/>
        <v>-3712337.4233013596</v>
      </c>
      <c r="G240" s="123">
        <f t="shared" si="76"/>
        <v>6457013.8498161873</v>
      </c>
      <c r="H240" s="123">
        <f t="shared" si="76"/>
        <v>-2534644.0630508056</v>
      </c>
      <c r="I240" s="123">
        <f t="shared" si="76"/>
        <v>-8100472.5166130252</v>
      </c>
      <c r="J240" s="123">
        <f t="shared" si="76"/>
        <v>-123439.66146529485</v>
      </c>
      <c r="K240" s="123">
        <f t="shared" si="76"/>
        <v>1535425.4222188802</v>
      </c>
      <c r="L240" s="123">
        <f t="shared" si="76"/>
        <v>-693669.67024899123</v>
      </c>
      <c r="M240" s="123">
        <f t="shared" si="76"/>
        <v>-4063164.4538841895</v>
      </c>
      <c r="N240" s="123">
        <f t="shared" si="76"/>
        <v>-426239.26639857644</v>
      </c>
      <c r="O240" s="123">
        <f t="shared" si="76"/>
        <v>0</v>
      </c>
      <c r="P240" s="167">
        <f>SUM(D240:O240)</f>
        <v>-6273083.446555146</v>
      </c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  <c r="BM240" s="65"/>
      <c r="BN240" s="65"/>
      <c r="BO240" s="65"/>
      <c r="BP240" s="65"/>
      <c r="BQ240" s="65"/>
      <c r="BR240" s="65"/>
      <c r="BS240" s="65"/>
      <c r="BT240" s="65"/>
      <c r="BU240" s="65"/>
      <c r="BV240" s="65"/>
      <c r="BW240" s="65"/>
      <c r="BX240" s="65"/>
      <c r="BY240" s="65"/>
      <c r="BZ240" s="65"/>
      <c r="CA240" s="65"/>
      <c r="CB240" s="65"/>
      <c r="CC240" s="65"/>
      <c r="CD240" s="65"/>
      <c r="CE240" s="65"/>
      <c r="CF240" s="65"/>
      <c r="CG240" s="65"/>
      <c r="CH240" s="65"/>
      <c r="CI240" s="65"/>
      <c r="CJ240" s="65"/>
      <c r="CK240" s="65"/>
      <c r="CL240" s="65"/>
      <c r="CM240" s="65"/>
      <c r="CN240" s="65"/>
      <c r="CO240" s="65"/>
      <c r="CP240" s="65"/>
      <c r="CQ240" s="65"/>
      <c r="CR240" s="65"/>
      <c r="CS240" s="65"/>
      <c r="CT240" s="65"/>
      <c r="CU240" s="65"/>
      <c r="CV240" s="65"/>
      <c r="CW240" s="65"/>
      <c r="CX240" s="65"/>
      <c r="CY240" s="65"/>
      <c r="CZ240" s="65"/>
      <c r="DA240" s="65"/>
      <c r="DB240" s="65"/>
      <c r="DC240" s="65"/>
      <c r="DD240" s="65"/>
      <c r="DE240" s="65"/>
      <c r="DF240" s="65"/>
      <c r="DG240" s="65"/>
      <c r="DH240" s="65"/>
      <c r="DI240" s="65"/>
      <c r="DJ240" s="65"/>
      <c r="DK240" s="65"/>
      <c r="DL240" s="65"/>
      <c r="DM240" s="65"/>
      <c r="DN240" s="65"/>
      <c r="DO240" s="65"/>
      <c r="DP240" s="65"/>
      <c r="DQ240" s="65"/>
      <c r="DR240" s="65"/>
      <c r="DS240" s="65"/>
      <c r="DT240" s="65"/>
      <c r="DU240" s="65"/>
      <c r="DV240" s="65"/>
      <c r="DW240" s="65"/>
      <c r="DX240" s="65"/>
      <c r="DY240" s="65"/>
      <c r="DZ240" s="65"/>
      <c r="EA240" s="65"/>
      <c r="EB240" s="65"/>
      <c r="EC240" s="65"/>
      <c r="ED240" s="65"/>
      <c r="EE240" s="65"/>
      <c r="EF240" s="65"/>
      <c r="EG240" s="65"/>
      <c r="EH240" s="65"/>
      <c r="EI240" s="65"/>
      <c r="EJ240" s="65"/>
      <c r="EK240" s="65"/>
      <c r="EL240" s="65"/>
      <c r="EM240" s="65"/>
      <c r="EN240" s="65"/>
    </row>
    <row r="241" spans="1:144" s="62" customFormat="1" x14ac:dyDescent="0.2">
      <c r="A241" s="74">
        <v>8</v>
      </c>
      <c r="B241" s="129" t="s">
        <v>31</v>
      </c>
      <c r="C241" s="125"/>
      <c r="D241" s="122">
        <f t="shared" ref="D241:P241" si="77">SUM(D239:D240)</f>
        <v>3546221.559326258</v>
      </c>
      <c r="E241" s="122">
        <f t="shared" si="77"/>
        <v>2518547.430665669</v>
      </c>
      <c r="F241" s="122">
        <f t="shared" si="77"/>
        <v>-3375257.2733379132</v>
      </c>
      <c r="G241" s="122">
        <f t="shared" si="77"/>
        <v>7079769.8789841887</v>
      </c>
      <c r="H241" s="122">
        <f t="shared" si="77"/>
        <v>-2004717.2593765911</v>
      </c>
      <c r="I241" s="122">
        <f t="shared" si="77"/>
        <v>-7892558.645120305</v>
      </c>
      <c r="J241" s="122">
        <f t="shared" si="77"/>
        <v>177069.77992090891</v>
      </c>
      <c r="K241" s="122">
        <f t="shared" si="77"/>
        <v>1312957.4012563378</v>
      </c>
      <c r="L241" s="122">
        <f t="shared" si="77"/>
        <v>-996603.13200436963</v>
      </c>
      <c r="M241" s="122">
        <f t="shared" si="77"/>
        <v>-4208668.8741431739</v>
      </c>
      <c r="N241" s="122">
        <f t="shared" si="77"/>
        <v>-522848.68218019034</v>
      </c>
      <c r="O241" s="122">
        <f t="shared" si="77"/>
        <v>0</v>
      </c>
      <c r="P241" s="122">
        <f t="shared" si="77"/>
        <v>-4366087.8160091816</v>
      </c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/>
      <c r="CB241" s="65"/>
      <c r="CC241" s="65"/>
      <c r="CD241" s="65"/>
      <c r="CE241" s="65"/>
      <c r="CF241" s="65"/>
      <c r="CG241" s="65"/>
      <c r="CH241" s="65"/>
      <c r="CI241" s="65"/>
      <c r="CJ241" s="65"/>
      <c r="CK241" s="65"/>
      <c r="CL241" s="65"/>
      <c r="CM241" s="65"/>
      <c r="CN241" s="65"/>
      <c r="CO241" s="65"/>
      <c r="CP241" s="65"/>
      <c r="CQ241" s="65"/>
      <c r="CR241" s="65"/>
      <c r="CS241" s="65"/>
      <c r="CT241" s="65"/>
      <c r="CU241" s="65"/>
      <c r="CV241" s="65"/>
      <c r="CW241" s="65"/>
      <c r="CX241" s="65"/>
      <c r="CY241" s="65"/>
      <c r="CZ241" s="65"/>
      <c r="DA241" s="65"/>
      <c r="DB241" s="65"/>
      <c r="DC241" s="65"/>
      <c r="DD241" s="65"/>
      <c r="DE241" s="65"/>
      <c r="DF241" s="65"/>
      <c r="DG241" s="65"/>
      <c r="DH241" s="65"/>
      <c r="DI241" s="65"/>
      <c r="DJ241" s="65"/>
      <c r="DK241" s="65"/>
      <c r="DL241" s="65"/>
      <c r="DM241" s="65"/>
      <c r="DN241" s="65"/>
      <c r="DO241" s="65"/>
      <c r="DP241" s="65"/>
      <c r="DQ241" s="65"/>
      <c r="DR241" s="65"/>
      <c r="DS241" s="65"/>
      <c r="DT241" s="65"/>
      <c r="DU241" s="65"/>
      <c r="DV241" s="65"/>
      <c r="DW241" s="65"/>
      <c r="DX241" s="65"/>
      <c r="DY241" s="65"/>
      <c r="DZ241" s="65"/>
      <c r="EA241" s="65"/>
      <c r="EB241" s="65"/>
      <c r="EC241" s="65"/>
      <c r="ED241" s="65"/>
      <c r="EE241" s="65"/>
      <c r="EF241" s="65"/>
      <c r="EG241" s="65"/>
      <c r="EH241" s="65"/>
      <c r="EI241" s="65"/>
      <c r="EJ241" s="65"/>
      <c r="EK241" s="65"/>
      <c r="EL241" s="65"/>
      <c r="EM241" s="65"/>
      <c r="EN241" s="65"/>
    </row>
    <row r="242" spans="1:144" s="62" customFormat="1" x14ac:dyDescent="0.2">
      <c r="A242" s="74"/>
      <c r="B242" s="129"/>
      <c r="C242" s="125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7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5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65"/>
      <c r="CQ242" s="65"/>
      <c r="CR242" s="65"/>
      <c r="CS242" s="65"/>
      <c r="CT242" s="65"/>
      <c r="CU242" s="65"/>
      <c r="CV242" s="65"/>
      <c r="CW242" s="65"/>
      <c r="CX242" s="65"/>
      <c r="CY242" s="65"/>
      <c r="CZ242" s="65"/>
      <c r="DA242" s="65"/>
      <c r="DB242" s="65"/>
      <c r="DC242" s="65"/>
      <c r="DD242" s="65"/>
      <c r="DE242" s="65"/>
      <c r="DF242" s="65"/>
      <c r="DG242" s="65"/>
      <c r="DH242" s="65"/>
      <c r="DI242" s="65"/>
      <c r="DJ242" s="65"/>
      <c r="DK242" s="65"/>
      <c r="DL242" s="65"/>
      <c r="DM242" s="65"/>
      <c r="DN242" s="65"/>
      <c r="DO242" s="65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5"/>
      <c r="ED242" s="65"/>
      <c r="EE242" s="65"/>
      <c r="EF242" s="65"/>
      <c r="EG242" s="65"/>
      <c r="EH242" s="65"/>
      <c r="EI242" s="65"/>
      <c r="EJ242" s="65"/>
      <c r="EK242" s="65"/>
      <c r="EL242" s="65"/>
      <c r="EM242" s="65"/>
      <c r="EN242" s="65"/>
    </row>
    <row r="243" spans="1:144" s="62" customFormat="1" x14ac:dyDescent="0.2">
      <c r="A243" s="74">
        <v>9</v>
      </c>
      <c r="B243" s="162" t="s">
        <v>112</v>
      </c>
      <c r="C243" s="125" t="s">
        <v>18</v>
      </c>
      <c r="D243" s="122">
        <f t="shared" ref="D243:O243" si="78">D86*$R$164</f>
        <v>-15673470.687693616</v>
      </c>
      <c r="E243" s="122">
        <f t="shared" si="78"/>
        <v>19825212.285613634</v>
      </c>
      <c r="F243" s="122">
        <f t="shared" si="78"/>
        <v>51937491.661602274</v>
      </c>
      <c r="G243" s="122">
        <f t="shared" si="78"/>
        <v>28576606.3191</v>
      </c>
      <c r="H243" s="122">
        <f t="shared" si="78"/>
        <v>16416753.065131035</v>
      </c>
      <c r="I243" s="122">
        <f t="shared" si="78"/>
        <v>785412.04874999996</v>
      </c>
      <c r="J243" s="122">
        <f t="shared" si="78"/>
        <v>33189350.944765911</v>
      </c>
      <c r="K243" s="122">
        <f t="shared" si="78"/>
        <v>22094520.396374997</v>
      </c>
      <c r="L243" s="122">
        <f t="shared" si="78"/>
        <v>1576571.864243478</v>
      </c>
      <c r="M243" s="122">
        <f t="shared" si="78"/>
        <v>107612733.46304634</v>
      </c>
      <c r="N243" s="122">
        <f t="shared" si="78"/>
        <v>-158126216.30420488</v>
      </c>
      <c r="O243" s="122">
        <f t="shared" si="78"/>
        <v>188683558.875</v>
      </c>
      <c r="P243" s="127">
        <f>SUM(D243:O243)</f>
        <v>296898523.9317292</v>
      </c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5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65"/>
      <c r="CQ243" s="65"/>
      <c r="CR243" s="65"/>
      <c r="CS243" s="65"/>
      <c r="CT243" s="65"/>
      <c r="CU243" s="65"/>
      <c r="CV243" s="65"/>
      <c r="CW243" s="65"/>
      <c r="CX243" s="65"/>
      <c r="CY243" s="65"/>
      <c r="CZ243" s="65"/>
      <c r="DA243" s="65"/>
      <c r="DB243" s="65"/>
      <c r="DC243" s="65"/>
      <c r="DD243" s="65"/>
      <c r="DE243" s="65"/>
      <c r="DF243" s="65"/>
      <c r="DG243" s="65"/>
      <c r="DH243" s="65"/>
      <c r="DI243" s="65"/>
      <c r="DJ243" s="65"/>
      <c r="DK243" s="65"/>
      <c r="DL243" s="65"/>
      <c r="DM243" s="65"/>
      <c r="DN243" s="65"/>
      <c r="DO243" s="65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5"/>
      <c r="ED243" s="65"/>
      <c r="EE243" s="65"/>
      <c r="EF243" s="65"/>
      <c r="EG243" s="65"/>
      <c r="EH243" s="65"/>
      <c r="EI243" s="65"/>
      <c r="EJ243" s="65"/>
      <c r="EK243" s="65"/>
      <c r="EL243" s="65"/>
      <c r="EM243" s="65"/>
      <c r="EN243" s="65"/>
    </row>
    <row r="244" spans="1:144" s="62" customFormat="1" x14ac:dyDescent="0.2">
      <c r="B244" s="129"/>
      <c r="C244" s="143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27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5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  <c r="CY244" s="65"/>
      <c r="CZ244" s="65"/>
      <c r="DA244" s="65"/>
      <c r="DB244" s="65"/>
      <c r="DC244" s="65"/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5"/>
    </row>
    <row r="245" spans="1:144" s="62" customFormat="1" x14ac:dyDescent="0.2">
      <c r="A245" s="74">
        <v>10</v>
      </c>
      <c r="B245" s="117" t="s">
        <v>33</v>
      </c>
      <c r="C245" s="125" t="s">
        <v>16</v>
      </c>
      <c r="D245" s="122">
        <f t="shared" ref="D245:O245" si="79">D88*$R$162</f>
        <v>-507008.33847131667</v>
      </c>
      <c r="E245" s="122">
        <f t="shared" si="79"/>
        <v>112860.0497562173</v>
      </c>
      <c r="F245" s="122">
        <f t="shared" si="79"/>
        <v>26107.168100917388</v>
      </c>
      <c r="G245" s="122">
        <f t="shared" si="79"/>
        <v>11254.220342089637</v>
      </c>
      <c r="H245" s="122">
        <f t="shared" si="79"/>
        <v>-31625.224593754319</v>
      </c>
      <c r="I245" s="122">
        <f t="shared" si="79"/>
        <v>12975.293085863976</v>
      </c>
      <c r="J245" s="122">
        <f t="shared" si="79"/>
        <v>352751.79743083188</v>
      </c>
      <c r="K245" s="122">
        <f t="shared" si="79"/>
        <v>-129698.60110373085</v>
      </c>
      <c r="L245" s="122">
        <f t="shared" si="79"/>
        <v>-21252.148264509171</v>
      </c>
      <c r="M245" s="122">
        <f t="shared" si="79"/>
        <v>-35258.018409207936</v>
      </c>
      <c r="N245" s="122">
        <f t="shared" si="79"/>
        <v>13279.84167086902</v>
      </c>
      <c r="O245" s="122">
        <f t="shared" si="79"/>
        <v>0</v>
      </c>
      <c r="P245" s="127">
        <f>SUM(D245:O245)</f>
        <v>-195613.96045572974</v>
      </c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  <c r="BM245" s="65"/>
      <c r="BN245" s="65"/>
      <c r="BO245" s="65"/>
      <c r="BP245" s="65"/>
      <c r="BQ245" s="65"/>
      <c r="BR245" s="65"/>
      <c r="BS245" s="65"/>
      <c r="BT245" s="65"/>
      <c r="BU245" s="65"/>
      <c r="BV245" s="65"/>
      <c r="BW245" s="65"/>
      <c r="BX245" s="65"/>
      <c r="BY245" s="65"/>
      <c r="BZ245" s="65"/>
      <c r="CA245" s="65"/>
      <c r="CB245" s="65"/>
      <c r="CC245" s="65"/>
      <c r="CD245" s="65"/>
      <c r="CE245" s="65"/>
      <c r="CF245" s="65"/>
      <c r="CG245" s="65"/>
      <c r="CH245" s="65"/>
      <c r="CI245" s="65"/>
      <c r="CJ245" s="65"/>
      <c r="CK245" s="65"/>
      <c r="CL245" s="65"/>
      <c r="CM245" s="65"/>
      <c r="CN245" s="65"/>
      <c r="CO245" s="65"/>
      <c r="CP245" s="65"/>
      <c r="CQ245" s="65"/>
      <c r="CR245" s="65"/>
      <c r="CS245" s="65"/>
      <c r="CT245" s="65"/>
      <c r="CU245" s="65"/>
      <c r="CV245" s="65"/>
      <c r="CW245" s="65"/>
      <c r="CX245" s="65"/>
      <c r="CY245" s="65"/>
      <c r="CZ245" s="65"/>
      <c r="DA245" s="65"/>
      <c r="DB245" s="65"/>
      <c r="DC245" s="65"/>
      <c r="DD245" s="65"/>
      <c r="DE245" s="65"/>
      <c r="DF245" s="65"/>
      <c r="DG245" s="65"/>
      <c r="DH245" s="65"/>
      <c r="DI245" s="65"/>
      <c r="DJ245" s="65"/>
      <c r="DK245" s="65"/>
      <c r="DL245" s="65"/>
      <c r="DM245" s="65"/>
      <c r="DN245" s="65"/>
      <c r="DO245" s="65"/>
      <c r="DP245" s="65"/>
      <c r="DQ245" s="65"/>
      <c r="DR245" s="65"/>
      <c r="DS245" s="65"/>
      <c r="DT245" s="65"/>
      <c r="DU245" s="65"/>
      <c r="DV245" s="65"/>
      <c r="DW245" s="65"/>
      <c r="DX245" s="65"/>
      <c r="DY245" s="65"/>
      <c r="DZ245" s="65"/>
      <c r="EA245" s="65"/>
      <c r="EB245" s="65"/>
      <c r="EC245" s="65"/>
      <c r="ED245" s="65"/>
      <c r="EE245" s="65"/>
      <c r="EF245" s="65"/>
      <c r="EG245" s="65"/>
      <c r="EH245" s="65"/>
      <c r="EI245" s="65"/>
      <c r="EJ245" s="65"/>
      <c r="EK245" s="65"/>
      <c r="EL245" s="65"/>
      <c r="EM245" s="65"/>
      <c r="EN245" s="65"/>
    </row>
    <row r="246" spans="1:144" s="62" customFormat="1" x14ac:dyDescent="0.2">
      <c r="A246" s="74"/>
      <c r="B246" s="129"/>
      <c r="C246" s="143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22"/>
      <c r="O246" s="122"/>
      <c r="P246" s="127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5"/>
      <c r="BK246" s="65"/>
      <c r="BL246" s="65"/>
      <c r="BM246" s="65"/>
      <c r="BN246" s="65"/>
      <c r="BO246" s="65"/>
      <c r="BP246" s="65"/>
      <c r="BQ246" s="65"/>
      <c r="BR246" s="65"/>
      <c r="BS246" s="65"/>
      <c r="BT246" s="65"/>
      <c r="BU246" s="65"/>
      <c r="BV246" s="65"/>
      <c r="BW246" s="65"/>
      <c r="BX246" s="65"/>
      <c r="BY246" s="65"/>
      <c r="BZ246" s="65"/>
      <c r="CA246" s="65"/>
      <c r="CB246" s="65"/>
      <c r="CC246" s="65"/>
      <c r="CD246" s="65"/>
      <c r="CE246" s="65"/>
      <c r="CF246" s="65"/>
      <c r="CG246" s="65"/>
      <c r="CH246" s="65"/>
      <c r="CI246" s="65"/>
      <c r="CJ246" s="65"/>
      <c r="CK246" s="65"/>
      <c r="CL246" s="65"/>
      <c r="CM246" s="65"/>
      <c r="CN246" s="65"/>
      <c r="CO246" s="65"/>
      <c r="CP246" s="65"/>
      <c r="CQ246" s="65"/>
      <c r="CR246" s="65"/>
      <c r="CS246" s="65"/>
      <c r="CT246" s="65"/>
      <c r="CU246" s="65"/>
      <c r="CV246" s="65"/>
      <c r="CW246" s="65"/>
      <c r="CX246" s="65"/>
      <c r="CY246" s="65"/>
      <c r="CZ246" s="65"/>
      <c r="DA246" s="65"/>
      <c r="DB246" s="65"/>
      <c r="DC246" s="65"/>
      <c r="DD246" s="65"/>
      <c r="DE246" s="65"/>
      <c r="DF246" s="65"/>
      <c r="DG246" s="65"/>
      <c r="DH246" s="65"/>
      <c r="DI246" s="65"/>
      <c r="DJ246" s="65"/>
      <c r="DK246" s="65"/>
      <c r="DL246" s="65"/>
      <c r="DM246" s="65"/>
      <c r="DN246" s="65"/>
      <c r="DO246" s="65"/>
      <c r="DP246" s="65"/>
      <c r="DQ246" s="65"/>
      <c r="DR246" s="65"/>
      <c r="DS246" s="65"/>
      <c r="DT246" s="65"/>
      <c r="DU246" s="65"/>
      <c r="DV246" s="65"/>
      <c r="DW246" s="65"/>
      <c r="DX246" s="65"/>
      <c r="DY246" s="65"/>
      <c r="DZ246" s="65"/>
      <c r="EA246" s="65"/>
      <c r="EB246" s="65"/>
      <c r="EC246" s="65"/>
      <c r="ED246" s="65"/>
      <c r="EE246" s="65"/>
      <c r="EF246" s="65"/>
      <c r="EG246" s="65"/>
      <c r="EH246" s="65"/>
      <c r="EI246" s="65"/>
      <c r="EJ246" s="65"/>
      <c r="EK246" s="65"/>
      <c r="EL246" s="65"/>
      <c r="EM246" s="65"/>
      <c r="EN246" s="65"/>
    </row>
    <row r="247" spans="1:144" s="62" customFormat="1" x14ac:dyDescent="0.2">
      <c r="A247" s="74">
        <v>11</v>
      </c>
      <c r="B247" s="183" t="s">
        <v>34</v>
      </c>
      <c r="C247" s="236"/>
      <c r="D247" s="184">
        <f t="shared" ref="D247:P247" si="80">D245+D243+D241+D237+D233+D231</f>
        <v>19262882.106670398</v>
      </c>
      <c r="E247" s="184">
        <f t="shared" si="80"/>
        <v>39196419.748353891</v>
      </c>
      <c r="F247" s="184">
        <f t="shared" si="80"/>
        <v>56610997.312408477</v>
      </c>
      <c r="G247" s="184">
        <f t="shared" si="80"/>
        <v>42701239.725967266</v>
      </c>
      <c r="H247" s="184">
        <f t="shared" si="80"/>
        <v>21705810.283007938</v>
      </c>
      <c r="I247" s="184">
        <f t="shared" si="80"/>
        <v>4535321.4821779747</v>
      </c>
      <c r="J247" s="184">
        <f t="shared" si="80"/>
        <v>44505934.830800094</v>
      </c>
      <c r="K247" s="184">
        <f t="shared" si="80"/>
        <v>21778114.105801862</v>
      </c>
      <c r="L247" s="184">
        <f t="shared" si="80"/>
        <v>6921836.5443114033</v>
      </c>
      <c r="M247" s="184">
        <f t="shared" si="80"/>
        <v>108418047.49761121</v>
      </c>
      <c r="N247" s="184">
        <f t="shared" si="80"/>
        <v>-157040534.64961767</v>
      </c>
      <c r="O247" s="184">
        <f t="shared" si="80"/>
        <v>188683558.875</v>
      </c>
      <c r="P247" s="184">
        <f t="shared" si="80"/>
        <v>397279627.86249292</v>
      </c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  <c r="CY247" s="65"/>
      <c r="CZ247" s="65"/>
      <c r="DA247" s="65"/>
      <c r="DB247" s="65"/>
      <c r="DC247" s="65"/>
      <c r="DD247" s="65"/>
      <c r="DE247" s="65"/>
      <c r="DF247" s="65"/>
      <c r="DG247" s="65"/>
      <c r="DH247" s="65"/>
      <c r="DI247" s="65"/>
      <c r="DJ247" s="65"/>
      <c r="DK247" s="65"/>
      <c r="DL247" s="65"/>
      <c r="DM247" s="65"/>
      <c r="DN247" s="65"/>
      <c r="DO247" s="65"/>
      <c r="DP247" s="65"/>
      <c r="DQ247" s="65"/>
      <c r="DR247" s="65"/>
      <c r="DS247" s="65"/>
      <c r="DT247" s="65"/>
      <c r="DU247" s="65"/>
      <c r="DV247" s="65"/>
      <c r="DW247" s="65"/>
      <c r="DX247" s="65"/>
      <c r="DY247" s="65"/>
      <c r="DZ247" s="65"/>
      <c r="EA247" s="65"/>
      <c r="EB247" s="65"/>
      <c r="EC247" s="65"/>
      <c r="ED247" s="65"/>
      <c r="EE247" s="65"/>
      <c r="EF247" s="65"/>
      <c r="EG247" s="65"/>
      <c r="EH247" s="65"/>
      <c r="EI247" s="65"/>
      <c r="EJ247" s="65"/>
      <c r="EK247" s="65"/>
      <c r="EL247" s="65"/>
      <c r="EM247" s="65"/>
      <c r="EN247" s="65"/>
    </row>
    <row r="248" spans="1:144" s="62" customFormat="1" x14ac:dyDescent="0.2">
      <c r="B248" s="236"/>
      <c r="C248" s="236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56"/>
      <c r="O248" s="156"/>
      <c r="P248" s="127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  <c r="BM248" s="65"/>
      <c r="BN248" s="65"/>
      <c r="BO248" s="65"/>
      <c r="BP248" s="65"/>
      <c r="BQ248" s="65"/>
      <c r="BR248" s="65"/>
      <c r="BS248" s="65"/>
      <c r="BT248" s="65"/>
      <c r="BU248" s="65"/>
      <c r="BV248" s="65"/>
      <c r="BW248" s="65"/>
      <c r="BX248" s="65"/>
      <c r="BY248" s="65"/>
      <c r="BZ248" s="65"/>
      <c r="CA248" s="65"/>
      <c r="CB248" s="65"/>
      <c r="CC248" s="65"/>
      <c r="CD248" s="65"/>
      <c r="CE248" s="65"/>
      <c r="CF248" s="65"/>
      <c r="CG248" s="65"/>
      <c r="CH248" s="65"/>
      <c r="CI248" s="65"/>
      <c r="CJ248" s="65"/>
      <c r="CK248" s="65"/>
      <c r="CL248" s="65"/>
      <c r="CM248" s="65"/>
      <c r="CN248" s="65"/>
      <c r="CO248" s="65"/>
      <c r="CP248" s="65"/>
      <c r="CQ248" s="65"/>
      <c r="CR248" s="65"/>
      <c r="CS248" s="65"/>
      <c r="CT248" s="65"/>
      <c r="CU248" s="65"/>
      <c r="CV248" s="65"/>
      <c r="CW248" s="65"/>
      <c r="CX248" s="65"/>
      <c r="CY248" s="65"/>
      <c r="CZ248" s="65"/>
      <c r="DA248" s="65"/>
      <c r="DB248" s="65"/>
      <c r="DC248" s="65"/>
      <c r="DD248" s="65"/>
      <c r="DE248" s="65"/>
      <c r="DF248" s="65"/>
      <c r="DG248" s="65"/>
      <c r="DH248" s="65"/>
      <c r="DI248" s="65"/>
      <c r="DJ248" s="65"/>
      <c r="DK248" s="65"/>
      <c r="DL248" s="65"/>
      <c r="DM248" s="65"/>
      <c r="DN248" s="65"/>
      <c r="DO248" s="65"/>
      <c r="DP248" s="65"/>
      <c r="DQ248" s="65"/>
      <c r="DR248" s="65"/>
      <c r="DS248" s="65"/>
      <c r="DT248" s="65"/>
      <c r="DU248" s="65"/>
      <c r="DV248" s="65"/>
      <c r="DW248" s="65"/>
      <c r="DX248" s="65"/>
      <c r="DY248" s="65"/>
      <c r="DZ248" s="65"/>
      <c r="EA248" s="65"/>
      <c r="EB248" s="65"/>
      <c r="EC248" s="65"/>
      <c r="ED248" s="65"/>
      <c r="EE248" s="65"/>
      <c r="EF248" s="65"/>
      <c r="EG248" s="65"/>
      <c r="EH248" s="65"/>
      <c r="EI248" s="65"/>
      <c r="EJ248" s="65"/>
      <c r="EK248" s="65"/>
      <c r="EL248" s="65"/>
      <c r="EM248" s="65"/>
      <c r="EN248" s="65"/>
    </row>
    <row r="249" spans="1:144" s="62" customFormat="1" x14ac:dyDescent="0.2">
      <c r="A249" s="74">
        <v>12</v>
      </c>
      <c r="B249" s="148" t="s">
        <v>91</v>
      </c>
      <c r="C249" s="125" t="s">
        <v>17</v>
      </c>
      <c r="D249" s="122">
        <f t="shared" ref="D249:O249" si="81">D92*$R$163</f>
        <v>0</v>
      </c>
      <c r="E249" s="122">
        <f t="shared" si="81"/>
        <v>0</v>
      </c>
      <c r="F249" s="122">
        <f t="shared" si="81"/>
        <v>0</v>
      </c>
      <c r="G249" s="122">
        <f t="shared" si="81"/>
        <v>0</v>
      </c>
      <c r="H249" s="122">
        <f t="shared" si="81"/>
        <v>0</v>
      </c>
      <c r="I249" s="122">
        <f t="shared" si="81"/>
        <v>0</v>
      </c>
      <c r="J249" s="122">
        <f t="shared" si="81"/>
        <v>0</v>
      </c>
      <c r="K249" s="122">
        <f t="shared" si="81"/>
        <v>0</v>
      </c>
      <c r="L249" s="122">
        <f t="shared" si="81"/>
        <v>0</v>
      </c>
      <c r="M249" s="122">
        <f t="shared" si="81"/>
        <v>0</v>
      </c>
      <c r="N249" s="122">
        <f t="shared" si="81"/>
        <v>0</v>
      </c>
      <c r="O249" s="122">
        <f t="shared" si="81"/>
        <v>0</v>
      </c>
      <c r="P249" s="127">
        <f>SUM(D249:O249)</f>
        <v>0</v>
      </c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  <c r="CA249" s="65"/>
      <c r="CB249" s="65"/>
      <c r="CC249" s="65"/>
      <c r="CD249" s="65"/>
      <c r="CE249" s="65"/>
      <c r="CF249" s="65"/>
      <c r="CG249" s="65"/>
      <c r="CH249" s="65"/>
      <c r="CI249" s="65"/>
      <c r="CJ249" s="65"/>
      <c r="CK249" s="65"/>
      <c r="CL249" s="65"/>
      <c r="CM249" s="65"/>
      <c r="CN249" s="65"/>
      <c r="CO249" s="65"/>
      <c r="CP249" s="65"/>
      <c r="CQ249" s="65"/>
      <c r="CR249" s="65"/>
      <c r="CS249" s="65"/>
      <c r="CT249" s="65"/>
      <c r="CU249" s="65"/>
      <c r="CV249" s="65"/>
      <c r="CW249" s="65"/>
      <c r="CX249" s="65"/>
      <c r="CY249" s="65"/>
      <c r="CZ249" s="65"/>
      <c r="DA249" s="65"/>
      <c r="DB249" s="65"/>
      <c r="DC249" s="65"/>
      <c r="DD249" s="65"/>
      <c r="DE249" s="65"/>
      <c r="DF249" s="65"/>
      <c r="DG249" s="65"/>
      <c r="DH249" s="65"/>
      <c r="DI249" s="65"/>
      <c r="DJ249" s="65"/>
      <c r="DK249" s="65"/>
      <c r="DL249" s="65"/>
      <c r="DM249" s="65"/>
      <c r="DN249" s="65"/>
      <c r="DO249" s="65"/>
      <c r="DP249" s="65"/>
      <c r="DQ249" s="65"/>
      <c r="DR249" s="65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  <c r="EF249" s="65"/>
      <c r="EG249" s="65"/>
      <c r="EH249" s="65"/>
      <c r="EI249" s="65"/>
      <c r="EJ249" s="65"/>
      <c r="EK249" s="65"/>
      <c r="EL249" s="65"/>
      <c r="EM249" s="65"/>
      <c r="EN249" s="65"/>
    </row>
    <row r="250" spans="1:144" s="62" customFormat="1" x14ac:dyDescent="0.2">
      <c r="A250" s="74">
        <v>13</v>
      </c>
      <c r="B250" s="148" t="s">
        <v>92</v>
      </c>
      <c r="C250" s="125" t="s">
        <v>18</v>
      </c>
      <c r="D250" s="123">
        <f t="shared" ref="D250:O250" si="82">D93*$R$164</f>
        <v>0</v>
      </c>
      <c r="E250" s="123">
        <f t="shared" si="82"/>
        <v>0</v>
      </c>
      <c r="F250" s="123">
        <f t="shared" si="82"/>
        <v>0</v>
      </c>
      <c r="G250" s="123">
        <f t="shared" si="82"/>
        <v>0</v>
      </c>
      <c r="H250" s="123">
        <f t="shared" si="82"/>
        <v>0</v>
      </c>
      <c r="I250" s="123">
        <f t="shared" si="82"/>
        <v>0</v>
      </c>
      <c r="J250" s="123">
        <f t="shared" si="82"/>
        <v>0</v>
      </c>
      <c r="K250" s="123">
        <f t="shared" si="82"/>
        <v>0</v>
      </c>
      <c r="L250" s="123">
        <f t="shared" si="82"/>
        <v>0</v>
      </c>
      <c r="M250" s="123">
        <f t="shared" si="82"/>
        <v>0</v>
      </c>
      <c r="N250" s="123">
        <f t="shared" si="82"/>
        <v>0</v>
      </c>
      <c r="O250" s="123">
        <f t="shared" si="82"/>
        <v>0</v>
      </c>
      <c r="P250" s="167">
        <f>SUM(D250:O250)</f>
        <v>0</v>
      </c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  <c r="BM250" s="65"/>
      <c r="BN250" s="65"/>
      <c r="BO250" s="65"/>
      <c r="BP250" s="65"/>
      <c r="BQ250" s="65"/>
      <c r="BR250" s="65"/>
      <c r="BS250" s="65"/>
      <c r="BT250" s="65"/>
      <c r="BU250" s="65"/>
      <c r="BV250" s="65"/>
      <c r="BW250" s="65"/>
      <c r="BX250" s="65"/>
      <c r="BY250" s="65"/>
      <c r="BZ250" s="65"/>
      <c r="CA250" s="65"/>
      <c r="CB250" s="65"/>
      <c r="CC250" s="65"/>
      <c r="CD250" s="65"/>
      <c r="CE250" s="65"/>
      <c r="CF250" s="65"/>
      <c r="CG250" s="65"/>
      <c r="CH250" s="65"/>
      <c r="CI250" s="65"/>
      <c r="CJ250" s="65"/>
      <c r="CK250" s="65"/>
      <c r="CL250" s="65"/>
      <c r="CM250" s="65"/>
      <c r="CN250" s="65"/>
      <c r="CO250" s="65"/>
      <c r="CP250" s="65"/>
      <c r="CQ250" s="65"/>
      <c r="CR250" s="65"/>
      <c r="CS250" s="65"/>
      <c r="CT250" s="65"/>
      <c r="CU250" s="65"/>
      <c r="CV250" s="65"/>
      <c r="CW250" s="65"/>
      <c r="CX250" s="65"/>
      <c r="CY250" s="65"/>
      <c r="CZ250" s="65"/>
      <c r="DA250" s="65"/>
      <c r="DB250" s="65"/>
      <c r="DC250" s="65"/>
      <c r="DD250" s="65"/>
      <c r="DE250" s="65"/>
      <c r="DF250" s="65"/>
      <c r="DG250" s="65"/>
      <c r="DH250" s="65"/>
      <c r="DI250" s="65"/>
      <c r="DJ250" s="65"/>
      <c r="DK250" s="65"/>
      <c r="DL250" s="65"/>
      <c r="DM250" s="65"/>
      <c r="DN250" s="65"/>
      <c r="DO250" s="65"/>
      <c r="DP250" s="65"/>
      <c r="DQ250" s="65"/>
      <c r="DR250" s="65"/>
      <c r="DS250" s="65"/>
      <c r="DT250" s="65"/>
      <c r="DU250" s="65"/>
      <c r="DV250" s="65"/>
      <c r="DW250" s="65"/>
      <c r="DX250" s="65"/>
      <c r="DY250" s="65"/>
      <c r="DZ250" s="65"/>
      <c r="EA250" s="65"/>
      <c r="EB250" s="65"/>
      <c r="EC250" s="65"/>
      <c r="ED250" s="65"/>
      <c r="EE250" s="65"/>
      <c r="EF250" s="65"/>
      <c r="EG250" s="65"/>
      <c r="EH250" s="65"/>
      <c r="EI250" s="65"/>
      <c r="EJ250" s="65"/>
      <c r="EK250" s="65"/>
      <c r="EL250" s="65"/>
      <c r="EM250" s="65"/>
      <c r="EN250" s="65"/>
    </row>
    <row r="251" spans="1:144" s="62" customFormat="1" x14ac:dyDescent="0.2">
      <c r="A251" s="74">
        <v>14</v>
      </c>
      <c r="B251" s="183" t="s">
        <v>35</v>
      </c>
      <c r="C251" s="238"/>
      <c r="D251" s="169">
        <f t="shared" ref="D251:P251" si="83">SUM(D249:D250)</f>
        <v>0</v>
      </c>
      <c r="E251" s="169">
        <f t="shared" si="83"/>
        <v>0</v>
      </c>
      <c r="F251" s="169">
        <f t="shared" si="83"/>
        <v>0</v>
      </c>
      <c r="G251" s="169">
        <f t="shared" si="83"/>
        <v>0</v>
      </c>
      <c r="H251" s="169">
        <f t="shared" si="83"/>
        <v>0</v>
      </c>
      <c r="I251" s="169">
        <f t="shared" si="83"/>
        <v>0</v>
      </c>
      <c r="J251" s="169">
        <f t="shared" si="83"/>
        <v>0</v>
      </c>
      <c r="K251" s="169">
        <f t="shared" si="83"/>
        <v>0</v>
      </c>
      <c r="L251" s="169">
        <f t="shared" si="83"/>
        <v>0</v>
      </c>
      <c r="M251" s="169">
        <f t="shared" si="83"/>
        <v>0</v>
      </c>
      <c r="N251" s="156">
        <f t="shared" si="83"/>
        <v>0</v>
      </c>
      <c r="O251" s="156">
        <f t="shared" si="83"/>
        <v>0</v>
      </c>
      <c r="P251" s="156">
        <f t="shared" si="83"/>
        <v>0</v>
      </c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/>
      <c r="BM251" s="65"/>
      <c r="BN251" s="65"/>
      <c r="BO251" s="65"/>
      <c r="BP251" s="65"/>
      <c r="BQ251" s="65"/>
      <c r="BR251" s="65"/>
      <c r="BS251" s="65"/>
      <c r="BT251" s="65"/>
      <c r="BU251" s="65"/>
      <c r="BV251" s="65"/>
      <c r="BW251" s="65"/>
      <c r="BX251" s="65"/>
      <c r="BY251" s="65"/>
      <c r="BZ251" s="65"/>
      <c r="CA251" s="65"/>
      <c r="CB251" s="65"/>
      <c r="CC251" s="65"/>
      <c r="CD251" s="65"/>
      <c r="CE251" s="65"/>
      <c r="CF251" s="65"/>
      <c r="CG251" s="65"/>
      <c r="CH251" s="65"/>
      <c r="CI251" s="65"/>
      <c r="CJ251" s="65"/>
      <c r="CK251" s="65"/>
      <c r="CL251" s="65"/>
      <c r="CM251" s="65"/>
      <c r="CN251" s="65"/>
      <c r="CO251" s="65"/>
      <c r="CP251" s="65"/>
      <c r="CQ251" s="65"/>
      <c r="CR251" s="65"/>
      <c r="CS251" s="65"/>
      <c r="CT251" s="65"/>
      <c r="CU251" s="65"/>
      <c r="CV251" s="65"/>
      <c r="CW251" s="65"/>
      <c r="CX251" s="65"/>
      <c r="CY251" s="65"/>
      <c r="CZ251" s="65"/>
      <c r="DA251" s="65"/>
      <c r="DB251" s="65"/>
      <c r="DC251" s="65"/>
      <c r="DD251" s="65"/>
      <c r="DE251" s="65"/>
      <c r="DF251" s="65"/>
      <c r="DG251" s="65"/>
      <c r="DH251" s="65"/>
      <c r="DI251" s="65"/>
      <c r="DJ251" s="65"/>
      <c r="DK251" s="65"/>
      <c r="DL251" s="65"/>
      <c r="DM251" s="65"/>
      <c r="DN251" s="65"/>
      <c r="DO251" s="65"/>
      <c r="DP251" s="65"/>
      <c r="DQ251" s="65"/>
      <c r="DR251" s="65"/>
      <c r="DS251" s="65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5"/>
      <c r="EE251" s="65"/>
      <c r="EF251" s="65"/>
      <c r="EG251" s="65"/>
      <c r="EH251" s="65"/>
      <c r="EI251" s="65"/>
      <c r="EJ251" s="65"/>
      <c r="EK251" s="65"/>
      <c r="EL251" s="65"/>
      <c r="EM251" s="65"/>
      <c r="EN251" s="65"/>
    </row>
    <row r="252" spans="1:144" s="62" customFormat="1" x14ac:dyDescent="0.2">
      <c r="A252" s="74"/>
      <c r="B252" s="129"/>
      <c r="C252" s="185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22"/>
      <c r="O252" s="122"/>
      <c r="P252" s="127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65"/>
      <c r="BU252" s="65"/>
      <c r="BV252" s="65"/>
      <c r="BW252" s="65"/>
      <c r="BX252" s="65"/>
      <c r="BY252" s="65"/>
      <c r="BZ252" s="65"/>
      <c r="CA252" s="65"/>
      <c r="CB252" s="65"/>
      <c r="CC252" s="65"/>
      <c r="CD252" s="65"/>
      <c r="CE252" s="65"/>
      <c r="CF252" s="65"/>
      <c r="CG252" s="65"/>
      <c r="CH252" s="65"/>
      <c r="CI252" s="65"/>
      <c r="CJ252" s="65"/>
      <c r="CK252" s="65"/>
      <c r="CL252" s="65"/>
      <c r="CM252" s="65"/>
      <c r="CN252" s="65"/>
      <c r="CO252" s="65"/>
      <c r="CP252" s="65"/>
      <c r="CQ252" s="65"/>
      <c r="CR252" s="65"/>
      <c r="CS252" s="65"/>
      <c r="CT252" s="65"/>
      <c r="CU252" s="65"/>
      <c r="CV252" s="65"/>
      <c r="CW252" s="65"/>
      <c r="CX252" s="65"/>
      <c r="CY252" s="65"/>
      <c r="CZ252" s="65"/>
      <c r="DA252" s="65"/>
      <c r="DB252" s="65"/>
      <c r="DC252" s="65"/>
      <c r="DD252" s="65"/>
      <c r="DE252" s="65"/>
      <c r="DF252" s="65"/>
      <c r="DG252" s="65"/>
      <c r="DH252" s="65"/>
      <c r="DI252" s="65"/>
      <c r="DJ252" s="65"/>
      <c r="DK252" s="65"/>
      <c r="DL252" s="65"/>
      <c r="DM252" s="65"/>
      <c r="DN252" s="65"/>
      <c r="DO252" s="65"/>
      <c r="DP252" s="65"/>
      <c r="DQ252" s="65"/>
      <c r="DR252" s="65"/>
      <c r="DS252" s="65"/>
      <c r="DT252" s="65"/>
      <c r="DU252" s="65"/>
      <c r="DV252" s="65"/>
      <c r="DW252" s="65"/>
      <c r="DX252" s="65"/>
      <c r="DY252" s="65"/>
      <c r="DZ252" s="65"/>
      <c r="EA252" s="65"/>
      <c r="EB252" s="65"/>
      <c r="EC252" s="65"/>
      <c r="ED252" s="65"/>
      <c r="EE252" s="65"/>
      <c r="EF252" s="65"/>
      <c r="EG252" s="65"/>
      <c r="EH252" s="65"/>
      <c r="EI252" s="65"/>
      <c r="EJ252" s="65"/>
      <c r="EK252" s="65"/>
      <c r="EL252" s="65"/>
      <c r="EM252" s="65"/>
      <c r="EN252" s="65"/>
    </row>
    <row r="253" spans="1:144" s="62" customFormat="1" ht="12" thickBot="1" x14ac:dyDescent="0.25">
      <c r="A253" s="74">
        <v>15</v>
      </c>
      <c r="B253" s="243" t="str">
        <f>B36</f>
        <v>TOTAL AEP TEXAS</v>
      </c>
      <c r="C253" s="238"/>
      <c r="D253" s="244">
        <f t="shared" ref="D253:P253" si="84">D251+D247</f>
        <v>19262882.106670398</v>
      </c>
      <c r="E253" s="244">
        <f t="shared" si="84"/>
        <v>39196419.748353891</v>
      </c>
      <c r="F253" s="244">
        <f t="shared" si="84"/>
        <v>56610997.312408477</v>
      </c>
      <c r="G253" s="244">
        <f t="shared" si="84"/>
        <v>42701239.725967266</v>
      </c>
      <c r="H253" s="244">
        <f t="shared" si="84"/>
        <v>21705810.283007938</v>
      </c>
      <c r="I253" s="244">
        <f t="shared" si="84"/>
        <v>4535321.4821779747</v>
      </c>
      <c r="J253" s="244">
        <f t="shared" si="84"/>
        <v>44505934.830800094</v>
      </c>
      <c r="K253" s="244">
        <f t="shared" si="84"/>
        <v>21778114.105801862</v>
      </c>
      <c r="L253" s="244">
        <f t="shared" si="84"/>
        <v>6921836.5443114033</v>
      </c>
      <c r="M253" s="244">
        <f t="shared" si="84"/>
        <v>108418047.49761121</v>
      </c>
      <c r="N253" s="244">
        <f t="shared" si="84"/>
        <v>-157040534.64961767</v>
      </c>
      <c r="O253" s="244">
        <f t="shared" si="84"/>
        <v>188683558.875</v>
      </c>
      <c r="P253" s="244">
        <f t="shared" si="84"/>
        <v>397279627.86249292</v>
      </c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  <c r="BE253" s="65"/>
      <c r="BF253" s="65"/>
      <c r="BG253" s="65"/>
      <c r="BH253" s="65"/>
      <c r="BI253" s="65"/>
      <c r="BJ253" s="65"/>
      <c r="BK253" s="65"/>
      <c r="BL253" s="65"/>
      <c r="BM253" s="65"/>
      <c r="BN253" s="65"/>
      <c r="BO253" s="65"/>
      <c r="BP253" s="65"/>
      <c r="BQ253" s="65"/>
      <c r="BR253" s="65"/>
      <c r="BS253" s="65"/>
      <c r="BT253" s="65"/>
      <c r="BU253" s="65"/>
      <c r="BV253" s="65"/>
      <c r="BW253" s="65"/>
      <c r="BX253" s="65"/>
      <c r="BY253" s="65"/>
      <c r="BZ253" s="65"/>
      <c r="CA253" s="65"/>
      <c r="CB253" s="65"/>
      <c r="CC253" s="65"/>
      <c r="CD253" s="65"/>
      <c r="CE253" s="65"/>
      <c r="CF253" s="65"/>
      <c r="CG253" s="65"/>
      <c r="CH253" s="65"/>
      <c r="CI253" s="65"/>
      <c r="CJ253" s="65"/>
      <c r="CK253" s="65"/>
      <c r="CL253" s="65"/>
      <c r="CM253" s="65"/>
      <c r="CN253" s="65"/>
      <c r="CO253" s="65"/>
      <c r="CP253" s="65"/>
      <c r="CQ253" s="65"/>
      <c r="CR253" s="65"/>
      <c r="CS253" s="65"/>
      <c r="CT253" s="65"/>
      <c r="CU253" s="65"/>
      <c r="CV253" s="65"/>
      <c r="CW253" s="65"/>
      <c r="CX253" s="65"/>
      <c r="CY253" s="65"/>
      <c r="CZ253" s="65"/>
      <c r="DA253" s="65"/>
      <c r="DB253" s="65"/>
      <c r="DC253" s="65"/>
      <c r="DD253" s="65"/>
      <c r="DE253" s="65"/>
      <c r="DF253" s="65"/>
      <c r="DG253" s="65"/>
      <c r="DH253" s="65"/>
      <c r="DI253" s="65"/>
      <c r="DJ253" s="65"/>
      <c r="DK253" s="65"/>
      <c r="DL253" s="65"/>
      <c r="DM253" s="65"/>
      <c r="DN253" s="65"/>
      <c r="DO253" s="65"/>
      <c r="DP253" s="65"/>
      <c r="DQ253" s="65"/>
      <c r="DR253" s="65"/>
      <c r="DS253" s="65"/>
      <c r="DT253" s="65"/>
      <c r="DU253" s="65"/>
      <c r="DV253" s="65"/>
      <c r="DW253" s="65"/>
      <c r="DX253" s="65"/>
      <c r="DY253" s="65"/>
      <c r="DZ253" s="65"/>
      <c r="EA253" s="65"/>
      <c r="EB253" s="65"/>
      <c r="EC253" s="65"/>
      <c r="ED253" s="65"/>
      <c r="EE253" s="65"/>
      <c r="EF253" s="65"/>
      <c r="EG253" s="65"/>
      <c r="EH253" s="65"/>
      <c r="EI253" s="65"/>
      <c r="EJ253" s="65"/>
      <c r="EK253" s="65"/>
      <c r="EL253" s="65"/>
      <c r="EM253" s="65"/>
      <c r="EN253" s="65"/>
    </row>
    <row r="254" spans="1:144" customFormat="1" ht="13.5" thickTop="1" x14ac:dyDescent="0.2"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</row>
    <row r="255" spans="1:144" customFormat="1" ht="12.75" x14ac:dyDescent="0.2"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</row>
    <row r="256" spans="1:144" customFormat="1" ht="12.75" x14ac:dyDescent="0.2"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</row>
    <row r="257" spans="1:145" ht="9.75" customHeight="1" x14ac:dyDescent="0.2">
      <c r="B257" s="388" t="str">
        <f>B7</f>
        <v>AEP TEXAS</v>
      </c>
      <c r="C257" s="388"/>
      <c r="D257" s="388"/>
      <c r="E257" s="388"/>
      <c r="F257" s="388"/>
      <c r="G257" s="388"/>
      <c r="H257" s="388"/>
      <c r="I257" s="388"/>
      <c r="J257" s="388"/>
      <c r="K257" s="388"/>
      <c r="L257" s="388"/>
      <c r="M257" s="388"/>
      <c r="N257" s="388"/>
      <c r="O257" s="388"/>
      <c r="P257" s="174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</row>
    <row r="258" spans="1:145" x14ac:dyDescent="0.2">
      <c r="B258" s="388" t="s">
        <v>70</v>
      </c>
      <c r="C258" s="388"/>
      <c r="D258" s="388"/>
      <c r="E258" s="388"/>
      <c r="F258" s="388"/>
      <c r="G258" s="388"/>
      <c r="H258" s="388"/>
      <c r="I258" s="388"/>
      <c r="J258" s="388"/>
      <c r="K258" s="388"/>
      <c r="L258" s="388"/>
      <c r="M258" s="388"/>
      <c r="N258" s="388"/>
      <c r="O258" s="388"/>
      <c r="P258" s="147" t="s">
        <v>1</v>
      </c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</row>
    <row r="259" spans="1:145" x14ac:dyDescent="0.2">
      <c r="B259" s="388" t="str">
        <f>B9</f>
        <v>FOR TEST YEAR ENDED DECEMBER 31, 2018</v>
      </c>
      <c r="C259" s="388"/>
      <c r="D259" s="388"/>
      <c r="E259" s="388"/>
      <c r="F259" s="388"/>
      <c r="G259" s="388"/>
      <c r="H259" s="388"/>
      <c r="I259" s="388"/>
      <c r="J259" s="388"/>
      <c r="K259" s="388"/>
      <c r="L259" s="388"/>
      <c r="M259" s="388"/>
      <c r="N259" s="388"/>
      <c r="O259" s="388"/>
      <c r="P259" s="146" t="s">
        <v>1</v>
      </c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</row>
    <row r="260" spans="1:145" customFormat="1" ht="12.75" x14ac:dyDescent="0.2"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</row>
    <row r="261" spans="1:145" x14ac:dyDescent="0.2">
      <c r="B261" s="175"/>
      <c r="C261" s="174"/>
      <c r="D261" s="176"/>
      <c r="E261" s="177"/>
      <c r="F261" s="177"/>
      <c r="G261" s="176"/>
      <c r="H261" s="157"/>
      <c r="I261" s="157"/>
      <c r="J261" s="157"/>
      <c r="K261" s="157"/>
      <c r="L261" s="157"/>
      <c r="M261" s="157"/>
      <c r="N261" s="157"/>
      <c r="O261" s="122"/>
      <c r="P261" s="178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</row>
    <row r="262" spans="1:145" x14ac:dyDescent="0.2">
      <c r="A262" s="38" t="s">
        <v>20</v>
      </c>
      <c r="B262" s="237" t="s">
        <v>0</v>
      </c>
      <c r="C262" s="237" t="s">
        <v>19</v>
      </c>
      <c r="D262" s="164" t="str">
        <f>+D12</f>
        <v>JANUARY</v>
      </c>
      <c r="E262" s="164" t="str">
        <f t="shared" ref="E262:O262" si="85">+E12</f>
        <v>FEBRUARY</v>
      </c>
      <c r="F262" s="164" t="str">
        <f t="shared" si="85"/>
        <v>MARCH</v>
      </c>
      <c r="G262" s="164" t="str">
        <f t="shared" si="85"/>
        <v>APRIL</v>
      </c>
      <c r="H262" s="164" t="str">
        <f t="shared" si="85"/>
        <v>MAY</v>
      </c>
      <c r="I262" s="164" t="str">
        <f t="shared" si="85"/>
        <v>JUNE</v>
      </c>
      <c r="J262" s="164" t="str">
        <f t="shared" si="85"/>
        <v>JULY</v>
      </c>
      <c r="K262" s="164" t="str">
        <f t="shared" si="85"/>
        <v>AUGUST</v>
      </c>
      <c r="L262" s="164" t="str">
        <f t="shared" si="85"/>
        <v>SEPTEMBER</v>
      </c>
      <c r="M262" s="164" t="str">
        <f t="shared" si="85"/>
        <v>OCTOBER</v>
      </c>
      <c r="N262" s="164" t="str">
        <f t="shared" si="85"/>
        <v>NOVEMBER</v>
      </c>
      <c r="O262" s="164" t="str">
        <f t="shared" si="85"/>
        <v>DECEMBER</v>
      </c>
      <c r="P262" s="179" t="s">
        <v>14</v>
      </c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</row>
    <row r="263" spans="1:145" s="62" customFormat="1" x14ac:dyDescent="0.2">
      <c r="A263" s="74"/>
      <c r="B263" s="180"/>
      <c r="C263" s="181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65"/>
    </row>
    <row r="264" spans="1:145" s="62" customFormat="1" x14ac:dyDescent="0.2">
      <c r="A264" s="74" t="s">
        <v>21</v>
      </c>
      <c r="B264" s="129" t="s">
        <v>29</v>
      </c>
      <c r="C264" s="143" t="s">
        <v>16</v>
      </c>
      <c r="D264" s="122">
        <f t="shared" ref="D264:O264" si="86">D106*$R$162</f>
        <v>0</v>
      </c>
      <c r="E264" s="122">
        <f t="shared" si="86"/>
        <v>0</v>
      </c>
      <c r="F264" s="122">
        <f t="shared" si="86"/>
        <v>0</v>
      </c>
      <c r="G264" s="122">
        <f t="shared" si="86"/>
        <v>0</v>
      </c>
      <c r="H264" s="122">
        <f t="shared" si="86"/>
        <v>0</v>
      </c>
      <c r="I264" s="122">
        <f t="shared" si="86"/>
        <v>0</v>
      </c>
      <c r="J264" s="122">
        <f t="shared" si="86"/>
        <v>0</v>
      </c>
      <c r="K264" s="122">
        <f t="shared" si="86"/>
        <v>0</v>
      </c>
      <c r="L264" s="122">
        <f t="shared" si="86"/>
        <v>0</v>
      </c>
      <c r="M264" s="122">
        <f t="shared" si="86"/>
        <v>0</v>
      </c>
      <c r="N264" s="122">
        <f t="shared" si="86"/>
        <v>0</v>
      </c>
      <c r="O264" s="122">
        <f t="shared" si="86"/>
        <v>0</v>
      </c>
      <c r="P264" s="127">
        <f>SUM(D264:O264)</f>
        <v>0</v>
      </c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  <c r="BM264" s="65"/>
      <c r="BN264" s="65"/>
      <c r="BO264" s="65"/>
      <c r="BP264" s="65"/>
      <c r="BQ264" s="65"/>
      <c r="BR264" s="65"/>
      <c r="BS264" s="65"/>
      <c r="BT264" s="65"/>
      <c r="BU264" s="65"/>
      <c r="BV264" s="65"/>
      <c r="BW264" s="65"/>
      <c r="BX264" s="65"/>
      <c r="BY264" s="65"/>
      <c r="BZ264" s="65"/>
      <c r="CA264" s="65"/>
      <c r="CB264" s="65"/>
      <c r="CC264" s="65"/>
      <c r="CD264" s="65"/>
      <c r="CE264" s="65"/>
      <c r="CF264" s="65"/>
      <c r="CG264" s="65"/>
      <c r="CH264" s="65"/>
      <c r="CI264" s="65"/>
      <c r="CJ264" s="65"/>
      <c r="CK264" s="65"/>
      <c r="CL264" s="65"/>
      <c r="CM264" s="65"/>
      <c r="CN264" s="65"/>
      <c r="CO264" s="65"/>
      <c r="CP264" s="65"/>
      <c r="CQ264" s="65"/>
      <c r="CR264" s="65"/>
      <c r="CS264" s="65"/>
      <c r="CT264" s="65"/>
      <c r="CU264" s="65"/>
      <c r="CV264" s="65"/>
      <c r="CW264" s="65"/>
      <c r="CX264" s="65"/>
      <c r="CY264" s="65"/>
      <c r="CZ264" s="65"/>
      <c r="DA264" s="65"/>
      <c r="DB264" s="65"/>
      <c r="DC264" s="65"/>
      <c r="DD264" s="65"/>
      <c r="DE264" s="65"/>
      <c r="DF264" s="65"/>
      <c r="DG264" s="65"/>
      <c r="DH264" s="65"/>
      <c r="DI264" s="65"/>
      <c r="DJ264" s="65"/>
      <c r="DK264" s="65"/>
      <c r="DL264" s="65"/>
      <c r="DM264" s="65"/>
      <c r="DN264" s="65"/>
      <c r="DO264" s="65"/>
      <c r="DP264" s="65"/>
      <c r="DQ264" s="65"/>
      <c r="DR264" s="65"/>
      <c r="DS264" s="65"/>
      <c r="DT264" s="65"/>
      <c r="DU264" s="65"/>
      <c r="DV264" s="65"/>
      <c r="DW264" s="65"/>
      <c r="DX264" s="65"/>
      <c r="DY264" s="65"/>
      <c r="DZ264" s="65"/>
      <c r="EA264" s="65"/>
      <c r="EB264" s="65"/>
      <c r="EC264" s="65"/>
      <c r="ED264" s="65"/>
      <c r="EE264" s="65"/>
      <c r="EF264" s="65"/>
      <c r="EG264" s="65"/>
      <c r="EH264" s="65"/>
      <c r="EI264" s="65"/>
      <c r="EJ264" s="65"/>
      <c r="EK264" s="65"/>
      <c r="EL264" s="65"/>
      <c r="EM264" s="65"/>
      <c r="EN264" s="65"/>
    </row>
    <row r="265" spans="1:145" s="62" customFormat="1" x14ac:dyDescent="0.2">
      <c r="B265" s="129"/>
      <c r="C265" s="143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7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65"/>
      <c r="BU265" s="65"/>
      <c r="BV265" s="65"/>
      <c r="BW265" s="65"/>
      <c r="BX265" s="65"/>
      <c r="BY265" s="65"/>
      <c r="BZ265" s="65"/>
      <c r="CA265" s="65"/>
      <c r="CB265" s="65"/>
      <c r="CC265" s="65"/>
      <c r="CD265" s="65"/>
      <c r="CE265" s="65"/>
      <c r="CF265" s="65"/>
      <c r="CG265" s="65"/>
      <c r="CH265" s="65"/>
      <c r="CI265" s="65"/>
      <c r="CJ265" s="65"/>
      <c r="CK265" s="65"/>
      <c r="CL265" s="65"/>
      <c r="CM265" s="65"/>
      <c r="CN265" s="65"/>
      <c r="CO265" s="65"/>
      <c r="CP265" s="65"/>
      <c r="CQ265" s="65"/>
      <c r="CR265" s="65"/>
      <c r="CS265" s="65"/>
      <c r="CT265" s="65"/>
      <c r="CU265" s="65"/>
      <c r="CV265" s="65"/>
      <c r="CW265" s="65"/>
      <c r="CX265" s="65"/>
      <c r="CY265" s="65"/>
      <c r="CZ265" s="65"/>
      <c r="DA265" s="65"/>
      <c r="DB265" s="65"/>
      <c r="DC265" s="65"/>
      <c r="DD265" s="65"/>
      <c r="DE265" s="65"/>
      <c r="DF265" s="65"/>
      <c r="DG265" s="65"/>
      <c r="DH265" s="65"/>
      <c r="DI265" s="65"/>
      <c r="DJ265" s="65"/>
      <c r="DK265" s="65"/>
      <c r="DL265" s="65"/>
      <c r="DM265" s="65"/>
      <c r="DN265" s="65"/>
      <c r="DO265" s="65"/>
      <c r="DP265" s="65"/>
      <c r="DQ265" s="65"/>
      <c r="DR265" s="65"/>
      <c r="DS265" s="65"/>
      <c r="DT265" s="65"/>
      <c r="DU265" s="65"/>
      <c r="DV265" s="65"/>
      <c r="DW265" s="65"/>
      <c r="DX265" s="65"/>
      <c r="DY265" s="65"/>
      <c r="DZ265" s="65"/>
      <c r="EA265" s="65"/>
      <c r="EB265" s="65"/>
      <c r="EC265" s="65"/>
      <c r="ED265" s="65"/>
      <c r="EE265" s="65"/>
      <c r="EF265" s="65"/>
      <c r="EG265" s="65"/>
      <c r="EH265" s="65"/>
      <c r="EI265" s="65"/>
      <c r="EJ265" s="65"/>
      <c r="EK265" s="65"/>
      <c r="EL265" s="65"/>
      <c r="EM265" s="65"/>
      <c r="EN265" s="65"/>
    </row>
    <row r="266" spans="1:145" s="62" customFormat="1" x14ac:dyDescent="0.2">
      <c r="A266" s="74">
        <v>2</v>
      </c>
      <c r="B266" s="129" t="s">
        <v>32</v>
      </c>
      <c r="C266" s="143" t="s">
        <v>16</v>
      </c>
      <c r="D266" s="122">
        <f t="shared" ref="D266:O266" si="87">D108*$R$162</f>
        <v>0</v>
      </c>
      <c r="E266" s="122">
        <f t="shared" si="87"/>
        <v>0</v>
      </c>
      <c r="F266" s="122">
        <f t="shared" si="87"/>
        <v>0</v>
      </c>
      <c r="G266" s="122">
        <f t="shared" si="87"/>
        <v>0</v>
      </c>
      <c r="H266" s="122">
        <f t="shared" si="87"/>
        <v>0</v>
      </c>
      <c r="I266" s="122">
        <f t="shared" si="87"/>
        <v>0</v>
      </c>
      <c r="J266" s="122">
        <f t="shared" si="87"/>
        <v>0</v>
      </c>
      <c r="K266" s="122">
        <f t="shared" si="87"/>
        <v>0</v>
      </c>
      <c r="L266" s="122">
        <f t="shared" si="87"/>
        <v>0</v>
      </c>
      <c r="M266" s="122">
        <f t="shared" si="87"/>
        <v>0</v>
      </c>
      <c r="N266" s="122">
        <f t="shared" si="87"/>
        <v>0</v>
      </c>
      <c r="O266" s="122">
        <f t="shared" si="87"/>
        <v>0</v>
      </c>
      <c r="P266" s="127">
        <f>SUM(D266:O266)</f>
        <v>0</v>
      </c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  <c r="BM266" s="65"/>
      <c r="BN266" s="65"/>
      <c r="BO266" s="65"/>
      <c r="BP266" s="65"/>
      <c r="BQ266" s="65"/>
      <c r="BR266" s="65"/>
      <c r="BS266" s="65"/>
      <c r="BT266" s="65"/>
      <c r="BU266" s="65"/>
      <c r="BV266" s="65"/>
      <c r="BW266" s="65"/>
      <c r="BX266" s="65"/>
      <c r="BY266" s="65"/>
      <c r="BZ266" s="65"/>
      <c r="CA266" s="65"/>
      <c r="CB266" s="65"/>
      <c r="CC266" s="65"/>
      <c r="CD266" s="65"/>
      <c r="CE266" s="65"/>
      <c r="CF266" s="65"/>
      <c r="CG266" s="65"/>
      <c r="CH266" s="65"/>
      <c r="CI266" s="65"/>
      <c r="CJ266" s="65"/>
      <c r="CK266" s="65"/>
      <c r="CL266" s="65"/>
      <c r="CM266" s="65"/>
      <c r="CN266" s="65"/>
      <c r="CO266" s="65"/>
      <c r="CP266" s="65"/>
      <c r="CQ266" s="65"/>
      <c r="CR266" s="65"/>
      <c r="CS266" s="65"/>
      <c r="CT266" s="65"/>
      <c r="CU266" s="65"/>
      <c r="CV266" s="65"/>
      <c r="CW266" s="65"/>
      <c r="CX266" s="65"/>
      <c r="CY266" s="65"/>
      <c r="CZ266" s="65"/>
      <c r="DA266" s="65"/>
      <c r="DB266" s="65"/>
      <c r="DC266" s="65"/>
      <c r="DD266" s="65"/>
      <c r="DE266" s="65"/>
      <c r="DF266" s="65"/>
      <c r="DG266" s="65"/>
      <c r="DH266" s="65"/>
      <c r="DI266" s="65"/>
      <c r="DJ266" s="65"/>
      <c r="DK266" s="65"/>
      <c r="DL266" s="65"/>
      <c r="DM266" s="65"/>
      <c r="DN266" s="65"/>
      <c r="DO266" s="65"/>
      <c r="DP266" s="65"/>
      <c r="DQ266" s="65"/>
      <c r="DR266" s="65"/>
      <c r="DS266" s="65"/>
      <c r="DT266" s="65"/>
      <c r="DU266" s="65"/>
      <c r="DV266" s="65"/>
      <c r="DW266" s="65"/>
      <c r="DX266" s="65"/>
      <c r="DY266" s="65"/>
      <c r="DZ266" s="65"/>
      <c r="EA266" s="65"/>
      <c r="EB266" s="65"/>
      <c r="EC266" s="65"/>
      <c r="ED266" s="65"/>
      <c r="EE266" s="65"/>
      <c r="EF266" s="65"/>
      <c r="EG266" s="65"/>
      <c r="EH266" s="65"/>
      <c r="EI266" s="65"/>
      <c r="EJ266" s="65"/>
      <c r="EK266" s="65"/>
      <c r="EL266" s="65"/>
      <c r="EM266" s="65"/>
      <c r="EN266" s="65"/>
    </row>
    <row r="267" spans="1:145" s="62" customFormat="1" x14ac:dyDescent="0.2">
      <c r="A267" s="74"/>
      <c r="B267" s="129"/>
      <c r="C267" s="143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7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  <c r="BE267" s="65"/>
      <c r="BF267" s="65"/>
      <c r="BG267" s="65"/>
      <c r="BH267" s="65"/>
      <c r="BI267" s="65"/>
      <c r="BJ267" s="65"/>
      <c r="BK267" s="65"/>
      <c r="BL267" s="65"/>
      <c r="BM267" s="65"/>
      <c r="BN267" s="65"/>
      <c r="BO267" s="65"/>
      <c r="BP267" s="65"/>
      <c r="BQ267" s="65"/>
      <c r="BR267" s="65"/>
      <c r="BS267" s="65"/>
      <c r="BT267" s="65"/>
      <c r="BU267" s="65"/>
      <c r="BV267" s="65"/>
      <c r="BW267" s="65"/>
      <c r="BX267" s="65"/>
      <c r="BY267" s="65"/>
      <c r="BZ267" s="65"/>
      <c r="CA267" s="65"/>
      <c r="CB267" s="65"/>
      <c r="CC267" s="65"/>
      <c r="CD267" s="65"/>
      <c r="CE267" s="65"/>
      <c r="CF267" s="65"/>
      <c r="CG267" s="65"/>
      <c r="CH267" s="65"/>
      <c r="CI267" s="65"/>
      <c r="CJ267" s="65"/>
      <c r="CK267" s="65"/>
      <c r="CL267" s="65"/>
      <c r="CM267" s="65"/>
      <c r="CN267" s="65"/>
      <c r="CO267" s="65"/>
      <c r="CP267" s="65"/>
      <c r="CQ267" s="65"/>
      <c r="CR267" s="65"/>
      <c r="CS267" s="65"/>
      <c r="CT267" s="65"/>
      <c r="CU267" s="65"/>
      <c r="CV267" s="65"/>
      <c r="CW267" s="65"/>
      <c r="CX267" s="65"/>
      <c r="CY267" s="65"/>
      <c r="CZ267" s="65"/>
      <c r="DA267" s="65"/>
      <c r="DB267" s="65"/>
      <c r="DC267" s="65"/>
      <c r="DD267" s="65"/>
      <c r="DE267" s="65"/>
      <c r="DF267" s="65"/>
      <c r="DG267" s="65"/>
      <c r="DH267" s="65"/>
      <c r="DI267" s="65"/>
      <c r="DJ267" s="65"/>
      <c r="DK267" s="65"/>
      <c r="DL267" s="65"/>
      <c r="DM267" s="65"/>
      <c r="DN267" s="65"/>
      <c r="DO267" s="65"/>
      <c r="DP267" s="65"/>
      <c r="DQ267" s="65"/>
      <c r="DR267" s="65"/>
      <c r="DS267" s="65"/>
      <c r="DT267" s="65"/>
      <c r="DU267" s="65"/>
      <c r="DV267" s="65"/>
      <c r="DW267" s="65"/>
      <c r="DX267" s="65"/>
      <c r="DY267" s="65"/>
      <c r="DZ267" s="65"/>
      <c r="EA267" s="65"/>
      <c r="EB267" s="65"/>
      <c r="EC267" s="65"/>
      <c r="ED267" s="65"/>
      <c r="EE267" s="65"/>
      <c r="EF267" s="65"/>
      <c r="EG267" s="65"/>
      <c r="EH267" s="65"/>
      <c r="EI267" s="65"/>
      <c r="EJ267" s="65"/>
      <c r="EK267" s="65"/>
      <c r="EL267" s="65"/>
      <c r="EM267" s="65"/>
      <c r="EN267" s="65"/>
    </row>
    <row r="268" spans="1:145" s="62" customFormat="1" x14ac:dyDescent="0.2">
      <c r="A268" s="74">
        <v>3</v>
      </c>
      <c r="B268" s="146" t="s">
        <v>113</v>
      </c>
      <c r="C268" s="125" t="s">
        <v>16</v>
      </c>
      <c r="D268" s="122">
        <f t="shared" ref="D268:O268" si="88">D110*$R$162</f>
        <v>0</v>
      </c>
      <c r="E268" s="122">
        <f t="shared" si="88"/>
        <v>0</v>
      </c>
      <c r="F268" s="122">
        <f t="shared" si="88"/>
        <v>0</v>
      </c>
      <c r="G268" s="122">
        <f t="shared" si="88"/>
        <v>0</v>
      </c>
      <c r="H268" s="122">
        <f t="shared" si="88"/>
        <v>0</v>
      </c>
      <c r="I268" s="122">
        <f t="shared" si="88"/>
        <v>0</v>
      </c>
      <c r="J268" s="122">
        <f t="shared" si="88"/>
        <v>0</v>
      </c>
      <c r="K268" s="122">
        <f t="shared" si="88"/>
        <v>0</v>
      </c>
      <c r="L268" s="122">
        <f t="shared" si="88"/>
        <v>0</v>
      </c>
      <c r="M268" s="122">
        <f t="shared" si="88"/>
        <v>0</v>
      </c>
      <c r="N268" s="122">
        <f t="shared" si="88"/>
        <v>0</v>
      </c>
      <c r="O268" s="122">
        <f t="shared" si="88"/>
        <v>0</v>
      </c>
      <c r="P268" s="127">
        <f>SUM(D268:O268)</f>
        <v>0</v>
      </c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/>
      <c r="BJ268" s="65"/>
      <c r="BK268" s="65"/>
      <c r="BL268" s="65"/>
      <c r="BM268" s="65"/>
      <c r="BN268" s="65"/>
      <c r="BO268" s="65"/>
      <c r="BP268" s="65"/>
      <c r="BQ268" s="65"/>
      <c r="BR268" s="65"/>
      <c r="BS268" s="65"/>
      <c r="BT268" s="65"/>
      <c r="BU268" s="65"/>
      <c r="BV268" s="65"/>
      <c r="BW268" s="65"/>
      <c r="BX268" s="65"/>
      <c r="BY268" s="65"/>
      <c r="BZ268" s="65"/>
      <c r="CA268" s="65"/>
      <c r="CB268" s="65"/>
      <c r="CC268" s="65"/>
      <c r="CD268" s="65"/>
      <c r="CE268" s="65"/>
      <c r="CF268" s="65"/>
      <c r="CG268" s="65"/>
      <c r="CH268" s="65"/>
      <c r="CI268" s="65"/>
      <c r="CJ268" s="65"/>
      <c r="CK268" s="65"/>
      <c r="CL268" s="65"/>
      <c r="CM268" s="65"/>
      <c r="CN268" s="65"/>
      <c r="CO268" s="65"/>
      <c r="CP268" s="65"/>
      <c r="CQ268" s="65"/>
      <c r="CR268" s="65"/>
      <c r="CS268" s="65"/>
      <c r="CT268" s="65"/>
      <c r="CU268" s="65"/>
      <c r="CV268" s="65"/>
      <c r="CW268" s="65"/>
      <c r="CX268" s="65"/>
      <c r="CY268" s="65"/>
      <c r="CZ268" s="65"/>
      <c r="DA268" s="65"/>
      <c r="DB268" s="65"/>
      <c r="DC268" s="65"/>
      <c r="DD268" s="65"/>
      <c r="DE268" s="65"/>
      <c r="DF268" s="65"/>
      <c r="DG268" s="65"/>
      <c r="DH268" s="65"/>
      <c r="DI268" s="65"/>
      <c r="DJ268" s="65"/>
      <c r="DK268" s="65"/>
      <c r="DL268" s="65"/>
      <c r="DM268" s="65"/>
      <c r="DN268" s="65"/>
      <c r="DO268" s="65"/>
      <c r="DP268" s="65"/>
      <c r="DQ268" s="65"/>
      <c r="DR268" s="65"/>
      <c r="DS268" s="65"/>
      <c r="DT268" s="65"/>
      <c r="DU268" s="65"/>
      <c r="DV268" s="65"/>
      <c r="DW268" s="65"/>
      <c r="DX268" s="65"/>
      <c r="DY268" s="65"/>
      <c r="DZ268" s="65"/>
      <c r="EA268" s="65"/>
      <c r="EB268" s="65"/>
      <c r="EC268" s="65"/>
      <c r="ED268" s="65"/>
      <c r="EE268" s="65"/>
      <c r="EF268" s="65"/>
      <c r="EG268" s="65"/>
      <c r="EH268" s="65"/>
      <c r="EI268" s="65"/>
      <c r="EJ268" s="65"/>
      <c r="EK268" s="65"/>
      <c r="EL268" s="65"/>
      <c r="EM268" s="65"/>
      <c r="EN268" s="65"/>
    </row>
    <row r="269" spans="1:145" s="62" customFormat="1" x14ac:dyDescent="0.2">
      <c r="A269" s="74">
        <v>4</v>
      </c>
      <c r="B269" s="146" t="s">
        <v>114</v>
      </c>
      <c r="C269" s="125" t="s">
        <v>16</v>
      </c>
      <c r="D269" s="123"/>
      <c r="E269" s="123">
        <f t="shared" ref="E269:O269" si="89">E111*$R$162</f>
        <v>0</v>
      </c>
      <c r="F269" s="123">
        <f t="shared" si="89"/>
        <v>0</v>
      </c>
      <c r="G269" s="123">
        <f t="shared" si="89"/>
        <v>0</v>
      </c>
      <c r="H269" s="123">
        <f t="shared" si="89"/>
        <v>0</v>
      </c>
      <c r="I269" s="123">
        <f t="shared" si="89"/>
        <v>0</v>
      </c>
      <c r="J269" s="123">
        <f t="shared" si="89"/>
        <v>0</v>
      </c>
      <c r="K269" s="123">
        <f t="shared" si="89"/>
        <v>0</v>
      </c>
      <c r="L269" s="123">
        <f t="shared" si="89"/>
        <v>0</v>
      </c>
      <c r="M269" s="123">
        <f t="shared" si="89"/>
        <v>0</v>
      </c>
      <c r="N269" s="123">
        <f t="shared" si="89"/>
        <v>0</v>
      </c>
      <c r="O269" s="123">
        <f t="shared" si="89"/>
        <v>0</v>
      </c>
      <c r="P269" s="167">
        <f>SUM(D269:O269)</f>
        <v>0</v>
      </c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  <c r="BE269" s="65"/>
      <c r="BF269" s="65"/>
      <c r="BG269" s="65"/>
      <c r="BH269" s="65"/>
      <c r="BI269" s="65"/>
      <c r="BJ269" s="65"/>
      <c r="BK269" s="65"/>
      <c r="BL269" s="65"/>
      <c r="BM269" s="65"/>
      <c r="BN269" s="65"/>
      <c r="BO269" s="65"/>
      <c r="BP269" s="65"/>
      <c r="BQ269" s="65"/>
      <c r="BR269" s="65"/>
      <c r="BS269" s="65"/>
      <c r="BT269" s="65"/>
      <c r="BU269" s="65"/>
      <c r="BV269" s="65"/>
      <c r="BW269" s="65"/>
      <c r="BX269" s="65"/>
      <c r="BY269" s="65"/>
      <c r="BZ269" s="65"/>
      <c r="CA269" s="65"/>
      <c r="CB269" s="65"/>
      <c r="CC269" s="65"/>
      <c r="CD269" s="65"/>
      <c r="CE269" s="65"/>
      <c r="CF269" s="65"/>
      <c r="CG269" s="65"/>
      <c r="CH269" s="65"/>
      <c r="CI269" s="65"/>
      <c r="CJ269" s="65"/>
      <c r="CK269" s="65"/>
      <c r="CL269" s="65"/>
      <c r="CM269" s="65"/>
      <c r="CN269" s="65"/>
      <c r="CO269" s="65"/>
      <c r="CP269" s="65"/>
      <c r="CQ269" s="65"/>
      <c r="CR269" s="65"/>
      <c r="CS269" s="65"/>
      <c r="CT269" s="65"/>
      <c r="CU269" s="65"/>
      <c r="CV269" s="65"/>
      <c r="CW269" s="65"/>
      <c r="CX269" s="65"/>
      <c r="CY269" s="65"/>
      <c r="CZ269" s="65"/>
      <c r="DA269" s="65"/>
      <c r="DB269" s="65"/>
      <c r="DC269" s="65"/>
      <c r="DD269" s="65"/>
      <c r="DE269" s="65"/>
      <c r="DF269" s="65"/>
      <c r="DG269" s="65"/>
      <c r="DH269" s="65"/>
      <c r="DI269" s="65"/>
      <c r="DJ269" s="65"/>
      <c r="DK269" s="65"/>
      <c r="DL269" s="65"/>
      <c r="DM269" s="65"/>
      <c r="DN269" s="65"/>
      <c r="DO269" s="65"/>
      <c r="DP269" s="65"/>
      <c r="DQ269" s="65"/>
      <c r="DR269" s="65"/>
      <c r="DS269" s="65"/>
      <c r="DT269" s="65"/>
      <c r="DU269" s="65"/>
      <c r="DV269" s="65"/>
      <c r="DW269" s="65"/>
      <c r="DX269" s="65"/>
      <c r="DY269" s="65"/>
      <c r="DZ269" s="65"/>
      <c r="EA269" s="65"/>
      <c r="EB269" s="65"/>
      <c r="EC269" s="65"/>
      <c r="ED269" s="65"/>
      <c r="EE269" s="65"/>
      <c r="EF269" s="65"/>
      <c r="EG269" s="65"/>
      <c r="EH269" s="65"/>
      <c r="EI269" s="65"/>
      <c r="EJ269" s="65"/>
      <c r="EK269" s="65"/>
      <c r="EL269" s="65"/>
      <c r="EM269" s="65"/>
      <c r="EN269" s="65"/>
    </row>
    <row r="270" spans="1:145" s="62" customFormat="1" x14ac:dyDescent="0.2">
      <c r="A270" s="74">
        <v>5</v>
      </c>
      <c r="B270" s="162" t="s">
        <v>30</v>
      </c>
      <c r="C270" s="143"/>
      <c r="D270" s="157">
        <f t="shared" ref="D270:P270" si="90">SUM(D268:D269)</f>
        <v>0</v>
      </c>
      <c r="E270" s="157">
        <f t="shared" si="90"/>
        <v>0</v>
      </c>
      <c r="F270" s="157">
        <f t="shared" si="90"/>
        <v>0</v>
      </c>
      <c r="G270" s="157">
        <f t="shared" si="90"/>
        <v>0</v>
      </c>
      <c r="H270" s="157">
        <f t="shared" si="90"/>
        <v>0</v>
      </c>
      <c r="I270" s="157">
        <f t="shared" si="90"/>
        <v>0</v>
      </c>
      <c r="J270" s="157">
        <f t="shared" si="90"/>
        <v>0</v>
      </c>
      <c r="K270" s="157">
        <f t="shared" si="90"/>
        <v>0</v>
      </c>
      <c r="L270" s="157">
        <f t="shared" si="90"/>
        <v>0</v>
      </c>
      <c r="M270" s="157">
        <f t="shared" si="90"/>
        <v>0</v>
      </c>
      <c r="N270" s="157">
        <f t="shared" si="90"/>
        <v>0</v>
      </c>
      <c r="O270" s="157">
        <f t="shared" si="90"/>
        <v>0</v>
      </c>
      <c r="P270" s="157">
        <f t="shared" si="90"/>
        <v>0</v>
      </c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65"/>
      <c r="BI270" s="65"/>
      <c r="BJ270" s="65"/>
      <c r="BK270" s="65"/>
      <c r="BL270" s="65"/>
      <c r="BM270" s="65"/>
      <c r="BN270" s="65"/>
      <c r="BO270" s="65"/>
      <c r="BP270" s="65"/>
      <c r="BQ270" s="65"/>
      <c r="BR270" s="65"/>
      <c r="BS270" s="65"/>
      <c r="BT270" s="65"/>
      <c r="BU270" s="65"/>
      <c r="BV270" s="65"/>
      <c r="BW270" s="65"/>
      <c r="BX270" s="65"/>
      <c r="BY270" s="65"/>
      <c r="BZ270" s="65"/>
      <c r="CA270" s="65"/>
      <c r="CB270" s="65"/>
      <c r="CC270" s="65"/>
      <c r="CD270" s="65"/>
      <c r="CE270" s="65"/>
      <c r="CF270" s="65"/>
      <c r="CG270" s="65"/>
      <c r="CH270" s="65"/>
      <c r="CI270" s="65"/>
      <c r="CJ270" s="65"/>
      <c r="CK270" s="65"/>
      <c r="CL270" s="65"/>
      <c r="CM270" s="65"/>
      <c r="CN270" s="65"/>
      <c r="CO270" s="65"/>
      <c r="CP270" s="65"/>
      <c r="CQ270" s="65"/>
      <c r="CR270" s="65"/>
      <c r="CS270" s="65"/>
      <c r="CT270" s="65"/>
      <c r="CU270" s="65"/>
      <c r="CV270" s="65"/>
      <c r="CW270" s="65"/>
      <c r="CX270" s="65"/>
      <c r="CY270" s="65"/>
      <c r="CZ270" s="65"/>
      <c r="DA270" s="65"/>
      <c r="DB270" s="65"/>
      <c r="DC270" s="65"/>
      <c r="DD270" s="65"/>
      <c r="DE270" s="65"/>
      <c r="DF270" s="65"/>
      <c r="DG270" s="65"/>
      <c r="DH270" s="65"/>
      <c r="DI270" s="65"/>
      <c r="DJ270" s="65"/>
      <c r="DK270" s="65"/>
      <c r="DL270" s="65"/>
      <c r="DM270" s="65"/>
      <c r="DN270" s="65"/>
      <c r="DO270" s="65"/>
      <c r="DP270" s="65"/>
      <c r="DQ270" s="65"/>
      <c r="DR270" s="65"/>
      <c r="DS270" s="65"/>
      <c r="DT270" s="65"/>
      <c r="DU270" s="65"/>
      <c r="DV270" s="65"/>
      <c r="DW270" s="65"/>
      <c r="DX270" s="65"/>
      <c r="DY270" s="65"/>
      <c r="DZ270" s="65"/>
      <c r="EA270" s="65"/>
      <c r="EB270" s="65"/>
      <c r="EC270" s="65"/>
      <c r="ED270" s="65"/>
      <c r="EE270" s="65"/>
      <c r="EF270" s="65"/>
      <c r="EG270" s="65"/>
      <c r="EH270" s="65"/>
      <c r="EI270" s="65"/>
      <c r="EJ270" s="65"/>
      <c r="EK270" s="65"/>
      <c r="EL270" s="65"/>
      <c r="EM270" s="65"/>
      <c r="EN270" s="65"/>
    </row>
    <row r="271" spans="1:145" s="62" customFormat="1" x14ac:dyDescent="0.2">
      <c r="B271" s="242"/>
      <c r="C271" s="143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22"/>
      <c r="O271" s="122"/>
      <c r="P271" s="127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  <c r="BE271" s="65"/>
      <c r="BF271" s="65"/>
      <c r="BG271" s="65"/>
      <c r="BH271" s="65"/>
      <c r="BI271" s="65"/>
      <c r="BJ271" s="65"/>
      <c r="BK271" s="65"/>
      <c r="BL271" s="65"/>
      <c r="BM271" s="65"/>
      <c r="BN271" s="65"/>
      <c r="BO271" s="65"/>
      <c r="BP271" s="65"/>
      <c r="BQ271" s="65"/>
      <c r="BR271" s="65"/>
      <c r="BS271" s="65"/>
      <c r="BT271" s="65"/>
      <c r="BU271" s="65"/>
      <c r="BV271" s="65"/>
      <c r="BW271" s="65"/>
      <c r="BX271" s="65"/>
      <c r="BY271" s="65"/>
      <c r="BZ271" s="65"/>
      <c r="CA271" s="65"/>
      <c r="CB271" s="65"/>
      <c r="CC271" s="65"/>
      <c r="CD271" s="65"/>
      <c r="CE271" s="65"/>
      <c r="CF271" s="65"/>
      <c r="CG271" s="65"/>
      <c r="CH271" s="65"/>
      <c r="CI271" s="65"/>
      <c r="CJ271" s="65"/>
      <c r="CK271" s="65"/>
      <c r="CL271" s="65"/>
      <c r="CM271" s="65"/>
      <c r="CN271" s="65"/>
      <c r="CO271" s="65"/>
      <c r="CP271" s="65"/>
      <c r="CQ271" s="65"/>
      <c r="CR271" s="65"/>
      <c r="CS271" s="65"/>
      <c r="CT271" s="65"/>
      <c r="CU271" s="65"/>
      <c r="CV271" s="65"/>
      <c r="CW271" s="65"/>
      <c r="CX271" s="65"/>
      <c r="CY271" s="65"/>
      <c r="CZ271" s="65"/>
      <c r="DA271" s="65"/>
      <c r="DB271" s="65"/>
      <c r="DC271" s="65"/>
      <c r="DD271" s="65"/>
      <c r="DE271" s="65"/>
      <c r="DF271" s="65"/>
      <c r="DG271" s="65"/>
      <c r="DH271" s="65"/>
      <c r="DI271" s="65"/>
      <c r="DJ271" s="65"/>
      <c r="DK271" s="65"/>
      <c r="DL271" s="65"/>
      <c r="DM271" s="65"/>
      <c r="DN271" s="65"/>
      <c r="DO271" s="65"/>
      <c r="DP271" s="65"/>
      <c r="DQ271" s="65"/>
      <c r="DR271" s="65"/>
      <c r="DS271" s="65"/>
      <c r="DT271" s="65"/>
      <c r="DU271" s="65"/>
      <c r="DV271" s="65"/>
      <c r="DW271" s="65"/>
      <c r="DX271" s="65"/>
      <c r="DY271" s="65"/>
      <c r="DZ271" s="65"/>
      <c r="EA271" s="65"/>
      <c r="EB271" s="65"/>
      <c r="EC271" s="65"/>
      <c r="ED271" s="65"/>
      <c r="EE271" s="65"/>
      <c r="EF271" s="65"/>
      <c r="EG271" s="65"/>
      <c r="EH271" s="65"/>
      <c r="EI271" s="65"/>
      <c r="EJ271" s="65"/>
      <c r="EK271" s="65"/>
      <c r="EL271" s="65"/>
      <c r="EM271" s="65"/>
      <c r="EN271" s="65"/>
    </row>
    <row r="272" spans="1:145" s="62" customFormat="1" x14ac:dyDescent="0.2">
      <c r="A272" s="74">
        <v>6</v>
      </c>
      <c r="B272" s="146" t="s">
        <v>110</v>
      </c>
      <c r="C272" s="125" t="s">
        <v>17</v>
      </c>
      <c r="D272" s="122">
        <f t="shared" ref="D272:O272" si="91">D114*$R$163</f>
        <v>0</v>
      </c>
      <c r="E272" s="122">
        <f t="shared" si="91"/>
        <v>0</v>
      </c>
      <c r="F272" s="122">
        <f t="shared" si="91"/>
        <v>0</v>
      </c>
      <c r="G272" s="122">
        <f t="shared" si="91"/>
        <v>0</v>
      </c>
      <c r="H272" s="122">
        <f t="shared" si="91"/>
        <v>0</v>
      </c>
      <c r="I272" s="122">
        <f t="shared" si="91"/>
        <v>0</v>
      </c>
      <c r="J272" s="122">
        <f t="shared" si="91"/>
        <v>0</v>
      </c>
      <c r="K272" s="122">
        <f t="shared" si="91"/>
        <v>0</v>
      </c>
      <c r="L272" s="122">
        <f t="shared" si="91"/>
        <v>0</v>
      </c>
      <c r="M272" s="122">
        <f t="shared" si="91"/>
        <v>0</v>
      </c>
      <c r="N272" s="122">
        <f t="shared" si="91"/>
        <v>0</v>
      </c>
      <c r="O272" s="122">
        <f t="shared" si="91"/>
        <v>0</v>
      </c>
      <c r="P272" s="127">
        <f>SUM(D272:O272)</f>
        <v>0</v>
      </c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  <c r="BE272" s="65"/>
      <c r="BF272" s="65"/>
      <c r="BG272" s="65"/>
      <c r="BH272" s="65"/>
      <c r="BI272" s="65"/>
      <c r="BJ272" s="65"/>
      <c r="BK272" s="65"/>
      <c r="BL272" s="65"/>
      <c r="BM272" s="65"/>
      <c r="BN272" s="65"/>
      <c r="BO272" s="65"/>
      <c r="BP272" s="65"/>
      <c r="BQ272" s="65"/>
      <c r="BR272" s="65"/>
      <c r="BS272" s="65"/>
      <c r="BT272" s="65"/>
      <c r="BU272" s="65"/>
      <c r="BV272" s="65"/>
      <c r="BW272" s="65"/>
      <c r="BX272" s="65"/>
      <c r="BY272" s="65"/>
      <c r="BZ272" s="65"/>
      <c r="CA272" s="65"/>
      <c r="CB272" s="65"/>
      <c r="CC272" s="65"/>
      <c r="CD272" s="65"/>
      <c r="CE272" s="65"/>
      <c r="CF272" s="65"/>
      <c r="CG272" s="65"/>
      <c r="CH272" s="65"/>
      <c r="CI272" s="65"/>
      <c r="CJ272" s="65"/>
      <c r="CK272" s="65"/>
      <c r="CL272" s="65"/>
      <c r="CM272" s="65"/>
      <c r="CN272" s="65"/>
      <c r="CO272" s="65"/>
      <c r="CP272" s="65"/>
      <c r="CQ272" s="65"/>
      <c r="CR272" s="65"/>
      <c r="CS272" s="65"/>
      <c r="CT272" s="65"/>
      <c r="CU272" s="65"/>
      <c r="CV272" s="65"/>
      <c r="CW272" s="65"/>
      <c r="CX272" s="65"/>
      <c r="CY272" s="65"/>
      <c r="CZ272" s="65"/>
      <c r="DA272" s="65"/>
      <c r="DB272" s="65"/>
      <c r="DC272" s="65"/>
      <c r="DD272" s="65"/>
      <c r="DE272" s="65"/>
      <c r="DF272" s="65"/>
      <c r="DG272" s="65"/>
      <c r="DH272" s="65"/>
      <c r="DI272" s="65"/>
      <c r="DJ272" s="65"/>
      <c r="DK272" s="65"/>
      <c r="DL272" s="65"/>
      <c r="DM272" s="65"/>
      <c r="DN272" s="65"/>
      <c r="DO272" s="65"/>
      <c r="DP272" s="65"/>
      <c r="DQ272" s="65"/>
      <c r="DR272" s="65"/>
      <c r="DS272" s="65"/>
      <c r="DT272" s="65"/>
      <c r="DU272" s="65"/>
      <c r="DV272" s="65"/>
      <c r="DW272" s="65"/>
      <c r="DX272" s="65"/>
      <c r="DY272" s="65"/>
      <c r="DZ272" s="65"/>
      <c r="EA272" s="65"/>
      <c r="EB272" s="65"/>
      <c r="EC272" s="65"/>
      <c r="ED272" s="65"/>
      <c r="EE272" s="65"/>
      <c r="EF272" s="65"/>
      <c r="EG272" s="65"/>
      <c r="EH272" s="65"/>
      <c r="EI272" s="65"/>
      <c r="EJ272" s="65"/>
      <c r="EK272" s="65"/>
      <c r="EL272" s="65"/>
      <c r="EM272" s="65"/>
      <c r="EN272" s="65"/>
    </row>
    <row r="273" spans="1:145" s="62" customFormat="1" x14ac:dyDescent="0.2">
      <c r="A273" s="74">
        <v>7</v>
      </c>
      <c r="B273" s="146" t="s">
        <v>111</v>
      </c>
      <c r="C273" s="125" t="s">
        <v>17</v>
      </c>
      <c r="D273" s="123">
        <f t="shared" ref="D273:O273" si="92">D115*$R$163</f>
        <v>0</v>
      </c>
      <c r="E273" s="123">
        <f t="shared" si="92"/>
        <v>0</v>
      </c>
      <c r="F273" s="123">
        <f t="shared" si="92"/>
        <v>0</v>
      </c>
      <c r="G273" s="123">
        <f t="shared" si="92"/>
        <v>0</v>
      </c>
      <c r="H273" s="123">
        <f t="shared" si="92"/>
        <v>0</v>
      </c>
      <c r="I273" s="123">
        <f t="shared" si="92"/>
        <v>0</v>
      </c>
      <c r="J273" s="123">
        <f t="shared" si="92"/>
        <v>0</v>
      </c>
      <c r="K273" s="123">
        <f t="shared" si="92"/>
        <v>0</v>
      </c>
      <c r="L273" s="123">
        <f t="shared" si="92"/>
        <v>0</v>
      </c>
      <c r="M273" s="123">
        <f t="shared" si="92"/>
        <v>0</v>
      </c>
      <c r="N273" s="123">
        <f t="shared" si="92"/>
        <v>0</v>
      </c>
      <c r="O273" s="123">
        <f t="shared" si="92"/>
        <v>0</v>
      </c>
      <c r="P273" s="167">
        <f>SUM(D273:O273)</f>
        <v>0</v>
      </c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  <c r="BE273" s="65"/>
      <c r="BF273" s="65"/>
      <c r="BG273" s="65"/>
      <c r="BH273" s="65"/>
      <c r="BI273" s="65"/>
      <c r="BJ273" s="65"/>
      <c r="BK273" s="65"/>
      <c r="BL273" s="65"/>
      <c r="BM273" s="65"/>
      <c r="BN273" s="65"/>
      <c r="BO273" s="65"/>
      <c r="BP273" s="65"/>
      <c r="BQ273" s="65"/>
      <c r="BR273" s="65"/>
      <c r="BS273" s="65"/>
      <c r="BT273" s="65"/>
      <c r="BU273" s="65"/>
      <c r="BV273" s="65"/>
      <c r="BW273" s="65"/>
      <c r="BX273" s="65"/>
      <c r="BY273" s="65"/>
      <c r="BZ273" s="65"/>
      <c r="CA273" s="65"/>
      <c r="CB273" s="65"/>
      <c r="CC273" s="65"/>
      <c r="CD273" s="65"/>
      <c r="CE273" s="65"/>
      <c r="CF273" s="65"/>
      <c r="CG273" s="65"/>
      <c r="CH273" s="65"/>
      <c r="CI273" s="65"/>
      <c r="CJ273" s="65"/>
      <c r="CK273" s="65"/>
      <c r="CL273" s="65"/>
      <c r="CM273" s="65"/>
      <c r="CN273" s="65"/>
      <c r="CO273" s="65"/>
      <c r="CP273" s="65"/>
      <c r="CQ273" s="65"/>
      <c r="CR273" s="65"/>
      <c r="CS273" s="65"/>
      <c r="CT273" s="65"/>
      <c r="CU273" s="65"/>
      <c r="CV273" s="65"/>
      <c r="CW273" s="65"/>
      <c r="CX273" s="65"/>
      <c r="CY273" s="65"/>
      <c r="CZ273" s="65"/>
      <c r="DA273" s="65"/>
      <c r="DB273" s="65"/>
      <c r="DC273" s="65"/>
      <c r="DD273" s="65"/>
      <c r="DE273" s="65"/>
      <c r="DF273" s="65"/>
      <c r="DG273" s="65"/>
      <c r="DH273" s="65"/>
      <c r="DI273" s="65"/>
      <c r="DJ273" s="65"/>
      <c r="DK273" s="65"/>
      <c r="DL273" s="65"/>
      <c r="DM273" s="65"/>
      <c r="DN273" s="65"/>
      <c r="DO273" s="65"/>
      <c r="DP273" s="65"/>
      <c r="DQ273" s="65"/>
      <c r="DR273" s="65"/>
      <c r="DS273" s="65"/>
      <c r="DT273" s="65"/>
      <c r="DU273" s="65"/>
      <c r="DV273" s="65"/>
      <c r="DW273" s="65"/>
      <c r="DX273" s="65"/>
      <c r="DY273" s="65"/>
      <c r="DZ273" s="65"/>
      <c r="EA273" s="65"/>
      <c r="EB273" s="65"/>
      <c r="EC273" s="65"/>
      <c r="ED273" s="65"/>
      <c r="EE273" s="65"/>
      <c r="EF273" s="65"/>
      <c r="EG273" s="65"/>
      <c r="EH273" s="65"/>
      <c r="EI273" s="65"/>
      <c r="EJ273" s="65"/>
      <c r="EK273" s="65"/>
      <c r="EL273" s="65"/>
      <c r="EM273" s="65"/>
      <c r="EN273" s="65"/>
    </row>
    <row r="274" spans="1:145" s="62" customFormat="1" x14ac:dyDescent="0.2">
      <c r="A274" s="74">
        <v>8</v>
      </c>
      <c r="B274" s="129" t="s">
        <v>31</v>
      </c>
      <c r="C274" s="125"/>
      <c r="D274" s="122">
        <f t="shared" ref="D274:P274" si="93">SUM(D272:D273)</f>
        <v>0</v>
      </c>
      <c r="E274" s="122">
        <f t="shared" si="93"/>
        <v>0</v>
      </c>
      <c r="F274" s="122">
        <f t="shared" si="93"/>
        <v>0</v>
      </c>
      <c r="G274" s="122">
        <f t="shared" si="93"/>
        <v>0</v>
      </c>
      <c r="H274" s="122">
        <f t="shared" si="93"/>
        <v>0</v>
      </c>
      <c r="I274" s="122">
        <f t="shared" si="93"/>
        <v>0</v>
      </c>
      <c r="J274" s="122">
        <f t="shared" si="93"/>
        <v>0</v>
      </c>
      <c r="K274" s="122">
        <f t="shared" si="93"/>
        <v>0</v>
      </c>
      <c r="L274" s="122">
        <f t="shared" si="93"/>
        <v>0</v>
      </c>
      <c r="M274" s="122">
        <f t="shared" si="93"/>
        <v>0</v>
      </c>
      <c r="N274" s="122">
        <f t="shared" si="93"/>
        <v>0</v>
      </c>
      <c r="O274" s="122">
        <f t="shared" si="93"/>
        <v>0</v>
      </c>
      <c r="P274" s="122">
        <f t="shared" si="93"/>
        <v>0</v>
      </c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/>
      <c r="BJ274" s="65"/>
      <c r="BK274" s="65"/>
      <c r="BL274" s="65"/>
      <c r="BM274" s="65"/>
      <c r="BN274" s="65"/>
      <c r="BO274" s="65"/>
      <c r="BP274" s="65"/>
      <c r="BQ274" s="65"/>
      <c r="BR274" s="65"/>
      <c r="BS274" s="65"/>
      <c r="BT274" s="65"/>
      <c r="BU274" s="65"/>
      <c r="BV274" s="65"/>
      <c r="BW274" s="65"/>
      <c r="BX274" s="65"/>
      <c r="BY274" s="65"/>
      <c r="BZ274" s="65"/>
      <c r="CA274" s="65"/>
      <c r="CB274" s="65"/>
      <c r="CC274" s="65"/>
      <c r="CD274" s="65"/>
      <c r="CE274" s="65"/>
      <c r="CF274" s="65"/>
      <c r="CG274" s="65"/>
      <c r="CH274" s="65"/>
      <c r="CI274" s="65"/>
      <c r="CJ274" s="65"/>
      <c r="CK274" s="65"/>
      <c r="CL274" s="65"/>
      <c r="CM274" s="65"/>
      <c r="CN274" s="65"/>
      <c r="CO274" s="65"/>
      <c r="CP274" s="65"/>
      <c r="CQ274" s="65"/>
      <c r="CR274" s="65"/>
      <c r="CS274" s="65"/>
      <c r="CT274" s="65"/>
      <c r="CU274" s="65"/>
      <c r="CV274" s="65"/>
      <c r="CW274" s="65"/>
      <c r="CX274" s="65"/>
      <c r="CY274" s="65"/>
      <c r="CZ274" s="65"/>
      <c r="DA274" s="65"/>
      <c r="DB274" s="65"/>
      <c r="DC274" s="65"/>
      <c r="DD274" s="65"/>
      <c r="DE274" s="65"/>
      <c r="DF274" s="65"/>
      <c r="DG274" s="65"/>
      <c r="DH274" s="65"/>
      <c r="DI274" s="65"/>
      <c r="DJ274" s="65"/>
      <c r="DK274" s="65"/>
      <c r="DL274" s="65"/>
      <c r="DM274" s="65"/>
      <c r="DN274" s="65"/>
      <c r="DO274" s="65"/>
      <c r="DP274" s="65"/>
      <c r="DQ274" s="65"/>
      <c r="DR274" s="65"/>
      <c r="DS274" s="65"/>
      <c r="DT274" s="65"/>
      <c r="DU274" s="65"/>
      <c r="DV274" s="65"/>
      <c r="DW274" s="65"/>
      <c r="DX274" s="65"/>
      <c r="DY274" s="65"/>
      <c r="DZ274" s="65"/>
      <c r="EA274" s="65"/>
      <c r="EB274" s="65"/>
      <c r="EC274" s="65"/>
      <c r="ED274" s="65"/>
      <c r="EE274" s="65"/>
      <c r="EF274" s="65"/>
      <c r="EG274" s="65"/>
      <c r="EH274" s="65"/>
      <c r="EI274" s="65"/>
      <c r="EJ274" s="65"/>
      <c r="EK274" s="65"/>
      <c r="EL274" s="65"/>
      <c r="EM274" s="65"/>
      <c r="EN274" s="65"/>
    </row>
    <row r="275" spans="1:145" s="62" customFormat="1" x14ac:dyDescent="0.2">
      <c r="A275" s="74"/>
      <c r="B275" s="129"/>
      <c r="C275" s="125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7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  <c r="BM275" s="65"/>
      <c r="BN275" s="65"/>
      <c r="BO275" s="65"/>
      <c r="BP275" s="65"/>
      <c r="BQ275" s="65"/>
      <c r="BR275" s="65"/>
      <c r="BS275" s="65"/>
      <c r="BT275" s="65"/>
      <c r="BU275" s="65"/>
      <c r="BV275" s="65"/>
      <c r="BW275" s="65"/>
      <c r="BX275" s="65"/>
      <c r="BY275" s="65"/>
      <c r="BZ275" s="65"/>
      <c r="CA275" s="65"/>
      <c r="CB275" s="65"/>
      <c r="CC275" s="65"/>
      <c r="CD275" s="65"/>
      <c r="CE275" s="65"/>
      <c r="CF275" s="65"/>
      <c r="CG275" s="65"/>
      <c r="CH275" s="65"/>
      <c r="CI275" s="65"/>
      <c r="CJ275" s="65"/>
      <c r="CK275" s="65"/>
      <c r="CL275" s="65"/>
      <c r="CM275" s="65"/>
      <c r="CN275" s="65"/>
      <c r="CO275" s="65"/>
      <c r="CP275" s="65"/>
      <c r="CQ275" s="65"/>
      <c r="CR275" s="65"/>
      <c r="CS275" s="65"/>
      <c r="CT275" s="65"/>
      <c r="CU275" s="65"/>
      <c r="CV275" s="65"/>
      <c r="CW275" s="65"/>
      <c r="CX275" s="65"/>
      <c r="CY275" s="65"/>
      <c r="CZ275" s="65"/>
      <c r="DA275" s="65"/>
      <c r="DB275" s="65"/>
      <c r="DC275" s="65"/>
      <c r="DD275" s="65"/>
      <c r="DE275" s="65"/>
      <c r="DF275" s="65"/>
      <c r="DG275" s="65"/>
      <c r="DH275" s="65"/>
      <c r="DI275" s="65"/>
      <c r="DJ275" s="65"/>
      <c r="DK275" s="65"/>
      <c r="DL275" s="65"/>
      <c r="DM275" s="65"/>
      <c r="DN275" s="65"/>
      <c r="DO275" s="65"/>
      <c r="DP275" s="65"/>
      <c r="DQ275" s="65"/>
      <c r="DR275" s="65"/>
      <c r="DS275" s="65"/>
      <c r="DT275" s="65"/>
      <c r="DU275" s="65"/>
      <c r="DV275" s="65"/>
      <c r="DW275" s="65"/>
      <c r="DX275" s="65"/>
      <c r="DY275" s="65"/>
      <c r="DZ275" s="65"/>
      <c r="EA275" s="65"/>
      <c r="EB275" s="65"/>
      <c r="EC275" s="65"/>
      <c r="ED275" s="65"/>
      <c r="EE275" s="65"/>
      <c r="EF275" s="65"/>
      <c r="EG275" s="65"/>
      <c r="EH275" s="65"/>
      <c r="EI275" s="65"/>
      <c r="EJ275" s="65"/>
      <c r="EK275" s="65"/>
      <c r="EL275" s="65"/>
      <c r="EM275" s="65"/>
      <c r="EN275" s="65"/>
    </row>
    <row r="276" spans="1:145" s="62" customFormat="1" x14ac:dyDescent="0.2">
      <c r="A276" s="74">
        <v>9</v>
      </c>
      <c r="B276" s="162" t="s">
        <v>112</v>
      </c>
      <c r="C276" s="125" t="s">
        <v>18</v>
      </c>
      <c r="D276" s="122">
        <f t="shared" ref="D276:O276" si="94">D118*$R$164</f>
        <v>0</v>
      </c>
      <c r="E276" s="122">
        <f t="shared" si="94"/>
        <v>0</v>
      </c>
      <c r="F276" s="122">
        <f t="shared" si="94"/>
        <v>0</v>
      </c>
      <c r="G276" s="122">
        <f t="shared" si="94"/>
        <v>0</v>
      </c>
      <c r="H276" s="122">
        <f t="shared" si="94"/>
        <v>0</v>
      </c>
      <c r="I276" s="122">
        <f t="shared" si="94"/>
        <v>0</v>
      </c>
      <c r="J276" s="122">
        <f t="shared" si="94"/>
        <v>0</v>
      </c>
      <c r="K276" s="122">
        <f t="shared" si="94"/>
        <v>0</v>
      </c>
      <c r="L276" s="122">
        <f t="shared" si="94"/>
        <v>0</v>
      </c>
      <c r="M276" s="122">
        <f t="shared" si="94"/>
        <v>0</v>
      </c>
      <c r="N276" s="122">
        <f t="shared" si="94"/>
        <v>0</v>
      </c>
      <c r="O276" s="122">
        <f t="shared" si="94"/>
        <v>0</v>
      </c>
      <c r="P276" s="127">
        <f>SUM(D276:O276)</f>
        <v>0</v>
      </c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65"/>
      <c r="BU276" s="65"/>
      <c r="BV276" s="65"/>
      <c r="BW276" s="65"/>
      <c r="BX276" s="65"/>
      <c r="BY276" s="65"/>
      <c r="BZ276" s="65"/>
      <c r="CA276" s="65"/>
      <c r="CB276" s="65"/>
      <c r="CC276" s="65"/>
      <c r="CD276" s="65"/>
      <c r="CE276" s="65"/>
      <c r="CF276" s="65"/>
      <c r="CG276" s="65"/>
      <c r="CH276" s="65"/>
      <c r="CI276" s="65"/>
      <c r="CJ276" s="65"/>
      <c r="CK276" s="65"/>
      <c r="CL276" s="65"/>
      <c r="CM276" s="65"/>
      <c r="CN276" s="65"/>
      <c r="CO276" s="65"/>
      <c r="CP276" s="65"/>
      <c r="CQ276" s="65"/>
      <c r="CR276" s="65"/>
      <c r="CS276" s="65"/>
      <c r="CT276" s="65"/>
      <c r="CU276" s="65"/>
      <c r="CV276" s="65"/>
      <c r="CW276" s="65"/>
      <c r="CX276" s="65"/>
      <c r="CY276" s="65"/>
      <c r="CZ276" s="65"/>
      <c r="DA276" s="65"/>
      <c r="DB276" s="65"/>
      <c r="DC276" s="65"/>
      <c r="DD276" s="65"/>
      <c r="DE276" s="65"/>
      <c r="DF276" s="65"/>
      <c r="DG276" s="65"/>
      <c r="DH276" s="65"/>
      <c r="DI276" s="65"/>
      <c r="DJ276" s="65"/>
      <c r="DK276" s="65"/>
      <c r="DL276" s="65"/>
      <c r="DM276" s="65"/>
      <c r="DN276" s="65"/>
      <c r="DO276" s="65"/>
      <c r="DP276" s="65"/>
      <c r="DQ276" s="65"/>
      <c r="DR276" s="65"/>
      <c r="DS276" s="65"/>
      <c r="DT276" s="65"/>
      <c r="DU276" s="65"/>
      <c r="DV276" s="65"/>
      <c r="DW276" s="65"/>
      <c r="DX276" s="65"/>
      <c r="DY276" s="65"/>
      <c r="DZ276" s="65"/>
      <c r="EA276" s="65"/>
      <c r="EB276" s="65"/>
      <c r="EC276" s="65"/>
      <c r="ED276" s="65"/>
      <c r="EE276" s="65"/>
      <c r="EF276" s="65"/>
      <c r="EG276" s="65"/>
      <c r="EH276" s="65"/>
      <c r="EI276" s="65"/>
      <c r="EJ276" s="65"/>
      <c r="EK276" s="65"/>
      <c r="EL276" s="65"/>
      <c r="EM276" s="65"/>
      <c r="EN276" s="65"/>
    </row>
    <row r="277" spans="1:145" s="62" customFormat="1" x14ac:dyDescent="0.2">
      <c r="B277" s="129"/>
      <c r="C277" s="143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22"/>
      <c r="O277" s="122"/>
      <c r="P277" s="127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65"/>
      <c r="BA277" s="65"/>
      <c r="BB277" s="65"/>
      <c r="BC277" s="65"/>
      <c r="BD277" s="65"/>
      <c r="BE277" s="65"/>
      <c r="BF277" s="65"/>
      <c r="BG277" s="65"/>
      <c r="BH277" s="65"/>
      <c r="BI277" s="65"/>
      <c r="BJ277" s="65"/>
      <c r="BK277" s="65"/>
      <c r="BL277" s="65"/>
      <c r="BM277" s="65"/>
      <c r="BN277" s="65"/>
      <c r="BO277" s="65"/>
      <c r="BP277" s="65"/>
      <c r="BQ277" s="65"/>
      <c r="BR277" s="65"/>
      <c r="BS277" s="65"/>
      <c r="BT277" s="65"/>
      <c r="BU277" s="65"/>
      <c r="BV277" s="65"/>
      <c r="BW277" s="65"/>
      <c r="BX277" s="65"/>
      <c r="BY277" s="65"/>
      <c r="BZ277" s="65"/>
      <c r="CA277" s="65"/>
      <c r="CB277" s="65"/>
      <c r="CC277" s="65"/>
      <c r="CD277" s="65"/>
      <c r="CE277" s="65"/>
      <c r="CF277" s="65"/>
      <c r="CG277" s="65"/>
      <c r="CH277" s="65"/>
      <c r="CI277" s="65"/>
      <c r="CJ277" s="65"/>
      <c r="CK277" s="65"/>
      <c r="CL277" s="65"/>
      <c r="CM277" s="65"/>
      <c r="CN277" s="65"/>
      <c r="CO277" s="65"/>
      <c r="CP277" s="65"/>
      <c r="CQ277" s="65"/>
      <c r="CR277" s="65"/>
      <c r="CS277" s="65"/>
      <c r="CT277" s="65"/>
      <c r="CU277" s="65"/>
      <c r="CV277" s="65"/>
      <c r="CW277" s="65"/>
      <c r="CX277" s="65"/>
      <c r="CY277" s="65"/>
      <c r="CZ277" s="65"/>
      <c r="DA277" s="65"/>
      <c r="DB277" s="65"/>
      <c r="DC277" s="65"/>
      <c r="DD277" s="65"/>
      <c r="DE277" s="65"/>
      <c r="DF277" s="65"/>
      <c r="DG277" s="65"/>
      <c r="DH277" s="65"/>
      <c r="DI277" s="65"/>
      <c r="DJ277" s="65"/>
      <c r="DK277" s="65"/>
      <c r="DL277" s="65"/>
      <c r="DM277" s="65"/>
      <c r="DN277" s="65"/>
      <c r="DO277" s="65"/>
      <c r="DP277" s="65"/>
      <c r="DQ277" s="65"/>
      <c r="DR277" s="65"/>
      <c r="DS277" s="65"/>
      <c r="DT277" s="65"/>
      <c r="DU277" s="65"/>
      <c r="DV277" s="65"/>
      <c r="DW277" s="65"/>
      <c r="DX277" s="65"/>
      <c r="DY277" s="65"/>
      <c r="DZ277" s="65"/>
      <c r="EA277" s="65"/>
      <c r="EB277" s="65"/>
      <c r="EC277" s="65"/>
      <c r="ED277" s="65"/>
      <c r="EE277" s="65"/>
      <c r="EF277" s="65"/>
      <c r="EG277" s="65"/>
      <c r="EH277" s="65"/>
      <c r="EI277" s="65"/>
      <c r="EJ277" s="65"/>
      <c r="EK277" s="65"/>
      <c r="EL277" s="65"/>
      <c r="EM277" s="65"/>
      <c r="EN277" s="65"/>
    </row>
    <row r="278" spans="1:145" s="62" customFormat="1" x14ac:dyDescent="0.2">
      <c r="A278" s="74">
        <v>10</v>
      </c>
      <c r="B278" s="117" t="s">
        <v>33</v>
      </c>
      <c r="C278" s="125" t="s">
        <v>16</v>
      </c>
      <c r="D278" s="122">
        <f t="shared" ref="D278:O278" si="95">D120*$R$162</f>
        <v>0</v>
      </c>
      <c r="E278" s="122">
        <f t="shared" si="95"/>
        <v>0</v>
      </c>
      <c r="F278" s="122">
        <f t="shared" si="95"/>
        <v>0</v>
      </c>
      <c r="G278" s="122">
        <f t="shared" si="95"/>
        <v>0</v>
      </c>
      <c r="H278" s="122">
        <f t="shared" si="95"/>
        <v>0</v>
      </c>
      <c r="I278" s="122">
        <f t="shared" si="95"/>
        <v>0</v>
      </c>
      <c r="J278" s="122">
        <f t="shared" si="95"/>
        <v>0</v>
      </c>
      <c r="K278" s="122">
        <f t="shared" si="95"/>
        <v>0</v>
      </c>
      <c r="L278" s="122">
        <f t="shared" si="95"/>
        <v>0</v>
      </c>
      <c r="M278" s="122">
        <f t="shared" si="95"/>
        <v>0</v>
      </c>
      <c r="N278" s="122">
        <f t="shared" si="95"/>
        <v>0</v>
      </c>
      <c r="O278" s="122">
        <f t="shared" si="95"/>
        <v>0</v>
      </c>
      <c r="P278" s="127">
        <f>SUM(D278:O278)</f>
        <v>0</v>
      </c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  <c r="AW278" s="65"/>
      <c r="AX278" s="65"/>
      <c r="AY278" s="65"/>
      <c r="AZ278" s="65"/>
      <c r="BA278" s="65"/>
      <c r="BB278" s="65"/>
      <c r="BC278" s="65"/>
      <c r="BD278" s="65"/>
      <c r="BE278" s="65"/>
      <c r="BF278" s="65"/>
      <c r="BG278" s="65"/>
      <c r="BH278" s="65"/>
      <c r="BI278" s="65"/>
      <c r="BJ278" s="65"/>
      <c r="BK278" s="65"/>
      <c r="BL278" s="65"/>
      <c r="BM278" s="65"/>
      <c r="BN278" s="65"/>
      <c r="BO278" s="65"/>
      <c r="BP278" s="65"/>
      <c r="BQ278" s="65"/>
      <c r="BR278" s="65"/>
      <c r="BS278" s="65"/>
      <c r="BT278" s="65"/>
      <c r="BU278" s="65"/>
      <c r="BV278" s="65"/>
      <c r="BW278" s="65"/>
      <c r="BX278" s="65"/>
      <c r="BY278" s="65"/>
      <c r="BZ278" s="65"/>
      <c r="CA278" s="65"/>
      <c r="CB278" s="65"/>
      <c r="CC278" s="65"/>
      <c r="CD278" s="65"/>
      <c r="CE278" s="65"/>
      <c r="CF278" s="65"/>
      <c r="CG278" s="65"/>
      <c r="CH278" s="65"/>
      <c r="CI278" s="65"/>
      <c r="CJ278" s="65"/>
      <c r="CK278" s="65"/>
      <c r="CL278" s="65"/>
      <c r="CM278" s="65"/>
      <c r="CN278" s="65"/>
      <c r="CO278" s="65"/>
      <c r="CP278" s="65"/>
      <c r="CQ278" s="65"/>
      <c r="CR278" s="65"/>
      <c r="CS278" s="65"/>
      <c r="CT278" s="65"/>
      <c r="CU278" s="65"/>
      <c r="CV278" s="65"/>
      <c r="CW278" s="65"/>
      <c r="CX278" s="65"/>
      <c r="CY278" s="65"/>
      <c r="CZ278" s="65"/>
      <c r="DA278" s="65"/>
      <c r="DB278" s="65"/>
      <c r="DC278" s="65"/>
      <c r="DD278" s="65"/>
      <c r="DE278" s="65"/>
      <c r="DF278" s="65"/>
      <c r="DG278" s="65"/>
      <c r="DH278" s="65"/>
      <c r="DI278" s="65"/>
      <c r="DJ278" s="65"/>
      <c r="DK278" s="65"/>
      <c r="DL278" s="65"/>
      <c r="DM278" s="65"/>
      <c r="DN278" s="65"/>
      <c r="DO278" s="65"/>
      <c r="DP278" s="65"/>
      <c r="DQ278" s="65"/>
      <c r="DR278" s="65"/>
      <c r="DS278" s="65"/>
      <c r="DT278" s="65"/>
      <c r="DU278" s="65"/>
      <c r="DV278" s="65"/>
      <c r="DW278" s="65"/>
      <c r="DX278" s="65"/>
      <c r="DY278" s="65"/>
      <c r="DZ278" s="65"/>
      <c r="EA278" s="65"/>
      <c r="EB278" s="65"/>
      <c r="EC278" s="65"/>
      <c r="ED278" s="65"/>
      <c r="EE278" s="65"/>
      <c r="EF278" s="65"/>
      <c r="EG278" s="65"/>
      <c r="EH278" s="65"/>
      <c r="EI278" s="65"/>
      <c r="EJ278" s="65"/>
      <c r="EK278" s="65"/>
      <c r="EL278" s="65"/>
      <c r="EM278" s="65"/>
      <c r="EN278" s="65"/>
    </row>
    <row r="279" spans="1:145" s="62" customFormat="1" x14ac:dyDescent="0.2">
      <c r="A279" s="74"/>
      <c r="B279" s="129"/>
      <c r="C279" s="143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22"/>
      <c r="O279" s="122"/>
      <c r="P279" s="127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/>
      <c r="AX279" s="65"/>
      <c r="AY279" s="65"/>
      <c r="AZ279" s="65"/>
      <c r="BA279" s="65"/>
      <c r="BB279" s="65"/>
      <c r="BC279" s="65"/>
      <c r="BD279" s="65"/>
      <c r="BE279" s="65"/>
      <c r="BF279" s="65"/>
      <c r="BG279" s="65"/>
      <c r="BH279" s="65"/>
      <c r="BI279" s="65"/>
      <c r="BJ279" s="65"/>
      <c r="BK279" s="65"/>
      <c r="BL279" s="65"/>
      <c r="BM279" s="65"/>
      <c r="BN279" s="65"/>
      <c r="BO279" s="65"/>
      <c r="BP279" s="65"/>
      <c r="BQ279" s="65"/>
      <c r="BR279" s="65"/>
      <c r="BS279" s="65"/>
      <c r="BT279" s="65"/>
      <c r="BU279" s="65"/>
      <c r="BV279" s="65"/>
      <c r="BW279" s="65"/>
      <c r="BX279" s="65"/>
      <c r="BY279" s="65"/>
      <c r="BZ279" s="65"/>
      <c r="CA279" s="65"/>
      <c r="CB279" s="65"/>
      <c r="CC279" s="65"/>
      <c r="CD279" s="65"/>
      <c r="CE279" s="65"/>
      <c r="CF279" s="65"/>
      <c r="CG279" s="65"/>
      <c r="CH279" s="65"/>
      <c r="CI279" s="65"/>
      <c r="CJ279" s="65"/>
      <c r="CK279" s="65"/>
      <c r="CL279" s="65"/>
      <c r="CM279" s="65"/>
      <c r="CN279" s="65"/>
      <c r="CO279" s="65"/>
      <c r="CP279" s="65"/>
      <c r="CQ279" s="65"/>
      <c r="CR279" s="65"/>
      <c r="CS279" s="65"/>
      <c r="CT279" s="65"/>
      <c r="CU279" s="65"/>
      <c r="CV279" s="65"/>
      <c r="CW279" s="65"/>
      <c r="CX279" s="65"/>
      <c r="CY279" s="65"/>
      <c r="CZ279" s="65"/>
      <c r="DA279" s="65"/>
      <c r="DB279" s="65"/>
      <c r="DC279" s="65"/>
      <c r="DD279" s="65"/>
      <c r="DE279" s="65"/>
      <c r="DF279" s="65"/>
      <c r="DG279" s="65"/>
      <c r="DH279" s="65"/>
      <c r="DI279" s="65"/>
      <c r="DJ279" s="65"/>
      <c r="DK279" s="65"/>
      <c r="DL279" s="65"/>
      <c r="DM279" s="65"/>
      <c r="DN279" s="65"/>
      <c r="DO279" s="65"/>
      <c r="DP279" s="65"/>
      <c r="DQ279" s="65"/>
      <c r="DR279" s="65"/>
      <c r="DS279" s="65"/>
      <c r="DT279" s="65"/>
      <c r="DU279" s="65"/>
      <c r="DV279" s="65"/>
      <c r="DW279" s="65"/>
      <c r="DX279" s="65"/>
      <c r="DY279" s="65"/>
      <c r="DZ279" s="65"/>
      <c r="EA279" s="65"/>
      <c r="EB279" s="65"/>
      <c r="EC279" s="65"/>
      <c r="ED279" s="65"/>
      <c r="EE279" s="65"/>
      <c r="EF279" s="65"/>
      <c r="EG279" s="65"/>
      <c r="EH279" s="65"/>
      <c r="EI279" s="65"/>
      <c r="EJ279" s="65"/>
      <c r="EK279" s="65"/>
      <c r="EL279" s="65"/>
      <c r="EM279" s="65"/>
      <c r="EN279" s="65"/>
    </row>
    <row r="280" spans="1:145" s="62" customFormat="1" x14ac:dyDescent="0.2">
      <c r="A280" s="74">
        <v>11</v>
      </c>
      <c r="B280" s="183" t="s">
        <v>34</v>
      </c>
      <c r="C280" s="236"/>
      <c r="D280" s="184">
        <f t="shared" ref="D280:P280" si="96">D278+D276+D274+D270+D266+D264</f>
        <v>0</v>
      </c>
      <c r="E280" s="184">
        <f t="shared" si="96"/>
        <v>0</v>
      </c>
      <c r="F280" s="184">
        <f t="shared" si="96"/>
        <v>0</v>
      </c>
      <c r="G280" s="184">
        <f t="shared" si="96"/>
        <v>0</v>
      </c>
      <c r="H280" s="184">
        <f t="shared" si="96"/>
        <v>0</v>
      </c>
      <c r="I280" s="184">
        <f t="shared" si="96"/>
        <v>0</v>
      </c>
      <c r="J280" s="184">
        <f t="shared" si="96"/>
        <v>0</v>
      </c>
      <c r="K280" s="184">
        <f t="shared" si="96"/>
        <v>0</v>
      </c>
      <c r="L280" s="184">
        <f t="shared" si="96"/>
        <v>0</v>
      </c>
      <c r="M280" s="184">
        <f t="shared" si="96"/>
        <v>0</v>
      </c>
      <c r="N280" s="184">
        <f t="shared" si="96"/>
        <v>0</v>
      </c>
      <c r="O280" s="184">
        <f t="shared" si="96"/>
        <v>0</v>
      </c>
      <c r="P280" s="184">
        <f t="shared" si="96"/>
        <v>0</v>
      </c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  <c r="AW280" s="65"/>
      <c r="AX280" s="65"/>
      <c r="AY280" s="65"/>
      <c r="AZ280" s="65"/>
      <c r="BA280" s="65"/>
      <c r="BB280" s="65"/>
      <c r="BC280" s="65"/>
      <c r="BD280" s="65"/>
      <c r="BE280" s="65"/>
      <c r="BF280" s="65"/>
      <c r="BG280" s="65"/>
      <c r="BH280" s="65"/>
      <c r="BI280" s="65"/>
      <c r="BJ280" s="65"/>
      <c r="BK280" s="65"/>
      <c r="BL280" s="65"/>
      <c r="BM280" s="65"/>
      <c r="BN280" s="65"/>
      <c r="BO280" s="65"/>
      <c r="BP280" s="65"/>
      <c r="BQ280" s="65"/>
      <c r="BR280" s="65"/>
      <c r="BS280" s="65"/>
      <c r="BT280" s="65"/>
      <c r="BU280" s="65"/>
      <c r="BV280" s="65"/>
      <c r="BW280" s="65"/>
      <c r="BX280" s="65"/>
      <c r="BY280" s="65"/>
      <c r="BZ280" s="65"/>
      <c r="CA280" s="65"/>
      <c r="CB280" s="65"/>
      <c r="CC280" s="65"/>
      <c r="CD280" s="65"/>
      <c r="CE280" s="65"/>
      <c r="CF280" s="65"/>
      <c r="CG280" s="65"/>
      <c r="CH280" s="65"/>
      <c r="CI280" s="65"/>
      <c r="CJ280" s="65"/>
      <c r="CK280" s="65"/>
      <c r="CL280" s="65"/>
      <c r="CM280" s="65"/>
      <c r="CN280" s="65"/>
      <c r="CO280" s="65"/>
      <c r="CP280" s="65"/>
      <c r="CQ280" s="65"/>
      <c r="CR280" s="65"/>
      <c r="CS280" s="65"/>
      <c r="CT280" s="65"/>
      <c r="CU280" s="65"/>
      <c r="CV280" s="65"/>
      <c r="CW280" s="65"/>
      <c r="CX280" s="65"/>
      <c r="CY280" s="65"/>
      <c r="CZ280" s="65"/>
      <c r="DA280" s="65"/>
      <c r="DB280" s="65"/>
      <c r="DC280" s="65"/>
      <c r="DD280" s="65"/>
      <c r="DE280" s="65"/>
      <c r="DF280" s="65"/>
      <c r="DG280" s="65"/>
      <c r="DH280" s="65"/>
      <c r="DI280" s="65"/>
      <c r="DJ280" s="65"/>
      <c r="DK280" s="65"/>
      <c r="DL280" s="65"/>
      <c r="DM280" s="65"/>
      <c r="DN280" s="65"/>
      <c r="DO280" s="65"/>
      <c r="DP280" s="65"/>
      <c r="DQ280" s="65"/>
      <c r="DR280" s="65"/>
      <c r="DS280" s="65"/>
      <c r="DT280" s="65"/>
      <c r="DU280" s="65"/>
      <c r="DV280" s="65"/>
      <c r="DW280" s="65"/>
      <c r="DX280" s="65"/>
      <c r="DY280" s="65"/>
      <c r="DZ280" s="65"/>
      <c r="EA280" s="65"/>
      <c r="EB280" s="65"/>
      <c r="EC280" s="65"/>
      <c r="ED280" s="65"/>
      <c r="EE280" s="65"/>
      <c r="EF280" s="65"/>
      <c r="EG280" s="65"/>
      <c r="EH280" s="65"/>
      <c r="EI280" s="65"/>
      <c r="EJ280" s="65"/>
      <c r="EK280" s="65"/>
      <c r="EL280" s="65"/>
      <c r="EM280" s="65"/>
      <c r="EN280" s="65"/>
    </row>
    <row r="281" spans="1:145" s="62" customFormat="1" x14ac:dyDescent="0.2">
      <c r="B281" s="236"/>
      <c r="C281" s="236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56"/>
      <c r="O281" s="156"/>
      <c r="P281" s="127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  <c r="BD281" s="65"/>
      <c r="BE281" s="65"/>
      <c r="BF281" s="65"/>
      <c r="BG281" s="65"/>
      <c r="BH281" s="65"/>
      <c r="BI281" s="65"/>
      <c r="BJ281" s="65"/>
      <c r="BK281" s="65"/>
      <c r="BL281" s="65"/>
      <c r="BM281" s="65"/>
      <c r="BN281" s="65"/>
      <c r="BO281" s="65"/>
      <c r="BP281" s="65"/>
      <c r="BQ281" s="65"/>
      <c r="BR281" s="65"/>
      <c r="BS281" s="65"/>
      <c r="BT281" s="65"/>
      <c r="BU281" s="65"/>
      <c r="BV281" s="65"/>
      <c r="BW281" s="65"/>
      <c r="BX281" s="65"/>
      <c r="BY281" s="65"/>
      <c r="BZ281" s="65"/>
      <c r="CA281" s="65"/>
      <c r="CB281" s="65"/>
      <c r="CC281" s="65"/>
      <c r="CD281" s="65"/>
      <c r="CE281" s="65"/>
      <c r="CF281" s="65"/>
      <c r="CG281" s="65"/>
      <c r="CH281" s="65"/>
      <c r="CI281" s="65"/>
      <c r="CJ281" s="65"/>
      <c r="CK281" s="65"/>
      <c r="CL281" s="65"/>
      <c r="CM281" s="65"/>
      <c r="CN281" s="65"/>
      <c r="CO281" s="65"/>
      <c r="CP281" s="65"/>
      <c r="CQ281" s="65"/>
      <c r="CR281" s="65"/>
      <c r="CS281" s="65"/>
      <c r="CT281" s="65"/>
      <c r="CU281" s="65"/>
      <c r="CV281" s="65"/>
      <c r="CW281" s="65"/>
      <c r="CX281" s="65"/>
      <c r="CY281" s="65"/>
      <c r="CZ281" s="65"/>
      <c r="DA281" s="65"/>
      <c r="DB281" s="65"/>
      <c r="DC281" s="65"/>
      <c r="DD281" s="65"/>
      <c r="DE281" s="65"/>
      <c r="DF281" s="65"/>
      <c r="DG281" s="65"/>
      <c r="DH281" s="65"/>
      <c r="DI281" s="65"/>
      <c r="DJ281" s="65"/>
      <c r="DK281" s="65"/>
      <c r="DL281" s="65"/>
      <c r="DM281" s="65"/>
      <c r="DN281" s="65"/>
      <c r="DO281" s="65"/>
      <c r="DP281" s="65"/>
      <c r="DQ281" s="65"/>
      <c r="DR281" s="65"/>
      <c r="DS281" s="65"/>
      <c r="DT281" s="65"/>
      <c r="DU281" s="65"/>
      <c r="DV281" s="65"/>
      <c r="DW281" s="65"/>
      <c r="DX281" s="65"/>
      <c r="DY281" s="65"/>
      <c r="DZ281" s="65"/>
      <c r="EA281" s="65"/>
      <c r="EB281" s="65"/>
      <c r="EC281" s="65"/>
      <c r="ED281" s="65"/>
      <c r="EE281" s="65"/>
      <c r="EF281" s="65"/>
      <c r="EG281" s="65"/>
      <c r="EH281" s="65"/>
      <c r="EI281" s="65"/>
      <c r="EJ281" s="65"/>
      <c r="EK281" s="65"/>
      <c r="EL281" s="65"/>
      <c r="EM281" s="65"/>
      <c r="EN281" s="65"/>
    </row>
    <row r="282" spans="1:145" s="62" customFormat="1" x14ac:dyDescent="0.2">
      <c r="A282" s="74">
        <v>12</v>
      </c>
      <c r="B282" s="148" t="s">
        <v>91</v>
      </c>
      <c r="C282" s="125" t="s">
        <v>17</v>
      </c>
      <c r="D282" s="122">
        <f t="shared" ref="D282:O282" si="97">D124*$R$163</f>
        <v>0</v>
      </c>
      <c r="E282" s="122">
        <f t="shared" si="97"/>
        <v>0</v>
      </c>
      <c r="F282" s="122">
        <f t="shared" si="97"/>
        <v>0</v>
      </c>
      <c r="G282" s="122">
        <f t="shared" si="97"/>
        <v>0</v>
      </c>
      <c r="H282" s="122">
        <f t="shared" si="97"/>
        <v>0</v>
      </c>
      <c r="I282" s="122">
        <f t="shared" si="97"/>
        <v>0</v>
      </c>
      <c r="J282" s="122">
        <f t="shared" si="97"/>
        <v>0</v>
      </c>
      <c r="K282" s="122">
        <f t="shared" si="97"/>
        <v>0</v>
      </c>
      <c r="L282" s="122">
        <f t="shared" si="97"/>
        <v>0</v>
      </c>
      <c r="M282" s="122">
        <f t="shared" si="97"/>
        <v>0</v>
      </c>
      <c r="N282" s="122">
        <f t="shared" si="97"/>
        <v>0</v>
      </c>
      <c r="O282" s="122">
        <f t="shared" si="97"/>
        <v>0</v>
      </c>
      <c r="P282" s="127">
        <f>SUM(D282:O282)</f>
        <v>0</v>
      </c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  <c r="BE282" s="65"/>
      <c r="BF282" s="65"/>
      <c r="BG282" s="65"/>
      <c r="BH282" s="65"/>
      <c r="BI282" s="65"/>
      <c r="BJ282" s="65"/>
      <c r="BK282" s="65"/>
      <c r="BL282" s="65"/>
      <c r="BM282" s="65"/>
      <c r="BN282" s="65"/>
      <c r="BO282" s="65"/>
      <c r="BP282" s="65"/>
      <c r="BQ282" s="65"/>
      <c r="BR282" s="65"/>
      <c r="BS282" s="65"/>
      <c r="BT282" s="65"/>
      <c r="BU282" s="65"/>
      <c r="BV282" s="65"/>
      <c r="BW282" s="65"/>
      <c r="BX282" s="65"/>
      <c r="BY282" s="65"/>
      <c r="BZ282" s="65"/>
      <c r="CA282" s="65"/>
      <c r="CB282" s="65"/>
      <c r="CC282" s="65"/>
      <c r="CD282" s="65"/>
      <c r="CE282" s="65"/>
      <c r="CF282" s="65"/>
      <c r="CG282" s="65"/>
      <c r="CH282" s="65"/>
      <c r="CI282" s="65"/>
      <c r="CJ282" s="65"/>
      <c r="CK282" s="65"/>
      <c r="CL282" s="65"/>
      <c r="CM282" s="65"/>
      <c r="CN282" s="65"/>
      <c r="CO282" s="65"/>
      <c r="CP282" s="65"/>
      <c r="CQ282" s="65"/>
      <c r="CR282" s="65"/>
      <c r="CS282" s="65"/>
      <c r="CT282" s="65"/>
      <c r="CU282" s="65"/>
      <c r="CV282" s="65"/>
      <c r="CW282" s="65"/>
      <c r="CX282" s="65"/>
      <c r="CY282" s="65"/>
      <c r="CZ282" s="65"/>
      <c r="DA282" s="65"/>
      <c r="DB282" s="65"/>
      <c r="DC282" s="65"/>
      <c r="DD282" s="65"/>
      <c r="DE282" s="65"/>
      <c r="DF282" s="65"/>
      <c r="DG282" s="65"/>
      <c r="DH282" s="65"/>
      <c r="DI282" s="65"/>
      <c r="DJ282" s="65"/>
      <c r="DK282" s="65"/>
      <c r="DL282" s="65"/>
      <c r="DM282" s="65"/>
      <c r="DN282" s="65"/>
      <c r="DO282" s="65"/>
      <c r="DP282" s="65"/>
      <c r="DQ282" s="65"/>
      <c r="DR282" s="65"/>
      <c r="DS282" s="65"/>
      <c r="DT282" s="65"/>
      <c r="DU282" s="65"/>
      <c r="DV282" s="65"/>
      <c r="DW282" s="65"/>
      <c r="DX282" s="65"/>
      <c r="DY282" s="65"/>
      <c r="DZ282" s="65"/>
      <c r="EA282" s="65"/>
      <c r="EB282" s="65"/>
      <c r="EC282" s="65"/>
      <c r="ED282" s="65"/>
      <c r="EE282" s="65"/>
      <c r="EF282" s="65"/>
      <c r="EG282" s="65"/>
      <c r="EH282" s="65"/>
      <c r="EI282" s="65"/>
      <c r="EJ282" s="65"/>
      <c r="EK282" s="65"/>
      <c r="EL282" s="65"/>
      <c r="EM282" s="65"/>
      <c r="EN282" s="65"/>
    </row>
    <row r="283" spans="1:145" s="62" customFormat="1" x14ac:dyDescent="0.2">
      <c r="A283" s="74">
        <v>13</v>
      </c>
      <c r="B283" s="148" t="s">
        <v>92</v>
      </c>
      <c r="C283" s="125" t="s">
        <v>18</v>
      </c>
      <c r="D283" s="123">
        <f t="shared" ref="D283:O283" si="98">D125*$R$164</f>
        <v>0</v>
      </c>
      <c r="E283" s="123">
        <f t="shared" si="98"/>
        <v>0</v>
      </c>
      <c r="F283" s="123">
        <f t="shared" si="98"/>
        <v>0</v>
      </c>
      <c r="G283" s="123">
        <f t="shared" si="98"/>
        <v>0</v>
      </c>
      <c r="H283" s="123">
        <f t="shared" si="98"/>
        <v>0</v>
      </c>
      <c r="I283" s="123">
        <f t="shared" si="98"/>
        <v>0</v>
      </c>
      <c r="J283" s="123">
        <f t="shared" si="98"/>
        <v>0</v>
      </c>
      <c r="K283" s="123">
        <f t="shared" si="98"/>
        <v>0</v>
      </c>
      <c r="L283" s="123">
        <f t="shared" si="98"/>
        <v>0</v>
      </c>
      <c r="M283" s="123">
        <f t="shared" si="98"/>
        <v>0</v>
      </c>
      <c r="N283" s="123">
        <f t="shared" si="98"/>
        <v>0</v>
      </c>
      <c r="O283" s="123">
        <f t="shared" si="98"/>
        <v>0</v>
      </c>
      <c r="P283" s="167">
        <f>SUM(D283:O283)</f>
        <v>0</v>
      </c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/>
      <c r="AX283" s="65"/>
      <c r="AY283" s="65"/>
      <c r="AZ283" s="65"/>
      <c r="BA283" s="65"/>
      <c r="BB283" s="65"/>
      <c r="BC283" s="65"/>
      <c r="BD283" s="65"/>
      <c r="BE283" s="65"/>
      <c r="BF283" s="65"/>
      <c r="BG283" s="65"/>
      <c r="BH283" s="65"/>
      <c r="BI283" s="65"/>
      <c r="BJ283" s="65"/>
      <c r="BK283" s="65"/>
      <c r="BL283" s="65"/>
      <c r="BM283" s="65"/>
      <c r="BN283" s="65"/>
      <c r="BO283" s="65"/>
      <c r="BP283" s="65"/>
      <c r="BQ283" s="65"/>
      <c r="BR283" s="65"/>
      <c r="BS283" s="65"/>
      <c r="BT283" s="65"/>
      <c r="BU283" s="65"/>
      <c r="BV283" s="65"/>
      <c r="BW283" s="65"/>
      <c r="BX283" s="65"/>
      <c r="BY283" s="65"/>
      <c r="BZ283" s="65"/>
      <c r="CA283" s="65"/>
      <c r="CB283" s="65"/>
      <c r="CC283" s="65"/>
      <c r="CD283" s="65"/>
      <c r="CE283" s="65"/>
      <c r="CF283" s="65"/>
      <c r="CG283" s="65"/>
      <c r="CH283" s="65"/>
      <c r="CI283" s="65"/>
      <c r="CJ283" s="65"/>
      <c r="CK283" s="65"/>
      <c r="CL283" s="65"/>
      <c r="CM283" s="65"/>
      <c r="CN283" s="65"/>
      <c r="CO283" s="65"/>
      <c r="CP283" s="65"/>
      <c r="CQ283" s="65"/>
      <c r="CR283" s="65"/>
      <c r="CS283" s="65"/>
      <c r="CT283" s="65"/>
      <c r="CU283" s="65"/>
      <c r="CV283" s="65"/>
      <c r="CW283" s="65"/>
      <c r="CX283" s="65"/>
      <c r="CY283" s="65"/>
      <c r="CZ283" s="65"/>
      <c r="DA283" s="65"/>
      <c r="DB283" s="65"/>
      <c r="DC283" s="65"/>
      <c r="DD283" s="65"/>
      <c r="DE283" s="65"/>
      <c r="DF283" s="65"/>
      <c r="DG283" s="65"/>
      <c r="DH283" s="65"/>
      <c r="DI283" s="65"/>
      <c r="DJ283" s="65"/>
      <c r="DK283" s="65"/>
      <c r="DL283" s="65"/>
      <c r="DM283" s="65"/>
      <c r="DN283" s="65"/>
      <c r="DO283" s="65"/>
      <c r="DP283" s="65"/>
      <c r="DQ283" s="65"/>
      <c r="DR283" s="65"/>
      <c r="DS283" s="65"/>
      <c r="DT283" s="65"/>
      <c r="DU283" s="65"/>
      <c r="DV283" s="65"/>
      <c r="DW283" s="65"/>
      <c r="DX283" s="65"/>
      <c r="DY283" s="65"/>
      <c r="DZ283" s="65"/>
      <c r="EA283" s="65"/>
      <c r="EB283" s="65"/>
      <c r="EC283" s="65"/>
      <c r="ED283" s="65"/>
      <c r="EE283" s="65"/>
      <c r="EF283" s="65"/>
      <c r="EG283" s="65"/>
      <c r="EH283" s="65"/>
      <c r="EI283" s="65"/>
      <c r="EJ283" s="65"/>
      <c r="EK283" s="65"/>
      <c r="EL283" s="65"/>
      <c r="EM283" s="65"/>
      <c r="EN283" s="65"/>
    </row>
    <row r="284" spans="1:145" s="62" customFormat="1" x14ac:dyDescent="0.2">
      <c r="A284" s="74">
        <v>14</v>
      </c>
      <c r="B284" s="183" t="s">
        <v>35</v>
      </c>
      <c r="C284" s="238"/>
      <c r="D284" s="169">
        <f t="shared" ref="D284:P284" si="99">SUM(D282:D283)</f>
        <v>0</v>
      </c>
      <c r="E284" s="169">
        <f t="shared" si="99"/>
        <v>0</v>
      </c>
      <c r="F284" s="169">
        <f t="shared" si="99"/>
        <v>0</v>
      </c>
      <c r="G284" s="169">
        <f t="shared" si="99"/>
        <v>0</v>
      </c>
      <c r="H284" s="169">
        <f t="shared" si="99"/>
        <v>0</v>
      </c>
      <c r="I284" s="169">
        <f t="shared" si="99"/>
        <v>0</v>
      </c>
      <c r="J284" s="169">
        <f t="shared" si="99"/>
        <v>0</v>
      </c>
      <c r="K284" s="169">
        <f t="shared" si="99"/>
        <v>0</v>
      </c>
      <c r="L284" s="169">
        <f t="shared" si="99"/>
        <v>0</v>
      </c>
      <c r="M284" s="169">
        <f t="shared" si="99"/>
        <v>0</v>
      </c>
      <c r="N284" s="156">
        <f t="shared" si="99"/>
        <v>0</v>
      </c>
      <c r="O284" s="156">
        <f t="shared" si="99"/>
        <v>0</v>
      </c>
      <c r="P284" s="156">
        <f t="shared" si="99"/>
        <v>0</v>
      </c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  <c r="BD284" s="65"/>
      <c r="BE284" s="65"/>
      <c r="BF284" s="65"/>
      <c r="BG284" s="65"/>
      <c r="BH284" s="65"/>
      <c r="BI284" s="65"/>
      <c r="BJ284" s="65"/>
      <c r="BK284" s="65"/>
      <c r="BL284" s="65"/>
      <c r="BM284" s="65"/>
      <c r="BN284" s="65"/>
      <c r="BO284" s="65"/>
      <c r="BP284" s="65"/>
      <c r="BQ284" s="65"/>
      <c r="BR284" s="65"/>
      <c r="BS284" s="65"/>
      <c r="BT284" s="65"/>
      <c r="BU284" s="65"/>
      <c r="BV284" s="65"/>
      <c r="BW284" s="65"/>
      <c r="BX284" s="65"/>
      <c r="BY284" s="65"/>
      <c r="BZ284" s="65"/>
      <c r="CA284" s="65"/>
      <c r="CB284" s="65"/>
      <c r="CC284" s="65"/>
      <c r="CD284" s="65"/>
      <c r="CE284" s="65"/>
      <c r="CF284" s="65"/>
      <c r="CG284" s="65"/>
      <c r="CH284" s="65"/>
      <c r="CI284" s="65"/>
      <c r="CJ284" s="65"/>
      <c r="CK284" s="65"/>
      <c r="CL284" s="65"/>
      <c r="CM284" s="65"/>
      <c r="CN284" s="65"/>
      <c r="CO284" s="65"/>
      <c r="CP284" s="65"/>
      <c r="CQ284" s="65"/>
      <c r="CR284" s="65"/>
      <c r="CS284" s="65"/>
      <c r="CT284" s="65"/>
      <c r="CU284" s="65"/>
      <c r="CV284" s="65"/>
      <c r="CW284" s="65"/>
      <c r="CX284" s="65"/>
      <c r="CY284" s="65"/>
      <c r="CZ284" s="65"/>
      <c r="DA284" s="65"/>
      <c r="DB284" s="65"/>
      <c r="DC284" s="65"/>
      <c r="DD284" s="65"/>
      <c r="DE284" s="65"/>
      <c r="DF284" s="65"/>
      <c r="DG284" s="65"/>
      <c r="DH284" s="65"/>
      <c r="DI284" s="65"/>
      <c r="DJ284" s="65"/>
      <c r="DK284" s="65"/>
      <c r="DL284" s="65"/>
      <c r="DM284" s="65"/>
      <c r="DN284" s="65"/>
      <c r="DO284" s="65"/>
      <c r="DP284" s="65"/>
      <c r="DQ284" s="65"/>
      <c r="DR284" s="65"/>
      <c r="DS284" s="65"/>
      <c r="DT284" s="65"/>
      <c r="DU284" s="65"/>
      <c r="DV284" s="65"/>
      <c r="DW284" s="65"/>
      <c r="DX284" s="65"/>
      <c r="DY284" s="65"/>
      <c r="DZ284" s="65"/>
      <c r="EA284" s="65"/>
      <c r="EB284" s="65"/>
      <c r="EC284" s="65"/>
      <c r="ED284" s="65"/>
      <c r="EE284" s="65"/>
      <c r="EF284" s="65"/>
      <c r="EG284" s="65"/>
      <c r="EH284" s="65"/>
      <c r="EI284" s="65"/>
      <c r="EJ284" s="65"/>
      <c r="EK284" s="65"/>
      <c r="EL284" s="65"/>
      <c r="EM284" s="65"/>
      <c r="EN284" s="65"/>
    </row>
    <row r="285" spans="1:145" s="62" customFormat="1" x14ac:dyDescent="0.2">
      <c r="A285" s="74"/>
      <c r="B285" s="129"/>
      <c r="C285" s="185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22"/>
      <c r="O285" s="122"/>
      <c r="P285" s="127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/>
      <c r="AX285" s="65"/>
      <c r="AY285" s="65"/>
      <c r="AZ285" s="65"/>
      <c r="BA285" s="65"/>
      <c r="BB285" s="65"/>
      <c r="BC285" s="65"/>
      <c r="BD285" s="65"/>
      <c r="BE285" s="65"/>
      <c r="BF285" s="65"/>
      <c r="BG285" s="65"/>
      <c r="BH285" s="65"/>
      <c r="BI285" s="65"/>
      <c r="BJ285" s="65"/>
      <c r="BK285" s="65"/>
      <c r="BL285" s="65"/>
      <c r="BM285" s="65"/>
      <c r="BN285" s="65"/>
      <c r="BO285" s="65"/>
      <c r="BP285" s="65"/>
      <c r="BQ285" s="65"/>
      <c r="BR285" s="65"/>
      <c r="BS285" s="65"/>
      <c r="BT285" s="65"/>
      <c r="BU285" s="65"/>
      <c r="BV285" s="65"/>
      <c r="BW285" s="65"/>
      <c r="BX285" s="65"/>
      <c r="BY285" s="65"/>
      <c r="BZ285" s="65"/>
      <c r="CA285" s="65"/>
      <c r="CB285" s="65"/>
      <c r="CC285" s="65"/>
      <c r="CD285" s="65"/>
      <c r="CE285" s="65"/>
      <c r="CF285" s="65"/>
      <c r="CG285" s="65"/>
      <c r="CH285" s="65"/>
      <c r="CI285" s="65"/>
      <c r="CJ285" s="65"/>
      <c r="CK285" s="65"/>
      <c r="CL285" s="65"/>
      <c r="CM285" s="65"/>
      <c r="CN285" s="65"/>
      <c r="CO285" s="65"/>
      <c r="CP285" s="65"/>
      <c r="CQ285" s="65"/>
      <c r="CR285" s="65"/>
      <c r="CS285" s="65"/>
      <c r="CT285" s="65"/>
      <c r="CU285" s="65"/>
      <c r="CV285" s="65"/>
      <c r="CW285" s="65"/>
      <c r="CX285" s="65"/>
      <c r="CY285" s="65"/>
      <c r="CZ285" s="65"/>
      <c r="DA285" s="65"/>
      <c r="DB285" s="65"/>
      <c r="DC285" s="65"/>
      <c r="DD285" s="65"/>
      <c r="DE285" s="65"/>
      <c r="DF285" s="65"/>
      <c r="DG285" s="65"/>
      <c r="DH285" s="65"/>
      <c r="DI285" s="65"/>
      <c r="DJ285" s="65"/>
      <c r="DK285" s="65"/>
      <c r="DL285" s="65"/>
      <c r="DM285" s="65"/>
      <c r="DN285" s="65"/>
      <c r="DO285" s="65"/>
      <c r="DP285" s="65"/>
      <c r="DQ285" s="65"/>
      <c r="DR285" s="65"/>
      <c r="DS285" s="65"/>
      <c r="DT285" s="65"/>
      <c r="DU285" s="65"/>
      <c r="DV285" s="65"/>
      <c r="DW285" s="65"/>
      <c r="DX285" s="65"/>
      <c r="DY285" s="65"/>
      <c r="DZ285" s="65"/>
      <c r="EA285" s="65"/>
      <c r="EB285" s="65"/>
      <c r="EC285" s="65"/>
      <c r="ED285" s="65"/>
      <c r="EE285" s="65"/>
      <c r="EF285" s="65"/>
      <c r="EG285" s="65"/>
      <c r="EH285" s="65"/>
      <c r="EI285" s="65"/>
      <c r="EJ285" s="65"/>
      <c r="EK285" s="65"/>
      <c r="EL285" s="65"/>
      <c r="EM285" s="65"/>
      <c r="EN285" s="65"/>
    </row>
    <row r="286" spans="1:145" s="62" customFormat="1" ht="13.5" customHeight="1" thickBot="1" x14ac:dyDescent="0.25">
      <c r="A286" s="74">
        <v>15</v>
      </c>
      <c r="B286" s="243" t="str">
        <f>B36</f>
        <v>TOTAL AEP TEXAS</v>
      </c>
      <c r="C286" s="238"/>
      <c r="D286" s="244">
        <f t="shared" ref="D286:P286" si="100">+D284+D280</f>
        <v>0</v>
      </c>
      <c r="E286" s="244">
        <f t="shared" si="100"/>
        <v>0</v>
      </c>
      <c r="F286" s="244">
        <f t="shared" si="100"/>
        <v>0</v>
      </c>
      <c r="G286" s="244">
        <f t="shared" si="100"/>
        <v>0</v>
      </c>
      <c r="H286" s="244">
        <f t="shared" si="100"/>
        <v>0</v>
      </c>
      <c r="I286" s="244">
        <f t="shared" si="100"/>
        <v>0</v>
      </c>
      <c r="J286" s="244">
        <f t="shared" si="100"/>
        <v>0</v>
      </c>
      <c r="K286" s="244">
        <f t="shared" si="100"/>
        <v>0</v>
      </c>
      <c r="L286" s="244">
        <f t="shared" si="100"/>
        <v>0</v>
      </c>
      <c r="M286" s="244">
        <f t="shared" si="100"/>
        <v>0</v>
      </c>
      <c r="N286" s="244">
        <f t="shared" si="100"/>
        <v>0</v>
      </c>
      <c r="O286" s="244">
        <f t="shared" si="100"/>
        <v>0</v>
      </c>
      <c r="P286" s="244">
        <f t="shared" si="100"/>
        <v>0</v>
      </c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  <c r="BD286" s="65"/>
      <c r="BE286" s="65"/>
      <c r="BF286" s="65"/>
      <c r="BG286" s="65"/>
      <c r="BH286" s="65"/>
      <c r="BI286" s="65"/>
      <c r="BJ286" s="65"/>
      <c r="BK286" s="65"/>
      <c r="BL286" s="65"/>
      <c r="BM286" s="65"/>
      <c r="BN286" s="65"/>
      <c r="BO286" s="65"/>
      <c r="BP286" s="65"/>
      <c r="BQ286" s="65"/>
      <c r="BR286" s="65"/>
      <c r="BS286" s="65"/>
      <c r="BT286" s="65"/>
      <c r="BU286" s="65"/>
      <c r="BV286" s="65"/>
      <c r="BW286" s="65"/>
      <c r="BX286" s="65"/>
      <c r="BY286" s="65"/>
      <c r="BZ286" s="65"/>
      <c r="CA286" s="65"/>
      <c r="CB286" s="65"/>
      <c r="CC286" s="65"/>
      <c r="CD286" s="65"/>
      <c r="CE286" s="65"/>
      <c r="CF286" s="65"/>
      <c r="CG286" s="65"/>
      <c r="CH286" s="65"/>
      <c r="CI286" s="65"/>
      <c r="CJ286" s="65"/>
      <c r="CK286" s="65"/>
      <c r="CL286" s="65"/>
      <c r="CM286" s="65"/>
      <c r="CN286" s="65"/>
      <c r="CO286" s="65"/>
      <c r="CP286" s="65"/>
      <c r="CQ286" s="65"/>
      <c r="CR286" s="65"/>
      <c r="CS286" s="65"/>
      <c r="CT286" s="65"/>
      <c r="CU286" s="65"/>
      <c r="CV286" s="65"/>
      <c r="CW286" s="65"/>
      <c r="CX286" s="65"/>
      <c r="CY286" s="65"/>
      <c r="CZ286" s="65"/>
      <c r="DA286" s="65"/>
      <c r="DB286" s="65"/>
      <c r="DC286" s="65"/>
      <c r="DD286" s="65"/>
      <c r="DE286" s="65"/>
      <c r="DF286" s="65"/>
      <c r="DG286" s="65"/>
      <c r="DH286" s="65"/>
      <c r="DI286" s="65"/>
      <c r="DJ286" s="65"/>
      <c r="DK286" s="65"/>
      <c r="DL286" s="65"/>
      <c r="DM286" s="65"/>
      <c r="DN286" s="65"/>
      <c r="DO286" s="65"/>
      <c r="DP286" s="65"/>
      <c r="DQ286" s="65"/>
      <c r="DR286" s="65"/>
      <c r="DS286" s="65"/>
      <c r="DT286" s="65"/>
      <c r="DU286" s="65"/>
      <c r="DV286" s="65"/>
      <c r="DW286" s="65"/>
      <c r="DX286" s="65"/>
      <c r="DY286" s="65"/>
      <c r="DZ286" s="65"/>
      <c r="EA286" s="65"/>
      <c r="EB286" s="65"/>
      <c r="EC286" s="65"/>
      <c r="ED286" s="65"/>
      <c r="EE286" s="65"/>
      <c r="EF286" s="65"/>
      <c r="EG286" s="65"/>
      <c r="EH286" s="65"/>
      <c r="EI286" s="65"/>
      <c r="EJ286" s="65"/>
      <c r="EK286" s="65"/>
      <c r="EL286" s="65"/>
      <c r="EM286" s="65"/>
      <c r="EN286" s="65"/>
    </row>
    <row r="287" spans="1:145" customFormat="1" ht="13.5" thickTop="1" x14ac:dyDescent="0.2"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</row>
    <row r="288" spans="1:145" ht="14.25" customHeight="1" x14ac:dyDescent="0.2">
      <c r="B288" s="388" t="str">
        <f>B7</f>
        <v>AEP TEXAS</v>
      </c>
      <c r="C288" s="388"/>
      <c r="D288" s="388"/>
      <c r="E288" s="388"/>
      <c r="F288" s="388"/>
      <c r="G288" s="388"/>
      <c r="H288" s="388"/>
      <c r="I288" s="388"/>
      <c r="J288" s="388"/>
      <c r="K288" s="388"/>
      <c r="L288" s="388"/>
      <c r="M288" s="388"/>
      <c r="N288" s="388"/>
      <c r="O288" s="388"/>
      <c r="P288" s="174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</row>
    <row r="289" spans="1:145" x14ac:dyDescent="0.2">
      <c r="B289" s="388" t="s">
        <v>26</v>
      </c>
      <c r="C289" s="388"/>
      <c r="D289" s="388"/>
      <c r="E289" s="388"/>
      <c r="F289" s="388"/>
      <c r="G289" s="388"/>
      <c r="H289" s="388"/>
      <c r="I289" s="388"/>
      <c r="J289" s="388"/>
      <c r="K289" s="388"/>
      <c r="L289" s="388"/>
      <c r="M289" s="388"/>
      <c r="N289" s="388"/>
      <c r="O289" s="388"/>
      <c r="P289" s="147" t="s">
        <v>1</v>
      </c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</row>
    <row r="290" spans="1:145" x14ac:dyDescent="0.2">
      <c r="B290" s="388" t="str">
        <f>B9</f>
        <v>FOR TEST YEAR ENDED DECEMBER 31, 2018</v>
      </c>
      <c r="C290" s="388"/>
      <c r="D290" s="388"/>
      <c r="E290" s="388"/>
      <c r="F290" s="388"/>
      <c r="G290" s="388"/>
      <c r="H290" s="388"/>
      <c r="I290" s="388"/>
      <c r="J290" s="388"/>
      <c r="K290" s="388"/>
      <c r="L290" s="388"/>
      <c r="M290" s="388"/>
      <c r="N290" s="388"/>
      <c r="O290" s="388"/>
      <c r="P290" s="146" t="s">
        <v>1</v>
      </c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</row>
    <row r="291" spans="1:145" customFormat="1" ht="12.75" x14ac:dyDescent="0.2"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</row>
    <row r="292" spans="1:145" x14ac:dyDescent="0.2">
      <c r="B292" s="175"/>
      <c r="C292" s="174"/>
      <c r="D292" s="176"/>
      <c r="E292" s="177"/>
      <c r="F292" s="177"/>
      <c r="G292" s="176"/>
      <c r="H292" s="157"/>
      <c r="I292" s="157"/>
      <c r="J292" s="157"/>
      <c r="K292" s="157"/>
      <c r="L292" s="157"/>
      <c r="M292" s="157"/>
      <c r="N292" s="157"/>
      <c r="O292" s="122"/>
      <c r="P292" s="178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</row>
    <row r="293" spans="1:145" x14ac:dyDescent="0.2">
      <c r="A293" s="38" t="s">
        <v>20</v>
      </c>
      <c r="B293" s="237" t="s">
        <v>0</v>
      </c>
      <c r="C293" s="237" t="s">
        <v>19</v>
      </c>
      <c r="D293" s="164" t="str">
        <f>+D12</f>
        <v>JANUARY</v>
      </c>
      <c r="E293" s="164" t="str">
        <f t="shared" ref="E293:O293" si="101">+E12</f>
        <v>FEBRUARY</v>
      </c>
      <c r="F293" s="164" t="str">
        <f t="shared" si="101"/>
        <v>MARCH</v>
      </c>
      <c r="G293" s="164" t="str">
        <f t="shared" si="101"/>
        <v>APRIL</v>
      </c>
      <c r="H293" s="164" t="str">
        <f t="shared" si="101"/>
        <v>MAY</v>
      </c>
      <c r="I293" s="164" t="str">
        <f t="shared" si="101"/>
        <v>JUNE</v>
      </c>
      <c r="J293" s="164" t="str">
        <f t="shared" si="101"/>
        <v>JULY</v>
      </c>
      <c r="K293" s="164" t="str">
        <f t="shared" si="101"/>
        <v>AUGUST</v>
      </c>
      <c r="L293" s="164" t="str">
        <f t="shared" si="101"/>
        <v>SEPTEMBER</v>
      </c>
      <c r="M293" s="164" t="str">
        <f t="shared" si="101"/>
        <v>OCTOBER</v>
      </c>
      <c r="N293" s="164" t="str">
        <f t="shared" si="101"/>
        <v>NOVEMBER</v>
      </c>
      <c r="O293" s="164" t="str">
        <f t="shared" si="101"/>
        <v>DECEMBER</v>
      </c>
      <c r="P293" s="179" t="s">
        <v>14</v>
      </c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/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</row>
    <row r="294" spans="1:145" s="62" customFormat="1" x14ac:dyDescent="0.2">
      <c r="A294" s="74"/>
      <c r="B294" s="180"/>
      <c r="C294" s="181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65"/>
    </row>
    <row r="295" spans="1:145" s="62" customFormat="1" x14ac:dyDescent="0.2">
      <c r="A295" s="74" t="s">
        <v>21</v>
      </c>
      <c r="B295" s="129" t="s">
        <v>29</v>
      </c>
      <c r="C295" s="143" t="s">
        <v>16</v>
      </c>
      <c r="D295" s="122">
        <f t="shared" ref="D295:O295" si="102">D264+D231+D198+D167</f>
        <v>1128898806.0062652</v>
      </c>
      <c r="E295" s="122">
        <f t="shared" si="102"/>
        <v>894380167.53655446</v>
      </c>
      <c r="F295" s="122">
        <f t="shared" si="102"/>
        <v>774741101.13629806</v>
      </c>
      <c r="G295" s="122">
        <f t="shared" si="102"/>
        <v>798747396.24825788</v>
      </c>
      <c r="H295" s="122">
        <f t="shared" si="102"/>
        <v>924727811.02947676</v>
      </c>
      <c r="I295" s="122">
        <f t="shared" si="102"/>
        <v>1292987908.8628941</v>
      </c>
      <c r="J295" s="122">
        <f t="shared" si="102"/>
        <v>1426733156.9204152</v>
      </c>
      <c r="K295" s="122">
        <f t="shared" si="102"/>
        <v>1453374800.23313</v>
      </c>
      <c r="L295" s="122">
        <f t="shared" si="102"/>
        <v>1387470823.0249794</v>
      </c>
      <c r="M295" s="122">
        <f t="shared" si="102"/>
        <v>1085563846.5691826</v>
      </c>
      <c r="N295" s="122">
        <f t="shared" si="102"/>
        <v>830683207.93684649</v>
      </c>
      <c r="O295" s="122">
        <f t="shared" si="102"/>
        <v>960326688.89792013</v>
      </c>
      <c r="P295" s="127">
        <f>SUM(D295:O295)</f>
        <v>12958635714.40222</v>
      </c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65"/>
      <c r="BD295" s="65"/>
      <c r="BE295" s="65"/>
      <c r="BF295" s="65"/>
      <c r="BG295" s="65"/>
      <c r="BH295" s="65"/>
      <c r="BI295" s="65"/>
      <c r="BJ295" s="65"/>
      <c r="BK295" s="65"/>
      <c r="BL295" s="65"/>
      <c r="BM295" s="65"/>
      <c r="BN295" s="65"/>
      <c r="BO295" s="65"/>
      <c r="BP295" s="65"/>
      <c r="BQ295" s="65"/>
      <c r="BR295" s="65"/>
      <c r="BS295" s="65"/>
      <c r="BT295" s="65"/>
      <c r="BU295" s="65"/>
      <c r="BV295" s="65"/>
      <c r="BW295" s="65"/>
      <c r="BX295" s="65"/>
      <c r="BY295" s="65"/>
      <c r="BZ295" s="65"/>
      <c r="CA295" s="65"/>
      <c r="CB295" s="65"/>
      <c r="CC295" s="65"/>
      <c r="CD295" s="65"/>
      <c r="CE295" s="65"/>
      <c r="CF295" s="65"/>
      <c r="CG295" s="65"/>
      <c r="CH295" s="65"/>
      <c r="CI295" s="65"/>
      <c r="CJ295" s="65"/>
      <c r="CK295" s="65"/>
      <c r="CL295" s="65"/>
      <c r="CM295" s="65"/>
      <c r="CN295" s="65"/>
      <c r="CO295" s="65"/>
      <c r="CP295" s="65"/>
      <c r="CQ295" s="65"/>
      <c r="CR295" s="65"/>
      <c r="CS295" s="65"/>
      <c r="CT295" s="65"/>
      <c r="CU295" s="65"/>
      <c r="CV295" s="65"/>
      <c r="CW295" s="65"/>
      <c r="CX295" s="65"/>
      <c r="CY295" s="65"/>
      <c r="CZ295" s="65"/>
      <c r="DA295" s="65"/>
      <c r="DB295" s="65"/>
      <c r="DC295" s="65"/>
      <c r="DD295" s="65"/>
      <c r="DE295" s="65"/>
      <c r="DF295" s="65"/>
      <c r="DG295" s="65"/>
      <c r="DH295" s="65"/>
      <c r="DI295" s="65"/>
      <c r="DJ295" s="65"/>
      <c r="DK295" s="65"/>
      <c r="DL295" s="65"/>
      <c r="DM295" s="65"/>
      <c r="DN295" s="65"/>
      <c r="DO295" s="65"/>
      <c r="DP295" s="65"/>
      <c r="DQ295" s="65"/>
      <c r="DR295" s="65"/>
      <c r="DS295" s="65"/>
      <c r="DT295" s="65"/>
      <c r="DU295" s="65"/>
      <c r="DV295" s="65"/>
      <c r="DW295" s="65"/>
      <c r="DX295" s="65"/>
      <c r="DY295" s="65"/>
      <c r="DZ295" s="65"/>
      <c r="EA295" s="65"/>
      <c r="EB295" s="65"/>
      <c r="EC295" s="65"/>
      <c r="ED295" s="65"/>
      <c r="EE295" s="65"/>
      <c r="EF295" s="65"/>
      <c r="EG295" s="65"/>
      <c r="EH295" s="65"/>
      <c r="EI295" s="65"/>
      <c r="EJ295" s="65"/>
      <c r="EK295" s="65"/>
      <c r="EL295" s="65"/>
      <c r="EM295" s="65"/>
      <c r="EN295" s="65"/>
    </row>
    <row r="296" spans="1:145" s="62" customFormat="1" x14ac:dyDescent="0.2">
      <c r="B296" s="129"/>
      <c r="C296" s="143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27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  <c r="BE296" s="65"/>
      <c r="BF296" s="65"/>
      <c r="BG296" s="65"/>
      <c r="BH296" s="65"/>
      <c r="BI296" s="65"/>
      <c r="BJ296" s="65"/>
      <c r="BK296" s="65"/>
      <c r="BL296" s="65"/>
      <c r="BM296" s="65"/>
      <c r="BN296" s="65"/>
      <c r="BO296" s="65"/>
      <c r="BP296" s="65"/>
      <c r="BQ296" s="65"/>
      <c r="BR296" s="65"/>
      <c r="BS296" s="65"/>
      <c r="BT296" s="65"/>
      <c r="BU296" s="65"/>
      <c r="BV296" s="65"/>
      <c r="BW296" s="65"/>
      <c r="BX296" s="65"/>
      <c r="BY296" s="65"/>
      <c r="BZ296" s="65"/>
      <c r="CA296" s="65"/>
      <c r="CB296" s="65"/>
      <c r="CC296" s="65"/>
      <c r="CD296" s="65"/>
      <c r="CE296" s="65"/>
      <c r="CF296" s="65"/>
      <c r="CG296" s="65"/>
      <c r="CH296" s="65"/>
      <c r="CI296" s="65"/>
      <c r="CJ296" s="65"/>
      <c r="CK296" s="65"/>
      <c r="CL296" s="65"/>
      <c r="CM296" s="65"/>
      <c r="CN296" s="65"/>
      <c r="CO296" s="65"/>
      <c r="CP296" s="65"/>
      <c r="CQ296" s="65"/>
      <c r="CR296" s="65"/>
      <c r="CS296" s="65"/>
      <c r="CT296" s="65"/>
      <c r="CU296" s="65"/>
      <c r="CV296" s="65"/>
      <c r="CW296" s="65"/>
      <c r="CX296" s="65"/>
      <c r="CY296" s="65"/>
      <c r="CZ296" s="65"/>
      <c r="DA296" s="65"/>
      <c r="DB296" s="65"/>
      <c r="DC296" s="65"/>
      <c r="DD296" s="65"/>
      <c r="DE296" s="65"/>
      <c r="DF296" s="65"/>
      <c r="DG296" s="65"/>
      <c r="DH296" s="65"/>
      <c r="DI296" s="65"/>
      <c r="DJ296" s="65"/>
      <c r="DK296" s="65"/>
      <c r="DL296" s="65"/>
      <c r="DM296" s="65"/>
      <c r="DN296" s="65"/>
      <c r="DO296" s="65"/>
      <c r="DP296" s="65"/>
      <c r="DQ296" s="65"/>
      <c r="DR296" s="65"/>
      <c r="DS296" s="65"/>
      <c r="DT296" s="65"/>
      <c r="DU296" s="65"/>
      <c r="DV296" s="65"/>
      <c r="DW296" s="65"/>
      <c r="DX296" s="65"/>
      <c r="DY296" s="65"/>
      <c r="DZ296" s="65"/>
      <c r="EA296" s="65"/>
      <c r="EB296" s="65"/>
      <c r="EC296" s="65"/>
      <c r="ED296" s="65"/>
      <c r="EE296" s="65"/>
      <c r="EF296" s="65"/>
      <c r="EG296" s="65"/>
      <c r="EH296" s="65"/>
      <c r="EI296" s="65"/>
      <c r="EJ296" s="65"/>
      <c r="EK296" s="65"/>
      <c r="EL296" s="65"/>
      <c r="EM296" s="65"/>
      <c r="EN296" s="65"/>
    </row>
    <row r="297" spans="1:145" s="62" customFormat="1" x14ac:dyDescent="0.2">
      <c r="A297" s="74">
        <v>2</v>
      </c>
      <c r="B297" s="129" t="s">
        <v>32</v>
      </c>
      <c r="C297" s="143" t="s">
        <v>16</v>
      </c>
      <c r="D297" s="122">
        <f t="shared" ref="D297:O297" si="103">D266+D233+D200+D169</f>
        <v>55130411.741652153</v>
      </c>
      <c r="E297" s="122">
        <f t="shared" si="103"/>
        <v>47486227.151267126</v>
      </c>
      <c r="F297" s="122">
        <f t="shared" si="103"/>
        <v>44355691.669019304</v>
      </c>
      <c r="G297" s="122">
        <f t="shared" si="103"/>
        <v>46546992.710222647</v>
      </c>
      <c r="H297" s="122">
        <f t="shared" si="103"/>
        <v>48402325.990232475</v>
      </c>
      <c r="I297" s="122">
        <f t="shared" si="103"/>
        <v>56345865.83333192</v>
      </c>
      <c r="J297" s="122">
        <f t="shared" si="103"/>
        <v>59486967.887247175</v>
      </c>
      <c r="K297" s="122">
        <f t="shared" si="103"/>
        <v>59973647.758813135</v>
      </c>
      <c r="L297" s="122">
        <f t="shared" si="103"/>
        <v>59601467.340813778</v>
      </c>
      <c r="M297" s="122">
        <f t="shared" si="103"/>
        <v>52485249.921917461</v>
      </c>
      <c r="N297" s="122">
        <f t="shared" si="103"/>
        <v>46904286.531180941</v>
      </c>
      <c r="O297" s="122">
        <f t="shared" si="103"/>
        <v>49009622.872823156</v>
      </c>
      <c r="P297" s="127">
        <f>SUM(D297:O297)</f>
        <v>625728757.40852129</v>
      </c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  <c r="BE297" s="65"/>
      <c r="BF297" s="65"/>
      <c r="BG297" s="65"/>
      <c r="BH297" s="65"/>
      <c r="BI297" s="65"/>
      <c r="BJ297" s="65"/>
      <c r="BK297" s="65"/>
      <c r="BL297" s="65"/>
      <c r="BM297" s="65"/>
      <c r="BN297" s="65"/>
      <c r="BO297" s="65"/>
      <c r="BP297" s="65"/>
      <c r="BQ297" s="65"/>
      <c r="BR297" s="65"/>
      <c r="BS297" s="65"/>
      <c r="BT297" s="65"/>
      <c r="BU297" s="65"/>
      <c r="BV297" s="65"/>
      <c r="BW297" s="65"/>
      <c r="BX297" s="65"/>
      <c r="BY297" s="65"/>
      <c r="BZ297" s="65"/>
      <c r="CA297" s="65"/>
      <c r="CB297" s="65"/>
      <c r="CC297" s="65"/>
      <c r="CD297" s="65"/>
      <c r="CE297" s="65"/>
      <c r="CF297" s="65"/>
      <c r="CG297" s="65"/>
      <c r="CH297" s="65"/>
      <c r="CI297" s="65"/>
      <c r="CJ297" s="65"/>
      <c r="CK297" s="65"/>
      <c r="CL297" s="65"/>
      <c r="CM297" s="65"/>
      <c r="CN297" s="65"/>
      <c r="CO297" s="65"/>
      <c r="CP297" s="65"/>
      <c r="CQ297" s="65"/>
      <c r="CR297" s="65"/>
      <c r="CS297" s="65"/>
      <c r="CT297" s="65"/>
      <c r="CU297" s="65"/>
      <c r="CV297" s="65"/>
      <c r="CW297" s="65"/>
      <c r="CX297" s="65"/>
      <c r="CY297" s="65"/>
      <c r="CZ297" s="65"/>
      <c r="DA297" s="65"/>
      <c r="DB297" s="65"/>
      <c r="DC297" s="65"/>
      <c r="DD297" s="65"/>
      <c r="DE297" s="65"/>
      <c r="DF297" s="65"/>
      <c r="DG297" s="65"/>
      <c r="DH297" s="65"/>
      <c r="DI297" s="65"/>
      <c r="DJ297" s="65"/>
      <c r="DK297" s="65"/>
      <c r="DL297" s="65"/>
      <c r="DM297" s="65"/>
      <c r="DN297" s="65"/>
      <c r="DO297" s="65"/>
      <c r="DP297" s="65"/>
      <c r="DQ297" s="65"/>
      <c r="DR297" s="65"/>
      <c r="DS297" s="65"/>
      <c r="DT297" s="65"/>
      <c r="DU297" s="65"/>
      <c r="DV297" s="65"/>
      <c r="DW297" s="65"/>
      <c r="DX297" s="65"/>
      <c r="DY297" s="65"/>
      <c r="DZ297" s="65"/>
      <c r="EA297" s="65"/>
      <c r="EB297" s="65"/>
      <c r="EC297" s="65"/>
      <c r="ED297" s="65"/>
      <c r="EE297" s="65"/>
      <c r="EF297" s="65"/>
      <c r="EG297" s="65"/>
      <c r="EH297" s="65"/>
      <c r="EI297" s="65"/>
      <c r="EJ297" s="65"/>
      <c r="EK297" s="65"/>
      <c r="EL297" s="65"/>
      <c r="EM297" s="65"/>
      <c r="EN297" s="65"/>
    </row>
    <row r="298" spans="1:145" s="62" customFormat="1" x14ac:dyDescent="0.2">
      <c r="A298" s="74"/>
      <c r="B298" s="129"/>
      <c r="C298" s="143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7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  <c r="BE298" s="65"/>
      <c r="BF298" s="65"/>
      <c r="BG298" s="65"/>
      <c r="BH298" s="65"/>
      <c r="BI298" s="65"/>
      <c r="BJ298" s="65"/>
      <c r="BK298" s="65"/>
      <c r="BL298" s="65"/>
      <c r="BM298" s="65"/>
      <c r="BN298" s="65"/>
      <c r="BO298" s="65"/>
      <c r="BP298" s="65"/>
      <c r="BQ298" s="65"/>
      <c r="BR298" s="65"/>
      <c r="BS298" s="65"/>
      <c r="BT298" s="65"/>
      <c r="BU298" s="65"/>
      <c r="BV298" s="65"/>
      <c r="BW298" s="65"/>
      <c r="BX298" s="65"/>
      <c r="BY298" s="65"/>
      <c r="BZ298" s="65"/>
      <c r="CA298" s="65"/>
      <c r="CB298" s="65"/>
      <c r="CC298" s="65"/>
      <c r="CD298" s="65"/>
      <c r="CE298" s="65"/>
      <c r="CF298" s="65"/>
      <c r="CG298" s="65"/>
      <c r="CH298" s="65"/>
      <c r="CI298" s="65"/>
      <c r="CJ298" s="65"/>
      <c r="CK298" s="65"/>
      <c r="CL298" s="65"/>
      <c r="CM298" s="65"/>
      <c r="CN298" s="65"/>
      <c r="CO298" s="65"/>
      <c r="CP298" s="65"/>
      <c r="CQ298" s="65"/>
      <c r="CR298" s="65"/>
      <c r="CS298" s="65"/>
      <c r="CT298" s="65"/>
      <c r="CU298" s="65"/>
      <c r="CV298" s="65"/>
      <c r="CW298" s="65"/>
      <c r="CX298" s="65"/>
      <c r="CY298" s="65"/>
      <c r="CZ298" s="65"/>
      <c r="DA298" s="65"/>
      <c r="DB298" s="65"/>
      <c r="DC298" s="65"/>
      <c r="DD298" s="65"/>
      <c r="DE298" s="65"/>
      <c r="DF298" s="65"/>
      <c r="DG298" s="65"/>
      <c r="DH298" s="65"/>
      <c r="DI298" s="65"/>
      <c r="DJ298" s="65"/>
      <c r="DK298" s="65"/>
      <c r="DL298" s="65"/>
      <c r="DM298" s="65"/>
      <c r="DN298" s="65"/>
      <c r="DO298" s="65"/>
      <c r="DP298" s="65"/>
      <c r="DQ298" s="65"/>
      <c r="DR298" s="65"/>
      <c r="DS298" s="65"/>
      <c r="DT298" s="65"/>
      <c r="DU298" s="65"/>
      <c r="DV298" s="65"/>
      <c r="DW298" s="65"/>
      <c r="DX298" s="65"/>
      <c r="DY298" s="65"/>
      <c r="DZ298" s="65"/>
      <c r="EA298" s="65"/>
      <c r="EB298" s="65"/>
      <c r="EC298" s="65"/>
      <c r="ED298" s="65"/>
      <c r="EE298" s="65"/>
      <c r="EF298" s="65"/>
      <c r="EG298" s="65"/>
      <c r="EH298" s="65"/>
      <c r="EI298" s="65"/>
      <c r="EJ298" s="65"/>
      <c r="EK298" s="65"/>
      <c r="EL298" s="65"/>
      <c r="EM298" s="65"/>
      <c r="EN298" s="65"/>
    </row>
    <row r="299" spans="1:145" s="62" customFormat="1" x14ac:dyDescent="0.2">
      <c r="A299" s="74">
        <v>3</v>
      </c>
      <c r="B299" s="146" t="s">
        <v>113</v>
      </c>
      <c r="C299" s="125" t="s">
        <v>16</v>
      </c>
      <c r="D299" s="122">
        <f t="shared" ref="D299:O299" si="104">D268+D235+D202+D171</f>
        <v>683673174.9167788</v>
      </c>
      <c r="E299" s="122">
        <f t="shared" si="104"/>
        <v>609341663.29206622</v>
      </c>
      <c r="F299" s="122">
        <f t="shared" si="104"/>
        <v>598756950.53253078</v>
      </c>
      <c r="G299" s="122">
        <f t="shared" si="104"/>
        <v>653688427.4836663</v>
      </c>
      <c r="H299" s="122">
        <f t="shared" si="104"/>
        <v>698018409.60715997</v>
      </c>
      <c r="I299" s="122">
        <f t="shared" si="104"/>
        <v>824144903.39193344</v>
      </c>
      <c r="J299" s="122">
        <f t="shared" si="104"/>
        <v>859014015.76888692</v>
      </c>
      <c r="K299" s="122">
        <f t="shared" si="104"/>
        <v>869329108.76630306</v>
      </c>
      <c r="L299" s="122">
        <f t="shared" si="104"/>
        <v>876002590.37581706</v>
      </c>
      <c r="M299" s="122">
        <f t="shared" si="104"/>
        <v>762331332.43382716</v>
      </c>
      <c r="N299" s="122">
        <f t="shared" si="104"/>
        <v>647384181.95179224</v>
      </c>
      <c r="O299" s="122">
        <f t="shared" si="104"/>
        <v>635444424.4674834</v>
      </c>
      <c r="P299" s="127">
        <f>SUM(D299:O299)</f>
        <v>8717129182.9882469</v>
      </c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  <c r="BE299" s="65"/>
      <c r="BF299" s="65"/>
      <c r="BG299" s="65"/>
      <c r="BH299" s="65"/>
      <c r="BI299" s="65"/>
      <c r="BJ299" s="65"/>
      <c r="BK299" s="65"/>
      <c r="BL299" s="65"/>
      <c r="BM299" s="65"/>
      <c r="BN299" s="65"/>
      <c r="BO299" s="65"/>
      <c r="BP299" s="65"/>
      <c r="BQ299" s="65"/>
      <c r="BR299" s="65"/>
      <c r="BS299" s="65"/>
      <c r="BT299" s="65"/>
      <c r="BU299" s="65"/>
      <c r="BV299" s="65"/>
      <c r="BW299" s="65"/>
      <c r="BX299" s="65"/>
      <c r="BY299" s="65"/>
      <c r="BZ299" s="65"/>
      <c r="CA299" s="65"/>
      <c r="CB299" s="65"/>
      <c r="CC299" s="65"/>
      <c r="CD299" s="65"/>
      <c r="CE299" s="65"/>
      <c r="CF299" s="65"/>
      <c r="CG299" s="65"/>
      <c r="CH299" s="65"/>
      <c r="CI299" s="65"/>
      <c r="CJ299" s="65"/>
      <c r="CK299" s="65"/>
      <c r="CL299" s="65"/>
      <c r="CM299" s="65"/>
      <c r="CN299" s="65"/>
      <c r="CO299" s="65"/>
      <c r="CP299" s="65"/>
      <c r="CQ299" s="65"/>
      <c r="CR299" s="65"/>
      <c r="CS299" s="65"/>
      <c r="CT299" s="65"/>
      <c r="CU299" s="65"/>
      <c r="CV299" s="65"/>
      <c r="CW299" s="65"/>
      <c r="CX299" s="65"/>
      <c r="CY299" s="65"/>
      <c r="CZ299" s="65"/>
      <c r="DA299" s="65"/>
      <c r="DB299" s="65"/>
      <c r="DC299" s="65"/>
      <c r="DD299" s="65"/>
      <c r="DE299" s="65"/>
      <c r="DF299" s="65"/>
      <c r="DG299" s="65"/>
      <c r="DH299" s="65"/>
      <c r="DI299" s="65"/>
      <c r="DJ299" s="65"/>
      <c r="DK299" s="65"/>
      <c r="DL299" s="65"/>
      <c r="DM299" s="65"/>
      <c r="DN299" s="65"/>
      <c r="DO299" s="65"/>
      <c r="DP299" s="65"/>
      <c r="DQ299" s="65"/>
      <c r="DR299" s="65"/>
      <c r="DS299" s="65"/>
      <c r="DT299" s="65"/>
      <c r="DU299" s="65"/>
      <c r="DV299" s="65"/>
      <c r="DW299" s="65"/>
      <c r="DX299" s="65"/>
      <c r="DY299" s="65"/>
      <c r="DZ299" s="65"/>
      <c r="EA299" s="65"/>
      <c r="EB299" s="65"/>
      <c r="EC299" s="65"/>
      <c r="ED299" s="65"/>
      <c r="EE299" s="65"/>
      <c r="EF299" s="65"/>
      <c r="EG299" s="65"/>
      <c r="EH299" s="65"/>
      <c r="EI299" s="65"/>
      <c r="EJ299" s="65"/>
      <c r="EK299" s="65"/>
      <c r="EL299" s="65"/>
      <c r="EM299" s="65"/>
      <c r="EN299" s="65"/>
    </row>
    <row r="300" spans="1:145" s="62" customFormat="1" x14ac:dyDescent="0.2">
      <c r="A300" s="74">
        <v>4</v>
      </c>
      <c r="B300" s="146" t="s">
        <v>114</v>
      </c>
      <c r="C300" s="125" t="s">
        <v>16</v>
      </c>
      <c r="D300" s="123">
        <f t="shared" ref="D300:O300" si="105">D269+D236+D203+D172</f>
        <v>104635186.75827122</v>
      </c>
      <c r="E300" s="123">
        <f t="shared" si="105"/>
        <v>89824510.571137413</v>
      </c>
      <c r="F300" s="123">
        <f t="shared" si="105"/>
        <v>89860876.081704602</v>
      </c>
      <c r="G300" s="123">
        <f t="shared" si="105"/>
        <v>94968123.061607257</v>
      </c>
      <c r="H300" s="123">
        <f t="shared" si="105"/>
        <v>100441099.34344804</v>
      </c>
      <c r="I300" s="123">
        <f t="shared" si="105"/>
        <v>102844728.06686093</v>
      </c>
      <c r="J300" s="123">
        <f t="shared" si="105"/>
        <v>117630969.70660605</v>
      </c>
      <c r="K300" s="123">
        <f t="shared" si="105"/>
        <v>112882109.72087257</v>
      </c>
      <c r="L300" s="123">
        <f t="shared" si="105"/>
        <v>132966307.34622116</v>
      </c>
      <c r="M300" s="123">
        <f t="shared" si="105"/>
        <v>117540588.25184754</v>
      </c>
      <c r="N300" s="123">
        <f t="shared" si="105"/>
        <v>105744392.90374309</v>
      </c>
      <c r="O300" s="123">
        <f t="shared" si="105"/>
        <v>100798498.66138721</v>
      </c>
      <c r="P300" s="167">
        <f>SUM(D300:O300)</f>
        <v>1270137390.473707</v>
      </c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  <c r="AW300" s="65"/>
      <c r="AX300" s="65"/>
      <c r="AY300" s="65"/>
      <c r="AZ300" s="65"/>
      <c r="BA300" s="65"/>
      <c r="BB300" s="65"/>
      <c r="BC300" s="65"/>
      <c r="BD300" s="65"/>
      <c r="BE300" s="65"/>
      <c r="BF300" s="65"/>
      <c r="BG300" s="65"/>
      <c r="BH300" s="65"/>
      <c r="BI300" s="65"/>
      <c r="BJ300" s="65"/>
      <c r="BK300" s="65"/>
      <c r="BL300" s="65"/>
      <c r="BM300" s="65"/>
      <c r="BN300" s="65"/>
      <c r="BO300" s="65"/>
      <c r="BP300" s="65"/>
      <c r="BQ300" s="65"/>
      <c r="BR300" s="65"/>
      <c r="BS300" s="65"/>
      <c r="BT300" s="65"/>
      <c r="BU300" s="65"/>
      <c r="BV300" s="65"/>
      <c r="BW300" s="65"/>
      <c r="BX300" s="65"/>
      <c r="BY300" s="65"/>
      <c r="BZ300" s="65"/>
      <c r="CA300" s="65"/>
      <c r="CB300" s="65"/>
      <c r="CC300" s="65"/>
      <c r="CD300" s="65"/>
      <c r="CE300" s="65"/>
      <c r="CF300" s="65"/>
      <c r="CG300" s="65"/>
      <c r="CH300" s="65"/>
      <c r="CI300" s="65"/>
      <c r="CJ300" s="65"/>
      <c r="CK300" s="65"/>
      <c r="CL300" s="65"/>
      <c r="CM300" s="65"/>
      <c r="CN300" s="65"/>
      <c r="CO300" s="65"/>
      <c r="CP300" s="65"/>
      <c r="CQ300" s="65"/>
      <c r="CR300" s="65"/>
      <c r="CS300" s="65"/>
      <c r="CT300" s="65"/>
      <c r="CU300" s="65"/>
      <c r="CV300" s="65"/>
      <c r="CW300" s="65"/>
      <c r="CX300" s="65"/>
      <c r="CY300" s="65"/>
      <c r="CZ300" s="65"/>
      <c r="DA300" s="65"/>
      <c r="DB300" s="65"/>
      <c r="DC300" s="65"/>
      <c r="DD300" s="65"/>
      <c r="DE300" s="65"/>
      <c r="DF300" s="65"/>
      <c r="DG300" s="65"/>
      <c r="DH300" s="65"/>
      <c r="DI300" s="65"/>
      <c r="DJ300" s="65"/>
      <c r="DK300" s="65"/>
      <c r="DL300" s="65"/>
      <c r="DM300" s="65"/>
      <c r="DN300" s="65"/>
      <c r="DO300" s="65"/>
      <c r="DP300" s="65"/>
      <c r="DQ300" s="65"/>
      <c r="DR300" s="65"/>
      <c r="DS300" s="65"/>
      <c r="DT300" s="65"/>
      <c r="DU300" s="65"/>
      <c r="DV300" s="65"/>
      <c r="DW300" s="65"/>
      <c r="DX300" s="65"/>
      <c r="DY300" s="65"/>
      <c r="DZ300" s="65"/>
      <c r="EA300" s="65"/>
      <c r="EB300" s="65"/>
      <c r="EC300" s="65"/>
      <c r="ED300" s="65"/>
      <c r="EE300" s="65"/>
      <c r="EF300" s="65"/>
      <c r="EG300" s="65"/>
      <c r="EH300" s="65"/>
      <c r="EI300" s="65"/>
      <c r="EJ300" s="65"/>
      <c r="EK300" s="65"/>
      <c r="EL300" s="65"/>
      <c r="EM300" s="65"/>
      <c r="EN300" s="65"/>
    </row>
    <row r="301" spans="1:145" s="62" customFormat="1" x14ac:dyDescent="0.2">
      <c r="A301" s="74">
        <v>5</v>
      </c>
      <c r="B301" s="162" t="s">
        <v>30</v>
      </c>
      <c r="C301" s="143"/>
      <c r="D301" s="157">
        <f t="shared" ref="D301:P301" si="106">SUM(D299:D300)</f>
        <v>788308361.67505002</v>
      </c>
      <c r="E301" s="157">
        <f t="shared" si="106"/>
        <v>699166173.86320364</v>
      </c>
      <c r="F301" s="157">
        <f t="shared" si="106"/>
        <v>688617826.6142354</v>
      </c>
      <c r="G301" s="157">
        <f t="shared" si="106"/>
        <v>748656550.54527354</v>
      </c>
      <c r="H301" s="157">
        <f t="shared" si="106"/>
        <v>798459508.95060802</v>
      </c>
      <c r="I301" s="157">
        <f t="shared" si="106"/>
        <v>926989631.45879436</v>
      </c>
      <c r="J301" s="157">
        <f t="shared" si="106"/>
        <v>976644985.47549295</v>
      </c>
      <c r="K301" s="157">
        <f t="shared" si="106"/>
        <v>982211218.48717558</v>
      </c>
      <c r="L301" s="157">
        <f t="shared" si="106"/>
        <v>1008968897.7220383</v>
      </c>
      <c r="M301" s="157">
        <f t="shared" si="106"/>
        <v>879871920.68567467</v>
      </c>
      <c r="N301" s="157">
        <f t="shared" si="106"/>
        <v>753128574.85553527</v>
      </c>
      <c r="O301" s="157">
        <f t="shared" si="106"/>
        <v>736242923.12887061</v>
      </c>
      <c r="P301" s="157">
        <f t="shared" si="106"/>
        <v>9987266573.4619541</v>
      </c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  <c r="AT301" s="65"/>
      <c r="AU301" s="65"/>
      <c r="AV301" s="65"/>
      <c r="AW301" s="65"/>
      <c r="AX301" s="65"/>
      <c r="AY301" s="65"/>
      <c r="AZ301" s="65"/>
      <c r="BA301" s="65"/>
      <c r="BB301" s="65"/>
      <c r="BC301" s="65"/>
      <c r="BD301" s="65"/>
      <c r="BE301" s="65"/>
      <c r="BF301" s="65"/>
      <c r="BG301" s="65"/>
      <c r="BH301" s="65"/>
      <c r="BI301" s="65"/>
      <c r="BJ301" s="65"/>
      <c r="BK301" s="65"/>
      <c r="BL301" s="65"/>
      <c r="BM301" s="65"/>
      <c r="BN301" s="65"/>
      <c r="BO301" s="65"/>
      <c r="BP301" s="65"/>
      <c r="BQ301" s="65"/>
      <c r="BR301" s="65"/>
      <c r="BS301" s="65"/>
      <c r="BT301" s="65"/>
      <c r="BU301" s="65"/>
      <c r="BV301" s="65"/>
      <c r="BW301" s="65"/>
      <c r="BX301" s="65"/>
      <c r="BY301" s="65"/>
      <c r="BZ301" s="65"/>
      <c r="CA301" s="65"/>
      <c r="CB301" s="65"/>
      <c r="CC301" s="65"/>
      <c r="CD301" s="65"/>
      <c r="CE301" s="65"/>
      <c r="CF301" s="65"/>
      <c r="CG301" s="65"/>
      <c r="CH301" s="65"/>
      <c r="CI301" s="65"/>
      <c r="CJ301" s="65"/>
      <c r="CK301" s="65"/>
      <c r="CL301" s="65"/>
      <c r="CM301" s="65"/>
      <c r="CN301" s="65"/>
      <c r="CO301" s="65"/>
      <c r="CP301" s="65"/>
      <c r="CQ301" s="65"/>
      <c r="CR301" s="65"/>
      <c r="CS301" s="65"/>
      <c r="CT301" s="65"/>
      <c r="CU301" s="65"/>
      <c r="CV301" s="65"/>
      <c r="CW301" s="65"/>
      <c r="CX301" s="65"/>
      <c r="CY301" s="65"/>
      <c r="CZ301" s="65"/>
      <c r="DA301" s="65"/>
      <c r="DB301" s="65"/>
      <c r="DC301" s="65"/>
      <c r="DD301" s="65"/>
      <c r="DE301" s="65"/>
      <c r="DF301" s="65"/>
      <c r="DG301" s="65"/>
      <c r="DH301" s="65"/>
      <c r="DI301" s="65"/>
      <c r="DJ301" s="65"/>
      <c r="DK301" s="65"/>
      <c r="DL301" s="65"/>
      <c r="DM301" s="65"/>
      <c r="DN301" s="65"/>
      <c r="DO301" s="65"/>
      <c r="DP301" s="65"/>
      <c r="DQ301" s="65"/>
      <c r="DR301" s="65"/>
      <c r="DS301" s="65"/>
      <c r="DT301" s="65"/>
      <c r="DU301" s="65"/>
      <c r="DV301" s="65"/>
      <c r="DW301" s="65"/>
      <c r="DX301" s="65"/>
      <c r="DY301" s="65"/>
      <c r="DZ301" s="65"/>
      <c r="EA301" s="65"/>
      <c r="EB301" s="65"/>
      <c r="EC301" s="65"/>
      <c r="ED301" s="65"/>
      <c r="EE301" s="65"/>
      <c r="EF301" s="65"/>
      <c r="EG301" s="65"/>
      <c r="EH301" s="65"/>
      <c r="EI301" s="65"/>
      <c r="EJ301" s="65"/>
      <c r="EK301" s="65"/>
      <c r="EL301" s="65"/>
      <c r="EM301" s="65"/>
      <c r="EN301" s="65"/>
    </row>
    <row r="302" spans="1:145" s="62" customFormat="1" x14ac:dyDescent="0.2">
      <c r="B302" s="242"/>
      <c r="C302" s="143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22"/>
      <c r="O302" s="122"/>
      <c r="P302" s="127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/>
      <c r="AU302" s="65"/>
      <c r="AV302" s="65"/>
      <c r="AW302" s="65"/>
      <c r="AX302" s="65"/>
      <c r="AY302" s="65"/>
      <c r="AZ302" s="65"/>
      <c r="BA302" s="65"/>
      <c r="BB302" s="65"/>
      <c r="BC302" s="65"/>
      <c r="BD302" s="65"/>
      <c r="BE302" s="65"/>
      <c r="BF302" s="65"/>
      <c r="BG302" s="65"/>
      <c r="BH302" s="65"/>
      <c r="BI302" s="65"/>
      <c r="BJ302" s="65"/>
      <c r="BK302" s="65"/>
      <c r="BL302" s="65"/>
      <c r="BM302" s="65"/>
      <c r="BN302" s="65"/>
      <c r="BO302" s="65"/>
      <c r="BP302" s="65"/>
      <c r="BQ302" s="65"/>
      <c r="BR302" s="65"/>
      <c r="BS302" s="65"/>
      <c r="BT302" s="65"/>
      <c r="BU302" s="65"/>
      <c r="BV302" s="65"/>
      <c r="BW302" s="65"/>
      <c r="BX302" s="65"/>
      <c r="BY302" s="65"/>
      <c r="BZ302" s="65"/>
      <c r="CA302" s="65"/>
      <c r="CB302" s="65"/>
      <c r="CC302" s="65"/>
      <c r="CD302" s="65"/>
      <c r="CE302" s="65"/>
      <c r="CF302" s="65"/>
      <c r="CG302" s="65"/>
      <c r="CH302" s="65"/>
      <c r="CI302" s="65"/>
      <c r="CJ302" s="65"/>
      <c r="CK302" s="65"/>
      <c r="CL302" s="65"/>
      <c r="CM302" s="65"/>
      <c r="CN302" s="65"/>
      <c r="CO302" s="65"/>
      <c r="CP302" s="65"/>
      <c r="CQ302" s="65"/>
      <c r="CR302" s="65"/>
      <c r="CS302" s="65"/>
      <c r="CT302" s="65"/>
      <c r="CU302" s="65"/>
      <c r="CV302" s="65"/>
      <c r="CW302" s="65"/>
      <c r="CX302" s="65"/>
      <c r="CY302" s="65"/>
      <c r="CZ302" s="65"/>
      <c r="DA302" s="65"/>
      <c r="DB302" s="65"/>
      <c r="DC302" s="65"/>
      <c r="DD302" s="65"/>
      <c r="DE302" s="65"/>
      <c r="DF302" s="65"/>
      <c r="DG302" s="65"/>
      <c r="DH302" s="65"/>
      <c r="DI302" s="65"/>
      <c r="DJ302" s="65"/>
      <c r="DK302" s="65"/>
      <c r="DL302" s="65"/>
      <c r="DM302" s="65"/>
      <c r="DN302" s="65"/>
      <c r="DO302" s="65"/>
      <c r="DP302" s="65"/>
      <c r="DQ302" s="65"/>
      <c r="DR302" s="65"/>
      <c r="DS302" s="65"/>
      <c r="DT302" s="65"/>
      <c r="DU302" s="65"/>
      <c r="DV302" s="65"/>
      <c r="DW302" s="65"/>
      <c r="DX302" s="65"/>
      <c r="DY302" s="65"/>
      <c r="DZ302" s="65"/>
      <c r="EA302" s="65"/>
      <c r="EB302" s="65"/>
      <c r="EC302" s="65"/>
      <c r="ED302" s="65"/>
      <c r="EE302" s="65"/>
      <c r="EF302" s="65"/>
      <c r="EG302" s="65"/>
      <c r="EH302" s="65"/>
      <c r="EI302" s="65"/>
      <c r="EJ302" s="65"/>
      <c r="EK302" s="65"/>
      <c r="EL302" s="65"/>
      <c r="EM302" s="65"/>
      <c r="EN302" s="65"/>
    </row>
    <row r="303" spans="1:145" s="62" customFormat="1" x14ac:dyDescent="0.2">
      <c r="A303" s="74">
        <v>6</v>
      </c>
      <c r="B303" s="146" t="s">
        <v>110</v>
      </c>
      <c r="C303" s="125" t="s">
        <v>17</v>
      </c>
      <c r="D303" s="122">
        <f t="shared" ref="D303:O303" si="107">D272+D239+D206+D175</f>
        <v>22549767.983029272</v>
      </c>
      <c r="E303" s="122">
        <f t="shared" si="107"/>
        <v>23339745.062554214</v>
      </c>
      <c r="F303" s="122">
        <f t="shared" si="107"/>
        <v>20396888.707081396</v>
      </c>
      <c r="G303" s="122">
        <f t="shared" si="107"/>
        <v>24191695.223586228</v>
      </c>
      <c r="H303" s="122">
        <f t="shared" si="107"/>
        <v>29043686.237105589</v>
      </c>
      <c r="I303" s="122">
        <f t="shared" si="107"/>
        <v>24041383.4489142</v>
      </c>
      <c r="J303" s="122">
        <f t="shared" si="107"/>
        <v>27402806.862506889</v>
      </c>
      <c r="K303" s="122">
        <f t="shared" si="107"/>
        <v>32562634.996538095</v>
      </c>
      <c r="L303" s="122">
        <f t="shared" si="107"/>
        <v>26982563.875575803</v>
      </c>
      <c r="M303" s="122">
        <f t="shared" si="107"/>
        <v>30729427.271777686</v>
      </c>
      <c r="N303" s="122">
        <f t="shared" si="107"/>
        <v>31513498.631476115</v>
      </c>
      <c r="O303" s="122">
        <f t="shared" si="107"/>
        <v>28844890.712666668</v>
      </c>
      <c r="P303" s="127">
        <f>SUM(D303:O303)</f>
        <v>321598989.0128122</v>
      </c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  <c r="AT303" s="65"/>
      <c r="AU303" s="65"/>
      <c r="AV303" s="65"/>
      <c r="AW303" s="65"/>
      <c r="AX303" s="65"/>
      <c r="AY303" s="65"/>
      <c r="AZ303" s="65"/>
      <c r="BA303" s="65"/>
      <c r="BB303" s="65"/>
      <c r="BC303" s="65"/>
      <c r="BD303" s="65"/>
      <c r="BE303" s="65"/>
      <c r="BF303" s="65"/>
      <c r="BG303" s="65"/>
      <c r="BH303" s="65"/>
      <c r="BI303" s="65"/>
      <c r="BJ303" s="65"/>
      <c r="BK303" s="65"/>
      <c r="BL303" s="65"/>
      <c r="BM303" s="65"/>
      <c r="BN303" s="65"/>
      <c r="BO303" s="65"/>
      <c r="BP303" s="65"/>
      <c r="BQ303" s="65"/>
      <c r="BR303" s="65"/>
      <c r="BS303" s="65"/>
      <c r="BT303" s="65"/>
      <c r="BU303" s="65"/>
      <c r="BV303" s="65"/>
      <c r="BW303" s="65"/>
      <c r="BX303" s="65"/>
      <c r="BY303" s="65"/>
      <c r="BZ303" s="65"/>
      <c r="CA303" s="65"/>
      <c r="CB303" s="65"/>
      <c r="CC303" s="65"/>
      <c r="CD303" s="65"/>
      <c r="CE303" s="65"/>
      <c r="CF303" s="65"/>
      <c r="CG303" s="65"/>
      <c r="CH303" s="65"/>
      <c r="CI303" s="65"/>
      <c r="CJ303" s="65"/>
      <c r="CK303" s="65"/>
      <c r="CL303" s="65"/>
      <c r="CM303" s="65"/>
      <c r="CN303" s="65"/>
      <c r="CO303" s="65"/>
      <c r="CP303" s="65"/>
      <c r="CQ303" s="65"/>
      <c r="CR303" s="65"/>
      <c r="CS303" s="65"/>
      <c r="CT303" s="65"/>
      <c r="CU303" s="65"/>
      <c r="CV303" s="65"/>
      <c r="CW303" s="65"/>
      <c r="CX303" s="65"/>
      <c r="CY303" s="65"/>
      <c r="CZ303" s="65"/>
      <c r="DA303" s="65"/>
      <c r="DB303" s="65"/>
      <c r="DC303" s="65"/>
      <c r="DD303" s="65"/>
      <c r="DE303" s="65"/>
      <c r="DF303" s="65"/>
      <c r="DG303" s="65"/>
      <c r="DH303" s="65"/>
      <c r="DI303" s="65"/>
      <c r="DJ303" s="65"/>
      <c r="DK303" s="65"/>
      <c r="DL303" s="65"/>
      <c r="DM303" s="65"/>
      <c r="DN303" s="65"/>
      <c r="DO303" s="65"/>
      <c r="DP303" s="65"/>
      <c r="DQ303" s="65"/>
      <c r="DR303" s="65"/>
      <c r="DS303" s="65"/>
      <c r="DT303" s="65"/>
      <c r="DU303" s="65"/>
      <c r="DV303" s="65"/>
      <c r="DW303" s="65"/>
      <c r="DX303" s="65"/>
      <c r="DY303" s="65"/>
      <c r="DZ303" s="65"/>
      <c r="EA303" s="65"/>
      <c r="EB303" s="65"/>
      <c r="EC303" s="65"/>
      <c r="ED303" s="65"/>
      <c r="EE303" s="65"/>
      <c r="EF303" s="65"/>
      <c r="EG303" s="65"/>
      <c r="EH303" s="65"/>
      <c r="EI303" s="65"/>
      <c r="EJ303" s="65"/>
      <c r="EK303" s="65"/>
      <c r="EL303" s="65"/>
      <c r="EM303" s="65"/>
      <c r="EN303" s="65"/>
    </row>
    <row r="304" spans="1:145" s="62" customFormat="1" x14ac:dyDescent="0.2">
      <c r="A304" s="74">
        <v>7</v>
      </c>
      <c r="B304" s="146" t="s">
        <v>111</v>
      </c>
      <c r="C304" s="125" t="s">
        <v>17</v>
      </c>
      <c r="D304" s="123">
        <f t="shared" ref="D304:O304" si="108">D273+D240+D207+D176</f>
        <v>348498699.74101853</v>
      </c>
      <c r="E304" s="123">
        <f t="shared" si="108"/>
        <v>309279614.97095346</v>
      </c>
      <c r="F304" s="123">
        <f t="shared" si="108"/>
        <v>324346889.82109863</v>
      </c>
      <c r="G304" s="123">
        <f t="shared" si="108"/>
        <v>343369182.75741619</v>
      </c>
      <c r="H304" s="123">
        <f t="shared" si="108"/>
        <v>353391152.93934917</v>
      </c>
      <c r="I304" s="123">
        <f t="shared" si="108"/>
        <v>380923092.934587</v>
      </c>
      <c r="J304" s="123">
        <f t="shared" si="108"/>
        <v>383365059.90733469</v>
      </c>
      <c r="K304" s="123">
        <f t="shared" si="108"/>
        <v>388192124.81981885</v>
      </c>
      <c r="L304" s="123">
        <f t="shared" si="108"/>
        <v>398320380.98415101</v>
      </c>
      <c r="M304" s="123">
        <f t="shared" si="108"/>
        <v>360863075.00771582</v>
      </c>
      <c r="N304" s="123">
        <f t="shared" si="108"/>
        <v>354942187.14600146</v>
      </c>
      <c r="O304" s="123">
        <f t="shared" si="108"/>
        <v>345655369.222</v>
      </c>
      <c r="P304" s="167">
        <f>SUM(D304:O304)</f>
        <v>4291146830.2514448</v>
      </c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  <c r="AW304" s="65"/>
      <c r="AX304" s="65"/>
      <c r="AY304" s="65"/>
      <c r="AZ304" s="65"/>
      <c r="BA304" s="65"/>
      <c r="BB304" s="65"/>
      <c r="BC304" s="65"/>
      <c r="BD304" s="65"/>
      <c r="BE304" s="65"/>
      <c r="BF304" s="65"/>
      <c r="BG304" s="65"/>
      <c r="BH304" s="65"/>
      <c r="BI304" s="65"/>
      <c r="BJ304" s="65"/>
      <c r="BK304" s="65"/>
      <c r="BL304" s="65"/>
      <c r="BM304" s="65"/>
      <c r="BN304" s="65"/>
      <c r="BO304" s="65"/>
      <c r="BP304" s="65"/>
      <c r="BQ304" s="65"/>
      <c r="BR304" s="65"/>
      <c r="BS304" s="65"/>
      <c r="BT304" s="65"/>
      <c r="BU304" s="65"/>
      <c r="BV304" s="65"/>
      <c r="BW304" s="65"/>
      <c r="BX304" s="65"/>
      <c r="BY304" s="65"/>
      <c r="BZ304" s="65"/>
      <c r="CA304" s="65"/>
      <c r="CB304" s="65"/>
      <c r="CC304" s="65"/>
      <c r="CD304" s="65"/>
      <c r="CE304" s="65"/>
      <c r="CF304" s="65"/>
      <c r="CG304" s="65"/>
      <c r="CH304" s="65"/>
      <c r="CI304" s="65"/>
      <c r="CJ304" s="65"/>
      <c r="CK304" s="65"/>
      <c r="CL304" s="65"/>
      <c r="CM304" s="65"/>
      <c r="CN304" s="65"/>
      <c r="CO304" s="65"/>
      <c r="CP304" s="65"/>
      <c r="CQ304" s="65"/>
      <c r="CR304" s="65"/>
      <c r="CS304" s="65"/>
      <c r="CT304" s="65"/>
      <c r="CU304" s="65"/>
      <c r="CV304" s="65"/>
      <c r="CW304" s="65"/>
      <c r="CX304" s="65"/>
      <c r="CY304" s="65"/>
      <c r="CZ304" s="65"/>
      <c r="DA304" s="65"/>
      <c r="DB304" s="65"/>
      <c r="DC304" s="65"/>
      <c r="DD304" s="65"/>
      <c r="DE304" s="65"/>
      <c r="DF304" s="65"/>
      <c r="DG304" s="65"/>
      <c r="DH304" s="65"/>
      <c r="DI304" s="65"/>
      <c r="DJ304" s="65"/>
      <c r="DK304" s="65"/>
      <c r="DL304" s="65"/>
      <c r="DM304" s="65"/>
      <c r="DN304" s="65"/>
      <c r="DO304" s="65"/>
      <c r="DP304" s="65"/>
      <c r="DQ304" s="65"/>
      <c r="DR304" s="65"/>
      <c r="DS304" s="65"/>
      <c r="DT304" s="65"/>
      <c r="DU304" s="65"/>
      <c r="DV304" s="65"/>
      <c r="DW304" s="65"/>
      <c r="DX304" s="65"/>
      <c r="DY304" s="65"/>
      <c r="DZ304" s="65"/>
      <c r="EA304" s="65"/>
      <c r="EB304" s="65"/>
      <c r="EC304" s="65"/>
      <c r="ED304" s="65"/>
      <c r="EE304" s="65"/>
      <c r="EF304" s="65"/>
      <c r="EG304" s="65"/>
      <c r="EH304" s="65"/>
      <c r="EI304" s="65"/>
      <c r="EJ304" s="65"/>
      <c r="EK304" s="65"/>
      <c r="EL304" s="65"/>
      <c r="EM304" s="65"/>
      <c r="EN304" s="65"/>
    </row>
    <row r="305" spans="1:144" s="62" customFormat="1" x14ac:dyDescent="0.2">
      <c r="A305" s="74">
        <v>8</v>
      </c>
      <c r="B305" s="129" t="s">
        <v>31</v>
      </c>
      <c r="C305" s="125"/>
      <c r="D305" s="122">
        <f t="shared" ref="D305:P305" si="109">SUM(D303:D304)</f>
        <v>371048467.72404778</v>
      </c>
      <c r="E305" s="122">
        <f t="shared" si="109"/>
        <v>332619360.0335077</v>
      </c>
      <c r="F305" s="122">
        <f t="shared" si="109"/>
        <v>344743778.52818</v>
      </c>
      <c r="G305" s="122">
        <f t="shared" si="109"/>
        <v>367560877.98100239</v>
      </c>
      <c r="H305" s="122">
        <f t="shared" si="109"/>
        <v>382434839.17645478</v>
      </c>
      <c r="I305" s="122">
        <f t="shared" si="109"/>
        <v>404964476.38350117</v>
      </c>
      <c r="J305" s="122">
        <f t="shared" si="109"/>
        <v>410767866.76984155</v>
      </c>
      <c r="K305" s="122">
        <f t="shared" si="109"/>
        <v>420754759.81635696</v>
      </c>
      <c r="L305" s="122">
        <f t="shared" si="109"/>
        <v>425302944.85972679</v>
      </c>
      <c r="M305" s="122">
        <f t="shared" si="109"/>
        <v>391592502.27949351</v>
      </c>
      <c r="N305" s="122">
        <f t="shared" si="109"/>
        <v>386455685.77747756</v>
      </c>
      <c r="O305" s="122">
        <f t="shared" si="109"/>
        <v>374500259.93466669</v>
      </c>
      <c r="P305" s="122">
        <f t="shared" si="109"/>
        <v>4612745819.2642574</v>
      </c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  <c r="AW305" s="65"/>
      <c r="AX305" s="65"/>
      <c r="AY305" s="65"/>
      <c r="AZ305" s="65"/>
      <c r="BA305" s="65"/>
      <c r="BB305" s="65"/>
      <c r="BC305" s="65"/>
      <c r="BD305" s="65"/>
      <c r="BE305" s="65"/>
      <c r="BF305" s="65"/>
      <c r="BG305" s="65"/>
      <c r="BH305" s="65"/>
      <c r="BI305" s="65"/>
      <c r="BJ305" s="65"/>
      <c r="BK305" s="65"/>
      <c r="BL305" s="65"/>
      <c r="BM305" s="65"/>
      <c r="BN305" s="65"/>
      <c r="BO305" s="65"/>
      <c r="BP305" s="65"/>
      <c r="BQ305" s="65"/>
      <c r="BR305" s="65"/>
      <c r="BS305" s="65"/>
      <c r="BT305" s="65"/>
      <c r="BU305" s="65"/>
      <c r="BV305" s="65"/>
      <c r="BW305" s="65"/>
      <c r="BX305" s="65"/>
      <c r="BY305" s="65"/>
      <c r="BZ305" s="65"/>
      <c r="CA305" s="65"/>
      <c r="CB305" s="65"/>
      <c r="CC305" s="65"/>
      <c r="CD305" s="65"/>
      <c r="CE305" s="65"/>
      <c r="CF305" s="65"/>
      <c r="CG305" s="65"/>
      <c r="CH305" s="65"/>
      <c r="CI305" s="65"/>
      <c r="CJ305" s="65"/>
      <c r="CK305" s="65"/>
      <c r="CL305" s="65"/>
      <c r="CM305" s="65"/>
      <c r="CN305" s="65"/>
      <c r="CO305" s="65"/>
      <c r="CP305" s="65"/>
      <c r="CQ305" s="65"/>
      <c r="CR305" s="65"/>
      <c r="CS305" s="65"/>
      <c r="CT305" s="65"/>
      <c r="CU305" s="65"/>
      <c r="CV305" s="65"/>
      <c r="CW305" s="65"/>
      <c r="CX305" s="65"/>
      <c r="CY305" s="65"/>
      <c r="CZ305" s="65"/>
      <c r="DA305" s="65"/>
      <c r="DB305" s="65"/>
      <c r="DC305" s="65"/>
      <c r="DD305" s="65"/>
      <c r="DE305" s="65"/>
      <c r="DF305" s="65"/>
      <c r="DG305" s="65"/>
      <c r="DH305" s="65"/>
      <c r="DI305" s="65"/>
      <c r="DJ305" s="65"/>
      <c r="DK305" s="65"/>
      <c r="DL305" s="65"/>
      <c r="DM305" s="65"/>
      <c r="DN305" s="65"/>
      <c r="DO305" s="65"/>
      <c r="DP305" s="65"/>
      <c r="DQ305" s="65"/>
      <c r="DR305" s="65"/>
      <c r="DS305" s="65"/>
      <c r="DT305" s="65"/>
      <c r="DU305" s="65"/>
      <c r="DV305" s="65"/>
      <c r="DW305" s="65"/>
      <c r="DX305" s="65"/>
      <c r="DY305" s="65"/>
      <c r="DZ305" s="65"/>
      <c r="EA305" s="65"/>
      <c r="EB305" s="65"/>
      <c r="EC305" s="65"/>
      <c r="ED305" s="65"/>
      <c r="EE305" s="65"/>
      <c r="EF305" s="65"/>
      <c r="EG305" s="65"/>
      <c r="EH305" s="65"/>
      <c r="EI305" s="65"/>
      <c r="EJ305" s="65"/>
      <c r="EK305" s="65"/>
      <c r="EL305" s="65"/>
      <c r="EM305" s="65"/>
      <c r="EN305" s="65"/>
    </row>
    <row r="306" spans="1:144" s="62" customFormat="1" x14ac:dyDescent="0.2">
      <c r="A306" s="74"/>
      <c r="B306" s="129"/>
      <c r="C306" s="125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7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  <c r="BD306" s="65"/>
      <c r="BE306" s="65"/>
      <c r="BF306" s="65"/>
      <c r="BG306" s="65"/>
      <c r="BH306" s="65"/>
      <c r="BI306" s="65"/>
      <c r="BJ306" s="65"/>
      <c r="BK306" s="65"/>
      <c r="BL306" s="65"/>
      <c r="BM306" s="65"/>
      <c r="BN306" s="65"/>
      <c r="BO306" s="65"/>
      <c r="BP306" s="65"/>
      <c r="BQ306" s="65"/>
      <c r="BR306" s="65"/>
      <c r="BS306" s="65"/>
      <c r="BT306" s="65"/>
      <c r="BU306" s="65"/>
      <c r="BV306" s="65"/>
      <c r="BW306" s="65"/>
      <c r="BX306" s="65"/>
      <c r="BY306" s="65"/>
      <c r="BZ306" s="65"/>
      <c r="CA306" s="65"/>
      <c r="CB306" s="65"/>
      <c r="CC306" s="65"/>
      <c r="CD306" s="65"/>
      <c r="CE306" s="65"/>
      <c r="CF306" s="65"/>
      <c r="CG306" s="65"/>
      <c r="CH306" s="65"/>
      <c r="CI306" s="65"/>
      <c r="CJ306" s="65"/>
      <c r="CK306" s="65"/>
      <c r="CL306" s="65"/>
      <c r="CM306" s="65"/>
      <c r="CN306" s="65"/>
      <c r="CO306" s="65"/>
      <c r="CP306" s="65"/>
      <c r="CQ306" s="65"/>
      <c r="CR306" s="65"/>
      <c r="CS306" s="65"/>
      <c r="CT306" s="65"/>
      <c r="CU306" s="65"/>
      <c r="CV306" s="65"/>
      <c r="CW306" s="65"/>
      <c r="CX306" s="65"/>
      <c r="CY306" s="65"/>
      <c r="CZ306" s="65"/>
      <c r="DA306" s="65"/>
      <c r="DB306" s="65"/>
      <c r="DC306" s="65"/>
      <c r="DD306" s="65"/>
      <c r="DE306" s="65"/>
      <c r="DF306" s="65"/>
      <c r="DG306" s="65"/>
      <c r="DH306" s="65"/>
      <c r="DI306" s="65"/>
      <c r="DJ306" s="65"/>
      <c r="DK306" s="65"/>
      <c r="DL306" s="65"/>
      <c r="DM306" s="65"/>
      <c r="DN306" s="65"/>
      <c r="DO306" s="65"/>
      <c r="DP306" s="65"/>
      <c r="DQ306" s="65"/>
      <c r="DR306" s="65"/>
      <c r="DS306" s="65"/>
      <c r="DT306" s="65"/>
      <c r="DU306" s="65"/>
      <c r="DV306" s="65"/>
      <c r="DW306" s="65"/>
      <c r="DX306" s="65"/>
      <c r="DY306" s="65"/>
      <c r="DZ306" s="65"/>
      <c r="EA306" s="65"/>
      <c r="EB306" s="65"/>
      <c r="EC306" s="65"/>
      <c r="ED306" s="65"/>
      <c r="EE306" s="65"/>
      <c r="EF306" s="65"/>
      <c r="EG306" s="65"/>
      <c r="EH306" s="65"/>
      <c r="EI306" s="65"/>
      <c r="EJ306" s="65"/>
      <c r="EK306" s="65"/>
      <c r="EL306" s="65"/>
      <c r="EM306" s="65"/>
      <c r="EN306" s="65"/>
    </row>
    <row r="307" spans="1:144" s="62" customFormat="1" x14ac:dyDescent="0.2">
      <c r="A307" s="74">
        <v>9</v>
      </c>
      <c r="B307" s="162" t="s">
        <v>112</v>
      </c>
      <c r="C307" s="125" t="s">
        <v>18</v>
      </c>
      <c r="D307" s="122">
        <f t="shared" ref="D307:O307" si="110">D276+D243+D210+D179</f>
        <v>524306853.62615633</v>
      </c>
      <c r="E307" s="122">
        <f t="shared" si="110"/>
        <v>375039833.77636367</v>
      </c>
      <c r="F307" s="122">
        <f t="shared" si="110"/>
        <v>630196295.45665228</v>
      </c>
      <c r="G307" s="122">
        <f t="shared" si="110"/>
        <v>574405328.87325001</v>
      </c>
      <c r="H307" s="122">
        <f t="shared" si="110"/>
        <v>526253931.729931</v>
      </c>
      <c r="I307" s="122">
        <f t="shared" si="110"/>
        <v>514522879.47375</v>
      </c>
      <c r="J307" s="122">
        <f t="shared" si="110"/>
        <v>407945158.85096592</v>
      </c>
      <c r="K307" s="122">
        <f t="shared" si="110"/>
        <v>445324458.53437501</v>
      </c>
      <c r="L307" s="122">
        <f t="shared" si="110"/>
        <v>486988866.17804348</v>
      </c>
      <c r="M307" s="122">
        <f t="shared" si="110"/>
        <v>358823507.08664632</v>
      </c>
      <c r="N307" s="122">
        <f t="shared" si="110"/>
        <v>442315971.49719507</v>
      </c>
      <c r="O307" s="122">
        <f t="shared" si="110"/>
        <v>559124019.46799994</v>
      </c>
      <c r="P307" s="127">
        <f>SUM(D307:O307)</f>
        <v>5845247104.5513287</v>
      </c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65"/>
      <c r="BD307" s="65"/>
      <c r="BE307" s="65"/>
      <c r="BF307" s="65"/>
      <c r="BG307" s="65"/>
      <c r="BH307" s="65"/>
      <c r="BI307" s="65"/>
      <c r="BJ307" s="65"/>
      <c r="BK307" s="65"/>
      <c r="BL307" s="65"/>
      <c r="BM307" s="65"/>
      <c r="BN307" s="65"/>
      <c r="BO307" s="65"/>
      <c r="BP307" s="65"/>
      <c r="BQ307" s="65"/>
      <c r="BR307" s="65"/>
      <c r="BS307" s="65"/>
      <c r="BT307" s="65"/>
      <c r="BU307" s="65"/>
      <c r="BV307" s="65"/>
      <c r="BW307" s="65"/>
      <c r="BX307" s="65"/>
      <c r="BY307" s="65"/>
      <c r="BZ307" s="65"/>
      <c r="CA307" s="65"/>
      <c r="CB307" s="65"/>
      <c r="CC307" s="65"/>
      <c r="CD307" s="65"/>
      <c r="CE307" s="65"/>
      <c r="CF307" s="65"/>
      <c r="CG307" s="65"/>
      <c r="CH307" s="65"/>
      <c r="CI307" s="65"/>
      <c r="CJ307" s="65"/>
      <c r="CK307" s="65"/>
      <c r="CL307" s="65"/>
      <c r="CM307" s="65"/>
      <c r="CN307" s="65"/>
      <c r="CO307" s="65"/>
      <c r="CP307" s="65"/>
      <c r="CQ307" s="65"/>
      <c r="CR307" s="65"/>
      <c r="CS307" s="65"/>
      <c r="CT307" s="65"/>
      <c r="CU307" s="65"/>
      <c r="CV307" s="65"/>
      <c r="CW307" s="65"/>
      <c r="CX307" s="65"/>
      <c r="CY307" s="65"/>
      <c r="CZ307" s="65"/>
      <c r="DA307" s="65"/>
      <c r="DB307" s="65"/>
      <c r="DC307" s="65"/>
      <c r="DD307" s="65"/>
      <c r="DE307" s="65"/>
      <c r="DF307" s="65"/>
      <c r="DG307" s="65"/>
      <c r="DH307" s="65"/>
      <c r="DI307" s="65"/>
      <c r="DJ307" s="65"/>
      <c r="DK307" s="65"/>
      <c r="DL307" s="65"/>
      <c r="DM307" s="65"/>
      <c r="DN307" s="65"/>
      <c r="DO307" s="65"/>
      <c r="DP307" s="65"/>
      <c r="DQ307" s="65"/>
      <c r="DR307" s="65"/>
      <c r="DS307" s="65"/>
      <c r="DT307" s="65"/>
      <c r="DU307" s="65"/>
      <c r="DV307" s="65"/>
      <c r="DW307" s="65"/>
      <c r="DX307" s="65"/>
      <c r="DY307" s="65"/>
      <c r="DZ307" s="65"/>
      <c r="EA307" s="65"/>
      <c r="EB307" s="65"/>
      <c r="EC307" s="65"/>
      <c r="ED307" s="65"/>
      <c r="EE307" s="65"/>
      <c r="EF307" s="65"/>
      <c r="EG307" s="65"/>
      <c r="EH307" s="65"/>
      <c r="EI307" s="65"/>
      <c r="EJ307" s="65"/>
      <c r="EK307" s="65"/>
      <c r="EL307" s="65"/>
      <c r="EM307" s="65"/>
      <c r="EN307" s="65"/>
    </row>
    <row r="308" spans="1:144" s="62" customFormat="1" x14ac:dyDescent="0.2">
      <c r="B308" s="129"/>
      <c r="C308" s="143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7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  <c r="BD308" s="65"/>
      <c r="BE308" s="65"/>
      <c r="BF308" s="65"/>
      <c r="BG308" s="65"/>
      <c r="BH308" s="65"/>
      <c r="BI308" s="65"/>
      <c r="BJ308" s="65"/>
      <c r="BK308" s="65"/>
      <c r="BL308" s="65"/>
      <c r="BM308" s="65"/>
      <c r="BN308" s="65"/>
      <c r="BO308" s="65"/>
      <c r="BP308" s="65"/>
      <c r="BQ308" s="65"/>
      <c r="BR308" s="65"/>
      <c r="BS308" s="65"/>
      <c r="BT308" s="65"/>
      <c r="BU308" s="65"/>
      <c r="BV308" s="65"/>
      <c r="BW308" s="65"/>
      <c r="BX308" s="65"/>
      <c r="BY308" s="65"/>
      <c r="BZ308" s="65"/>
      <c r="CA308" s="65"/>
      <c r="CB308" s="65"/>
      <c r="CC308" s="65"/>
      <c r="CD308" s="65"/>
      <c r="CE308" s="65"/>
      <c r="CF308" s="65"/>
      <c r="CG308" s="65"/>
      <c r="CH308" s="65"/>
      <c r="CI308" s="65"/>
      <c r="CJ308" s="65"/>
      <c r="CK308" s="65"/>
      <c r="CL308" s="65"/>
      <c r="CM308" s="65"/>
      <c r="CN308" s="65"/>
      <c r="CO308" s="65"/>
      <c r="CP308" s="65"/>
      <c r="CQ308" s="65"/>
      <c r="CR308" s="65"/>
      <c r="CS308" s="65"/>
      <c r="CT308" s="65"/>
      <c r="CU308" s="65"/>
      <c r="CV308" s="65"/>
      <c r="CW308" s="65"/>
      <c r="CX308" s="65"/>
      <c r="CY308" s="65"/>
      <c r="CZ308" s="65"/>
      <c r="DA308" s="65"/>
      <c r="DB308" s="65"/>
      <c r="DC308" s="65"/>
      <c r="DD308" s="65"/>
      <c r="DE308" s="65"/>
      <c r="DF308" s="65"/>
      <c r="DG308" s="65"/>
      <c r="DH308" s="65"/>
      <c r="DI308" s="65"/>
      <c r="DJ308" s="65"/>
      <c r="DK308" s="65"/>
      <c r="DL308" s="65"/>
      <c r="DM308" s="65"/>
      <c r="DN308" s="65"/>
      <c r="DO308" s="65"/>
      <c r="DP308" s="65"/>
      <c r="DQ308" s="65"/>
      <c r="DR308" s="65"/>
      <c r="DS308" s="65"/>
      <c r="DT308" s="65"/>
      <c r="DU308" s="65"/>
      <c r="DV308" s="65"/>
      <c r="DW308" s="65"/>
      <c r="DX308" s="65"/>
      <c r="DY308" s="65"/>
      <c r="DZ308" s="65"/>
      <c r="EA308" s="65"/>
      <c r="EB308" s="65"/>
      <c r="EC308" s="65"/>
      <c r="ED308" s="65"/>
      <c r="EE308" s="65"/>
      <c r="EF308" s="65"/>
      <c r="EG308" s="65"/>
      <c r="EH308" s="65"/>
      <c r="EI308" s="65"/>
      <c r="EJ308" s="65"/>
      <c r="EK308" s="65"/>
      <c r="EL308" s="65"/>
      <c r="EM308" s="65"/>
      <c r="EN308" s="65"/>
    </row>
    <row r="309" spans="1:144" s="62" customFormat="1" x14ac:dyDescent="0.2">
      <c r="A309" s="74">
        <v>10</v>
      </c>
      <c r="B309" s="117" t="s">
        <v>33</v>
      </c>
      <c r="C309" s="125" t="s">
        <v>16</v>
      </c>
      <c r="D309" s="122">
        <f t="shared" ref="D309:O309" si="111">D278+D245+D212+D181</f>
        <v>23139204.834088687</v>
      </c>
      <c r="E309" s="122">
        <f t="shared" si="111"/>
        <v>23669166.689276218</v>
      </c>
      <c r="F309" s="122">
        <f t="shared" si="111"/>
        <v>23644109.244140919</v>
      </c>
      <c r="G309" s="122">
        <f t="shared" si="111"/>
        <v>23649755.193302091</v>
      </c>
      <c r="H309" s="122">
        <f t="shared" si="111"/>
        <v>23586597.200006247</v>
      </c>
      <c r="I309" s="122">
        <f t="shared" si="111"/>
        <v>23630811.027565867</v>
      </c>
      <c r="J309" s="122">
        <f t="shared" si="111"/>
        <v>23976880.427550834</v>
      </c>
      <c r="K309" s="122">
        <f t="shared" si="111"/>
        <v>23486347.341396272</v>
      </c>
      <c r="L309" s="122">
        <f t="shared" si="111"/>
        <v>23629270.782895494</v>
      </c>
      <c r="M309" s="122">
        <f t="shared" si="111"/>
        <v>23463899.493850794</v>
      </c>
      <c r="N309" s="122">
        <f t="shared" si="111"/>
        <v>23748606.724510875</v>
      </c>
      <c r="O309" s="122">
        <f t="shared" si="111"/>
        <v>23616191.761400003</v>
      </c>
      <c r="P309" s="127">
        <f>SUM(D309:O309)</f>
        <v>283240840.71998429</v>
      </c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  <c r="BD309" s="65"/>
      <c r="BE309" s="65"/>
      <c r="BF309" s="65"/>
      <c r="BG309" s="65"/>
      <c r="BH309" s="65"/>
      <c r="BI309" s="65"/>
      <c r="BJ309" s="65"/>
      <c r="BK309" s="65"/>
      <c r="BL309" s="65"/>
      <c r="BM309" s="65"/>
      <c r="BN309" s="65"/>
      <c r="BO309" s="65"/>
      <c r="BP309" s="65"/>
      <c r="BQ309" s="65"/>
      <c r="BR309" s="65"/>
      <c r="BS309" s="65"/>
      <c r="BT309" s="65"/>
      <c r="BU309" s="65"/>
      <c r="BV309" s="65"/>
      <c r="BW309" s="65"/>
      <c r="BX309" s="65"/>
      <c r="BY309" s="65"/>
      <c r="BZ309" s="65"/>
      <c r="CA309" s="65"/>
      <c r="CB309" s="65"/>
      <c r="CC309" s="65"/>
      <c r="CD309" s="65"/>
      <c r="CE309" s="65"/>
      <c r="CF309" s="65"/>
      <c r="CG309" s="65"/>
      <c r="CH309" s="65"/>
      <c r="CI309" s="65"/>
      <c r="CJ309" s="65"/>
      <c r="CK309" s="65"/>
      <c r="CL309" s="65"/>
      <c r="CM309" s="65"/>
      <c r="CN309" s="65"/>
      <c r="CO309" s="65"/>
      <c r="CP309" s="65"/>
      <c r="CQ309" s="65"/>
      <c r="CR309" s="65"/>
      <c r="CS309" s="65"/>
      <c r="CT309" s="65"/>
      <c r="CU309" s="65"/>
      <c r="CV309" s="65"/>
      <c r="CW309" s="65"/>
      <c r="CX309" s="65"/>
      <c r="CY309" s="65"/>
      <c r="CZ309" s="65"/>
      <c r="DA309" s="65"/>
      <c r="DB309" s="65"/>
      <c r="DC309" s="65"/>
      <c r="DD309" s="65"/>
      <c r="DE309" s="65"/>
      <c r="DF309" s="65"/>
      <c r="DG309" s="65"/>
      <c r="DH309" s="65"/>
      <c r="DI309" s="65"/>
      <c r="DJ309" s="65"/>
      <c r="DK309" s="65"/>
      <c r="DL309" s="65"/>
      <c r="DM309" s="65"/>
      <c r="DN309" s="65"/>
      <c r="DO309" s="65"/>
      <c r="DP309" s="65"/>
      <c r="DQ309" s="65"/>
      <c r="DR309" s="65"/>
      <c r="DS309" s="65"/>
      <c r="DT309" s="65"/>
      <c r="DU309" s="65"/>
      <c r="DV309" s="65"/>
      <c r="DW309" s="65"/>
      <c r="DX309" s="65"/>
      <c r="DY309" s="65"/>
      <c r="DZ309" s="65"/>
      <c r="EA309" s="65"/>
      <c r="EB309" s="65"/>
      <c r="EC309" s="65"/>
      <c r="ED309" s="65"/>
      <c r="EE309" s="65"/>
      <c r="EF309" s="65"/>
      <c r="EG309" s="65"/>
      <c r="EH309" s="65"/>
      <c r="EI309" s="65"/>
      <c r="EJ309" s="65"/>
      <c r="EK309" s="65"/>
      <c r="EL309" s="65"/>
      <c r="EM309" s="65"/>
      <c r="EN309" s="65"/>
    </row>
    <row r="310" spans="1:144" s="62" customFormat="1" x14ac:dyDescent="0.2">
      <c r="A310" s="74"/>
      <c r="B310" s="129"/>
      <c r="C310" s="143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22"/>
      <c r="O310" s="122"/>
      <c r="P310" s="127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  <c r="BD310" s="65"/>
      <c r="BE310" s="65"/>
      <c r="BF310" s="65"/>
      <c r="BG310" s="65"/>
      <c r="BH310" s="65"/>
      <c r="BI310" s="65"/>
      <c r="BJ310" s="65"/>
      <c r="BK310" s="65"/>
      <c r="BL310" s="65"/>
      <c r="BM310" s="65"/>
      <c r="BN310" s="65"/>
      <c r="BO310" s="65"/>
      <c r="BP310" s="65"/>
      <c r="BQ310" s="65"/>
      <c r="BR310" s="65"/>
      <c r="BS310" s="65"/>
      <c r="BT310" s="65"/>
      <c r="BU310" s="65"/>
      <c r="BV310" s="65"/>
      <c r="BW310" s="65"/>
      <c r="BX310" s="65"/>
      <c r="BY310" s="65"/>
      <c r="BZ310" s="65"/>
      <c r="CA310" s="65"/>
      <c r="CB310" s="65"/>
      <c r="CC310" s="65"/>
      <c r="CD310" s="65"/>
      <c r="CE310" s="65"/>
      <c r="CF310" s="65"/>
      <c r="CG310" s="65"/>
      <c r="CH310" s="65"/>
      <c r="CI310" s="65"/>
      <c r="CJ310" s="65"/>
      <c r="CK310" s="65"/>
      <c r="CL310" s="65"/>
      <c r="CM310" s="65"/>
      <c r="CN310" s="65"/>
      <c r="CO310" s="65"/>
      <c r="CP310" s="65"/>
      <c r="CQ310" s="65"/>
      <c r="CR310" s="65"/>
      <c r="CS310" s="65"/>
      <c r="CT310" s="65"/>
      <c r="CU310" s="65"/>
      <c r="CV310" s="65"/>
      <c r="CW310" s="65"/>
      <c r="CX310" s="65"/>
      <c r="CY310" s="65"/>
      <c r="CZ310" s="65"/>
      <c r="DA310" s="65"/>
      <c r="DB310" s="65"/>
      <c r="DC310" s="65"/>
      <c r="DD310" s="65"/>
      <c r="DE310" s="65"/>
      <c r="DF310" s="65"/>
      <c r="DG310" s="65"/>
      <c r="DH310" s="65"/>
      <c r="DI310" s="65"/>
      <c r="DJ310" s="65"/>
      <c r="DK310" s="65"/>
      <c r="DL310" s="65"/>
      <c r="DM310" s="65"/>
      <c r="DN310" s="65"/>
      <c r="DO310" s="65"/>
      <c r="DP310" s="65"/>
      <c r="DQ310" s="65"/>
      <c r="DR310" s="65"/>
      <c r="DS310" s="65"/>
      <c r="DT310" s="65"/>
      <c r="DU310" s="65"/>
      <c r="DV310" s="65"/>
      <c r="DW310" s="65"/>
      <c r="DX310" s="65"/>
      <c r="DY310" s="65"/>
      <c r="DZ310" s="65"/>
      <c r="EA310" s="65"/>
      <c r="EB310" s="65"/>
      <c r="EC310" s="65"/>
      <c r="ED310" s="65"/>
      <c r="EE310" s="65"/>
      <c r="EF310" s="65"/>
      <c r="EG310" s="65"/>
      <c r="EH310" s="65"/>
      <c r="EI310" s="65"/>
      <c r="EJ310" s="65"/>
      <c r="EK310" s="65"/>
      <c r="EL310" s="65"/>
      <c r="EM310" s="65"/>
      <c r="EN310" s="65"/>
    </row>
    <row r="311" spans="1:144" s="62" customFormat="1" x14ac:dyDescent="0.2">
      <c r="A311" s="74">
        <v>11</v>
      </c>
      <c r="B311" s="183" t="s">
        <v>34</v>
      </c>
      <c r="C311" s="236"/>
      <c r="D311" s="184">
        <f t="shared" ref="D311:P311" si="112">D309+D307+D305+D301+D297+D295</f>
        <v>2890832105.6072602</v>
      </c>
      <c r="E311" s="184">
        <f t="shared" si="112"/>
        <v>2372360929.0501728</v>
      </c>
      <c r="F311" s="184">
        <f t="shared" si="112"/>
        <v>2506298802.6485257</v>
      </c>
      <c r="G311" s="184">
        <f t="shared" si="112"/>
        <v>2559566901.5513086</v>
      </c>
      <c r="H311" s="184">
        <f t="shared" si="112"/>
        <v>2703865014.0767093</v>
      </c>
      <c r="I311" s="184">
        <f t="shared" si="112"/>
        <v>3219441573.0398369</v>
      </c>
      <c r="J311" s="184">
        <f t="shared" si="112"/>
        <v>3305555016.3315134</v>
      </c>
      <c r="K311" s="184">
        <f t="shared" si="112"/>
        <v>3385125232.1712465</v>
      </c>
      <c r="L311" s="184">
        <f t="shared" si="112"/>
        <v>3391962269.9084973</v>
      </c>
      <c r="M311" s="184">
        <f t="shared" si="112"/>
        <v>2791800926.0367651</v>
      </c>
      <c r="N311" s="184">
        <f t="shared" si="112"/>
        <v>2483236333.3227463</v>
      </c>
      <c r="O311" s="184">
        <f t="shared" si="112"/>
        <v>2702819706.0636806</v>
      </c>
      <c r="P311" s="184">
        <f t="shared" si="112"/>
        <v>34312864809.808266</v>
      </c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  <c r="AW311" s="65"/>
      <c r="AX311" s="65"/>
      <c r="AY311" s="65"/>
      <c r="AZ311" s="65"/>
      <c r="BA311" s="65"/>
      <c r="BB311" s="65"/>
      <c r="BC311" s="65"/>
      <c r="BD311" s="65"/>
      <c r="BE311" s="65"/>
      <c r="BF311" s="65"/>
      <c r="BG311" s="65"/>
      <c r="BH311" s="65"/>
      <c r="BI311" s="65"/>
      <c r="BJ311" s="65"/>
      <c r="BK311" s="65"/>
      <c r="BL311" s="65"/>
      <c r="BM311" s="65"/>
      <c r="BN311" s="65"/>
      <c r="BO311" s="65"/>
      <c r="BP311" s="65"/>
      <c r="BQ311" s="65"/>
      <c r="BR311" s="65"/>
      <c r="BS311" s="65"/>
      <c r="BT311" s="65"/>
      <c r="BU311" s="65"/>
      <c r="BV311" s="65"/>
      <c r="BW311" s="65"/>
      <c r="BX311" s="65"/>
      <c r="BY311" s="65"/>
      <c r="BZ311" s="65"/>
      <c r="CA311" s="65"/>
      <c r="CB311" s="65"/>
      <c r="CC311" s="65"/>
      <c r="CD311" s="65"/>
      <c r="CE311" s="65"/>
      <c r="CF311" s="65"/>
      <c r="CG311" s="65"/>
      <c r="CH311" s="65"/>
      <c r="CI311" s="65"/>
      <c r="CJ311" s="65"/>
      <c r="CK311" s="65"/>
      <c r="CL311" s="65"/>
      <c r="CM311" s="65"/>
      <c r="CN311" s="65"/>
      <c r="CO311" s="65"/>
      <c r="CP311" s="65"/>
      <c r="CQ311" s="65"/>
      <c r="CR311" s="65"/>
      <c r="CS311" s="65"/>
      <c r="CT311" s="65"/>
      <c r="CU311" s="65"/>
      <c r="CV311" s="65"/>
      <c r="CW311" s="65"/>
      <c r="CX311" s="65"/>
      <c r="CY311" s="65"/>
      <c r="CZ311" s="65"/>
      <c r="DA311" s="65"/>
      <c r="DB311" s="65"/>
      <c r="DC311" s="65"/>
      <c r="DD311" s="65"/>
      <c r="DE311" s="65"/>
      <c r="DF311" s="65"/>
      <c r="DG311" s="65"/>
      <c r="DH311" s="65"/>
      <c r="DI311" s="65"/>
      <c r="DJ311" s="65"/>
      <c r="DK311" s="65"/>
      <c r="DL311" s="65"/>
      <c r="DM311" s="65"/>
      <c r="DN311" s="65"/>
      <c r="DO311" s="65"/>
      <c r="DP311" s="65"/>
      <c r="DQ311" s="65"/>
      <c r="DR311" s="65"/>
      <c r="DS311" s="65"/>
      <c r="DT311" s="65"/>
      <c r="DU311" s="65"/>
      <c r="DV311" s="65"/>
      <c r="DW311" s="65"/>
      <c r="DX311" s="65"/>
      <c r="DY311" s="65"/>
      <c r="DZ311" s="65"/>
      <c r="EA311" s="65"/>
      <c r="EB311" s="65"/>
      <c r="EC311" s="65"/>
      <c r="ED311" s="65"/>
      <c r="EE311" s="65"/>
      <c r="EF311" s="65"/>
      <c r="EG311" s="65"/>
      <c r="EH311" s="65"/>
      <c r="EI311" s="65"/>
      <c r="EJ311" s="65"/>
      <c r="EK311" s="65"/>
      <c r="EL311" s="65"/>
      <c r="EM311" s="65"/>
      <c r="EN311" s="65"/>
    </row>
    <row r="312" spans="1:144" s="62" customFormat="1" x14ac:dyDescent="0.2">
      <c r="B312" s="236"/>
      <c r="C312" s="236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56"/>
      <c r="O312" s="156"/>
      <c r="P312" s="127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  <c r="BD312" s="65"/>
      <c r="BE312" s="65"/>
      <c r="BF312" s="65"/>
      <c r="BG312" s="65"/>
      <c r="BH312" s="65"/>
      <c r="BI312" s="65"/>
      <c r="BJ312" s="65"/>
      <c r="BK312" s="65"/>
      <c r="BL312" s="65"/>
      <c r="BM312" s="65"/>
      <c r="BN312" s="65"/>
      <c r="BO312" s="65"/>
      <c r="BP312" s="65"/>
      <c r="BQ312" s="65"/>
      <c r="BR312" s="65"/>
      <c r="BS312" s="65"/>
      <c r="BT312" s="65"/>
      <c r="BU312" s="65"/>
      <c r="BV312" s="65"/>
      <c r="BW312" s="65"/>
      <c r="BX312" s="65"/>
      <c r="BY312" s="65"/>
      <c r="BZ312" s="65"/>
      <c r="CA312" s="65"/>
      <c r="CB312" s="65"/>
      <c r="CC312" s="65"/>
      <c r="CD312" s="65"/>
      <c r="CE312" s="65"/>
      <c r="CF312" s="65"/>
      <c r="CG312" s="65"/>
      <c r="CH312" s="65"/>
      <c r="CI312" s="65"/>
      <c r="CJ312" s="65"/>
      <c r="CK312" s="65"/>
      <c r="CL312" s="65"/>
      <c r="CM312" s="65"/>
      <c r="CN312" s="65"/>
      <c r="CO312" s="65"/>
      <c r="CP312" s="65"/>
      <c r="CQ312" s="65"/>
      <c r="CR312" s="65"/>
      <c r="CS312" s="65"/>
      <c r="CT312" s="65"/>
      <c r="CU312" s="65"/>
      <c r="CV312" s="65"/>
      <c r="CW312" s="65"/>
      <c r="CX312" s="65"/>
      <c r="CY312" s="65"/>
      <c r="CZ312" s="65"/>
      <c r="DA312" s="65"/>
      <c r="DB312" s="65"/>
      <c r="DC312" s="65"/>
      <c r="DD312" s="65"/>
      <c r="DE312" s="65"/>
      <c r="DF312" s="65"/>
      <c r="DG312" s="65"/>
      <c r="DH312" s="65"/>
      <c r="DI312" s="65"/>
      <c r="DJ312" s="65"/>
      <c r="DK312" s="65"/>
      <c r="DL312" s="65"/>
      <c r="DM312" s="65"/>
      <c r="DN312" s="65"/>
      <c r="DO312" s="65"/>
      <c r="DP312" s="65"/>
      <c r="DQ312" s="65"/>
      <c r="DR312" s="65"/>
      <c r="DS312" s="65"/>
      <c r="DT312" s="65"/>
      <c r="DU312" s="65"/>
      <c r="DV312" s="65"/>
      <c r="DW312" s="65"/>
      <c r="DX312" s="65"/>
      <c r="DY312" s="65"/>
      <c r="DZ312" s="65"/>
      <c r="EA312" s="65"/>
      <c r="EB312" s="65"/>
      <c r="EC312" s="65"/>
      <c r="ED312" s="65"/>
      <c r="EE312" s="65"/>
      <c r="EF312" s="65"/>
      <c r="EG312" s="65"/>
      <c r="EH312" s="65"/>
      <c r="EI312" s="65"/>
      <c r="EJ312" s="65"/>
      <c r="EK312" s="65"/>
      <c r="EL312" s="65"/>
      <c r="EM312" s="65"/>
      <c r="EN312" s="65"/>
    </row>
    <row r="313" spans="1:144" s="62" customFormat="1" x14ac:dyDescent="0.2">
      <c r="A313" s="74">
        <v>12</v>
      </c>
      <c r="B313" s="148" t="s">
        <v>91</v>
      </c>
      <c r="C313" s="125" t="s">
        <v>17</v>
      </c>
      <c r="D313" s="122">
        <f t="shared" ref="D313:O313" si="113">D282+D249+D216+D185</f>
        <v>0</v>
      </c>
      <c r="E313" s="122">
        <f t="shared" si="113"/>
        <v>0</v>
      </c>
      <c r="F313" s="122">
        <f t="shared" si="113"/>
        <v>0</v>
      </c>
      <c r="G313" s="122">
        <f t="shared" si="113"/>
        <v>0</v>
      </c>
      <c r="H313" s="122">
        <f t="shared" si="113"/>
        <v>0</v>
      </c>
      <c r="I313" s="122">
        <f t="shared" si="113"/>
        <v>0</v>
      </c>
      <c r="J313" s="122">
        <f t="shared" si="113"/>
        <v>0</v>
      </c>
      <c r="K313" s="122">
        <f t="shared" si="113"/>
        <v>0</v>
      </c>
      <c r="L313" s="122">
        <f t="shared" si="113"/>
        <v>0</v>
      </c>
      <c r="M313" s="122">
        <f t="shared" si="113"/>
        <v>0</v>
      </c>
      <c r="N313" s="122">
        <f t="shared" si="113"/>
        <v>0</v>
      </c>
      <c r="O313" s="122">
        <f t="shared" si="113"/>
        <v>0</v>
      </c>
      <c r="P313" s="127">
        <f>SUM(D313:O313)</f>
        <v>0</v>
      </c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  <c r="BE313" s="65"/>
      <c r="BF313" s="65"/>
      <c r="BG313" s="65"/>
      <c r="BH313" s="65"/>
      <c r="BI313" s="65"/>
      <c r="BJ313" s="65"/>
      <c r="BK313" s="65"/>
      <c r="BL313" s="65"/>
      <c r="BM313" s="65"/>
      <c r="BN313" s="65"/>
      <c r="BO313" s="65"/>
      <c r="BP313" s="65"/>
      <c r="BQ313" s="65"/>
      <c r="BR313" s="65"/>
      <c r="BS313" s="65"/>
      <c r="BT313" s="65"/>
      <c r="BU313" s="65"/>
      <c r="BV313" s="65"/>
      <c r="BW313" s="65"/>
      <c r="BX313" s="65"/>
      <c r="BY313" s="65"/>
      <c r="BZ313" s="65"/>
      <c r="CA313" s="65"/>
      <c r="CB313" s="65"/>
      <c r="CC313" s="65"/>
      <c r="CD313" s="65"/>
      <c r="CE313" s="65"/>
      <c r="CF313" s="65"/>
      <c r="CG313" s="65"/>
      <c r="CH313" s="65"/>
      <c r="CI313" s="65"/>
      <c r="CJ313" s="65"/>
      <c r="CK313" s="65"/>
      <c r="CL313" s="65"/>
      <c r="CM313" s="65"/>
      <c r="CN313" s="65"/>
      <c r="CO313" s="65"/>
      <c r="CP313" s="65"/>
      <c r="CQ313" s="65"/>
      <c r="CR313" s="65"/>
      <c r="CS313" s="65"/>
      <c r="CT313" s="65"/>
      <c r="CU313" s="65"/>
      <c r="CV313" s="65"/>
      <c r="CW313" s="65"/>
      <c r="CX313" s="65"/>
      <c r="CY313" s="65"/>
      <c r="CZ313" s="65"/>
      <c r="DA313" s="65"/>
      <c r="DB313" s="65"/>
      <c r="DC313" s="65"/>
      <c r="DD313" s="65"/>
      <c r="DE313" s="65"/>
      <c r="DF313" s="65"/>
      <c r="DG313" s="65"/>
      <c r="DH313" s="65"/>
      <c r="DI313" s="65"/>
      <c r="DJ313" s="65"/>
      <c r="DK313" s="65"/>
      <c r="DL313" s="65"/>
      <c r="DM313" s="65"/>
      <c r="DN313" s="65"/>
      <c r="DO313" s="65"/>
      <c r="DP313" s="65"/>
      <c r="DQ313" s="65"/>
      <c r="DR313" s="65"/>
      <c r="DS313" s="65"/>
      <c r="DT313" s="65"/>
      <c r="DU313" s="65"/>
      <c r="DV313" s="65"/>
      <c r="DW313" s="65"/>
      <c r="DX313" s="65"/>
      <c r="DY313" s="65"/>
      <c r="DZ313" s="65"/>
      <c r="EA313" s="65"/>
      <c r="EB313" s="65"/>
      <c r="EC313" s="65"/>
      <c r="ED313" s="65"/>
      <c r="EE313" s="65"/>
      <c r="EF313" s="65"/>
      <c r="EG313" s="65"/>
      <c r="EH313" s="65"/>
      <c r="EI313" s="65"/>
      <c r="EJ313" s="65"/>
      <c r="EK313" s="65"/>
      <c r="EL313" s="65"/>
      <c r="EM313" s="65"/>
      <c r="EN313" s="65"/>
    </row>
    <row r="314" spans="1:144" s="62" customFormat="1" x14ac:dyDescent="0.2">
      <c r="A314" s="74">
        <v>13</v>
      </c>
      <c r="B314" s="148" t="s">
        <v>92</v>
      </c>
      <c r="C314" s="125" t="s">
        <v>18</v>
      </c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67">
        <f>SUM(D314:O314)</f>
        <v>0</v>
      </c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  <c r="BE314" s="65"/>
      <c r="BF314" s="65"/>
      <c r="BG314" s="65"/>
      <c r="BH314" s="65"/>
      <c r="BI314" s="65"/>
      <c r="BJ314" s="65"/>
      <c r="BK314" s="65"/>
      <c r="BL314" s="65"/>
      <c r="BM314" s="65"/>
      <c r="BN314" s="65"/>
      <c r="BO314" s="65"/>
      <c r="BP314" s="65"/>
      <c r="BQ314" s="65"/>
      <c r="BR314" s="65"/>
      <c r="BS314" s="65"/>
      <c r="BT314" s="65"/>
      <c r="BU314" s="65"/>
      <c r="BV314" s="65"/>
      <c r="BW314" s="65"/>
      <c r="BX314" s="65"/>
      <c r="BY314" s="65"/>
      <c r="BZ314" s="65"/>
      <c r="CA314" s="65"/>
      <c r="CB314" s="65"/>
      <c r="CC314" s="65"/>
      <c r="CD314" s="65"/>
      <c r="CE314" s="65"/>
      <c r="CF314" s="65"/>
      <c r="CG314" s="65"/>
      <c r="CH314" s="65"/>
      <c r="CI314" s="65"/>
      <c r="CJ314" s="65"/>
      <c r="CK314" s="65"/>
      <c r="CL314" s="65"/>
      <c r="CM314" s="65"/>
      <c r="CN314" s="65"/>
      <c r="CO314" s="65"/>
      <c r="CP314" s="65"/>
      <c r="CQ314" s="65"/>
      <c r="CR314" s="65"/>
      <c r="CS314" s="65"/>
      <c r="CT314" s="65"/>
      <c r="CU314" s="65"/>
      <c r="CV314" s="65"/>
      <c r="CW314" s="65"/>
      <c r="CX314" s="65"/>
      <c r="CY314" s="65"/>
      <c r="CZ314" s="65"/>
      <c r="DA314" s="65"/>
      <c r="DB314" s="65"/>
      <c r="DC314" s="65"/>
      <c r="DD314" s="65"/>
      <c r="DE314" s="65"/>
      <c r="DF314" s="65"/>
      <c r="DG314" s="65"/>
      <c r="DH314" s="65"/>
      <c r="DI314" s="65"/>
      <c r="DJ314" s="65"/>
      <c r="DK314" s="65"/>
      <c r="DL314" s="65"/>
      <c r="DM314" s="65"/>
      <c r="DN314" s="65"/>
      <c r="DO314" s="65"/>
      <c r="DP314" s="65"/>
      <c r="DQ314" s="65"/>
      <c r="DR314" s="65"/>
      <c r="DS314" s="65"/>
      <c r="DT314" s="65"/>
      <c r="DU314" s="65"/>
      <c r="DV314" s="65"/>
      <c r="DW314" s="65"/>
      <c r="DX314" s="65"/>
      <c r="DY314" s="65"/>
      <c r="DZ314" s="65"/>
      <c r="EA314" s="65"/>
      <c r="EB314" s="65"/>
      <c r="EC314" s="65"/>
      <c r="ED314" s="65"/>
      <c r="EE314" s="65"/>
      <c r="EF314" s="65"/>
      <c r="EG314" s="65"/>
      <c r="EH314" s="65"/>
      <c r="EI314" s="65"/>
      <c r="EJ314" s="65"/>
      <c r="EK314" s="65"/>
      <c r="EL314" s="65"/>
      <c r="EM314" s="65"/>
      <c r="EN314" s="65"/>
    </row>
    <row r="315" spans="1:144" s="62" customFormat="1" x14ac:dyDescent="0.2">
      <c r="A315" s="74">
        <v>14</v>
      </c>
      <c r="B315" s="183" t="s">
        <v>35</v>
      </c>
      <c r="C315" s="238"/>
      <c r="D315" s="169">
        <f t="shared" ref="D315:P315" si="114">SUM(D313:D314)</f>
        <v>0</v>
      </c>
      <c r="E315" s="169">
        <f t="shared" si="114"/>
        <v>0</v>
      </c>
      <c r="F315" s="169">
        <f t="shared" si="114"/>
        <v>0</v>
      </c>
      <c r="G315" s="169">
        <f t="shared" si="114"/>
        <v>0</v>
      </c>
      <c r="H315" s="169">
        <f t="shared" si="114"/>
        <v>0</v>
      </c>
      <c r="I315" s="169">
        <f t="shared" si="114"/>
        <v>0</v>
      </c>
      <c r="J315" s="169">
        <f t="shared" si="114"/>
        <v>0</v>
      </c>
      <c r="K315" s="169">
        <f t="shared" si="114"/>
        <v>0</v>
      </c>
      <c r="L315" s="169">
        <f t="shared" si="114"/>
        <v>0</v>
      </c>
      <c r="M315" s="169">
        <f t="shared" si="114"/>
        <v>0</v>
      </c>
      <c r="N315" s="169">
        <f t="shared" si="114"/>
        <v>0</v>
      </c>
      <c r="O315" s="169">
        <f t="shared" si="114"/>
        <v>0</v>
      </c>
      <c r="P315" s="156">
        <f t="shared" si="114"/>
        <v>0</v>
      </c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  <c r="BE315" s="65"/>
      <c r="BF315" s="65"/>
      <c r="BG315" s="65"/>
      <c r="BH315" s="65"/>
      <c r="BI315" s="65"/>
      <c r="BJ315" s="65"/>
      <c r="BK315" s="65"/>
      <c r="BL315" s="65"/>
      <c r="BM315" s="65"/>
      <c r="BN315" s="65"/>
      <c r="BO315" s="65"/>
      <c r="BP315" s="65"/>
      <c r="BQ315" s="65"/>
      <c r="BR315" s="65"/>
      <c r="BS315" s="65"/>
      <c r="BT315" s="65"/>
      <c r="BU315" s="65"/>
      <c r="BV315" s="65"/>
      <c r="BW315" s="65"/>
      <c r="BX315" s="65"/>
      <c r="BY315" s="65"/>
      <c r="BZ315" s="65"/>
      <c r="CA315" s="65"/>
      <c r="CB315" s="65"/>
      <c r="CC315" s="65"/>
      <c r="CD315" s="65"/>
      <c r="CE315" s="65"/>
      <c r="CF315" s="65"/>
      <c r="CG315" s="65"/>
      <c r="CH315" s="65"/>
      <c r="CI315" s="65"/>
      <c r="CJ315" s="65"/>
      <c r="CK315" s="65"/>
      <c r="CL315" s="65"/>
      <c r="CM315" s="65"/>
      <c r="CN315" s="65"/>
      <c r="CO315" s="65"/>
      <c r="CP315" s="65"/>
      <c r="CQ315" s="65"/>
      <c r="CR315" s="65"/>
      <c r="CS315" s="65"/>
      <c r="CT315" s="65"/>
      <c r="CU315" s="65"/>
      <c r="CV315" s="65"/>
      <c r="CW315" s="65"/>
      <c r="CX315" s="65"/>
      <c r="CY315" s="65"/>
      <c r="CZ315" s="65"/>
      <c r="DA315" s="65"/>
      <c r="DB315" s="65"/>
      <c r="DC315" s="65"/>
      <c r="DD315" s="65"/>
      <c r="DE315" s="65"/>
      <c r="DF315" s="65"/>
      <c r="DG315" s="65"/>
      <c r="DH315" s="65"/>
      <c r="DI315" s="65"/>
      <c r="DJ315" s="65"/>
      <c r="DK315" s="65"/>
      <c r="DL315" s="65"/>
      <c r="DM315" s="65"/>
      <c r="DN315" s="65"/>
      <c r="DO315" s="65"/>
      <c r="DP315" s="65"/>
      <c r="DQ315" s="65"/>
      <c r="DR315" s="65"/>
      <c r="DS315" s="65"/>
      <c r="DT315" s="65"/>
      <c r="DU315" s="65"/>
      <c r="DV315" s="65"/>
      <c r="DW315" s="65"/>
      <c r="DX315" s="65"/>
      <c r="DY315" s="65"/>
      <c r="DZ315" s="65"/>
      <c r="EA315" s="65"/>
      <c r="EB315" s="65"/>
      <c r="EC315" s="65"/>
      <c r="ED315" s="65"/>
      <c r="EE315" s="65"/>
      <c r="EF315" s="65"/>
      <c r="EG315" s="65"/>
      <c r="EH315" s="65"/>
      <c r="EI315" s="65"/>
      <c r="EJ315" s="65"/>
      <c r="EK315" s="65"/>
      <c r="EL315" s="65"/>
      <c r="EM315" s="65"/>
      <c r="EN315" s="65"/>
    </row>
    <row r="316" spans="1:144" s="62" customFormat="1" x14ac:dyDescent="0.2">
      <c r="A316" s="74"/>
      <c r="B316" s="129"/>
      <c r="C316" s="185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22"/>
      <c r="O316" s="122"/>
      <c r="P316" s="127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  <c r="BE316" s="65"/>
      <c r="BF316" s="65"/>
      <c r="BG316" s="65"/>
      <c r="BH316" s="65"/>
      <c r="BI316" s="65"/>
      <c r="BJ316" s="65"/>
      <c r="BK316" s="65"/>
      <c r="BL316" s="65"/>
      <c r="BM316" s="65"/>
      <c r="BN316" s="65"/>
      <c r="BO316" s="65"/>
      <c r="BP316" s="65"/>
      <c r="BQ316" s="65"/>
      <c r="BR316" s="65"/>
      <c r="BS316" s="65"/>
      <c r="BT316" s="65"/>
      <c r="BU316" s="65"/>
      <c r="BV316" s="65"/>
      <c r="BW316" s="65"/>
      <c r="BX316" s="65"/>
      <c r="BY316" s="65"/>
      <c r="BZ316" s="65"/>
      <c r="CA316" s="65"/>
      <c r="CB316" s="65"/>
      <c r="CC316" s="65"/>
      <c r="CD316" s="65"/>
      <c r="CE316" s="65"/>
      <c r="CF316" s="65"/>
      <c r="CG316" s="65"/>
      <c r="CH316" s="65"/>
      <c r="CI316" s="65"/>
      <c r="CJ316" s="65"/>
      <c r="CK316" s="65"/>
      <c r="CL316" s="65"/>
      <c r="CM316" s="65"/>
      <c r="CN316" s="65"/>
      <c r="CO316" s="65"/>
      <c r="CP316" s="65"/>
      <c r="CQ316" s="65"/>
      <c r="CR316" s="65"/>
      <c r="CS316" s="65"/>
      <c r="CT316" s="65"/>
      <c r="CU316" s="65"/>
      <c r="CV316" s="65"/>
      <c r="CW316" s="65"/>
      <c r="CX316" s="65"/>
      <c r="CY316" s="65"/>
      <c r="CZ316" s="65"/>
      <c r="DA316" s="65"/>
      <c r="DB316" s="65"/>
      <c r="DC316" s="65"/>
      <c r="DD316" s="65"/>
      <c r="DE316" s="65"/>
      <c r="DF316" s="65"/>
      <c r="DG316" s="65"/>
      <c r="DH316" s="65"/>
      <c r="DI316" s="65"/>
      <c r="DJ316" s="65"/>
      <c r="DK316" s="65"/>
      <c r="DL316" s="65"/>
      <c r="DM316" s="65"/>
      <c r="DN316" s="65"/>
      <c r="DO316" s="65"/>
      <c r="DP316" s="65"/>
      <c r="DQ316" s="65"/>
      <c r="DR316" s="65"/>
      <c r="DS316" s="65"/>
      <c r="DT316" s="65"/>
      <c r="DU316" s="65"/>
      <c r="DV316" s="65"/>
      <c r="DW316" s="65"/>
      <c r="DX316" s="65"/>
      <c r="DY316" s="65"/>
      <c r="DZ316" s="65"/>
      <c r="EA316" s="65"/>
      <c r="EB316" s="65"/>
      <c r="EC316" s="65"/>
      <c r="ED316" s="65"/>
      <c r="EE316" s="65"/>
      <c r="EF316" s="65"/>
      <c r="EG316" s="65"/>
      <c r="EH316" s="65"/>
      <c r="EI316" s="65"/>
      <c r="EJ316" s="65"/>
      <c r="EK316" s="65"/>
      <c r="EL316" s="65"/>
      <c r="EM316" s="65"/>
      <c r="EN316" s="65"/>
    </row>
    <row r="317" spans="1:144" s="62" customFormat="1" ht="13.5" customHeight="1" thickBot="1" x14ac:dyDescent="0.25">
      <c r="A317" s="74">
        <v>15</v>
      </c>
      <c r="B317" s="243" t="str">
        <f>B36</f>
        <v>TOTAL AEP TEXAS</v>
      </c>
      <c r="C317" s="238"/>
      <c r="D317" s="244">
        <f t="shared" ref="D317:P317" si="115">+D315+D311</f>
        <v>2890832105.6072602</v>
      </c>
      <c r="E317" s="244">
        <f t="shared" si="115"/>
        <v>2372360929.0501728</v>
      </c>
      <c r="F317" s="244">
        <f t="shared" si="115"/>
        <v>2506298802.6485257</v>
      </c>
      <c r="G317" s="244">
        <f t="shared" si="115"/>
        <v>2559566901.5513086</v>
      </c>
      <c r="H317" s="244">
        <f t="shared" si="115"/>
        <v>2703865014.0767093</v>
      </c>
      <c r="I317" s="244">
        <f t="shared" si="115"/>
        <v>3219441573.0398369</v>
      </c>
      <c r="J317" s="244">
        <f t="shared" si="115"/>
        <v>3305555016.3315134</v>
      </c>
      <c r="K317" s="244">
        <f t="shared" si="115"/>
        <v>3385125232.1712465</v>
      </c>
      <c r="L317" s="244">
        <f t="shared" si="115"/>
        <v>3391962269.9084973</v>
      </c>
      <c r="M317" s="244">
        <f t="shared" si="115"/>
        <v>2791800926.0367651</v>
      </c>
      <c r="N317" s="244">
        <f t="shared" si="115"/>
        <v>2483236333.3227463</v>
      </c>
      <c r="O317" s="244">
        <f t="shared" si="115"/>
        <v>2702819706.0636806</v>
      </c>
      <c r="P317" s="244">
        <f t="shared" si="115"/>
        <v>34312864809.808266</v>
      </c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  <c r="AW317" s="65"/>
      <c r="AX317" s="65"/>
      <c r="AY317" s="65"/>
      <c r="AZ317" s="65"/>
      <c r="BA317" s="65"/>
      <c r="BB317" s="65"/>
      <c r="BC317" s="65"/>
      <c r="BD317" s="65"/>
      <c r="BE317" s="65"/>
      <c r="BF317" s="65"/>
      <c r="BG317" s="65"/>
      <c r="BH317" s="65"/>
      <c r="BI317" s="65"/>
      <c r="BJ317" s="65"/>
      <c r="BK317" s="65"/>
      <c r="BL317" s="65"/>
      <c r="BM317" s="65"/>
      <c r="BN317" s="65"/>
      <c r="BO317" s="65"/>
      <c r="BP317" s="65"/>
      <c r="BQ317" s="65"/>
      <c r="BR317" s="65"/>
      <c r="BS317" s="65"/>
      <c r="BT317" s="65"/>
      <c r="BU317" s="65"/>
      <c r="BV317" s="65"/>
      <c r="BW317" s="65"/>
      <c r="BX317" s="65"/>
      <c r="BY317" s="65"/>
      <c r="BZ317" s="65"/>
      <c r="CA317" s="65"/>
      <c r="CB317" s="65"/>
      <c r="CC317" s="65"/>
      <c r="CD317" s="65"/>
      <c r="CE317" s="65"/>
      <c r="CF317" s="65"/>
      <c r="CG317" s="65"/>
      <c r="CH317" s="65"/>
      <c r="CI317" s="65"/>
      <c r="CJ317" s="65"/>
      <c r="CK317" s="65"/>
      <c r="CL317" s="65"/>
      <c r="CM317" s="65"/>
      <c r="CN317" s="65"/>
      <c r="CO317" s="65"/>
      <c r="CP317" s="65"/>
      <c r="CQ317" s="65"/>
      <c r="CR317" s="65"/>
      <c r="CS317" s="65"/>
      <c r="CT317" s="65"/>
      <c r="CU317" s="65"/>
      <c r="CV317" s="65"/>
      <c r="CW317" s="65"/>
      <c r="CX317" s="65"/>
      <c r="CY317" s="65"/>
      <c r="CZ317" s="65"/>
      <c r="DA317" s="65"/>
      <c r="DB317" s="65"/>
      <c r="DC317" s="65"/>
      <c r="DD317" s="65"/>
      <c r="DE317" s="65"/>
      <c r="DF317" s="65"/>
      <c r="DG317" s="65"/>
      <c r="DH317" s="65"/>
      <c r="DI317" s="65"/>
      <c r="DJ317" s="65"/>
      <c r="DK317" s="65"/>
      <c r="DL317" s="65"/>
      <c r="DM317" s="65"/>
      <c r="DN317" s="65"/>
      <c r="DO317" s="65"/>
      <c r="DP317" s="65"/>
      <c r="DQ317" s="65"/>
      <c r="DR317" s="65"/>
      <c r="DS317" s="65"/>
      <c r="DT317" s="65"/>
      <c r="DU317" s="65"/>
      <c r="DV317" s="65"/>
      <c r="DW317" s="65"/>
      <c r="DX317" s="65"/>
      <c r="DY317" s="65"/>
      <c r="DZ317" s="65"/>
      <c r="EA317" s="65"/>
      <c r="EB317" s="65"/>
      <c r="EC317" s="65"/>
      <c r="ED317" s="65"/>
      <c r="EE317" s="65"/>
      <c r="EF317" s="65"/>
      <c r="EG317" s="65"/>
      <c r="EH317" s="65"/>
      <c r="EI317" s="65"/>
      <c r="EJ317" s="65"/>
      <c r="EK317" s="65"/>
      <c r="EL317" s="65"/>
      <c r="EM317" s="65"/>
      <c r="EN317" s="65"/>
    </row>
    <row r="318" spans="1:144" customFormat="1" ht="13.5" thickTop="1" x14ac:dyDescent="0.2"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327"/>
    </row>
    <row r="319" spans="1:144" customFormat="1" ht="12.75" x14ac:dyDescent="0.2"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327"/>
    </row>
    <row r="320" spans="1:144" customFormat="1" ht="12.75" x14ac:dyDescent="0.2"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</row>
    <row r="321" spans="2:16" customFormat="1" ht="12.75" x14ac:dyDescent="0.2"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</row>
    <row r="322" spans="2:16" customFormat="1" ht="12.75" x14ac:dyDescent="0.2"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</row>
    <row r="323" spans="2:16" customFormat="1" ht="12.75" x14ac:dyDescent="0.2"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</row>
    <row r="324" spans="2:16" customFormat="1" ht="12.75" x14ac:dyDescent="0.2"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</row>
    <row r="325" spans="2:16" customFormat="1" ht="12.75" x14ac:dyDescent="0.2"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</row>
    <row r="326" spans="2:16" customFormat="1" ht="12.75" x14ac:dyDescent="0.2"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</row>
    <row r="327" spans="2:16" customFormat="1" ht="12.75" x14ac:dyDescent="0.2"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</row>
    <row r="328" spans="2:16" customFormat="1" ht="12.75" x14ac:dyDescent="0.2"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</row>
    <row r="329" spans="2:16" customFormat="1" ht="12.75" x14ac:dyDescent="0.2"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</row>
    <row r="330" spans="2:16" customFormat="1" ht="12.75" x14ac:dyDescent="0.2"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</row>
    <row r="331" spans="2:16" customFormat="1" ht="12.75" x14ac:dyDescent="0.2"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</row>
    <row r="332" spans="2:16" customFormat="1" ht="12.75" x14ac:dyDescent="0.2"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</row>
    <row r="333" spans="2:16" customFormat="1" ht="12.75" x14ac:dyDescent="0.2"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</row>
    <row r="334" spans="2:16" customFormat="1" ht="12.75" x14ac:dyDescent="0.2"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</row>
    <row r="335" spans="2:16" customFormat="1" ht="12.75" x14ac:dyDescent="0.2"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</row>
    <row r="336" spans="2:16" customFormat="1" ht="12.75" x14ac:dyDescent="0.2"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</row>
    <row r="337" spans="2:16" customFormat="1" ht="12.75" x14ac:dyDescent="0.2"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</row>
    <row r="338" spans="2:16" customFormat="1" ht="12.75" x14ac:dyDescent="0.2"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</row>
    <row r="339" spans="2:16" customFormat="1" ht="12.75" x14ac:dyDescent="0.2"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</row>
    <row r="340" spans="2:16" customFormat="1" ht="12.75" x14ac:dyDescent="0.2"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</row>
    <row r="341" spans="2:16" customFormat="1" ht="12.75" x14ac:dyDescent="0.2"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</row>
    <row r="342" spans="2:16" customFormat="1" ht="12.75" x14ac:dyDescent="0.2"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</row>
    <row r="343" spans="2:16" customFormat="1" ht="12.75" x14ac:dyDescent="0.2"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</row>
    <row r="344" spans="2:16" customFormat="1" ht="12.75" x14ac:dyDescent="0.2"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</row>
    <row r="345" spans="2:16" customFormat="1" ht="12.75" x14ac:dyDescent="0.2"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</row>
    <row r="346" spans="2:16" customFormat="1" ht="12.75" x14ac:dyDescent="0.2"/>
    <row r="347" spans="2:16" customFormat="1" ht="12.75" x14ac:dyDescent="0.2"/>
    <row r="348" spans="2:16" customFormat="1" ht="12.75" x14ac:dyDescent="0.2"/>
    <row r="349" spans="2:16" customFormat="1" ht="12.75" x14ac:dyDescent="0.2"/>
    <row r="350" spans="2:16" customFormat="1" ht="12.75" x14ac:dyDescent="0.2"/>
    <row r="351" spans="2:16" customFormat="1" ht="12.75" x14ac:dyDescent="0.2"/>
    <row r="352" spans="2:16" customFormat="1" ht="12.75" x14ac:dyDescent="0.2"/>
    <row r="353" customFormat="1" ht="12.75" x14ac:dyDescent="0.2"/>
    <row r="354" customFormat="1" ht="12.75" x14ac:dyDescent="0.2"/>
    <row r="355" customFormat="1" ht="12.75" x14ac:dyDescent="0.2"/>
    <row r="356" customFormat="1" ht="12.75" x14ac:dyDescent="0.2"/>
    <row r="357" customFormat="1" ht="12.75" x14ac:dyDescent="0.2"/>
    <row r="358" customFormat="1" ht="12.75" x14ac:dyDescent="0.2"/>
    <row r="359" customFormat="1" ht="12.75" x14ac:dyDescent="0.2"/>
    <row r="360" customFormat="1" ht="12.75" x14ac:dyDescent="0.2"/>
    <row r="361" customFormat="1" ht="12.75" x14ac:dyDescent="0.2"/>
    <row r="362" customFormat="1" ht="12.75" x14ac:dyDescent="0.2"/>
    <row r="363" customFormat="1" ht="12.75" x14ac:dyDescent="0.2"/>
    <row r="364" customFormat="1" ht="12.75" x14ac:dyDescent="0.2"/>
    <row r="365" customFormat="1" ht="12.75" x14ac:dyDescent="0.2"/>
    <row r="366" customFormat="1" ht="12.75" x14ac:dyDescent="0.2"/>
    <row r="367" customFormat="1" ht="12.75" x14ac:dyDescent="0.2"/>
    <row r="368" customFormat="1" ht="12.75" x14ac:dyDescent="0.2"/>
    <row r="369" customFormat="1" ht="12.75" x14ac:dyDescent="0.2"/>
    <row r="370" customFormat="1" ht="12.75" x14ac:dyDescent="0.2"/>
    <row r="371" customFormat="1" ht="12.75" x14ac:dyDescent="0.2"/>
    <row r="372" customFormat="1" ht="12.75" x14ac:dyDescent="0.2"/>
    <row r="373" customFormat="1" ht="12.75" x14ac:dyDescent="0.2"/>
    <row r="374" customFormat="1" ht="12.75" x14ac:dyDescent="0.2"/>
    <row r="375" customFormat="1" ht="12.75" x14ac:dyDescent="0.2"/>
    <row r="376" customFormat="1" ht="12.75" x14ac:dyDescent="0.2"/>
    <row r="377" customFormat="1" ht="12.75" x14ac:dyDescent="0.2"/>
    <row r="378" customFormat="1" ht="12.75" x14ac:dyDescent="0.2"/>
    <row r="379" customFormat="1" ht="12.75" x14ac:dyDescent="0.2"/>
    <row r="380" customFormat="1" ht="12.75" x14ac:dyDescent="0.2"/>
    <row r="381" customFormat="1" ht="12.75" x14ac:dyDescent="0.2"/>
    <row r="382" customFormat="1" ht="12.75" x14ac:dyDescent="0.2"/>
    <row r="383" customFormat="1" ht="12.75" x14ac:dyDescent="0.2"/>
    <row r="384" customFormat="1" ht="12.75" x14ac:dyDescent="0.2"/>
    <row r="385" customFormat="1" ht="12.75" x14ac:dyDescent="0.2"/>
    <row r="386" customFormat="1" ht="12.75" x14ac:dyDescent="0.2"/>
    <row r="387" customFormat="1" ht="12.75" x14ac:dyDescent="0.2"/>
    <row r="388" customFormat="1" ht="12.75" x14ac:dyDescent="0.2"/>
    <row r="389" customFormat="1" ht="12.75" x14ac:dyDescent="0.2"/>
    <row r="390" customFormat="1" ht="12.75" x14ac:dyDescent="0.2"/>
    <row r="391" customFormat="1" ht="12.75" x14ac:dyDescent="0.2"/>
    <row r="392" customFormat="1" ht="12.75" x14ac:dyDescent="0.2"/>
    <row r="393" customFormat="1" ht="12.75" x14ac:dyDescent="0.2"/>
    <row r="394" customFormat="1" ht="12.75" x14ac:dyDescent="0.2"/>
    <row r="395" customFormat="1" ht="12.75" x14ac:dyDescent="0.2"/>
    <row r="396" customFormat="1" ht="12.75" x14ac:dyDescent="0.2"/>
    <row r="397" customFormat="1" ht="12.75" x14ac:dyDescent="0.2"/>
    <row r="398" customFormat="1" ht="12.75" x14ac:dyDescent="0.2"/>
    <row r="399" customFormat="1" ht="12.75" x14ac:dyDescent="0.2"/>
    <row r="400" customFormat="1" ht="12.75" x14ac:dyDescent="0.2"/>
    <row r="401" customFormat="1" ht="12.75" x14ac:dyDescent="0.2"/>
    <row r="402" customFormat="1" ht="12.75" x14ac:dyDescent="0.2"/>
    <row r="403" customFormat="1" ht="12.75" x14ac:dyDescent="0.2"/>
    <row r="404" customFormat="1" ht="12.75" x14ac:dyDescent="0.2"/>
    <row r="405" customFormat="1" ht="12.75" x14ac:dyDescent="0.2"/>
    <row r="406" customFormat="1" ht="12.75" x14ac:dyDescent="0.2"/>
    <row r="407" customFormat="1" ht="12.75" x14ac:dyDescent="0.2"/>
    <row r="408" customFormat="1" ht="12.75" x14ac:dyDescent="0.2"/>
    <row r="409" customFormat="1" ht="12.75" x14ac:dyDescent="0.2"/>
    <row r="410" customFormat="1" ht="12.75" x14ac:dyDescent="0.2"/>
    <row r="411" customFormat="1" ht="12.75" x14ac:dyDescent="0.2"/>
    <row r="412" customFormat="1" ht="12.75" x14ac:dyDescent="0.2"/>
    <row r="413" customFormat="1" ht="12.75" x14ac:dyDescent="0.2"/>
    <row r="414" customFormat="1" ht="12.75" x14ac:dyDescent="0.2"/>
    <row r="415" customFormat="1" ht="12.75" x14ac:dyDescent="0.2"/>
    <row r="416" customFormat="1" ht="12.75" x14ac:dyDescent="0.2"/>
    <row r="417" customFormat="1" ht="12.75" x14ac:dyDescent="0.2"/>
    <row r="418" customFormat="1" ht="12.75" x14ac:dyDescent="0.2"/>
    <row r="419" customFormat="1" ht="12.75" x14ac:dyDescent="0.2"/>
    <row r="420" customFormat="1" ht="12.75" x14ac:dyDescent="0.2"/>
    <row r="421" customFormat="1" ht="12.75" x14ac:dyDescent="0.2"/>
    <row r="422" customFormat="1" ht="12.75" x14ac:dyDescent="0.2"/>
    <row r="423" customFormat="1" ht="12.75" x14ac:dyDescent="0.2"/>
    <row r="424" customFormat="1" ht="12.75" x14ac:dyDescent="0.2"/>
    <row r="425" customFormat="1" ht="12.75" x14ac:dyDescent="0.2"/>
    <row r="426" customFormat="1" ht="12.75" x14ac:dyDescent="0.2"/>
    <row r="427" customFormat="1" ht="12.75" x14ac:dyDescent="0.2"/>
    <row r="428" customFormat="1" ht="12.75" x14ac:dyDescent="0.2"/>
    <row r="429" customFormat="1" ht="12.75" x14ac:dyDescent="0.2"/>
    <row r="430" customFormat="1" ht="12.75" x14ac:dyDescent="0.2"/>
    <row r="431" customFormat="1" ht="12.75" x14ac:dyDescent="0.2"/>
    <row r="432" customFormat="1" ht="12.75" x14ac:dyDescent="0.2"/>
    <row r="433" customFormat="1" ht="12.75" x14ac:dyDescent="0.2"/>
    <row r="434" customFormat="1" ht="12.75" x14ac:dyDescent="0.2"/>
    <row r="435" customFormat="1" ht="12.75" x14ac:dyDescent="0.2"/>
    <row r="436" customFormat="1" ht="12.75" x14ac:dyDescent="0.2"/>
    <row r="437" customFormat="1" ht="12.75" x14ac:dyDescent="0.2"/>
    <row r="438" customFormat="1" ht="12.75" x14ac:dyDescent="0.2"/>
    <row r="439" customFormat="1" ht="12.75" x14ac:dyDescent="0.2"/>
    <row r="440" customFormat="1" ht="12.75" x14ac:dyDescent="0.2"/>
    <row r="441" customFormat="1" ht="12.75" x14ac:dyDescent="0.2"/>
    <row r="442" customFormat="1" ht="12.75" x14ac:dyDescent="0.2"/>
    <row r="443" customFormat="1" ht="12.75" x14ac:dyDescent="0.2"/>
    <row r="444" customFormat="1" ht="12.75" x14ac:dyDescent="0.2"/>
    <row r="445" customFormat="1" ht="12.75" x14ac:dyDescent="0.2"/>
    <row r="446" customFormat="1" ht="12.75" x14ac:dyDescent="0.2"/>
    <row r="447" customFormat="1" ht="12.75" x14ac:dyDescent="0.2"/>
    <row r="448" customFormat="1" ht="12.75" x14ac:dyDescent="0.2"/>
    <row r="449" customFormat="1" ht="12.75" x14ac:dyDescent="0.2"/>
    <row r="450" customFormat="1" ht="12.75" x14ac:dyDescent="0.2"/>
    <row r="451" customFormat="1" ht="12.75" x14ac:dyDescent="0.2"/>
    <row r="452" customFormat="1" ht="12.75" x14ac:dyDescent="0.2"/>
    <row r="453" customFormat="1" ht="12.75" x14ac:dyDescent="0.2"/>
    <row r="454" customFormat="1" ht="12.75" x14ac:dyDescent="0.2"/>
    <row r="455" customFormat="1" ht="12.75" x14ac:dyDescent="0.2"/>
    <row r="456" customFormat="1" ht="12.75" x14ac:dyDescent="0.2"/>
    <row r="457" customFormat="1" ht="12.75" x14ac:dyDescent="0.2"/>
    <row r="458" customFormat="1" ht="12.75" x14ac:dyDescent="0.2"/>
    <row r="459" customFormat="1" ht="12.75" x14ac:dyDescent="0.2"/>
    <row r="460" customFormat="1" ht="12.75" x14ac:dyDescent="0.2"/>
    <row r="461" customFormat="1" ht="12.75" x14ac:dyDescent="0.2"/>
    <row r="462" customFormat="1" ht="12.75" x14ac:dyDescent="0.2"/>
    <row r="463" customFormat="1" ht="12.75" x14ac:dyDescent="0.2"/>
    <row r="464" customFormat="1" ht="12.75" x14ac:dyDescent="0.2"/>
    <row r="465" customFormat="1" ht="12.75" x14ac:dyDescent="0.2"/>
    <row r="466" customFormat="1" ht="12.75" x14ac:dyDescent="0.2"/>
    <row r="467" customFormat="1" ht="12.75" x14ac:dyDescent="0.2"/>
    <row r="468" customFormat="1" ht="12.75" x14ac:dyDescent="0.2"/>
    <row r="469" customFormat="1" ht="12.75" x14ac:dyDescent="0.2"/>
    <row r="470" customFormat="1" ht="12.75" x14ac:dyDescent="0.2"/>
    <row r="471" customFormat="1" ht="12.75" x14ac:dyDescent="0.2"/>
    <row r="472" customFormat="1" ht="12.75" x14ac:dyDescent="0.2"/>
    <row r="473" customFormat="1" ht="12.75" x14ac:dyDescent="0.2"/>
    <row r="474" customFormat="1" ht="12.75" x14ac:dyDescent="0.2"/>
    <row r="475" customFormat="1" ht="12.75" x14ac:dyDescent="0.2"/>
    <row r="476" customFormat="1" ht="12.75" x14ac:dyDescent="0.2"/>
    <row r="477" customFormat="1" ht="12.75" x14ac:dyDescent="0.2"/>
    <row r="478" customFormat="1" ht="12.75" x14ac:dyDescent="0.2"/>
    <row r="479" customFormat="1" ht="12.75" x14ac:dyDescent="0.2"/>
    <row r="480" customFormat="1" ht="12.75" x14ac:dyDescent="0.2"/>
    <row r="481" customFormat="1" ht="12.75" x14ac:dyDescent="0.2"/>
    <row r="482" customFormat="1" ht="12.75" x14ac:dyDescent="0.2"/>
    <row r="483" customFormat="1" ht="12.75" x14ac:dyDescent="0.2"/>
    <row r="484" customFormat="1" ht="12.75" x14ac:dyDescent="0.2"/>
    <row r="485" customFormat="1" ht="12.75" x14ac:dyDescent="0.2"/>
    <row r="486" customFormat="1" ht="12.75" x14ac:dyDescent="0.2"/>
    <row r="487" customFormat="1" ht="12.75" x14ac:dyDescent="0.2"/>
    <row r="488" customFormat="1" ht="12.75" x14ac:dyDescent="0.2"/>
    <row r="489" customFormat="1" ht="12.75" x14ac:dyDescent="0.2"/>
    <row r="490" customFormat="1" ht="12.75" x14ac:dyDescent="0.2"/>
    <row r="491" customFormat="1" ht="12.75" x14ac:dyDescent="0.2"/>
    <row r="492" customFormat="1" ht="12.75" x14ac:dyDescent="0.2"/>
    <row r="493" customFormat="1" ht="12.75" x14ac:dyDescent="0.2"/>
    <row r="494" customFormat="1" ht="12.75" x14ac:dyDescent="0.2"/>
    <row r="495" customFormat="1" ht="12.75" x14ac:dyDescent="0.2"/>
    <row r="496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2.75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  <row r="609" customFormat="1" ht="12.75" x14ac:dyDescent="0.2"/>
    <row r="610" customFormat="1" ht="12.75" x14ac:dyDescent="0.2"/>
    <row r="611" customFormat="1" ht="12.75" x14ac:dyDescent="0.2"/>
    <row r="612" customFormat="1" ht="12.75" x14ac:dyDescent="0.2"/>
    <row r="613" customFormat="1" ht="12.75" x14ac:dyDescent="0.2"/>
    <row r="614" customFormat="1" ht="12.75" x14ac:dyDescent="0.2"/>
    <row r="615" customFormat="1" ht="12.75" x14ac:dyDescent="0.2"/>
    <row r="616" customFormat="1" ht="12.75" x14ac:dyDescent="0.2"/>
    <row r="617" customFormat="1" ht="12.75" x14ac:dyDescent="0.2"/>
    <row r="618" customFormat="1" ht="12.75" x14ac:dyDescent="0.2"/>
    <row r="619" customFormat="1" ht="12.75" x14ac:dyDescent="0.2"/>
    <row r="620" customFormat="1" ht="12.75" x14ac:dyDescent="0.2"/>
    <row r="621" customFormat="1" ht="12.75" x14ac:dyDescent="0.2"/>
    <row r="622" customFormat="1" ht="12.75" x14ac:dyDescent="0.2"/>
    <row r="623" customFormat="1" ht="12.75" x14ac:dyDescent="0.2"/>
    <row r="624" customFormat="1" ht="12.75" x14ac:dyDescent="0.2"/>
    <row r="625" customFormat="1" ht="12.75" x14ac:dyDescent="0.2"/>
    <row r="626" customFormat="1" ht="12.75" x14ac:dyDescent="0.2"/>
    <row r="627" customFormat="1" ht="12.75" x14ac:dyDescent="0.2"/>
    <row r="628" customFormat="1" ht="12.75" x14ac:dyDescent="0.2"/>
    <row r="629" customFormat="1" ht="12.75" x14ac:dyDescent="0.2"/>
    <row r="630" customFormat="1" ht="12.75" x14ac:dyDescent="0.2"/>
    <row r="631" customFormat="1" ht="12.75" x14ac:dyDescent="0.2"/>
    <row r="632" customFormat="1" ht="12.75" x14ac:dyDescent="0.2"/>
    <row r="633" customFormat="1" ht="12.75" x14ac:dyDescent="0.2"/>
    <row r="634" customFormat="1" ht="12.75" x14ac:dyDescent="0.2"/>
    <row r="635" customFormat="1" ht="12.75" x14ac:dyDescent="0.2"/>
    <row r="636" customFormat="1" ht="12.75" x14ac:dyDescent="0.2"/>
    <row r="637" customFormat="1" ht="12.75" x14ac:dyDescent="0.2"/>
    <row r="638" customFormat="1" ht="12.75" x14ac:dyDescent="0.2"/>
    <row r="639" customFormat="1" ht="12.75" x14ac:dyDescent="0.2"/>
    <row r="640" customFormat="1" ht="12.75" x14ac:dyDescent="0.2"/>
    <row r="641" customFormat="1" ht="12.75" x14ac:dyDescent="0.2"/>
    <row r="642" customFormat="1" ht="12.75" x14ac:dyDescent="0.2"/>
    <row r="643" customFormat="1" ht="12.75" x14ac:dyDescent="0.2"/>
    <row r="644" customFormat="1" ht="12.75" x14ac:dyDescent="0.2"/>
    <row r="645" customFormat="1" ht="12.75" x14ac:dyDescent="0.2"/>
    <row r="646" customFormat="1" ht="12.75" x14ac:dyDescent="0.2"/>
    <row r="647" customFormat="1" ht="12.75" x14ac:dyDescent="0.2"/>
    <row r="648" customFormat="1" ht="12.75" x14ac:dyDescent="0.2"/>
    <row r="649" customFormat="1" ht="12.75" x14ac:dyDescent="0.2"/>
    <row r="650" customFormat="1" ht="12.75" x14ac:dyDescent="0.2"/>
    <row r="651" customFormat="1" ht="12.75" x14ac:dyDescent="0.2"/>
    <row r="652" customFormat="1" ht="12.75" x14ac:dyDescent="0.2"/>
    <row r="653" customFormat="1" ht="12.75" x14ac:dyDescent="0.2"/>
    <row r="654" customFormat="1" ht="12.75" x14ac:dyDescent="0.2"/>
    <row r="655" customFormat="1" ht="12.75" x14ac:dyDescent="0.2"/>
    <row r="656" customFormat="1" ht="12.75" x14ac:dyDescent="0.2"/>
    <row r="657" customFormat="1" ht="12.75" x14ac:dyDescent="0.2"/>
    <row r="658" customFormat="1" ht="12.75" x14ac:dyDescent="0.2"/>
    <row r="659" customFormat="1" ht="12.75" x14ac:dyDescent="0.2"/>
    <row r="660" customFormat="1" ht="12.75" x14ac:dyDescent="0.2"/>
    <row r="661" customFormat="1" ht="12.75" x14ac:dyDescent="0.2"/>
    <row r="662" customFormat="1" ht="12.75" x14ac:dyDescent="0.2"/>
    <row r="663" customFormat="1" ht="12.75" x14ac:dyDescent="0.2"/>
    <row r="664" customFormat="1" ht="12.75" x14ac:dyDescent="0.2"/>
    <row r="665" customFormat="1" ht="12.75" x14ac:dyDescent="0.2"/>
    <row r="666" customFormat="1" ht="12.75" x14ac:dyDescent="0.2"/>
    <row r="667" customFormat="1" ht="12.75" x14ac:dyDescent="0.2"/>
    <row r="668" customFormat="1" ht="12.75" x14ac:dyDescent="0.2"/>
    <row r="669" customFormat="1" ht="12.75" x14ac:dyDescent="0.2"/>
    <row r="670" customFormat="1" ht="12.75" x14ac:dyDescent="0.2"/>
    <row r="671" customFormat="1" ht="12.75" x14ac:dyDescent="0.2"/>
    <row r="672" customFormat="1" ht="12.75" x14ac:dyDescent="0.2"/>
    <row r="673" customFormat="1" ht="12.75" x14ac:dyDescent="0.2"/>
    <row r="674" customFormat="1" ht="12.75" x14ac:dyDescent="0.2"/>
    <row r="675" customFormat="1" ht="12.75" x14ac:dyDescent="0.2"/>
    <row r="676" customFormat="1" ht="12.75" x14ac:dyDescent="0.2"/>
    <row r="677" customFormat="1" ht="12.75" x14ac:dyDescent="0.2"/>
    <row r="678" customFormat="1" ht="12.75" x14ac:dyDescent="0.2"/>
    <row r="679" customFormat="1" ht="12.75" x14ac:dyDescent="0.2"/>
    <row r="680" customFormat="1" ht="12.75" x14ac:dyDescent="0.2"/>
    <row r="681" customFormat="1" ht="12.75" x14ac:dyDescent="0.2"/>
    <row r="682" customFormat="1" ht="12.75" x14ac:dyDescent="0.2"/>
    <row r="683" customFormat="1" ht="12.75" x14ac:dyDescent="0.2"/>
    <row r="684" customFormat="1" ht="12.75" x14ac:dyDescent="0.2"/>
    <row r="685" customFormat="1" ht="12.75" x14ac:dyDescent="0.2"/>
    <row r="686" customFormat="1" ht="12.75" x14ac:dyDescent="0.2"/>
    <row r="687" customFormat="1" ht="12.75" x14ac:dyDescent="0.2"/>
    <row r="688" customFormat="1" ht="12.75" x14ac:dyDescent="0.2"/>
    <row r="689" customFormat="1" ht="12.75" x14ac:dyDescent="0.2"/>
    <row r="690" customFormat="1" ht="12.75" x14ac:dyDescent="0.2"/>
    <row r="691" customFormat="1" ht="12.75" x14ac:dyDescent="0.2"/>
    <row r="692" customFormat="1" ht="12.75" x14ac:dyDescent="0.2"/>
    <row r="693" customFormat="1" ht="12.75" x14ac:dyDescent="0.2"/>
    <row r="694" customFormat="1" ht="12.75" x14ac:dyDescent="0.2"/>
    <row r="695" customFormat="1" ht="12.75" x14ac:dyDescent="0.2"/>
    <row r="696" customFormat="1" ht="12.75" x14ac:dyDescent="0.2"/>
    <row r="697" customFormat="1" ht="12.75" x14ac:dyDescent="0.2"/>
    <row r="698" customFormat="1" ht="12.75" x14ac:dyDescent="0.2"/>
    <row r="699" customFormat="1" ht="12.75" x14ac:dyDescent="0.2"/>
    <row r="700" customFormat="1" ht="12.75" x14ac:dyDescent="0.2"/>
    <row r="701" customFormat="1" ht="12.75" x14ac:dyDescent="0.2"/>
    <row r="702" customFormat="1" ht="12.75" x14ac:dyDescent="0.2"/>
    <row r="703" customFormat="1" ht="12.75" x14ac:dyDescent="0.2"/>
    <row r="704" customFormat="1" ht="12.75" x14ac:dyDescent="0.2"/>
    <row r="705" customFormat="1" ht="12.75" x14ac:dyDescent="0.2"/>
    <row r="706" customFormat="1" ht="12.75" x14ac:dyDescent="0.2"/>
    <row r="707" customFormat="1" ht="12.75" x14ac:dyDescent="0.2"/>
    <row r="708" customFormat="1" ht="12.75" x14ac:dyDescent="0.2"/>
    <row r="709" customFormat="1" ht="12.75" x14ac:dyDescent="0.2"/>
    <row r="710" customFormat="1" ht="12.75" x14ac:dyDescent="0.2"/>
    <row r="711" customFormat="1" ht="12.75" x14ac:dyDescent="0.2"/>
    <row r="712" customFormat="1" ht="12.75" x14ac:dyDescent="0.2"/>
    <row r="713" customFormat="1" ht="12.75" x14ac:dyDescent="0.2"/>
    <row r="714" customFormat="1" ht="12.75" x14ac:dyDescent="0.2"/>
    <row r="715" customFormat="1" ht="12.75" x14ac:dyDescent="0.2"/>
    <row r="716" customFormat="1" ht="12.75" x14ac:dyDescent="0.2"/>
    <row r="717" customFormat="1" ht="12.75" x14ac:dyDescent="0.2"/>
    <row r="718" customFormat="1" ht="12.75" x14ac:dyDescent="0.2"/>
    <row r="719" customFormat="1" ht="12.75" x14ac:dyDescent="0.2"/>
    <row r="720" customFormat="1" ht="12.75" x14ac:dyDescent="0.2"/>
    <row r="721" customFormat="1" ht="12.75" x14ac:dyDescent="0.2"/>
    <row r="722" customFormat="1" ht="12.75" x14ac:dyDescent="0.2"/>
    <row r="723" customFormat="1" ht="12.75" x14ac:dyDescent="0.2"/>
    <row r="724" customFormat="1" ht="12.75" x14ac:dyDescent="0.2"/>
    <row r="725" customFormat="1" ht="12.75" x14ac:dyDescent="0.2"/>
    <row r="726" customFormat="1" ht="12.75" x14ac:dyDescent="0.2"/>
    <row r="727" customFormat="1" ht="12.75" x14ac:dyDescent="0.2"/>
    <row r="728" customFormat="1" ht="12.75" x14ac:dyDescent="0.2"/>
    <row r="729" customFormat="1" ht="12.75" x14ac:dyDescent="0.2"/>
    <row r="730" customFormat="1" ht="12.75" x14ac:dyDescent="0.2"/>
    <row r="731" customFormat="1" ht="12.75" x14ac:dyDescent="0.2"/>
    <row r="732" customFormat="1" ht="12.75" x14ac:dyDescent="0.2"/>
    <row r="733" customFormat="1" ht="12.75" x14ac:dyDescent="0.2"/>
    <row r="734" customFormat="1" ht="12.75" x14ac:dyDescent="0.2"/>
    <row r="735" customFormat="1" ht="12.75" x14ac:dyDescent="0.2"/>
    <row r="736" customFormat="1" ht="12.75" x14ac:dyDescent="0.2"/>
    <row r="737" customFormat="1" ht="12.75" x14ac:dyDescent="0.2"/>
    <row r="738" customFormat="1" ht="12.75" x14ac:dyDescent="0.2"/>
    <row r="739" customFormat="1" ht="12.75" x14ac:dyDescent="0.2"/>
    <row r="740" customFormat="1" ht="12.75" x14ac:dyDescent="0.2"/>
    <row r="741" customFormat="1" ht="12.75" x14ac:dyDescent="0.2"/>
    <row r="742" customFormat="1" ht="12.75" x14ac:dyDescent="0.2"/>
    <row r="743" customFormat="1" ht="12.75" x14ac:dyDescent="0.2"/>
    <row r="744" customFormat="1" ht="12.75" x14ac:dyDescent="0.2"/>
    <row r="745" customFormat="1" ht="12.75" x14ac:dyDescent="0.2"/>
    <row r="746" customFormat="1" ht="12.75" x14ac:dyDescent="0.2"/>
    <row r="747" customFormat="1" ht="12.75" x14ac:dyDescent="0.2"/>
    <row r="748" customFormat="1" ht="12.75" x14ac:dyDescent="0.2"/>
    <row r="749" customFormat="1" ht="12.75" x14ac:dyDescent="0.2"/>
    <row r="750" customFormat="1" ht="12.75" x14ac:dyDescent="0.2"/>
    <row r="751" customFormat="1" ht="12.75" x14ac:dyDescent="0.2"/>
    <row r="752" customFormat="1" ht="12.75" x14ac:dyDescent="0.2"/>
    <row r="753" customFormat="1" ht="12.75" x14ac:dyDescent="0.2"/>
    <row r="754" customFormat="1" ht="12.75" x14ac:dyDescent="0.2"/>
    <row r="755" customFormat="1" ht="12.75" x14ac:dyDescent="0.2"/>
    <row r="756" customFormat="1" ht="12.75" x14ac:dyDescent="0.2"/>
    <row r="757" customFormat="1" ht="12.75" x14ac:dyDescent="0.2"/>
    <row r="758" customFormat="1" ht="12.75" x14ac:dyDescent="0.2"/>
    <row r="759" customFormat="1" ht="12.75" x14ac:dyDescent="0.2"/>
    <row r="760" customFormat="1" ht="12.75" x14ac:dyDescent="0.2"/>
    <row r="761" customFormat="1" ht="12.75" x14ac:dyDescent="0.2"/>
    <row r="762" customFormat="1" ht="12.75" x14ac:dyDescent="0.2"/>
    <row r="763" customFormat="1" ht="12.75" x14ac:dyDescent="0.2"/>
    <row r="764" customFormat="1" ht="12.75" x14ac:dyDescent="0.2"/>
    <row r="765" customFormat="1" ht="12.75" x14ac:dyDescent="0.2"/>
    <row r="766" customFormat="1" ht="12.75" x14ac:dyDescent="0.2"/>
    <row r="767" customFormat="1" ht="12.75" x14ac:dyDescent="0.2"/>
    <row r="768" customFormat="1" ht="12.75" x14ac:dyDescent="0.2"/>
    <row r="769" customFormat="1" ht="12.75" x14ac:dyDescent="0.2"/>
    <row r="770" customFormat="1" ht="12.75" x14ac:dyDescent="0.2"/>
    <row r="771" customFormat="1" ht="12.75" x14ac:dyDescent="0.2"/>
    <row r="772" customFormat="1" ht="12.75" x14ac:dyDescent="0.2"/>
    <row r="773" customFormat="1" ht="12.75" x14ac:dyDescent="0.2"/>
    <row r="774" customFormat="1" ht="12.75" x14ac:dyDescent="0.2"/>
    <row r="775" customFormat="1" ht="12.75" x14ac:dyDescent="0.2"/>
    <row r="776" customFormat="1" ht="12.75" x14ac:dyDescent="0.2"/>
    <row r="777" customFormat="1" ht="12.75" x14ac:dyDescent="0.2"/>
    <row r="778" customFormat="1" ht="12.75" x14ac:dyDescent="0.2"/>
    <row r="779" customFormat="1" ht="12.75" x14ac:dyDescent="0.2"/>
    <row r="780" customFormat="1" ht="12.75" x14ac:dyDescent="0.2"/>
    <row r="781" customFormat="1" ht="12.75" x14ac:dyDescent="0.2"/>
    <row r="782" customFormat="1" ht="12.75" x14ac:dyDescent="0.2"/>
    <row r="783" customFormat="1" ht="12.75" x14ac:dyDescent="0.2"/>
    <row r="784" customFormat="1" ht="12.75" x14ac:dyDescent="0.2"/>
    <row r="785" customFormat="1" ht="12.75" x14ac:dyDescent="0.2"/>
    <row r="786" customFormat="1" ht="12.75" x14ac:dyDescent="0.2"/>
    <row r="787" customFormat="1" ht="12.75" x14ac:dyDescent="0.2"/>
    <row r="788" customFormat="1" ht="12.75" x14ac:dyDescent="0.2"/>
    <row r="789" customFormat="1" ht="12.75" x14ac:dyDescent="0.2"/>
    <row r="790" customFormat="1" ht="12.75" x14ac:dyDescent="0.2"/>
    <row r="791" customFormat="1" ht="12.75" x14ac:dyDescent="0.2"/>
    <row r="792" customFormat="1" ht="12.75" x14ac:dyDescent="0.2"/>
    <row r="793" customFormat="1" ht="12.75" x14ac:dyDescent="0.2"/>
    <row r="794" customFormat="1" ht="12.75" x14ac:dyDescent="0.2"/>
    <row r="795" customFormat="1" ht="12.75" x14ac:dyDescent="0.2"/>
    <row r="796" customFormat="1" ht="12.75" x14ac:dyDescent="0.2"/>
    <row r="797" customFormat="1" ht="12.75" x14ac:dyDescent="0.2"/>
    <row r="798" customFormat="1" ht="12.75" x14ac:dyDescent="0.2"/>
    <row r="799" customFormat="1" ht="12.75" x14ac:dyDescent="0.2"/>
    <row r="800" customFormat="1" ht="12.75" x14ac:dyDescent="0.2"/>
    <row r="801" customFormat="1" ht="12.75" x14ac:dyDescent="0.2"/>
    <row r="802" customFormat="1" ht="12.75" x14ac:dyDescent="0.2"/>
    <row r="803" customFormat="1" ht="12.75" x14ac:dyDescent="0.2"/>
    <row r="804" customFormat="1" ht="12.75" x14ac:dyDescent="0.2"/>
    <row r="805" customFormat="1" ht="12.75" x14ac:dyDescent="0.2"/>
    <row r="806" customFormat="1" ht="12.75" x14ac:dyDescent="0.2"/>
    <row r="807" customFormat="1" ht="12.75" x14ac:dyDescent="0.2"/>
    <row r="808" customFormat="1" ht="12.75" x14ac:dyDescent="0.2"/>
    <row r="809" customFormat="1" ht="12.75" x14ac:dyDescent="0.2"/>
    <row r="810" customFormat="1" ht="12.75" x14ac:dyDescent="0.2"/>
    <row r="811" customFormat="1" ht="12.75" x14ac:dyDescent="0.2"/>
    <row r="812" customFormat="1" ht="12.75" x14ac:dyDescent="0.2"/>
    <row r="813" customFormat="1" ht="12.75" x14ac:dyDescent="0.2"/>
    <row r="814" customFormat="1" ht="12.75" x14ac:dyDescent="0.2"/>
    <row r="815" customFormat="1" ht="12.75" x14ac:dyDescent="0.2"/>
    <row r="816" customFormat="1" ht="12.75" x14ac:dyDescent="0.2"/>
    <row r="817" customFormat="1" ht="12.75" x14ac:dyDescent="0.2"/>
    <row r="818" customFormat="1" ht="12.75" x14ac:dyDescent="0.2"/>
    <row r="819" customFormat="1" ht="12.75" x14ac:dyDescent="0.2"/>
    <row r="820" customFormat="1" ht="12.75" x14ac:dyDescent="0.2"/>
    <row r="821" customFormat="1" ht="12.75" x14ac:dyDescent="0.2"/>
    <row r="822" customFormat="1" ht="12.75" x14ac:dyDescent="0.2"/>
    <row r="823" customFormat="1" ht="12.75" x14ac:dyDescent="0.2"/>
    <row r="824" customFormat="1" ht="12.75" x14ac:dyDescent="0.2"/>
    <row r="825" customFormat="1" ht="12.75" x14ac:dyDescent="0.2"/>
    <row r="826" customFormat="1" ht="12.75" x14ac:dyDescent="0.2"/>
    <row r="827" customFormat="1" ht="12.75" x14ac:dyDescent="0.2"/>
    <row r="828" customFormat="1" ht="12.75" x14ac:dyDescent="0.2"/>
    <row r="829" customFormat="1" ht="12.75" x14ac:dyDescent="0.2"/>
    <row r="830" customFormat="1" ht="12.75" x14ac:dyDescent="0.2"/>
    <row r="831" customFormat="1" ht="12.75" x14ac:dyDescent="0.2"/>
    <row r="832" customFormat="1" ht="12.75" x14ac:dyDescent="0.2"/>
    <row r="833" customFormat="1" ht="12.75" x14ac:dyDescent="0.2"/>
    <row r="834" customFormat="1" ht="12.75" x14ac:dyDescent="0.2"/>
    <row r="835" customFormat="1" ht="12.75" x14ac:dyDescent="0.2"/>
    <row r="836" customFormat="1" ht="12.75" x14ac:dyDescent="0.2"/>
    <row r="837" customFormat="1" ht="12.75" x14ac:dyDescent="0.2"/>
    <row r="838" customFormat="1" ht="12.75" x14ac:dyDescent="0.2"/>
    <row r="839" customFormat="1" ht="12.75" x14ac:dyDescent="0.2"/>
    <row r="840" customFormat="1" ht="12.75" x14ac:dyDescent="0.2"/>
    <row r="841" customFormat="1" ht="12.75" x14ac:dyDescent="0.2"/>
    <row r="842" customFormat="1" ht="12.75" x14ac:dyDescent="0.2"/>
    <row r="843" customFormat="1" ht="12.75" x14ac:dyDescent="0.2"/>
    <row r="844" customFormat="1" ht="12.75" x14ac:dyDescent="0.2"/>
    <row r="845" customFormat="1" ht="12.75" x14ac:dyDescent="0.2"/>
    <row r="846" customFormat="1" ht="12.75" x14ac:dyDescent="0.2"/>
    <row r="847" customFormat="1" ht="12.75" x14ac:dyDescent="0.2"/>
    <row r="848" customFormat="1" ht="12.75" x14ac:dyDescent="0.2"/>
    <row r="849" customFormat="1" ht="12.75" x14ac:dyDescent="0.2"/>
    <row r="850" customFormat="1" ht="12.75" x14ac:dyDescent="0.2"/>
    <row r="851" customFormat="1" ht="12.75" x14ac:dyDescent="0.2"/>
    <row r="852" customFormat="1" ht="12.75" x14ac:dyDescent="0.2"/>
    <row r="853" customFormat="1" ht="12.75" x14ac:dyDescent="0.2"/>
    <row r="854" customFormat="1" ht="12.75" x14ac:dyDescent="0.2"/>
    <row r="855" customFormat="1" ht="12.75" x14ac:dyDescent="0.2"/>
    <row r="856" customFormat="1" ht="12.75" x14ac:dyDescent="0.2"/>
    <row r="857" customFormat="1" ht="12.75" x14ac:dyDescent="0.2"/>
    <row r="858" customFormat="1" ht="12.75" x14ac:dyDescent="0.2"/>
    <row r="859" customFormat="1" ht="12.75" x14ac:dyDescent="0.2"/>
    <row r="860" customFormat="1" ht="12.75" x14ac:dyDescent="0.2"/>
    <row r="861" customFormat="1" ht="12.75" x14ac:dyDescent="0.2"/>
    <row r="862" customFormat="1" ht="12.75" x14ac:dyDescent="0.2"/>
    <row r="863" customFormat="1" ht="12.75" x14ac:dyDescent="0.2"/>
    <row r="864" customFormat="1" ht="12.75" x14ac:dyDescent="0.2"/>
    <row r="865" customFormat="1" ht="12.75" x14ac:dyDescent="0.2"/>
    <row r="866" customFormat="1" ht="12.75" x14ac:dyDescent="0.2"/>
    <row r="867" customFormat="1" ht="12.75" x14ac:dyDescent="0.2"/>
    <row r="868" customFormat="1" ht="12.75" x14ac:dyDescent="0.2"/>
    <row r="869" customFormat="1" ht="12.75" x14ac:dyDescent="0.2"/>
    <row r="870" customFormat="1" ht="12.75" x14ac:dyDescent="0.2"/>
    <row r="871" customFormat="1" ht="12.75" x14ac:dyDescent="0.2"/>
    <row r="872" customFormat="1" ht="12.75" x14ac:dyDescent="0.2"/>
    <row r="873" customFormat="1" ht="12.75" x14ac:dyDescent="0.2"/>
    <row r="874" customFormat="1" ht="12.75" x14ac:dyDescent="0.2"/>
    <row r="875" customFormat="1" ht="12.75" x14ac:dyDescent="0.2"/>
    <row r="876" customFormat="1" ht="12.75" x14ac:dyDescent="0.2"/>
    <row r="877" customFormat="1" ht="12.75" x14ac:dyDescent="0.2"/>
    <row r="878" customFormat="1" ht="12.75" x14ac:dyDescent="0.2"/>
    <row r="879" customFormat="1" ht="12.75" x14ac:dyDescent="0.2"/>
    <row r="880" customFormat="1" ht="12.75" x14ac:dyDescent="0.2"/>
    <row r="881" customFormat="1" ht="12.75" x14ac:dyDescent="0.2"/>
    <row r="882" customFormat="1" ht="12.75" x14ac:dyDescent="0.2"/>
    <row r="883" customFormat="1" ht="12.75" x14ac:dyDescent="0.2"/>
    <row r="884" customFormat="1" ht="12.75" x14ac:dyDescent="0.2"/>
    <row r="885" customFormat="1" ht="12.75" x14ac:dyDescent="0.2"/>
    <row r="886" customFormat="1" ht="12.75" x14ac:dyDescent="0.2"/>
    <row r="887" customFormat="1" ht="12.75" x14ac:dyDescent="0.2"/>
    <row r="888" customFormat="1" ht="12.75" x14ac:dyDescent="0.2"/>
    <row r="889" customFormat="1" ht="12.75" x14ac:dyDescent="0.2"/>
    <row r="890" customFormat="1" ht="12.75" x14ac:dyDescent="0.2"/>
    <row r="891" customFormat="1" ht="12.75" x14ac:dyDescent="0.2"/>
    <row r="892" customFormat="1" ht="12.75" x14ac:dyDescent="0.2"/>
    <row r="893" customFormat="1" ht="12.75" x14ac:dyDescent="0.2"/>
    <row r="894" customFormat="1" ht="12.75" x14ac:dyDescent="0.2"/>
    <row r="895" customFormat="1" ht="12.75" x14ac:dyDescent="0.2"/>
    <row r="896" customFormat="1" ht="12.75" x14ac:dyDescent="0.2"/>
    <row r="897" customFormat="1" ht="12.75" x14ac:dyDescent="0.2"/>
    <row r="898" customFormat="1" ht="12.75" x14ac:dyDescent="0.2"/>
    <row r="899" customFormat="1" ht="12.75" x14ac:dyDescent="0.2"/>
    <row r="900" customFormat="1" ht="12.75" x14ac:dyDescent="0.2"/>
    <row r="901" customFormat="1" ht="12.75" x14ac:dyDescent="0.2"/>
    <row r="902" customFormat="1" ht="12.75" x14ac:dyDescent="0.2"/>
    <row r="903" customFormat="1" ht="12.75" x14ac:dyDescent="0.2"/>
    <row r="904" customFormat="1" ht="12.75" x14ac:dyDescent="0.2"/>
    <row r="905" customFormat="1" ht="12.75" x14ac:dyDescent="0.2"/>
    <row r="906" customFormat="1" ht="12.75" x14ac:dyDescent="0.2"/>
    <row r="907" customFormat="1" ht="12.75" x14ac:dyDescent="0.2"/>
    <row r="908" customFormat="1" ht="12.75" x14ac:dyDescent="0.2"/>
    <row r="909" customFormat="1" ht="12.75" x14ac:dyDescent="0.2"/>
    <row r="910" customFormat="1" ht="12.75" x14ac:dyDescent="0.2"/>
    <row r="911" customFormat="1" ht="12.75" x14ac:dyDescent="0.2"/>
    <row r="912" customFormat="1" ht="12.75" x14ac:dyDescent="0.2"/>
    <row r="913" customFormat="1" ht="12.75" x14ac:dyDescent="0.2"/>
    <row r="914" customFormat="1" ht="12.75" x14ac:dyDescent="0.2"/>
    <row r="915" customFormat="1" ht="12.75" x14ac:dyDescent="0.2"/>
    <row r="916" customFormat="1" ht="12.75" x14ac:dyDescent="0.2"/>
    <row r="917" customFormat="1" ht="12.75" x14ac:dyDescent="0.2"/>
    <row r="918" customFormat="1" ht="12.75" x14ac:dyDescent="0.2"/>
    <row r="919" customFormat="1" ht="12.75" x14ac:dyDescent="0.2"/>
    <row r="920" customFormat="1" ht="12.75" x14ac:dyDescent="0.2"/>
    <row r="921" customFormat="1" ht="12.75" x14ac:dyDescent="0.2"/>
    <row r="922" customFormat="1" ht="12.75" x14ac:dyDescent="0.2"/>
    <row r="923" customFormat="1" ht="12.75" x14ac:dyDescent="0.2"/>
    <row r="924" customFormat="1" ht="12.75" x14ac:dyDescent="0.2"/>
    <row r="925" customFormat="1" ht="12.75" x14ac:dyDescent="0.2"/>
    <row r="926" customFormat="1" ht="12.75" x14ac:dyDescent="0.2"/>
    <row r="927" customFormat="1" ht="12.75" x14ac:dyDescent="0.2"/>
    <row r="928" customFormat="1" ht="12.75" x14ac:dyDescent="0.2"/>
    <row r="929" customFormat="1" ht="12.75" x14ac:dyDescent="0.2"/>
    <row r="930" customFormat="1" ht="12.75" x14ac:dyDescent="0.2"/>
    <row r="931" customFormat="1" ht="12.75" x14ac:dyDescent="0.2"/>
    <row r="932" customFormat="1" ht="12.75" x14ac:dyDescent="0.2"/>
    <row r="933" customFormat="1" ht="12.75" x14ac:dyDescent="0.2"/>
    <row r="934" customFormat="1" ht="12.75" x14ac:dyDescent="0.2"/>
    <row r="935" customFormat="1" ht="12.75" x14ac:dyDescent="0.2"/>
    <row r="936" customFormat="1" ht="12.75" x14ac:dyDescent="0.2"/>
    <row r="937" customFormat="1" ht="12.75" x14ac:dyDescent="0.2"/>
    <row r="938" customFormat="1" ht="12.75" x14ac:dyDescent="0.2"/>
    <row r="939" customFormat="1" ht="12.75" x14ac:dyDescent="0.2"/>
    <row r="940" customFormat="1" ht="12.75" x14ac:dyDescent="0.2"/>
    <row r="941" customFormat="1" ht="12.75" x14ac:dyDescent="0.2"/>
    <row r="942" customFormat="1" ht="12.75" x14ac:dyDescent="0.2"/>
    <row r="943" customFormat="1" ht="12.75" x14ac:dyDescent="0.2"/>
    <row r="944" customFormat="1" ht="12.75" x14ac:dyDescent="0.2"/>
    <row r="945" customFormat="1" ht="12.75" x14ac:dyDescent="0.2"/>
    <row r="946" customFormat="1" ht="12.75" x14ac:dyDescent="0.2"/>
    <row r="947" customFormat="1" ht="12.75" x14ac:dyDescent="0.2"/>
    <row r="948" customFormat="1" ht="12.75" x14ac:dyDescent="0.2"/>
    <row r="949" customFormat="1" ht="12.75" x14ac:dyDescent="0.2"/>
    <row r="950" customFormat="1" ht="12.75" x14ac:dyDescent="0.2"/>
    <row r="951" customFormat="1" ht="12.75" x14ac:dyDescent="0.2"/>
    <row r="952" customFormat="1" ht="12.75" x14ac:dyDescent="0.2"/>
    <row r="953" customFormat="1" ht="12.75" x14ac:dyDescent="0.2"/>
    <row r="954" customFormat="1" ht="12.75" x14ac:dyDescent="0.2"/>
    <row r="955" customFormat="1" ht="12.75" x14ac:dyDescent="0.2"/>
    <row r="956" customFormat="1" ht="12.75" x14ac:dyDescent="0.2"/>
    <row r="957" customFormat="1" ht="12.75" x14ac:dyDescent="0.2"/>
    <row r="958" customFormat="1" ht="12.75" x14ac:dyDescent="0.2"/>
    <row r="959" customFormat="1" ht="12.75" x14ac:dyDescent="0.2"/>
    <row r="960" customFormat="1" ht="12.75" x14ac:dyDescent="0.2"/>
    <row r="961" customFormat="1" ht="12.75" x14ac:dyDescent="0.2"/>
    <row r="962" customFormat="1" ht="12.75" x14ac:dyDescent="0.2"/>
    <row r="963" customFormat="1" ht="12.75" x14ac:dyDescent="0.2"/>
    <row r="964" customFormat="1" ht="12.75" x14ac:dyDescent="0.2"/>
    <row r="965" customFormat="1" ht="12.75" x14ac:dyDescent="0.2"/>
    <row r="966" customFormat="1" ht="12.75" x14ac:dyDescent="0.2"/>
    <row r="967" customFormat="1" ht="12.75" x14ac:dyDescent="0.2"/>
    <row r="968" customFormat="1" ht="12.75" x14ac:dyDescent="0.2"/>
    <row r="969" customFormat="1" ht="12.75" x14ac:dyDescent="0.2"/>
    <row r="970" customFormat="1" ht="12.75" x14ac:dyDescent="0.2"/>
    <row r="971" customFormat="1" ht="12.75" x14ac:dyDescent="0.2"/>
    <row r="972" customFormat="1" ht="12.75" x14ac:dyDescent="0.2"/>
    <row r="973" customFormat="1" ht="12.75" x14ac:dyDescent="0.2"/>
    <row r="974" customFormat="1" ht="12.75" x14ac:dyDescent="0.2"/>
    <row r="975" customFormat="1" ht="12.75" x14ac:dyDescent="0.2"/>
    <row r="976" customFormat="1" ht="12.75" x14ac:dyDescent="0.2"/>
    <row r="977" customFormat="1" ht="12.75" x14ac:dyDescent="0.2"/>
    <row r="978" customFormat="1" ht="12.75" x14ac:dyDescent="0.2"/>
    <row r="979" customFormat="1" ht="12.75" x14ac:dyDescent="0.2"/>
    <row r="980" customFormat="1" ht="12.75" x14ac:dyDescent="0.2"/>
    <row r="981" customFormat="1" ht="12.75" x14ac:dyDescent="0.2"/>
    <row r="982" customFormat="1" ht="12.75" x14ac:dyDescent="0.2"/>
    <row r="983" customFormat="1" ht="12.75" x14ac:dyDescent="0.2"/>
    <row r="984" customFormat="1" ht="12.75" x14ac:dyDescent="0.2"/>
    <row r="985" customFormat="1" ht="12.75" x14ac:dyDescent="0.2"/>
    <row r="986" customFormat="1" ht="12.75" x14ac:dyDescent="0.2"/>
    <row r="987" customFormat="1" ht="12.75" x14ac:dyDescent="0.2"/>
    <row r="988" customFormat="1" ht="12.75" x14ac:dyDescent="0.2"/>
    <row r="989" customFormat="1" ht="12.75" x14ac:dyDescent="0.2"/>
    <row r="990" customFormat="1" ht="12.75" x14ac:dyDescent="0.2"/>
    <row r="991" customFormat="1" ht="12.75" x14ac:dyDescent="0.2"/>
    <row r="992" customFormat="1" ht="12.75" x14ac:dyDescent="0.2"/>
    <row r="993" customFormat="1" ht="12.75" x14ac:dyDescent="0.2"/>
    <row r="994" customFormat="1" ht="12.75" x14ac:dyDescent="0.2"/>
    <row r="995" customFormat="1" ht="12.75" x14ac:dyDescent="0.2"/>
    <row r="996" customFormat="1" ht="12.75" x14ac:dyDescent="0.2"/>
    <row r="997" customFormat="1" ht="12.75" x14ac:dyDescent="0.2"/>
    <row r="998" customFormat="1" ht="12.75" x14ac:dyDescent="0.2"/>
    <row r="999" customFormat="1" ht="12.75" x14ac:dyDescent="0.2"/>
    <row r="1000" customFormat="1" ht="12.75" x14ac:dyDescent="0.2"/>
    <row r="1001" customFormat="1" ht="12.75" x14ac:dyDescent="0.2"/>
    <row r="1002" customFormat="1" ht="12.75" x14ac:dyDescent="0.2"/>
    <row r="1003" customFormat="1" ht="12.75" x14ac:dyDescent="0.2"/>
    <row r="1004" customFormat="1" ht="12.75" x14ac:dyDescent="0.2"/>
    <row r="1005" customFormat="1" ht="12.75" x14ac:dyDescent="0.2"/>
    <row r="1006" customFormat="1" ht="12.75" x14ac:dyDescent="0.2"/>
    <row r="1007" customFormat="1" ht="12.75" x14ac:dyDescent="0.2"/>
    <row r="1008" customFormat="1" ht="12.75" x14ac:dyDescent="0.2"/>
    <row r="1009" customFormat="1" ht="12.75" x14ac:dyDescent="0.2"/>
    <row r="1010" customFormat="1" ht="12.75" x14ac:dyDescent="0.2"/>
    <row r="1011" customFormat="1" ht="12.75" x14ac:dyDescent="0.2"/>
    <row r="1012" customFormat="1" ht="12.75" x14ac:dyDescent="0.2"/>
    <row r="1013" customFormat="1" ht="12.75" x14ac:dyDescent="0.2"/>
    <row r="1014" customFormat="1" ht="12.75" x14ac:dyDescent="0.2"/>
    <row r="1015" customFormat="1" ht="12.75" x14ac:dyDescent="0.2"/>
    <row r="1016" customFormat="1" ht="12.75" x14ac:dyDescent="0.2"/>
    <row r="1017" customFormat="1" ht="12.75" x14ac:dyDescent="0.2"/>
    <row r="1018" customFormat="1" ht="12.75" x14ac:dyDescent="0.2"/>
    <row r="1019" customFormat="1" ht="12.75" x14ac:dyDescent="0.2"/>
    <row r="1020" customFormat="1" ht="12.75" x14ac:dyDescent="0.2"/>
    <row r="1021" customFormat="1" ht="12.75" x14ac:dyDescent="0.2"/>
    <row r="1022" customFormat="1" ht="12.75" x14ac:dyDescent="0.2"/>
    <row r="1023" customFormat="1" ht="12.75" x14ac:dyDescent="0.2"/>
    <row r="1024" customFormat="1" ht="12.75" x14ac:dyDescent="0.2"/>
    <row r="1025" customFormat="1" ht="12.75" x14ac:dyDescent="0.2"/>
    <row r="1026" customFormat="1" ht="12.75" x14ac:dyDescent="0.2"/>
    <row r="1027" customFormat="1" ht="12.75" x14ac:dyDescent="0.2"/>
    <row r="1028" customFormat="1" ht="12.75" x14ac:dyDescent="0.2"/>
    <row r="1029" customFormat="1" ht="12.75" x14ac:dyDescent="0.2"/>
    <row r="1030" customFormat="1" ht="12.75" x14ac:dyDescent="0.2"/>
    <row r="1031" customFormat="1" ht="12.75" x14ac:dyDescent="0.2"/>
    <row r="1032" customFormat="1" ht="12.75" x14ac:dyDescent="0.2"/>
    <row r="1033" customFormat="1" ht="12.75" x14ac:dyDescent="0.2"/>
    <row r="1034" customFormat="1" ht="12.75" x14ac:dyDescent="0.2"/>
    <row r="1035" customFormat="1" ht="12.75" x14ac:dyDescent="0.2"/>
    <row r="1036" customFormat="1" ht="12.75" x14ac:dyDescent="0.2"/>
    <row r="1037" customFormat="1" ht="12.75" x14ac:dyDescent="0.2"/>
    <row r="1038" customFormat="1" ht="12.75" x14ac:dyDescent="0.2"/>
    <row r="1039" customFormat="1" ht="12.75" x14ac:dyDescent="0.2"/>
    <row r="1040" customFormat="1" ht="12.75" x14ac:dyDescent="0.2"/>
    <row r="1041" customFormat="1" ht="12.75" x14ac:dyDescent="0.2"/>
    <row r="1042" customFormat="1" ht="12.75" x14ac:dyDescent="0.2"/>
    <row r="1043" customFormat="1" ht="12.75" x14ac:dyDescent="0.2"/>
    <row r="1044" customFormat="1" ht="12.75" x14ac:dyDescent="0.2"/>
    <row r="1045" customFormat="1" ht="12.75" x14ac:dyDescent="0.2"/>
    <row r="1046" customFormat="1" ht="12.75" x14ac:dyDescent="0.2"/>
    <row r="1047" customFormat="1" ht="12.75" x14ac:dyDescent="0.2"/>
    <row r="1048" customFormat="1" ht="12.75" x14ac:dyDescent="0.2"/>
    <row r="1049" customFormat="1" ht="12.75" x14ac:dyDescent="0.2"/>
    <row r="1050" customFormat="1" ht="12.75" x14ac:dyDescent="0.2"/>
    <row r="1051" customFormat="1" ht="12.75" x14ac:dyDescent="0.2"/>
    <row r="1052" customFormat="1" ht="12.75" x14ac:dyDescent="0.2"/>
    <row r="1053" customFormat="1" ht="12.75" x14ac:dyDescent="0.2"/>
    <row r="1054" customFormat="1" ht="12.75" x14ac:dyDescent="0.2"/>
    <row r="1055" customFormat="1" ht="12.75" x14ac:dyDescent="0.2"/>
    <row r="1056" customFormat="1" ht="12.75" x14ac:dyDescent="0.2"/>
    <row r="1057" customFormat="1" ht="12.75" x14ac:dyDescent="0.2"/>
    <row r="1058" customFormat="1" ht="12.75" x14ac:dyDescent="0.2"/>
    <row r="1059" customFormat="1" ht="12.75" x14ac:dyDescent="0.2"/>
    <row r="1060" customFormat="1" ht="12.75" x14ac:dyDescent="0.2"/>
    <row r="1061" customFormat="1" ht="12.75" x14ac:dyDescent="0.2"/>
    <row r="1062" customFormat="1" ht="12.75" x14ac:dyDescent="0.2"/>
    <row r="1063" customFormat="1" ht="12.75" x14ac:dyDescent="0.2"/>
    <row r="1064" customFormat="1" ht="12.75" x14ac:dyDescent="0.2"/>
    <row r="1065" customFormat="1" ht="12.75" x14ac:dyDescent="0.2"/>
    <row r="1066" customFormat="1" ht="12.75" x14ac:dyDescent="0.2"/>
    <row r="1067" customFormat="1" ht="12.75" x14ac:dyDescent="0.2"/>
    <row r="1068" customFormat="1" ht="12.75" x14ac:dyDescent="0.2"/>
    <row r="1069" customFormat="1" ht="12.75" x14ac:dyDescent="0.2"/>
    <row r="1070" customFormat="1" ht="12.75" x14ac:dyDescent="0.2"/>
    <row r="1071" customFormat="1" ht="12.75" x14ac:dyDescent="0.2"/>
    <row r="1072" customFormat="1" ht="12.75" x14ac:dyDescent="0.2"/>
    <row r="1073" customFormat="1" ht="12.75" x14ac:dyDescent="0.2"/>
    <row r="1074" customFormat="1" ht="12.75" x14ac:dyDescent="0.2"/>
    <row r="1075" customFormat="1" ht="12.75" x14ac:dyDescent="0.2"/>
    <row r="1076" customFormat="1" ht="12.75" x14ac:dyDescent="0.2"/>
    <row r="1077" customFormat="1" ht="12.75" x14ac:dyDescent="0.2"/>
    <row r="1078" customFormat="1" ht="12.75" x14ac:dyDescent="0.2"/>
    <row r="1079" customFormat="1" ht="12.75" x14ac:dyDescent="0.2"/>
    <row r="1080" customFormat="1" ht="12.75" x14ac:dyDescent="0.2"/>
    <row r="1081" customFormat="1" ht="12.75" x14ac:dyDescent="0.2"/>
    <row r="1082" customFormat="1" ht="12.75" x14ac:dyDescent="0.2"/>
    <row r="1083" customFormat="1" ht="12.75" x14ac:dyDescent="0.2"/>
    <row r="1084" customFormat="1" ht="12.75" x14ac:dyDescent="0.2"/>
    <row r="1085" customFormat="1" ht="12.75" x14ac:dyDescent="0.2"/>
    <row r="1086" customFormat="1" ht="12.75" x14ac:dyDescent="0.2"/>
    <row r="1087" customFormat="1" ht="12.75" x14ac:dyDescent="0.2"/>
    <row r="1088" customFormat="1" ht="12.75" x14ac:dyDescent="0.2"/>
    <row r="1089" customFormat="1" ht="12.75" x14ac:dyDescent="0.2"/>
    <row r="1090" customFormat="1" ht="12.75" x14ac:dyDescent="0.2"/>
    <row r="1091" customFormat="1" ht="12.75" x14ac:dyDescent="0.2"/>
    <row r="1092" customFormat="1" ht="12.75" x14ac:dyDescent="0.2"/>
    <row r="1093" customFormat="1" ht="12.75" x14ac:dyDescent="0.2"/>
    <row r="1094" customFormat="1" ht="12.75" x14ac:dyDescent="0.2"/>
    <row r="1095" customFormat="1" ht="12.75" x14ac:dyDescent="0.2"/>
    <row r="1096" customFormat="1" ht="12.75" x14ac:dyDescent="0.2"/>
    <row r="1097" customFormat="1" ht="12.75" x14ac:dyDescent="0.2"/>
    <row r="1098" customFormat="1" ht="12.75" x14ac:dyDescent="0.2"/>
    <row r="1099" customFormat="1" ht="12.75" x14ac:dyDescent="0.2"/>
    <row r="1100" customFormat="1" ht="12.75" x14ac:dyDescent="0.2"/>
    <row r="1101" customFormat="1" ht="12.75" x14ac:dyDescent="0.2"/>
    <row r="1102" customFormat="1" ht="12.75" x14ac:dyDescent="0.2"/>
    <row r="1103" customFormat="1" ht="12.75" x14ac:dyDescent="0.2"/>
    <row r="1104" customFormat="1" ht="12.75" x14ac:dyDescent="0.2"/>
    <row r="1105" customFormat="1" ht="12.75" x14ac:dyDescent="0.2"/>
    <row r="1106" customFormat="1" ht="12.75" x14ac:dyDescent="0.2"/>
    <row r="1107" customFormat="1" ht="12.75" x14ac:dyDescent="0.2"/>
    <row r="1108" customFormat="1" ht="12.75" x14ac:dyDescent="0.2"/>
    <row r="1109" customFormat="1" ht="12.75" x14ac:dyDescent="0.2"/>
    <row r="1110" customFormat="1" ht="12.75" x14ac:dyDescent="0.2"/>
    <row r="1111" customFormat="1" ht="12.75" x14ac:dyDescent="0.2"/>
    <row r="1112" customFormat="1" ht="12.75" x14ac:dyDescent="0.2"/>
    <row r="1113" customFormat="1" ht="12.75" x14ac:dyDescent="0.2"/>
    <row r="1114" customFormat="1" ht="12.75" x14ac:dyDescent="0.2"/>
    <row r="1115" customFormat="1" ht="12.75" x14ac:dyDescent="0.2"/>
    <row r="1116" customFormat="1" ht="12.75" x14ac:dyDescent="0.2"/>
    <row r="1117" customFormat="1" ht="12.75" x14ac:dyDescent="0.2"/>
    <row r="1118" customFormat="1" ht="12.75" x14ac:dyDescent="0.2"/>
    <row r="1119" customFormat="1" ht="12.75" x14ac:dyDescent="0.2"/>
    <row r="1120" customFormat="1" ht="12.75" x14ac:dyDescent="0.2"/>
    <row r="1121" customFormat="1" ht="12.75" x14ac:dyDescent="0.2"/>
    <row r="1122" customFormat="1" ht="12.75" x14ac:dyDescent="0.2"/>
    <row r="1123" customFormat="1" ht="12.75" x14ac:dyDescent="0.2"/>
    <row r="1124" customFormat="1" ht="12.75" x14ac:dyDescent="0.2"/>
    <row r="1125" customFormat="1" ht="12.75" x14ac:dyDescent="0.2"/>
    <row r="1126" customFormat="1" ht="12.75" x14ac:dyDescent="0.2"/>
    <row r="1127" customFormat="1" ht="12.75" x14ac:dyDescent="0.2"/>
    <row r="1128" customFormat="1" ht="12.75" x14ac:dyDescent="0.2"/>
    <row r="1129" customFormat="1" ht="12.75" x14ac:dyDescent="0.2"/>
    <row r="1130" customFormat="1" ht="12.75" x14ac:dyDescent="0.2"/>
    <row r="1131" customFormat="1" ht="12.75" x14ac:dyDescent="0.2"/>
    <row r="1132" customFormat="1" ht="12.75" x14ac:dyDescent="0.2"/>
    <row r="1133" customFormat="1" ht="12.75" x14ac:dyDescent="0.2"/>
    <row r="1134" customFormat="1" ht="12.75" x14ac:dyDescent="0.2"/>
    <row r="1135" customFormat="1" ht="12.75" x14ac:dyDescent="0.2"/>
    <row r="1136" customFormat="1" ht="12.75" x14ac:dyDescent="0.2"/>
    <row r="1137" customFormat="1" ht="12.75" x14ac:dyDescent="0.2"/>
    <row r="1138" customFormat="1" ht="12.75" x14ac:dyDescent="0.2"/>
    <row r="1139" customFormat="1" ht="12.75" x14ac:dyDescent="0.2"/>
    <row r="1140" customFormat="1" ht="12.75" x14ac:dyDescent="0.2"/>
    <row r="1141" customFormat="1" ht="12.75" x14ac:dyDescent="0.2"/>
    <row r="1142" customFormat="1" ht="12.75" x14ac:dyDescent="0.2"/>
    <row r="1143" customFormat="1" ht="12.75" x14ac:dyDescent="0.2"/>
    <row r="1144" customFormat="1" ht="12.75" x14ac:dyDescent="0.2"/>
    <row r="1145" customFormat="1" ht="12.75" x14ac:dyDescent="0.2"/>
    <row r="1146" customFormat="1" ht="12.75" x14ac:dyDescent="0.2"/>
    <row r="1147" customFormat="1" ht="12.75" x14ac:dyDescent="0.2"/>
    <row r="1148" customFormat="1" ht="12.75" x14ac:dyDescent="0.2"/>
    <row r="1149" customFormat="1" ht="12.75" x14ac:dyDescent="0.2"/>
    <row r="1150" customFormat="1" ht="12.75" x14ac:dyDescent="0.2"/>
    <row r="1151" customFormat="1" ht="12.75" x14ac:dyDescent="0.2"/>
    <row r="1152" customFormat="1" ht="12.75" x14ac:dyDescent="0.2"/>
    <row r="1153" customFormat="1" ht="12.75" x14ac:dyDescent="0.2"/>
    <row r="1154" customFormat="1" ht="12.75" x14ac:dyDescent="0.2"/>
    <row r="1155" customFormat="1" ht="12.75" x14ac:dyDescent="0.2"/>
    <row r="1156" customFormat="1" ht="12.75" x14ac:dyDescent="0.2"/>
    <row r="1157" customFormat="1" ht="12.75" x14ac:dyDescent="0.2"/>
    <row r="1158" customFormat="1" ht="12.75" x14ac:dyDescent="0.2"/>
    <row r="1159" customFormat="1" ht="12.75" x14ac:dyDescent="0.2"/>
    <row r="1160" customFormat="1" ht="12.75" x14ac:dyDescent="0.2"/>
    <row r="1161" customFormat="1" ht="12.75" x14ac:dyDescent="0.2"/>
    <row r="1162" customFormat="1" ht="12.75" x14ac:dyDescent="0.2"/>
    <row r="1163" customFormat="1" ht="12.75" x14ac:dyDescent="0.2"/>
    <row r="1164" customFormat="1" ht="12.75" x14ac:dyDescent="0.2"/>
    <row r="1165" customFormat="1" ht="12.75" x14ac:dyDescent="0.2"/>
    <row r="1166" customFormat="1" ht="12.75" x14ac:dyDescent="0.2"/>
    <row r="1167" customFormat="1" ht="12.75" x14ac:dyDescent="0.2"/>
    <row r="1168" customFormat="1" ht="12.75" x14ac:dyDescent="0.2"/>
    <row r="1169" customFormat="1" ht="12.75" x14ac:dyDescent="0.2"/>
    <row r="1170" customFormat="1" ht="12.75" x14ac:dyDescent="0.2"/>
    <row r="1171" customFormat="1" ht="12.75" x14ac:dyDescent="0.2"/>
    <row r="1172" customFormat="1" ht="12.75" x14ac:dyDescent="0.2"/>
    <row r="1173" customFormat="1" ht="12.75" x14ac:dyDescent="0.2"/>
    <row r="1174" customFormat="1" ht="12.75" x14ac:dyDescent="0.2"/>
    <row r="1175" customFormat="1" ht="12.75" x14ac:dyDescent="0.2"/>
    <row r="1176" customFormat="1" ht="12.75" x14ac:dyDescent="0.2"/>
    <row r="1177" customFormat="1" ht="12.75" x14ac:dyDescent="0.2"/>
    <row r="1178" customFormat="1" ht="12.75" x14ac:dyDescent="0.2"/>
    <row r="1179" customFormat="1" ht="12.75" x14ac:dyDescent="0.2"/>
    <row r="1180" customFormat="1" ht="12.75" x14ac:dyDescent="0.2"/>
    <row r="1181" customFormat="1" ht="12.75" x14ac:dyDescent="0.2"/>
    <row r="1182" customFormat="1" ht="12.75" x14ac:dyDescent="0.2"/>
    <row r="1183" customFormat="1" ht="12.75" x14ac:dyDescent="0.2"/>
    <row r="1184" customFormat="1" ht="12.75" x14ac:dyDescent="0.2"/>
    <row r="1185" customFormat="1" ht="12.75" x14ac:dyDescent="0.2"/>
    <row r="1186" customFormat="1" ht="12.75" x14ac:dyDescent="0.2"/>
    <row r="1187" customFormat="1" ht="12.75" x14ac:dyDescent="0.2"/>
    <row r="1188" customFormat="1" ht="12.75" x14ac:dyDescent="0.2"/>
    <row r="1189" customFormat="1" ht="12.75" x14ac:dyDescent="0.2"/>
    <row r="1190" customFormat="1" ht="12.75" x14ac:dyDescent="0.2"/>
    <row r="1191" customFormat="1" ht="12.75" x14ac:dyDescent="0.2"/>
    <row r="1192" customFormat="1" ht="12.75" x14ac:dyDescent="0.2"/>
    <row r="1193" customFormat="1" ht="12.75" x14ac:dyDescent="0.2"/>
    <row r="1194" customFormat="1" ht="12.75" x14ac:dyDescent="0.2"/>
    <row r="1195" customFormat="1" ht="12.75" x14ac:dyDescent="0.2"/>
    <row r="1196" customFormat="1" ht="12.75" x14ac:dyDescent="0.2"/>
    <row r="1197" customFormat="1" ht="12.75" x14ac:dyDescent="0.2"/>
    <row r="1198" customFormat="1" ht="12.75" x14ac:dyDescent="0.2"/>
    <row r="1199" customFormat="1" ht="12.75" x14ac:dyDescent="0.2"/>
    <row r="1200" customFormat="1" ht="12.75" x14ac:dyDescent="0.2"/>
    <row r="1201" customFormat="1" ht="12.75" x14ac:dyDescent="0.2"/>
    <row r="1202" customFormat="1" ht="12.75" x14ac:dyDescent="0.2"/>
    <row r="1203" customFormat="1" ht="12.75" x14ac:dyDescent="0.2"/>
    <row r="1204" customFormat="1" ht="12.75" x14ac:dyDescent="0.2"/>
    <row r="1205" customFormat="1" ht="12.75" x14ac:dyDescent="0.2"/>
    <row r="1206" customFormat="1" ht="12.75" x14ac:dyDescent="0.2"/>
    <row r="1207" customFormat="1" ht="12.75" x14ac:dyDescent="0.2"/>
    <row r="1208" customFormat="1" ht="12.75" x14ac:dyDescent="0.2"/>
    <row r="1209" customFormat="1" ht="12.75" x14ac:dyDescent="0.2"/>
    <row r="1210" customFormat="1" ht="12.75" x14ac:dyDescent="0.2"/>
    <row r="1211" customFormat="1" ht="12.75" x14ac:dyDescent="0.2"/>
    <row r="1212" customFormat="1" ht="12.75" x14ac:dyDescent="0.2"/>
    <row r="1213" customFormat="1" ht="12.75" x14ac:dyDescent="0.2"/>
    <row r="1214" customFormat="1" ht="12.75" x14ac:dyDescent="0.2"/>
    <row r="1215" customFormat="1" ht="12.75" x14ac:dyDescent="0.2"/>
    <row r="1216" customFormat="1" ht="12.75" x14ac:dyDescent="0.2"/>
    <row r="1217" customFormat="1" ht="12.75" x14ac:dyDescent="0.2"/>
    <row r="1218" customFormat="1" ht="12.75" x14ac:dyDescent="0.2"/>
    <row r="1219" customFormat="1" ht="12.75" x14ac:dyDescent="0.2"/>
    <row r="1220" customFormat="1" ht="12.75" x14ac:dyDescent="0.2"/>
    <row r="1221" customFormat="1" ht="12.75" x14ac:dyDescent="0.2"/>
    <row r="1222" customFormat="1" ht="12.75" x14ac:dyDescent="0.2"/>
    <row r="1223" customFormat="1" ht="12.75" x14ac:dyDescent="0.2"/>
    <row r="1224" customFormat="1" ht="12.75" x14ac:dyDescent="0.2"/>
    <row r="1225" customFormat="1" ht="12.75" x14ac:dyDescent="0.2"/>
    <row r="1226" customFormat="1" ht="12.75" x14ac:dyDescent="0.2"/>
    <row r="1227" customFormat="1" ht="12.75" x14ac:dyDescent="0.2"/>
    <row r="1228" customFormat="1" ht="12.75" x14ac:dyDescent="0.2"/>
    <row r="1229" customFormat="1" ht="12.75" x14ac:dyDescent="0.2"/>
    <row r="1230" customFormat="1" ht="12.75" x14ac:dyDescent="0.2"/>
    <row r="1231" customFormat="1" ht="12.75" x14ac:dyDescent="0.2"/>
    <row r="1232" customFormat="1" ht="12.75" x14ac:dyDescent="0.2"/>
    <row r="1233" customFormat="1" ht="12.75" x14ac:dyDescent="0.2"/>
    <row r="1234" customFormat="1" ht="12.75" x14ac:dyDescent="0.2"/>
    <row r="1235" customFormat="1" ht="12.75" x14ac:dyDescent="0.2"/>
    <row r="1236" customFormat="1" ht="12.75" x14ac:dyDescent="0.2"/>
    <row r="1237" customFormat="1" ht="12.75" x14ac:dyDescent="0.2"/>
    <row r="1238" customFormat="1" ht="12.75" x14ac:dyDescent="0.2"/>
    <row r="1239" customFormat="1" ht="12.75" x14ac:dyDescent="0.2"/>
    <row r="1240" customFormat="1" ht="12.75" x14ac:dyDescent="0.2"/>
    <row r="1241" customFormat="1" ht="12.75" x14ac:dyDescent="0.2"/>
    <row r="1242" customFormat="1" ht="12.75" x14ac:dyDescent="0.2"/>
    <row r="1243" customFormat="1" ht="12.75" x14ac:dyDescent="0.2"/>
    <row r="1244" customFormat="1" ht="12.75" x14ac:dyDescent="0.2"/>
    <row r="1245" customFormat="1" ht="12.75" x14ac:dyDescent="0.2"/>
    <row r="1246" customFormat="1" ht="12.75" x14ac:dyDescent="0.2"/>
    <row r="1247" customFormat="1" ht="12.75" x14ac:dyDescent="0.2"/>
    <row r="1248" customFormat="1" ht="12.75" x14ac:dyDescent="0.2"/>
    <row r="1249" customFormat="1" ht="12.75" x14ac:dyDescent="0.2"/>
    <row r="1250" customFormat="1" ht="12.75" x14ac:dyDescent="0.2"/>
    <row r="1251" customFormat="1" ht="12.75" x14ac:dyDescent="0.2"/>
    <row r="1252" customFormat="1" ht="12.75" x14ac:dyDescent="0.2"/>
    <row r="1253" customFormat="1" ht="12.75" x14ac:dyDescent="0.2"/>
    <row r="1254" customFormat="1" ht="12.75" x14ac:dyDescent="0.2"/>
    <row r="1255" customFormat="1" ht="12.75" x14ac:dyDescent="0.2"/>
    <row r="1256" customFormat="1" ht="12.75" x14ac:dyDescent="0.2"/>
    <row r="1257" customFormat="1" ht="12.75" x14ac:dyDescent="0.2"/>
    <row r="1258" customFormat="1" ht="12.75" x14ac:dyDescent="0.2"/>
    <row r="1259" customFormat="1" ht="12.75" x14ac:dyDescent="0.2"/>
    <row r="1260" customFormat="1" ht="12.75" x14ac:dyDescent="0.2"/>
    <row r="1261" customFormat="1" ht="12.75" x14ac:dyDescent="0.2"/>
    <row r="1262" customFormat="1" ht="12.75" x14ac:dyDescent="0.2"/>
    <row r="1263" customFormat="1" ht="12.75" x14ac:dyDescent="0.2"/>
    <row r="1264" customFormat="1" ht="12.75" x14ac:dyDescent="0.2"/>
    <row r="1265" customFormat="1" ht="12.75" x14ac:dyDescent="0.2"/>
    <row r="1266" customFormat="1" ht="12.75" x14ac:dyDescent="0.2"/>
    <row r="1267" customFormat="1" ht="12.75" x14ac:dyDescent="0.2"/>
    <row r="1268" customFormat="1" ht="12.75" x14ac:dyDescent="0.2"/>
    <row r="1269" customFormat="1" ht="12.75" x14ac:dyDescent="0.2"/>
    <row r="1270" customFormat="1" ht="12.75" x14ac:dyDescent="0.2"/>
    <row r="1271" customFormat="1" ht="12.75" x14ac:dyDescent="0.2"/>
    <row r="1272" customFormat="1" ht="12.75" x14ac:dyDescent="0.2"/>
    <row r="1273" customFormat="1" ht="12.75" x14ac:dyDescent="0.2"/>
    <row r="1274" customFormat="1" ht="12.75" x14ac:dyDescent="0.2"/>
    <row r="1275" customFormat="1" ht="12.75" x14ac:dyDescent="0.2"/>
    <row r="1276" customFormat="1" ht="12.75" x14ac:dyDescent="0.2"/>
    <row r="1277" customFormat="1" ht="12.75" x14ac:dyDescent="0.2"/>
    <row r="1278" customFormat="1" ht="12.75" x14ac:dyDescent="0.2"/>
    <row r="1279" customFormat="1" ht="12.75" x14ac:dyDescent="0.2"/>
    <row r="1280" customFormat="1" ht="12.75" x14ac:dyDescent="0.2"/>
    <row r="1281" customFormat="1" ht="12.75" x14ac:dyDescent="0.2"/>
    <row r="1282" customFormat="1" ht="12.75" x14ac:dyDescent="0.2"/>
    <row r="1283" customFormat="1" ht="12.75" x14ac:dyDescent="0.2"/>
    <row r="1284" customFormat="1" ht="12.75" x14ac:dyDescent="0.2"/>
    <row r="1285" customFormat="1" ht="12.75" x14ac:dyDescent="0.2"/>
    <row r="1286" customFormat="1" ht="12.75" x14ac:dyDescent="0.2"/>
    <row r="1287" customFormat="1" ht="12.75" x14ac:dyDescent="0.2"/>
    <row r="1288" customFormat="1" ht="12.75" x14ac:dyDescent="0.2"/>
    <row r="1289" customFormat="1" ht="12.75" x14ac:dyDescent="0.2"/>
  </sheetData>
  <mergeCells count="30">
    <mergeCell ref="B289:O289"/>
    <mergeCell ref="B290:O290"/>
    <mergeCell ref="B257:O257"/>
    <mergeCell ref="B258:O258"/>
    <mergeCell ref="B259:O259"/>
    <mergeCell ref="B288:O288"/>
    <mergeCell ref="B226:O226"/>
    <mergeCell ref="B224:O224"/>
    <mergeCell ref="B225:O225"/>
    <mergeCell ref="B68:O68"/>
    <mergeCell ref="B69:O69"/>
    <mergeCell ref="B99:P99"/>
    <mergeCell ref="B101:P101"/>
    <mergeCell ref="B129:P129"/>
    <mergeCell ref="B130:P130"/>
    <mergeCell ref="B131:P131"/>
    <mergeCell ref="B100:P100"/>
    <mergeCell ref="B191:O191"/>
    <mergeCell ref="B192:O192"/>
    <mergeCell ref="B193:O193"/>
    <mergeCell ref="B160:O160"/>
    <mergeCell ref="B161:O161"/>
    <mergeCell ref="B162:O162"/>
    <mergeCell ref="B67:O67"/>
    <mergeCell ref="B7:O7"/>
    <mergeCell ref="B8:O8"/>
    <mergeCell ref="B9:O9"/>
    <mergeCell ref="B37:O37"/>
    <mergeCell ref="B38:O38"/>
    <mergeCell ref="B39:O39"/>
  </mergeCells>
  <phoneticPr fontId="10" type="noConversion"/>
  <printOptions horizontalCentered="1"/>
  <pageMargins left="0.4" right="0.28999999999999998" top="1.02" bottom="0.21" header="0.92" footer="0.21"/>
  <pageSetup scale="70" orientation="landscape" horizontalDpi="4294967292" r:id="rId1"/>
  <headerFooter alignWithMargins="0">
    <oddHeader>&amp;RSchedule II-H-1.2
Page &amp;P of &amp;N</oddHeader>
    <oddFooter>&amp;LSponsored by: John O. Aaron</oddFooter>
  </headerFooter>
  <rowBreaks count="9" manualBreakCount="9">
    <brk id="36" max="16383" man="1"/>
    <brk id="66" max="16383" man="1"/>
    <brk id="98" max="16383" man="1"/>
    <brk id="128" max="16383" man="1"/>
    <brk id="159" max="16383" man="1"/>
    <brk id="190" max="16383" man="1"/>
    <brk id="222" max="16383" man="1"/>
    <brk id="255" max="16383" man="1"/>
    <brk id="287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zoomScaleNormal="100" workbookViewId="0">
      <selection activeCell="F60" sqref="F60"/>
    </sheetView>
  </sheetViews>
  <sheetFormatPr defaultColWidth="9.140625" defaultRowHeight="11.25" x14ac:dyDescent="0.2"/>
  <cols>
    <col min="1" max="1" width="5.5703125" style="20" customWidth="1"/>
    <col min="2" max="2" width="34.85546875" style="20" customWidth="1"/>
    <col min="3" max="3" width="6.7109375" style="56" customWidth="1"/>
    <col min="4" max="4" width="13.85546875" style="56" customWidth="1"/>
    <col min="5" max="5" width="11.85546875" style="56" customWidth="1"/>
    <col min="6" max="6" width="13.85546875" style="20" customWidth="1"/>
    <col min="7" max="7" width="11.7109375" style="20" customWidth="1"/>
    <col min="8" max="16384" width="9.140625" style="20"/>
  </cols>
  <sheetData>
    <row r="1" spans="1:7" ht="12" thickBot="1" x14ac:dyDescent="0.25"/>
    <row r="2" spans="1:7" x14ac:dyDescent="0.2">
      <c r="B2" s="376" t="s">
        <v>142</v>
      </c>
    </row>
    <row r="3" spans="1:7" x14ac:dyDescent="0.2">
      <c r="B3" s="377" t="s">
        <v>143</v>
      </c>
    </row>
    <row r="4" spans="1:7" x14ac:dyDescent="0.2">
      <c r="B4" s="378" t="s">
        <v>180</v>
      </c>
    </row>
    <row r="5" spans="1:7" x14ac:dyDescent="0.2">
      <c r="B5" s="378" t="s">
        <v>145</v>
      </c>
    </row>
    <row r="6" spans="1:7" ht="12" thickBot="1" x14ac:dyDescent="0.25">
      <c r="B6" s="379" t="s">
        <v>188</v>
      </c>
    </row>
    <row r="7" spans="1:7" ht="12.75" customHeight="1" x14ac:dyDescent="0.2">
      <c r="A7" s="386" t="s">
        <v>131</v>
      </c>
      <c r="B7" s="389"/>
      <c r="C7" s="389"/>
      <c r="D7" s="389"/>
      <c r="E7" s="389"/>
      <c r="F7" s="389"/>
      <c r="G7" s="389"/>
    </row>
    <row r="8" spans="1:7" ht="12.75" customHeight="1" x14ac:dyDescent="0.2">
      <c r="A8" s="389" t="s">
        <v>138</v>
      </c>
      <c r="B8" s="389"/>
      <c r="C8" s="389"/>
      <c r="D8" s="389"/>
      <c r="E8" s="389"/>
      <c r="F8" s="389"/>
      <c r="G8" s="389"/>
    </row>
    <row r="9" spans="1:7" ht="12.75" customHeight="1" x14ac:dyDescent="0.2">
      <c r="A9" s="386" t="s">
        <v>107</v>
      </c>
      <c r="B9" s="389"/>
      <c r="C9" s="389"/>
      <c r="D9" s="389"/>
      <c r="E9" s="389"/>
      <c r="F9" s="389"/>
      <c r="G9" s="389"/>
    </row>
    <row r="10" spans="1:7" x14ac:dyDescent="0.2">
      <c r="B10" s="38"/>
      <c r="C10" s="55"/>
      <c r="D10" s="55"/>
      <c r="E10" s="55"/>
    </row>
    <row r="11" spans="1:7" x14ac:dyDescent="0.2">
      <c r="B11" s="29"/>
    </row>
    <row r="12" spans="1:7" s="62" customFormat="1" x14ac:dyDescent="0.2">
      <c r="A12" s="38" t="s">
        <v>20</v>
      </c>
      <c r="B12" s="24" t="s">
        <v>0</v>
      </c>
      <c r="C12" s="24" t="s">
        <v>19</v>
      </c>
      <c r="D12" s="367" t="s">
        <v>140</v>
      </c>
      <c r="E12" s="367" t="s">
        <v>141</v>
      </c>
      <c r="F12" s="367" t="s">
        <v>139</v>
      </c>
      <c r="G12" s="367" t="s">
        <v>141</v>
      </c>
    </row>
    <row r="13" spans="1:7" s="62" customFormat="1" x14ac:dyDescent="0.2">
      <c r="A13" s="20"/>
      <c r="B13" s="24"/>
      <c r="C13" s="24"/>
      <c r="D13" s="365"/>
      <c r="E13" s="365"/>
    </row>
    <row r="14" spans="1:7" s="62" customFormat="1" x14ac:dyDescent="0.2">
      <c r="A14" s="74" t="s">
        <v>21</v>
      </c>
      <c r="B14" s="62" t="s">
        <v>29</v>
      </c>
      <c r="C14" s="64" t="s">
        <v>16</v>
      </c>
      <c r="D14" s="368">
        <f>+'II-H-1.2'!P167</f>
        <v>13073054825.366081</v>
      </c>
      <c r="E14" s="112">
        <f>+D14/$D$36</f>
        <v>0.38335397488414652</v>
      </c>
      <c r="F14" s="61">
        <f>'II-H-1.2'!P14</f>
        <v>12103111472</v>
      </c>
      <c r="G14" s="112">
        <f>F14/$F$36</f>
        <v>0.37813395747770912</v>
      </c>
    </row>
    <row r="15" spans="1:7" s="62" customFormat="1" x14ac:dyDescent="0.2">
      <c r="C15" s="64"/>
      <c r="D15" s="64"/>
      <c r="E15" s="112"/>
      <c r="F15" s="61"/>
      <c r="G15" s="112"/>
    </row>
    <row r="16" spans="1:7" s="62" customFormat="1" x14ac:dyDescent="0.2">
      <c r="A16" s="74">
        <v>2</v>
      </c>
      <c r="B16" s="62" t="s">
        <v>32</v>
      </c>
      <c r="C16" s="64" t="s">
        <v>16</v>
      </c>
      <c r="D16" s="368">
        <f>+'II-H-1.2'!P169</f>
        <v>627125214.03248</v>
      </c>
      <c r="E16" s="112">
        <f>+D16/$D$36</f>
        <v>1.8389806113483516E-2</v>
      </c>
      <c r="F16" s="61">
        <f>'II-H-1.2'!P16</f>
        <v>580596232</v>
      </c>
      <c r="G16" s="112">
        <f>F16/$F$36</f>
        <v>1.8139397576458684E-2</v>
      </c>
    </row>
    <row r="17" spans="1:7" s="62" customFormat="1" x14ac:dyDescent="0.2">
      <c r="A17" s="74"/>
      <c r="C17" s="64"/>
      <c r="D17" s="64"/>
      <c r="E17" s="112"/>
      <c r="F17" s="61"/>
      <c r="G17" s="112"/>
    </row>
    <row r="18" spans="1:7" s="62" customFormat="1" x14ac:dyDescent="0.2">
      <c r="A18" s="74">
        <v>3</v>
      </c>
      <c r="B18" s="20" t="s">
        <v>113</v>
      </c>
      <c r="C18" s="66" t="s">
        <v>16</v>
      </c>
      <c r="D18" s="369">
        <f>+'II-H-1.2'!P171</f>
        <v>8645052421.412262</v>
      </c>
      <c r="E18" s="112">
        <f t="shared" ref="E18:E19" si="0">+D18/$D$36</f>
        <v>0.25350732886086569</v>
      </c>
      <c r="F18" s="61">
        <f>'II-H-1.2'!P18</f>
        <v>8003640659</v>
      </c>
      <c r="G18" s="112">
        <f>F18/$F$36</f>
        <v>0.25005539473206712</v>
      </c>
    </row>
    <row r="19" spans="1:7" s="62" customFormat="1" x14ac:dyDescent="0.2">
      <c r="A19" s="74">
        <v>4</v>
      </c>
      <c r="B19" s="20" t="s">
        <v>114</v>
      </c>
      <c r="C19" s="66" t="s">
        <v>16</v>
      </c>
      <c r="D19" s="370">
        <f>+'II-H-1.2'!P172</f>
        <v>1308136652.2108603</v>
      </c>
      <c r="E19" s="113">
        <f t="shared" si="0"/>
        <v>3.8359770689834219E-2</v>
      </c>
      <c r="F19" s="108">
        <f>'II-H-1.2'!P19</f>
        <v>1211080649</v>
      </c>
      <c r="G19" s="113">
        <f>F19/$F$36</f>
        <v>3.7837437066533725E-2</v>
      </c>
    </row>
    <row r="20" spans="1:7" s="62" customFormat="1" x14ac:dyDescent="0.2">
      <c r="A20" s="74">
        <v>5</v>
      </c>
      <c r="B20" s="84" t="s">
        <v>30</v>
      </c>
      <c r="C20" s="64"/>
      <c r="D20" s="368">
        <f>SUM(D18:D19)</f>
        <v>9953189073.6231232</v>
      </c>
      <c r="E20" s="372">
        <f>SUM(E18:E19)</f>
        <v>0.29186709955069989</v>
      </c>
      <c r="F20" s="61">
        <f>'II-H-1.2'!P20</f>
        <v>9214721308</v>
      </c>
      <c r="G20" s="112">
        <f>F20/$F$36</f>
        <v>0.28789283179860081</v>
      </c>
    </row>
    <row r="21" spans="1:7" s="62" customFormat="1" x14ac:dyDescent="0.2">
      <c r="B21" s="47"/>
      <c r="C21" s="64"/>
      <c r="D21" s="64"/>
      <c r="E21" s="112"/>
      <c r="F21" s="61"/>
      <c r="G21" s="112"/>
    </row>
    <row r="22" spans="1:7" s="62" customFormat="1" x14ac:dyDescent="0.2">
      <c r="A22" s="74">
        <v>6</v>
      </c>
      <c r="B22" s="20" t="s">
        <v>110</v>
      </c>
      <c r="C22" s="66" t="s">
        <v>17</v>
      </c>
      <c r="D22" s="369">
        <f>+'II-H-1.2'!P175</f>
        <v>319210924.86320001</v>
      </c>
      <c r="E22" s="112">
        <f t="shared" ref="E22:E23" si="1">+D22/$D$36</f>
        <v>9.3605342062294643E-3</v>
      </c>
      <c r="F22" s="61">
        <f>'II-H-1.2'!P22</f>
        <v>303778954</v>
      </c>
      <c r="G22" s="112">
        <f>F22/$F$36</f>
        <v>9.4908766510333718E-3</v>
      </c>
    </row>
    <row r="23" spans="1:7" s="62" customFormat="1" x14ac:dyDescent="0.2">
      <c r="A23" s="74">
        <v>7</v>
      </c>
      <c r="B23" s="20" t="s">
        <v>111</v>
      </c>
      <c r="C23" s="66" t="s">
        <v>17</v>
      </c>
      <c r="D23" s="370">
        <f>+'II-H-1.2'!P176</f>
        <v>4297419913.698</v>
      </c>
      <c r="E23" s="113">
        <f t="shared" si="1"/>
        <v>0.1260174479239424</v>
      </c>
      <c r="F23" s="108">
        <f>'II-H-1.2'!P23</f>
        <v>4089664935</v>
      </c>
      <c r="G23" s="113">
        <f>F23/$F$36</f>
        <v>0.12777220057891639</v>
      </c>
    </row>
    <row r="24" spans="1:7" s="62" customFormat="1" x14ac:dyDescent="0.2">
      <c r="A24" s="74">
        <v>8</v>
      </c>
      <c r="B24" s="62" t="s">
        <v>31</v>
      </c>
      <c r="C24" s="66"/>
      <c r="D24" s="369">
        <f>SUM(D22:D23)</f>
        <v>4616630838.5612001</v>
      </c>
      <c r="E24" s="372">
        <f>SUM(E22:E23)</f>
        <v>0.13537798213017185</v>
      </c>
      <c r="F24" s="61">
        <f>'II-H-1.2'!P24</f>
        <v>4393443889</v>
      </c>
      <c r="G24" s="112">
        <f>F24/$F$36</f>
        <v>0.13726307722994976</v>
      </c>
    </row>
    <row r="25" spans="1:7" s="62" customFormat="1" x14ac:dyDescent="0.2">
      <c r="A25" s="74"/>
      <c r="C25" s="66"/>
      <c r="D25" s="66"/>
      <c r="E25" s="112"/>
      <c r="F25" s="61"/>
      <c r="G25" s="112"/>
    </row>
    <row r="26" spans="1:7" s="62" customFormat="1" x14ac:dyDescent="0.2">
      <c r="A26" s="74">
        <v>9</v>
      </c>
      <c r="B26" s="84" t="s">
        <v>115</v>
      </c>
      <c r="C26" s="66" t="s">
        <v>18</v>
      </c>
      <c r="D26" s="369">
        <f>+'II-H-1.2'!P179</f>
        <v>5548348580.6196012</v>
      </c>
      <c r="E26" s="112">
        <f>+D26/$D$36</f>
        <v>0.16269965289951083</v>
      </c>
      <c r="F26" s="61">
        <f>'II-H-1.2'!P26</f>
        <v>5453190408</v>
      </c>
      <c r="G26" s="112">
        <f>F26/$F$36</f>
        <v>0.17037242651420265</v>
      </c>
    </row>
    <row r="27" spans="1:7" s="62" customFormat="1" x14ac:dyDescent="0.2">
      <c r="C27" s="64"/>
      <c r="D27" s="64"/>
      <c r="E27" s="112"/>
      <c r="F27" s="61"/>
      <c r="G27" s="112"/>
    </row>
    <row r="28" spans="1:7" s="62" customFormat="1" x14ac:dyDescent="0.2">
      <c r="A28" s="74">
        <v>10</v>
      </c>
      <c r="B28" s="65" t="s">
        <v>33</v>
      </c>
      <c r="C28" s="66" t="s">
        <v>16</v>
      </c>
      <c r="D28" s="369">
        <f>+'II-H-1.2'!P181</f>
        <v>283436454.68044001</v>
      </c>
      <c r="E28" s="112">
        <f>+D28/$D$36</f>
        <v>8.3114844219873644E-3</v>
      </c>
      <c r="F28" s="61">
        <f>'II-H-1.2'!P28</f>
        <v>262407146</v>
      </c>
      <c r="G28" s="112">
        <f>F28/$F$36</f>
        <v>8.1983094030790068E-3</v>
      </c>
    </row>
    <row r="29" spans="1:7" s="62" customFormat="1" x14ac:dyDescent="0.2">
      <c r="A29" s="74"/>
      <c r="C29" s="64"/>
      <c r="D29" s="371"/>
      <c r="E29" s="113"/>
      <c r="F29" s="108"/>
      <c r="G29" s="113"/>
    </row>
    <row r="30" spans="1:7" s="62" customFormat="1" x14ac:dyDescent="0.2">
      <c r="A30" s="74">
        <v>11</v>
      </c>
      <c r="B30" s="104" t="s">
        <v>34</v>
      </c>
      <c r="C30" s="67"/>
      <c r="D30" s="70">
        <f>+D14+D16+D20+D24+D26+D28</f>
        <v>34101784986.882923</v>
      </c>
      <c r="E30" s="372">
        <f>+E14+E16+E20+E24+E26+E28</f>
        <v>0.99999999999999989</v>
      </c>
      <c r="F30" s="70">
        <f>+F14+F16+F20+F24+F26+F28</f>
        <v>32007470455</v>
      </c>
      <c r="G30" s="112">
        <f>F30/$F$36</f>
        <v>1</v>
      </c>
    </row>
    <row r="31" spans="1:7" s="62" customFormat="1" x14ac:dyDescent="0.2">
      <c r="B31" s="67"/>
      <c r="C31" s="67"/>
      <c r="D31" s="67"/>
      <c r="E31" s="67"/>
      <c r="F31" s="61"/>
      <c r="G31" s="112"/>
    </row>
    <row r="32" spans="1:7" s="62" customFormat="1" x14ac:dyDescent="0.2">
      <c r="A32" s="74">
        <v>12</v>
      </c>
      <c r="B32" s="23" t="s">
        <v>91</v>
      </c>
      <c r="C32" s="66" t="s">
        <v>17</v>
      </c>
      <c r="D32" s="66">
        <v>0</v>
      </c>
      <c r="E32" s="66"/>
      <c r="F32" s="61">
        <f>'II-H-1.2'!P32</f>
        <v>0</v>
      </c>
      <c r="G32" s="112">
        <f>F32/$F$36</f>
        <v>0</v>
      </c>
    </row>
    <row r="33" spans="1:7" s="62" customFormat="1" x14ac:dyDescent="0.2">
      <c r="A33" s="74">
        <v>13</v>
      </c>
      <c r="B33" s="23" t="s">
        <v>92</v>
      </c>
      <c r="C33" s="66" t="s">
        <v>18</v>
      </c>
      <c r="D33" s="371">
        <v>0</v>
      </c>
      <c r="E33" s="371"/>
      <c r="F33" s="108">
        <f>'II-H-1.2'!P33</f>
        <v>0</v>
      </c>
      <c r="G33" s="113">
        <f>F33/$F$36</f>
        <v>0</v>
      </c>
    </row>
    <row r="34" spans="1:7" s="62" customFormat="1" x14ac:dyDescent="0.2">
      <c r="A34" s="74">
        <v>14</v>
      </c>
      <c r="B34" s="104" t="s">
        <v>35</v>
      </c>
      <c r="C34" s="38"/>
      <c r="D34" s="366">
        <f>SUM(D32:D33)</f>
        <v>0</v>
      </c>
      <c r="E34" s="366"/>
      <c r="F34" s="70">
        <f>'II-H-1.2'!P34</f>
        <v>0</v>
      </c>
      <c r="G34" s="158">
        <f>F34/$F$36</f>
        <v>0</v>
      </c>
    </row>
    <row r="35" spans="1:7" s="62" customFormat="1" x14ac:dyDescent="0.2">
      <c r="A35" s="74"/>
      <c r="C35" s="71"/>
      <c r="D35" s="71"/>
      <c r="E35" s="71"/>
      <c r="F35" s="61"/>
      <c r="G35" s="112"/>
    </row>
    <row r="36" spans="1:7" s="62" customFormat="1" ht="12" thickBot="1" x14ac:dyDescent="0.25">
      <c r="A36" s="74">
        <v>15</v>
      </c>
      <c r="B36" s="31" t="s">
        <v>132</v>
      </c>
      <c r="C36" s="38"/>
      <c r="D36" s="109">
        <f>+D30+D34</f>
        <v>34101784986.882923</v>
      </c>
      <c r="E36" s="114">
        <f>+E30+E34</f>
        <v>0.99999999999999989</v>
      </c>
      <c r="F36" s="109">
        <f>+F30+F34</f>
        <v>32007470455</v>
      </c>
      <c r="G36" s="114">
        <f>+G30+G34</f>
        <v>1</v>
      </c>
    </row>
    <row r="37" spans="1:7" ht="12" thickTop="1" x14ac:dyDescent="0.2"/>
  </sheetData>
  <mergeCells count="3">
    <mergeCell ref="A7:G7"/>
    <mergeCell ref="A8:G8"/>
    <mergeCell ref="A9:G9"/>
  </mergeCells>
  <phoneticPr fontId="10" type="noConversion"/>
  <printOptions horizontalCentered="1"/>
  <pageMargins left="0.4" right="0.28999999999999998" top="0.63" bottom="0.21" header="0.65" footer="0.21"/>
  <pageSetup scale="90" orientation="landscape" r:id="rId1"/>
  <headerFooter alignWithMargins="0">
    <oddHeader>&amp;RScheduel II-H-1.3</oddHeader>
    <oddFooter>&amp;LPrepared by Regulated Pricing and Analysis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zoomScale="120" zoomScaleNormal="120" workbookViewId="0">
      <selection activeCell="B7" sqref="B7"/>
    </sheetView>
  </sheetViews>
  <sheetFormatPr defaultColWidth="9.140625" defaultRowHeight="11.25" x14ac:dyDescent="0.2"/>
  <cols>
    <col min="1" max="1" width="4.7109375" style="380" bestFit="1" customWidth="1"/>
    <col min="2" max="2" width="72" style="380" customWidth="1"/>
    <col min="3" max="16384" width="9.140625" style="380"/>
  </cols>
  <sheetData>
    <row r="1" spans="1:2" ht="12" thickBot="1" x14ac:dyDescent="0.25"/>
    <row r="2" spans="1:2" x14ac:dyDescent="0.2">
      <c r="B2" s="376" t="s">
        <v>142</v>
      </c>
    </row>
    <row r="3" spans="1:2" x14ac:dyDescent="0.2">
      <c r="B3" s="377" t="s">
        <v>143</v>
      </c>
    </row>
    <row r="4" spans="1:2" x14ac:dyDescent="0.2">
      <c r="B4" s="378" t="s">
        <v>144</v>
      </c>
    </row>
    <row r="5" spans="1:2" x14ac:dyDescent="0.2">
      <c r="B5" s="378" t="s">
        <v>145</v>
      </c>
    </row>
    <row r="6" spans="1:2" ht="12" thickBot="1" x14ac:dyDescent="0.25">
      <c r="B6" s="379" t="s">
        <v>188</v>
      </c>
    </row>
    <row r="9" spans="1:2" x14ac:dyDescent="0.2">
      <c r="A9" s="381" t="s">
        <v>44</v>
      </c>
      <c r="B9" s="381" t="s">
        <v>146</v>
      </c>
    </row>
    <row r="10" spans="1:2" x14ac:dyDescent="0.2">
      <c r="A10" s="382">
        <v>1</v>
      </c>
      <c r="B10" s="380" t="s">
        <v>147</v>
      </c>
    </row>
    <row r="11" spans="1:2" x14ac:dyDescent="0.2">
      <c r="A11" s="382"/>
      <c r="B11" s="380" t="s">
        <v>148</v>
      </c>
    </row>
    <row r="12" spans="1:2" x14ac:dyDescent="0.2">
      <c r="A12" s="382"/>
    </row>
    <row r="13" spans="1:2" x14ac:dyDescent="0.2">
      <c r="A13" s="382">
        <v>2</v>
      </c>
      <c r="B13" s="380" t="s">
        <v>149</v>
      </c>
    </row>
    <row r="14" spans="1:2" x14ac:dyDescent="0.2">
      <c r="A14" s="382"/>
      <c r="B14" s="380" t="s">
        <v>150</v>
      </c>
    </row>
    <row r="15" spans="1:2" x14ac:dyDescent="0.2">
      <c r="A15" s="382"/>
    </row>
    <row r="16" spans="1:2" x14ac:dyDescent="0.2">
      <c r="A16" s="382">
        <v>3</v>
      </c>
      <c r="B16" s="380" t="s">
        <v>181</v>
      </c>
    </row>
    <row r="17" spans="1:2" x14ac:dyDescent="0.2">
      <c r="A17" s="382"/>
      <c r="B17" s="380" t="s">
        <v>150</v>
      </c>
    </row>
    <row r="18" spans="1:2" x14ac:dyDescent="0.2">
      <c r="A18" s="382"/>
    </row>
    <row r="19" spans="1:2" x14ac:dyDescent="0.2">
      <c r="A19" s="382">
        <v>4</v>
      </c>
      <c r="B19" s="380" t="s">
        <v>182</v>
      </c>
    </row>
    <row r="20" spans="1:2" x14ac:dyDescent="0.2">
      <c r="A20" s="382"/>
      <c r="B20" s="380" t="s">
        <v>150</v>
      </c>
    </row>
    <row r="21" spans="1:2" x14ac:dyDescent="0.2">
      <c r="A21" s="382"/>
    </row>
    <row r="22" spans="1:2" x14ac:dyDescent="0.2">
      <c r="A22" s="382">
        <v>5</v>
      </c>
      <c r="B22" s="380" t="s">
        <v>151</v>
      </c>
    </row>
    <row r="23" spans="1:2" x14ac:dyDescent="0.2">
      <c r="A23" s="382"/>
      <c r="B23" s="380" t="s">
        <v>152</v>
      </c>
    </row>
    <row r="24" spans="1:2" x14ac:dyDescent="0.2">
      <c r="A24" s="382"/>
    </row>
    <row r="25" spans="1:2" x14ac:dyDescent="0.2">
      <c r="A25" s="382">
        <v>6</v>
      </c>
      <c r="B25" s="380" t="s">
        <v>153</v>
      </c>
    </row>
    <row r="26" spans="1:2" x14ac:dyDescent="0.2">
      <c r="A26" s="382"/>
    </row>
    <row r="27" spans="1:2" x14ac:dyDescent="0.2">
      <c r="A27" s="382">
        <v>7</v>
      </c>
      <c r="B27" s="380" t="s">
        <v>154</v>
      </c>
    </row>
  </sheetData>
  <pageMargins left="0.7" right="0.7" top="0.75" bottom="0.75" header="0.3" footer="0.3"/>
  <pageSetup orientation="portrait" r:id="rId1"/>
  <headerFooter>
    <oddHeader>&amp;RSchedule II-H-1.5</oddHeader>
    <oddFooter>&amp;LSponsored by: John O. Aaron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N171"/>
  <sheetViews>
    <sheetView zoomScale="110" zoomScaleNormal="110" workbookViewId="0">
      <pane xSplit="3" ySplit="12" topLeftCell="D13" activePane="bottomRight" state="frozen"/>
      <selection activeCell="N417" sqref="N417"/>
      <selection pane="topRight" activeCell="N417" sqref="N417"/>
      <selection pane="bottomLeft" activeCell="N417" sqref="N417"/>
      <selection pane="bottomRight"/>
    </sheetView>
  </sheetViews>
  <sheetFormatPr defaultColWidth="7.5703125" defaultRowHeight="12.75" x14ac:dyDescent="0.2"/>
  <cols>
    <col min="1" max="1" width="4.28515625" style="15" bestFit="1" customWidth="1"/>
    <col min="2" max="2" width="37.85546875" style="79" customWidth="1"/>
    <col min="3" max="3" width="7.42578125" style="79" bestFit="1" customWidth="1"/>
    <col min="4" max="4" width="11.42578125" style="69" bestFit="1" customWidth="1"/>
    <col min="5" max="5" width="11.28515625" style="45" customWidth="1"/>
    <col min="6" max="6" width="11" style="45" customWidth="1"/>
    <col min="7" max="7" width="9.85546875" style="69" customWidth="1"/>
    <col min="8" max="8" width="10.5703125" style="69" customWidth="1"/>
    <col min="9" max="10" width="10.7109375" style="69" customWidth="1"/>
    <col min="11" max="11" width="10.140625" style="69" customWidth="1"/>
    <col min="12" max="12" width="10.28515625" style="69" customWidth="1"/>
    <col min="13" max="15" width="9.85546875" style="69" customWidth="1"/>
    <col min="16" max="16" width="12.5703125" style="69" customWidth="1"/>
    <col min="17" max="17" width="11" style="100" bestFit="1" customWidth="1"/>
    <col min="18" max="18" width="11" style="15" bestFit="1" customWidth="1"/>
    <col min="19" max="19" width="8.140625" style="15" bestFit="1" customWidth="1"/>
    <col min="20" max="20" width="7.5703125" style="15"/>
    <col min="21" max="21" width="9.85546875" style="15" bestFit="1" customWidth="1"/>
    <col min="22" max="22" width="8.140625" style="15" bestFit="1" customWidth="1"/>
    <col min="23" max="16384" width="7.5703125" style="15"/>
  </cols>
  <sheetData>
    <row r="1" spans="1:144" ht="13.5" thickBot="1" x14ac:dyDescent="0.25"/>
    <row r="2" spans="1:144" x14ac:dyDescent="0.2">
      <c r="B2" s="376" t="s">
        <v>142</v>
      </c>
    </row>
    <row r="3" spans="1:144" x14ac:dyDescent="0.2">
      <c r="B3" s="377" t="s">
        <v>143</v>
      </c>
    </row>
    <row r="4" spans="1:144" x14ac:dyDescent="0.2">
      <c r="B4" s="378" t="s">
        <v>189</v>
      </c>
    </row>
    <row r="5" spans="1:144" x14ac:dyDescent="0.2">
      <c r="B5" s="378" t="s">
        <v>145</v>
      </c>
    </row>
    <row r="6" spans="1:144" ht="13.5" thickBot="1" x14ac:dyDescent="0.25">
      <c r="B6" s="379" t="s">
        <v>188</v>
      </c>
    </row>
    <row r="7" spans="1:144" s="14" customFormat="1" x14ac:dyDescent="0.2">
      <c r="B7" s="384" t="str">
        <f>'II-H-1.2'!B7:O7</f>
        <v>AEP TEXAS</v>
      </c>
      <c r="C7" s="384"/>
      <c r="D7" s="384"/>
      <c r="E7" s="384"/>
      <c r="F7" s="384"/>
      <c r="G7" s="384"/>
      <c r="H7" s="384"/>
      <c r="I7" s="384"/>
      <c r="J7" s="384"/>
      <c r="K7" s="384"/>
      <c r="L7" s="384"/>
      <c r="M7" s="384"/>
      <c r="N7" s="384"/>
      <c r="O7" s="384"/>
      <c r="P7" s="52"/>
      <c r="Q7" s="58"/>
    </row>
    <row r="8" spans="1:144" x14ac:dyDescent="0.2">
      <c r="B8" s="49" t="s">
        <v>15</v>
      </c>
      <c r="C8" s="49"/>
      <c r="D8" s="76"/>
      <c r="E8" s="78"/>
      <c r="F8" s="78"/>
      <c r="G8" s="76"/>
      <c r="H8" s="76"/>
      <c r="I8" s="76"/>
      <c r="J8" s="76"/>
      <c r="K8" s="76"/>
      <c r="L8" s="76"/>
      <c r="M8" s="76"/>
      <c r="N8" s="76"/>
      <c r="O8" s="76"/>
      <c r="P8" s="76" t="s">
        <v>1</v>
      </c>
    </row>
    <row r="9" spans="1:144" ht="12.75" customHeight="1" x14ac:dyDescent="0.2">
      <c r="B9" s="389" t="str">
        <f>'II-H-1.2'!B9:O9</f>
        <v>FOR TEST YEAR ENDED DECEMBER 31, 2018</v>
      </c>
      <c r="C9" s="389"/>
      <c r="D9" s="389"/>
      <c r="E9" s="389"/>
      <c r="F9" s="389"/>
      <c r="G9" s="389"/>
      <c r="H9" s="389"/>
      <c r="I9" s="389"/>
      <c r="J9" s="389"/>
      <c r="K9" s="389"/>
      <c r="L9" s="389"/>
      <c r="M9" s="389"/>
      <c r="N9" s="389"/>
      <c r="O9" s="389"/>
      <c r="P9" s="68"/>
    </row>
    <row r="10" spans="1:144" ht="12.75" customHeight="1" x14ac:dyDescent="0.2">
      <c r="B10" s="175" t="s">
        <v>135</v>
      </c>
      <c r="C10" s="77"/>
      <c r="D10" s="76"/>
      <c r="E10" s="78"/>
      <c r="F10" s="78"/>
      <c r="G10" s="76"/>
      <c r="H10" s="76"/>
      <c r="I10" s="76"/>
      <c r="J10" s="76"/>
      <c r="K10" s="76"/>
      <c r="L10" s="76"/>
      <c r="M10" s="76"/>
      <c r="N10" s="76"/>
      <c r="O10" s="76"/>
      <c r="P10" s="76"/>
    </row>
    <row r="11" spans="1:144" x14ac:dyDescent="0.2">
      <c r="B11" s="31"/>
      <c r="D11" s="50">
        <f>'II-H-1.2'!D11</f>
        <v>0</v>
      </c>
      <c r="E11" s="39"/>
      <c r="F11" s="39"/>
      <c r="G11" s="50">
        <f>'II-H-1.2'!G11</f>
        <v>0</v>
      </c>
      <c r="H11" s="39"/>
      <c r="I11" s="39"/>
      <c r="K11" s="39"/>
      <c r="L11" s="39"/>
      <c r="M11" s="39"/>
      <c r="N11" s="39"/>
      <c r="O11" s="39"/>
      <c r="P11" s="40"/>
    </row>
    <row r="12" spans="1:144" s="16" customFormat="1" x14ac:dyDescent="0.2">
      <c r="A12" s="46" t="s">
        <v>20</v>
      </c>
      <c r="B12" s="46" t="s">
        <v>0</v>
      </c>
      <c r="C12" s="46" t="s">
        <v>19</v>
      </c>
      <c r="D12" s="41" t="str">
        <f>'II-H-1.2'!D12</f>
        <v>JANUARY</v>
      </c>
      <c r="E12" s="41" t="str">
        <f>'II-H-1.2'!E12</f>
        <v>FEBRUARY</v>
      </c>
      <c r="F12" s="41" t="str">
        <f>'II-H-1.2'!F12</f>
        <v>MARCH</v>
      </c>
      <c r="G12" s="41" t="str">
        <f>'II-H-1.2'!G12</f>
        <v>APRIL</v>
      </c>
      <c r="H12" s="41" t="str">
        <f>'II-H-1.2'!H12</f>
        <v>MAY</v>
      </c>
      <c r="I12" s="41" t="str">
        <f>'II-H-1.2'!I12</f>
        <v>JUNE</v>
      </c>
      <c r="J12" s="41" t="str">
        <f>'II-H-1.2'!J12</f>
        <v>JULY</v>
      </c>
      <c r="K12" s="41" t="str">
        <f>'II-H-1.2'!K12</f>
        <v>AUGUST</v>
      </c>
      <c r="L12" s="41" t="str">
        <f>'II-H-1.2'!L12</f>
        <v>SEPTEMBER</v>
      </c>
      <c r="M12" s="41" t="str">
        <f>'II-H-1.2'!M12</f>
        <v>OCTOBER</v>
      </c>
      <c r="N12" s="41" t="str">
        <f>'II-H-1.2'!N12</f>
        <v>NOVEMBER</v>
      </c>
      <c r="O12" s="41" t="str">
        <f>'II-H-1.2'!O12</f>
        <v>DECEMBER</v>
      </c>
      <c r="P12" s="42" t="s">
        <v>14</v>
      </c>
      <c r="Q12" s="101" t="s">
        <v>28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144" s="16" customFormat="1" x14ac:dyDescent="0.2">
      <c r="B13" s="75"/>
      <c r="C13" s="75"/>
      <c r="D13" s="41"/>
      <c r="E13" s="80"/>
      <c r="F13" s="80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101"/>
      <c r="R13" s="222" t="s">
        <v>95</v>
      </c>
      <c r="S13" s="223" t="s">
        <v>96</v>
      </c>
      <c r="T13" s="13"/>
      <c r="U13" s="222" t="s">
        <v>95</v>
      </c>
      <c r="V13" s="223" t="s">
        <v>96</v>
      </c>
      <c r="W13" s="13"/>
      <c r="X13" s="234"/>
      <c r="Y13" s="234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144" s="62" customFormat="1" ht="11.25" x14ac:dyDescent="0.2">
      <c r="A14" s="74" t="s">
        <v>21</v>
      </c>
      <c r="B14" s="129" t="s">
        <v>29</v>
      </c>
      <c r="C14" s="143" t="s">
        <v>16</v>
      </c>
      <c r="D14" s="122">
        <f>'[6]Incl Customers'!G85+'[5]II-H-3.1'!D8</f>
        <v>866062</v>
      </c>
      <c r="E14" s="122">
        <f>'[6]Incl Customers'!H85+'[5]II-H-3.1'!E8</f>
        <v>866633</v>
      </c>
      <c r="F14" s="122">
        <f>'[6]Incl Customers'!I85+'[5]II-H-3.1'!F8</f>
        <v>867947</v>
      </c>
      <c r="G14" s="122">
        <f>'[6]Incl Customers'!J85+'[5]II-H-3.1'!G8</f>
        <v>869158</v>
      </c>
      <c r="H14" s="122">
        <f>'[6]Incl Customers'!K85+'[5]II-H-3.1'!H8</f>
        <v>870372</v>
      </c>
      <c r="I14" s="122">
        <f>'[6]Incl Customers'!L85+'[5]II-H-3.1'!I8</f>
        <v>870490</v>
      </c>
      <c r="J14" s="122">
        <f>'[6]Incl Customers'!M85+'[5]II-H-3.1'!J8</f>
        <v>870393</v>
      </c>
      <c r="K14" s="122">
        <f>'[6]Incl Customers'!N85+'[5]II-H-3.1'!K8</f>
        <v>875458</v>
      </c>
      <c r="L14" s="122">
        <f>'[4]II-H-3.1'!$L$8+'[5]II-H-3.1'!$L$8</f>
        <v>875459</v>
      </c>
      <c r="M14" s="122">
        <f>'[4]II-H-3.1'!M8+'[5]II-H-3.1'!M8</f>
        <v>875792</v>
      </c>
      <c r="N14" s="122">
        <f>'[4]II-H-3.1'!N8+'[5]II-H-3.1'!N8</f>
        <v>876193</v>
      </c>
      <c r="O14" s="122">
        <f>'[4]II-H-3.1'!O8+'[5]II-H-3.1'!O8</f>
        <v>876553</v>
      </c>
      <c r="P14" s="144">
        <f>SUM(D14:O14)</f>
        <v>10460510</v>
      </c>
      <c r="Q14" s="144">
        <f>P14/12</f>
        <v>871709.16666666663</v>
      </c>
      <c r="R14" s="224">
        <f>+'II-H-4.1 Functions'!D15/'II-H-3.1-3'!P14</f>
        <v>3.1463550974092085</v>
      </c>
      <c r="S14" s="225">
        <f>+'II-H-4.1 Functions'!E15/'II-H-3.1-3'!P14</f>
        <v>3.84112026660268</v>
      </c>
      <c r="T14" s="65"/>
      <c r="U14" s="224">
        <v>3.19</v>
      </c>
      <c r="V14" s="225">
        <v>3.55</v>
      </c>
      <c r="W14" s="65"/>
      <c r="X14" s="235"/>
      <c r="Y14" s="23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</row>
    <row r="15" spans="1:144" s="62" customFormat="1" ht="11.25" x14ac:dyDescent="0.2">
      <c r="B15" s="129"/>
      <c r="C15" s="143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44"/>
      <c r="Q15" s="144"/>
      <c r="R15" s="221"/>
      <c r="S15" s="219"/>
      <c r="T15" s="65"/>
      <c r="U15" s="221"/>
      <c r="V15" s="219"/>
      <c r="W15" s="65"/>
      <c r="X15" s="235"/>
      <c r="Y15" s="23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</row>
    <row r="16" spans="1:144" s="62" customFormat="1" ht="11.25" x14ac:dyDescent="0.2">
      <c r="A16" s="74">
        <v>2</v>
      </c>
      <c r="B16" s="129" t="s">
        <v>32</v>
      </c>
      <c r="C16" s="143" t="s">
        <v>16</v>
      </c>
      <c r="D16" s="122">
        <f>'[6]Incl Customers'!G12+'[5]II-H-3.1'!D10</f>
        <v>90324</v>
      </c>
      <c r="E16" s="122">
        <f>'[6]Incl Customers'!H12+'[5]II-H-3.1'!E10</f>
        <v>88828</v>
      </c>
      <c r="F16" s="122">
        <f>'[6]Incl Customers'!I12+'[5]II-H-3.1'!F10</f>
        <v>88597</v>
      </c>
      <c r="G16" s="122">
        <f>'[6]Incl Customers'!J12+'[5]II-H-3.1'!G10</f>
        <v>88868</v>
      </c>
      <c r="H16" s="122">
        <f>'[6]Incl Customers'!K12+'[5]II-H-3.1'!H10</f>
        <v>89101</v>
      </c>
      <c r="I16" s="122">
        <f>'[6]Incl Customers'!L12+'[5]II-H-3.1'!I10</f>
        <v>89284</v>
      </c>
      <c r="J16" s="122">
        <f>'[6]Incl Customers'!M12+'[5]II-H-3.1'!J10</f>
        <v>89364</v>
      </c>
      <c r="K16" s="122">
        <f>'[6]Incl Customers'!N12+'[5]II-H-3.1'!K10</f>
        <v>89665</v>
      </c>
      <c r="L16" s="122">
        <f>'[4]II-H-3.1'!L10+'[5]II-H-3.1'!L10</f>
        <v>89328</v>
      </c>
      <c r="M16" s="122">
        <f>'[4]II-H-3.1'!M10+'[5]II-H-3.1'!M10</f>
        <v>89393</v>
      </c>
      <c r="N16" s="122">
        <f>'[4]II-H-3.1'!N10+'[5]II-H-3.1'!N10</f>
        <v>89245</v>
      </c>
      <c r="O16" s="122">
        <f>'[4]II-H-3.1'!O10+'[5]II-H-3.1'!O10</f>
        <v>89158</v>
      </c>
      <c r="P16" s="144">
        <f t="shared" ref="P16:P19" si="0">SUM(D16:O16)</f>
        <v>1071155</v>
      </c>
      <c r="Q16" s="144">
        <f t="shared" ref="Q16:Q30" si="1">P16/12</f>
        <v>89262.916666666672</v>
      </c>
      <c r="R16" s="224">
        <f>+'II-H-4.1 Functions'!D17/'II-H-3.1-3'!P16</f>
        <v>3.4902669174862653</v>
      </c>
      <c r="S16" s="225">
        <f>+'II-H-4.1 Functions'!E17/'II-H-3.1-3'!P16</f>
        <v>4.7033876143041855</v>
      </c>
      <c r="T16" s="65"/>
      <c r="U16" s="221">
        <v>3.2</v>
      </c>
      <c r="V16" s="219">
        <v>3.68</v>
      </c>
      <c r="W16" s="65"/>
      <c r="X16" s="235"/>
      <c r="Y16" s="23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</row>
    <row r="17" spans="1:144" s="62" customFormat="1" ht="11.25" x14ac:dyDescent="0.2">
      <c r="A17" s="74"/>
      <c r="B17" s="129"/>
      <c r="C17" s="143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44"/>
      <c r="Q17" s="144"/>
      <c r="R17" s="221"/>
      <c r="S17" s="219"/>
      <c r="T17" s="65"/>
      <c r="U17" s="221"/>
      <c r="V17" s="219"/>
      <c r="W17" s="65"/>
      <c r="X17" s="235"/>
      <c r="Y17" s="23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</row>
    <row r="18" spans="1:144" s="62" customFormat="1" ht="11.25" x14ac:dyDescent="0.2">
      <c r="A18" s="74">
        <v>3</v>
      </c>
      <c r="B18" s="146" t="s">
        <v>113</v>
      </c>
      <c r="C18" s="125" t="s">
        <v>16</v>
      </c>
      <c r="D18" s="142">
        <f>'[6]Incl Customers'!G30+'[5]II-H-3.1'!D12</f>
        <v>69969</v>
      </c>
      <c r="E18" s="142">
        <f>'[6]Incl Customers'!H30+'[5]II-H-3.1'!E12</f>
        <v>71234</v>
      </c>
      <c r="F18" s="142">
        <f>'[6]Incl Customers'!I30+'[5]II-H-3.1'!F12</f>
        <v>71975</v>
      </c>
      <c r="G18" s="142">
        <f>'[6]Incl Customers'!J30+'[5]II-H-3.1'!G12</f>
        <v>72047</v>
      </c>
      <c r="H18" s="142">
        <f>'[6]Incl Customers'!K30+'[5]II-H-3.1'!H12</f>
        <v>71959</v>
      </c>
      <c r="I18" s="142">
        <f>'[6]Incl Customers'!L30+'[5]II-H-3.1'!I12</f>
        <v>72027</v>
      </c>
      <c r="J18" s="142">
        <f>'[6]Incl Customers'!M30+'[5]II-H-3.1'!J12</f>
        <v>72168</v>
      </c>
      <c r="K18" s="142">
        <f>'[6]Incl Customers'!N30+'[5]II-H-3.1'!K12</f>
        <v>72470</v>
      </c>
      <c r="L18" s="142">
        <f>'[4]II-H-3.1'!L12+'[5]II-H-3.1'!L12</f>
        <v>72222</v>
      </c>
      <c r="M18" s="142">
        <f>'[4]II-H-3.1'!M12+'[5]II-H-3.1'!M12</f>
        <v>72235</v>
      </c>
      <c r="N18" s="142">
        <f>'[4]II-H-3.1'!N12+'[5]II-H-3.1'!N12</f>
        <v>72445</v>
      </c>
      <c r="O18" s="142">
        <f>'[4]II-H-3.1'!O12+'[5]II-H-3.1'!O12</f>
        <v>72592</v>
      </c>
      <c r="P18" s="144">
        <f t="shared" si="0"/>
        <v>863343</v>
      </c>
      <c r="Q18" s="144">
        <f t="shared" si="1"/>
        <v>71945.25</v>
      </c>
      <c r="R18" s="224">
        <f>+'II-H-4.1 Functions'!D19/'II-H-3.1-3'!P18</f>
        <v>3.4452993422081373</v>
      </c>
      <c r="S18" s="225">
        <f>+'II-H-4.1 Functions'!E19/'II-H-3.1-3'!P18</f>
        <v>16.341177260949589</v>
      </c>
      <c r="T18" s="65"/>
      <c r="U18" s="221">
        <v>3.26</v>
      </c>
      <c r="V18" s="219">
        <v>15.81</v>
      </c>
      <c r="W18" s="65"/>
      <c r="X18" s="235"/>
      <c r="Y18" s="23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</row>
    <row r="19" spans="1:144" s="62" customFormat="1" ht="11.25" x14ac:dyDescent="0.2">
      <c r="A19" s="74">
        <v>4</v>
      </c>
      <c r="B19" s="146" t="s">
        <v>114</v>
      </c>
      <c r="C19" s="125" t="s">
        <v>16</v>
      </c>
      <c r="D19" s="123">
        <f>'[6]Incl Customers'!G21+'[5]II-H-3.1'!D13</f>
        <v>505</v>
      </c>
      <c r="E19" s="123">
        <f>'[6]Incl Customers'!H21+'[5]II-H-3.1'!E13</f>
        <v>506</v>
      </c>
      <c r="F19" s="123">
        <f>'[6]Incl Customers'!I21+'[5]II-H-3.1'!F13</f>
        <v>505</v>
      </c>
      <c r="G19" s="123">
        <f>'[6]Incl Customers'!J21+'[5]II-H-3.1'!G13</f>
        <v>502</v>
      </c>
      <c r="H19" s="123">
        <f>'[6]Incl Customers'!K21+'[5]II-H-3.1'!H13</f>
        <v>503</v>
      </c>
      <c r="I19" s="123">
        <f>'[6]Incl Customers'!L21+'[5]II-H-3.1'!I13</f>
        <v>494</v>
      </c>
      <c r="J19" s="123">
        <f>'[6]Incl Customers'!M21+'[5]II-H-3.1'!J13</f>
        <v>495</v>
      </c>
      <c r="K19" s="123">
        <f>'[6]Incl Customers'!N21+'[5]II-H-3.1'!K13</f>
        <v>497</v>
      </c>
      <c r="L19" s="123">
        <f>'[4]II-H-3.1'!L13+'[5]II-H-3.1'!L13</f>
        <v>477</v>
      </c>
      <c r="M19" s="123">
        <f>'[4]II-H-3.1'!M13+'[5]II-H-3.1'!M13</f>
        <v>476</v>
      </c>
      <c r="N19" s="123">
        <f>'[4]II-H-3.1'!N13+'[5]II-H-3.1'!N13</f>
        <v>478</v>
      </c>
      <c r="O19" s="123">
        <f>'[4]II-H-3.1'!O13+'[5]II-H-3.1'!O13</f>
        <v>478</v>
      </c>
      <c r="P19" s="145">
        <f t="shared" si="0"/>
        <v>5916</v>
      </c>
      <c r="Q19" s="145">
        <f t="shared" si="1"/>
        <v>493</v>
      </c>
      <c r="R19" s="224">
        <f>+'II-H-4.1 Functions'!D20/'II-H-3.1-3'!P19</f>
        <v>26.667577755240028</v>
      </c>
      <c r="S19" s="225">
        <f>+'II-H-4.1 Functions'!E20/'II-H-3.1-3'!P19</f>
        <v>22.198059499661934</v>
      </c>
      <c r="T19" s="65"/>
      <c r="U19" s="221">
        <v>26.52</v>
      </c>
      <c r="V19" s="219">
        <v>15.81</v>
      </c>
      <c r="W19" s="65"/>
      <c r="X19" s="235"/>
      <c r="Y19" s="23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</row>
    <row r="20" spans="1:144" s="62" customFormat="1" ht="11.25" x14ac:dyDescent="0.2">
      <c r="A20" s="74">
        <v>5</v>
      </c>
      <c r="B20" s="162" t="s">
        <v>30</v>
      </c>
      <c r="C20" s="143"/>
      <c r="D20" s="157">
        <f>SUM(D18:D19)</f>
        <v>70474</v>
      </c>
      <c r="E20" s="157">
        <f t="shared" ref="E20:O20" si="2">SUM(E18:E19)</f>
        <v>71740</v>
      </c>
      <c r="F20" s="157">
        <f t="shared" si="2"/>
        <v>72480</v>
      </c>
      <c r="G20" s="157">
        <f t="shared" si="2"/>
        <v>72549</v>
      </c>
      <c r="H20" s="157">
        <f t="shared" si="2"/>
        <v>72462</v>
      </c>
      <c r="I20" s="157">
        <f t="shared" si="2"/>
        <v>72521</v>
      </c>
      <c r="J20" s="157">
        <f t="shared" si="2"/>
        <v>72663</v>
      </c>
      <c r="K20" s="157">
        <f t="shared" si="2"/>
        <v>72967</v>
      </c>
      <c r="L20" s="157">
        <f t="shared" si="2"/>
        <v>72699</v>
      </c>
      <c r="M20" s="157">
        <f t="shared" si="2"/>
        <v>72711</v>
      </c>
      <c r="N20" s="157">
        <f t="shared" si="2"/>
        <v>72923</v>
      </c>
      <c r="O20" s="157">
        <f t="shared" si="2"/>
        <v>73070</v>
      </c>
      <c r="P20" s="144">
        <f>SUM(D20:O20)</f>
        <v>869259</v>
      </c>
      <c r="Q20" s="144">
        <f t="shared" si="1"/>
        <v>72438.25</v>
      </c>
      <c r="R20" s="221"/>
      <c r="S20" s="219"/>
      <c r="T20" s="65"/>
      <c r="U20" s="221"/>
      <c r="V20" s="219"/>
      <c r="W20" s="65"/>
      <c r="X20" s="235"/>
      <c r="Y20" s="23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</row>
    <row r="21" spans="1:144" s="62" customFormat="1" ht="11.25" x14ac:dyDescent="0.2">
      <c r="B21" s="242"/>
      <c r="C21" s="143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22"/>
      <c r="O21" s="122"/>
      <c r="P21" s="144"/>
      <c r="Q21" s="144"/>
      <c r="R21" s="221"/>
      <c r="S21" s="219"/>
      <c r="T21" s="65"/>
      <c r="U21" s="221"/>
      <c r="V21" s="219"/>
      <c r="W21" s="65"/>
      <c r="X21" s="235"/>
      <c r="Y21" s="23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</row>
    <row r="22" spans="1:144" s="62" customFormat="1" ht="11.25" x14ac:dyDescent="0.2">
      <c r="A22" s="74">
        <v>6</v>
      </c>
      <c r="B22" s="146" t="s">
        <v>110</v>
      </c>
      <c r="C22" s="125" t="s">
        <v>17</v>
      </c>
      <c r="D22" s="122">
        <f>'[6]Incl Customers'!G82+'[5]II-H-3.1'!D16</f>
        <v>566</v>
      </c>
      <c r="E22" s="122">
        <f>'[6]Incl Customers'!H82+'[5]II-H-3.1'!E16</f>
        <v>565</v>
      </c>
      <c r="F22" s="122">
        <f>'[6]Incl Customers'!I82+'[5]II-H-3.1'!F16</f>
        <v>565</v>
      </c>
      <c r="G22" s="122">
        <f>'[6]Incl Customers'!J82+'[5]II-H-3.1'!G16</f>
        <v>560</v>
      </c>
      <c r="H22" s="122">
        <f>'[6]Incl Customers'!K82+'[5]II-H-3.1'!H16</f>
        <v>564</v>
      </c>
      <c r="I22" s="122">
        <f>'[6]Incl Customers'!L82+'[5]II-H-3.1'!I16</f>
        <v>572</v>
      </c>
      <c r="J22" s="122">
        <f>'[6]Incl Customers'!M82+'[5]II-H-3.1'!J16</f>
        <v>567</v>
      </c>
      <c r="K22" s="122">
        <f>'[6]Incl Customers'!N82+'[5]II-H-3.1'!K16</f>
        <v>580</v>
      </c>
      <c r="L22" s="122">
        <f>'[6]Incl Customers'!O82+'[5]II-H-3.1'!L16</f>
        <v>579</v>
      </c>
      <c r="M22" s="122">
        <f>'[6]Incl Customers'!P82+'[5]II-H-3.1'!M16</f>
        <v>579</v>
      </c>
      <c r="N22" s="122">
        <f>'[6]Incl Customers'!Q82+'[5]II-H-3.1'!N16</f>
        <v>575</v>
      </c>
      <c r="O22" s="122">
        <f>'[6]Incl Customers'!R82+'[5]II-H-3.1'!O16</f>
        <v>574</v>
      </c>
      <c r="P22" s="144">
        <f>SUM(D22:O22)</f>
        <v>6846</v>
      </c>
      <c r="Q22" s="144">
        <f t="shared" si="1"/>
        <v>570.5</v>
      </c>
      <c r="R22" s="224">
        <f>+'II-H-4.1 Functions'!D23/'II-H-3.1-3'!P22</f>
        <v>4.0787218813905914</v>
      </c>
      <c r="S22" s="225">
        <f>+'II-H-4.1 Functions'!E23/'II-H-3.1-3'!P22</f>
        <v>152.38637306456326</v>
      </c>
      <c r="T22" s="65"/>
      <c r="U22" s="221">
        <v>3.8</v>
      </c>
      <c r="V22" s="219">
        <v>154.62</v>
      </c>
      <c r="W22" s="65"/>
      <c r="X22" s="235"/>
      <c r="Y22" s="23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</row>
    <row r="23" spans="1:144" s="62" customFormat="1" ht="11.25" x14ac:dyDescent="0.2">
      <c r="A23" s="74">
        <v>7</v>
      </c>
      <c r="B23" s="146" t="s">
        <v>111</v>
      </c>
      <c r="C23" s="125" t="s">
        <v>17</v>
      </c>
      <c r="D23" s="123">
        <f>'[6]Incl Customers'!G77+'[5]II-H-3.1'!D17</f>
        <v>470</v>
      </c>
      <c r="E23" s="123">
        <f>'[6]Incl Customers'!H77+'[5]II-H-3.1'!E17</f>
        <v>470</v>
      </c>
      <c r="F23" s="123">
        <f>'[6]Incl Customers'!I77+'[5]II-H-3.1'!F17</f>
        <v>475</v>
      </c>
      <c r="G23" s="123">
        <f>'[6]Incl Customers'!J77+'[5]II-H-3.1'!G17</f>
        <v>464</v>
      </c>
      <c r="H23" s="123">
        <f>'[6]Incl Customers'!K77+'[5]II-H-3.1'!H17</f>
        <v>476</v>
      </c>
      <c r="I23" s="123">
        <f>'[6]Incl Customers'!L77+'[5]II-H-3.1'!I17</f>
        <v>480</v>
      </c>
      <c r="J23" s="123">
        <f>'[6]Incl Customers'!M77+'[5]II-H-3.1'!J17</f>
        <v>472</v>
      </c>
      <c r="K23" s="123">
        <f>'[6]Incl Customers'!N77+'[5]II-H-3.1'!K17</f>
        <v>468</v>
      </c>
      <c r="L23" s="123">
        <f>'[6]Incl Customers'!O77+'[5]II-H-3.1'!L17</f>
        <v>472</v>
      </c>
      <c r="M23" s="123">
        <f>'[6]Incl Customers'!P77+'[5]II-H-3.1'!M17</f>
        <v>473</v>
      </c>
      <c r="N23" s="123">
        <f>'[6]Incl Customers'!Q77+'[5]II-H-3.1'!N17</f>
        <v>470</v>
      </c>
      <c r="O23" s="123">
        <f>'[6]Incl Customers'!R77+'[5]II-H-3.1'!O17</f>
        <v>471</v>
      </c>
      <c r="P23" s="145">
        <f>SUM(D23:O23)</f>
        <v>5661</v>
      </c>
      <c r="Q23" s="145">
        <f t="shared" si="1"/>
        <v>471.75</v>
      </c>
      <c r="R23" s="224">
        <f>+'II-H-4.1 Functions'!D24/'II-H-3.1-3'!P23</f>
        <v>27.738956014838369</v>
      </c>
      <c r="S23" s="225">
        <f>+'II-H-4.1 Functions'!E24/'II-H-3.1-3'!P23</f>
        <v>158.16808867691219</v>
      </c>
      <c r="T23" s="65"/>
      <c r="U23" s="221">
        <v>28.41</v>
      </c>
      <c r="V23" s="219">
        <v>154.62</v>
      </c>
      <c r="W23" s="65"/>
      <c r="X23" s="235"/>
      <c r="Y23" s="23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</row>
    <row r="24" spans="1:144" s="62" customFormat="1" ht="11.25" x14ac:dyDescent="0.2">
      <c r="A24" s="74">
        <v>8</v>
      </c>
      <c r="B24" s="129" t="s">
        <v>31</v>
      </c>
      <c r="C24" s="125"/>
      <c r="D24" s="122">
        <f>SUM(D22:D23)</f>
        <v>1036</v>
      </c>
      <c r="E24" s="122">
        <f t="shared" ref="E24:O24" si="3">SUM(E22:E23)</f>
        <v>1035</v>
      </c>
      <c r="F24" s="122">
        <f t="shared" si="3"/>
        <v>1040</v>
      </c>
      <c r="G24" s="122">
        <f t="shared" si="3"/>
        <v>1024</v>
      </c>
      <c r="H24" s="122">
        <f t="shared" si="3"/>
        <v>1040</v>
      </c>
      <c r="I24" s="122">
        <f t="shared" si="3"/>
        <v>1052</v>
      </c>
      <c r="J24" s="122">
        <f t="shared" si="3"/>
        <v>1039</v>
      </c>
      <c r="K24" s="122">
        <f t="shared" si="3"/>
        <v>1048</v>
      </c>
      <c r="L24" s="122">
        <f t="shared" si="3"/>
        <v>1051</v>
      </c>
      <c r="M24" s="122">
        <f t="shared" si="3"/>
        <v>1052</v>
      </c>
      <c r="N24" s="122">
        <f t="shared" si="3"/>
        <v>1045</v>
      </c>
      <c r="O24" s="122">
        <f t="shared" si="3"/>
        <v>1045</v>
      </c>
      <c r="P24" s="144">
        <f>SUM(D24:O24)</f>
        <v>12507</v>
      </c>
      <c r="Q24" s="144">
        <f t="shared" si="1"/>
        <v>1042.25</v>
      </c>
      <c r="R24" s="221"/>
      <c r="S24" s="219"/>
      <c r="T24" s="65"/>
      <c r="U24" s="221"/>
      <c r="V24" s="219"/>
      <c r="W24" s="65"/>
      <c r="X24" s="235"/>
      <c r="Y24" s="23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</row>
    <row r="25" spans="1:144" s="62" customFormat="1" ht="11.25" x14ac:dyDescent="0.2">
      <c r="A25" s="74"/>
      <c r="B25" s="129"/>
      <c r="C25" s="125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56"/>
      <c r="P25" s="144"/>
      <c r="Q25" s="144"/>
      <c r="R25" s="221"/>
      <c r="S25" s="219"/>
      <c r="T25" s="65"/>
      <c r="U25" s="221"/>
      <c r="V25" s="219"/>
      <c r="W25" s="65"/>
      <c r="X25" s="235"/>
      <c r="Y25" s="23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</row>
    <row r="26" spans="1:144" s="62" customFormat="1" ht="11.25" x14ac:dyDescent="0.2">
      <c r="A26" s="74">
        <v>9</v>
      </c>
      <c r="B26" s="162" t="s">
        <v>115</v>
      </c>
      <c r="C26" s="125" t="s">
        <v>18</v>
      </c>
      <c r="D26" s="122">
        <f>'[6]Incl Customers'!G97+'[5]II-H-3.1'!D20</f>
        <v>85</v>
      </c>
      <c r="E26" s="122">
        <f>'[6]Incl Customers'!H97+'[5]II-H-3.1'!E20</f>
        <v>79</v>
      </c>
      <c r="F26" s="122">
        <f>'[6]Incl Customers'!I97+'[5]II-H-3.1'!F20</f>
        <v>79</v>
      </c>
      <c r="G26" s="122">
        <f>'[6]Incl Customers'!J97+'[5]II-H-3.1'!G20</f>
        <v>81</v>
      </c>
      <c r="H26" s="122">
        <f>'[6]Incl Customers'!K97+'[5]II-H-3.1'!H20</f>
        <v>84</v>
      </c>
      <c r="I26" s="122">
        <f>'[6]Incl Customers'!L97+'[5]II-H-3.1'!I20</f>
        <v>84</v>
      </c>
      <c r="J26" s="122">
        <f>'[6]Incl Customers'!M97+'[5]II-H-3.1'!J20</f>
        <v>79</v>
      </c>
      <c r="K26" s="122">
        <f>'[6]Incl Customers'!N97+'[5]II-H-3.1'!K20</f>
        <v>81</v>
      </c>
      <c r="L26" s="122">
        <f>'[6]Incl Customers'!O97+'[5]II-H-3.1'!L20</f>
        <v>83</v>
      </c>
      <c r="M26" s="122">
        <f>'[6]Incl Customers'!P97+'[5]II-H-3.1'!M20</f>
        <v>67</v>
      </c>
      <c r="N26" s="122">
        <f>'[6]Incl Customers'!Q97+'[5]II-H-3.1'!N20</f>
        <v>108</v>
      </c>
      <c r="O26" s="122">
        <f>'[6]Incl Customers'!R97+'[5]II-H-3.1'!O20</f>
        <v>64</v>
      </c>
      <c r="P26" s="144">
        <f>SUM(D26:O26)</f>
        <v>974</v>
      </c>
      <c r="Q26" s="144">
        <v>85</v>
      </c>
      <c r="R26" s="224">
        <f>+'II-H-4.1 Functions'!D27/'II-H-3.1-3'!P26</f>
        <v>34.491334702258726</v>
      </c>
      <c r="S26" s="225">
        <f>+'II-H-4.1 Functions'!E27/'II-H-3.1-3'!P26</f>
        <v>1534.7576180698152</v>
      </c>
      <c r="T26" s="65"/>
      <c r="U26" s="221">
        <v>38.840000000000003</v>
      </c>
      <c r="V26" s="219">
        <v>1869.15</v>
      </c>
      <c r="W26" s="65"/>
      <c r="X26" s="235"/>
      <c r="Y26" s="23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</row>
    <row r="27" spans="1:144" s="62" customFormat="1" ht="11.25" x14ac:dyDescent="0.2">
      <c r="B27" s="129"/>
      <c r="C27" s="143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22"/>
      <c r="O27" s="122"/>
      <c r="P27" s="144"/>
      <c r="Q27" s="144"/>
      <c r="R27" s="217"/>
      <c r="S27" s="218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</row>
    <row r="28" spans="1:144" s="62" customFormat="1" ht="11.25" x14ac:dyDescent="0.2">
      <c r="A28" s="74">
        <v>10</v>
      </c>
      <c r="B28" s="148" t="s">
        <v>33</v>
      </c>
      <c r="C28" s="125" t="s">
        <v>16</v>
      </c>
      <c r="D28" s="122">
        <f>+'[8]Active Units Lights'!F71+'[5]II-H-3.1'!D22</f>
        <v>228698</v>
      </c>
      <c r="E28" s="122">
        <f>+'[8]Active Units Lights'!G71+'[5]II-H-3.1'!E22</f>
        <v>219174</v>
      </c>
      <c r="F28" s="122">
        <f>+'[8]Active Units Lights'!H71+'[5]II-H-3.1'!F22</f>
        <v>219915</v>
      </c>
      <c r="G28" s="122">
        <f>+'[8]Active Units Lights'!I71+'[5]II-H-3.1'!G22</f>
        <v>220030</v>
      </c>
      <c r="H28" s="122">
        <f>+'[8]Active Units Lights'!J71+'[5]II-H-3.1'!H22</f>
        <v>220408</v>
      </c>
      <c r="I28" s="122">
        <f>+'[8]Active Units Lights'!K71+'[5]II-H-3.1'!I22</f>
        <v>220169</v>
      </c>
      <c r="J28" s="122">
        <f>+'[8]Active Units Lights'!L71+'[5]II-H-3.1'!J22</f>
        <v>217297</v>
      </c>
      <c r="K28" s="122">
        <f>+'[8]Active Units Lights'!M71+'[5]II-H-3.1'!K22</f>
        <v>221274</v>
      </c>
      <c r="L28" s="122">
        <f>+'[8]Active Units Lights'!N71+'[5]II-H-3.1'!L22</f>
        <v>220323</v>
      </c>
      <c r="M28" s="122">
        <f>+'[8]Active Units Lights'!O71+'[5]II-H-3.1'!M22</f>
        <v>220432</v>
      </c>
      <c r="N28" s="122">
        <f>+'[8]Active Units Lights'!P71+'[5]II-H-3.1'!N22</f>
        <v>219995</v>
      </c>
      <c r="O28" s="122">
        <f>+'[8]Active Units Lights'!Q71+'[5]II-H-3.1'!O22</f>
        <v>220232</v>
      </c>
      <c r="P28" s="144">
        <f>SUM(D28:O28)</f>
        <v>2647947</v>
      </c>
      <c r="Q28" s="144">
        <f t="shared" si="1"/>
        <v>220662.25</v>
      </c>
      <c r="R28" s="217"/>
      <c r="S28" s="218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</row>
    <row r="29" spans="1:144" s="62" customFormat="1" ht="11.25" x14ac:dyDescent="0.2">
      <c r="A29" s="74"/>
      <c r="B29" s="129"/>
      <c r="C29" s="143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22"/>
      <c r="O29" s="122"/>
      <c r="P29" s="144"/>
      <c r="Q29" s="144"/>
      <c r="R29" s="65"/>
      <c r="S29" s="211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</row>
    <row r="30" spans="1:144" s="62" customFormat="1" ht="11.25" x14ac:dyDescent="0.2">
      <c r="A30" s="74">
        <v>11</v>
      </c>
      <c r="B30" s="183" t="s">
        <v>34</v>
      </c>
      <c r="C30" s="236"/>
      <c r="D30" s="184">
        <f>D28+D26+D24+D20+D16+D14</f>
        <v>1256679</v>
      </c>
      <c r="E30" s="184">
        <f t="shared" ref="E30:O30" si="4">E28+E26+E24+E20+E16+E14</f>
        <v>1247489</v>
      </c>
      <c r="F30" s="184">
        <f t="shared" si="4"/>
        <v>1250058</v>
      </c>
      <c r="G30" s="184">
        <f t="shared" si="4"/>
        <v>1251710</v>
      </c>
      <c r="H30" s="184">
        <f t="shared" si="4"/>
        <v>1253467</v>
      </c>
      <c r="I30" s="184">
        <f t="shared" si="4"/>
        <v>1253600</v>
      </c>
      <c r="J30" s="184">
        <f t="shared" si="4"/>
        <v>1250835</v>
      </c>
      <c r="K30" s="184">
        <f t="shared" si="4"/>
        <v>1260493</v>
      </c>
      <c r="L30" s="184">
        <f t="shared" si="4"/>
        <v>1258943</v>
      </c>
      <c r="M30" s="184">
        <f t="shared" si="4"/>
        <v>1259447</v>
      </c>
      <c r="N30" s="184">
        <f t="shared" si="4"/>
        <v>1259509</v>
      </c>
      <c r="O30" s="184">
        <f t="shared" si="4"/>
        <v>1260122</v>
      </c>
      <c r="P30" s="248">
        <f>SUM(D30:O30)</f>
        <v>15062352</v>
      </c>
      <c r="Q30" s="248">
        <f t="shared" si="1"/>
        <v>1255196</v>
      </c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</row>
    <row r="31" spans="1:144" s="62" customFormat="1" ht="11.25" x14ac:dyDescent="0.2">
      <c r="B31" s="236"/>
      <c r="C31" s="236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56"/>
      <c r="O31" s="156"/>
      <c r="P31" s="144"/>
      <c r="Q31" s="144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</row>
    <row r="32" spans="1:144" s="62" customFormat="1" ht="11.25" x14ac:dyDescent="0.2">
      <c r="A32" s="74">
        <v>12</v>
      </c>
      <c r="B32" s="148" t="s">
        <v>91</v>
      </c>
      <c r="C32" s="125" t="s">
        <v>17</v>
      </c>
      <c r="D32" s="144"/>
      <c r="E32" s="144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44"/>
      <c r="Q32" s="144"/>
      <c r="R32" s="148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</row>
    <row r="33" spans="1:144" s="62" customFormat="1" ht="11.25" x14ac:dyDescent="0.2">
      <c r="A33" s="74">
        <v>13</v>
      </c>
      <c r="B33" s="148" t="s">
        <v>92</v>
      </c>
      <c r="C33" s="125" t="s">
        <v>18</v>
      </c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45"/>
      <c r="Q33" s="14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</row>
    <row r="34" spans="1:144" s="62" customFormat="1" ht="11.25" x14ac:dyDescent="0.2">
      <c r="A34" s="74">
        <v>14</v>
      </c>
      <c r="B34" s="183" t="s">
        <v>35</v>
      </c>
      <c r="C34" s="238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56"/>
      <c r="O34" s="156"/>
      <c r="P34" s="144"/>
      <c r="Q34" s="144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</row>
    <row r="35" spans="1:144" s="62" customFormat="1" ht="11.25" x14ac:dyDescent="0.2">
      <c r="A35" s="74"/>
      <c r="B35" s="129"/>
      <c r="C35" s="185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22"/>
      <c r="O35" s="122"/>
      <c r="P35" s="144"/>
      <c r="Q35" s="144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</row>
    <row r="36" spans="1:144" s="62" customFormat="1" ht="12" thickBot="1" x14ac:dyDescent="0.25">
      <c r="A36" s="74">
        <v>15</v>
      </c>
      <c r="B36" s="243" t="s">
        <v>132</v>
      </c>
      <c r="C36" s="238"/>
      <c r="D36" s="244">
        <f>D34+D30</f>
        <v>1256679</v>
      </c>
      <c r="E36" s="244">
        <f t="shared" ref="E36:O36" si="5">+E34+E30</f>
        <v>1247489</v>
      </c>
      <c r="F36" s="244">
        <f t="shared" si="5"/>
        <v>1250058</v>
      </c>
      <c r="G36" s="244">
        <f t="shared" si="5"/>
        <v>1251710</v>
      </c>
      <c r="H36" s="244">
        <f t="shared" si="5"/>
        <v>1253467</v>
      </c>
      <c r="I36" s="244">
        <f t="shared" si="5"/>
        <v>1253600</v>
      </c>
      <c r="J36" s="244">
        <f t="shared" si="5"/>
        <v>1250835</v>
      </c>
      <c r="K36" s="244">
        <f t="shared" si="5"/>
        <v>1260493</v>
      </c>
      <c r="L36" s="244">
        <f t="shared" si="5"/>
        <v>1258943</v>
      </c>
      <c r="M36" s="244">
        <f t="shared" si="5"/>
        <v>1259447</v>
      </c>
      <c r="N36" s="244">
        <f t="shared" si="5"/>
        <v>1259509</v>
      </c>
      <c r="O36" s="244">
        <f t="shared" si="5"/>
        <v>1260122</v>
      </c>
      <c r="P36" s="272">
        <f>SUM(D36:O36)</f>
        <v>15062352</v>
      </c>
      <c r="Q36" s="244">
        <f>+Q34+Q30</f>
        <v>1255196</v>
      </c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</row>
    <row r="37" spans="1:144" ht="15.75" customHeight="1" thickTop="1" x14ac:dyDescent="0.2">
      <c r="A37" s="190"/>
      <c r="B37" s="273" t="s">
        <v>177</v>
      </c>
      <c r="C37" s="267"/>
      <c r="D37" s="274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195"/>
      <c r="Q37" s="276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</row>
    <row r="38" spans="1:144" x14ac:dyDescent="0.2">
      <c r="A38" s="36"/>
      <c r="B38" s="274"/>
      <c r="C38" s="267"/>
      <c r="D38" s="274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195"/>
      <c r="Q38" s="276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</row>
    <row r="39" spans="1:144" x14ac:dyDescent="0.2">
      <c r="B39" s="277" t="str">
        <f>+B7</f>
        <v>AEP TEXAS</v>
      </c>
      <c r="C39" s="277"/>
      <c r="D39" s="278"/>
      <c r="E39" s="279"/>
      <c r="F39" s="279"/>
      <c r="G39" s="278"/>
      <c r="H39" s="278"/>
      <c r="I39" s="278"/>
      <c r="J39" s="278"/>
      <c r="K39" s="278"/>
      <c r="L39" s="278"/>
      <c r="M39" s="278"/>
      <c r="N39" s="278"/>
      <c r="O39" s="278"/>
      <c r="P39" s="280"/>
      <c r="Q39" s="281"/>
    </row>
    <row r="40" spans="1:144" x14ac:dyDescent="0.2">
      <c r="B40" s="282" t="s">
        <v>56</v>
      </c>
      <c r="C40" s="283"/>
      <c r="D40" s="284"/>
      <c r="E40" s="285"/>
      <c r="F40" s="285"/>
      <c r="G40" s="284"/>
      <c r="H40" s="284"/>
      <c r="I40" s="284"/>
      <c r="J40" s="284"/>
      <c r="K40" s="284"/>
      <c r="L40" s="284"/>
      <c r="M40" s="284"/>
      <c r="N40" s="284"/>
      <c r="O40" s="284"/>
      <c r="P40" s="284" t="s">
        <v>1</v>
      </c>
      <c r="Q40" s="281"/>
    </row>
    <row r="41" spans="1:144" x14ac:dyDescent="0.2">
      <c r="B41" s="388" t="str">
        <f>+B9</f>
        <v>FOR TEST YEAR ENDED DECEMBER 31, 2018</v>
      </c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129"/>
      <c r="Q41" s="281"/>
    </row>
    <row r="42" spans="1:144" x14ac:dyDescent="0.2">
      <c r="B42" s="283"/>
      <c r="C42" s="283"/>
      <c r="D42" s="284"/>
      <c r="E42" s="285"/>
      <c r="F42" s="285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1"/>
    </row>
    <row r="43" spans="1:144" x14ac:dyDescent="0.2">
      <c r="B43" s="243"/>
      <c r="C43" s="286"/>
      <c r="D43" s="287">
        <f>D11</f>
        <v>0</v>
      </c>
      <c r="E43" s="177"/>
      <c r="F43" s="177"/>
      <c r="G43" s="287">
        <f>G11</f>
        <v>0</v>
      </c>
      <c r="H43" s="177"/>
      <c r="I43" s="177"/>
      <c r="J43" s="157"/>
      <c r="K43" s="177"/>
      <c r="L43" s="177"/>
      <c r="M43" s="177"/>
      <c r="N43" s="177"/>
      <c r="O43" s="177"/>
      <c r="P43" s="178"/>
      <c r="Q43" s="281"/>
    </row>
    <row r="44" spans="1:144" x14ac:dyDescent="0.2">
      <c r="A44" s="83" t="s">
        <v>20</v>
      </c>
      <c r="B44" s="163" t="s">
        <v>0</v>
      </c>
      <c r="C44" s="163" t="s">
        <v>19</v>
      </c>
      <c r="D44" s="164" t="str">
        <f t="shared" ref="D44:O44" si="6">+D12</f>
        <v>JANUARY</v>
      </c>
      <c r="E44" s="164" t="str">
        <f t="shared" si="6"/>
        <v>FEBRUARY</v>
      </c>
      <c r="F44" s="164" t="str">
        <f t="shared" si="6"/>
        <v>MARCH</v>
      </c>
      <c r="G44" s="164" t="str">
        <f t="shared" si="6"/>
        <v>APRIL</v>
      </c>
      <c r="H44" s="164" t="str">
        <f t="shared" si="6"/>
        <v>MAY</v>
      </c>
      <c r="I44" s="164" t="str">
        <f t="shared" si="6"/>
        <v>JUNE</v>
      </c>
      <c r="J44" s="164" t="str">
        <f t="shared" si="6"/>
        <v>JULY</v>
      </c>
      <c r="K44" s="164" t="str">
        <f t="shared" si="6"/>
        <v>AUGUST</v>
      </c>
      <c r="L44" s="164" t="str">
        <f t="shared" si="6"/>
        <v>SEPTEMBER</v>
      </c>
      <c r="M44" s="164" t="str">
        <f t="shared" si="6"/>
        <v>OCTOBER</v>
      </c>
      <c r="N44" s="164" t="str">
        <f t="shared" si="6"/>
        <v>NOVEMBER</v>
      </c>
      <c r="O44" s="164" t="str">
        <f t="shared" si="6"/>
        <v>DECEMBER</v>
      </c>
      <c r="P44" s="179" t="s">
        <v>14</v>
      </c>
      <c r="Q44" s="166" t="s">
        <v>28</v>
      </c>
    </row>
    <row r="45" spans="1:144" x14ac:dyDescent="0.2">
      <c r="B45" s="163"/>
      <c r="C45" s="163"/>
      <c r="D45" s="164"/>
      <c r="E45" s="165"/>
      <c r="F45" s="165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6"/>
    </row>
    <row r="46" spans="1:144" s="129" customFormat="1" ht="11.25" x14ac:dyDescent="0.2">
      <c r="A46" s="141" t="s">
        <v>21</v>
      </c>
      <c r="B46" s="129" t="s">
        <v>29</v>
      </c>
      <c r="C46" s="143" t="s">
        <v>16</v>
      </c>
      <c r="D46" s="122">
        <f>+'[4]II-H-3.1'!D40+'[5]II-H-3.1'!D41</f>
        <v>10491</v>
      </c>
      <c r="E46" s="122">
        <f>+'[4]II-H-3.1'!E40+'[5]II-H-3.1'!E41</f>
        <v>9920</v>
      </c>
      <c r="F46" s="122">
        <f>+'[4]II-H-3.1'!F40+'[5]II-H-3.1'!F41</f>
        <v>8606</v>
      </c>
      <c r="G46" s="122">
        <f>+'[4]II-H-3.1'!G40+'[5]II-H-3.1'!G41</f>
        <v>7395</v>
      </c>
      <c r="H46" s="122">
        <f>+'[4]II-H-3.1'!H40+'[5]II-H-3.1'!H41</f>
        <v>6181</v>
      </c>
      <c r="I46" s="122">
        <f>+'[4]II-H-3.1'!I40+'[5]II-H-3.1'!I41</f>
        <v>6063</v>
      </c>
      <c r="J46" s="122">
        <f>+'[4]II-H-3.1'!J40+'[5]II-H-3.1'!J41</f>
        <v>6160</v>
      </c>
      <c r="K46" s="122">
        <f>+'[4]II-H-3.1'!K40+'[5]II-H-3.1'!K41</f>
        <v>1095</v>
      </c>
      <c r="L46" s="122">
        <f>+'[4]II-H-3.1'!L40+'[5]II-H-3.1'!L41</f>
        <v>1094</v>
      </c>
      <c r="M46" s="122">
        <f>+'[4]II-H-3.1'!M40+'[5]II-H-3.1'!M41</f>
        <v>761</v>
      </c>
      <c r="N46" s="122">
        <f>+'[4]II-H-3.1'!N40+'[5]II-H-3.1'!N41</f>
        <v>360</v>
      </c>
      <c r="O46" s="122">
        <f>+'[4]II-H-3.1'!O40+'[5]II-H-3.1'!O41</f>
        <v>0</v>
      </c>
      <c r="P46" s="144">
        <f>SUM(D46:O46)</f>
        <v>58126</v>
      </c>
      <c r="Q46" s="144">
        <f>P46/12</f>
        <v>4843.833333333333</v>
      </c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N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A46" s="117"/>
      <c r="CB46" s="117"/>
      <c r="CC46" s="117"/>
      <c r="CD46" s="117"/>
      <c r="CE46" s="117"/>
      <c r="CF46" s="117"/>
      <c r="CG46" s="117"/>
      <c r="CH46" s="117"/>
      <c r="CI46" s="117"/>
      <c r="CJ46" s="117"/>
      <c r="CK46" s="117"/>
      <c r="CL46" s="117"/>
      <c r="CM46" s="117"/>
      <c r="CN46" s="117"/>
      <c r="CO46" s="117"/>
      <c r="CP46" s="117"/>
      <c r="CQ46" s="117"/>
      <c r="CR46" s="117"/>
      <c r="CS46" s="117"/>
      <c r="CT46" s="117"/>
      <c r="CU46" s="117"/>
      <c r="CV46" s="117"/>
      <c r="CW46" s="117"/>
      <c r="CX46" s="117"/>
      <c r="CY46" s="117"/>
      <c r="CZ46" s="117"/>
      <c r="DA46" s="117"/>
      <c r="DB46" s="117"/>
      <c r="DC46" s="117"/>
      <c r="DD46" s="117"/>
      <c r="DE46" s="117"/>
      <c r="DF46" s="117"/>
      <c r="DG46" s="117"/>
      <c r="DH46" s="117"/>
      <c r="DI46" s="117"/>
      <c r="DJ46" s="117"/>
      <c r="DK46" s="117"/>
      <c r="DL46" s="117"/>
      <c r="DM46" s="117"/>
      <c r="DN46" s="117"/>
      <c r="DO46" s="117"/>
      <c r="DP46" s="117"/>
      <c r="DQ46" s="117"/>
      <c r="DR46" s="117"/>
      <c r="DS46" s="117"/>
      <c r="DT46" s="117"/>
      <c r="DU46" s="117"/>
      <c r="DV46" s="117"/>
      <c r="DW46" s="117"/>
      <c r="DX46" s="117"/>
      <c r="DY46" s="117"/>
      <c r="DZ46" s="117"/>
      <c r="EA46" s="117"/>
      <c r="EB46" s="117"/>
      <c r="EC46" s="117"/>
      <c r="ED46" s="117"/>
      <c r="EE46" s="117"/>
      <c r="EF46" s="117"/>
      <c r="EG46" s="117"/>
      <c r="EH46" s="117"/>
      <c r="EI46" s="117"/>
      <c r="EJ46" s="117"/>
      <c r="EK46" s="117"/>
      <c r="EL46" s="117"/>
      <c r="EM46" s="117"/>
      <c r="EN46" s="117"/>
    </row>
    <row r="47" spans="1:144" s="62" customFormat="1" ht="11.25" x14ac:dyDescent="0.2">
      <c r="B47" s="129"/>
      <c r="C47" s="143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44"/>
      <c r="Q47" s="144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</row>
    <row r="48" spans="1:144" s="62" customFormat="1" ht="11.25" x14ac:dyDescent="0.2">
      <c r="A48" s="74">
        <v>2</v>
      </c>
      <c r="B48" s="129" t="s">
        <v>32</v>
      </c>
      <c r="C48" s="143" t="s">
        <v>16</v>
      </c>
      <c r="D48" s="122">
        <f>+'[4]II-H-3.1'!D42+'[5]II-H-3.1'!D43</f>
        <v>-1166</v>
      </c>
      <c r="E48" s="122">
        <f>+'[4]II-H-3.1'!E42+'[5]II-H-3.1'!E43</f>
        <v>330</v>
      </c>
      <c r="F48" s="122">
        <f>+'[4]II-H-3.1'!F42+'[5]II-H-3.1'!F43</f>
        <v>561</v>
      </c>
      <c r="G48" s="122">
        <f>+'[4]II-H-3.1'!G42+'[5]II-H-3.1'!G43</f>
        <v>290</v>
      </c>
      <c r="H48" s="122">
        <f>+'[4]II-H-3.1'!H42+'[5]II-H-3.1'!H43</f>
        <v>57</v>
      </c>
      <c r="I48" s="122">
        <f>+'[4]II-H-3.1'!I42+'[5]II-H-3.1'!I43</f>
        <v>-126</v>
      </c>
      <c r="J48" s="122">
        <f>+'[4]II-H-3.1'!J42+'[5]II-H-3.1'!J43</f>
        <v>-206</v>
      </c>
      <c r="K48" s="122">
        <f>+'[4]II-H-3.1'!K42+'[5]II-H-3.1'!K43</f>
        <v>-507</v>
      </c>
      <c r="L48" s="122">
        <f>+'[4]II-H-3.1'!L42+'[5]II-H-3.1'!L43</f>
        <v>-170</v>
      </c>
      <c r="M48" s="122">
        <f>+'[4]II-H-3.1'!M42+'[5]II-H-3.1'!M43</f>
        <v>-235</v>
      </c>
      <c r="N48" s="122">
        <f>+'[4]II-H-3.1'!N42+'[5]II-H-3.1'!N43</f>
        <v>-87</v>
      </c>
      <c r="O48" s="122">
        <f>+'[4]II-H-3.1'!O42+'[5]II-H-3.1'!O43</f>
        <v>0</v>
      </c>
      <c r="P48" s="144">
        <f t="shared" ref="P48:P68" si="7">SUM(D48:O48)</f>
        <v>-1259</v>
      </c>
      <c r="Q48" s="144">
        <f>P48/12</f>
        <v>-104.91666666666667</v>
      </c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</row>
    <row r="49" spans="1:144" s="62" customFormat="1" ht="11.25" x14ac:dyDescent="0.2">
      <c r="A49" s="74"/>
      <c r="B49" s="129"/>
      <c r="C49" s="143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44"/>
      <c r="Q49" s="144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</row>
    <row r="50" spans="1:144" s="62" customFormat="1" ht="11.25" x14ac:dyDescent="0.2">
      <c r="A50" s="74">
        <v>3</v>
      </c>
      <c r="B50" s="146" t="s">
        <v>113</v>
      </c>
      <c r="C50" s="125" t="s">
        <v>16</v>
      </c>
      <c r="D50" s="122">
        <f>+'[4]II-H-3.1'!D44+'[5]II-H-3.1'!D45</f>
        <v>2623</v>
      </c>
      <c r="E50" s="122">
        <f>+'[4]II-H-3.1'!E44+'[5]II-H-3.1'!E45</f>
        <v>1358</v>
      </c>
      <c r="F50" s="122">
        <f>+'[4]II-H-3.1'!F44+'[5]II-H-3.1'!F45</f>
        <v>617</v>
      </c>
      <c r="G50" s="122">
        <f>+'[4]II-H-3.1'!G44+'[5]II-H-3.1'!G45</f>
        <v>545</v>
      </c>
      <c r="H50" s="122">
        <f>+'[4]II-H-3.1'!H44+'[5]II-H-3.1'!H45</f>
        <v>633</v>
      </c>
      <c r="I50" s="122">
        <f>+'[4]II-H-3.1'!I44+'[5]II-H-3.1'!I45</f>
        <v>565</v>
      </c>
      <c r="J50" s="122">
        <f>+'[4]II-H-3.1'!J44+'[5]II-H-3.1'!J45</f>
        <v>424</v>
      </c>
      <c r="K50" s="122">
        <f>+'[4]II-H-3.1'!K44+'[5]II-H-3.1'!K45</f>
        <v>122</v>
      </c>
      <c r="L50" s="122">
        <f>+'[4]II-H-3.1'!L44+'[5]II-H-3.1'!L45</f>
        <v>370</v>
      </c>
      <c r="M50" s="122">
        <f>+'[4]II-H-3.1'!M44+'[5]II-H-3.1'!M45</f>
        <v>357</v>
      </c>
      <c r="N50" s="122">
        <f>+'[4]II-H-3.1'!N44+'[5]II-H-3.1'!N45</f>
        <v>147</v>
      </c>
      <c r="O50" s="122">
        <f>+'[4]II-H-3.1'!O44+'[5]II-H-3.1'!O45</f>
        <v>0</v>
      </c>
      <c r="P50" s="144">
        <f t="shared" si="7"/>
        <v>7761</v>
      </c>
      <c r="Q50" s="144">
        <f>P50/12</f>
        <v>646.75</v>
      </c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</row>
    <row r="51" spans="1:144" s="62" customFormat="1" ht="11.25" x14ac:dyDescent="0.2">
      <c r="A51" s="74">
        <v>4</v>
      </c>
      <c r="B51" s="146" t="s">
        <v>114</v>
      </c>
      <c r="C51" s="125" t="s">
        <v>16</v>
      </c>
      <c r="D51" s="123">
        <f>+'[4]II-H-3.1'!D45+'[5]II-H-3.1'!D46</f>
        <v>-27</v>
      </c>
      <c r="E51" s="123">
        <f>+'[4]II-H-3.1'!E45+'[5]II-H-3.1'!E46</f>
        <v>-28</v>
      </c>
      <c r="F51" s="123">
        <f>+'[4]II-H-3.1'!F45+'[5]II-H-3.1'!F46</f>
        <v>-27</v>
      </c>
      <c r="G51" s="123">
        <f>+'[4]II-H-3.1'!G45+'[5]II-H-3.1'!G46</f>
        <v>-24</v>
      </c>
      <c r="H51" s="123">
        <f>+'[4]II-H-3.1'!H45+'[5]II-H-3.1'!H46</f>
        <v>-25</v>
      </c>
      <c r="I51" s="123">
        <f>+'[4]II-H-3.1'!I45+'[5]II-H-3.1'!I46</f>
        <v>-16</v>
      </c>
      <c r="J51" s="123">
        <f>+'[4]II-H-3.1'!J45+'[5]II-H-3.1'!J46</f>
        <v>-17</v>
      </c>
      <c r="K51" s="123">
        <f>+'[4]II-H-3.1'!K45+'[5]II-H-3.1'!K46</f>
        <v>-19</v>
      </c>
      <c r="L51" s="123">
        <f>+'[4]II-H-3.1'!L45+'[5]II-H-3.1'!L46</f>
        <v>1</v>
      </c>
      <c r="M51" s="123">
        <f>+'[4]II-H-3.1'!M45+'[5]II-H-3.1'!M46</f>
        <v>2</v>
      </c>
      <c r="N51" s="123">
        <f>+'[4]II-H-3.1'!N45+'[5]II-H-3.1'!N46</f>
        <v>0</v>
      </c>
      <c r="O51" s="123">
        <f>+'[4]II-H-3.1'!O45+'[5]II-H-3.1'!O46</f>
        <v>0</v>
      </c>
      <c r="P51" s="145">
        <f t="shared" si="7"/>
        <v>-180</v>
      </c>
      <c r="Q51" s="145">
        <f>P51/12</f>
        <v>-15</v>
      </c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</row>
    <row r="52" spans="1:144" s="62" customFormat="1" ht="11.25" x14ac:dyDescent="0.2">
      <c r="A52" s="74">
        <v>5</v>
      </c>
      <c r="B52" s="162" t="s">
        <v>30</v>
      </c>
      <c r="C52" s="143"/>
      <c r="D52" s="144">
        <f>SUM(D50:D51)</f>
        <v>2596</v>
      </c>
      <c r="E52" s="144">
        <f t="shared" ref="E52:O52" si="8">SUM(E50:E51)</f>
        <v>1330</v>
      </c>
      <c r="F52" s="144">
        <f t="shared" si="8"/>
        <v>590</v>
      </c>
      <c r="G52" s="144">
        <f t="shared" si="8"/>
        <v>521</v>
      </c>
      <c r="H52" s="144">
        <f t="shared" si="8"/>
        <v>608</v>
      </c>
      <c r="I52" s="144">
        <f t="shared" si="8"/>
        <v>549</v>
      </c>
      <c r="J52" s="144">
        <f t="shared" si="8"/>
        <v>407</v>
      </c>
      <c r="K52" s="144">
        <f t="shared" si="8"/>
        <v>103</v>
      </c>
      <c r="L52" s="144">
        <f t="shared" si="8"/>
        <v>371</v>
      </c>
      <c r="M52" s="144">
        <f t="shared" si="8"/>
        <v>359</v>
      </c>
      <c r="N52" s="144">
        <f t="shared" si="8"/>
        <v>147</v>
      </c>
      <c r="O52" s="144">
        <f t="shared" si="8"/>
        <v>0</v>
      </c>
      <c r="P52" s="144">
        <f t="shared" si="7"/>
        <v>7581</v>
      </c>
      <c r="Q52" s="144">
        <f>SUM(Q50:Q51)</f>
        <v>631.75</v>
      </c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</row>
    <row r="53" spans="1:144" s="62" customFormat="1" ht="11.25" x14ac:dyDescent="0.2">
      <c r="B53" s="242"/>
      <c r="C53" s="143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44"/>
      <c r="Q53" s="144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</row>
    <row r="54" spans="1:144" s="62" customFormat="1" ht="11.25" x14ac:dyDescent="0.2">
      <c r="A54" s="74">
        <v>6</v>
      </c>
      <c r="B54" s="146" t="s">
        <v>110</v>
      </c>
      <c r="C54" s="125" t="s">
        <v>17</v>
      </c>
      <c r="D54" s="122">
        <f>+'[4]II-H-3.1'!D48+'[5]II-H-3.1'!D49</f>
        <v>8</v>
      </c>
      <c r="E54" s="122">
        <f>+'[4]II-H-3.1'!E48+'[5]II-H-3.1'!E49</f>
        <v>9</v>
      </c>
      <c r="F54" s="122">
        <f>+'[4]II-H-3.1'!F48+'[5]II-H-3.1'!F49</f>
        <v>9</v>
      </c>
      <c r="G54" s="122">
        <f>+'[4]II-H-3.1'!G48+'[5]II-H-3.1'!G49</f>
        <v>14</v>
      </c>
      <c r="H54" s="122">
        <f>+'[4]II-H-3.1'!H48+'[5]II-H-3.1'!H49</f>
        <v>10</v>
      </c>
      <c r="I54" s="122">
        <f>+'[4]II-H-3.1'!I48+'[5]II-H-3.1'!I49</f>
        <v>2</v>
      </c>
      <c r="J54" s="122">
        <f>+'[4]II-H-3.1'!J48+'[5]II-H-3.1'!J49</f>
        <v>7</v>
      </c>
      <c r="K54" s="122">
        <f>+'[4]II-H-3.1'!K48+'[5]II-H-3.1'!K49</f>
        <v>-6</v>
      </c>
      <c r="L54" s="122">
        <f>+'[4]II-H-3.1'!L48+'[5]II-H-3.1'!L49</f>
        <v>-5</v>
      </c>
      <c r="M54" s="122">
        <f>+'[4]II-H-3.1'!M48+'[5]II-H-3.1'!M49</f>
        <v>-5</v>
      </c>
      <c r="N54" s="122">
        <f>+'[4]II-H-3.1'!N48+'[5]II-H-3.1'!N49</f>
        <v>-1</v>
      </c>
      <c r="O54" s="122">
        <f>+'[4]II-H-3.1'!O48+'[5]II-H-3.1'!O49</f>
        <v>0</v>
      </c>
      <c r="P54" s="144">
        <f t="shared" si="7"/>
        <v>42</v>
      </c>
      <c r="Q54" s="144">
        <f>P54/12</f>
        <v>3.5</v>
      </c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</row>
    <row r="55" spans="1:144" s="129" customFormat="1" ht="11.25" x14ac:dyDescent="0.2">
      <c r="A55" s="141">
        <v>7</v>
      </c>
      <c r="B55" s="146" t="s">
        <v>111</v>
      </c>
      <c r="C55" s="125" t="s">
        <v>17</v>
      </c>
      <c r="D55" s="123">
        <f>+'[4]II-H-3.1'!D49+'[5]II-H-3.1'!D50</f>
        <v>1</v>
      </c>
      <c r="E55" s="123">
        <f>+'[4]II-H-3.1'!E49+'[5]II-H-3.1'!E50</f>
        <v>1</v>
      </c>
      <c r="F55" s="123">
        <f>+'[4]II-H-3.1'!F49+'[5]II-H-3.1'!F50</f>
        <v>-4</v>
      </c>
      <c r="G55" s="123">
        <f>+'[4]II-H-3.1'!G49+'[5]II-H-3.1'!G50</f>
        <v>7</v>
      </c>
      <c r="H55" s="123">
        <f>+'[4]II-H-3.1'!H49+'[5]II-H-3.1'!H50</f>
        <v>-5</v>
      </c>
      <c r="I55" s="123">
        <f>+'[4]II-H-3.1'!I49+'[5]II-H-3.1'!I50</f>
        <v>-9</v>
      </c>
      <c r="J55" s="123">
        <f>+'[4]II-H-3.1'!J49+'[5]II-H-3.1'!J50</f>
        <v>-1</v>
      </c>
      <c r="K55" s="123">
        <f>+'[4]II-H-3.1'!K49+'[5]II-H-3.1'!K50</f>
        <v>3</v>
      </c>
      <c r="L55" s="123">
        <f>+'[4]II-H-3.1'!L49+'[5]II-H-3.1'!L50</f>
        <v>-1</v>
      </c>
      <c r="M55" s="123">
        <f>+'[4]II-H-3.1'!M49+'[5]II-H-3.1'!M50</f>
        <v>-2</v>
      </c>
      <c r="N55" s="123">
        <f>+'[4]II-H-3.1'!N49+'[5]II-H-3.1'!N50</f>
        <v>1</v>
      </c>
      <c r="O55" s="123">
        <f>+'[4]II-H-3.1'!O49+'[5]II-H-3.1'!O50</f>
        <v>0</v>
      </c>
      <c r="P55" s="145">
        <f t="shared" si="7"/>
        <v>-9</v>
      </c>
      <c r="Q55" s="145">
        <f>P55/12</f>
        <v>-0.75</v>
      </c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117"/>
      <c r="BS55" s="117"/>
      <c r="BT55" s="117"/>
      <c r="BU55" s="117"/>
      <c r="BV55" s="117"/>
      <c r="BW55" s="117"/>
      <c r="BX55" s="117"/>
      <c r="BY55" s="117"/>
      <c r="BZ55" s="117"/>
      <c r="CA55" s="117"/>
      <c r="CB55" s="117"/>
      <c r="CC55" s="117"/>
      <c r="CD55" s="117"/>
      <c r="CE55" s="117"/>
      <c r="CF55" s="117"/>
      <c r="CG55" s="117"/>
      <c r="CH55" s="117"/>
      <c r="CI55" s="117"/>
      <c r="CJ55" s="117"/>
      <c r="CK55" s="117"/>
      <c r="CL55" s="117"/>
      <c r="CM55" s="117"/>
      <c r="CN55" s="117"/>
      <c r="CO55" s="117"/>
      <c r="CP55" s="117"/>
      <c r="CQ55" s="117"/>
      <c r="CR55" s="117"/>
      <c r="CS55" s="117"/>
      <c r="CT55" s="117"/>
      <c r="CU55" s="117"/>
      <c r="CV55" s="117"/>
      <c r="CW55" s="117"/>
      <c r="CX55" s="117"/>
      <c r="CY55" s="117"/>
      <c r="CZ55" s="117"/>
      <c r="DA55" s="117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7"/>
      <c r="DO55" s="117"/>
      <c r="DP55" s="117"/>
      <c r="DQ55" s="117"/>
      <c r="DR55" s="117"/>
      <c r="DS55" s="117"/>
      <c r="DT55" s="117"/>
      <c r="DU55" s="117"/>
      <c r="DV55" s="117"/>
      <c r="DW55" s="117"/>
      <c r="DX55" s="117"/>
      <c r="DY55" s="117"/>
      <c r="DZ55" s="117"/>
      <c r="EA55" s="117"/>
      <c r="EB55" s="117"/>
      <c r="EC55" s="117"/>
      <c r="ED55" s="117"/>
      <c r="EE55" s="117"/>
      <c r="EF55" s="117"/>
      <c r="EG55" s="117"/>
      <c r="EH55" s="117"/>
      <c r="EI55" s="117"/>
      <c r="EJ55" s="117"/>
      <c r="EK55" s="117"/>
      <c r="EL55" s="117"/>
      <c r="EM55" s="117"/>
      <c r="EN55" s="117"/>
    </row>
    <row r="56" spans="1:144" s="62" customFormat="1" ht="11.25" x14ac:dyDescent="0.2">
      <c r="A56" s="74">
        <v>8</v>
      </c>
      <c r="B56" s="129" t="s">
        <v>31</v>
      </c>
      <c r="C56" s="125"/>
      <c r="D56" s="122">
        <f>SUM(D54:D55)</f>
        <v>9</v>
      </c>
      <c r="E56" s="122">
        <f t="shared" ref="E56:O56" si="9">SUM(E54:E55)</f>
        <v>10</v>
      </c>
      <c r="F56" s="122">
        <f t="shared" si="9"/>
        <v>5</v>
      </c>
      <c r="G56" s="122">
        <f t="shared" si="9"/>
        <v>21</v>
      </c>
      <c r="H56" s="122">
        <f t="shared" si="9"/>
        <v>5</v>
      </c>
      <c r="I56" s="122">
        <f t="shared" si="9"/>
        <v>-7</v>
      </c>
      <c r="J56" s="122">
        <f t="shared" si="9"/>
        <v>6</v>
      </c>
      <c r="K56" s="122">
        <f t="shared" si="9"/>
        <v>-3</v>
      </c>
      <c r="L56" s="122">
        <f t="shared" si="9"/>
        <v>-6</v>
      </c>
      <c r="M56" s="122">
        <f t="shared" si="9"/>
        <v>-7</v>
      </c>
      <c r="N56" s="122">
        <f t="shared" si="9"/>
        <v>0</v>
      </c>
      <c r="O56" s="122">
        <f t="shared" si="9"/>
        <v>0</v>
      </c>
      <c r="P56" s="144">
        <f t="shared" si="7"/>
        <v>33</v>
      </c>
      <c r="Q56" s="122">
        <f>SUM(Q54:Q55)</f>
        <v>2.75</v>
      </c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</row>
    <row r="57" spans="1:144" s="62" customFormat="1" ht="11.25" x14ac:dyDescent="0.2">
      <c r="A57" s="74"/>
      <c r="B57" s="129"/>
      <c r="C57" s="125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44"/>
      <c r="Q57" s="144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</row>
    <row r="58" spans="1:144" s="62" customFormat="1" ht="11.25" x14ac:dyDescent="0.2">
      <c r="A58" s="74">
        <v>9</v>
      </c>
      <c r="B58" s="162" t="s">
        <v>115</v>
      </c>
      <c r="C58" s="125" t="s">
        <v>18</v>
      </c>
      <c r="D58" s="122">
        <f>+'[4]II-H-3.1'!D52+'[5]II-H-3.1'!D53</f>
        <v>0</v>
      </c>
      <c r="E58" s="122">
        <f>+'[4]II-H-3.1'!E52+'[5]II-H-3.1'!E53</f>
        <v>6</v>
      </c>
      <c r="F58" s="122">
        <f>+'[4]II-H-3.1'!F52+'[5]II-H-3.1'!F53</f>
        <v>6</v>
      </c>
      <c r="G58" s="122">
        <f>+'[4]II-H-3.1'!G52+'[5]II-H-3.1'!G53</f>
        <v>4</v>
      </c>
      <c r="H58" s="122">
        <f>+'[4]II-H-3.1'!H52+'[5]II-H-3.1'!H53</f>
        <v>1</v>
      </c>
      <c r="I58" s="122">
        <f>+'[4]II-H-3.1'!I52+'[5]II-H-3.1'!I53</f>
        <v>1</v>
      </c>
      <c r="J58" s="122">
        <f>+'[4]II-H-3.1'!J52+'[5]II-H-3.1'!J53</f>
        <v>6</v>
      </c>
      <c r="K58" s="122">
        <f>+'[4]II-H-3.1'!K52+'[5]II-H-3.1'!K53</f>
        <v>4</v>
      </c>
      <c r="L58" s="122">
        <f>+'[4]II-H-3.1'!L52+'[5]II-H-3.1'!L53</f>
        <v>2</v>
      </c>
      <c r="M58" s="122">
        <f>+'[4]II-H-3.1'!M52+'[5]II-H-3.1'!M53</f>
        <v>18</v>
      </c>
      <c r="N58" s="122">
        <f>+'[4]II-H-3.1'!N52+'[5]II-H-3.1'!N53</f>
        <v>-23</v>
      </c>
      <c r="O58" s="122">
        <f>+'[4]II-H-3.1'!O52+'[5]II-H-3.1'!O53</f>
        <v>21</v>
      </c>
      <c r="P58" s="144">
        <f t="shared" si="7"/>
        <v>46</v>
      </c>
      <c r="Q58" s="144">
        <f>P58/12</f>
        <v>3.8333333333333335</v>
      </c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</row>
    <row r="59" spans="1:144" s="62" customFormat="1" ht="11.25" x14ac:dyDescent="0.2">
      <c r="B59" s="129"/>
      <c r="C59" s="143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44"/>
      <c r="Q59" s="144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</row>
    <row r="60" spans="1:144" s="62" customFormat="1" ht="11.25" x14ac:dyDescent="0.2">
      <c r="A60" s="74">
        <v>10</v>
      </c>
      <c r="B60" s="148" t="s">
        <v>33</v>
      </c>
      <c r="C60" s="125" t="s">
        <v>16</v>
      </c>
      <c r="D60" s="122">
        <f>+'[4]II-H-3.1'!D54+'[5]II-H-3.1'!D55</f>
        <v>-8466</v>
      </c>
      <c r="E60" s="122">
        <f>+'[4]II-H-3.1'!E54+'[5]II-H-3.1'!E55</f>
        <v>1058</v>
      </c>
      <c r="F60" s="122">
        <f>+'[4]II-H-3.1'!F54+'[5]II-H-3.1'!F55</f>
        <v>317</v>
      </c>
      <c r="G60" s="122">
        <f>+'[4]II-H-3.1'!G54+'[5]II-H-3.1'!G55</f>
        <v>202</v>
      </c>
      <c r="H60" s="122">
        <f>+'[4]II-H-3.1'!H54+'[5]II-H-3.1'!H55</f>
        <v>-176</v>
      </c>
      <c r="I60" s="122">
        <f>+'[4]II-H-3.1'!I54+'[5]II-H-3.1'!I55</f>
        <v>63</v>
      </c>
      <c r="J60" s="122">
        <f>+'[4]II-H-3.1'!J54+'[5]II-H-3.1'!J55</f>
        <v>2935</v>
      </c>
      <c r="K60" s="122">
        <f>+'[4]II-H-3.1'!K54+'[5]II-H-3.1'!K55</f>
        <v>-1042</v>
      </c>
      <c r="L60" s="122">
        <f>+'[4]II-H-3.1'!L54+'[5]II-H-3.1'!L55</f>
        <v>-91</v>
      </c>
      <c r="M60" s="122">
        <f>+'[4]II-H-3.1'!M54+'[5]II-H-3.1'!M55</f>
        <v>-200</v>
      </c>
      <c r="N60" s="122">
        <f>+'[4]II-H-3.1'!N54+'[5]II-H-3.1'!N55</f>
        <v>237</v>
      </c>
      <c r="O60" s="122">
        <f>+'[4]II-H-3.1'!O54+'[5]II-H-3.1'!O55</f>
        <v>0</v>
      </c>
      <c r="P60" s="144">
        <f t="shared" si="7"/>
        <v>-5163</v>
      </c>
      <c r="Q60" s="144">
        <f>P60/12</f>
        <v>-430.25</v>
      </c>
      <c r="R60" s="117"/>
      <c r="S60" s="117"/>
      <c r="T60" s="117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</row>
    <row r="61" spans="1:144" s="62" customFormat="1" ht="11.25" x14ac:dyDescent="0.2">
      <c r="A61" s="74"/>
      <c r="B61" s="129"/>
      <c r="C61" s="143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22"/>
      <c r="O61" s="122"/>
      <c r="P61" s="144"/>
      <c r="Q61" s="144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</row>
    <row r="62" spans="1:144" s="62" customFormat="1" ht="11.25" x14ac:dyDescent="0.2">
      <c r="A62" s="74">
        <v>11</v>
      </c>
      <c r="B62" s="183" t="s">
        <v>34</v>
      </c>
      <c r="C62" s="236"/>
      <c r="D62" s="184">
        <f t="shared" ref="D62:O62" si="10">D60+D58+D56+D52+D48+D46</f>
        <v>3464</v>
      </c>
      <c r="E62" s="184">
        <f t="shared" si="10"/>
        <v>12654</v>
      </c>
      <c r="F62" s="184">
        <f t="shared" si="10"/>
        <v>10085</v>
      </c>
      <c r="G62" s="184">
        <f t="shared" si="10"/>
        <v>8433</v>
      </c>
      <c r="H62" s="184">
        <f t="shared" si="10"/>
        <v>6676</v>
      </c>
      <c r="I62" s="184">
        <f t="shared" si="10"/>
        <v>6543</v>
      </c>
      <c r="J62" s="184">
        <f t="shared" si="10"/>
        <v>9308</v>
      </c>
      <c r="K62" s="184">
        <f t="shared" si="10"/>
        <v>-350</v>
      </c>
      <c r="L62" s="184">
        <f t="shared" si="10"/>
        <v>1200</v>
      </c>
      <c r="M62" s="184">
        <f t="shared" si="10"/>
        <v>696</v>
      </c>
      <c r="N62" s="184">
        <f>N60+N58+N56+N52+N48+N145+N46</f>
        <v>634.00040973680234</v>
      </c>
      <c r="O62" s="184">
        <f t="shared" si="10"/>
        <v>21</v>
      </c>
      <c r="P62" s="248">
        <f t="shared" si="7"/>
        <v>59364.0004097368</v>
      </c>
      <c r="Q62" s="248">
        <f>P62/12</f>
        <v>4947.000034144733</v>
      </c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</row>
    <row r="63" spans="1:144" s="62" customFormat="1" ht="11.25" x14ac:dyDescent="0.2">
      <c r="B63" s="236"/>
      <c r="C63" s="236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56"/>
      <c r="O63" s="156"/>
      <c r="P63" s="144"/>
      <c r="Q63" s="144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</row>
    <row r="64" spans="1:144" s="62" customFormat="1" ht="11.25" x14ac:dyDescent="0.2">
      <c r="A64" s="74">
        <v>12</v>
      </c>
      <c r="B64" s="148" t="s">
        <v>91</v>
      </c>
      <c r="C64" s="125" t="s">
        <v>17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44"/>
      <c r="Q64" s="144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</row>
    <row r="65" spans="1:144" s="62" customFormat="1" ht="11.25" x14ac:dyDescent="0.2">
      <c r="A65" s="74">
        <v>13</v>
      </c>
      <c r="B65" s="148" t="s">
        <v>92</v>
      </c>
      <c r="C65" s="125" t="s">
        <v>18</v>
      </c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45"/>
      <c r="Q65" s="14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</row>
    <row r="66" spans="1:144" s="62" customFormat="1" ht="11.25" x14ac:dyDescent="0.2">
      <c r="A66" s="74">
        <v>14</v>
      </c>
      <c r="B66" s="183" t="s">
        <v>35</v>
      </c>
      <c r="C66" s="238"/>
      <c r="D66" s="169">
        <f t="shared" ref="D66:O66" si="11">SUM(D64:D65)</f>
        <v>0</v>
      </c>
      <c r="E66" s="169">
        <f t="shared" si="11"/>
        <v>0</v>
      </c>
      <c r="F66" s="169">
        <f t="shared" si="11"/>
        <v>0</v>
      </c>
      <c r="G66" s="169">
        <f t="shared" si="11"/>
        <v>0</v>
      </c>
      <c r="H66" s="169">
        <f t="shared" si="11"/>
        <v>0</v>
      </c>
      <c r="I66" s="169">
        <f t="shared" si="11"/>
        <v>0</v>
      </c>
      <c r="J66" s="169">
        <f t="shared" si="11"/>
        <v>0</v>
      </c>
      <c r="K66" s="169">
        <f t="shared" si="11"/>
        <v>0</v>
      </c>
      <c r="L66" s="169">
        <f t="shared" si="11"/>
        <v>0</v>
      </c>
      <c r="M66" s="169">
        <f t="shared" si="11"/>
        <v>0</v>
      </c>
      <c r="N66" s="156">
        <f t="shared" si="11"/>
        <v>0</v>
      </c>
      <c r="O66" s="156">
        <f t="shared" si="11"/>
        <v>0</v>
      </c>
      <c r="P66" s="144">
        <f t="shared" si="7"/>
        <v>0</v>
      </c>
      <c r="Q66" s="144">
        <f>P66/12</f>
        <v>0</v>
      </c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</row>
    <row r="67" spans="1:144" s="62" customFormat="1" ht="11.25" x14ac:dyDescent="0.2">
      <c r="A67" s="74"/>
      <c r="B67" s="129"/>
      <c r="C67" s="185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22"/>
      <c r="O67" s="122"/>
      <c r="P67" s="144"/>
      <c r="Q67" s="144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</row>
    <row r="68" spans="1:144" s="62" customFormat="1" ht="12" thickBot="1" x14ac:dyDescent="0.25">
      <c r="A68" s="74">
        <v>15</v>
      </c>
      <c r="B68" s="243" t="str">
        <f>B36</f>
        <v>TOTAL AEP TEXAS</v>
      </c>
      <c r="C68" s="238"/>
      <c r="D68" s="244">
        <f t="shared" ref="D68:O68" si="12">+D66+D62</f>
        <v>3464</v>
      </c>
      <c r="E68" s="244">
        <f t="shared" si="12"/>
        <v>12654</v>
      </c>
      <c r="F68" s="244">
        <f t="shared" si="12"/>
        <v>10085</v>
      </c>
      <c r="G68" s="244">
        <f t="shared" si="12"/>
        <v>8433</v>
      </c>
      <c r="H68" s="244">
        <f t="shared" si="12"/>
        <v>6676</v>
      </c>
      <c r="I68" s="244">
        <f t="shared" si="12"/>
        <v>6543</v>
      </c>
      <c r="J68" s="244">
        <f t="shared" si="12"/>
        <v>9308</v>
      </c>
      <c r="K68" s="244">
        <f t="shared" si="12"/>
        <v>-350</v>
      </c>
      <c r="L68" s="244">
        <f t="shared" si="12"/>
        <v>1200</v>
      </c>
      <c r="M68" s="244">
        <f t="shared" si="12"/>
        <v>696</v>
      </c>
      <c r="N68" s="244">
        <f t="shared" si="12"/>
        <v>634.00040973680234</v>
      </c>
      <c r="O68" s="244">
        <f t="shared" si="12"/>
        <v>21</v>
      </c>
      <c r="P68" s="272">
        <f t="shared" si="7"/>
        <v>59364.0004097368</v>
      </c>
      <c r="Q68" s="272">
        <f>P68/12</f>
        <v>4947.000034144733</v>
      </c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</row>
    <row r="69" spans="1:144" ht="13.5" thickTop="1" x14ac:dyDescent="0.2">
      <c r="A69" s="190"/>
      <c r="B69" s="146"/>
      <c r="C69" s="168"/>
      <c r="D69" s="288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9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</row>
    <row r="70" spans="1:144" x14ac:dyDescent="0.2">
      <c r="A70" s="36"/>
      <c r="B70" s="273" t="str">
        <f>+B37</f>
        <v>Note: Secondary &lt; 10 kW includes Unmetered service; Lighting customers are fixture counts.</v>
      </c>
      <c r="C70" s="174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195"/>
      <c r="Q70" s="276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</row>
    <row r="71" spans="1:144" x14ac:dyDescent="0.2">
      <c r="B71" s="146"/>
      <c r="C71" s="174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195"/>
      <c r="Q71" s="276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</row>
    <row r="72" spans="1:144" x14ac:dyDescent="0.2">
      <c r="B72" s="277" t="str">
        <f>+B39</f>
        <v>AEP TEXAS</v>
      </c>
      <c r="C72" s="277"/>
      <c r="D72" s="278"/>
      <c r="E72" s="279"/>
      <c r="F72" s="279"/>
      <c r="G72" s="278"/>
      <c r="H72" s="278"/>
      <c r="I72" s="278"/>
      <c r="J72" s="278"/>
      <c r="K72" s="278"/>
      <c r="L72" s="278"/>
      <c r="M72" s="278"/>
      <c r="N72" s="278"/>
      <c r="O72" s="278"/>
      <c r="P72" s="280"/>
      <c r="Q72" s="281"/>
    </row>
    <row r="73" spans="1:144" x14ac:dyDescent="0.2">
      <c r="B73" s="282" t="s">
        <v>61</v>
      </c>
      <c r="C73" s="283"/>
      <c r="D73" s="284"/>
      <c r="E73" s="285"/>
      <c r="F73" s="285"/>
      <c r="G73" s="284"/>
      <c r="H73" s="284"/>
      <c r="I73" s="284"/>
      <c r="J73" s="284"/>
      <c r="K73" s="284"/>
      <c r="L73" s="284"/>
      <c r="M73" s="284"/>
      <c r="N73" s="284"/>
      <c r="O73" s="284"/>
      <c r="P73" s="284" t="s">
        <v>1</v>
      </c>
      <c r="Q73" s="281"/>
    </row>
    <row r="74" spans="1:144" x14ac:dyDescent="0.2">
      <c r="B74" s="388" t="str">
        <f>+B41</f>
        <v>FOR TEST YEAR ENDED DECEMBER 31, 2018</v>
      </c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129"/>
      <c r="Q74" s="281"/>
    </row>
    <row r="75" spans="1:144" x14ac:dyDescent="0.2">
      <c r="B75" s="121"/>
      <c r="C75" s="283"/>
      <c r="D75" s="284"/>
      <c r="E75" s="285"/>
      <c r="F75" s="285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1"/>
    </row>
    <row r="76" spans="1:144" x14ac:dyDescent="0.2">
      <c r="B76" s="243"/>
      <c r="C76" s="286"/>
      <c r="D76" s="287">
        <f>D43</f>
        <v>0</v>
      </c>
      <c r="E76" s="177"/>
      <c r="F76" s="177"/>
      <c r="G76" s="287">
        <f>G43</f>
        <v>0</v>
      </c>
      <c r="H76" s="177"/>
      <c r="I76" s="177"/>
      <c r="J76" s="157"/>
      <c r="K76" s="177"/>
      <c r="L76" s="177"/>
      <c r="M76" s="177"/>
      <c r="N76" s="177"/>
      <c r="O76" s="177"/>
      <c r="P76" s="178"/>
      <c r="Q76" s="281"/>
    </row>
    <row r="77" spans="1:144" x14ac:dyDescent="0.2">
      <c r="A77" s="83" t="s">
        <v>20</v>
      </c>
      <c r="B77" s="163" t="s">
        <v>0</v>
      </c>
      <c r="C77" s="163" t="s">
        <v>19</v>
      </c>
      <c r="D77" s="164" t="str">
        <f t="shared" ref="D77:O77" si="13">+D44</f>
        <v>JANUARY</v>
      </c>
      <c r="E77" s="164" t="str">
        <f t="shared" si="13"/>
        <v>FEBRUARY</v>
      </c>
      <c r="F77" s="164" t="str">
        <f t="shared" si="13"/>
        <v>MARCH</v>
      </c>
      <c r="G77" s="164" t="str">
        <f t="shared" si="13"/>
        <v>APRIL</v>
      </c>
      <c r="H77" s="164" t="str">
        <f t="shared" si="13"/>
        <v>MAY</v>
      </c>
      <c r="I77" s="164" t="str">
        <f t="shared" si="13"/>
        <v>JUNE</v>
      </c>
      <c r="J77" s="164" t="str">
        <f t="shared" si="13"/>
        <v>JULY</v>
      </c>
      <c r="K77" s="164" t="str">
        <f t="shared" si="13"/>
        <v>AUGUST</v>
      </c>
      <c r="L77" s="164" t="str">
        <f t="shared" si="13"/>
        <v>SEPTEMBER</v>
      </c>
      <c r="M77" s="164" t="str">
        <f t="shared" si="13"/>
        <v>OCTOBER</v>
      </c>
      <c r="N77" s="164" t="str">
        <f t="shared" si="13"/>
        <v>NOVEMBER</v>
      </c>
      <c r="O77" s="164" t="str">
        <f t="shared" si="13"/>
        <v>DECEMBER</v>
      </c>
      <c r="P77" s="179" t="s">
        <v>14</v>
      </c>
      <c r="Q77" s="166" t="s">
        <v>28</v>
      </c>
    </row>
    <row r="78" spans="1:144" x14ac:dyDescent="0.2">
      <c r="B78" s="163"/>
      <c r="C78" s="163"/>
      <c r="D78" s="164"/>
      <c r="E78" s="165"/>
      <c r="F78" s="165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6"/>
    </row>
    <row r="79" spans="1:144" s="62" customFormat="1" ht="11.25" x14ac:dyDescent="0.2">
      <c r="A79" s="74" t="s">
        <v>21</v>
      </c>
      <c r="B79" s="129" t="s">
        <v>29</v>
      </c>
      <c r="C79" s="143" t="s">
        <v>16</v>
      </c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144">
        <f>SUM(D79:O79)</f>
        <v>0</v>
      </c>
      <c r="Q79" s="144">
        <f>P79/12</f>
        <v>0</v>
      </c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</row>
    <row r="80" spans="1:144" s="62" customFormat="1" ht="11.25" x14ac:dyDescent="0.2">
      <c r="B80" s="129"/>
      <c r="C80" s="143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44"/>
      <c r="Q80" s="144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</row>
    <row r="81" spans="1:144" s="62" customFormat="1" ht="11.25" x14ac:dyDescent="0.2">
      <c r="A81" s="74">
        <v>2</v>
      </c>
      <c r="B81" s="129" t="s">
        <v>32</v>
      </c>
      <c r="C81" s="143" t="s">
        <v>16</v>
      </c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44">
        <f>SUM(D81:O81)</f>
        <v>0</v>
      </c>
      <c r="Q81" s="144">
        <f t="shared" ref="Q81:Q101" si="14">P81/12</f>
        <v>0</v>
      </c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</row>
    <row r="82" spans="1:144" s="62" customFormat="1" ht="11.25" x14ac:dyDescent="0.2">
      <c r="A82" s="74"/>
      <c r="B82" s="129"/>
      <c r="C82" s="143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44"/>
      <c r="Q82" s="144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</row>
    <row r="83" spans="1:144" s="62" customFormat="1" ht="11.25" x14ac:dyDescent="0.2">
      <c r="A83" s="74">
        <v>3</v>
      </c>
      <c r="B83" s="146" t="s">
        <v>113</v>
      </c>
      <c r="C83" s="125" t="s">
        <v>16</v>
      </c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44">
        <f>SUM(D83:O83)</f>
        <v>0</v>
      </c>
      <c r="Q83" s="144">
        <f t="shared" si="14"/>
        <v>0</v>
      </c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</row>
    <row r="84" spans="1:144" s="62" customFormat="1" ht="11.25" x14ac:dyDescent="0.2">
      <c r="A84" s="74">
        <v>4</v>
      </c>
      <c r="B84" s="146" t="s">
        <v>114</v>
      </c>
      <c r="C84" s="125" t="s">
        <v>16</v>
      </c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45">
        <f>SUM(D84:O84)</f>
        <v>0</v>
      </c>
      <c r="Q84" s="145">
        <f t="shared" si="14"/>
        <v>0</v>
      </c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</row>
    <row r="85" spans="1:144" s="62" customFormat="1" ht="11.25" x14ac:dyDescent="0.2">
      <c r="A85" s="74">
        <v>5</v>
      </c>
      <c r="B85" s="162" t="s">
        <v>30</v>
      </c>
      <c r="C85" s="143"/>
      <c r="D85" s="144">
        <f>SUM(D83:D84)</f>
        <v>0</v>
      </c>
      <c r="E85" s="144">
        <f t="shared" ref="E85:O85" si="15">SUM(E83:E84)</f>
        <v>0</v>
      </c>
      <c r="F85" s="144">
        <f t="shared" si="15"/>
        <v>0</v>
      </c>
      <c r="G85" s="144">
        <f t="shared" si="15"/>
        <v>0</v>
      </c>
      <c r="H85" s="144">
        <f t="shared" si="15"/>
        <v>0</v>
      </c>
      <c r="I85" s="144">
        <f t="shared" si="15"/>
        <v>0</v>
      </c>
      <c r="J85" s="144">
        <f t="shared" si="15"/>
        <v>0</v>
      </c>
      <c r="K85" s="144">
        <f t="shared" si="15"/>
        <v>0</v>
      </c>
      <c r="L85" s="144">
        <f t="shared" si="15"/>
        <v>0</v>
      </c>
      <c r="M85" s="144">
        <f t="shared" si="15"/>
        <v>0</v>
      </c>
      <c r="N85" s="144">
        <f t="shared" si="15"/>
        <v>0</v>
      </c>
      <c r="O85" s="144">
        <f t="shared" si="15"/>
        <v>0</v>
      </c>
      <c r="P85" s="144">
        <f>SUM(D85:O85)</f>
        <v>0</v>
      </c>
      <c r="Q85" s="144">
        <f>SUM(Q83:Q84)</f>
        <v>0</v>
      </c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</row>
    <row r="86" spans="1:144" s="62" customFormat="1" ht="11.25" x14ac:dyDescent="0.2">
      <c r="B86" s="242"/>
      <c r="C86" s="143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44"/>
      <c r="Q86" s="144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</row>
    <row r="87" spans="1:144" s="62" customFormat="1" ht="11.25" x14ac:dyDescent="0.2">
      <c r="A87" s="74">
        <v>6</v>
      </c>
      <c r="B87" s="146" t="s">
        <v>110</v>
      </c>
      <c r="C87" s="125" t="s">
        <v>17</v>
      </c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44">
        <f>SUM(D87:O87)</f>
        <v>0</v>
      </c>
      <c r="Q87" s="144">
        <f t="shared" si="14"/>
        <v>0</v>
      </c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</row>
    <row r="88" spans="1:144" s="62" customFormat="1" ht="11.25" x14ac:dyDescent="0.2">
      <c r="A88" s="74">
        <v>7</v>
      </c>
      <c r="B88" s="146" t="s">
        <v>111</v>
      </c>
      <c r="C88" s="125" t="s">
        <v>17</v>
      </c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45">
        <f>SUM(D88:O88)</f>
        <v>0</v>
      </c>
      <c r="Q88" s="145">
        <f t="shared" si="14"/>
        <v>0</v>
      </c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</row>
    <row r="89" spans="1:144" s="62" customFormat="1" ht="11.25" x14ac:dyDescent="0.2">
      <c r="A89" s="74">
        <v>8</v>
      </c>
      <c r="B89" s="129" t="s">
        <v>31</v>
      </c>
      <c r="C89" s="125"/>
      <c r="D89" s="122">
        <f t="shared" ref="D89:N89" si="16">SUM(D87:D88)</f>
        <v>0</v>
      </c>
      <c r="E89" s="122">
        <f t="shared" si="16"/>
        <v>0</v>
      </c>
      <c r="F89" s="122">
        <f t="shared" si="16"/>
        <v>0</v>
      </c>
      <c r="G89" s="122">
        <f t="shared" si="16"/>
        <v>0</v>
      </c>
      <c r="H89" s="122">
        <f t="shared" si="16"/>
        <v>0</v>
      </c>
      <c r="I89" s="122">
        <f t="shared" si="16"/>
        <v>0</v>
      </c>
      <c r="J89" s="122">
        <f t="shared" si="16"/>
        <v>0</v>
      </c>
      <c r="K89" s="122">
        <f t="shared" si="16"/>
        <v>0</v>
      </c>
      <c r="L89" s="122">
        <f t="shared" si="16"/>
        <v>0</v>
      </c>
      <c r="M89" s="122">
        <f t="shared" si="16"/>
        <v>0</v>
      </c>
      <c r="N89" s="122">
        <f t="shared" si="16"/>
        <v>0</v>
      </c>
      <c r="O89" s="122"/>
      <c r="P89" s="144">
        <f>SUM(D89:O89)</f>
        <v>0</v>
      </c>
      <c r="Q89" s="122">
        <f>SUM(Q87:Q88)</f>
        <v>0</v>
      </c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</row>
    <row r="90" spans="1:144" s="62" customFormat="1" ht="11.25" x14ac:dyDescent="0.2">
      <c r="A90" s="74"/>
      <c r="B90" s="129"/>
      <c r="C90" s="125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56"/>
      <c r="P90" s="144"/>
      <c r="Q90" s="144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</row>
    <row r="91" spans="1:144" s="62" customFormat="1" ht="11.25" x14ac:dyDescent="0.2">
      <c r="A91" s="74">
        <v>9</v>
      </c>
      <c r="B91" s="162" t="s">
        <v>115</v>
      </c>
      <c r="C91" s="125" t="s">
        <v>18</v>
      </c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56"/>
      <c r="P91" s="144">
        <f>SUM(D91:O91)</f>
        <v>0</v>
      </c>
      <c r="Q91" s="144">
        <f t="shared" si="14"/>
        <v>0</v>
      </c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</row>
    <row r="92" spans="1:144" s="62" customFormat="1" ht="11.25" x14ac:dyDescent="0.2">
      <c r="B92" s="129"/>
      <c r="C92" s="143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22"/>
      <c r="O92" s="122"/>
      <c r="P92" s="144"/>
      <c r="Q92" s="144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</row>
    <row r="93" spans="1:144" s="62" customFormat="1" ht="11.25" x14ac:dyDescent="0.2">
      <c r="A93" s="74">
        <v>10</v>
      </c>
      <c r="B93" s="148" t="s">
        <v>33</v>
      </c>
      <c r="C93" s="125" t="s">
        <v>16</v>
      </c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56"/>
      <c r="P93" s="144"/>
      <c r="Q93" s="144">
        <f t="shared" si="14"/>
        <v>0</v>
      </c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</row>
    <row r="94" spans="1:144" s="62" customFormat="1" ht="11.25" x14ac:dyDescent="0.2">
      <c r="A94" s="74"/>
      <c r="B94" s="129"/>
      <c r="C94" s="143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22"/>
      <c r="O94" s="122"/>
      <c r="P94" s="144"/>
      <c r="Q94" s="144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</row>
    <row r="95" spans="1:144" s="62" customFormat="1" ht="11.25" x14ac:dyDescent="0.2">
      <c r="A95" s="74">
        <v>11</v>
      </c>
      <c r="B95" s="183" t="s">
        <v>34</v>
      </c>
      <c r="C95" s="236"/>
      <c r="D95" s="184">
        <f t="shared" ref="D95:N95" si="17">D93+D91+D89+D85+D81+D79</f>
        <v>0</v>
      </c>
      <c r="E95" s="184">
        <f t="shared" si="17"/>
        <v>0</v>
      </c>
      <c r="F95" s="184">
        <f t="shared" si="17"/>
        <v>0</v>
      </c>
      <c r="G95" s="184">
        <f t="shared" si="17"/>
        <v>0</v>
      </c>
      <c r="H95" s="184">
        <f t="shared" si="17"/>
        <v>0</v>
      </c>
      <c r="I95" s="184">
        <f t="shared" si="17"/>
        <v>0</v>
      </c>
      <c r="J95" s="184">
        <f t="shared" si="17"/>
        <v>0</v>
      </c>
      <c r="K95" s="184">
        <f t="shared" si="17"/>
        <v>0</v>
      </c>
      <c r="L95" s="184">
        <f t="shared" si="17"/>
        <v>0</v>
      </c>
      <c r="M95" s="184">
        <f t="shared" si="17"/>
        <v>0</v>
      </c>
      <c r="N95" s="184">
        <f t="shared" si="17"/>
        <v>0</v>
      </c>
      <c r="O95" s="184">
        <f>O93+O91+O89+O85+O81+O79</f>
        <v>0</v>
      </c>
      <c r="P95" s="248">
        <f>SUM(D95:O95)</f>
        <v>0</v>
      </c>
      <c r="Q95" s="248">
        <f t="shared" si="14"/>
        <v>0</v>
      </c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</row>
    <row r="96" spans="1:144" s="62" customFormat="1" ht="11.25" x14ac:dyDescent="0.2">
      <c r="B96" s="236"/>
      <c r="C96" s="236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56"/>
      <c r="O96" s="156"/>
      <c r="P96" s="144"/>
      <c r="Q96" s="144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</row>
    <row r="97" spans="1:144" s="62" customFormat="1" ht="11.25" x14ac:dyDescent="0.2">
      <c r="A97" s="74">
        <v>12</v>
      </c>
      <c r="B97" s="148" t="s">
        <v>91</v>
      </c>
      <c r="C97" s="125" t="s">
        <v>17</v>
      </c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44">
        <f>SUM(D97:O97)</f>
        <v>0</v>
      </c>
      <c r="Q97" s="144">
        <f t="shared" si="14"/>
        <v>0</v>
      </c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</row>
    <row r="98" spans="1:144" s="62" customFormat="1" ht="11.25" x14ac:dyDescent="0.2">
      <c r="A98" s="74">
        <v>13</v>
      </c>
      <c r="B98" s="148" t="s">
        <v>92</v>
      </c>
      <c r="C98" s="125" t="s">
        <v>18</v>
      </c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45">
        <f>SUM(D98:O98)</f>
        <v>0</v>
      </c>
      <c r="Q98" s="145">
        <f t="shared" si="14"/>
        <v>0</v>
      </c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</row>
    <row r="99" spans="1:144" s="62" customFormat="1" ht="11.25" x14ac:dyDescent="0.2">
      <c r="A99" s="74">
        <v>14</v>
      </c>
      <c r="B99" s="183" t="s">
        <v>35</v>
      </c>
      <c r="C99" s="238"/>
      <c r="D99" s="169">
        <f t="shared" ref="D99:O99" si="18">SUM(D97:D98)</f>
        <v>0</v>
      </c>
      <c r="E99" s="169">
        <f t="shared" si="18"/>
        <v>0</v>
      </c>
      <c r="F99" s="169">
        <f t="shared" si="18"/>
        <v>0</v>
      </c>
      <c r="G99" s="169">
        <f t="shared" si="18"/>
        <v>0</v>
      </c>
      <c r="H99" s="169">
        <f t="shared" si="18"/>
        <v>0</v>
      </c>
      <c r="I99" s="169">
        <f t="shared" si="18"/>
        <v>0</v>
      </c>
      <c r="J99" s="169">
        <f t="shared" si="18"/>
        <v>0</v>
      </c>
      <c r="K99" s="169">
        <f t="shared" si="18"/>
        <v>0</v>
      </c>
      <c r="L99" s="169">
        <f t="shared" si="18"/>
        <v>0</v>
      </c>
      <c r="M99" s="169">
        <f t="shared" si="18"/>
        <v>0</v>
      </c>
      <c r="N99" s="156">
        <f t="shared" si="18"/>
        <v>0</v>
      </c>
      <c r="O99" s="156">
        <f t="shared" si="18"/>
        <v>0</v>
      </c>
      <c r="P99" s="144">
        <f>SUM(D99:O99)</f>
        <v>0</v>
      </c>
      <c r="Q99" s="144">
        <f t="shared" si="14"/>
        <v>0</v>
      </c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</row>
    <row r="100" spans="1:144" s="62" customFormat="1" ht="11.25" x14ac:dyDescent="0.2">
      <c r="A100" s="74"/>
      <c r="B100" s="129"/>
      <c r="C100" s="185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22"/>
      <c r="O100" s="122"/>
      <c r="P100" s="144"/>
      <c r="Q100" s="144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</row>
    <row r="101" spans="1:144" s="62" customFormat="1" ht="12" thickBot="1" x14ac:dyDescent="0.25">
      <c r="A101" s="74">
        <v>15</v>
      </c>
      <c r="B101" s="243" t="str">
        <f>B36</f>
        <v>TOTAL AEP TEXAS</v>
      </c>
      <c r="C101" s="238"/>
      <c r="D101" s="244">
        <f>D99+D95</f>
        <v>0</v>
      </c>
      <c r="E101" s="244">
        <f t="shared" ref="E101:O101" si="19">+E99+E95</f>
        <v>0</v>
      </c>
      <c r="F101" s="244">
        <f t="shared" si="19"/>
        <v>0</v>
      </c>
      <c r="G101" s="244">
        <f t="shared" si="19"/>
        <v>0</v>
      </c>
      <c r="H101" s="244">
        <f t="shared" si="19"/>
        <v>0</v>
      </c>
      <c r="I101" s="244">
        <f t="shared" si="19"/>
        <v>0</v>
      </c>
      <c r="J101" s="244">
        <f t="shared" si="19"/>
        <v>0</v>
      </c>
      <c r="K101" s="244">
        <f t="shared" si="19"/>
        <v>0</v>
      </c>
      <c r="L101" s="244">
        <f t="shared" si="19"/>
        <v>0</v>
      </c>
      <c r="M101" s="244">
        <f t="shared" si="19"/>
        <v>0</v>
      </c>
      <c r="N101" s="244">
        <f t="shared" si="19"/>
        <v>0</v>
      </c>
      <c r="O101" s="244">
        <f t="shared" si="19"/>
        <v>0</v>
      </c>
      <c r="P101" s="272">
        <f>SUM(D101:O101)</f>
        <v>0</v>
      </c>
      <c r="Q101" s="272">
        <f t="shared" si="14"/>
        <v>0</v>
      </c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  <c r="EF101" s="65"/>
      <c r="EG101" s="65"/>
      <c r="EH101" s="65"/>
      <c r="EI101" s="65"/>
      <c r="EJ101" s="65"/>
      <c r="EK101" s="65"/>
      <c r="EL101" s="65"/>
      <c r="EM101" s="65"/>
      <c r="EN101" s="65"/>
    </row>
    <row r="102" spans="1:144" ht="13.5" thickTop="1" x14ac:dyDescent="0.2">
      <c r="A102" s="190"/>
      <c r="B102" s="146"/>
      <c r="C102" s="168"/>
      <c r="D102" s="291"/>
      <c r="E102" s="291"/>
      <c r="F102" s="291"/>
      <c r="G102" s="291"/>
      <c r="H102" s="291"/>
      <c r="I102" s="291"/>
      <c r="J102" s="291"/>
      <c r="K102" s="291"/>
      <c r="L102" s="291"/>
      <c r="M102" s="291"/>
      <c r="N102" s="291"/>
      <c r="O102" s="291"/>
      <c r="P102" s="288"/>
      <c r="Q102" s="289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</row>
    <row r="103" spans="1:144" x14ac:dyDescent="0.2">
      <c r="A103" s="36"/>
      <c r="B103" s="273" t="str">
        <f>+B37</f>
        <v>Note: Secondary &lt; 10 kW includes Unmetered service; Lighting customers are fixture counts.</v>
      </c>
      <c r="C103" s="174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195"/>
      <c r="Q103" s="276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</row>
    <row r="104" spans="1:144" x14ac:dyDescent="0.2">
      <c r="A104" s="92"/>
      <c r="B104" s="274"/>
      <c r="C104" s="267"/>
      <c r="D104" s="292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3"/>
      <c r="P104" s="280"/>
      <c r="Q104" s="281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</row>
    <row r="105" spans="1:144" x14ac:dyDescent="0.2">
      <c r="B105" s="392" t="str">
        <f>+B39</f>
        <v>AEP TEXAS</v>
      </c>
      <c r="C105" s="392"/>
      <c r="D105" s="392"/>
      <c r="E105" s="392"/>
      <c r="F105" s="392"/>
      <c r="G105" s="392"/>
      <c r="H105" s="392"/>
      <c r="I105" s="392"/>
      <c r="J105" s="392"/>
      <c r="K105" s="392"/>
      <c r="L105" s="392"/>
      <c r="M105" s="392"/>
      <c r="N105" s="392"/>
      <c r="O105" s="392"/>
      <c r="P105" s="392"/>
      <c r="Q105" s="294"/>
    </row>
    <row r="106" spans="1:144" s="105" customFormat="1" x14ac:dyDescent="0.2">
      <c r="B106" s="392" t="s">
        <v>55</v>
      </c>
      <c r="C106" s="392"/>
      <c r="D106" s="392"/>
      <c r="E106" s="392"/>
      <c r="F106" s="392"/>
      <c r="G106" s="392"/>
      <c r="H106" s="392"/>
      <c r="I106" s="392"/>
      <c r="J106" s="392"/>
      <c r="K106" s="392"/>
      <c r="L106" s="392"/>
      <c r="M106" s="392"/>
      <c r="N106" s="392"/>
      <c r="O106" s="392"/>
      <c r="P106" s="392"/>
      <c r="Q106" s="295"/>
    </row>
    <row r="107" spans="1:144" s="105" customFormat="1" x14ac:dyDescent="0.2">
      <c r="B107" s="392" t="str">
        <f>+B9</f>
        <v>FOR TEST YEAR ENDED DECEMBER 31, 2018</v>
      </c>
      <c r="C107" s="392"/>
      <c r="D107" s="392"/>
      <c r="E107" s="392"/>
      <c r="F107" s="392"/>
      <c r="G107" s="392"/>
      <c r="H107" s="392"/>
      <c r="I107" s="392"/>
      <c r="J107" s="392"/>
      <c r="K107" s="392"/>
      <c r="L107" s="392"/>
      <c r="M107" s="392"/>
      <c r="N107" s="392"/>
      <c r="O107" s="392"/>
      <c r="P107" s="392"/>
      <c r="Q107" s="295"/>
    </row>
    <row r="108" spans="1:144" x14ac:dyDescent="0.2">
      <c r="B108" s="175" t="s">
        <v>134</v>
      </c>
      <c r="C108" s="286"/>
      <c r="D108" s="287">
        <f>+D11</f>
        <v>0</v>
      </c>
      <c r="E108" s="296"/>
      <c r="F108" s="296"/>
      <c r="G108" s="297">
        <f>G11</f>
        <v>0</v>
      </c>
      <c r="H108" s="296"/>
      <c r="I108" s="296"/>
      <c r="J108" s="157"/>
      <c r="K108" s="296"/>
      <c r="L108" s="296"/>
      <c r="M108" s="296"/>
      <c r="N108" s="296"/>
      <c r="O108" s="296"/>
      <c r="P108" s="157"/>
      <c r="Q108" s="281"/>
    </row>
    <row r="109" spans="1:144" x14ac:dyDescent="0.2">
      <c r="A109" s="83" t="s">
        <v>44</v>
      </c>
      <c r="B109" s="163" t="s">
        <v>0</v>
      </c>
      <c r="C109" s="298" t="s">
        <v>19</v>
      </c>
      <c r="D109" s="164" t="str">
        <f>+D12</f>
        <v>JANUARY</v>
      </c>
      <c r="E109" s="164" t="str">
        <f t="shared" ref="E109:P109" si="20">+E12</f>
        <v>FEBRUARY</v>
      </c>
      <c r="F109" s="164" t="str">
        <f t="shared" si="20"/>
        <v>MARCH</v>
      </c>
      <c r="G109" s="164" t="str">
        <f t="shared" si="20"/>
        <v>APRIL</v>
      </c>
      <c r="H109" s="164" t="str">
        <f t="shared" si="20"/>
        <v>MAY</v>
      </c>
      <c r="I109" s="164" t="str">
        <f t="shared" si="20"/>
        <v>JUNE</v>
      </c>
      <c r="J109" s="164" t="str">
        <f t="shared" si="20"/>
        <v>JULY</v>
      </c>
      <c r="K109" s="164" t="str">
        <f t="shared" si="20"/>
        <v>AUGUST</v>
      </c>
      <c r="L109" s="164" t="str">
        <f t="shared" si="20"/>
        <v>SEPTEMBER</v>
      </c>
      <c r="M109" s="164" t="str">
        <f t="shared" si="20"/>
        <v>OCTOBER</v>
      </c>
      <c r="N109" s="164" t="str">
        <f t="shared" si="20"/>
        <v>NOVEMBER</v>
      </c>
      <c r="O109" s="164" t="str">
        <f t="shared" si="20"/>
        <v>DECEMBER</v>
      </c>
      <c r="P109" s="164" t="str">
        <f t="shared" si="20"/>
        <v>TOTAL</v>
      </c>
      <c r="Q109" s="299" t="s">
        <v>28</v>
      </c>
    </row>
    <row r="110" spans="1:144" x14ac:dyDescent="0.2">
      <c r="B110" s="163"/>
      <c r="C110" s="163"/>
      <c r="D110" s="164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157"/>
      <c r="Q110" s="281"/>
    </row>
    <row r="111" spans="1:144" s="62" customFormat="1" ht="11.25" x14ac:dyDescent="0.2">
      <c r="A111" s="74" t="s">
        <v>21</v>
      </c>
      <c r="B111" s="129" t="s">
        <v>29</v>
      </c>
      <c r="C111" s="143" t="s">
        <v>16</v>
      </c>
      <c r="D111" s="122">
        <f t="shared" ref="D111:O111" si="21">D46+D14+D79</f>
        <v>876553</v>
      </c>
      <c r="E111" s="122">
        <f t="shared" si="21"/>
        <v>876553</v>
      </c>
      <c r="F111" s="122">
        <f t="shared" si="21"/>
        <v>876553</v>
      </c>
      <c r="G111" s="122">
        <f t="shared" si="21"/>
        <v>876553</v>
      </c>
      <c r="H111" s="122">
        <f t="shared" si="21"/>
        <v>876553</v>
      </c>
      <c r="I111" s="122">
        <f t="shared" si="21"/>
        <v>876553</v>
      </c>
      <c r="J111" s="122">
        <f t="shared" si="21"/>
        <v>876553</v>
      </c>
      <c r="K111" s="122">
        <f t="shared" si="21"/>
        <v>876553</v>
      </c>
      <c r="L111" s="122">
        <f t="shared" si="21"/>
        <v>876553</v>
      </c>
      <c r="M111" s="122">
        <f t="shared" si="21"/>
        <v>876553</v>
      </c>
      <c r="N111" s="122">
        <f t="shared" si="21"/>
        <v>876553</v>
      </c>
      <c r="O111" s="122">
        <f t="shared" si="21"/>
        <v>876553</v>
      </c>
      <c r="P111" s="144">
        <f>SUM(D111:O111)</f>
        <v>10518636</v>
      </c>
      <c r="Q111" s="144">
        <f>P111/12</f>
        <v>876553</v>
      </c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</row>
    <row r="112" spans="1:144" s="62" customFormat="1" ht="11.25" x14ac:dyDescent="0.2">
      <c r="B112" s="129"/>
      <c r="C112" s="143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44"/>
      <c r="Q112" s="144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</row>
    <row r="113" spans="1:144" s="62" customFormat="1" ht="11.25" x14ac:dyDescent="0.2">
      <c r="A113" s="74">
        <v>2</v>
      </c>
      <c r="B113" s="129" t="s">
        <v>32</v>
      </c>
      <c r="C113" s="143" t="s">
        <v>16</v>
      </c>
      <c r="D113" s="122">
        <f t="shared" ref="D113:O113" si="22">D48+D16+D81</f>
        <v>89158</v>
      </c>
      <c r="E113" s="122">
        <f t="shared" si="22"/>
        <v>89158</v>
      </c>
      <c r="F113" s="122">
        <f t="shared" si="22"/>
        <v>89158</v>
      </c>
      <c r="G113" s="122">
        <f t="shared" si="22"/>
        <v>89158</v>
      </c>
      <c r="H113" s="122">
        <f t="shared" si="22"/>
        <v>89158</v>
      </c>
      <c r="I113" s="122">
        <f t="shared" si="22"/>
        <v>89158</v>
      </c>
      <c r="J113" s="122">
        <f t="shared" si="22"/>
        <v>89158</v>
      </c>
      <c r="K113" s="122">
        <f t="shared" si="22"/>
        <v>89158</v>
      </c>
      <c r="L113" s="122">
        <f t="shared" si="22"/>
        <v>89158</v>
      </c>
      <c r="M113" s="122">
        <f t="shared" si="22"/>
        <v>89158</v>
      </c>
      <c r="N113" s="122">
        <f t="shared" si="22"/>
        <v>89158</v>
      </c>
      <c r="O113" s="122">
        <f t="shared" si="22"/>
        <v>89158</v>
      </c>
      <c r="P113" s="144">
        <f>SUM(D113:O113)</f>
        <v>1069896</v>
      </c>
      <c r="Q113" s="144">
        <f t="shared" ref="Q113:Q133" si="23">P113/12</f>
        <v>89158</v>
      </c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</row>
    <row r="114" spans="1:144" s="62" customFormat="1" ht="11.25" x14ac:dyDescent="0.2">
      <c r="A114" s="74"/>
      <c r="B114" s="129"/>
      <c r="C114" s="143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44"/>
      <c r="Q114" s="144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</row>
    <row r="115" spans="1:144" s="62" customFormat="1" ht="11.25" x14ac:dyDescent="0.2">
      <c r="A115" s="74">
        <v>3</v>
      </c>
      <c r="B115" s="146" t="s">
        <v>113</v>
      </c>
      <c r="C115" s="125" t="s">
        <v>16</v>
      </c>
      <c r="D115" s="122">
        <f t="shared" ref="D115:O115" si="24">D50+D18+D83</f>
        <v>72592</v>
      </c>
      <c r="E115" s="122">
        <f t="shared" si="24"/>
        <v>72592</v>
      </c>
      <c r="F115" s="122">
        <f t="shared" si="24"/>
        <v>72592</v>
      </c>
      <c r="G115" s="122">
        <f t="shared" si="24"/>
        <v>72592</v>
      </c>
      <c r="H115" s="122">
        <f t="shared" si="24"/>
        <v>72592</v>
      </c>
      <c r="I115" s="122">
        <f t="shared" si="24"/>
        <v>72592</v>
      </c>
      <c r="J115" s="122">
        <f t="shared" si="24"/>
        <v>72592</v>
      </c>
      <c r="K115" s="122">
        <f t="shared" si="24"/>
        <v>72592</v>
      </c>
      <c r="L115" s="122">
        <f t="shared" si="24"/>
        <v>72592</v>
      </c>
      <c r="M115" s="122">
        <f t="shared" si="24"/>
        <v>72592</v>
      </c>
      <c r="N115" s="122">
        <f t="shared" si="24"/>
        <v>72592</v>
      </c>
      <c r="O115" s="122">
        <f t="shared" si="24"/>
        <v>72592</v>
      </c>
      <c r="P115" s="144">
        <f>SUM(D115:O115)</f>
        <v>871104</v>
      </c>
      <c r="Q115" s="144">
        <f t="shared" si="23"/>
        <v>72592</v>
      </c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</row>
    <row r="116" spans="1:144" s="62" customFormat="1" ht="11.25" x14ac:dyDescent="0.2">
      <c r="A116" s="74">
        <v>4</v>
      </c>
      <c r="B116" s="146" t="s">
        <v>114</v>
      </c>
      <c r="C116" s="125" t="s">
        <v>16</v>
      </c>
      <c r="D116" s="123">
        <f t="shared" ref="D116:O116" si="25">D51+D19+D84</f>
        <v>478</v>
      </c>
      <c r="E116" s="123">
        <f t="shared" si="25"/>
        <v>478</v>
      </c>
      <c r="F116" s="123">
        <f t="shared" si="25"/>
        <v>478</v>
      </c>
      <c r="G116" s="123">
        <f t="shared" si="25"/>
        <v>478</v>
      </c>
      <c r="H116" s="123">
        <f t="shared" si="25"/>
        <v>478</v>
      </c>
      <c r="I116" s="123">
        <f t="shared" si="25"/>
        <v>478</v>
      </c>
      <c r="J116" s="123">
        <f t="shared" si="25"/>
        <v>478</v>
      </c>
      <c r="K116" s="123">
        <f t="shared" si="25"/>
        <v>478</v>
      </c>
      <c r="L116" s="123">
        <f t="shared" si="25"/>
        <v>478</v>
      </c>
      <c r="M116" s="123">
        <f t="shared" si="25"/>
        <v>478</v>
      </c>
      <c r="N116" s="123">
        <f t="shared" si="25"/>
        <v>478</v>
      </c>
      <c r="O116" s="123">
        <f t="shared" si="25"/>
        <v>478</v>
      </c>
      <c r="P116" s="145">
        <f>SUM(D116:O116)</f>
        <v>5736</v>
      </c>
      <c r="Q116" s="145">
        <f t="shared" si="23"/>
        <v>478</v>
      </c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</row>
    <row r="117" spans="1:144" s="62" customFormat="1" ht="11.25" x14ac:dyDescent="0.2">
      <c r="A117" s="74">
        <v>5</v>
      </c>
      <c r="B117" s="162" t="s">
        <v>30</v>
      </c>
      <c r="C117" s="143"/>
      <c r="D117" s="157">
        <f t="shared" ref="D117:O117" si="26">SUM(D115:D116)</f>
        <v>73070</v>
      </c>
      <c r="E117" s="157">
        <f t="shared" si="26"/>
        <v>73070</v>
      </c>
      <c r="F117" s="157">
        <f t="shared" si="26"/>
        <v>73070</v>
      </c>
      <c r="G117" s="157">
        <f t="shared" si="26"/>
        <v>73070</v>
      </c>
      <c r="H117" s="157">
        <f t="shared" si="26"/>
        <v>73070</v>
      </c>
      <c r="I117" s="157">
        <f t="shared" si="26"/>
        <v>73070</v>
      </c>
      <c r="J117" s="157">
        <f t="shared" si="26"/>
        <v>73070</v>
      </c>
      <c r="K117" s="157">
        <f t="shared" si="26"/>
        <v>73070</v>
      </c>
      <c r="L117" s="157">
        <f t="shared" si="26"/>
        <v>73070</v>
      </c>
      <c r="M117" s="157">
        <f t="shared" si="26"/>
        <v>73070</v>
      </c>
      <c r="N117" s="157">
        <f t="shared" si="26"/>
        <v>73070</v>
      </c>
      <c r="O117" s="157">
        <f t="shared" si="26"/>
        <v>73070</v>
      </c>
      <c r="P117" s="144">
        <f>SUM(D117:O117)</f>
        <v>876840</v>
      </c>
      <c r="Q117" s="144">
        <f t="shared" si="23"/>
        <v>73070</v>
      </c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</row>
    <row r="118" spans="1:144" s="62" customFormat="1" ht="11.25" x14ac:dyDescent="0.2">
      <c r="B118" s="242"/>
      <c r="C118" s="143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22"/>
      <c r="O118" s="122"/>
      <c r="P118" s="144"/>
      <c r="Q118" s="144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</row>
    <row r="119" spans="1:144" s="62" customFormat="1" ht="11.25" x14ac:dyDescent="0.2">
      <c r="A119" s="74">
        <v>6</v>
      </c>
      <c r="B119" s="146" t="s">
        <v>110</v>
      </c>
      <c r="C119" s="125" t="s">
        <v>17</v>
      </c>
      <c r="D119" s="122">
        <f t="shared" ref="D119:O119" si="27">D54+D22+D87</f>
        <v>574</v>
      </c>
      <c r="E119" s="122">
        <f t="shared" si="27"/>
        <v>574</v>
      </c>
      <c r="F119" s="122">
        <f t="shared" si="27"/>
        <v>574</v>
      </c>
      <c r="G119" s="122">
        <f t="shared" si="27"/>
        <v>574</v>
      </c>
      <c r="H119" s="122">
        <f t="shared" si="27"/>
        <v>574</v>
      </c>
      <c r="I119" s="122">
        <f t="shared" si="27"/>
        <v>574</v>
      </c>
      <c r="J119" s="122">
        <f t="shared" si="27"/>
        <v>574</v>
      </c>
      <c r="K119" s="122">
        <f t="shared" si="27"/>
        <v>574</v>
      </c>
      <c r="L119" s="122">
        <f t="shared" si="27"/>
        <v>574</v>
      </c>
      <c r="M119" s="122">
        <f t="shared" si="27"/>
        <v>574</v>
      </c>
      <c r="N119" s="122">
        <f t="shared" si="27"/>
        <v>574</v>
      </c>
      <c r="O119" s="122">
        <f t="shared" si="27"/>
        <v>574</v>
      </c>
      <c r="P119" s="144">
        <f>SUM(D119:O119)</f>
        <v>6888</v>
      </c>
      <c r="Q119" s="144">
        <f t="shared" si="23"/>
        <v>574</v>
      </c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</row>
    <row r="120" spans="1:144" s="62" customFormat="1" ht="11.25" x14ac:dyDescent="0.2">
      <c r="A120" s="74">
        <v>7</v>
      </c>
      <c r="B120" s="146" t="s">
        <v>111</v>
      </c>
      <c r="C120" s="125" t="s">
        <v>17</v>
      </c>
      <c r="D120" s="123">
        <f t="shared" ref="D120:O120" si="28">D55+D23+D88</f>
        <v>471</v>
      </c>
      <c r="E120" s="123">
        <f t="shared" si="28"/>
        <v>471</v>
      </c>
      <c r="F120" s="123">
        <f t="shared" si="28"/>
        <v>471</v>
      </c>
      <c r="G120" s="123">
        <f t="shared" si="28"/>
        <v>471</v>
      </c>
      <c r="H120" s="123">
        <f t="shared" si="28"/>
        <v>471</v>
      </c>
      <c r="I120" s="123">
        <f t="shared" si="28"/>
        <v>471</v>
      </c>
      <c r="J120" s="123">
        <f t="shared" si="28"/>
        <v>471</v>
      </c>
      <c r="K120" s="123">
        <f t="shared" si="28"/>
        <v>471</v>
      </c>
      <c r="L120" s="123">
        <f t="shared" si="28"/>
        <v>471</v>
      </c>
      <c r="M120" s="123">
        <f t="shared" si="28"/>
        <v>471</v>
      </c>
      <c r="N120" s="123">
        <f t="shared" si="28"/>
        <v>471</v>
      </c>
      <c r="O120" s="123">
        <f t="shared" si="28"/>
        <v>471</v>
      </c>
      <c r="P120" s="145">
        <f>SUM(D120:O120)</f>
        <v>5652</v>
      </c>
      <c r="Q120" s="145">
        <f t="shared" si="23"/>
        <v>471</v>
      </c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</row>
    <row r="121" spans="1:144" s="62" customFormat="1" ht="11.25" x14ac:dyDescent="0.2">
      <c r="A121" s="74">
        <v>8</v>
      </c>
      <c r="B121" s="129" t="s">
        <v>31</v>
      </c>
      <c r="C121" s="125"/>
      <c r="D121" s="122">
        <f t="shared" ref="D121:O121" si="29">SUM(D119:D120)</f>
        <v>1045</v>
      </c>
      <c r="E121" s="122">
        <f t="shared" si="29"/>
        <v>1045</v>
      </c>
      <c r="F121" s="122">
        <f t="shared" si="29"/>
        <v>1045</v>
      </c>
      <c r="G121" s="122">
        <f t="shared" si="29"/>
        <v>1045</v>
      </c>
      <c r="H121" s="122">
        <f t="shared" si="29"/>
        <v>1045</v>
      </c>
      <c r="I121" s="122">
        <f t="shared" si="29"/>
        <v>1045</v>
      </c>
      <c r="J121" s="122">
        <f t="shared" si="29"/>
        <v>1045</v>
      </c>
      <c r="K121" s="122">
        <f t="shared" si="29"/>
        <v>1045</v>
      </c>
      <c r="L121" s="122">
        <f t="shared" si="29"/>
        <v>1045</v>
      </c>
      <c r="M121" s="122">
        <f t="shared" si="29"/>
        <v>1045</v>
      </c>
      <c r="N121" s="122">
        <f t="shared" si="29"/>
        <v>1045</v>
      </c>
      <c r="O121" s="122">
        <f t="shared" si="29"/>
        <v>1045</v>
      </c>
      <c r="P121" s="144">
        <f>SUM(D121:O121)</f>
        <v>12540</v>
      </c>
      <c r="Q121" s="144">
        <f t="shared" si="23"/>
        <v>1045</v>
      </c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</row>
    <row r="122" spans="1:144" s="62" customFormat="1" ht="11.25" x14ac:dyDescent="0.2">
      <c r="A122" s="74"/>
      <c r="B122" s="129"/>
      <c r="C122" s="125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56"/>
      <c r="P122" s="144"/>
      <c r="Q122" s="144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</row>
    <row r="123" spans="1:144" s="62" customFormat="1" ht="11.25" x14ac:dyDescent="0.2">
      <c r="A123" s="74">
        <v>9</v>
      </c>
      <c r="B123" s="162" t="s">
        <v>112</v>
      </c>
      <c r="C123" s="125" t="s">
        <v>18</v>
      </c>
      <c r="D123" s="122">
        <f t="shared" ref="D123:O123" si="30">D58+D26+D91</f>
        <v>85</v>
      </c>
      <c r="E123" s="122">
        <f t="shared" si="30"/>
        <v>85</v>
      </c>
      <c r="F123" s="122">
        <f t="shared" si="30"/>
        <v>85</v>
      </c>
      <c r="G123" s="122">
        <f t="shared" si="30"/>
        <v>85</v>
      </c>
      <c r="H123" s="122">
        <f t="shared" si="30"/>
        <v>85</v>
      </c>
      <c r="I123" s="122">
        <f t="shared" si="30"/>
        <v>85</v>
      </c>
      <c r="J123" s="122">
        <f t="shared" si="30"/>
        <v>85</v>
      </c>
      <c r="K123" s="122">
        <f t="shared" si="30"/>
        <v>85</v>
      </c>
      <c r="L123" s="122">
        <f t="shared" si="30"/>
        <v>85</v>
      </c>
      <c r="M123" s="122">
        <f t="shared" si="30"/>
        <v>85</v>
      </c>
      <c r="N123" s="122">
        <f t="shared" si="30"/>
        <v>85</v>
      </c>
      <c r="O123" s="122">
        <f t="shared" si="30"/>
        <v>85</v>
      </c>
      <c r="P123" s="144">
        <f>SUM(D123:O123)</f>
        <v>1020</v>
      </c>
      <c r="Q123" s="144">
        <f t="shared" si="23"/>
        <v>85</v>
      </c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</row>
    <row r="124" spans="1:144" s="62" customFormat="1" ht="11.25" x14ac:dyDescent="0.2">
      <c r="B124" s="129"/>
      <c r="C124" s="143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44"/>
      <c r="Q124" s="144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</row>
    <row r="125" spans="1:144" s="62" customFormat="1" ht="11.25" x14ac:dyDescent="0.2">
      <c r="A125" s="74">
        <v>10</v>
      </c>
      <c r="B125" s="148" t="s">
        <v>33</v>
      </c>
      <c r="C125" s="125" t="s">
        <v>16</v>
      </c>
      <c r="D125" s="122">
        <f t="shared" ref="D125:O125" si="31">D60+D28+D93</f>
        <v>220232</v>
      </c>
      <c r="E125" s="122">
        <f t="shared" si="31"/>
        <v>220232</v>
      </c>
      <c r="F125" s="122">
        <f t="shared" si="31"/>
        <v>220232</v>
      </c>
      <c r="G125" s="122">
        <f t="shared" si="31"/>
        <v>220232</v>
      </c>
      <c r="H125" s="122">
        <f t="shared" si="31"/>
        <v>220232</v>
      </c>
      <c r="I125" s="122">
        <f t="shared" si="31"/>
        <v>220232</v>
      </c>
      <c r="J125" s="122">
        <f t="shared" si="31"/>
        <v>220232</v>
      </c>
      <c r="K125" s="122">
        <f t="shared" si="31"/>
        <v>220232</v>
      </c>
      <c r="L125" s="122">
        <f t="shared" si="31"/>
        <v>220232</v>
      </c>
      <c r="M125" s="122">
        <f t="shared" si="31"/>
        <v>220232</v>
      </c>
      <c r="N125" s="122">
        <f t="shared" si="31"/>
        <v>220232</v>
      </c>
      <c r="O125" s="122">
        <f t="shared" si="31"/>
        <v>220232</v>
      </c>
      <c r="P125" s="144">
        <f>SUM(D125:O125)</f>
        <v>2642784</v>
      </c>
      <c r="Q125" s="144">
        <f t="shared" si="23"/>
        <v>220232</v>
      </c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</row>
    <row r="126" spans="1:144" s="62" customFormat="1" ht="11.25" x14ac:dyDescent="0.2">
      <c r="A126" s="74"/>
      <c r="B126" s="129"/>
      <c r="C126" s="143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22"/>
      <c r="O126" s="122"/>
      <c r="P126" s="144"/>
      <c r="Q126" s="144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/>
      <c r="EJ126" s="65"/>
      <c r="EK126" s="65"/>
      <c r="EL126" s="65"/>
      <c r="EM126" s="65"/>
      <c r="EN126" s="65"/>
    </row>
    <row r="127" spans="1:144" s="62" customFormat="1" ht="11.25" x14ac:dyDescent="0.2">
      <c r="A127" s="74">
        <v>11</v>
      </c>
      <c r="B127" s="183" t="s">
        <v>34</v>
      </c>
      <c r="C127" s="236"/>
      <c r="D127" s="184">
        <f t="shared" ref="D127:O127" si="32">D125+D123+D121+D117+D113+D111</f>
        <v>1260143</v>
      </c>
      <c r="E127" s="184">
        <f t="shared" si="32"/>
        <v>1260143</v>
      </c>
      <c r="F127" s="184">
        <f t="shared" si="32"/>
        <v>1260143</v>
      </c>
      <c r="G127" s="184">
        <f t="shared" si="32"/>
        <v>1260143</v>
      </c>
      <c r="H127" s="184">
        <f t="shared" si="32"/>
        <v>1260143</v>
      </c>
      <c r="I127" s="184">
        <f t="shared" si="32"/>
        <v>1260143</v>
      </c>
      <c r="J127" s="184">
        <f t="shared" si="32"/>
        <v>1260143</v>
      </c>
      <c r="K127" s="184">
        <f t="shared" si="32"/>
        <v>1260143</v>
      </c>
      <c r="L127" s="184">
        <f t="shared" si="32"/>
        <v>1260143</v>
      </c>
      <c r="M127" s="184">
        <f t="shared" si="32"/>
        <v>1260143</v>
      </c>
      <c r="N127" s="184">
        <f t="shared" si="32"/>
        <v>1260143</v>
      </c>
      <c r="O127" s="184">
        <f t="shared" si="32"/>
        <v>1260143</v>
      </c>
      <c r="P127" s="248">
        <f>SUM(D127:O127)</f>
        <v>15121716</v>
      </c>
      <c r="Q127" s="248">
        <f t="shared" si="23"/>
        <v>1260143</v>
      </c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</row>
    <row r="128" spans="1:144" s="62" customFormat="1" ht="11.25" x14ac:dyDescent="0.2">
      <c r="B128" s="236"/>
      <c r="C128" s="236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56"/>
      <c r="O128" s="156"/>
      <c r="P128" s="144"/>
      <c r="Q128" s="144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/>
      <c r="EJ128" s="65"/>
      <c r="EK128" s="65"/>
      <c r="EL128" s="65"/>
      <c r="EM128" s="65"/>
      <c r="EN128" s="65"/>
    </row>
    <row r="129" spans="1:144" s="62" customFormat="1" ht="11.25" x14ac:dyDescent="0.2">
      <c r="A129" s="74">
        <v>12</v>
      </c>
      <c r="B129" s="148" t="s">
        <v>91</v>
      </c>
      <c r="C129" s="125" t="s">
        <v>17</v>
      </c>
      <c r="D129" s="122">
        <f t="shared" ref="D129:O129" si="33">D64+D32</f>
        <v>0</v>
      </c>
      <c r="E129" s="122">
        <f t="shared" si="33"/>
        <v>0</v>
      </c>
      <c r="F129" s="122">
        <f t="shared" si="33"/>
        <v>0</v>
      </c>
      <c r="G129" s="122">
        <f t="shared" si="33"/>
        <v>0</v>
      </c>
      <c r="H129" s="122">
        <f t="shared" si="33"/>
        <v>0</v>
      </c>
      <c r="I129" s="122">
        <f t="shared" si="33"/>
        <v>0</v>
      </c>
      <c r="J129" s="122">
        <f t="shared" si="33"/>
        <v>0</v>
      </c>
      <c r="K129" s="122">
        <f t="shared" si="33"/>
        <v>0</v>
      </c>
      <c r="L129" s="122">
        <f t="shared" si="33"/>
        <v>0</v>
      </c>
      <c r="M129" s="122">
        <f t="shared" si="33"/>
        <v>0</v>
      </c>
      <c r="N129" s="122">
        <f t="shared" si="33"/>
        <v>0</v>
      </c>
      <c r="O129" s="122">
        <f t="shared" si="33"/>
        <v>0</v>
      </c>
      <c r="P129" s="144">
        <f>SUM(D129:O129)</f>
        <v>0</v>
      </c>
      <c r="Q129" s="144">
        <f t="shared" si="23"/>
        <v>0</v>
      </c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</row>
    <row r="130" spans="1:144" s="62" customFormat="1" ht="11.25" x14ac:dyDescent="0.2">
      <c r="A130" s="74">
        <v>13</v>
      </c>
      <c r="B130" s="148" t="s">
        <v>92</v>
      </c>
      <c r="C130" s="125" t="s">
        <v>18</v>
      </c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45">
        <f>SUM(D130:O130)</f>
        <v>0</v>
      </c>
      <c r="Q130" s="145">
        <f t="shared" si="23"/>
        <v>0</v>
      </c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/>
      <c r="EJ130" s="65"/>
      <c r="EK130" s="65"/>
      <c r="EL130" s="65"/>
      <c r="EM130" s="65"/>
      <c r="EN130" s="65"/>
    </row>
    <row r="131" spans="1:144" s="62" customFormat="1" ht="11.25" x14ac:dyDescent="0.2">
      <c r="A131" s="74">
        <v>14</v>
      </c>
      <c r="B131" s="183" t="s">
        <v>35</v>
      </c>
      <c r="C131" s="238"/>
      <c r="D131" s="169">
        <f t="shared" ref="D131:O131" si="34">SUM(D129:D130)</f>
        <v>0</v>
      </c>
      <c r="E131" s="169">
        <f t="shared" si="34"/>
        <v>0</v>
      </c>
      <c r="F131" s="169">
        <f t="shared" si="34"/>
        <v>0</v>
      </c>
      <c r="G131" s="169">
        <f t="shared" si="34"/>
        <v>0</v>
      </c>
      <c r="H131" s="169">
        <f t="shared" si="34"/>
        <v>0</v>
      </c>
      <c r="I131" s="169">
        <f t="shared" si="34"/>
        <v>0</v>
      </c>
      <c r="J131" s="169">
        <f t="shared" si="34"/>
        <v>0</v>
      </c>
      <c r="K131" s="169">
        <f t="shared" si="34"/>
        <v>0</v>
      </c>
      <c r="L131" s="169">
        <f t="shared" si="34"/>
        <v>0</v>
      </c>
      <c r="M131" s="169">
        <f t="shared" si="34"/>
        <v>0</v>
      </c>
      <c r="N131" s="156">
        <f t="shared" si="34"/>
        <v>0</v>
      </c>
      <c r="O131" s="156">
        <f t="shared" si="34"/>
        <v>0</v>
      </c>
      <c r="P131" s="144">
        <f>SUM(D131:O131)</f>
        <v>0</v>
      </c>
      <c r="Q131" s="144">
        <f t="shared" si="23"/>
        <v>0</v>
      </c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65"/>
      <c r="EK131" s="65"/>
      <c r="EL131" s="65"/>
      <c r="EM131" s="65"/>
      <c r="EN131" s="65"/>
    </row>
    <row r="132" spans="1:144" s="62" customFormat="1" ht="11.25" x14ac:dyDescent="0.2">
      <c r="A132" s="74"/>
      <c r="B132" s="129"/>
      <c r="C132" s="185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22"/>
      <c r="O132" s="122"/>
      <c r="P132" s="144"/>
      <c r="Q132" s="144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/>
      <c r="EJ132" s="65"/>
      <c r="EK132" s="65"/>
      <c r="EL132" s="65"/>
      <c r="EM132" s="65"/>
      <c r="EN132" s="65"/>
    </row>
    <row r="133" spans="1:144" s="62" customFormat="1" ht="12" thickBot="1" x14ac:dyDescent="0.25">
      <c r="A133" s="74">
        <v>15</v>
      </c>
      <c r="B133" s="243" t="str">
        <f>B36</f>
        <v>TOTAL AEP TEXAS</v>
      </c>
      <c r="C133" s="238"/>
      <c r="D133" s="244">
        <f t="shared" ref="D133:O133" si="35">+D131+D127</f>
        <v>1260143</v>
      </c>
      <c r="E133" s="244">
        <f t="shared" si="35"/>
        <v>1260143</v>
      </c>
      <c r="F133" s="244">
        <f t="shared" si="35"/>
        <v>1260143</v>
      </c>
      <c r="G133" s="244">
        <f t="shared" si="35"/>
        <v>1260143</v>
      </c>
      <c r="H133" s="244">
        <f t="shared" si="35"/>
        <v>1260143</v>
      </c>
      <c r="I133" s="244">
        <f t="shared" si="35"/>
        <v>1260143</v>
      </c>
      <c r="J133" s="244">
        <f t="shared" si="35"/>
        <v>1260143</v>
      </c>
      <c r="K133" s="244">
        <f t="shared" si="35"/>
        <v>1260143</v>
      </c>
      <c r="L133" s="244">
        <f t="shared" si="35"/>
        <v>1260143</v>
      </c>
      <c r="M133" s="244">
        <f t="shared" si="35"/>
        <v>1260143</v>
      </c>
      <c r="N133" s="244">
        <f t="shared" si="35"/>
        <v>1260143</v>
      </c>
      <c r="O133" s="244">
        <f t="shared" si="35"/>
        <v>1260143</v>
      </c>
      <c r="P133" s="272">
        <f>SUM(D133:O133)</f>
        <v>15121716</v>
      </c>
      <c r="Q133" s="272">
        <f t="shared" si="23"/>
        <v>1260143</v>
      </c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/>
      <c r="EJ133" s="65"/>
      <c r="EK133" s="65"/>
      <c r="EL133" s="65"/>
      <c r="EM133" s="65"/>
      <c r="EN133" s="65"/>
    </row>
    <row r="134" spans="1:144" ht="13.5" thickTop="1" x14ac:dyDescent="0.2">
      <c r="A134" s="82"/>
      <c r="B134" s="146"/>
      <c r="C134" s="168"/>
      <c r="D134" s="291"/>
      <c r="E134" s="291"/>
      <c r="F134" s="291"/>
      <c r="G134" s="291"/>
      <c r="H134" s="291"/>
      <c r="I134" s="291"/>
      <c r="J134" s="291"/>
      <c r="K134" s="291"/>
      <c r="L134" s="291"/>
      <c r="M134" s="291"/>
      <c r="N134" s="291"/>
      <c r="O134" s="291"/>
      <c r="P134" s="288"/>
      <c r="Q134" s="289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</row>
    <row r="135" spans="1:144" x14ac:dyDescent="0.2">
      <c r="B135" s="273" t="str">
        <f>+B37</f>
        <v>Note: Secondary &lt; 10 kW includes Unmetered service; Lighting customers are fixture counts.</v>
      </c>
      <c r="C135" s="174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195"/>
      <c r="Q135" s="276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</row>
    <row r="136" spans="1:144" x14ac:dyDescent="0.2">
      <c r="A136" s="190"/>
      <c r="B136" s="274"/>
      <c r="C136" s="267"/>
      <c r="D136" s="274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195"/>
      <c r="Q136" s="276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</row>
    <row r="137" spans="1:144" x14ac:dyDescent="0.2">
      <c r="A137" s="36"/>
      <c r="B137" s="274"/>
      <c r="C137" s="267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</row>
    <row r="138" spans="1:144" customFormat="1" x14ac:dyDescent="0.2">
      <c r="B138" s="277" t="str">
        <f xml:space="preserve">                         +B7</f>
        <v>AEP TEXAS</v>
      </c>
      <c r="C138" s="277"/>
      <c r="D138" s="278"/>
      <c r="E138" s="279"/>
      <c r="F138" s="279"/>
      <c r="G138" s="278"/>
      <c r="H138" s="278"/>
      <c r="I138" s="278"/>
      <c r="J138" s="278"/>
      <c r="K138" s="278"/>
      <c r="L138" s="278"/>
      <c r="M138" s="278"/>
      <c r="N138" s="278"/>
      <c r="O138" s="278"/>
      <c r="P138" s="299"/>
      <c r="Q138" s="281"/>
    </row>
    <row r="139" spans="1:144" x14ac:dyDescent="0.2">
      <c r="B139" s="282" t="s">
        <v>65</v>
      </c>
      <c r="C139" s="282"/>
      <c r="D139" s="284"/>
      <c r="E139" s="285"/>
      <c r="F139" s="285"/>
      <c r="G139" s="284"/>
      <c r="H139" s="284"/>
      <c r="I139" s="284"/>
      <c r="J139" s="284"/>
      <c r="K139" s="284"/>
      <c r="L139" s="284"/>
      <c r="M139" s="284"/>
      <c r="N139" s="284"/>
      <c r="O139" s="284"/>
      <c r="P139" s="284" t="s">
        <v>1</v>
      </c>
      <c r="Q139" s="281"/>
    </row>
    <row r="140" spans="1:144" customFormat="1" x14ac:dyDescent="0.2">
      <c r="B140" s="392" t="str">
        <f>+B9</f>
        <v>FOR TEST YEAR ENDED DECEMBER 31, 2018</v>
      </c>
      <c r="C140" s="392"/>
      <c r="D140" s="392"/>
      <c r="E140" s="392"/>
      <c r="F140" s="392"/>
      <c r="G140" s="392"/>
      <c r="H140" s="392"/>
      <c r="I140" s="392"/>
      <c r="J140" s="392"/>
      <c r="K140" s="392"/>
      <c r="L140" s="392"/>
      <c r="M140" s="392"/>
      <c r="N140" s="392"/>
      <c r="O140" s="392"/>
      <c r="P140" s="300"/>
      <c r="Q140" s="301"/>
    </row>
    <row r="141" spans="1:144" customFormat="1" x14ac:dyDescent="0.2">
      <c r="B141" s="175" t="s">
        <v>133</v>
      </c>
      <c r="C141" s="283"/>
      <c r="D141" s="284"/>
      <c r="E141" s="285"/>
      <c r="F141" s="285"/>
      <c r="G141" s="284"/>
      <c r="H141" s="360"/>
      <c r="I141" s="284"/>
      <c r="J141" s="284"/>
      <c r="K141" s="284"/>
      <c r="L141" s="284"/>
      <c r="M141" s="284"/>
      <c r="N141" s="284"/>
      <c r="O141" s="284"/>
      <c r="P141" s="300"/>
      <c r="Q141" s="301"/>
    </row>
    <row r="142" spans="1:144" x14ac:dyDescent="0.2">
      <c r="B142" s="243"/>
      <c r="C142" s="286"/>
      <c r="D142" s="287">
        <f>D11</f>
        <v>0</v>
      </c>
      <c r="E142" s="177"/>
      <c r="F142" s="177"/>
      <c r="G142" s="287">
        <f>G11</f>
        <v>0</v>
      </c>
      <c r="H142" s="177"/>
      <c r="I142" s="177"/>
      <c r="J142" s="157"/>
      <c r="K142" s="177"/>
      <c r="L142" s="177"/>
      <c r="M142" s="177"/>
      <c r="N142" s="177"/>
      <c r="O142" s="177"/>
      <c r="P142" s="300"/>
      <c r="Q142" s="281"/>
    </row>
    <row r="143" spans="1:144" x14ac:dyDescent="0.2">
      <c r="A143" s="83" t="s">
        <v>20</v>
      </c>
      <c r="B143" s="163" t="s">
        <v>0</v>
      </c>
      <c r="C143" s="163" t="s">
        <v>19</v>
      </c>
      <c r="D143" s="164" t="str">
        <f t="shared" ref="D143:O143" si="36">+D12</f>
        <v>JANUARY</v>
      </c>
      <c r="E143" s="164" t="str">
        <f t="shared" si="36"/>
        <v>FEBRUARY</v>
      </c>
      <c r="F143" s="164" t="str">
        <f t="shared" si="36"/>
        <v>MARCH</v>
      </c>
      <c r="G143" s="164" t="str">
        <f t="shared" si="36"/>
        <v>APRIL</v>
      </c>
      <c r="H143" s="164" t="str">
        <f t="shared" si="36"/>
        <v>MAY</v>
      </c>
      <c r="I143" s="164" t="str">
        <f t="shared" si="36"/>
        <v>JUNE</v>
      </c>
      <c r="J143" s="164" t="str">
        <f t="shared" si="36"/>
        <v>JULY</v>
      </c>
      <c r="K143" s="164" t="str">
        <f t="shared" si="36"/>
        <v>AUGUST</v>
      </c>
      <c r="L143" s="164" t="str">
        <f t="shared" si="36"/>
        <v>SEPTEMBER</v>
      </c>
      <c r="M143" s="164" t="str">
        <f t="shared" si="36"/>
        <v>OCTOBER</v>
      </c>
      <c r="N143" s="164" t="str">
        <f t="shared" si="36"/>
        <v>NOVEMBER</v>
      </c>
      <c r="O143" s="164" t="str">
        <f t="shared" si="36"/>
        <v>DECEMBER</v>
      </c>
      <c r="P143" s="300"/>
      <c r="Q143" s="281"/>
    </row>
    <row r="144" spans="1:144" x14ac:dyDescent="0.2">
      <c r="B144" s="163"/>
      <c r="C144" s="163"/>
      <c r="D144" s="164"/>
      <c r="E144" s="165"/>
      <c r="F144" s="165"/>
      <c r="G144" s="164"/>
      <c r="H144" s="164"/>
      <c r="I144" s="164"/>
      <c r="J144" s="164"/>
      <c r="K144" s="164"/>
      <c r="L144" s="164"/>
      <c r="M144" s="164"/>
      <c r="N144" s="164"/>
      <c r="O144" s="164"/>
      <c r="P144" s="300"/>
      <c r="Q144" s="281"/>
    </row>
    <row r="145" spans="1:144" s="62" customFormat="1" ht="11.25" x14ac:dyDescent="0.2">
      <c r="A145" s="74" t="s">
        <v>21</v>
      </c>
      <c r="B145" s="129" t="s">
        <v>29</v>
      </c>
      <c r="C145" s="143" t="s">
        <v>16</v>
      </c>
      <c r="D145" s="161">
        <f>+'II-H-1.2'!D74/'II-H-1.2'!D14</f>
        <v>1.0526492498502918E-2</v>
      </c>
      <c r="E145" s="161">
        <f>+'II-H-1.2'!E74/'II-H-1.2'!E14</f>
        <v>1.0636026640564603E-2</v>
      </c>
      <c r="F145" s="161">
        <f>+'II-H-1.2'!F74/'II-H-1.2'!F14</f>
        <v>1.0018074709332284E-2</v>
      </c>
      <c r="G145" s="161">
        <f>+'II-H-1.2'!G74/'II-H-1.2'!G14</f>
        <v>8.4332119739563786E-3</v>
      </c>
      <c r="H145" s="161">
        <f>+'II-H-1.2'!H74/'II-H-1.2'!H14</f>
        <v>7.3377116477784049E-3</v>
      </c>
      <c r="I145" s="161">
        <f>+'II-H-1.2'!I74/'II-H-1.2'!I14</f>
        <v>6.615083006598528E-3</v>
      </c>
      <c r="J145" s="161">
        <f>+'II-H-1.2'!J74/'II-H-1.2'!J14</f>
        <v>7.0992166905979436E-3</v>
      </c>
      <c r="K145" s="161">
        <f>+'II-H-1.2'!K74/'II-H-1.2'!K14</f>
        <v>1.2433109452584775E-3</v>
      </c>
      <c r="L145" s="161">
        <f>+'II-H-1.2'!L74/'II-H-1.2'!L14</f>
        <v>1.2678051218424295E-3</v>
      </c>
      <c r="M145" s="161">
        <f>+'II-H-1.2'!M74/'II-H-1.2'!M14</f>
        <v>8.8651033397912807E-4</v>
      </c>
      <c r="N145" s="161">
        <f>+'II-H-1.2'!N74/'II-H-1.2'!N14</f>
        <v>4.0973680228061657E-4</v>
      </c>
      <c r="O145" s="161">
        <f>+'II-H-1.2'!O74/'II-H-1.2'!O14</f>
        <v>0</v>
      </c>
      <c r="P145" s="300"/>
      <c r="Q145" s="117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  <c r="CW145" s="65"/>
      <c r="CX145" s="65"/>
      <c r="CY145" s="65"/>
      <c r="CZ145" s="65"/>
      <c r="DA145" s="65"/>
      <c r="DB145" s="65"/>
      <c r="DC145" s="65"/>
      <c r="DD145" s="65"/>
      <c r="DE145" s="65"/>
      <c r="DF145" s="65"/>
      <c r="DG145" s="65"/>
      <c r="DH145" s="65"/>
      <c r="DI145" s="65"/>
      <c r="DJ145" s="65"/>
      <c r="DK145" s="65"/>
      <c r="DL145" s="65"/>
      <c r="DM145" s="65"/>
      <c r="DN145" s="65"/>
      <c r="DO145" s="65"/>
      <c r="DP145" s="65"/>
      <c r="DQ145" s="65"/>
      <c r="DR145" s="65"/>
      <c r="DS145" s="65"/>
      <c r="DT145" s="65"/>
      <c r="DU145" s="65"/>
      <c r="DV145" s="65"/>
      <c r="DW145" s="65"/>
      <c r="DX145" s="65"/>
      <c r="DY145" s="65"/>
      <c r="DZ145" s="65"/>
      <c r="EA145" s="65"/>
      <c r="EB145" s="65"/>
      <c r="EC145" s="65"/>
      <c r="ED145" s="65"/>
      <c r="EE145" s="65"/>
      <c r="EF145" s="65"/>
      <c r="EG145" s="65"/>
      <c r="EH145" s="65"/>
      <c r="EI145" s="65"/>
      <c r="EJ145" s="65"/>
      <c r="EK145" s="65"/>
      <c r="EL145" s="65"/>
      <c r="EM145" s="65"/>
      <c r="EN145" s="65"/>
    </row>
    <row r="146" spans="1:144" s="62" customFormat="1" ht="11.25" x14ac:dyDescent="0.2">
      <c r="B146" s="129"/>
      <c r="C146" s="143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300"/>
      <c r="Q146" s="117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  <c r="EH146" s="65"/>
      <c r="EI146" s="65"/>
      <c r="EJ146" s="65"/>
      <c r="EK146" s="65"/>
      <c r="EL146" s="65"/>
      <c r="EM146" s="65"/>
      <c r="EN146" s="65"/>
    </row>
    <row r="147" spans="1:144" s="62" customFormat="1" ht="11.25" x14ac:dyDescent="0.2">
      <c r="A147" s="74">
        <v>2</v>
      </c>
      <c r="B147" s="129" t="s">
        <v>32</v>
      </c>
      <c r="C147" s="143" t="s">
        <v>16</v>
      </c>
      <c r="D147" s="161">
        <f>+'II-H-1.2'!D76/'II-H-1.2'!D16</f>
        <v>-1.3367779636119429E-2</v>
      </c>
      <c r="E147" s="161">
        <f>+'II-H-1.2'!E76/'II-H-1.2'!E16</f>
        <v>3.6189130794518605E-3</v>
      </c>
      <c r="F147" s="161">
        <f>+'II-H-1.2'!F76/'II-H-1.2'!F16</f>
        <v>6.2688169099402733E-3</v>
      </c>
      <c r="G147" s="161">
        <f>+'II-H-1.2'!G76/'II-H-1.2'!G16</f>
        <v>3.2251808443383529E-3</v>
      </c>
      <c r="H147" s="161">
        <f>+'II-H-1.2'!H76/'II-H-1.2'!H16</f>
        <v>6.1321925288539201E-4</v>
      </c>
      <c r="I147" s="161">
        <f>+'II-H-1.2'!I76/'II-H-1.2'!I16</f>
        <v>-1.6085072455937182E-3</v>
      </c>
      <c r="J147" s="161">
        <f>+'II-H-1.2'!J76/'II-H-1.2'!J16</f>
        <v>-2.4869120413012003E-3</v>
      </c>
      <c r="K147" s="161">
        <f>+'II-H-1.2'!K76/'II-H-1.2'!K16</f>
        <v>-6.0110591990000127E-3</v>
      </c>
      <c r="L147" s="161">
        <f>+'II-H-1.2'!L76/'II-H-1.2'!L16</f>
        <v>-1.8591184560828519E-3</v>
      </c>
      <c r="M147" s="161">
        <f>+'II-H-1.2'!M76/'II-H-1.2'!M16</f>
        <v>-2.6661193844247995E-3</v>
      </c>
      <c r="N147" s="161">
        <f>+'II-H-1.2'!N76/'II-H-1.2'!N16</f>
        <v>-1.0321038390815464E-3</v>
      </c>
      <c r="O147" s="161">
        <f>+'II-H-1.2'!O76/'II-H-1.2'!O16</f>
        <v>0</v>
      </c>
      <c r="P147" s="300"/>
      <c r="Q147" s="117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/>
      <c r="EJ147" s="65"/>
      <c r="EK147" s="65"/>
      <c r="EL147" s="65"/>
      <c r="EM147" s="65"/>
      <c r="EN147" s="65"/>
    </row>
    <row r="148" spans="1:144" s="62" customFormat="1" ht="11.25" x14ac:dyDescent="0.2">
      <c r="A148" s="74"/>
      <c r="B148" s="129"/>
      <c r="C148" s="143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300"/>
      <c r="Q148" s="117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/>
      <c r="DJ148" s="65"/>
      <c r="DK148" s="65"/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  <c r="EH148" s="65"/>
      <c r="EI148" s="65"/>
      <c r="EJ148" s="65"/>
      <c r="EK148" s="65"/>
      <c r="EL148" s="65"/>
      <c r="EM148" s="65"/>
      <c r="EN148" s="65"/>
    </row>
    <row r="149" spans="1:144" s="62" customFormat="1" ht="11.25" x14ac:dyDescent="0.2">
      <c r="A149" s="74">
        <v>3</v>
      </c>
      <c r="B149" s="146" t="s">
        <v>113</v>
      </c>
      <c r="C149" s="125" t="s">
        <v>16</v>
      </c>
      <c r="D149" s="161">
        <f>+'II-H-1.2'!D78/'II-H-1.2'!D18</f>
        <v>3.70623127925876E-2</v>
      </c>
      <c r="E149" s="161">
        <f>+'II-H-1.2'!E78/'II-H-1.2'!E18</f>
        <v>1.897812643128902E-2</v>
      </c>
      <c r="F149" s="161">
        <f>+'II-H-1.2'!F78/'II-H-1.2'!F18</f>
        <v>8.3487158953657777E-3</v>
      </c>
      <c r="G149" s="161">
        <f>+'II-H-1.2'!G78/'II-H-1.2'!G18</f>
        <v>7.3151285893727934E-3</v>
      </c>
      <c r="H149" s="161">
        <f>+'II-H-1.2'!H78/'II-H-1.2'!H18</f>
        <v>8.8652765281721935E-3</v>
      </c>
      <c r="I149" s="161">
        <f>+'II-H-1.2'!I78/'II-H-1.2'!I18</f>
        <v>7.5176101637437201E-3</v>
      </c>
      <c r="J149" s="161">
        <f>+'II-H-1.2'!J78/'II-H-1.2'!J18</f>
        <v>5.8696784845732016E-3</v>
      </c>
      <c r="K149" s="161">
        <f>+'II-H-1.2'!K78/'II-H-1.2'!K18</f>
        <v>1.6644081632651924E-3</v>
      </c>
      <c r="L149" s="161">
        <f>+'II-H-1.2'!L78/'II-H-1.2'!L18</f>
        <v>5.0904832319275638E-3</v>
      </c>
      <c r="M149" s="161">
        <f>+'II-H-1.2'!M78/'II-H-1.2'!M18</f>
        <v>4.9600359492002442E-3</v>
      </c>
      <c r="N149" s="161">
        <f>+'II-H-1.2'!N78/'II-H-1.2'!N18</f>
        <v>2.0658424925161811E-3</v>
      </c>
      <c r="O149" s="161">
        <f>+'II-H-1.2'!O78/'II-H-1.2'!O18</f>
        <v>0</v>
      </c>
      <c r="P149" s="300"/>
      <c r="Q149" s="117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/>
      <c r="DJ149" s="65"/>
      <c r="DK149" s="65"/>
      <c r="DL149" s="65"/>
      <c r="DM149" s="65"/>
      <c r="DN149" s="65"/>
      <c r="DO149" s="65"/>
      <c r="DP149" s="65"/>
      <c r="DQ149" s="65"/>
      <c r="DR149" s="65"/>
      <c r="DS149" s="65"/>
      <c r="DT149" s="65"/>
      <c r="DU149" s="65"/>
      <c r="DV149" s="65"/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  <c r="EH149" s="65"/>
      <c r="EI149" s="65"/>
      <c r="EJ149" s="65"/>
      <c r="EK149" s="65"/>
      <c r="EL149" s="65"/>
      <c r="EM149" s="65"/>
      <c r="EN149" s="65"/>
    </row>
    <row r="150" spans="1:144" s="62" customFormat="1" ht="11.25" x14ac:dyDescent="0.2">
      <c r="A150" s="74">
        <v>4</v>
      </c>
      <c r="B150" s="146" t="s">
        <v>114</v>
      </c>
      <c r="C150" s="125" t="s">
        <v>16</v>
      </c>
      <c r="D150" s="364">
        <f>+'II-H-1.2'!D79/'II-H-1.2'!D19</f>
        <v>-5.0033158114537006E-2</v>
      </c>
      <c r="E150" s="364">
        <f>+'II-H-1.2'!E79/'II-H-1.2'!E19</f>
        <v>-5.1957760387747444E-2</v>
      </c>
      <c r="F150" s="364">
        <f>+'II-H-1.2'!F79/'II-H-1.2'!F19</f>
        <v>-5.110678206072191E-2</v>
      </c>
      <c r="G150" s="364">
        <f>+'II-H-1.2'!G79/'II-H-1.2'!G19</f>
        <v>-4.6121850692352168E-2</v>
      </c>
      <c r="H150" s="364">
        <f>+'II-H-1.2'!H79/'II-H-1.2'!H19</f>
        <v>-5.0054811564015179E-2</v>
      </c>
      <c r="I150" s="364">
        <f>+'II-H-1.2'!I79/'II-H-1.2'!I19</f>
        <v>-3.2079744243767826E-2</v>
      </c>
      <c r="J150" s="364">
        <f>+'II-H-1.2'!J79/'II-H-1.2'!J19</f>
        <v>-3.3532119699311726E-2</v>
      </c>
      <c r="K150" s="364">
        <f>+'II-H-1.2'!K79/'II-H-1.2'!K19</f>
        <v>-3.7417199378111818E-2</v>
      </c>
      <c r="L150" s="364">
        <f>+'II-H-1.2'!L79/'II-H-1.2'!L19</f>
        <v>2.1609488692827931E-3</v>
      </c>
      <c r="M150" s="364">
        <f>+'II-H-1.2'!M79/'II-H-1.2'!M19</f>
        <v>4.1673279845698763E-3</v>
      </c>
      <c r="N150" s="364">
        <f>+'II-H-1.2'!N79/'II-H-1.2'!N19</f>
        <v>0</v>
      </c>
      <c r="O150" s="364">
        <f>+'II-H-1.2'!O79/'II-H-1.2'!O19</f>
        <v>0</v>
      </c>
      <c r="P150" s="300"/>
      <c r="Q150" s="117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/>
      <c r="DJ150" s="65"/>
      <c r="DK150" s="65"/>
      <c r="DL150" s="65"/>
      <c r="DM150" s="65"/>
      <c r="DN150" s="65"/>
      <c r="DO150" s="65"/>
      <c r="DP150" s="65"/>
      <c r="DQ150" s="65"/>
      <c r="DR150" s="65"/>
      <c r="DS150" s="65"/>
      <c r="DT150" s="65"/>
      <c r="DU150" s="65"/>
      <c r="DV150" s="65"/>
      <c r="DW150" s="65"/>
      <c r="DX150" s="65"/>
      <c r="DY150" s="65"/>
      <c r="DZ150" s="65"/>
      <c r="EA150" s="65"/>
      <c r="EB150" s="65"/>
      <c r="EC150" s="65"/>
      <c r="ED150" s="65"/>
      <c r="EE150" s="65"/>
      <c r="EF150" s="65"/>
      <c r="EG150" s="65"/>
      <c r="EH150" s="65"/>
      <c r="EI150" s="65"/>
      <c r="EJ150" s="65"/>
      <c r="EK150" s="65"/>
      <c r="EL150" s="65"/>
      <c r="EM150" s="65"/>
      <c r="EN150" s="65"/>
    </row>
    <row r="151" spans="1:144" s="62" customFormat="1" ht="11.25" x14ac:dyDescent="0.2">
      <c r="A151" s="74">
        <v>5</v>
      </c>
      <c r="B151" s="162" t="s">
        <v>30</v>
      </c>
      <c r="C151" s="143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300"/>
      <c r="Q151" s="117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5"/>
      <c r="DI151" s="65"/>
      <c r="DJ151" s="65"/>
      <c r="DK151" s="65"/>
      <c r="DL151" s="65"/>
      <c r="DM151" s="65"/>
      <c r="DN151" s="65"/>
      <c r="DO151" s="65"/>
      <c r="DP151" s="65"/>
      <c r="DQ151" s="65"/>
      <c r="DR151" s="65"/>
      <c r="DS151" s="65"/>
      <c r="DT151" s="65"/>
      <c r="DU151" s="65"/>
      <c r="DV151" s="65"/>
      <c r="DW151" s="65"/>
      <c r="DX151" s="65"/>
      <c r="DY151" s="65"/>
      <c r="DZ151" s="65"/>
      <c r="EA151" s="65"/>
      <c r="EB151" s="65"/>
      <c r="EC151" s="65"/>
      <c r="ED151" s="65"/>
      <c r="EE151" s="65"/>
      <c r="EF151" s="65"/>
      <c r="EG151" s="65"/>
      <c r="EH151" s="65"/>
      <c r="EI151" s="65"/>
      <c r="EJ151" s="65"/>
      <c r="EK151" s="65"/>
      <c r="EL151" s="65"/>
      <c r="EM151" s="65"/>
      <c r="EN151" s="65"/>
    </row>
    <row r="152" spans="1:144" s="62" customFormat="1" ht="11.25" x14ac:dyDescent="0.2">
      <c r="B152" s="242"/>
      <c r="C152" s="143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22"/>
      <c r="O152" s="122"/>
      <c r="P152" s="300"/>
      <c r="Q152" s="117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/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5"/>
      <c r="DI152" s="65"/>
      <c r="DJ152" s="65"/>
      <c r="DK152" s="65"/>
      <c r="DL152" s="65"/>
      <c r="DM152" s="65"/>
      <c r="DN152" s="65"/>
      <c r="DO152" s="65"/>
      <c r="DP152" s="65"/>
      <c r="DQ152" s="65"/>
      <c r="DR152" s="65"/>
      <c r="DS152" s="65"/>
      <c r="DT152" s="65"/>
      <c r="DU152" s="65"/>
      <c r="DV152" s="65"/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  <c r="EH152" s="65"/>
      <c r="EI152" s="65"/>
      <c r="EJ152" s="65"/>
      <c r="EK152" s="65"/>
      <c r="EL152" s="65"/>
      <c r="EM152" s="65"/>
      <c r="EN152" s="65"/>
    </row>
    <row r="153" spans="1:144" s="62" customFormat="1" ht="11.25" x14ac:dyDescent="0.2">
      <c r="A153" s="74">
        <v>6</v>
      </c>
      <c r="B153" s="146" t="s">
        <v>110</v>
      </c>
      <c r="C153" s="125" t="s">
        <v>17</v>
      </c>
      <c r="D153" s="161">
        <f>+'II-H-1.2'!D82/'II-H-1.2'!D22</f>
        <v>9.2185496981709095E-3</v>
      </c>
      <c r="E153" s="161">
        <f>+'II-H-1.2'!E82/'II-H-1.2'!E22</f>
        <v>1.9509935769802651E-2</v>
      </c>
      <c r="F153" s="161">
        <f>+'II-H-1.2'!F82/'II-H-1.2'!F22</f>
        <v>1.4916231227947756E-2</v>
      </c>
      <c r="G153" s="161">
        <f>+'II-H-1.2'!G82/'II-H-1.2'!G22</f>
        <v>2.5132279615535057E-2</v>
      </c>
      <c r="H153" s="161">
        <f>+'II-H-1.2'!H82/'II-H-1.2'!H22</f>
        <v>2.0986821097758429E-2</v>
      </c>
      <c r="I153" s="161">
        <f>+'II-H-1.2'!I82/'II-H-1.2'!I22</f>
        <v>7.1252806033604297E-3</v>
      </c>
      <c r="J153" s="161">
        <f>+'II-H-1.2'!J82/'II-H-1.2'!J22</f>
        <v>1.1340522971424613E-2</v>
      </c>
      <c r="K153" s="161">
        <f>+'II-H-1.2'!K82/'II-H-1.2'!K22</f>
        <v>-7.1212990031112051E-3</v>
      </c>
      <c r="L153" s="161">
        <f>+'II-H-1.2'!L82/'II-H-1.2'!L22</f>
        <v>-1.111532657343745E-2</v>
      </c>
      <c r="M153" s="161">
        <f>+'II-H-1.2'!M82/'II-H-1.2'!M22</f>
        <v>-4.8018789863509903E-3</v>
      </c>
      <c r="N153" s="161">
        <f>+'II-H-1.2'!N82/'II-H-1.2'!N22</f>
        <v>-3.429576807517736E-3</v>
      </c>
      <c r="O153" s="161">
        <f>+'II-H-1.2'!O82/'II-H-1.2'!O22</f>
        <v>0</v>
      </c>
      <c r="P153" s="300"/>
      <c r="Q153" s="117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65"/>
      <c r="CQ153" s="65"/>
      <c r="CR153" s="65"/>
      <c r="CS153" s="65"/>
      <c r="CT153" s="65"/>
      <c r="CU153" s="65"/>
      <c r="CV153" s="65"/>
      <c r="CW153" s="65"/>
      <c r="CX153" s="65"/>
      <c r="CY153" s="65"/>
      <c r="CZ153" s="65"/>
      <c r="DA153" s="65"/>
      <c r="DB153" s="65"/>
      <c r="DC153" s="65"/>
      <c r="DD153" s="65"/>
      <c r="DE153" s="65"/>
      <c r="DF153" s="65"/>
      <c r="DG153" s="65"/>
      <c r="DH153" s="65"/>
      <c r="DI153" s="65"/>
      <c r="DJ153" s="65"/>
      <c r="DK153" s="65"/>
      <c r="DL153" s="65"/>
      <c r="DM153" s="65"/>
      <c r="DN153" s="65"/>
      <c r="DO153" s="65"/>
      <c r="DP153" s="65"/>
      <c r="DQ153" s="65"/>
      <c r="DR153" s="65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  <c r="EF153" s="65"/>
      <c r="EG153" s="65"/>
      <c r="EH153" s="65"/>
      <c r="EI153" s="65"/>
      <c r="EJ153" s="65"/>
      <c r="EK153" s="65"/>
      <c r="EL153" s="65"/>
      <c r="EM153" s="65"/>
      <c r="EN153" s="65"/>
    </row>
    <row r="154" spans="1:144" s="62" customFormat="1" ht="11.25" x14ac:dyDescent="0.2">
      <c r="A154" s="74">
        <v>7</v>
      </c>
      <c r="B154" s="146" t="s">
        <v>111</v>
      </c>
      <c r="C154" s="125" t="s">
        <v>17</v>
      </c>
      <c r="D154" s="364">
        <f>+'II-H-1.2'!D83/'II-H-1.2'!D23</f>
        <v>9.6349102428437104E-3</v>
      </c>
      <c r="E154" s="364">
        <f>+'II-H-1.2'!E83/'II-H-1.2'!E23</f>
        <v>6.7142585392532894E-3</v>
      </c>
      <c r="F154" s="364">
        <f>+'II-H-1.2'!F83/'II-H-1.2'!F23</f>
        <v>-1.1316058549804834E-2</v>
      </c>
      <c r="G154" s="364">
        <f>+'II-H-1.2'!G83/'II-H-1.2'!G23</f>
        <v>1.9165273462078653E-2</v>
      </c>
      <c r="H154" s="364">
        <f>+'II-H-1.2'!H83/'II-H-1.2'!H23</f>
        <v>-7.1212710188402403E-3</v>
      </c>
      <c r="I154" s="364">
        <f>+'II-H-1.2'!I83/'II-H-1.2'!I23</f>
        <v>-2.0822575381051478E-2</v>
      </c>
      <c r="J154" s="364">
        <f>+'II-H-1.2'!J83/'II-H-1.2'!J23</f>
        <v>-3.2188621459076921E-4</v>
      </c>
      <c r="K154" s="364">
        <f>+'II-H-1.2'!K83/'II-H-1.2'!K23</f>
        <v>3.9710301789960675E-3</v>
      </c>
      <c r="L154" s="364">
        <f>+'II-H-1.2'!L83/'II-H-1.2'!L23</f>
        <v>-1.7384592575407896E-3</v>
      </c>
      <c r="M154" s="364">
        <f>+'II-H-1.2'!M83/'II-H-1.2'!M23</f>
        <v>-1.113420744937072E-2</v>
      </c>
      <c r="N154" s="364">
        <f>+'II-H-1.2'!N83/'II-H-1.2'!N23</f>
        <v>-1.1994291971902194E-3</v>
      </c>
      <c r="O154" s="364">
        <f>+'II-H-1.2'!O83/'II-H-1.2'!O23</f>
        <v>0</v>
      </c>
      <c r="P154" s="300"/>
      <c r="Q154" s="117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65"/>
      <c r="CQ154" s="65"/>
      <c r="CR154" s="65"/>
      <c r="CS154" s="65"/>
      <c r="CT154" s="65"/>
      <c r="CU154" s="65"/>
      <c r="CV154" s="65"/>
      <c r="CW154" s="65"/>
      <c r="CX154" s="65"/>
      <c r="CY154" s="65"/>
      <c r="CZ154" s="65"/>
      <c r="DA154" s="65"/>
      <c r="DB154" s="65"/>
      <c r="DC154" s="65"/>
      <c r="DD154" s="65"/>
      <c r="DE154" s="65"/>
      <c r="DF154" s="65"/>
      <c r="DG154" s="65"/>
      <c r="DH154" s="65"/>
      <c r="DI154" s="65"/>
      <c r="DJ154" s="65"/>
      <c r="DK154" s="65"/>
      <c r="DL154" s="65"/>
      <c r="DM154" s="65"/>
      <c r="DN154" s="65"/>
      <c r="DO154" s="65"/>
      <c r="DP154" s="65"/>
      <c r="DQ154" s="65"/>
      <c r="DR154" s="65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  <c r="EF154" s="65"/>
      <c r="EG154" s="65"/>
      <c r="EH154" s="65"/>
      <c r="EI154" s="65"/>
      <c r="EJ154" s="65"/>
      <c r="EK154" s="65"/>
      <c r="EL154" s="65"/>
      <c r="EM154" s="65"/>
      <c r="EN154" s="65"/>
    </row>
    <row r="155" spans="1:144" s="62" customFormat="1" ht="11.25" x14ac:dyDescent="0.2">
      <c r="A155" s="74">
        <v>8</v>
      </c>
      <c r="B155" s="129" t="s">
        <v>31</v>
      </c>
      <c r="C155" s="125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300"/>
      <c r="Q155" s="117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5"/>
      <c r="DI155" s="65"/>
      <c r="DJ155" s="65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/>
      <c r="EM155" s="65"/>
      <c r="EN155" s="65"/>
    </row>
    <row r="156" spans="1:144" s="62" customFormat="1" ht="11.25" x14ac:dyDescent="0.2">
      <c r="A156" s="74"/>
      <c r="B156" s="129"/>
      <c r="C156" s="125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56"/>
      <c r="P156" s="300"/>
      <c r="Q156" s="117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5"/>
      <c r="DI156" s="65"/>
      <c r="DJ156" s="65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  <c r="EH156" s="65"/>
      <c r="EI156" s="65"/>
      <c r="EJ156" s="65"/>
      <c r="EK156" s="65"/>
      <c r="EL156" s="65"/>
      <c r="EM156" s="65"/>
      <c r="EN156" s="65"/>
    </row>
    <row r="157" spans="1:144" s="62" customFormat="1" ht="11.25" x14ac:dyDescent="0.2">
      <c r="A157" s="74">
        <v>9</v>
      </c>
      <c r="B157" s="162" t="s">
        <v>112</v>
      </c>
      <c r="C157" s="125" t="s">
        <v>18</v>
      </c>
      <c r="D157" s="364">
        <f>+'II-H-1.2'!D86/'II-H-1.2'!D26</f>
        <v>-2.9026003322639226E-2</v>
      </c>
      <c r="E157" s="364">
        <f>+'II-H-1.2'!E86/'II-H-1.2'!E26</f>
        <v>5.581192632896699E-2</v>
      </c>
      <c r="F157" s="364">
        <f>+'II-H-1.2'!F86/'II-H-1.2'!F26</f>
        <v>8.9817035764509126E-2</v>
      </c>
      <c r="G157" s="364">
        <f>+'II-H-1.2'!G86/'II-H-1.2'!G26</f>
        <v>5.2354530163562438E-2</v>
      </c>
      <c r="H157" s="364">
        <f>+'II-H-1.2'!H86/'II-H-1.2'!H26</f>
        <v>3.2199991981997987E-2</v>
      </c>
      <c r="I157" s="364">
        <f>+'II-H-1.2'!I86/'II-H-1.2'!I26</f>
        <v>1.5288198711429616E-3</v>
      </c>
      <c r="J157" s="364">
        <f>+'II-H-1.2'!J86/'II-H-1.2'!J26</f>
        <v>8.8562605954523546E-2</v>
      </c>
      <c r="K157" s="364">
        <f>+'II-H-1.2'!K86/'II-H-1.2'!K26</f>
        <v>5.2204530930821745E-2</v>
      </c>
      <c r="L157" s="364">
        <f>+'II-H-1.2'!L86/'II-H-1.2'!L26</f>
        <v>3.2479026236288248E-3</v>
      </c>
      <c r="M157" s="364">
        <f>+'II-H-1.2'!M86/'II-H-1.2'!M26</f>
        <v>0.42837626711140647</v>
      </c>
      <c r="N157" s="364">
        <f>+'II-H-1.2'!N86/'II-H-1.2'!N26</f>
        <v>-0.26334961053154066</v>
      </c>
      <c r="O157" s="364">
        <f>+'II-H-1.2'!O86/'II-H-1.2'!O26</f>
        <v>0.50934921788229048</v>
      </c>
      <c r="P157" s="300"/>
      <c r="Q157" s="117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65"/>
      <c r="CQ157" s="65"/>
      <c r="CR157" s="65"/>
      <c r="CS157" s="65"/>
      <c r="CT157" s="65"/>
      <c r="CU157" s="65"/>
      <c r="CV157" s="65"/>
      <c r="CW157" s="65"/>
      <c r="CX157" s="65"/>
      <c r="CY157" s="65"/>
      <c r="CZ157" s="65"/>
      <c r="DA157" s="65"/>
      <c r="DB157" s="65"/>
      <c r="DC157" s="65"/>
      <c r="DD157" s="65"/>
      <c r="DE157" s="65"/>
      <c r="DF157" s="65"/>
      <c r="DG157" s="65"/>
      <c r="DH157" s="65"/>
      <c r="DI157" s="65"/>
      <c r="DJ157" s="65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  <c r="EF157" s="65"/>
      <c r="EG157" s="65"/>
      <c r="EH157" s="65"/>
      <c r="EI157" s="65"/>
      <c r="EJ157" s="65"/>
      <c r="EK157" s="65"/>
      <c r="EL157" s="65"/>
      <c r="EM157" s="65"/>
      <c r="EN157" s="65"/>
    </row>
    <row r="158" spans="1:144" s="62" customFormat="1" ht="11.25" x14ac:dyDescent="0.2">
      <c r="B158" s="129"/>
      <c r="C158" s="143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300"/>
      <c r="Q158" s="117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65"/>
      <c r="CQ158" s="65"/>
      <c r="CR158" s="65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65"/>
      <c r="DH158" s="65"/>
      <c r="DI158" s="65"/>
      <c r="DJ158" s="65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  <c r="EF158" s="65"/>
      <c r="EG158" s="65"/>
      <c r="EH158" s="65"/>
      <c r="EI158" s="65"/>
      <c r="EJ158" s="65"/>
      <c r="EK158" s="65"/>
      <c r="EL158" s="65"/>
      <c r="EM158" s="65"/>
      <c r="EN158" s="65"/>
    </row>
    <row r="159" spans="1:144" s="62" customFormat="1" ht="11.25" x14ac:dyDescent="0.2">
      <c r="A159" s="74">
        <v>10</v>
      </c>
      <c r="B159" s="117" t="s">
        <v>33</v>
      </c>
      <c r="C159" s="125" t="s">
        <v>16</v>
      </c>
      <c r="D159" s="364">
        <f>+'II-H-1.2'!D88/'II-H-1.2'!D28</f>
        <v>-2.1441417903635799E-2</v>
      </c>
      <c r="E159" s="364">
        <f>+'II-H-1.2'!E88/'II-H-1.2'!E28</f>
        <v>4.7910757608696595E-3</v>
      </c>
      <c r="F159" s="364">
        <f>+'II-H-1.2'!F88/'II-H-1.2'!F28</f>
        <v>1.1053927430806096E-3</v>
      </c>
      <c r="G159" s="364">
        <f>+'II-H-1.2'!G88/'II-H-1.2'!G28</f>
        <v>4.7609703995034623E-4</v>
      </c>
      <c r="H159" s="364">
        <f>+'II-H-1.2'!H88/'II-H-1.2'!H28</f>
        <v>-1.3390179847241372E-3</v>
      </c>
      <c r="I159" s="364">
        <f>+'II-H-1.2'!I88/'II-H-1.2'!I28</f>
        <v>5.4938535570052969E-4</v>
      </c>
      <c r="J159" s="364">
        <f>+'II-H-1.2'!J88/'II-H-1.2'!J28</f>
        <v>1.4931843749829771E-2</v>
      </c>
      <c r="K159" s="364">
        <f>+'II-H-1.2'!K88/'II-H-1.2'!K28</f>
        <v>-5.4919693762249221E-3</v>
      </c>
      <c r="L159" s="364">
        <f>+'II-H-1.2'!L88/'II-H-1.2'!L28</f>
        <v>-8.9859105130014145E-4</v>
      </c>
      <c r="M159" s="364">
        <f>+'II-H-1.2'!M88/'II-H-1.2'!M28</f>
        <v>-1.5003949988765806E-3</v>
      </c>
      <c r="N159" s="364">
        <f>+'II-H-1.2'!N88/'II-H-1.2'!N28</f>
        <v>5.5949689407774645E-4</v>
      </c>
      <c r="O159" s="364">
        <f>+'II-H-1.2'!O88/'II-H-1.2'!O28</f>
        <v>0</v>
      </c>
      <c r="P159" s="117"/>
      <c r="Q159" s="117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65"/>
      <c r="CQ159" s="65"/>
      <c r="CR159" s="65"/>
      <c r="CS159" s="65"/>
      <c r="CT159" s="65"/>
      <c r="CU159" s="65"/>
      <c r="CV159" s="65"/>
      <c r="CW159" s="65"/>
      <c r="CX159" s="65"/>
      <c r="CY159" s="65"/>
      <c r="CZ159" s="65"/>
      <c r="DA159" s="65"/>
      <c r="DB159" s="65"/>
      <c r="DC159" s="65"/>
      <c r="DD159" s="65"/>
      <c r="DE159" s="65"/>
      <c r="DF159" s="65"/>
      <c r="DG159" s="65"/>
      <c r="DH159" s="65"/>
      <c r="DI159" s="65"/>
      <c r="DJ159" s="65"/>
      <c r="DK159" s="65"/>
      <c r="DL159" s="65"/>
      <c r="DM159" s="65"/>
      <c r="DN159" s="65"/>
      <c r="DO159" s="65"/>
      <c r="DP159" s="65"/>
      <c r="DQ159" s="65"/>
      <c r="DR159" s="65"/>
      <c r="DS159" s="65"/>
      <c r="DT159" s="65"/>
      <c r="DU159" s="65"/>
      <c r="DV159" s="65"/>
      <c r="DW159" s="65"/>
      <c r="DX159" s="65"/>
      <c r="DY159" s="65"/>
      <c r="DZ159" s="65"/>
      <c r="EA159" s="65"/>
      <c r="EB159" s="65"/>
      <c r="EC159" s="65"/>
      <c r="ED159" s="65"/>
      <c r="EE159" s="65"/>
      <c r="EF159" s="65"/>
      <c r="EG159" s="65"/>
      <c r="EH159" s="65"/>
      <c r="EI159" s="65"/>
      <c r="EJ159" s="65"/>
      <c r="EK159" s="65"/>
      <c r="EL159" s="65"/>
      <c r="EM159" s="65"/>
      <c r="EN159" s="65"/>
    </row>
    <row r="160" spans="1:144" s="62" customFormat="1" ht="11.25" x14ac:dyDescent="0.2">
      <c r="A160" s="74"/>
      <c r="B160" s="129"/>
      <c r="C160" s="143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22"/>
      <c r="O160" s="122"/>
      <c r="P160" s="117"/>
      <c r="Q160" s="117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/>
      <c r="CB160" s="65"/>
      <c r="CC160" s="65"/>
      <c r="CD160" s="65"/>
      <c r="CE160" s="65"/>
      <c r="CF160" s="65"/>
      <c r="CG160" s="65"/>
      <c r="CH160" s="65"/>
      <c r="CI160" s="65"/>
      <c r="CJ160" s="65"/>
      <c r="CK160" s="65"/>
      <c r="CL160" s="65"/>
      <c r="CM160" s="65"/>
      <c r="CN160" s="65"/>
      <c r="CO160" s="65"/>
      <c r="CP160" s="65"/>
      <c r="CQ160" s="65"/>
      <c r="CR160" s="65"/>
      <c r="CS160" s="65"/>
      <c r="CT160" s="65"/>
      <c r="CU160" s="65"/>
      <c r="CV160" s="65"/>
      <c r="CW160" s="65"/>
      <c r="CX160" s="65"/>
      <c r="CY160" s="65"/>
      <c r="CZ160" s="65"/>
      <c r="DA160" s="65"/>
      <c r="DB160" s="65"/>
      <c r="DC160" s="65"/>
      <c r="DD160" s="65"/>
      <c r="DE160" s="65"/>
      <c r="DF160" s="65"/>
      <c r="DG160" s="65"/>
      <c r="DH160" s="65"/>
      <c r="DI160" s="65"/>
      <c r="DJ160" s="65"/>
      <c r="DK160" s="65"/>
      <c r="DL160" s="65"/>
      <c r="DM160" s="65"/>
      <c r="DN160" s="65"/>
      <c r="DO160" s="65"/>
      <c r="DP160" s="65"/>
      <c r="DQ160" s="65"/>
      <c r="DR160" s="65"/>
      <c r="DS160" s="65"/>
      <c r="DT160" s="65"/>
      <c r="DU160" s="65"/>
      <c r="DV160" s="65"/>
      <c r="DW160" s="65"/>
      <c r="DX160" s="65"/>
      <c r="DY160" s="65"/>
      <c r="DZ160" s="65"/>
      <c r="EA160" s="65"/>
      <c r="EB160" s="65"/>
      <c r="EC160" s="65"/>
      <c r="ED160" s="65"/>
      <c r="EE160" s="65"/>
      <c r="EF160" s="65"/>
      <c r="EG160" s="65"/>
      <c r="EH160" s="65"/>
      <c r="EI160" s="65"/>
      <c r="EJ160" s="65"/>
      <c r="EK160" s="65"/>
      <c r="EL160" s="65"/>
      <c r="EM160" s="65"/>
      <c r="EN160" s="65"/>
    </row>
    <row r="161" spans="1:144" s="62" customFormat="1" ht="11.25" x14ac:dyDescent="0.2">
      <c r="A161" s="74">
        <v>11</v>
      </c>
      <c r="B161" s="183" t="s">
        <v>34</v>
      </c>
      <c r="C161" s="236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17"/>
      <c r="Q161" s="117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/>
      <c r="CB161" s="65"/>
      <c r="CC161" s="65"/>
      <c r="CD161" s="65"/>
      <c r="CE161" s="65"/>
      <c r="CF161" s="65"/>
      <c r="CG161" s="65"/>
      <c r="CH161" s="65"/>
      <c r="CI161" s="65"/>
      <c r="CJ161" s="65"/>
      <c r="CK161" s="65"/>
      <c r="CL161" s="65"/>
      <c r="CM161" s="65"/>
      <c r="CN161" s="65"/>
      <c r="CO161" s="65"/>
      <c r="CP161" s="65"/>
      <c r="CQ161" s="65"/>
      <c r="CR161" s="65"/>
      <c r="CS161" s="65"/>
      <c r="CT161" s="65"/>
      <c r="CU161" s="65"/>
      <c r="CV161" s="65"/>
      <c r="CW161" s="65"/>
      <c r="CX161" s="65"/>
      <c r="CY161" s="65"/>
      <c r="CZ161" s="65"/>
      <c r="DA161" s="65"/>
      <c r="DB161" s="65"/>
      <c r="DC161" s="65"/>
      <c r="DD161" s="65"/>
      <c r="DE161" s="65"/>
      <c r="DF161" s="65"/>
      <c r="DG161" s="65"/>
      <c r="DH161" s="65"/>
      <c r="DI161" s="65"/>
      <c r="DJ161" s="65"/>
      <c r="DK161" s="65"/>
      <c r="DL161" s="65"/>
      <c r="DM161" s="65"/>
      <c r="DN161" s="65"/>
      <c r="DO161" s="65"/>
      <c r="DP161" s="65"/>
      <c r="DQ161" s="65"/>
      <c r="DR161" s="65"/>
      <c r="DS161" s="65"/>
      <c r="DT161" s="65"/>
      <c r="DU161" s="65"/>
      <c r="DV161" s="65"/>
      <c r="DW161" s="65"/>
      <c r="DX161" s="65"/>
      <c r="DY161" s="65"/>
      <c r="DZ161" s="65"/>
      <c r="EA161" s="65"/>
      <c r="EB161" s="65"/>
      <c r="EC161" s="65"/>
      <c r="ED161" s="65"/>
      <c r="EE161" s="65"/>
      <c r="EF161" s="65"/>
      <c r="EG161" s="65"/>
      <c r="EH161" s="65"/>
      <c r="EI161" s="65"/>
      <c r="EJ161" s="65"/>
      <c r="EK161" s="65"/>
      <c r="EL161" s="65"/>
      <c r="EM161" s="65"/>
      <c r="EN161" s="65"/>
    </row>
    <row r="162" spans="1:144" s="62" customFormat="1" ht="11.25" x14ac:dyDescent="0.2">
      <c r="B162" s="236"/>
      <c r="C162" s="236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56"/>
      <c r="O162" s="156"/>
      <c r="P162" s="117"/>
      <c r="Q162" s="117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/>
      <c r="CB162" s="65"/>
      <c r="CC162" s="65"/>
      <c r="CD162" s="65"/>
      <c r="CE162" s="65"/>
      <c r="CF162" s="65"/>
      <c r="CG162" s="65"/>
      <c r="CH162" s="65"/>
      <c r="CI162" s="65"/>
      <c r="CJ162" s="65"/>
      <c r="CK162" s="65"/>
      <c r="CL162" s="65"/>
      <c r="CM162" s="65"/>
      <c r="CN162" s="65"/>
      <c r="CO162" s="65"/>
      <c r="CP162" s="65"/>
      <c r="CQ162" s="65"/>
      <c r="CR162" s="65"/>
      <c r="CS162" s="65"/>
      <c r="CT162" s="65"/>
      <c r="CU162" s="65"/>
      <c r="CV162" s="65"/>
      <c r="CW162" s="65"/>
      <c r="CX162" s="65"/>
      <c r="CY162" s="65"/>
      <c r="CZ162" s="65"/>
      <c r="DA162" s="65"/>
      <c r="DB162" s="65"/>
      <c r="DC162" s="65"/>
      <c r="DD162" s="65"/>
      <c r="DE162" s="65"/>
      <c r="DF162" s="65"/>
      <c r="DG162" s="65"/>
      <c r="DH162" s="65"/>
      <c r="DI162" s="65"/>
      <c r="DJ162" s="65"/>
      <c r="DK162" s="65"/>
      <c r="DL162" s="65"/>
      <c r="DM162" s="65"/>
      <c r="DN162" s="65"/>
      <c r="DO162" s="65"/>
      <c r="DP162" s="65"/>
      <c r="DQ162" s="65"/>
      <c r="DR162" s="65"/>
      <c r="DS162" s="65"/>
      <c r="DT162" s="65"/>
      <c r="DU162" s="65"/>
      <c r="DV162" s="65"/>
      <c r="DW162" s="65"/>
      <c r="DX162" s="65"/>
      <c r="DY162" s="65"/>
      <c r="DZ162" s="65"/>
      <c r="EA162" s="65"/>
      <c r="EB162" s="65"/>
      <c r="EC162" s="65"/>
      <c r="ED162" s="65"/>
      <c r="EE162" s="65"/>
      <c r="EF162" s="65"/>
      <c r="EG162" s="65"/>
      <c r="EH162" s="65"/>
      <c r="EI162" s="65"/>
      <c r="EJ162" s="65"/>
      <c r="EK162" s="65"/>
      <c r="EL162" s="65"/>
      <c r="EM162" s="65"/>
      <c r="EN162" s="65"/>
    </row>
    <row r="163" spans="1:144" s="62" customFormat="1" ht="11.25" x14ac:dyDescent="0.2">
      <c r="A163" s="74">
        <v>12</v>
      </c>
      <c r="B163" s="148" t="s">
        <v>91</v>
      </c>
      <c r="C163" s="125" t="s">
        <v>17</v>
      </c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17"/>
      <c r="Q163" s="117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/>
      <c r="CB163" s="65"/>
      <c r="CC163" s="65"/>
      <c r="CD163" s="65"/>
      <c r="CE163" s="65"/>
      <c r="CF163" s="65"/>
      <c r="CG163" s="65"/>
      <c r="CH163" s="65"/>
      <c r="CI163" s="65"/>
      <c r="CJ163" s="65"/>
      <c r="CK163" s="65"/>
      <c r="CL163" s="65"/>
      <c r="CM163" s="65"/>
      <c r="CN163" s="65"/>
      <c r="CO163" s="65"/>
      <c r="CP163" s="65"/>
      <c r="CQ163" s="65"/>
      <c r="CR163" s="65"/>
      <c r="CS163" s="65"/>
      <c r="CT163" s="65"/>
      <c r="CU163" s="65"/>
      <c r="CV163" s="65"/>
      <c r="CW163" s="65"/>
      <c r="CX163" s="65"/>
      <c r="CY163" s="65"/>
      <c r="CZ163" s="65"/>
      <c r="DA163" s="65"/>
      <c r="DB163" s="65"/>
      <c r="DC163" s="65"/>
      <c r="DD163" s="65"/>
      <c r="DE163" s="65"/>
      <c r="DF163" s="65"/>
      <c r="DG163" s="65"/>
      <c r="DH163" s="65"/>
      <c r="DI163" s="65"/>
      <c r="DJ163" s="65"/>
      <c r="DK163" s="65"/>
      <c r="DL163" s="65"/>
      <c r="DM163" s="65"/>
      <c r="DN163" s="65"/>
      <c r="DO163" s="65"/>
      <c r="DP163" s="65"/>
      <c r="DQ163" s="65"/>
      <c r="DR163" s="65"/>
      <c r="DS163" s="65"/>
      <c r="DT163" s="65"/>
      <c r="DU163" s="65"/>
      <c r="DV163" s="65"/>
      <c r="DW163" s="65"/>
      <c r="DX163" s="65"/>
      <c r="DY163" s="65"/>
      <c r="DZ163" s="65"/>
      <c r="EA163" s="65"/>
      <c r="EB163" s="65"/>
      <c r="EC163" s="65"/>
      <c r="ED163" s="65"/>
      <c r="EE163" s="65"/>
      <c r="EF163" s="65"/>
      <c r="EG163" s="65"/>
      <c r="EH163" s="65"/>
      <c r="EI163" s="65"/>
      <c r="EJ163" s="65"/>
      <c r="EK163" s="65"/>
      <c r="EL163" s="65"/>
      <c r="EM163" s="65"/>
      <c r="EN163" s="65"/>
    </row>
    <row r="164" spans="1:144" s="62" customFormat="1" ht="11.25" x14ac:dyDescent="0.2">
      <c r="A164" s="74">
        <v>13</v>
      </c>
      <c r="B164" s="148" t="s">
        <v>92</v>
      </c>
      <c r="C164" s="125" t="s">
        <v>18</v>
      </c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17"/>
      <c r="Q164" s="117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/>
      <c r="CB164" s="65"/>
      <c r="CC164" s="65"/>
      <c r="CD164" s="65"/>
      <c r="CE164" s="65"/>
      <c r="CF164" s="65"/>
      <c r="CG164" s="65"/>
      <c r="CH164" s="65"/>
      <c r="CI164" s="65"/>
      <c r="CJ164" s="65"/>
      <c r="CK164" s="65"/>
      <c r="CL164" s="65"/>
      <c r="CM164" s="65"/>
      <c r="CN164" s="65"/>
      <c r="CO164" s="65"/>
      <c r="CP164" s="65"/>
      <c r="CQ164" s="65"/>
      <c r="CR164" s="65"/>
      <c r="CS164" s="65"/>
      <c r="CT164" s="65"/>
      <c r="CU164" s="65"/>
      <c r="CV164" s="65"/>
      <c r="CW164" s="65"/>
      <c r="CX164" s="65"/>
      <c r="CY164" s="65"/>
      <c r="CZ164" s="65"/>
      <c r="DA164" s="65"/>
      <c r="DB164" s="65"/>
      <c r="DC164" s="65"/>
      <c r="DD164" s="65"/>
      <c r="DE164" s="65"/>
      <c r="DF164" s="65"/>
      <c r="DG164" s="65"/>
      <c r="DH164" s="65"/>
      <c r="DI164" s="65"/>
      <c r="DJ164" s="65"/>
      <c r="DK164" s="65"/>
      <c r="DL164" s="65"/>
      <c r="DM164" s="65"/>
      <c r="DN164" s="65"/>
      <c r="DO164" s="65"/>
      <c r="DP164" s="65"/>
      <c r="DQ164" s="65"/>
      <c r="DR164" s="65"/>
      <c r="DS164" s="65"/>
      <c r="DT164" s="65"/>
      <c r="DU164" s="65"/>
      <c r="DV164" s="65"/>
      <c r="DW164" s="65"/>
      <c r="DX164" s="65"/>
      <c r="DY164" s="65"/>
      <c r="DZ164" s="65"/>
      <c r="EA164" s="65"/>
      <c r="EB164" s="65"/>
      <c r="EC164" s="65"/>
      <c r="ED164" s="65"/>
      <c r="EE164" s="65"/>
      <c r="EF164" s="65"/>
      <c r="EG164" s="65"/>
      <c r="EH164" s="65"/>
      <c r="EI164" s="65"/>
      <c r="EJ164" s="65"/>
      <c r="EK164" s="65"/>
      <c r="EL164" s="65"/>
      <c r="EM164" s="65"/>
      <c r="EN164" s="65"/>
    </row>
    <row r="165" spans="1:144" s="62" customFormat="1" ht="11.25" x14ac:dyDescent="0.2">
      <c r="A165" s="74">
        <v>14</v>
      </c>
      <c r="B165" s="183" t="s">
        <v>35</v>
      </c>
      <c r="C165" s="238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56"/>
      <c r="O165" s="156"/>
      <c r="P165" s="117"/>
      <c r="Q165" s="117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/>
      <c r="CB165" s="65"/>
      <c r="CC165" s="65"/>
      <c r="CD165" s="65"/>
      <c r="CE165" s="65"/>
      <c r="CF165" s="65"/>
      <c r="CG165" s="65"/>
      <c r="CH165" s="65"/>
      <c r="CI165" s="65"/>
      <c r="CJ165" s="65"/>
      <c r="CK165" s="65"/>
      <c r="CL165" s="65"/>
      <c r="CM165" s="65"/>
      <c r="CN165" s="65"/>
      <c r="CO165" s="65"/>
      <c r="CP165" s="65"/>
      <c r="CQ165" s="65"/>
      <c r="CR165" s="65"/>
      <c r="CS165" s="65"/>
      <c r="CT165" s="65"/>
      <c r="CU165" s="65"/>
      <c r="CV165" s="65"/>
      <c r="CW165" s="65"/>
      <c r="CX165" s="65"/>
      <c r="CY165" s="65"/>
      <c r="CZ165" s="65"/>
      <c r="DA165" s="65"/>
      <c r="DB165" s="65"/>
      <c r="DC165" s="65"/>
      <c r="DD165" s="65"/>
      <c r="DE165" s="65"/>
      <c r="DF165" s="65"/>
      <c r="DG165" s="65"/>
      <c r="DH165" s="65"/>
      <c r="DI165" s="65"/>
      <c r="DJ165" s="65"/>
      <c r="DK165" s="65"/>
      <c r="DL165" s="65"/>
      <c r="DM165" s="65"/>
      <c r="DN165" s="65"/>
      <c r="DO165" s="65"/>
      <c r="DP165" s="65"/>
      <c r="DQ165" s="65"/>
      <c r="DR165" s="65"/>
      <c r="DS165" s="65"/>
      <c r="DT165" s="65"/>
      <c r="DU165" s="65"/>
      <c r="DV165" s="65"/>
      <c r="DW165" s="65"/>
      <c r="DX165" s="65"/>
      <c r="DY165" s="65"/>
      <c r="DZ165" s="65"/>
      <c r="EA165" s="65"/>
      <c r="EB165" s="65"/>
      <c r="EC165" s="65"/>
      <c r="ED165" s="65"/>
      <c r="EE165" s="65"/>
      <c r="EF165" s="65"/>
      <c r="EG165" s="65"/>
      <c r="EH165" s="65"/>
      <c r="EI165" s="65"/>
      <c r="EJ165" s="65"/>
      <c r="EK165" s="65"/>
      <c r="EL165" s="65"/>
      <c r="EM165" s="65"/>
      <c r="EN165" s="65"/>
    </row>
    <row r="166" spans="1:144" s="62" customFormat="1" ht="11.25" x14ac:dyDescent="0.2">
      <c r="A166" s="74"/>
      <c r="B166" s="129"/>
      <c r="C166" s="185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22"/>
      <c r="O166" s="122"/>
      <c r="P166" s="117"/>
      <c r="Q166" s="117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/>
      <c r="CB166" s="65"/>
      <c r="CC166" s="65"/>
      <c r="CD166" s="65"/>
      <c r="CE166" s="65"/>
      <c r="CF166" s="65"/>
      <c r="CG166" s="65"/>
      <c r="CH166" s="65"/>
      <c r="CI166" s="65"/>
      <c r="CJ166" s="65"/>
      <c r="CK166" s="65"/>
      <c r="CL166" s="65"/>
      <c r="CM166" s="65"/>
      <c r="CN166" s="65"/>
      <c r="CO166" s="65"/>
      <c r="CP166" s="65"/>
      <c r="CQ166" s="65"/>
      <c r="CR166" s="65"/>
      <c r="CS166" s="65"/>
      <c r="CT166" s="65"/>
      <c r="CU166" s="65"/>
      <c r="CV166" s="65"/>
      <c r="CW166" s="65"/>
      <c r="CX166" s="65"/>
      <c r="CY166" s="65"/>
      <c r="CZ166" s="65"/>
      <c r="DA166" s="65"/>
      <c r="DB166" s="65"/>
      <c r="DC166" s="65"/>
      <c r="DD166" s="65"/>
      <c r="DE166" s="65"/>
      <c r="DF166" s="65"/>
      <c r="DG166" s="65"/>
      <c r="DH166" s="65"/>
      <c r="DI166" s="65"/>
      <c r="DJ166" s="65"/>
      <c r="DK166" s="65"/>
      <c r="DL166" s="65"/>
      <c r="DM166" s="65"/>
      <c r="DN166" s="65"/>
      <c r="DO166" s="65"/>
      <c r="DP166" s="65"/>
      <c r="DQ166" s="65"/>
      <c r="DR166" s="65"/>
      <c r="DS166" s="65"/>
      <c r="DT166" s="65"/>
      <c r="DU166" s="65"/>
      <c r="DV166" s="65"/>
      <c r="DW166" s="65"/>
      <c r="DX166" s="65"/>
      <c r="DY166" s="65"/>
      <c r="DZ166" s="65"/>
      <c r="EA166" s="65"/>
      <c r="EB166" s="65"/>
      <c r="EC166" s="65"/>
      <c r="ED166" s="65"/>
      <c r="EE166" s="65"/>
      <c r="EF166" s="65"/>
      <c r="EG166" s="65"/>
      <c r="EH166" s="65"/>
      <c r="EI166" s="65"/>
      <c r="EJ166" s="65"/>
      <c r="EK166" s="65"/>
      <c r="EL166" s="65"/>
      <c r="EM166" s="65"/>
      <c r="EN166" s="65"/>
    </row>
    <row r="167" spans="1:144" s="62" customFormat="1" ht="12" thickBot="1" x14ac:dyDescent="0.25">
      <c r="A167" s="74">
        <v>15</v>
      </c>
      <c r="B167" s="243" t="str">
        <f>B36</f>
        <v>TOTAL AEP TEXAS</v>
      </c>
      <c r="C167" s="238"/>
      <c r="D167" s="244"/>
      <c r="E167" s="244"/>
      <c r="F167" s="244"/>
      <c r="G167" s="244"/>
      <c r="H167" s="244"/>
      <c r="I167" s="244"/>
      <c r="J167" s="244"/>
      <c r="K167" s="244"/>
      <c r="L167" s="244"/>
      <c r="M167" s="244"/>
      <c r="N167" s="244"/>
      <c r="O167" s="244"/>
      <c r="P167" s="117"/>
      <c r="Q167" s="117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65"/>
      <c r="CQ167" s="65"/>
      <c r="CR167" s="65"/>
      <c r="CS167" s="65"/>
      <c r="CT167" s="65"/>
      <c r="CU167" s="65"/>
      <c r="CV167" s="65"/>
      <c r="CW167" s="65"/>
      <c r="CX167" s="65"/>
      <c r="CY167" s="65"/>
      <c r="CZ167" s="65"/>
      <c r="DA167" s="65"/>
      <c r="DB167" s="65"/>
      <c r="DC167" s="65"/>
      <c r="DD167" s="65"/>
      <c r="DE167" s="65"/>
      <c r="DF167" s="65"/>
      <c r="DG167" s="65"/>
      <c r="DH167" s="65"/>
      <c r="DI167" s="65"/>
      <c r="DJ167" s="65"/>
      <c r="DK167" s="65"/>
      <c r="DL167" s="65"/>
      <c r="DM167" s="65"/>
      <c r="DN167" s="65"/>
      <c r="DO167" s="65"/>
      <c r="DP167" s="65"/>
      <c r="DQ167" s="65"/>
      <c r="DR167" s="65"/>
      <c r="DS167" s="65"/>
      <c r="DT167" s="65"/>
      <c r="DU167" s="65"/>
      <c r="DV167" s="65"/>
      <c r="DW167" s="65"/>
      <c r="DX167" s="65"/>
      <c r="DY167" s="65"/>
      <c r="DZ167" s="65"/>
      <c r="EA167" s="65"/>
      <c r="EB167" s="65"/>
      <c r="EC167" s="65"/>
      <c r="ED167" s="65"/>
      <c r="EE167" s="65"/>
      <c r="EF167" s="65"/>
      <c r="EG167" s="65"/>
      <c r="EH167" s="65"/>
      <c r="EI167" s="65"/>
      <c r="EJ167" s="65"/>
      <c r="EK167" s="65"/>
      <c r="EL167" s="65"/>
      <c r="EM167" s="65"/>
      <c r="EN167" s="65"/>
    </row>
    <row r="168" spans="1:144" ht="13.5" thickTop="1" x14ac:dyDescent="0.2">
      <c r="A168" s="82"/>
      <c r="B168" s="146"/>
      <c r="C168" s="168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291"/>
      <c r="P168" s="288"/>
      <c r="Q168" s="289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</row>
    <row r="169" spans="1:144" x14ac:dyDescent="0.2">
      <c r="B169" s="273"/>
      <c r="C169" s="174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195"/>
      <c r="Q169" s="276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</row>
    <row r="170" spans="1:144" x14ac:dyDescent="0.2">
      <c r="A170" s="92"/>
      <c r="B170" s="15"/>
      <c r="C170" s="57"/>
      <c r="D170" s="15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70"/>
      <c r="Q170" s="102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</row>
    <row r="171" spans="1:144" x14ac:dyDescent="0.2">
      <c r="A171" s="93"/>
      <c r="B171" s="15"/>
      <c r="C171" s="57"/>
      <c r="D171" s="15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70"/>
      <c r="Q171" s="102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</row>
  </sheetData>
  <mergeCells count="8">
    <mergeCell ref="B140:O140"/>
    <mergeCell ref="B41:O41"/>
    <mergeCell ref="B7:O7"/>
    <mergeCell ref="B105:P105"/>
    <mergeCell ref="B106:P106"/>
    <mergeCell ref="B107:P107"/>
    <mergeCell ref="B9:O9"/>
    <mergeCell ref="B74:O74"/>
  </mergeCells>
  <phoneticPr fontId="10" type="noConversion"/>
  <printOptions horizontalCentered="1"/>
  <pageMargins left="0.4" right="0.28999999999999998" top="0.75" bottom="0.41" header="0.75" footer="0.2"/>
  <pageSetup scale="66" orientation="landscape" horizontalDpi="4294967292" r:id="rId1"/>
  <headerFooter alignWithMargins="0">
    <oddHeader>&amp;RSchedule II-H-3.1 through H-3.3
Page &amp;P of &amp;N</oddHeader>
    <oddFooter>&amp;L&amp;8Sponsored by: John O. Aaron</oddFooter>
  </headerFooter>
  <rowBreaks count="4" manualBreakCount="4">
    <brk id="38" max="16383" man="1"/>
    <brk id="70" max="16383" man="1"/>
    <brk id="103" max="16383" man="1"/>
    <brk id="137" max="16383" man="1"/>
  </rowBreaks>
  <colBreaks count="1" manualBreakCount="1">
    <brk id="17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1494"/>
  <sheetViews>
    <sheetView zoomScaleNormal="100" workbookViewId="0">
      <selection activeCell="B7" sqref="B7"/>
    </sheetView>
  </sheetViews>
  <sheetFormatPr defaultColWidth="9.140625" defaultRowHeight="11.25" x14ac:dyDescent="0.2"/>
  <cols>
    <col min="1" max="1" width="4.5703125" style="20" customWidth="1"/>
    <col min="2" max="2" width="32.42578125" style="20" customWidth="1"/>
    <col min="3" max="3" width="5.7109375" style="21" customWidth="1"/>
    <col min="4" max="4" width="13.28515625" style="69" bestFit="1" customWidth="1"/>
    <col min="5" max="6" width="12" style="69" customWidth="1"/>
    <col min="7" max="7" width="12" style="69" bestFit="1" customWidth="1"/>
    <col min="8" max="8" width="11.7109375" style="69" customWidth="1"/>
    <col min="9" max="9" width="13.28515625" style="69" bestFit="1" customWidth="1"/>
    <col min="10" max="10" width="12" style="69" bestFit="1" customWidth="1"/>
    <col min="11" max="11" width="12.85546875" style="69" bestFit="1" customWidth="1"/>
    <col min="12" max="13" width="12" style="69" bestFit="1" customWidth="1"/>
    <col min="14" max="14" width="11.85546875" style="69" customWidth="1"/>
    <col min="15" max="15" width="11.28515625" style="60" bestFit="1" customWidth="1"/>
    <col min="16" max="16" width="14.42578125" style="73" bestFit="1" customWidth="1"/>
    <col min="17" max="17" width="12.85546875" style="23" bestFit="1" customWidth="1"/>
    <col min="18" max="18" width="9.5703125" style="23" bestFit="1" customWidth="1"/>
    <col min="19" max="145" width="9.140625" style="23"/>
    <col min="146" max="16384" width="9.140625" style="20"/>
  </cols>
  <sheetData>
    <row r="1" spans="1:145" ht="12" thickBot="1" x14ac:dyDescent="0.25"/>
    <row r="2" spans="1:145" x14ac:dyDescent="0.2">
      <c r="B2" s="376" t="s">
        <v>142</v>
      </c>
    </row>
    <row r="3" spans="1:145" x14ac:dyDescent="0.2">
      <c r="B3" s="377" t="s">
        <v>143</v>
      </c>
    </row>
    <row r="4" spans="1:145" x14ac:dyDescent="0.2">
      <c r="B4" s="378" t="s">
        <v>184</v>
      </c>
    </row>
    <row r="5" spans="1:145" x14ac:dyDescent="0.2">
      <c r="B5" s="378" t="s">
        <v>145</v>
      </c>
    </row>
    <row r="6" spans="1:145" ht="12" thickBot="1" x14ac:dyDescent="0.25">
      <c r="B6" s="379" t="s">
        <v>188</v>
      </c>
    </row>
    <row r="7" spans="1:145" x14ac:dyDescent="0.2">
      <c r="B7" s="383"/>
    </row>
    <row r="8" spans="1:145" x14ac:dyDescent="0.2">
      <c r="B8" s="386" t="s">
        <v>130</v>
      </c>
      <c r="C8" s="389"/>
      <c r="D8" s="389"/>
      <c r="E8" s="389"/>
      <c r="F8" s="389"/>
      <c r="G8" s="389"/>
      <c r="H8" s="389"/>
      <c r="I8" s="389"/>
      <c r="J8" s="389"/>
      <c r="K8" s="389"/>
      <c r="L8" s="389"/>
      <c r="M8" s="389"/>
      <c r="N8" s="389"/>
      <c r="O8" s="389"/>
      <c r="P8" s="51"/>
    </row>
    <row r="9" spans="1:145" s="146" customFormat="1" x14ac:dyDescent="0.2">
      <c r="B9" s="393" t="s">
        <v>76</v>
      </c>
      <c r="C9" s="388"/>
      <c r="D9" s="388"/>
      <c r="E9" s="388"/>
      <c r="F9" s="388"/>
      <c r="G9" s="388"/>
      <c r="H9" s="388"/>
      <c r="I9" s="388"/>
      <c r="J9" s="388"/>
      <c r="K9" s="388"/>
      <c r="L9" s="388"/>
      <c r="M9" s="388"/>
      <c r="N9" s="388"/>
      <c r="O9" s="388"/>
      <c r="P9" s="147" t="s">
        <v>1</v>
      </c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8"/>
      <c r="EG9" s="148"/>
      <c r="EH9" s="148"/>
      <c r="EI9" s="148"/>
      <c r="EJ9" s="148"/>
      <c r="EK9" s="148"/>
      <c r="EL9" s="148"/>
      <c r="EM9" s="148"/>
      <c r="EN9" s="148"/>
      <c r="EO9" s="148"/>
    </row>
    <row r="10" spans="1:145" x14ac:dyDescent="0.2">
      <c r="B10" s="386" t="s">
        <v>107</v>
      </c>
      <c r="C10" s="389"/>
      <c r="D10" s="389"/>
      <c r="E10" s="389"/>
      <c r="F10" s="389"/>
      <c r="G10" s="389"/>
      <c r="H10" s="389"/>
      <c r="I10" s="389"/>
      <c r="J10" s="389"/>
      <c r="K10" s="389"/>
      <c r="L10" s="389"/>
      <c r="M10" s="389"/>
      <c r="N10" s="389"/>
      <c r="O10" s="389"/>
      <c r="P10" s="20" t="s">
        <v>1</v>
      </c>
    </row>
    <row r="11" spans="1:145" x14ac:dyDescent="0.2">
      <c r="B11" s="110"/>
      <c r="C11" s="118"/>
      <c r="D11" s="118"/>
      <c r="E11" s="38"/>
      <c r="F11" s="159"/>
      <c r="G11" s="38"/>
      <c r="H11" s="38"/>
      <c r="I11" s="38"/>
      <c r="J11" s="38"/>
      <c r="K11" s="38"/>
      <c r="L11" s="38"/>
      <c r="M11" s="38"/>
      <c r="N11" s="38"/>
      <c r="O11" s="38"/>
      <c r="P11" s="20"/>
    </row>
    <row r="12" spans="1:145" x14ac:dyDescent="0.2">
      <c r="B12" s="110"/>
      <c r="D12" s="230"/>
      <c r="E12" s="39"/>
      <c r="F12" s="39"/>
      <c r="G12" s="189"/>
      <c r="P12" s="40"/>
    </row>
    <row r="13" spans="1:145" x14ac:dyDescent="0.2">
      <c r="A13" s="38" t="s">
        <v>20</v>
      </c>
      <c r="B13" s="24" t="s">
        <v>0</v>
      </c>
      <c r="C13" s="24" t="s">
        <v>19</v>
      </c>
      <c r="D13" s="41" t="s">
        <v>2</v>
      </c>
      <c r="E13" s="41" t="s">
        <v>3</v>
      </c>
      <c r="F13" s="41" t="s">
        <v>4</v>
      </c>
      <c r="G13" s="41" t="s">
        <v>5</v>
      </c>
      <c r="H13" s="41" t="s">
        <v>6</v>
      </c>
      <c r="I13" s="41" t="s">
        <v>7</v>
      </c>
      <c r="J13" s="41" t="s">
        <v>8</v>
      </c>
      <c r="K13" s="41" t="s">
        <v>9</v>
      </c>
      <c r="L13" s="41" t="s">
        <v>10</v>
      </c>
      <c r="M13" s="41" t="s">
        <v>11</v>
      </c>
      <c r="N13" s="41" t="s">
        <v>12</v>
      </c>
      <c r="O13" s="41" t="s">
        <v>13</v>
      </c>
      <c r="P13" s="42" t="s">
        <v>14</v>
      </c>
    </row>
    <row r="14" spans="1:145" x14ac:dyDescent="0.2">
      <c r="B14" s="24"/>
      <c r="C14" s="24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2"/>
      <c r="P14" s="42"/>
    </row>
    <row r="15" spans="1:145" s="62" customFormat="1" x14ac:dyDescent="0.2">
      <c r="A15" s="74" t="s">
        <v>21</v>
      </c>
      <c r="B15" s="129" t="s">
        <v>29</v>
      </c>
      <c r="C15" s="143" t="s">
        <v>16</v>
      </c>
      <c r="D15" s="149">
        <f>'[6]Sales of Elec'!F85+'[5]II-H-4.1 Monthly'!D8</f>
        <v>59562881.049999997</v>
      </c>
      <c r="E15" s="149">
        <f>'[6]Sales of Elec'!G85+'[5]II-H-4.1 Monthly'!E8</f>
        <v>46223914.690000005</v>
      </c>
      <c r="F15" s="149">
        <f>'[6]Sales of Elec'!H85+'[5]II-H-4.1 Monthly'!F8</f>
        <v>36481296.210000001</v>
      </c>
      <c r="G15" s="149">
        <f>'[6]Sales of Elec'!I85+'[5]II-H-4.1 Monthly'!G8</f>
        <v>37837457.299999997</v>
      </c>
      <c r="H15" s="149">
        <f>'[6]Sales of Elec'!J85+'[5]II-H-4.1 Monthly'!H8</f>
        <v>41112166.109999999</v>
      </c>
      <c r="I15" s="149">
        <f>'[6]Sales of Elec'!K85+'[5]II-H-4.1 Monthly'!I8</f>
        <v>58461558.969999999</v>
      </c>
      <c r="J15" s="149">
        <f>'[6]Sales of Elec'!L85+'[5]II-H-4.1 Monthly'!J8</f>
        <v>60803686.219999999</v>
      </c>
      <c r="K15" s="149">
        <f>'[6]Sales of Elec'!M85+'[5]II-H-4.1 Monthly'!K8</f>
        <v>61629221.709999993</v>
      </c>
      <c r="L15" s="149">
        <f>'[6]Sales of Elec'!N85+'[5]II-H-4.1 Monthly'!L8</f>
        <v>60128452.890000001</v>
      </c>
      <c r="M15" s="149">
        <f>'[6]Sales of Elec'!O85+'[5]II-H-4.1 Monthly'!M8</f>
        <v>49259687.57</v>
      </c>
      <c r="N15" s="149">
        <f>'[6]Sales of Elec'!P85+'[5]II-H-4.1 Monthly'!N8</f>
        <v>39313652.340000004</v>
      </c>
      <c r="O15" s="149">
        <f>'[6]Sales of Elec'!Q85+'[5]II-H-4.1 Monthly'!O8</f>
        <v>43224124.719999999</v>
      </c>
      <c r="P15" s="149">
        <f>SUM(D15:O15)</f>
        <v>594038099.78000009</v>
      </c>
      <c r="Q15" s="70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</row>
    <row r="16" spans="1:145" s="62" customFormat="1" x14ac:dyDescent="0.2">
      <c r="B16" s="129"/>
      <c r="C16" s="143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56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</row>
    <row r="17" spans="1:145" s="62" customFormat="1" x14ac:dyDescent="0.2">
      <c r="A17" s="74">
        <v>2</v>
      </c>
      <c r="B17" s="129" t="s">
        <v>32</v>
      </c>
      <c r="C17" s="143" t="s">
        <v>16</v>
      </c>
      <c r="D17" s="122">
        <f>'[6]Sales of Elec'!F12+'[5]II-H-4.1 Monthly'!D10</f>
        <v>4017775.6599999997</v>
      </c>
      <c r="E17" s="122">
        <f>'[6]Sales of Elec'!G12+'[5]II-H-4.1 Monthly'!E10</f>
        <v>3527136.29</v>
      </c>
      <c r="F17" s="122">
        <f>'[6]Sales of Elec'!H12+'[5]II-H-4.1 Monthly'!F10</f>
        <v>3367785.1</v>
      </c>
      <c r="G17" s="122">
        <f>'[6]Sales of Elec'!I12+'[5]II-H-4.1 Monthly'!G10</f>
        <v>3473543.3</v>
      </c>
      <c r="H17" s="122">
        <f>'[6]Sales of Elec'!J12+'[5]II-H-4.1 Monthly'!H10</f>
        <v>3520682.94</v>
      </c>
      <c r="I17" s="122">
        <f>'[6]Sales of Elec'!K12+'[5]II-H-4.1 Monthly'!I10</f>
        <v>4069750.4299999997</v>
      </c>
      <c r="J17" s="122">
        <f>'[6]Sales of Elec'!L12+'[5]II-H-4.1 Monthly'!J10</f>
        <v>4143613.9</v>
      </c>
      <c r="K17" s="122">
        <f>'[6]Sales of Elec'!M12+'[5]II-H-4.1 Monthly'!K10</f>
        <v>4161293.38</v>
      </c>
      <c r="L17" s="122">
        <f>'[6]Sales of Elec'!N12+'[5]II-H-4.1 Monthly'!L10</f>
        <v>4019806.2300000004</v>
      </c>
      <c r="M17" s="122">
        <f>'[6]Sales of Elec'!O12+'[5]II-H-4.1 Monthly'!M10</f>
        <v>3679283.12</v>
      </c>
      <c r="N17" s="122">
        <f>'[6]Sales of Elec'!P12+'[5]II-H-4.1 Monthly'!N10</f>
        <v>3364293.06</v>
      </c>
      <c r="O17" s="122">
        <f>'[6]Sales of Elec'!Q12+'[5]II-H-4.1 Monthly'!O10</f>
        <v>3476509.2699999996</v>
      </c>
      <c r="P17" s="156">
        <f>SUM(D17:O17)</f>
        <v>44821472.679999992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</row>
    <row r="18" spans="1:145" s="62" customFormat="1" x14ac:dyDescent="0.2">
      <c r="A18" s="74"/>
      <c r="B18" s="129"/>
      <c r="C18" s="143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56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</row>
    <row r="19" spans="1:145" s="62" customFormat="1" x14ac:dyDescent="0.2">
      <c r="A19" s="74">
        <v>3</v>
      </c>
      <c r="B19" s="146" t="s">
        <v>113</v>
      </c>
      <c r="C19" s="125" t="s">
        <v>16</v>
      </c>
      <c r="D19" s="142">
        <f>'[6]Sales of Elec'!F30+'[5]II-H-4.1 Monthly'!D12</f>
        <v>29523362.039999999</v>
      </c>
      <c r="E19" s="142">
        <f>'[6]Sales of Elec'!G30+'[5]II-H-4.1 Monthly'!E12</f>
        <v>28956585.510000002</v>
      </c>
      <c r="F19" s="142">
        <f>'[6]Sales of Elec'!H30+'[5]II-H-4.1 Monthly'!F12</f>
        <v>27785574.699999999</v>
      </c>
      <c r="G19" s="142">
        <f>'[6]Sales of Elec'!I30+'[5]II-H-4.1 Monthly'!G12</f>
        <v>27734369.309999999</v>
      </c>
      <c r="H19" s="142">
        <f>'[6]Sales of Elec'!J30+'[5]II-H-4.1 Monthly'!H12</f>
        <v>28220721.780000001</v>
      </c>
      <c r="I19" s="142">
        <f>'[6]Sales of Elec'!K30+'[5]II-H-4.1 Monthly'!I12</f>
        <v>30198894.739999998</v>
      </c>
      <c r="J19" s="142">
        <f>'[6]Sales of Elec'!L30+'[5]II-H-4.1 Monthly'!J12</f>
        <v>30022349.049999997</v>
      </c>
      <c r="K19" s="142">
        <f>'[6]Sales of Elec'!M30+'[5]II-H-4.1 Monthly'!K12</f>
        <v>30408069.77</v>
      </c>
      <c r="L19" s="142">
        <f>'[6]Sales of Elec'!N30+'[5]II-H-4.1 Monthly'!L12</f>
        <v>29903119.509999998</v>
      </c>
      <c r="M19" s="142">
        <f>'[6]Sales of Elec'!O30+'[5]II-H-4.1 Monthly'!M12</f>
        <v>28610758.919999998</v>
      </c>
      <c r="N19" s="142">
        <f>'[6]Sales of Elec'!P30+'[5]II-H-4.1 Monthly'!N12</f>
        <v>27691740.759999998</v>
      </c>
      <c r="O19" s="142">
        <f>'[6]Sales of Elec'!Q30+'[5]II-H-4.1 Monthly'!O12</f>
        <v>27601158.73</v>
      </c>
      <c r="P19" s="156">
        <f>SUM(D19:O19)</f>
        <v>346656704.81999999</v>
      </c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5"/>
    </row>
    <row r="20" spans="1:145" s="62" customFormat="1" x14ac:dyDescent="0.2">
      <c r="A20" s="74">
        <v>4</v>
      </c>
      <c r="B20" s="146" t="s">
        <v>114</v>
      </c>
      <c r="C20" s="125" t="s">
        <v>16</v>
      </c>
      <c r="D20" s="123">
        <f>'[6]Sales of Elec'!F21+'[5]II-H-4.1 Monthly'!D13</f>
        <v>2751168.41</v>
      </c>
      <c r="E20" s="123">
        <f>'[6]Sales of Elec'!G21+'[5]II-H-4.1 Monthly'!E13</f>
        <v>2680446.59</v>
      </c>
      <c r="F20" s="123">
        <f>'[6]Sales of Elec'!H21+'[5]II-H-4.1 Monthly'!F13</f>
        <v>2602449.58</v>
      </c>
      <c r="G20" s="123">
        <f>'[6]Sales of Elec'!I21+'[5]II-H-4.1 Monthly'!G13</f>
        <v>2576572.65</v>
      </c>
      <c r="H20" s="123">
        <f>'[6]Sales of Elec'!J21+'[5]II-H-4.1 Monthly'!H13</f>
        <v>2595536.36</v>
      </c>
      <c r="I20" s="123">
        <f>'[6]Sales of Elec'!K21+'[5]II-H-4.1 Monthly'!I13</f>
        <v>2560709.34</v>
      </c>
      <c r="J20" s="123">
        <f>'[6]Sales of Elec'!L21+'[5]II-H-4.1 Monthly'!J13</f>
        <v>2650227.0099999998</v>
      </c>
      <c r="K20" s="123">
        <f>'[6]Sales of Elec'!M21+'[5]II-H-4.1 Monthly'!K13</f>
        <v>2729544.77</v>
      </c>
      <c r="L20" s="123">
        <f>'[6]Sales of Elec'!N21+'[5]II-H-4.1 Monthly'!L13</f>
        <v>2861825.5200000005</v>
      </c>
      <c r="M20" s="123">
        <f>'[6]Sales of Elec'!O21+'[5]II-H-4.1 Monthly'!M13</f>
        <v>2734321.83</v>
      </c>
      <c r="N20" s="123">
        <f>'[6]Sales of Elec'!P21+'[5]II-H-4.1 Monthly'!N13</f>
        <v>2665744.75</v>
      </c>
      <c r="O20" s="123">
        <f>'[6]Sales of Elec'!Q21+'[5]II-H-4.1 Monthly'!O13</f>
        <v>2551472.4900000002</v>
      </c>
      <c r="P20" s="123">
        <f>SUM(D20:O20)</f>
        <v>31960019.299999997</v>
      </c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5"/>
    </row>
    <row r="21" spans="1:145" s="62" customFormat="1" x14ac:dyDescent="0.2">
      <c r="A21" s="74">
        <v>5</v>
      </c>
      <c r="B21" s="162" t="s">
        <v>30</v>
      </c>
      <c r="C21" s="143"/>
      <c r="D21" s="157">
        <f>SUM(D19:D20)</f>
        <v>32274530.449999999</v>
      </c>
      <c r="E21" s="157">
        <f t="shared" ref="E21:O21" si="0">SUM(E19:E20)</f>
        <v>31637032.100000001</v>
      </c>
      <c r="F21" s="157">
        <f t="shared" si="0"/>
        <v>30388024.280000001</v>
      </c>
      <c r="G21" s="157">
        <f t="shared" si="0"/>
        <v>30310941.959999997</v>
      </c>
      <c r="H21" s="157">
        <f t="shared" si="0"/>
        <v>30816258.140000001</v>
      </c>
      <c r="I21" s="157">
        <f t="shared" si="0"/>
        <v>32759604.079999998</v>
      </c>
      <c r="J21" s="157">
        <f t="shared" si="0"/>
        <v>32672576.059999995</v>
      </c>
      <c r="K21" s="157">
        <f t="shared" si="0"/>
        <v>33137614.539999999</v>
      </c>
      <c r="L21" s="157">
        <f t="shared" si="0"/>
        <v>32764945.029999997</v>
      </c>
      <c r="M21" s="157">
        <f t="shared" si="0"/>
        <v>31345080.75</v>
      </c>
      <c r="N21" s="157">
        <f t="shared" si="0"/>
        <v>30357485.509999998</v>
      </c>
      <c r="O21" s="157">
        <f t="shared" si="0"/>
        <v>30152631.219999999</v>
      </c>
      <c r="P21" s="157">
        <f>SUM(P19:P20)</f>
        <v>378616724.12</v>
      </c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  <c r="EO21" s="65"/>
    </row>
    <row r="22" spans="1:145" s="62" customFormat="1" x14ac:dyDescent="0.2">
      <c r="B22" s="242"/>
      <c r="C22" s="143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22"/>
      <c r="P22" s="122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</row>
    <row r="23" spans="1:145" s="62" customFormat="1" x14ac:dyDescent="0.2">
      <c r="A23" s="74">
        <v>6</v>
      </c>
      <c r="B23" s="146" t="s">
        <v>110</v>
      </c>
      <c r="C23" s="125" t="s">
        <v>17</v>
      </c>
      <c r="D23" s="122">
        <f>'[6]Sales of Elec'!F82+'[5]II-H-4.1 Monthly'!D16</f>
        <v>666902.32000000007</v>
      </c>
      <c r="E23" s="122">
        <f>'[6]Sales of Elec'!G82+'[5]II-H-4.1 Monthly'!E16</f>
        <v>677520.78</v>
      </c>
      <c r="F23" s="122">
        <f>'[6]Sales of Elec'!H82+'[5]II-H-4.1 Monthly'!F16</f>
        <v>652064.27</v>
      </c>
      <c r="G23" s="122">
        <f>'[6]Sales of Elec'!I82+'[5]II-H-4.1 Monthly'!G16</f>
        <v>674447.48</v>
      </c>
      <c r="H23" s="122">
        <f>'[6]Sales of Elec'!J82+'[5]II-H-4.1 Monthly'!H16</f>
        <v>699770.27</v>
      </c>
      <c r="I23" s="122">
        <f>'[6]Sales of Elec'!K82+'[5]II-H-4.1 Monthly'!I16</f>
        <v>728477.63</v>
      </c>
      <c r="J23" s="122">
        <f>'[6]Sales of Elec'!L82+'[5]II-H-4.1 Monthly'!J16</f>
        <v>708664.35</v>
      </c>
      <c r="K23" s="122">
        <f>'[6]Sales of Elec'!M82+'[5]II-H-4.1 Monthly'!K16</f>
        <v>771698.32</v>
      </c>
      <c r="L23" s="122">
        <f>'[6]Sales of Elec'!N82+'[5]II-H-4.1 Monthly'!L16</f>
        <v>754966.62999999989</v>
      </c>
      <c r="M23" s="122">
        <f>'[6]Sales of Elec'!O82+'[5]II-H-4.1 Monthly'!M16</f>
        <v>792355.42</v>
      </c>
      <c r="N23" s="122">
        <f>'[6]Sales of Elec'!P82+'[5]II-H-4.1 Monthly'!N16</f>
        <v>865617.30999999994</v>
      </c>
      <c r="O23" s="122">
        <f>'[6]Sales of Elec'!Q82+'[5]II-H-4.1 Monthly'!O16</f>
        <v>732600.22</v>
      </c>
      <c r="P23" s="156">
        <f>SUM(D23:O23)</f>
        <v>8725085</v>
      </c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  <c r="EO23" s="65"/>
    </row>
    <row r="24" spans="1:145" s="62" customFormat="1" x14ac:dyDescent="0.2">
      <c r="A24" s="74">
        <v>7</v>
      </c>
      <c r="B24" s="146" t="s">
        <v>111</v>
      </c>
      <c r="C24" s="125" t="s">
        <v>17</v>
      </c>
      <c r="D24" s="123">
        <f>'[6]Sales of Elec'!F77+'[5]II-H-4.1 Monthly'!D17</f>
        <v>6997307.1799999997</v>
      </c>
      <c r="E24" s="123">
        <f>'[6]Sales of Elec'!G77+'[5]II-H-4.1 Monthly'!E17</f>
        <v>6686883.6400000006</v>
      </c>
      <c r="F24" s="123">
        <f>'[6]Sales of Elec'!H77+'[5]II-H-4.1 Monthly'!F17</f>
        <v>6771838.6399999997</v>
      </c>
      <c r="G24" s="123">
        <f>'[6]Sales of Elec'!I77+'[5]II-H-4.1 Monthly'!G17</f>
        <v>6632990.7000000002</v>
      </c>
      <c r="H24" s="123">
        <f>'[6]Sales of Elec'!J77+'[5]II-H-4.1 Monthly'!H17</f>
        <v>7112153.5</v>
      </c>
      <c r="I24" s="123">
        <f>'[6]Sales of Elec'!K77+'[5]II-H-4.1 Monthly'!I17</f>
        <v>7260254.1400000006</v>
      </c>
      <c r="J24" s="123">
        <f>'[6]Sales of Elec'!L77+'[5]II-H-4.1 Monthly'!J17</f>
        <v>7111674.3399999999</v>
      </c>
      <c r="K24" s="123">
        <f>'[6]Sales of Elec'!M77+'[5]II-H-4.1 Monthly'!K17</f>
        <v>7042631.6399999997</v>
      </c>
      <c r="L24" s="123">
        <f>'[6]Sales of Elec'!N77+'[5]II-H-4.1 Monthly'!L17</f>
        <v>7114287.4000000004</v>
      </c>
      <c r="M24" s="123">
        <f>'[6]Sales of Elec'!O77+'[5]II-H-4.1 Monthly'!M17</f>
        <v>6781695.8700000001</v>
      </c>
      <c r="N24" s="123">
        <f>'[6]Sales of Elec'!P77+'[5]II-H-4.1 Monthly'!N17</f>
        <v>7049372.29</v>
      </c>
      <c r="O24" s="123">
        <f>'[6]Sales of Elec'!Q77+'[5]II-H-4.1 Monthly'!O17</f>
        <v>6592901.7300000004</v>
      </c>
      <c r="P24" s="173">
        <f>SUM(D24:O24)</f>
        <v>83153991.070000008</v>
      </c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</row>
    <row r="25" spans="1:145" s="62" customFormat="1" x14ac:dyDescent="0.2">
      <c r="A25" s="74">
        <v>8</v>
      </c>
      <c r="B25" s="129" t="s">
        <v>31</v>
      </c>
      <c r="C25" s="125"/>
      <c r="D25" s="122">
        <f>SUM(D23:D24)</f>
        <v>7664209.5</v>
      </c>
      <c r="E25" s="122">
        <f t="shared" ref="E25:O25" si="1">SUM(E23:E24)</f>
        <v>7364404.4200000009</v>
      </c>
      <c r="F25" s="122">
        <f t="shared" si="1"/>
        <v>7423902.9100000001</v>
      </c>
      <c r="G25" s="122">
        <f t="shared" si="1"/>
        <v>7307438.1799999997</v>
      </c>
      <c r="H25" s="122">
        <f t="shared" si="1"/>
        <v>7811923.7699999996</v>
      </c>
      <c r="I25" s="122">
        <f t="shared" si="1"/>
        <v>7988731.7700000005</v>
      </c>
      <c r="J25" s="122">
        <f t="shared" si="1"/>
        <v>7820338.6899999995</v>
      </c>
      <c r="K25" s="122">
        <f t="shared" si="1"/>
        <v>7814329.96</v>
      </c>
      <c r="L25" s="122">
        <f t="shared" si="1"/>
        <v>7869254.0300000003</v>
      </c>
      <c r="M25" s="122">
        <f t="shared" si="1"/>
        <v>7574051.29</v>
      </c>
      <c r="N25" s="122">
        <f t="shared" si="1"/>
        <v>7914989.5999999996</v>
      </c>
      <c r="O25" s="122">
        <f t="shared" si="1"/>
        <v>7325501.9500000002</v>
      </c>
      <c r="P25" s="122">
        <f>SUM(P23:P24)</f>
        <v>91879076.070000008</v>
      </c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</row>
    <row r="26" spans="1:145" s="62" customFormat="1" x14ac:dyDescent="0.2">
      <c r="A26" s="74"/>
      <c r="B26" s="129"/>
      <c r="C26" s="125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56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  <c r="EO26" s="65"/>
    </row>
    <row r="27" spans="1:145" s="62" customFormat="1" x14ac:dyDescent="0.2">
      <c r="A27" s="74">
        <v>9</v>
      </c>
      <c r="B27" s="162" t="s">
        <v>115</v>
      </c>
      <c r="C27" s="125" t="s">
        <v>18</v>
      </c>
      <c r="D27" s="122">
        <f>'[6]Sales of Elec'!F97+'[5]II-H-4.1 Monthly'!D20</f>
        <v>5167460.2700000005</v>
      </c>
      <c r="E27" s="122">
        <f>'[6]Sales of Elec'!G97+'[5]II-H-4.1 Monthly'!E20</f>
        <v>3802453.82</v>
      </c>
      <c r="F27" s="122">
        <f>'[6]Sales of Elec'!H97+'[5]II-H-4.1 Monthly'!F20</f>
        <v>4561676.08</v>
      </c>
      <c r="G27" s="122">
        <f>'[6]Sales of Elec'!I97+'[5]II-H-4.1 Monthly'!G20</f>
        <v>4154398.79</v>
      </c>
      <c r="H27" s="122">
        <f>'[6]Sales of Elec'!J97+'[5]II-H-4.1 Monthly'!H20</f>
        <v>4347111.75</v>
      </c>
      <c r="I27" s="122">
        <f>'[6]Sales of Elec'!K97+'[5]II-H-4.1 Monthly'!I20</f>
        <v>4738061.7300000004</v>
      </c>
      <c r="J27" s="122">
        <f>'[6]Sales of Elec'!L97+'[5]II-H-4.1 Monthly'!J20</f>
        <v>3729155.37</v>
      </c>
      <c r="K27" s="122">
        <f>'[6]Sales of Elec'!M97+'[5]II-H-4.1 Monthly'!K20</f>
        <v>3862540.18</v>
      </c>
      <c r="L27" s="122">
        <f>'[6]Sales of Elec'!N97+'[5]II-H-4.1 Monthly'!L20</f>
        <v>4431810.05</v>
      </c>
      <c r="M27" s="122">
        <f>'[6]Sales of Elec'!O97+'[5]II-H-4.1 Monthly'!M20</f>
        <v>2405406.71</v>
      </c>
      <c r="N27" s="122">
        <f>'[6]Sales of Elec'!P97+'[5]II-H-4.1 Monthly'!N20</f>
        <v>5323615.8900000006</v>
      </c>
      <c r="O27" s="122">
        <f>'[6]Sales of Elec'!Q97+'[5]II-H-4.1 Monthly'!O20</f>
        <v>2625361.6199999996</v>
      </c>
      <c r="P27" s="156">
        <f>SUM(D27:O27)</f>
        <v>49149052.259999998</v>
      </c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  <c r="EO27" s="65"/>
    </row>
    <row r="28" spans="1:145" s="62" customFormat="1" x14ac:dyDescent="0.2">
      <c r="B28" s="129"/>
      <c r="C28" s="143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22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  <c r="EO28" s="65"/>
    </row>
    <row r="29" spans="1:145" s="62" customFormat="1" x14ac:dyDescent="0.2">
      <c r="A29" s="74">
        <v>10</v>
      </c>
      <c r="B29" s="117" t="s">
        <v>33</v>
      </c>
      <c r="C29" s="125" t="s">
        <v>16</v>
      </c>
      <c r="D29" s="122">
        <f>'[6]Sales of Elec'!F71+'[5]II-H-4.1 Monthly'!D22</f>
        <v>2206674.31</v>
      </c>
      <c r="E29" s="122">
        <f>'[6]Sales of Elec'!G71+'[5]II-H-4.1 Monthly'!E22</f>
        <v>2199185.0099999998</v>
      </c>
      <c r="F29" s="122">
        <f>'[6]Sales of Elec'!H71+'[5]II-H-4.1 Monthly'!F22</f>
        <v>2196843.5299999998</v>
      </c>
      <c r="G29" s="122">
        <f>'[6]Sales of Elec'!I71+'[5]II-H-4.1 Monthly'!G22</f>
        <v>2198649.65</v>
      </c>
      <c r="H29" s="122">
        <f>'[6]Sales of Elec'!J71+'[5]II-H-4.1 Monthly'!H22</f>
        <v>2197657.86</v>
      </c>
      <c r="I29" s="122">
        <f>'[6]Sales of Elec'!K71+'[5]II-H-4.1 Monthly'!I22</f>
        <v>2198274.96</v>
      </c>
      <c r="J29" s="122">
        <f>'[6]Sales of Elec'!L71+'[5]II-H-4.1 Monthly'!J22</f>
        <v>2198643.73</v>
      </c>
      <c r="K29" s="122">
        <f>'[6]Sales of Elec'!M71+'[5]II-H-4.1 Monthly'!K22</f>
        <v>2197724.8200000003</v>
      </c>
      <c r="L29" s="122">
        <f>'[6]Sales of Elec'!N71+'[5]II-H-4.1 Monthly'!L22</f>
        <v>2135928.7799999998</v>
      </c>
      <c r="M29" s="122">
        <f>'[6]Sales of Elec'!O71+'[5]II-H-4.1 Monthly'!M22</f>
        <v>2139941.5099999998</v>
      </c>
      <c r="N29" s="122">
        <f>'[6]Sales of Elec'!P71+'[5]II-H-4.1 Monthly'!N22</f>
        <v>2157382.44</v>
      </c>
      <c r="O29" s="122">
        <f>'[6]Sales of Elec'!Q71+'[5]II-H-4.1 Monthly'!O22</f>
        <v>2149235.61</v>
      </c>
      <c r="P29" s="156">
        <f>SUM(D29:O29)</f>
        <v>26176142.210000005</v>
      </c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5"/>
    </row>
    <row r="30" spans="1:145" s="62" customFormat="1" x14ac:dyDescent="0.2">
      <c r="A30" s="74"/>
      <c r="B30" s="129"/>
      <c r="C30" s="143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22"/>
      <c r="P30" s="122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5"/>
    </row>
    <row r="31" spans="1:145" s="62" customFormat="1" x14ac:dyDescent="0.2">
      <c r="A31" s="74">
        <v>11</v>
      </c>
      <c r="B31" s="183" t="s">
        <v>34</v>
      </c>
      <c r="C31" s="236"/>
      <c r="D31" s="184">
        <f>D29+D27+D25+D21+D17+D15</f>
        <v>110893531.23999999</v>
      </c>
      <c r="E31" s="184">
        <f t="shared" ref="E31:O31" si="2">E29+E27+E25+E21+E17+E15</f>
        <v>94754126.330000013</v>
      </c>
      <c r="F31" s="184">
        <f t="shared" si="2"/>
        <v>84419528.109999999</v>
      </c>
      <c r="G31" s="184">
        <f t="shared" si="2"/>
        <v>85282429.179999992</v>
      </c>
      <c r="H31" s="184">
        <f t="shared" si="2"/>
        <v>89805800.569999993</v>
      </c>
      <c r="I31" s="184">
        <f t="shared" si="2"/>
        <v>110215981.94</v>
      </c>
      <c r="J31" s="184">
        <f t="shared" si="2"/>
        <v>111368013.97</v>
      </c>
      <c r="K31" s="184">
        <f t="shared" si="2"/>
        <v>112802724.59</v>
      </c>
      <c r="L31" s="184">
        <f t="shared" si="2"/>
        <v>111350197.01000001</v>
      </c>
      <c r="M31" s="184">
        <f t="shared" si="2"/>
        <v>96403450.949999988</v>
      </c>
      <c r="N31" s="184">
        <f t="shared" si="2"/>
        <v>88431418.840000004</v>
      </c>
      <c r="O31" s="184">
        <f t="shared" si="2"/>
        <v>88953364.390000001</v>
      </c>
      <c r="P31" s="184">
        <f>P29+P27+P25+P21+P17+P15</f>
        <v>1184680567.1200001</v>
      </c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</row>
    <row r="32" spans="1:145" s="62" customFormat="1" x14ac:dyDescent="0.2">
      <c r="B32" s="236"/>
      <c r="C32" s="236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56"/>
      <c r="P32" s="156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</row>
    <row r="33" spans="1:145" s="62" customFormat="1" x14ac:dyDescent="0.2">
      <c r="A33" s="74">
        <v>12</v>
      </c>
      <c r="B33" s="148" t="s">
        <v>91</v>
      </c>
      <c r="C33" s="125" t="s">
        <v>17</v>
      </c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56">
        <f>SUM(D33:O33)</f>
        <v>0</v>
      </c>
      <c r="Q33" s="148"/>
      <c r="R33" s="117"/>
      <c r="S33" s="117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  <c r="EO33" s="65"/>
    </row>
    <row r="34" spans="1:145" s="62" customFormat="1" x14ac:dyDescent="0.2">
      <c r="A34" s="74">
        <v>13</v>
      </c>
      <c r="B34" s="148" t="s">
        <v>92</v>
      </c>
      <c r="C34" s="125" t="s">
        <v>18</v>
      </c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73">
        <f>SUM(D34:O34)</f>
        <v>0</v>
      </c>
      <c r="Q34" s="204"/>
      <c r="R34" s="117"/>
      <c r="S34" s="117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</row>
    <row r="35" spans="1:145" s="62" customFormat="1" x14ac:dyDescent="0.2">
      <c r="A35" s="74">
        <v>14</v>
      </c>
      <c r="B35" s="183" t="s">
        <v>35</v>
      </c>
      <c r="C35" s="238"/>
      <c r="D35" s="169">
        <f t="shared" ref="D35:P35" si="3">SUM(D33:D34)</f>
        <v>0</v>
      </c>
      <c r="E35" s="169">
        <f t="shared" si="3"/>
        <v>0</v>
      </c>
      <c r="F35" s="169">
        <f t="shared" si="3"/>
        <v>0</v>
      </c>
      <c r="G35" s="169">
        <f t="shared" si="3"/>
        <v>0</v>
      </c>
      <c r="H35" s="169">
        <f t="shared" si="3"/>
        <v>0</v>
      </c>
      <c r="I35" s="169">
        <f t="shared" si="3"/>
        <v>0</v>
      </c>
      <c r="J35" s="169">
        <f t="shared" si="3"/>
        <v>0</v>
      </c>
      <c r="K35" s="169">
        <f t="shared" si="3"/>
        <v>0</v>
      </c>
      <c r="L35" s="169">
        <f t="shared" si="3"/>
        <v>0</v>
      </c>
      <c r="M35" s="169">
        <f t="shared" si="3"/>
        <v>0</v>
      </c>
      <c r="N35" s="169">
        <f t="shared" si="3"/>
        <v>0</v>
      </c>
      <c r="O35" s="156">
        <f t="shared" si="3"/>
        <v>0</v>
      </c>
      <c r="P35" s="156">
        <f t="shared" si="3"/>
        <v>0</v>
      </c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</row>
    <row r="36" spans="1:145" s="62" customFormat="1" x14ac:dyDescent="0.2">
      <c r="A36" s="74"/>
      <c r="B36" s="129"/>
      <c r="C36" s="185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22"/>
      <c r="P36" s="122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</row>
    <row r="37" spans="1:145" s="62" customFormat="1" ht="12" thickBot="1" x14ac:dyDescent="0.25">
      <c r="A37" s="74">
        <v>15</v>
      </c>
      <c r="B37" s="243" t="s">
        <v>132</v>
      </c>
      <c r="C37" s="238"/>
      <c r="D37" s="186">
        <f t="shared" ref="D37:P37" si="4">+D35+D31</f>
        <v>110893531.23999999</v>
      </c>
      <c r="E37" s="186">
        <f t="shared" si="4"/>
        <v>94754126.330000013</v>
      </c>
      <c r="F37" s="186">
        <f t="shared" si="4"/>
        <v>84419528.109999999</v>
      </c>
      <c r="G37" s="186">
        <f t="shared" si="4"/>
        <v>85282429.179999992</v>
      </c>
      <c r="H37" s="186">
        <f t="shared" si="4"/>
        <v>89805800.569999993</v>
      </c>
      <c r="I37" s="186">
        <f t="shared" si="4"/>
        <v>110215981.94</v>
      </c>
      <c r="J37" s="186">
        <f t="shared" si="4"/>
        <v>111368013.97</v>
      </c>
      <c r="K37" s="186">
        <f t="shared" si="4"/>
        <v>112802724.59</v>
      </c>
      <c r="L37" s="186">
        <f t="shared" si="4"/>
        <v>111350197.01000001</v>
      </c>
      <c r="M37" s="186">
        <f t="shared" si="4"/>
        <v>96403450.949999988</v>
      </c>
      <c r="N37" s="186">
        <f t="shared" si="4"/>
        <v>88431418.840000004</v>
      </c>
      <c r="O37" s="186">
        <f t="shared" si="4"/>
        <v>88953364.390000001</v>
      </c>
      <c r="P37" s="186">
        <f t="shared" si="4"/>
        <v>1184680567.1200001</v>
      </c>
      <c r="Q37" s="228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</row>
    <row r="38" spans="1:145" s="62" customFormat="1" ht="12" thickTop="1" x14ac:dyDescent="0.2">
      <c r="A38" s="74"/>
      <c r="B38" s="152"/>
      <c r="C38" s="238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228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</row>
    <row r="39" spans="1:145" s="62" customFormat="1" x14ac:dyDescent="0.2">
      <c r="A39" s="74"/>
      <c r="B39" s="202"/>
      <c r="C39" s="238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</row>
    <row r="40" spans="1:145" s="62" customFormat="1" x14ac:dyDescent="0.2">
      <c r="A40" s="74"/>
      <c r="B40" s="202"/>
      <c r="C40" s="238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</row>
    <row r="41" spans="1:145" ht="14.25" customHeight="1" x14ac:dyDescent="0.2">
      <c r="B41" s="393" t="s">
        <v>130</v>
      </c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251"/>
    </row>
    <row r="42" spans="1:145" x14ac:dyDescent="0.2">
      <c r="B42" s="393" t="s">
        <v>102</v>
      </c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388"/>
      <c r="P42" s="147" t="s">
        <v>1</v>
      </c>
      <c r="Q42" s="361"/>
    </row>
    <row r="43" spans="1:145" x14ac:dyDescent="0.2">
      <c r="B43" s="388" t="str">
        <f>B10</f>
        <v>FOR TEST YEAR ENDED DECEMBER 31, 2018</v>
      </c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146" t="s">
        <v>1</v>
      </c>
    </row>
    <row r="44" spans="1:145" x14ac:dyDescent="0.2">
      <c r="B44" s="124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146"/>
    </row>
    <row r="45" spans="1:145" x14ac:dyDescent="0.2">
      <c r="B45" s="175"/>
      <c r="C45" s="168"/>
      <c r="D45" s="176"/>
      <c r="E45" s="177"/>
      <c r="F45" s="177"/>
      <c r="G45" s="176"/>
      <c r="H45" s="157"/>
      <c r="I45" s="157"/>
      <c r="J45" s="157"/>
      <c r="K45" s="157"/>
      <c r="L45" s="157"/>
      <c r="M45" s="157"/>
      <c r="N45" s="157"/>
      <c r="O45" s="122"/>
      <c r="P45" s="178"/>
    </row>
    <row r="46" spans="1:145" x14ac:dyDescent="0.2">
      <c r="A46" s="38" t="s">
        <v>20</v>
      </c>
      <c r="B46" s="237" t="s">
        <v>0</v>
      </c>
      <c r="C46" s="237" t="s">
        <v>19</v>
      </c>
      <c r="D46" s="164" t="str">
        <f>+D13</f>
        <v>JANUARY</v>
      </c>
      <c r="E46" s="164" t="str">
        <f t="shared" ref="E46:O46" si="5">+E13</f>
        <v>FEBRUARY</v>
      </c>
      <c r="F46" s="164" t="str">
        <f t="shared" si="5"/>
        <v>MARCH</v>
      </c>
      <c r="G46" s="164" t="str">
        <f t="shared" si="5"/>
        <v>APRIL</v>
      </c>
      <c r="H46" s="164" t="str">
        <f t="shared" si="5"/>
        <v>MAY</v>
      </c>
      <c r="I46" s="164" t="str">
        <f t="shared" si="5"/>
        <v>JUNE</v>
      </c>
      <c r="J46" s="164" t="str">
        <f t="shared" si="5"/>
        <v>JULY</v>
      </c>
      <c r="K46" s="164" t="str">
        <f t="shared" si="5"/>
        <v>AUGUST</v>
      </c>
      <c r="L46" s="164" t="str">
        <f t="shared" si="5"/>
        <v>SEPTEMBER</v>
      </c>
      <c r="M46" s="164" t="str">
        <f t="shared" si="5"/>
        <v>OCTOBER</v>
      </c>
      <c r="N46" s="164" t="str">
        <f t="shared" si="5"/>
        <v>NOVEMBER</v>
      </c>
      <c r="O46" s="164" t="str">
        <f t="shared" si="5"/>
        <v>DECEMBER</v>
      </c>
      <c r="P46" s="179" t="s">
        <v>14</v>
      </c>
    </row>
    <row r="47" spans="1:145" x14ac:dyDescent="0.2">
      <c r="B47" s="237"/>
      <c r="C47" s="237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79"/>
      <c r="P47" s="179"/>
    </row>
    <row r="48" spans="1:145" s="62" customFormat="1" x14ac:dyDescent="0.2">
      <c r="A48" s="74" t="s">
        <v>21</v>
      </c>
      <c r="B48" s="129" t="s">
        <v>29</v>
      </c>
      <c r="C48" s="143" t="s">
        <v>16</v>
      </c>
      <c r="D48" s="149">
        <f>-'[6]TCC Sales Elec Base Rate Dist T'!T166+'[5]II-H-4.1 Monthly'!D40</f>
        <v>-6288378.5</v>
      </c>
      <c r="E48" s="149">
        <f>-'[6]TCC Sales Elec Base Rate Dist T'!U166+'[5]II-H-4.1 Monthly'!E40</f>
        <v>-4665888.17</v>
      </c>
      <c r="F48" s="149">
        <f>-'[6]TCC Sales Elec Base Rate Dist T'!V166+'[5]II-H-4.1 Monthly'!F40</f>
        <v>-3721823.68</v>
      </c>
      <c r="G48" s="149">
        <f>-'[6]TCC Sales Elec Base Rate Dist T'!W166+'[5]II-H-4.1 Monthly'!G40</f>
        <v>-3889921.13</v>
      </c>
      <c r="H48" s="149">
        <f>-'[6]TCC Sales Elec Base Rate Dist T'!X166+'[5]II-H-4.1 Monthly'!H40</f>
        <v>-4318220.9400000004</v>
      </c>
      <c r="I48" s="149">
        <f>-'[6]TCC Sales Elec Base Rate Dist T'!Y166+'[5]II-H-4.1 Monthly'!I40</f>
        <v>-6599540.8300000001</v>
      </c>
      <c r="J48" s="149">
        <f>-'[6]TCC Sales Elec Base Rate Dist T'!Z166+'[5]II-H-4.1 Monthly'!J40</f>
        <v>-6920597.2400000002</v>
      </c>
      <c r="K48" s="149">
        <f>-'[6]TCC Sales Elec Base Rate Dist T'!AA166+'[5]II-H-4.1 Monthly'!K40</f>
        <v>-7016731.25</v>
      </c>
      <c r="L48" s="149">
        <f>-'[6]TCC Sales Elec Base Rate Dist T'!AB166+'[5]II-H-4.1 Monthly'!L40</f>
        <v>-6763601.8900000006</v>
      </c>
      <c r="M48" s="149">
        <f>-'[6]TCC Sales Elec Base Rate Dist T'!AC166+'[5]II-H-4.1 Monthly'!M40</f>
        <v>-5266818.1099999994</v>
      </c>
      <c r="N48" s="149">
        <f>-'[6]TCC Sales Elec Base Rate Dist T'!AD166+'[5]II-H-4.1 Monthly'!N40</f>
        <v>-4004605.8200000003</v>
      </c>
      <c r="O48" s="149">
        <f>-'[6]TCC Sales Elec Base Rate Dist T'!AE166+'[5]II-H-4.1 Monthly'!O40</f>
        <v>-4533211.25</v>
      </c>
      <c r="P48" s="149">
        <f>SUM(D48:O48)</f>
        <v>-63989338.810000002</v>
      </c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</row>
    <row r="49" spans="1:145" s="62" customFormat="1" x14ac:dyDescent="0.2">
      <c r="B49" s="129"/>
      <c r="C49" s="143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56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  <c r="EO49" s="65"/>
    </row>
    <row r="50" spans="1:145" s="62" customFormat="1" x14ac:dyDescent="0.2">
      <c r="A50" s="74">
        <v>2</v>
      </c>
      <c r="B50" s="129" t="s">
        <v>32</v>
      </c>
      <c r="C50" s="143" t="s">
        <v>16</v>
      </c>
      <c r="D50" s="122">
        <f>-'[6]TCC Sales Elec Base Rate Dist T'!T19+'[5]II-H-4.1 Monthly'!D42</f>
        <v>-140145.56</v>
      </c>
      <c r="E50" s="122">
        <f>-'[6]TCC Sales Elec Base Rate Dist T'!U19+'[5]II-H-4.1 Monthly'!E42</f>
        <v>-117930.87</v>
      </c>
      <c r="F50" s="122">
        <f>-'[6]TCC Sales Elec Base Rate Dist T'!V19+'[5]II-H-4.1 Monthly'!F42</f>
        <v>-110616.65000000001</v>
      </c>
      <c r="G50" s="122">
        <f>-'[6]TCC Sales Elec Base Rate Dist T'!W19+'[5]II-H-4.1 Monthly'!G42</f>
        <v>-115048.78</v>
      </c>
      <c r="H50" s="122">
        <f>-'[6]TCC Sales Elec Base Rate Dist T'!X19+'[5]II-H-4.1 Monthly'!H42</f>
        <v>-117104.3</v>
      </c>
      <c r="I50" s="122">
        <f>-'[6]TCC Sales Elec Base Rate Dist T'!Y19+'[5]II-H-4.1 Monthly'!I42</f>
        <v>-143402.29</v>
      </c>
      <c r="J50" s="122">
        <f>-'[6]TCC Sales Elec Base Rate Dist T'!Z19+'[5]II-H-4.1 Monthly'!J42</f>
        <v>-147396.09</v>
      </c>
      <c r="K50" s="122">
        <f>-'[6]TCC Sales Elec Base Rate Dist T'!AA19+'[5]II-H-4.1 Monthly'!K42</f>
        <v>-148004.46</v>
      </c>
      <c r="L50" s="122">
        <f>-'[6]TCC Sales Elec Base Rate Dist T'!AB19+'[5]II-H-4.1 Monthly'!L42</f>
        <v>-147030.31</v>
      </c>
      <c r="M50" s="122">
        <f>-'[6]TCC Sales Elec Base Rate Dist T'!AC19+'[5]II-H-4.1 Monthly'!M42</f>
        <v>-128677.21</v>
      </c>
      <c r="N50" s="122">
        <f>-'[6]TCC Sales Elec Base Rate Dist T'!AD19+'[5]II-H-4.1 Monthly'!N42</f>
        <v>-113372.45999999999</v>
      </c>
      <c r="O50" s="122">
        <f>-'[6]TCC Sales Elec Base Rate Dist T'!AE19+'[5]II-H-4.1 Monthly'!O42</f>
        <v>-120066.44</v>
      </c>
      <c r="P50" s="156">
        <f>SUM(D50:O50)</f>
        <v>-1548795.42</v>
      </c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5"/>
    </row>
    <row r="51" spans="1:145" s="62" customFormat="1" x14ac:dyDescent="0.2">
      <c r="A51" s="74"/>
      <c r="B51" s="129"/>
      <c r="C51" s="143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56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</row>
    <row r="52" spans="1:145" s="62" customFormat="1" x14ac:dyDescent="0.2">
      <c r="A52" s="74">
        <v>3</v>
      </c>
      <c r="B52" s="146" t="s">
        <v>113</v>
      </c>
      <c r="C52" s="125" t="s">
        <v>16</v>
      </c>
      <c r="D52" s="142">
        <f>-'[6]TCC Sales Elec Base Rate Dist T'!T55+'[5]II-H-4.1 Monthly'!D44</f>
        <v>-3196595.34</v>
      </c>
      <c r="E52" s="142">
        <f>-'[6]TCC Sales Elec Base Rate Dist T'!U55+'[5]II-H-4.1 Monthly'!E44</f>
        <v>-3141242.83</v>
      </c>
      <c r="F52" s="142">
        <f>-'[6]TCC Sales Elec Base Rate Dist T'!V55+'[5]II-H-4.1 Monthly'!F44</f>
        <v>-2965288.4499999997</v>
      </c>
      <c r="G52" s="142">
        <f>-'[6]TCC Sales Elec Base Rate Dist T'!W55+'[5]II-H-4.1 Monthly'!G44</f>
        <v>-2860064.5700000003</v>
      </c>
      <c r="H52" s="142">
        <f>-'[6]TCC Sales Elec Base Rate Dist T'!X55+'[5]II-H-4.1 Monthly'!H44</f>
        <v>-2927905.3699999996</v>
      </c>
      <c r="I52" s="142">
        <f>-'[6]TCC Sales Elec Base Rate Dist T'!Y55+'[5]II-H-4.1 Monthly'!I44</f>
        <v>-3123318.49</v>
      </c>
      <c r="J52" s="142">
        <f>-'[6]TCC Sales Elec Base Rate Dist T'!Z55+'[5]II-H-4.1 Monthly'!J44</f>
        <v>-3088594.9200000004</v>
      </c>
      <c r="K52" s="142">
        <f>-'[6]TCC Sales Elec Base Rate Dist T'!AA55+'[5]II-H-4.1 Monthly'!K44</f>
        <v>-3137089.5300000003</v>
      </c>
      <c r="L52" s="142">
        <f>-'[6]TCC Sales Elec Base Rate Dist T'!AB55+'[5]II-H-4.1 Monthly'!L44</f>
        <v>-3176877.81</v>
      </c>
      <c r="M52" s="142">
        <f>-'[6]TCC Sales Elec Base Rate Dist T'!AC55+'[5]II-H-4.1 Monthly'!M44</f>
        <v>-3044590.25</v>
      </c>
      <c r="N52" s="142">
        <f>-'[6]TCC Sales Elec Base Rate Dist T'!AD55+'[5]II-H-4.1 Monthly'!N44</f>
        <v>-3024153.19</v>
      </c>
      <c r="O52" s="142">
        <f>-'[6]TCC Sales Elec Base Rate Dist T'!AE55+'[5]II-H-4.1 Monthly'!O44</f>
        <v>-3015447.43</v>
      </c>
      <c r="P52" s="156">
        <f>SUM(D52:O52)</f>
        <v>-36701168.18</v>
      </c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</row>
    <row r="53" spans="1:145" s="62" customFormat="1" x14ac:dyDescent="0.2">
      <c r="A53" s="74">
        <v>4</v>
      </c>
      <c r="B53" s="146" t="s">
        <v>114</v>
      </c>
      <c r="C53" s="125" t="s">
        <v>16</v>
      </c>
      <c r="D53" s="123">
        <f>-'[6]TCC Sales Elec Base Rate Dist T'!T37+'[5]II-H-4.1 Monthly'!D45</f>
        <v>-351612.37</v>
      </c>
      <c r="E53" s="123">
        <f>-'[6]TCC Sales Elec Base Rate Dist T'!U37+'[5]II-H-4.1 Monthly'!E45</f>
        <v>-347078.54000000004</v>
      </c>
      <c r="F53" s="123">
        <f>-'[6]TCC Sales Elec Base Rate Dist T'!V37+'[5]II-H-4.1 Monthly'!F45</f>
        <v>-349584.7</v>
      </c>
      <c r="G53" s="123">
        <f>-'[6]TCC Sales Elec Base Rate Dist T'!W37+'[5]II-H-4.1 Monthly'!G45</f>
        <v>-345585.25</v>
      </c>
      <c r="H53" s="123">
        <f>-'[6]TCC Sales Elec Base Rate Dist T'!X37+'[5]II-H-4.1 Monthly'!H45</f>
        <v>-349271.97</v>
      </c>
      <c r="I53" s="123">
        <f>-'[6]TCC Sales Elec Base Rate Dist T'!Y37+'[5]II-H-4.1 Monthly'!I45</f>
        <v>-328297.44</v>
      </c>
      <c r="J53" s="123">
        <f>-'[6]TCC Sales Elec Base Rate Dist T'!Z37+'[5]II-H-4.1 Monthly'!J45</f>
        <v>-350442.32</v>
      </c>
      <c r="K53" s="123">
        <f>-'[6]TCC Sales Elec Base Rate Dist T'!AA37+'[5]II-H-4.1 Monthly'!K45</f>
        <v>-340313.07</v>
      </c>
      <c r="L53" s="123">
        <f>-'[6]TCC Sales Elec Base Rate Dist T'!AB37+'[5]II-H-4.1 Monthly'!L45</f>
        <v>-340639.38</v>
      </c>
      <c r="M53" s="123">
        <f>-'[6]TCC Sales Elec Base Rate Dist T'!AC37+'[5]II-H-4.1 Monthly'!M45</f>
        <v>-338650.06</v>
      </c>
      <c r="N53" s="123">
        <f>-'[6]TCC Sales Elec Base Rate Dist T'!AD37+'[5]II-H-4.1 Monthly'!N45</f>
        <v>-348885.77</v>
      </c>
      <c r="O53" s="123">
        <f>-'[6]TCC Sales Elec Base Rate Dist T'!AE37+'[5]II-H-4.1 Monthly'!O45</f>
        <v>-343486.19</v>
      </c>
      <c r="P53" s="123">
        <f>SUM(D53:O53)</f>
        <v>-4133847.0599999996</v>
      </c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</row>
    <row r="54" spans="1:145" s="62" customFormat="1" x14ac:dyDescent="0.2">
      <c r="A54" s="74">
        <v>5</v>
      </c>
      <c r="B54" s="162" t="s">
        <v>30</v>
      </c>
      <c r="C54" s="143"/>
      <c r="D54" s="157">
        <f>SUM(D52:D53)</f>
        <v>-3548207.71</v>
      </c>
      <c r="E54" s="157">
        <f t="shared" ref="E54:O54" si="6">SUM(E52:E53)</f>
        <v>-3488321.37</v>
      </c>
      <c r="F54" s="157">
        <f t="shared" si="6"/>
        <v>-3314873.15</v>
      </c>
      <c r="G54" s="157">
        <f t="shared" si="6"/>
        <v>-3205649.8200000003</v>
      </c>
      <c r="H54" s="157">
        <f t="shared" si="6"/>
        <v>-3277177.34</v>
      </c>
      <c r="I54" s="157">
        <f t="shared" si="6"/>
        <v>-3451615.93</v>
      </c>
      <c r="J54" s="157">
        <f t="shared" si="6"/>
        <v>-3439037.24</v>
      </c>
      <c r="K54" s="157">
        <f t="shared" si="6"/>
        <v>-3477402.6</v>
      </c>
      <c r="L54" s="157">
        <f t="shared" si="6"/>
        <v>-3517517.19</v>
      </c>
      <c r="M54" s="157">
        <f t="shared" si="6"/>
        <v>-3383240.31</v>
      </c>
      <c r="N54" s="157">
        <f t="shared" si="6"/>
        <v>-3373038.96</v>
      </c>
      <c r="O54" s="157">
        <f t="shared" si="6"/>
        <v>-3358933.62</v>
      </c>
      <c r="P54" s="157">
        <f>SUM(P52:P53)</f>
        <v>-40835015.240000002</v>
      </c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</row>
    <row r="55" spans="1:145" s="62" customFormat="1" x14ac:dyDescent="0.2">
      <c r="B55" s="242"/>
      <c r="C55" s="143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22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</row>
    <row r="56" spans="1:145" s="62" customFormat="1" ht="12.75" customHeight="1" x14ac:dyDescent="0.2">
      <c r="A56" s="74">
        <v>6</v>
      </c>
      <c r="B56" s="146" t="s">
        <v>110</v>
      </c>
      <c r="C56" s="125" t="s">
        <v>17</v>
      </c>
      <c r="D56" s="122">
        <f>-'[6]TCC Sales Elec Base Rate Dist T'!T160+'[5]II-H-4.1 Monthly'!D48</f>
        <v>-80996.350000000006</v>
      </c>
      <c r="E56" s="122">
        <f>-'[6]TCC Sales Elec Base Rate Dist T'!U160+'[5]II-H-4.1 Monthly'!E48</f>
        <v>-88502.84</v>
      </c>
      <c r="F56" s="122">
        <f>-'[6]TCC Sales Elec Base Rate Dist T'!V160+'[5]II-H-4.1 Monthly'!F48</f>
        <v>-82625.69</v>
      </c>
      <c r="G56" s="122">
        <f>-'[6]TCC Sales Elec Base Rate Dist T'!W160+'[5]II-H-4.1 Monthly'!G48</f>
        <v>-85888.65</v>
      </c>
      <c r="H56" s="122">
        <f>-'[6]TCC Sales Elec Base Rate Dist T'!X160+'[5]II-H-4.1 Monthly'!H48</f>
        <v>-92163.95</v>
      </c>
      <c r="I56" s="122">
        <f>-'[6]TCC Sales Elec Base Rate Dist T'!Y160+'[5]II-H-4.1 Monthly'!I48</f>
        <v>-97019.97</v>
      </c>
      <c r="J56" s="122">
        <f>-'[6]TCC Sales Elec Base Rate Dist T'!Z160+'[5]II-H-4.1 Monthly'!J48</f>
        <v>-93002.55</v>
      </c>
      <c r="K56" s="122">
        <f>-'[6]TCC Sales Elec Base Rate Dist T'!AA160+'[5]II-H-4.1 Monthly'!K48</f>
        <v>-106513.45999999999</v>
      </c>
      <c r="L56" s="122">
        <f>-'[6]TCC Sales Elec Base Rate Dist T'!AB160+'[5]II-H-4.1 Monthly'!L48</f>
        <v>-94028.07</v>
      </c>
      <c r="M56" s="122">
        <f>-'[6]TCC Sales Elec Base Rate Dist T'!AC160+'[5]II-H-4.1 Monthly'!M48</f>
        <v>-103702.86</v>
      </c>
      <c r="N56" s="122">
        <f>-'[6]TCC Sales Elec Base Rate Dist T'!AD160+'[5]II-H-4.1 Monthly'!N48</f>
        <v>-111784.62</v>
      </c>
      <c r="O56" s="122">
        <f>-'[6]TCC Sales Elec Base Rate Dist T'!AE160+'[5]II-H-4.1 Monthly'!O48</f>
        <v>-91481.58</v>
      </c>
      <c r="P56" s="156">
        <f>SUM(D56:O56)</f>
        <v>-1127710.5900000001</v>
      </c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</row>
    <row r="57" spans="1:145" s="62" customFormat="1" ht="12.75" customHeight="1" x14ac:dyDescent="0.2">
      <c r="A57" s="74">
        <v>7</v>
      </c>
      <c r="B57" s="146" t="s">
        <v>111</v>
      </c>
      <c r="C57" s="125" t="s">
        <v>17</v>
      </c>
      <c r="D57" s="123">
        <f>-'[6]TCC Sales Elec Base Rate Dist T'!T150+'[5]II-H-4.1 Monthly'!D49</f>
        <v>-1119691.81</v>
      </c>
      <c r="E57" s="123">
        <f>-'[6]TCC Sales Elec Base Rate Dist T'!U150+'[5]II-H-4.1 Monthly'!E49</f>
        <v>-1085094.45</v>
      </c>
      <c r="F57" s="123">
        <f>-'[6]TCC Sales Elec Base Rate Dist T'!V150+'[5]II-H-4.1 Monthly'!F49</f>
        <v>-1077634.8400000001</v>
      </c>
      <c r="G57" s="123">
        <f>-'[6]TCC Sales Elec Base Rate Dist T'!W150+'[5]II-H-4.1 Monthly'!G49</f>
        <v>-1039649.3799999999</v>
      </c>
      <c r="H57" s="123">
        <f>-'[6]TCC Sales Elec Base Rate Dist T'!X150+'[5]II-H-4.1 Monthly'!H49</f>
        <v>-1103622.49</v>
      </c>
      <c r="I57" s="123">
        <f>-'[6]TCC Sales Elec Base Rate Dist T'!Y150+'[5]II-H-4.1 Monthly'!I49</f>
        <v>-1093973.32</v>
      </c>
      <c r="J57" s="123">
        <f>-'[6]TCC Sales Elec Base Rate Dist T'!Z150+'[5]II-H-4.1 Monthly'!J49</f>
        <v>-1082501.69</v>
      </c>
      <c r="K57" s="123">
        <f>-'[6]TCC Sales Elec Base Rate Dist T'!AA150+'[5]II-H-4.1 Monthly'!K49</f>
        <v>-1076152.8400000001</v>
      </c>
      <c r="L57" s="123">
        <f>-'[6]TCC Sales Elec Base Rate Dist T'!AB150+'[5]II-H-4.1 Monthly'!L49</f>
        <v>-1097012.6400000001</v>
      </c>
      <c r="M57" s="123">
        <f>-'[6]TCC Sales Elec Base Rate Dist T'!AC150+'[5]II-H-4.1 Monthly'!M49</f>
        <v>-1057757.92</v>
      </c>
      <c r="N57" s="123">
        <f>-'[6]TCC Sales Elec Base Rate Dist T'!AD150+'[5]II-H-4.1 Monthly'!N49</f>
        <v>-1109889.52</v>
      </c>
      <c r="O57" s="123">
        <f>-'[6]TCC Sales Elec Base Rate Dist T'!AE150+'[5]II-H-4.1 Monthly'!O49</f>
        <v>-1046925.73</v>
      </c>
      <c r="P57" s="173">
        <f>SUM(D57:O57)</f>
        <v>-12989906.630000001</v>
      </c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5"/>
    </row>
    <row r="58" spans="1:145" s="62" customFormat="1" ht="12.75" customHeight="1" x14ac:dyDescent="0.2">
      <c r="A58" s="74">
        <v>8</v>
      </c>
      <c r="B58" s="129" t="s">
        <v>31</v>
      </c>
      <c r="C58" s="125"/>
      <c r="D58" s="122">
        <f>SUM(D56:D57)</f>
        <v>-1200688.1600000001</v>
      </c>
      <c r="E58" s="122">
        <f t="shared" ref="E58:O58" si="7">SUM(E56:E57)</f>
        <v>-1173597.29</v>
      </c>
      <c r="F58" s="122">
        <f t="shared" si="7"/>
        <v>-1160260.53</v>
      </c>
      <c r="G58" s="122">
        <f t="shared" si="7"/>
        <v>-1125538.0299999998</v>
      </c>
      <c r="H58" s="122">
        <f t="shared" si="7"/>
        <v>-1195786.44</v>
      </c>
      <c r="I58" s="122">
        <f t="shared" si="7"/>
        <v>-1190993.29</v>
      </c>
      <c r="J58" s="122">
        <f t="shared" si="7"/>
        <v>-1175504.24</v>
      </c>
      <c r="K58" s="122">
        <f t="shared" si="7"/>
        <v>-1182666.3</v>
      </c>
      <c r="L58" s="122">
        <f t="shared" si="7"/>
        <v>-1191040.7100000002</v>
      </c>
      <c r="M58" s="122">
        <f t="shared" si="7"/>
        <v>-1161460.78</v>
      </c>
      <c r="N58" s="122">
        <f t="shared" si="7"/>
        <v>-1221674.1400000001</v>
      </c>
      <c r="O58" s="122">
        <f t="shared" si="7"/>
        <v>-1138407.31</v>
      </c>
      <c r="P58" s="122">
        <f>SUM(P56:P57)</f>
        <v>-14117617.220000001</v>
      </c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</row>
    <row r="59" spans="1:145" s="62" customFormat="1" ht="12.75" customHeight="1" x14ac:dyDescent="0.2">
      <c r="A59" s="74"/>
      <c r="B59" s="129"/>
      <c r="C59" s="125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56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</row>
    <row r="60" spans="1:145" s="62" customFormat="1" ht="12.75" customHeight="1" x14ac:dyDescent="0.2">
      <c r="A60" s="74">
        <v>9</v>
      </c>
      <c r="B60" s="162" t="s">
        <v>115</v>
      </c>
      <c r="C60" s="125" t="s">
        <v>18</v>
      </c>
      <c r="D60" s="122">
        <f>-'[6]TCC Sales Elec Base Rate Dist T'!T190+'[5]II-H-4.1 Monthly'!D52</f>
        <v>-1139916.5399999998</v>
      </c>
      <c r="E60" s="122">
        <f>-'[6]TCC Sales Elec Base Rate Dist T'!U190+'[5]II-H-4.1 Monthly'!E52</f>
        <v>-799631.29</v>
      </c>
      <c r="F60" s="122">
        <f>-'[6]TCC Sales Elec Base Rate Dist T'!V190+'[5]II-H-4.1 Monthly'!F52</f>
        <v>-960719.01</v>
      </c>
      <c r="G60" s="122">
        <f>-'[6]TCC Sales Elec Base Rate Dist T'!W190+'[5]II-H-4.1 Monthly'!G52</f>
        <v>-837829.32000000007</v>
      </c>
      <c r="H60" s="122">
        <f>-'[6]TCC Sales Elec Base Rate Dist T'!X190+'[5]II-H-4.1 Monthly'!H52</f>
        <v>-893336.29</v>
      </c>
      <c r="I60" s="122">
        <f>-'[6]TCC Sales Elec Base Rate Dist T'!Y190+'[5]II-H-4.1 Monthly'!I52</f>
        <v>-1008355.76</v>
      </c>
      <c r="J60" s="122">
        <f>-'[6]TCC Sales Elec Base Rate Dist T'!Z190+'[5]II-H-4.1 Monthly'!J52</f>
        <v>-746546.02999999991</v>
      </c>
      <c r="K60" s="122">
        <f>-'[6]TCC Sales Elec Base Rate Dist T'!AA190+'[5]II-H-4.1 Monthly'!K52</f>
        <v>-767426.25</v>
      </c>
      <c r="L60" s="122">
        <f>-'[6]TCC Sales Elec Base Rate Dist T'!AB190+'[5]II-H-4.1 Monthly'!L52</f>
        <v>-1036324.4600000001</v>
      </c>
      <c r="M60" s="122">
        <f>-'[6]TCC Sales Elec Base Rate Dist T'!AC190+'[5]II-H-4.1 Monthly'!M52</f>
        <v>-607664.14</v>
      </c>
      <c r="N60" s="122">
        <f>-'[6]TCC Sales Elec Base Rate Dist T'!AD190+'[5]II-H-4.1 Monthly'!N52</f>
        <v>-1134530.1100000001</v>
      </c>
      <c r="O60" s="122">
        <f>-'[6]TCC Sales Elec Base Rate Dist T'!AE190+'[5]II-H-4.1 Monthly'!O52</f>
        <v>-597428.16</v>
      </c>
      <c r="P60" s="156">
        <f>SUM(D60:O60)</f>
        <v>-10529707.359999999</v>
      </c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</row>
    <row r="61" spans="1:145" s="62" customFormat="1" ht="12.75" customHeight="1" x14ac:dyDescent="0.2">
      <c r="B61" s="129"/>
      <c r="C61" s="143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22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</row>
    <row r="62" spans="1:145" s="62" customFormat="1" ht="12.75" customHeight="1" x14ac:dyDescent="0.2">
      <c r="A62" s="74">
        <v>10</v>
      </c>
      <c r="B62" s="117" t="s">
        <v>33</v>
      </c>
      <c r="C62" s="125" t="s">
        <v>16</v>
      </c>
      <c r="D62" s="250">
        <f>-'[6]TCC Sales Elec Base Rate Dist T'!T138+'[5]II-H-4.1 Monthly'!D54</f>
        <v>-57128.99</v>
      </c>
      <c r="E62" s="250">
        <f>-'[6]TCC Sales Elec Base Rate Dist T'!U138+'[5]II-H-4.1 Monthly'!E54</f>
        <v>-56917.81</v>
      </c>
      <c r="F62" s="250">
        <f>-'[6]TCC Sales Elec Base Rate Dist T'!V138+'[5]II-H-4.1 Monthly'!F54</f>
        <v>-57059.289999999994</v>
      </c>
      <c r="G62" s="250">
        <f>-'[6]TCC Sales Elec Base Rate Dist T'!W138+'[5]II-H-4.1 Monthly'!G54</f>
        <v>-57105.29</v>
      </c>
      <c r="H62" s="250">
        <f>-'[6]TCC Sales Elec Base Rate Dist T'!X138+'[5]II-H-4.1 Monthly'!H54</f>
        <v>-57062.17</v>
      </c>
      <c r="I62" s="250">
        <f>-'[6]TCC Sales Elec Base Rate Dist T'!Y138+'[5]II-H-4.1 Monthly'!I54</f>
        <v>-57057.64</v>
      </c>
      <c r="J62" s="250">
        <f>-'[6]TCC Sales Elec Base Rate Dist T'!Z138+'[5]II-H-4.1 Monthly'!J54</f>
        <v>-57070.98</v>
      </c>
      <c r="K62" s="250">
        <f>-'[6]TCC Sales Elec Base Rate Dist T'!AA138+'[5]II-H-4.1 Monthly'!K54</f>
        <v>-57050.549999999996</v>
      </c>
      <c r="L62" s="250">
        <f>-'[6]TCC Sales Elec Base Rate Dist T'!AB138+'[5]II-H-4.1 Monthly'!L54</f>
        <v>-57130.6</v>
      </c>
      <c r="M62" s="250">
        <f>-'[6]TCC Sales Elec Base Rate Dist T'!AC138+'[5]II-H-4.1 Monthly'!M54</f>
        <v>-56776.189999999995</v>
      </c>
      <c r="N62" s="250">
        <f>-'[6]TCC Sales Elec Base Rate Dist T'!AD138+'[5]II-H-4.1 Monthly'!N54</f>
        <v>-57321.7</v>
      </c>
      <c r="O62" s="250">
        <f>-'[6]TCC Sales Elec Base Rate Dist T'!AE138+'[5]II-H-4.1 Monthly'!O54</f>
        <v>-57040.58</v>
      </c>
      <c r="P62" s="156">
        <f>SUM(D62:O62)</f>
        <v>-684721.7899999998</v>
      </c>
      <c r="Q62" s="111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</row>
    <row r="63" spans="1:145" s="62" customFormat="1" ht="12.75" customHeight="1" x14ac:dyDescent="0.2">
      <c r="A63" s="74"/>
      <c r="B63" s="129"/>
      <c r="C63" s="143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22"/>
      <c r="P63" s="122"/>
      <c r="Q63" s="111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</row>
    <row r="64" spans="1:145" s="62" customFormat="1" ht="12.75" customHeight="1" x14ac:dyDescent="0.2">
      <c r="A64" s="74">
        <v>11</v>
      </c>
      <c r="B64" s="183" t="s">
        <v>34</v>
      </c>
      <c r="C64" s="236"/>
      <c r="D64" s="184">
        <f>D62+D60+D58+D54+D50+D48</f>
        <v>-12374465.460000001</v>
      </c>
      <c r="E64" s="184">
        <f t="shared" ref="E64:P64" si="8">E62+E60+E58+E54+E50+E48</f>
        <v>-10302286.800000001</v>
      </c>
      <c r="F64" s="184">
        <f t="shared" si="8"/>
        <v>-9325352.3100000005</v>
      </c>
      <c r="G64" s="184">
        <f t="shared" si="8"/>
        <v>-9231092.370000001</v>
      </c>
      <c r="H64" s="184">
        <f t="shared" si="8"/>
        <v>-9858687.4800000004</v>
      </c>
      <c r="I64" s="184">
        <f t="shared" si="8"/>
        <v>-12450965.74</v>
      </c>
      <c r="J64" s="184">
        <f t="shared" si="8"/>
        <v>-12486151.82</v>
      </c>
      <c r="K64" s="184">
        <f t="shared" si="8"/>
        <v>-12649281.41</v>
      </c>
      <c r="L64" s="184">
        <f t="shared" si="8"/>
        <v>-12712645.16</v>
      </c>
      <c r="M64" s="184">
        <f t="shared" si="8"/>
        <v>-10604636.739999998</v>
      </c>
      <c r="N64" s="184">
        <f t="shared" si="8"/>
        <v>-9904543.1900000013</v>
      </c>
      <c r="O64" s="184">
        <f t="shared" si="8"/>
        <v>-9805087.3599999994</v>
      </c>
      <c r="P64" s="184">
        <f t="shared" si="8"/>
        <v>-131705195.84</v>
      </c>
      <c r="Q64" s="70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</row>
    <row r="65" spans="1:145" s="62" customFormat="1" ht="12.75" customHeight="1" x14ac:dyDescent="0.2">
      <c r="B65" s="236"/>
      <c r="C65" s="236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56"/>
      <c r="P65" s="156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</row>
    <row r="66" spans="1:145" s="62" customFormat="1" ht="12.75" customHeight="1" x14ac:dyDescent="0.2">
      <c r="A66" s="74">
        <v>12</v>
      </c>
      <c r="B66" s="148" t="s">
        <v>91</v>
      </c>
      <c r="C66" s="125" t="s">
        <v>17</v>
      </c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56">
        <f>SUM(D66:O66)</f>
        <v>0</v>
      </c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</row>
    <row r="67" spans="1:145" s="62" customFormat="1" ht="12.75" customHeight="1" x14ac:dyDescent="0.2">
      <c r="A67" s="74">
        <v>13</v>
      </c>
      <c r="B67" s="148" t="s">
        <v>92</v>
      </c>
      <c r="C67" s="125" t="s">
        <v>18</v>
      </c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73">
        <f>SUM(D67:O67)</f>
        <v>0</v>
      </c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</row>
    <row r="68" spans="1:145" s="62" customFormat="1" ht="12.75" customHeight="1" x14ac:dyDescent="0.2">
      <c r="A68" s="74">
        <v>14</v>
      </c>
      <c r="B68" s="183" t="s">
        <v>35</v>
      </c>
      <c r="C68" s="238"/>
      <c r="D68" s="169">
        <f t="shared" ref="D68:P68" si="9">SUM(D66:D67)</f>
        <v>0</v>
      </c>
      <c r="E68" s="169">
        <f t="shared" si="9"/>
        <v>0</v>
      </c>
      <c r="F68" s="169">
        <f t="shared" si="9"/>
        <v>0</v>
      </c>
      <c r="G68" s="169">
        <f t="shared" si="9"/>
        <v>0</v>
      </c>
      <c r="H68" s="169">
        <f t="shared" si="9"/>
        <v>0</v>
      </c>
      <c r="I68" s="169">
        <f t="shared" si="9"/>
        <v>0</v>
      </c>
      <c r="J68" s="169">
        <f t="shared" si="9"/>
        <v>0</v>
      </c>
      <c r="K68" s="169">
        <f t="shared" si="9"/>
        <v>0</v>
      </c>
      <c r="L68" s="169">
        <f t="shared" si="9"/>
        <v>0</v>
      </c>
      <c r="M68" s="169">
        <f t="shared" si="9"/>
        <v>0</v>
      </c>
      <c r="N68" s="169">
        <f t="shared" si="9"/>
        <v>0</v>
      </c>
      <c r="O68" s="156">
        <f t="shared" si="9"/>
        <v>0</v>
      </c>
      <c r="P68" s="156">
        <f t="shared" si="9"/>
        <v>0</v>
      </c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</row>
    <row r="69" spans="1:145" s="62" customFormat="1" ht="12.75" customHeight="1" x14ac:dyDescent="0.2">
      <c r="A69" s="74"/>
      <c r="B69" s="129"/>
      <c r="C69" s="185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22"/>
      <c r="P69" s="122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</row>
    <row r="70" spans="1:145" s="62" customFormat="1" ht="13.5" customHeight="1" thickBot="1" x14ac:dyDescent="0.25">
      <c r="A70" s="74">
        <v>15</v>
      </c>
      <c r="B70" s="243" t="str">
        <f>B37</f>
        <v>TOTAL AEP TEXAS</v>
      </c>
      <c r="C70" s="238"/>
      <c r="D70" s="186">
        <f t="shared" ref="D70:P70" si="10">+D68+D64</f>
        <v>-12374465.460000001</v>
      </c>
      <c r="E70" s="186">
        <f t="shared" si="10"/>
        <v>-10302286.800000001</v>
      </c>
      <c r="F70" s="186">
        <f t="shared" si="10"/>
        <v>-9325352.3100000005</v>
      </c>
      <c r="G70" s="186">
        <f t="shared" si="10"/>
        <v>-9231092.370000001</v>
      </c>
      <c r="H70" s="186">
        <f t="shared" si="10"/>
        <v>-9858687.4800000004</v>
      </c>
      <c r="I70" s="186">
        <f t="shared" si="10"/>
        <v>-12450965.74</v>
      </c>
      <c r="J70" s="186">
        <f t="shared" si="10"/>
        <v>-12486151.82</v>
      </c>
      <c r="K70" s="186">
        <f t="shared" si="10"/>
        <v>-12649281.41</v>
      </c>
      <c r="L70" s="186">
        <f t="shared" si="10"/>
        <v>-12712645.16</v>
      </c>
      <c r="M70" s="186">
        <f t="shared" si="10"/>
        <v>-10604636.739999998</v>
      </c>
      <c r="N70" s="186">
        <f t="shared" si="10"/>
        <v>-9904543.1900000013</v>
      </c>
      <c r="O70" s="186">
        <f t="shared" si="10"/>
        <v>-9805087.3599999994</v>
      </c>
      <c r="P70" s="186">
        <f t="shared" si="10"/>
        <v>-131705195.84</v>
      </c>
      <c r="Q70" s="228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</row>
    <row r="71" spans="1:145" s="62" customFormat="1" ht="12.75" customHeight="1" thickTop="1" x14ac:dyDescent="0.2">
      <c r="A71" s="74"/>
      <c r="B71" s="72"/>
      <c r="C71" s="38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</row>
    <row r="72" spans="1:145" s="62" customFormat="1" x14ac:dyDescent="0.2">
      <c r="A72" s="74"/>
      <c r="B72" s="202"/>
      <c r="C72" s="38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</row>
    <row r="73" spans="1:145" ht="14.25" customHeight="1" x14ac:dyDescent="0.2">
      <c r="B73" s="386" t="s">
        <v>131</v>
      </c>
      <c r="C73" s="389"/>
      <c r="D73" s="389"/>
      <c r="E73" s="389"/>
      <c r="F73" s="389"/>
      <c r="G73" s="389"/>
      <c r="H73" s="389"/>
      <c r="I73" s="389"/>
      <c r="J73" s="389"/>
      <c r="K73" s="389"/>
      <c r="L73" s="389"/>
      <c r="M73" s="389"/>
      <c r="N73" s="389"/>
      <c r="O73" s="389"/>
      <c r="P73" s="51"/>
    </row>
    <row r="74" spans="1:145" s="146" customFormat="1" x14ac:dyDescent="0.2">
      <c r="B74" s="393" t="s">
        <v>103</v>
      </c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147" t="s">
        <v>1</v>
      </c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  <c r="BR74" s="148"/>
      <c r="BS74" s="148"/>
      <c r="BT74" s="148"/>
      <c r="BU74" s="148"/>
      <c r="BV74" s="148"/>
      <c r="BW74" s="148"/>
      <c r="BX74" s="148"/>
      <c r="BY74" s="148"/>
      <c r="BZ74" s="148"/>
      <c r="CA74" s="148"/>
      <c r="CB74" s="148"/>
      <c r="CC74" s="148"/>
      <c r="CD74" s="148"/>
      <c r="CE74" s="148"/>
      <c r="CF74" s="148"/>
      <c r="CG74" s="148"/>
      <c r="CH74" s="148"/>
      <c r="CI74" s="148"/>
      <c r="CJ74" s="148"/>
      <c r="CK74" s="148"/>
      <c r="CL74" s="148"/>
      <c r="CM74" s="148"/>
      <c r="CN74" s="148"/>
      <c r="CO74" s="148"/>
      <c r="CP74" s="148"/>
      <c r="CQ74" s="148"/>
      <c r="CR74" s="148"/>
      <c r="CS74" s="148"/>
      <c r="CT74" s="148"/>
      <c r="CU74" s="148"/>
      <c r="CV74" s="148"/>
      <c r="CW74" s="148"/>
      <c r="CX74" s="148"/>
      <c r="CY74" s="148"/>
      <c r="CZ74" s="148"/>
      <c r="DA74" s="148"/>
      <c r="DB74" s="148"/>
      <c r="DC74" s="148"/>
      <c r="DD74" s="148"/>
      <c r="DE74" s="148"/>
      <c r="DF74" s="148"/>
      <c r="DG74" s="148"/>
      <c r="DH74" s="148"/>
      <c r="DI74" s="148"/>
      <c r="DJ74" s="148"/>
      <c r="DK74" s="148"/>
      <c r="DL74" s="148"/>
      <c r="DM74" s="148"/>
      <c r="DN74" s="148"/>
      <c r="DO74" s="148"/>
      <c r="DP74" s="148"/>
      <c r="DQ74" s="148"/>
      <c r="DR74" s="148"/>
      <c r="DS74" s="148"/>
      <c r="DT74" s="148"/>
      <c r="DU74" s="148"/>
      <c r="DV74" s="148"/>
      <c r="DW74" s="148"/>
      <c r="DX74" s="148"/>
      <c r="DY74" s="148"/>
      <c r="DZ74" s="148"/>
      <c r="EA74" s="148"/>
      <c r="EB74" s="148"/>
      <c r="EC74" s="148"/>
      <c r="ED74" s="148"/>
      <c r="EE74" s="148"/>
      <c r="EF74" s="148"/>
      <c r="EG74" s="148"/>
      <c r="EH74" s="148"/>
      <c r="EI74" s="148"/>
      <c r="EJ74" s="148"/>
      <c r="EK74" s="148"/>
      <c r="EL74" s="148"/>
      <c r="EM74" s="148"/>
      <c r="EN74" s="148"/>
      <c r="EO74" s="148"/>
    </row>
    <row r="75" spans="1:145" x14ac:dyDescent="0.2">
      <c r="B75" s="389" t="str">
        <f>B10</f>
        <v>FOR TEST YEAR ENDED DECEMBER 31, 2018</v>
      </c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20" t="s">
        <v>1</v>
      </c>
    </row>
    <row r="76" spans="1:145" x14ac:dyDescent="0.2">
      <c r="B76" s="110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20"/>
    </row>
    <row r="77" spans="1:145" x14ac:dyDescent="0.2">
      <c r="B77" s="29"/>
      <c r="D77" s="103"/>
      <c r="E77" s="39"/>
      <c r="F77" s="39"/>
      <c r="G77" s="103"/>
      <c r="P77" s="40"/>
    </row>
    <row r="78" spans="1:145" x14ac:dyDescent="0.2">
      <c r="A78" s="38" t="s">
        <v>20</v>
      </c>
      <c r="B78" s="24" t="s">
        <v>0</v>
      </c>
      <c r="C78" s="24" t="s">
        <v>19</v>
      </c>
      <c r="D78" s="41" t="str">
        <f>+D13</f>
        <v>JANUARY</v>
      </c>
      <c r="E78" s="41" t="str">
        <f t="shared" ref="E78:O78" si="11">+E13</f>
        <v>FEBRUARY</v>
      </c>
      <c r="F78" s="41" t="str">
        <f t="shared" si="11"/>
        <v>MARCH</v>
      </c>
      <c r="G78" s="41" t="str">
        <f t="shared" si="11"/>
        <v>APRIL</v>
      </c>
      <c r="H78" s="41" t="str">
        <f t="shared" si="11"/>
        <v>MAY</v>
      </c>
      <c r="I78" s="41" t="str">
        <f t="shared" si="11"/>
        <v>JUNE</v>
      </c>
      <c r="J78" s="41" t="str">
        <f t="shared" si="11"/>
        <v>JULY</v>
      </c>
      <c r="K78" s="41" t="str">
        <f t="shared" si="11"/>
        <v>AUGUST</v>
      </c>
      <c r="L78" s="41" t="str">
        <f t="shared" si="11"/>
        <v>SEPTEMBER</v>
      </c>
      <c r="M78" s="41" t="str">
        <f t="shared" si="11"/>
        <v>OCTOBER</v>
      </c>
      <c r="N78" s="41" t="str">
        <f t="shared" si="11"/>
        <v>NOVEMBER</v>
      </c>
      <c r="O78" s="41" t="str">
        <f t="shared" si="11"/>
        <v>DECEMBER</v>
      </c>
      <c r="P78" s="42" t="s">
        <v>14</v>
      </c>
    </row>
    <row r="79" spans="1:145" x14ac:dyDescent="0.2">
      <c r="B79" s="24"/>
      <c r="C79" s="24"/>
      <c r="D79" s="164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2"/>
      <c r="P79" s="42"/>
    </row>
    <row r="80" spans="1:145" s="62" customFormat="1" x14ac:dyDescent="0.2">
      <c r="A80" s="74" t="s">
        <v>21</v>
      </c>
      <c r="B80" s="129" t="s">
        <v>29</v>
      </c>
      <c r="C80" s="143" t="s">
        <v>16</v>
      </c>
      <c r="D80" s="149">
        <f>-'[9]2018 Monthly Revenue'!D4+'[5]II-H-4.1 Monthly'!D73</f>
        <v>-427949.67</v>
      </c>
      <c r="E80" s="149">
        <f>-'[9]2018 Monthly Revenue'!E4+'[5]II-H-4.1 Monthly'!E73</f>
        <v>-317299.95999999996</v>
      </c>
      <c r="F80" s="149">
        <f>-'[9]2018 Monthly Revenue'!F4+'[5]II-H-4.1 Monthly'!F73</f>
        <v>-253239.08</v>
      </c>
      <c r="G80" s="149">
        <f>-'[9]2018 Monthly Revenue'!G4+'[5]II-H-4.1 Monthly'!G73</f>
        <v>-265837.26</v>
      </c>
      <c r="H80" s="149">
        <f>-'[9]2018 Monthly Revenue'!H4+'[5]II-H-4.1 Monthly'!H73</f>
        <v>-294986.92</v>
      </c>
      <c r="I80" s="149">
        <f>-'[9]2018 Monthly Revenue'!I4+'[5]II-H-4.1 Monthly'!I73</f>
        <v>-449999.46</v>
      </c>
      <c r="J80" s="149">
        <f>-'[9]2018 Monthly Revenue'!J4+'[5]II-H-4.1 Monthly'!J73</f>
        <v>-471016.82</v>
      </c>
      <c r="K80" s="149">
        <f>-'[9]2018 Monthly Revenue'!K4+'[5]II-H-4.1 Monthly'!K73</f>
        <v>-478328.62</v>
      </c>
      <c r="L80" s="149">
        <f>-'[9]2018 Monthly Revenue'!L4+'[5]II-H-4.1 Monthly'!L73</f>
        <v>-461843.36</v>
      </c>
      <c r="M80" s="149">
        <f>-'[9]2018 Monthly Revenue'!M4+'[5]II-H-4.1 Monthly'!M73</f>
        <v>-360324.39</v>
      </c>
      <c r="N80" s="149">
        <f>-'[9]2018 Monthly Revenue'!N4+'[5]II-H-4.1 Monthly'!N73</f>
        <v>-273332.40000000002</v>
      </c>
      <c r="O80" s="149">
        <f>-'[9]2018 Monthly Revenue'!O4+'[5]II-H-4.1 Monthly'!O73</f>
        <v>-308006.5</v>
      </c>
      <c r="P80" s="149">
        <f>SUM(D80:O80)</f>
        <v>-4362164.4399999995</v>
      </c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</row>
    <row r="81" spans="1:145" s="62" customFormat="1" x14ac:dyDescent="0.2">
      <c r="B81" s="129"/>
      <c r="C81" s="143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56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</row>
    <row r="82" spans="1:145" s="62" customFormat="1" x14ac:dyDescent="0.2">
      <c r="A82" s="74">
        <v>2</v>
      </c>
      <c r="B82" s="129" t="s">
        <v>32</v>
      </c>
      <c r="C82" s="143" t="s">
        <v>16</v>
      </c>
      <c r="D82" s="122">
        <f>-'[9]2018 Monthly Revenue'!D5+'[5]II-H-4.1 Monthly'!D75</f>
        <v>-14498.67</v>
      </c>
      <c r="E82" s="122">
        <f>-'[9]2018 Monthly Revenue'!E5+'[5]II-H-4.1 Monthly'!E75</f>
        <v>-12175.43</v>
      </c>
      <c r="F82" s="122">
        <f>-'[9]2018 Monthly Revenue'!F5+'[5]II-H-4.1 Monthly'!F75</f>
        <v>-11465.93</v>
      </c>
      <c r="G82" s="122">
        <f>-'[9]2018 Monthly Revenue'!G5+'[5]II-H-4.1 Monthly'!G75</f>
        <v>-11985.32</v>
      </c>
      <c r="H82" s="122">
        <f>-'[9]2018 Monthly Revenue'!H5+'[5]II-H-4.1 Monthly'!H75</f>
        <v>-12205.8</v>
      </c>
      <c r="I82" s="122">
        <f>-'[9]2018 Monthly Revenue'!I5+'[5]II-H-4.1 Monthly'!I75</f>
        <v>-14924.240000000002</v>
      </c>
      <c r="J82" s="122">
        <f>-'[9]2018 Monthly Revenue'!J5+'[5]II-H-4.1 Monthly'!J75</f>
        <v>-15292.789999999999</v>
      </c>
      <c r="K82" s="122">
        <f>-'[9]2018 Monthly Revenue'!K5+'[5]II-H-4.1 Monthly'!K75</f>
        <v>-15208.460000000001</v>
      </c>
      <c r="L82" s="122">
        <f>-'[9]2018 Monthly Revenue'!L5+'[5]II-H-4.1 Monthly'!L75</f>
        <v>-15300.980000000001</v>
      </c>
      <c r="M82" s="122">
        <f>-'[9]2018 Monthly Revenue'!M5+'[5]II-H-4.1 Monthly'!M75</f>
        <v>-13453.199999999999</v>
      </c>
      <c r="N82" s="122">
        <f>-'[9]2018 Monthly Revenue'!N5+'[5]II-H-4.1 Monthly'!N75</f>
        <v>-11821.8</v>
      </c>
      <c r="O82" s="122">
        <f>-'[9]2018 Monthly Revenue'!O5+'[5]II-H-4.1 Monthly'!O75</f>
        <v>-12391.230000000001</v>
      </c>
      <c r="P82" s="156">
        <f>SUM(D82:O82)</f>
        <v>-160723.85</v>
      </c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</row>
    <row r="83" spans="1:145" s="62" customFormat="1" x14ac:dyDescent="0.2">
      <c r="A83" s="74"/>
      <c r="B83" s="129"/>
      <c r="C83" s="143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56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  <c r="EO83" s="65"/>
    </row>
    <row r="84" spans="1:145" s="62" customFormat="1" x14ac:dyDescent="0.2">
      <c r="A84" s="74">
        <v>3</v>
      </c>
      <c r="B84" s="146" t="s">
        <v>113</v>
      </c>
      <c r="C84" s="125" t="s">
        <v>16</v>
      </c>
      <c r="D84" s="142">
        <f>-'[9]2018 Monthly Revenue'!D7+'[5]II-H-4.1 Monthly'!D77</f>
        <v>-216435.16</v>
      </c>
      <c r="E84" s="142">
        <f>-'[9]2018 Monthly Revenue'!E7+'[5]II-H-4.1 Monthly'!E77</f>
        <v>-214429.78999999998</v>
      </c>
      <c r="F84" s="142">
        <f>-'[9]2018 Monthly Revenue'!F7+'[5]II-H-4.1 Monthly'!F77</f>
        <v>-207697.69999999998</v>
      </c>
      <c r="G84" s="142">
        <f>-'[9]2018 Monthly Revenue'!G7+'[5]II-H-4.1 Monthly'!G77</f>
        <v>-207235.05</v>
      </c>
      <c r="H84" s="142">
        <f>-'[9]2018 Monthly Revenue'!H7+'[5]II-H-4.1 Monthly'!H77</f>
        <v>-210923.59</v>
      </c>
      <c r="I84" s="142">
        <f>-'[9]2018 Monthly Revenue'!I7+'[5]II-H-4.1 Monthly'!I77</f>
        <v>-217733.38</v>
      </c>
      <c r="J84" s="142">
        <f>-'[9]2018 Monthly Revenue'!J7+'[5]II-H-4.1 Monthly'!J77</f>
        <v>-217246.09</v>
      </c>
      <c r="K84" s="142">
        <f>-'[9]2018 Monthly Revenue'!K7+'[5]II-H-4.1 Monthly'!K77</f>
        <v>-218447.18</v>
      </c>
      <c r="L84" s="142">
        <f>-'[9]2018 Monthly Revenue'!L7+'[5]II-H-4.1 Monthly'!L77</f>
        <v>-217912.39</v>
      </c>
      <c r="M84" s="142">
        <f>-'[9]2018 Monthly Revenue'!M7+'[5]II-H-4.1 Monthly'!M77</f>
        <v>-211993.68</v>
      </c>
      <c r="N84" s="142">
        <f>-'[9]2018 Monthly Revenue'!N7+'[5]II-H-4.1 Monthly'!N77</f>
        <v>-209068.64</v>
      </c>
      <c r="O84" s="142">
        <f>-'[9]2018 Monthly Revenue'!O7+'[5]II-H-4.1 Monthly'!O77</f>
        <v>-210227.44999999998</v>
      </c>
      <c r="P84" s="156">
        <f>SUM(D84:O84)</f>
        <v>-2559350.1000000006</v>
      </c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  <c r="EO84" s="65"/>
    </row>
    <row r="85" spans="1:145" s="62" customFormat="1" x14ac:dyDescent="0.2">
      <c r="A85" s="74">
        <v>4</v>
      </c>
      <c r="B85" s="146" t="s">
        <v>114</v>
      </c>
      <c r="C85" s="125" t="s">
        <v>16</v>
      </c>
      <c r="D85" s="123">
        <f>-'[9]2018 Monthly Revenue'!D6+'[5]II-H-4.1 Monthly'!D78</f>
        <v>-22077.879999999997</v>
      </c>
      <c r="E85" s="123">
        <f>-'[9]2018 Monthly Revenue'!E6+'[5]II-H-4.1 Monthly'!E78</f>
        <v>-21228.65</v>
      </c>
      <c r="F85" s="123">
        <f>-'[9]2018 Monthly Revenue'!F6+'[5]II-H-4.1 Monthly'!F78</f>
        <v>-20785.97</v>
      </c>
      <c r="G85" s="123">
        <f>-'[9]2018 Monthly Revenue'!G6+'[5]II-H-4.1 Monthly'!G78</f>
        <v>-19968.940000000002</v>
      </c>
      <c r="H85" s="123">
        <f>-'[9]2018 Monthly Revenue'!H6+'[5]II-H-4.1 Monthly'!H78</f>
        <v>-20279.809999999998</v>
      </c>
      <c r="I85" s="123">
        <f>-'[9]2018 Monthly Revenue'!I6+'[5]II-H-4.1 Monthly'!I78</f>
        <v>-20561.64</v>
      </c>
      <c r="J85" s="123">
        <f>-'[9]2018 Monthly Revenue'!J6+'[5]II-H-4.1 Monthly'!J78</f>
        <v>-21179.200000000001</v>
      </c>
      <c r="K85" s="123">
        <f>-'[9]2018 Monthly Revenue'!K6+'[5]II-H-4.1 Monthly'!K78</f>
        <v>-21756.01</v>
      </c>
      <c r="L85" s="123">
        <f>-'[9]2018 Monthly Revenue'!L6+'[5]II-H-4.1 Monthly'!L78</f>
        <v>-22748.690000000002</v>
      </c>
      <c r="M85" s="123">
        <f>-'[9]2018 Monthly Revenue'!M6+'[5]II-H-4.1 Monthly'!M78</f>
        <v>-22006.36</v>
      </c>
      <c r="N85" s="123">
        <f>-'[9]2018 Monthly Revenue'!N6+'[5]II-H-4.1 Monthly'!N78</f>
        <v>-21698.82</v>
      </c>
      <c r="O85" s="123">
        <f>-'[9]2018 Monthly Revenue'!O6+'[5]II-H-4.1 Monthly'!O78</f>
        <v>-21064.63</v>
      </c>
      <c r="P85" s="123">
        <f>SUM(D85:O85)</f>
        <v>-255356.60000000003</v>
      </c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  <c r="EO85" s="65"/>
    </row>
    <row r="86" spans="1:145" s="62" customFormat="1" x14ac:dyDescent="0.2">
      <c r="A86" s="74">
        <v>5</v>
      </c>
      <c r="B86" s="162" t="s">
        <v>30</v>
      </c>
      <c r="C86" s="143"/>
      <c r="D86" s="157">
        <f t="shared" ref="D86" si="12">SUM(D84:D85)</f>
        <v>-238513.04</v>
      </c>
      <c r="E86" s="157">
        <f t="shared" ref="E86:F86" si="13">SUM(E84:E85)</f>
        <v>-235658.43999999997</v>
      </c>
      <c r="F86" s="157">
        <f t="shared" si="13"/>
        <v>-228483.66999999998</v>
      </c>
      <c r="G86" s="157">
        <f t="shared" ref="G86:H86" si="14">SUM(G84:G85)</f>
        <v>-227203.99</v>
      </c>
      <c r="H86" s="157">
        <f t="shared" si="14"/>
        <v>-231203.4</v>
      </c>
      <c r="I86" s="157">
        <f t="shared" ref="I86:J86" si="15">SUM(I84:I85)</f>
        <v>-238295.02000000002</v>
      </c>
      <c r="J86" s="157">
        <f t="shared" si="15"/>
        <v>-238425.29</v>
      </c>
      <c r="K86" s="157">
        <f t="shared" ref="K86:L86" si="16">SUM(K84:K85)</f>
        <v>-240203.19</v>
      </c>
      <c r="L86" s="157">
        <f t="shared" si="16"/>
        <v>-240661.08000000002</v>
      </c>
      <c r="M86" s="157">
        <f t="shared" ref="M86:N86" si="17">SUM(M84:M85)</f>
        <v>-234000.03999999998</v>
      </c>
      <c r="N86" s="157">
        <f t="shared" si="17"/>
        <v>-230767.46000000002</v>
      </c>
      <c r="O86" s="157">
        <f t="shared" ref="O86" si="18">SUM(O84:O85)</f>
        <v>-231292.08</v>
      </c>
      <c r="P86" s="157">
        <f>SUM(P84:P85)</f>
        <v>-2814706.7000000007</v>
      </c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  <c r="EO86" s="65"/>
    </row>
    <row r="87" spans="1:145" s="62" customFormat="1" x14ac:dyDescent="0.2">
      <c r="B87" s="242"/>
      <c r="C87" s="143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22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</row>
    <row r="88" spans="1:145" s="62" customFormat="1" ht="12.75" customHeight="1" x14ac:dyDescent="0.2">
      <c r="A88" s="74">
        <v>6</v>
      </c>
      <c r="B88" s="146" t="s">
        <v>110</v>
      </c>
      <c r="C88" s="125" t="s">
        <v>17</v>
      </c>
      <c r="D88" s="122">
        <f>-'[9]2018 Monthly Revenue'!D9+'[5]II-H-4.1 Monthly'!D81</f>
        <v>-6516.18</v>
      </c>
      <c r="E88" s="122">
        <f>-'[9]2018 Monthly Revenue'!E9+'[5]II-H-4.1 Monthly'!E81</f>
        <v>-6724.3</v>
      </c>
      <c r="F88" s="122">
        <f>-'[9]2018 Monthly Revenue'!F9+'[5]II-H-4.1 Monthly'!F81</f>
        <v>-6408.6900000000005</v>
      </c>
      <c r="G88" s="122">
        <f>-'[9]2018 Monthly Revenue'!G9+'[5]II-H-4.1 Monthly'!G81</f>
        <v>-6548.15</v>
      </c>
      <c r="H88" s="122">
        <f>-'[9]2018 Monthly Revenue'!H9+'[5]II-H-4.1 Monthly'!H81</f>
        <v>-7003.37</v>
      </c>
      <c r="I88" s="122">
        <f>-'[9]2018 Monthly Revenue'!I9+'[5]II-H-4.1 Monthly'!I81</f>
        <v>-7201.32</v>
      </c>
      <c r="J88" s="122">
        <f>-'[9]2018 Monthly Revenue'!J9+'[5]II-H-4.1 Monthly'!J81</f>
        <v>-6888.64</v>
      </c>
      <c r="K88" s="122">
        <f>-'[9]2018 Monthly Revenue'!K9+'[5]II-H-4.1 Monthly'!K81</f>
        <v>-7240.55</v>
      </c>
      <c r="L88" s="122">
        <f>-'[9]2018 Monthly Revenue'!L9+'[5]II-H-4.1 Monthly'!L81</f>
        <v>-6914.8099999999995</v>
      </c>
      <c r="M88" s="122">
        <f>-'[9]2018 Monthly Revenue'!M9+'[5]II-H-4.1 Monthly'!M81</f>
        <v>-7555.92</v>
      </c>
      <c r="N88" s="122">
        <f>-'[9]2018 Monthly Revenue'!N9+'[5]II-H-4.1 Monthly'!N81</f>
        <v>-8017.98</v>
      </c>
      <c r="O88" s="122">
        <f>-'[9]2018 Monthly Revenue'!O9+'[5]II-H-4.1 Monthly'!O81</f>
        <v>-6994.5599999999995</v>
      </c>
      <c r="P88" s="156">
        <f>SUM(D88:O88)</f>
        <v>-84014.47</v>
      </c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</row>
    <row r="89" spans="1:145" s="62" customFormat="1" ht="12.75" customHeight="1" x14ac:dyDescent="0.2">
      <c r="A89" s="74">
        <v>7</v>
      </c>
      <c r="B89" s="146" t="s">
        <v>111</v>
      </c>
      <c r="C89" s="125" t="s">
        <v>17</v>
      </c>
      <c r="D89" s="123">
        <f>-'[9]2018 Monthly Revenue'!D8+'[5]II-H-4.1 Monthly'!D82</f>
        <v>-72379.540000000008</v>
      </c>
      <c r="E89" s="123">
        <f>-'[9]2018 Monthly Revenue'!E8+'[5]II-H-4.1 Monthly'!E82</f>
        <v>-69590.2</v>
      </c>
      <c r="F89" s="123">
        <f>-'[9]2018 Monthly Revenue'!F8+'[5]II-H-4.1 Monthly'!F82</f>
        <v>-69992.38</v>
      </c>
      <c r="G89" s="123">
        <f>-'[9]2018 Monthly Revenue'!G8+'[5]II-H-4.1 Monthly'!G82</f>
        <v>-68974.13</v>
      </c>
      <c r="H89" s="123">
        <f>-'[9]2018 Monthly Revenue'!H8+'[5]II-H-4.1 Monthly'!H82</f>
        <v>-74909.14</v>
      </c>
      <c r="I89" s="123">
        <f>-'[9]2018 Monthly Revenue'!I8+'[5]II-H-4.1 Monthly'!I82</f>
        <v>-75911.55</v>
      </c>
      <c r="J89" s="123">
        <f>-'[9]2018 Monthly Revenue'!J8+'[5]II-H-4.1 Monthly'!J82</f>
        <v>-74104.87</v>
      </c>
      <c r="K89" s="123">
        <f>-'[9]2018 Monthly Revenue'!K8+'[5]II-H-4.1 Monthly'!K82</f>
        <v>-59673.86</v>
      </c>
      <c r="L89" s="123">
        <f>-'[9]2018 Monthly Revenue'!L8+'[5]II-H-4.1 Monthly'!L82</f>
        <v>-73180.11</v>
      </c>
      <c r="M89" s="123">
        <f>-'[9]2018 Monthly Revenue'!M8+'[5]II-H-4.1 Monthly'!M82</f>
        <v>-70275.98000000001</v>
      </c>
      <c r="N89" s="123">
        <f>-'[9]2018 Monthly Revenue'!N8+'[5]II-H-4.1 Monthly'!N82</f>
        <v>-72200.08</v>
      </c>
      <c r="O89" s="123">
        <f>-'[9]2018 Monthly Revenue'!O8+'[5]II-H-4.1 Monthly'!O82</f>
        <v>-67846.73</v>
      </c>
      <c r="P89" s="173">
        <f>SUM(D89:O89)</f>
        <v>-849038.57</v>
      </c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</row>
    <row r="90" spans="1:145" s="62" customFormat="1" ht="12.75" customHeight="1" x14ac:dyDescent="0.2">
      <c r="A90" s="74">
        <v>8</v>
      </c>
      <c r="B90" s="129" t="s">
        <v>31</v>
      </c>
      <c r="C90" s="125"/>
      <c r="D90" s="122">
        <f t="shared" ref="D90:P90" si="19">SUM(D88:D89)</f>
        <v>-78895.72</v>
      </c>
      <c r="E90" s="122">
        <f t="shared" ref="E90:F90" si="20">SUM(E88:E89)</f>
        <v>-76314.5</v>
      </c>
      <c r="F90" s="122">
        <f t="shared" si="20"/>
        <v>-76401.070000000007</v>
      </c>
      <c r="G90" s="122">
        <f t="shared" ref="G90:H90" si="21">SUM(G88:G89)</f>
        <v>-75522.28</v>
      </c>
      <c r="H90" s="122">
        <f t="shared" si="21"/>
        <v>-81912.509999999995</v>
      </c>
      <c r="I90" s="122">
        <f t="shared" ref="I90:J90" si="22">SUM(I88:I89)</f>
        <v>-83112.87</v>
      </c>
      <c r="J90" s="122">
        <f t="shared" si="22"/>
        <v>-80993.509999999995</v>
      </c>
      <c r="K90" s="122">
        <f t="shared" ref="K90:L90" si="23">SUM(K88:K89)</f>
        <v>-66914.41</v>
      </c>
      <c r="L90" s="122">
        <f t="shared" si="23"/>
        <v>-80094.92</v>
      </c>
      <c r="M90" s="122">
        <f t="shared" ref="M90:N90" si="24">SUM(M88:M89)</f>
        <v>-77831.900000000009</v>
      </c>
      <c r="N90" s="122">
        <f t="shared" si="24"/>
        <v>-80218.06</v>
      </c>
      <c r="O90" s="122">
        <f t="shared" ref="O90" si="25">SUM(O88:O89)</f>
        <v>-74841.289999999994</v>
      </c>
      <c r="P90" s="122">
        <f t="shared" si="19"/>
        <v>-933053.03999999992</v>
      </c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</row>
    <row r="91" spans="1:145" s="62" customFormat="1" ht="12.75" customHeight="1" x14ac:dyDescent="0.2">
      <c r="A91" s="74"/>
      <c r="B91" s="129"/>
      <c r="C91" s="125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56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</row>
    <row r="92" spans="1:145" s="62" customFormat="1" ht="12.75" customHeight="1" x14ac:dyDescent="0.2">
      <c r="A92" s="74">
        <v>9</v>
      </c>
      <c r="B92" s="162" t="s">
        <v>115</v>
      </c>
      <c r="C92" s="125" t="s">
        <v>18</v>
      </c>
      <c r="D92" s="122">
        <f>-'[9]2018 Monthly Revenue'!D10+'[5]II-H-4.1 Monthly'!D85</f>
        <v>-58189.46</v>
      </c>
      <c r="E92" s="122">
        <f>-'[9]2018 Monthly Revenue'!E10+'[5]II-H-4.1 Monthly'!E85</f>
        <v>-47808.1</v>
      </c>
      <c r="F92" s="122">
        <f>-'[9]2018 Monthly Revenue'!F10+'[5]II-H-4.1 Monthly'!F85</f>
        <v>-54845.63</v>
      </c>
      <c r="G92" s="122">
        <f>-'[9]2018 Monthly Revenue'!G10+'[5]II-H-4.1 Monthly'!G85</f>
        <v>-53873.82</v>
      </c>
      <c r="H92" s="122">
        <f>-'[9]2018 Monthly Revenue'!H10+'[5]II-H-4.1 Monthly'!H85</f>
        <v>-54298.380000000005</v>
      </c>
      <c r="I92" s="122">
        <f>-'[9]2018 Monthly Revenue'!I10+'[5]II-H-4.1 Monthly'!I85</f>
        <v>-57284</v>
      </c>
      <c r="J92" s="122">
        <f>-'[9]2018 Monthly Revenue'!J10+'[5]II-H-4.1 Monthly'!J85</f>
        <v>-49981.48</v>
      </c>
      <c r="K92" s="122">
        <f>-'[9]2018 Monthly Revenue'!K10+'[5]II-H-4.1 Monthly'!K85</f>
        <v>-50074.78</v>
      </c>
      <c r="L92" s="122">
        <f>-'[9]2018 Monthly Revenue'!L10+'[5]II-H-4.1 Monthly'!L85</f>
        <v>-56406.69</v>
      </c>
      <c r="M92" s="122">
        <f>-'[9]2018 Monthly Revenue'!M10+'[5]II-H-4.1 Monthly'!M85</f>
        <v>-30481.399999999998</v>
      </c>
      <c r="N92" s="122">
        <f>-'[9]2018 Monthly Revenue'!N10+'[5]II-H-4.1 Monthly'!N85</f>
        <v>-76365.159999999989</v>
      </c>
      <c r="O92" s="122">
        <f>-'[9]2018 Monthly Revenue'!O10+'[5]II-H-4.1 Monthly'!O85</f>
        <v>-40144.85</v>
      </c>
      <c r="P92" s="156">
        <f>SUM(D92:O92)</f>
        <v>-629753.75</v>
      </c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</row>
    <row r="93" spans="1:145" s="62" customFormat="1" ht="12.75" customHeight="1" x14ac:dyDescent="0.2">
      <c r="B93" s="129"/>
      <c r="C93" s="143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22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</row>
    <row r="94" spans="1:145" s="62" customFormat="1" ht="12.75" customHeight="1" x14ac:dyDescent="0.2">
      <c r="A94" s="74">
        <v>10</v>
      </c>
      <c r="B94" s="117" t="s">
        <v>33</v>
      </c>
      <c r="C94" s="125" t="s">
        <v>16</v>
      </c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156">
        <f>SUM(D94:O94)</f>
        <v>0</v>
      </c>
      <c r="Q94" s="111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</row>
    <row r="95" spans="1:145" s="62" customFormat="1" ht="12.75" customHeight="1" x14ac:dyDescent="0.2">
      <c r="A95" s="74"/>
      <c r="B95" s="129"/>
      <c r="C95" s="143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22"/>
      <c r="P95" s="122"/>
      <c r="Q95" s="111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</row>
    <row r="96" spans="1:145" s="62" customFormat="1" ht="12.75" customHeight="1" x14ac:dyDescent="0.2">
      <c r="A96" s="74">
        <v>11</v>
      </c>
      <c r="B96" s="183" t="s">
        <v>34</v>
      </c>
      <c r="C96" s="236"/>
      <c r="D96" s="184">
        <f>D94+D92+D90+D86+D82+D80</f>
        <v>-818046.55999999994</v>
      </c>
      <c r="E96" s="184">
        <f t="shared" ref="E96:P96" si="26">E94+E92+E90+E86+E82+E80</f>
        <v>-689256.42999999993</v>
      </c>
      <c r="F96" s="184">
        <f t="shared" si="26"/>
        <v>-624435.38</v>
      </c>
      <c r="G96" s="184">
        <f t="shared" si="26"/>
        <v>-634422.66999999993</v>
      </c>
      <c r="H96" s="184">
        <f t="shared" si="26"/>
        <v>-674607.01</v>
      </c>
      <c r="I96" s="184">
        <f t="shared" si="26"/>
        <v>-843615.59000000008</v>
      </c>
      <c r="J96" s="184">
        <f t="shared" si="26"/>
        <v>-855709.89</v>
      </c>
      <c r="K96" s="184">
        <f t="shared" si="26"/>
        <v>-850729.46</v>
      </c>
      <c r="L96" s="184">
        <f t="shared" si="26"/>
        <v>-854307.03</v>
      </c>
      <c r="M96" s="184">
        <f t="shared" si="26"/>
        <v>-716090.92999999993</v>
      </c>
      <c r="N96" s="184">
        <f t="shared" si="26"/>
        <v>-672504.88</v>
      </c>
      <c r="O96" s="184">
        <f t="shared" si="26"/>
        <v>-666675.94999999995</v>
      </c>
      <c r="P96" s="184">
        <f t="shared" si="26"/>
        <v>-8900401.7799999993</v>
      </c>
      <c r="Q96" s="70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</row>
    <row r="97" spans="1:145" s="62" customFormat="1" ht="12.75" customHeight="1" x14ac:dyDescent="0.2">
      <c r="B97" s="236"/>
      <c r="C97" s="236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56"/>
      <c r="P97" s="156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</row>
    <row r="98" spans="1:145" s="62" customFormat="1" ht="12.75" customHeight="1" x14ac:dyDescent="0.2">
      <c r="A98" s="74">
        <v>12</v>
      </c>
      <c r="B98" s="148" t="s">
        <v>91</v>
      </c>
      <c r="C98" s="125" t="s">
        <v>17</v>
      </c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56">
        <f>SUM(D98:O98)</f>
        <v>0</v>
      </c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</row>
    <row r="99" spans="1:145" s="62" customFormat="1" ht="12.75" customHeight="1" x14ac:dyDescent="0.2">
      <c r="A99" s="74">
        <v>13</v>
      </c>
      <c r="B99" s="148" t="s">
        <v>92</v>
      </c>
      <c r="C99" s="125" t="s">
        <v>18</v>
      </c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73">
        <f>SUM(D99:O99)</f>
        <v>0</v>
      </c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</row>
    <row r="100" spans="1:145" s="62" customFormat="1" ht="12.75" customHeight="1" x14ac:dyDescent="0.2">
      <c r="A100" s="74">
        <v>14</v>
      </c>
      <c r="B100" s="183" t="s">
        <v>35</v>
      </c>
      <c r="C100" s="238"/>
      <c r="D100" s="169">
        <f t="shared" ref="D100:P100" si="27">SUM(D98:D99)</f>
        <v>0</v>
      </c>
      <c r="E100" s="169">
        <f t="shared" si="27"/>
        <v>0</v>
      </c>
      <c r="F100" s="169">
        <f t="shared" si="27"/>
        <v>0</v>
      </c>
      <c r="G100" s="169">
        <f t="shared" si="27"/>
        <v>0</v>
      </c>
      <c r="H100" s="169">
        <f t="shared" si="27"/>
        <v>0</v>
      </c>
      <c r="I100" s="169">
        <f t="shared" si="27"/>
        <v>0</v>
      </c>
      <c r="J100" s="169">
        <f t="shared" si="27"/>
        <v>0</v>
      </c>
      <c r="K100" s="169">
        <f t="shared" si="27"/>
        <v>0</v>
      </c>
      <c r="L100" s="169">
        <f t="shared" si="27"/>
        <v>0</v>
      </c>
      <c r="M100" s="169">
        <f t="shared" si="27"/>
        <v>0</v>
      </c>
      <c r="N100" s="169">
        <f t="shared" si="27"/>
        <v>0</v>
      </c>
      <c r="O100" s="156">
        <f t="shared" si="27"/>
        <v>0</v>
      </c>
      <c r="P100" s="156">
        <f t="shared" si="27"/>
        <v>0</v>
      </c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</row>
    <row r="101" spans="1:145" s="62" customFormat="1" ht="12.75" customHeight="1" x14ac:dyDescent="0.2">
      <c r="A101" s="74"/>
      <c r="B101" s="129"/>
      <c r="C101" s="185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22"/>
      <c r="P101" s="122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  <c r="EF101" s="65"/>
      <c r="EG101" s="65"/>
      <c r="EH101" s="65"/>
      <c r="EI101" s="65"/>
      <c r="EJ101" s="65"/>
      <c r="EK101" s="65"/>
      <c r="EL101" s="65"/>
      <c r="EM101" s="65"/>
      <c r="EN101" s="65"/>
      <c r="EO101" s="65"/>
    </row>
    <row r="102" spans="1:145" s="62" customFormat="1" ht="13.5" customHeight="1" thickBot="1" x14ac:dyDescent="0.25">
      <c r="A102" s="74">
        <v>15</v>
      </c>
      <c r="B102" s="243" t="str">
        <f>B37</f>
        <v>TOTAL AEP TEXAS</v>
      </c>
      <c r="C102" s="238"/>
      <c r="D102" s="186">
        <f t="shared" ref="D102:P102" si="28">+D100+D96</f>
        <v>-818046.55999999994</v>
      </c>
      <c r="E102" s="186">
        <f t="shared" si="28"/>
        <v>-689256.42999999993</v>
      </c>
      <c r="F102" s="186">
        <f t="shared" si="28"/>
        <v>-624435.38</v>
      </c>
      <c r="G102" s="186">
        <f t="shared" si="28"/>
        <v>-634422.66999999993</v>
      </c>
      <c r="H102" s="186">
        <f t="shared" si="28"/>
        <v>-674607.01</v>
      </c>
      <c r="I102" s="186">
        <f t="shared" si="28"/>
        <v>-843615.59000000008</v>
      </c>
      <c r="J102" s="186">
        <f t="shared" si="28"/>
        <v>-855709.89</v>
      </c>
      <c r="K102" s="186">
        <f t="shared" si="28"/>
        <v>-850729.46</v>
      </c>
      <c r="L102" s="186">
        <f t="shared" si="28"/>
        <v>-854307.03</v>
      </c>
      <c r="M102" s="186">
        <f t="shared" si="28"/>
        <v>-716090.92999999993</v>
      </c>
      <c r="N102" s="186">
        <f t="shared" si="28"/>
        <v>-672504.88</v>
      </c>
      <c r="O102" s="186">
        <f t="shared" si="28"/>
        <v>-666675.94999999995</v>
      </c>
      <c r="P102" s="186">
        <f t="shared" si="28"/>
        <v>-8900401.7799999993</v>
      </c>
      <c r="Q102" s="228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  <c r="DK102" s="65"/>
      <c r="DL102" s="65"/>
      <c r="DM102" s="65"/>
      <c r="DN102" s="65"/>
      <c r="DO102" s="65"/>
      <c r="DP102" s="65"/>
      <c r="DQ102" s="65"/>
      <c r="DR102" s="65"/>
      <c r="DS102" s="65"/>
      <c r="DT102" s="65"/>
      <c r="DU102" s="65"/>
      <c r="DV102" s="65"/>
      <c r="DW102" s="65"/>
      <c r="DX102" s="65"/>
      <c r="DY102" s="65"/>
      <c r="DZ102" s="65"/>
      <c r="EA102" s="65"/>
      <c r="EB102" s="65"/>
      <c r="EC102" s="65"/>
      <c r="ED102" s="65"/>
      <c r="EE102" s="65"/>
      <c r="EF102" s="65"/>
      <c r="EG102" s="65"/>
      <c r="EH102" s="65"/>
      <c r="EI102" s="65"/>
      <c r="EJ102" s="65"/>
      <c r="EK102" s="65"/>
      <c r="EL102" s="65"/>
      <c r="EM102" s="65"/>
      <c r="EN102" s="65"/>
      <c r="EO102" s="65"/>
    </row>
    <row r="103" spans="1:145" s="62" customFormat="1" ht="12.75" customHeight="1" thickTop="1" x14ac:dyDescent="0.2">
      <c r="A103" s="74"/>
      <c r="B103" s="152"/>
      <c r="C103" s="238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65"/>
      <c r="ED103" s="65"/>
      <c r="EE103" s="65"/>
      <c r="EF103" s="65"/>
      <c r="EG103" s="65"/>
      <c r="EH103" s="65"/>
      <c r="EI103" s="65"/>
      <c r="EJ103" s="65"/>
      <c r="EK103" s="65"/>
      <c r="EL103" s="65"/>
      <c r="EM103" s="65"/>
      <c r="EN103" s="65"/>
      <c r="EO103" s="65"/>
    </row>
    <row r="104" spans="1:145" s="62" customFormat="1" x14ac:dyDescent="0.2">
      <c r="A104" s="74"/>
      <c r="B104" s="202"/>
      <c r="C104" s="238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  <c r="DY104" s="65"/>
      <c r="DZ104" s="65"/>
      <c r="EA104" s="65"/>
      <c r="EB104" s="65"/>
      <c r="EC104" s="65"/>
      <c r="ED104" s="65"/>
      <c r="EE104" s="65"/>
      <c r="EF104" s="65"/>
      <c r="EG104" s="65"/>
      <c r="EH104" s="65"/>
      <c r="EI104" s="65"/>
      <c r="EJ104" s="65"/>
      <c r="EK104" s="65"/>
      <c r="EL104" s="65"/>
      <c r="EM104" s="65"/>
      <c r="EN104" s="65"/>
      <c r="EO104" s="65"/>
    </row>
    <row r="105" spans="1:145" s="62" customFormat="1" x14ac:dyDescent="0.2">
      <c r="A105" s="74"/>
      <c r="B105" s="202"/>
      <c r="C105" s="238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65"/>
      <c r="ED105" s="65"/>
      <c r="EE105" s="65"/>
      <c r="EF105" s="65"/>
      <c r="EG105" s="65"/>
      <c r="EH105" s="65"/>
      <c r="EI105" s="65"/>
      <c r="EJ105" s="65"/>
      <c r="EK105" s="65"/>
      <c r="EL105" s="65"/>
      <c r="EM105" s="65"/>
      <c r="EN105" s="65"/>
      <c r="EO105" s="65"/>
    </row>
    <row r="106" spans="1:145" ht="14.25" customHeight="1" x14ac:dyDescent="0.2">
      <c r="B106" s="393" t="s">
        <v>131</v>
      </c>
      <c r="C106" s="388"/>
      <c r="D106" s="388"/>
      <c r="E106" s="388"/>
      <c r="F106" s="388"/>
      <c r="G106" s="388"/>
      <c r="H106" s="388"/>
      <c r="I106" s="388"/>
      <c r="J106" s="388"/>
      <c r="K106" s="388"/>
      <c r="L106" s="388"/>
      <c r="M106" s="388"/>
      <c r="N106" s="388"/>
      <c r="O106" s="388"/>
      <c r="P106" s="251"/>
    </row>
    <row r="107" spans="1:145" x14ac:dyDescent="0.2">
      <c r="B107" s="393" t="s">
        <v>72</v>
      </c>
      <c r="C107" s="388"/>
      <c r="D107" s="388"/>
      <c r="E107" s="388"/>
      <c r="F107" s="388"/>
      <c r="G107" s="388"/>
      <c r="H107" s="388"/>
      <c r="I107" s="388"/>
      <c r="J107" s="388"/>
      <c r="K107" s="388"/>
      <c r="L107" s="388"/>
      <c r="M107" s="388"/>
      <c r="N107" s="388"/>
      <c r="O107" s="388"/>
      <c r="P107" s="147" t="s">
        <v>1</v>
      </c>
    </row>
    <row r="108" spans="1:145" x14ac:dyDescent="0.2">
      <c r="B108" s="388" t="str">
        <f>B10</f>
        <v>FOR TEST YEAR ENDED DECEMBER 31, 2018</v>
      </c>
      <c r="C108" s="388"/>
      <c r="D108" s="388"/>
      <c r="E108" s="388"/>
      <c r="F108" s="388"/>
      <c r="G108" s="388"/>
      <c r="H108" s="388"/>
      <c r="I108" s="388"/>
      <c r="J108" s="388"/>
      <c r="K108" s="388"/>
      <c r="L108" s="388"/>
      <c r="M108" s="388"/>
      <c r="N108" s="388"/>
      <c r="O108" s="388"/>
      <c r="P108" s="146" t="s">
        <v>1</v>
      </c>
    </row>
    <row r="109" spans="1:145" x14ac:dyDescent="0.2">
      <c r="B109" s="124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  <c r="N109" s="238"/>
      <c r="O109" s="238"/>
      <c r="P109" s="146"/>
    </row>
    <row r="110" spans="1:145" x14ac:dyDescent="0.2">
      <c r="B110" s="175"/>
      <c r="C110" s="168"/>
      <c r="D110" s="176"/>
      <c r="E110" s="177"/>
      <c r="F110" s="177"/>
      <c r="G110" s="176"/>
      <c r="H110" s="157"/>
      <c r="I110" s="157"/>
      <c r="J110" s="157"/>
      <c r="K110" s="157"/>
      <c r="L110" s="157"/>
      <c r="M110" s="157"/>
      <c r="N110" s="157"/>
      <c r="O110" s="122"/>
      <c r="P110" s="178"/>
    </row>
    <row r="111" spans="1:145" x14ac:dyDescent="0.2">
      <c r="A111" s="38" t="s">
        <v>20</v>
      </c>
      <c r="B111" s="237" t="s">
        <v>0</v>
      </c>
      <c r="C111" s="237" t="s">
        <v>19</v>
      </c>
      <c r="D111" s="164" t="str">
        <f>+D13</f>
        <v>JANUARY</v>
      </c>
      <c r="E111" s="164" t="str">
        <f t="shared" ref="E111:O111" si="29">+E13</f>
        <v>FEBRUARY</v>
      </c>
      <c r="F111" s="164" t="str">
        <f t="shared" si="29"/>
        <v>MARCH</v>
      </c>
      <c r="G111" s="164" t="str">
        <f t="shared" si="29"/>
        <v>APRIL</v>
      </c>
      <c r="H111" s="164" t="str">
        <f t="shared" si="29"/>
        <v>MAY</v>
      </c>
      <c r="I111" s="164" t="str">
        <f t="shared" si="29"/>
        <v>JUNE</v>
      </c>
      <c r="J111" s="164" t="str">
        <f t="shared" si="29"/>
        <v>JULY</v>
      </c>
      <c r="K111" s="164" t="str">
        <f t="shared" si="29"/>
        <v>AUGUST</v>
      </c>
      <c r="L111" s="164" t="str">
        <f t="shared" si="29"/>
        <v>SEPTEMBER</v>
      </c>
      <c r="M111" s="164" t="str">
        <f t="shared" si="29"/>
        <v>OCTOBER</v>
      </c>
      <c r="N111" s="164" t="str">
        <f t="shared" si="29"/>
        <v>NOVEMBER</v>
      </c>
      <c r="O111" s="164" t="str">
        <f t="shared" si="29"/>
        <v>DECEMBER</v>
      </c>
      <c r="P111" s="179" t="s">
        <v>14</v>
      </c>
    </row>
    <row r="112" spans="1:145" x14ac:dyDescent="0.2">
      <c r="B112" s="237"/>
      <c r="C112" s="237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79"/>
      <c r="P112" s="179"/>
    </row>
    <row r="113" spans="1:145" s="62" customFormat="1" x14ac:dyDescent="0.2">
      <c r="A113" s="74" t="s">
        <v>21</v>
      </c>
      <c r="B113" s="129" t="s">
        <v>29</v>
      </c>
      <c r="C113" s="143" t="s">
        <v>16</v>
      </c>
      <c r="D113" s="149">
        <f>-Riders!D42</f>
        <v>-615110.37</v>
      </c>
      <c r="E113" s="149">
        <f>-Riders!E42</f>
        <v>-455754.72</v>
      </c>
      <c r="F113" s="149">
        <f>-Riders!F42</f>
        <v>-403259.11</v>
      </c>
      <c r="G113" s="149">
        <f>-Riders!G42</f>
        <v>-424731.2</v>
      </c>
      <c r="H113" s="149">
        <f>-Riders!H42</f>
        <v>-471365.34</v>
      </c>
      <c r="I113" s="149">
        <f>-Riders!I42</f>
        <v>-719576.43</v>
      </c>
      <c r="J113" s="149">
        <f>-Riders!J42</f>
        <v>-753708.91</v>
      </c>
      <c r="K113" s="149">
        <f>-Riders!K42</f>
        <v>-764935.83000000007</v>
      </c>
      <c r="L113" s="149">
        <f>-Riders!L42</f>
        <v>-738119.57</v>
      </c>
      <c r="M113" s="149">
        <f>-Riders!M42</f>
        <v>-575451.09</v>
      </c>
      <c r="N113" s="149">
        <f>-Riders!N42</f>
        <v>-436896.7</v>
      </c>
      <c r="O113" s="149">
        <f>-Riders!O42</f>
        <v>-493167.19</v>
      </c>
      <c r="P113" s="149">
        <f>SUM(D113:O113)</f>
        <v>-6852076.4600000009</v>
      </c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</row>
    <row r="114" spans="1:145" s="62" customFormat="1" x14ac:dyDescent="0.2">
      <c r="B114" s="129"/>
      <c r="C114" s="143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56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</row>
    <row r="115" spans="1:145" s="62" customFormat="1" x14ac:dyDescent="0.2">
      <c r="A115" s="74">
        <v>2</v>
      </c>
      <c r="B115" s="129" t="s">
        <v>32</v>
      </c>
      <c r="C115" s="143" t="s">
        <v>16</v>
      </c>
      <c r="D115" s="122">
        <f>-Riders!D44</f>
        <v>-10740.73</v>
      </c>
      <c r="E115" s="122">
        <f>-Riders!E44</f>
        <v>-8872.92</v>
      </c>
      <c r="F115" s="122">
        <f>-Riders!F44</f>
        <v>-10183.26</v>
      </c>
      <c r="G115" s="122">
        <f>-Riders!G44</f>
        <v>-10631.45</v>
      </c>
      <c r="H115" s="122">
        <f>-Riders!H44</f>
        <v>-10833.27</v>
      </c>
      <c r="I115" s="122">
        <f>-Riders!I44</f>
        <v>-13442.36</v>
      </c>
      <c r="J115" s="122">
        <f>-Riders!J44</f>
        <v>-14099.93</v>
      </c>
      <c r="K115" s="122">
        <f>-Riders!K44</f>
        <v>-13643.380000000001</v>
      </c>
      <c r="L115" s="122">
        <f>-Riders!L44</f>
        <v>-13678.420000000002</v>
      </c>
      <c r="M115" s="122">
        <f>-Riders!M44</f>
        <v>-11610.07</v>
      </c>
      <c r="N115" s="122">
        <f>-Riders!N44</f>
        <v>-10330.049999999999</v>
      </c>
      <c r="O115" s="122">
        <f>-Riders!O44</f>
        <v>-11493.16</v>
      </c>
      <c r="P115" s="156">
        <f>SUM(D115:O115)</f>
        <v>-139559</v>
      </c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  <c r="EO115" s="65"/>
    </row>
    <row r="116" spans="1:145" s="62" customFormat="1" x14ac:dyDescent="0.2">
      <c r="A116" s="74"/>
      <c r="B116" s="129"/>
      <c r="C116" s="143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56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  <c r="EO116" s="65"/>
    </row>
    <row r="117" spans="1:145" s="62" customFormat="1" x14ac:dyDescent="0.2">
      <c r="A117" s="74">
        <v>3</v>
      </c>
      <c r="B117" s="146" t="s">
        <v>113</v>
      </c>
      <c r="C117" s="125" t="s">
        <v>16</v>
      </c>
      <c r="D117" s="142">
        <f>-Riders!D46</f>
        <v>-269533.23</v>
      </c>
      <c r="E117" s="142">
        <f>-Riders!E46</f>
        <v>-242650.5</v>
      </c>
      <c r="F117" s="142">
        <f>-Riders!F46</f>
        <v>-244400.57</v>
      </c>
      <c r="G117" s="142">
        <f>-Riders!G46</f>
        <v>-263495.12</v>
      </c>
      <c r="H117" s="142">
        <f>-Riders!H46</f>
        <v>-274573.65000000002</v>
      </c>
      <c r="I117" s="142">
        <f>-Riders!I46</f>
        <v>-341628.61</v>
      </c>
      <c r="J117" s="142">
        <f>-Riders!J46</f>
        <v>-347318.11</v>
      </c>
      <c r="K117" s="142">
        <f>-Riders!K46</f>
        <v>-349497.41000000003</v>
      </c>
      <c r="L117" s="142">
        <f>-Riders!L46</f>
        <v>-352934.08</v>
      </c>
      <c r="M117" s="142">
        <f>-Riders!M46</f>
        <v>-304514.88</v>
      </c>
      <c r="N117" s="142">
        <f>-Riders!N46</f>
        <v>-255493.57</v>
      </c>
      <c r="O117" s="142">
        <f>-Riders!O46</f>
        <v>-256164.2</v>
      </c>
      <c r="P117" s="156">
        <f>SUM(D117:O117)</f>
        <v>-3502203.93</v>
      </c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  <c r="EO117" s="65"/>
    </row>
    <row r="118" spans="1:145" s="62" customFormat="1" x14ac:dyDescent="0.2">
      <c r="A118" s="74">
        <v>4</v>
      </c>
      <c r="B118" s="146" t="s">
        <v>114</v>
      </c>
      <c r="C118" s="125" t="s">
        <v>16</v>
      </c>
      <c r="D118" s="123">
        <f>-Riders!D47</f>
        <v>-45719.519999999997</v>
      </c>
      <c r="E118" s="123">
        <f>-Riders!E47</f>
        <v>-38711.649999999994</v>
      </c>
      <c r="F118" s="123">
        <f>-Riders!F47</f>
        <v>-42109.04</v>
      </c>
      <c r="G118" s="123">
        <f>-Riders!G47</f>
        <v>-43243.32</v>
      </c>
      <c r="H118" s="123">
        <f>-Riders!H47</f>
        <v>-44646.869999999995</v>
      </c>
      <c r="I118" s="123">
        <f>-Riders!I47</f>
        <v>-45932.36</v>
      </c>
      <c r="J118" s="123">
        <f>-Riders!J47</f>
        <v>-53849.67</v>
      </c>
      <c r="K118" s="123">
        <f>-Riders!K47</f>
        <v>-49578.080000000002</v>
      </c>
      <c r="L118" s="123">
        <f>-Riders!L47</f>
        <v>-55649.93</v>
      </c>
      <c r="M118" s="123">
        <f>-Riders!M47</f>
        <v>-49122.520000000004</v>
      </c>
      <c r="N118" s="123">
        <f>-Riders!N47</f>
        <v>-44391.05</v>
      </c>
      <c r="O118" s="123">
        <f>-Riders!O47</f>
        <v>-43621.62</v>
      </c>
      <c r="P118" s="123">
        <f>SUM(D118:O118)</f>
        <v>-556575.63</v>
      </c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  <c r="EO118" s="65"/>
    </row>
    <row r="119" spans="1:145" s="62" customFormat="1" x14ac:dyDescent="0.2">
      <c r="A119" s="74">
        <v>5</v>
      </c>
      <c r="B119" s="162" t="s">
        <v>30</v>
      </c>
      <c r="C119" s="143"/>
      <c r="D119" s="157">
        <f t="shared" ref="D119:P119" si="30">SUM(D117:D118)</f>
        <v>-315252.75</v>
      </c>
      <c r="E119" s="157">
        <f t="shared" si="30"/>
        <v>-281362.15000000002</v>
      </c>
      <c r="F119" s="157">
        <f t="shared" si="30"/>
        <v>-286509.61</v>
      </c>
      <c r="G119" s="157">
        <f t="shared" si="30"/>
        <v>-306738.44</v>
      </c>
      <c r="H119" s="157">
        <f t="shared" si="30"/>
        <v>-319220.52</v>
      </c>
      <c r="I119" s="157">
        <f t="shared" si="30"/>
        <v>-387560.97</v>
      </c>
      <c r="J119" s="157">
        <f t="shared" si="30"/>
        <v>-401167.77999999997</v>
      </c>
      <c r="K119" s="157">
        <f t="shared" si="30"/>
        <v>-399075.49000000005</v>
      </c>
      <c r="L119" s="157">
        <f t="shared" si="30"/>
        <v>-408584.01</v>
      </c>
      <c r="M119" s="157">
        <f t="shared" si="30"/>
        <v>-353637.4</v>
      </c>
      <c r="N119" s="157">
        <f t="shared" si="30"/>
        <v>-299884.62</v>
      </c>
      <c r="O119" s="157">
        <f t="shared" si="30"/>
        <v>-299785.82</v>
      </c>
      <c r="P119" s="157">
        <f t="shared" si="30"/>
        <v>-4058779.56</v>
      </c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  <c r="EO119" s="65"/>
    </row>
    <row r="120" spans="1:145" s="62" customFormat="1" x14ac:dyDescent="0.2">
      <c r="B120" s="242"/>
      <c r="C120" s="143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22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  <c r="EO120" s="65"/>
    </row>
    <row r="121" spans="1:145" s="62" customFormat="1" ht="12.75" customHeight="1" x14ac:dyDescent="0.2">
      <c r="A121" s="74">
        <v>6</v>
      </c>
      <c r="B121" s="146" t="s">
        <v>110</v>
      </c>
      <c r="C121" s="125" t="s">
        <v>17</v>
      </c>
      <c r="D121" s="122">
        <f>-Riders!D50</f>
        <v>-3524.47</v>
      </c>
      <c r="E121" s="122">
        <f>-Riders!E50</f>
        <v>-3216.11</v>
      </c>
      <c r="F121" s="122">
        <f>-Riders!F50</f>
        <v>-4258.68</v>
      </c>
      <c r="G121" s="122">
        <f>-Riders!G50</f>
        <v>-5299.05</v>
      </c>
      <c r="H121" s="122">
        <f>-Riders!H50</f>
        <v>-5538.64</v>
      </c>
      <c r="I121" s="122">
        <f>-Riders!I50</f>
        <v>-6557.6100000000006</v>
      </c>
      <c r="J121" s="122">
        <f>-Riders!J50</f>
        <v>-6730.63</v>
      </c>
      <c r="K121" s="122">
        <f>-Riders!K50</f>
        <v>-6324.1399999999994</v>
      </c>
      <c r="L121" s="122">
        <f>-Riders!L50</f>
        <v>-7263.82</v>
      </c>
      <c r="M121" s="122">
        <f>-Riders!M50</f>
        <v>-6106.39</v>
      </c>
      <c r="N121" s="122">
        <f>-Riders!N50</f>
        <v>-6449.83</v>
      </c>
      <c r="O121" s="122">
        <f>-Riders!O50</f>
        <v>-5450.52</v>
      </c>
      <c r="P121" s="156">
        <f>SUM(D121:O121)</f>
        <v>-66719.89</v>
      </c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  <c r="EO121" s="65"/>
    </row>
    <row r="122" spans="1:145" s="62" customFormat="1" ht="12.75" customHeight="1" x14ac:dyDescent="0.2">
      <c r="A122" s="74">
        <v>7</v>
      </c>
      <c r="B122" s="146" t="s">
        <v>111</v>
      </c>
      <c r="C122" s="125" t="s">
        <v>17</v>
      </c>
      <c r="D122" s="123">
        <f>-Riders!D51</f>
        <v>-53662.310000000005</v>
      </c>
      <c r="E122" s="123">
        <f>-Riders!E51</f>
        <v>-46294.82</v>
      </c>
      <c r="F122" s="123">
        <f>-Riders!F51</f>
        <v>-70203.039999999994</v>
      </c>
      <c r="G122" s="123">
        <f>-Riders!G51</f>
        <v>-71204.56</v>
      </c>
      <c r="H122" s="123">
        <f>-Riders!H51</f>
        <v>-82858.159999999989</v>
      </c>
      <c r="I122" s="123">
        <f>-Riders!I51</f>
        <v>-91683.02</v>
      </c>
      <c r="J122" s="123">
        <f>-Riders!J51</f>
        <v>-89917.63</v>
      </c>
      <c r="K122" s="123">
        <f>-Riders!K51</f>
        <v>-54625.11</v>
      </c>
      <c r="L122" s="123">
        <f>-Riders!L51</f>
        <v>-87900.72</v>
      </c>
      <c r="M122" s="123">
        <f>-Riders!M51</f>
        <v>-74620.91</v>
      </c>
      <c r="N122" s="123">
        <f>-Riders!N51</f>
        <v>-75363.299999999988</v>
      </c>
      <c r="O122" s="123">
        <f>-Riders!O51</f>
        <v>-65433.409999999989</v>
      </c>
      <c r="P122" s="173">
        <f>SUM(D122:O122)</f>
        <v>-863766.99000000011</v>
      </c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  <c r="EO122" s="65"/>
    </row>
    <row r="123" spans="1:145" s="62" customFormat="1" ht="12.75" customHeight="1" x14ac:dyDescent="0.2">
      <c r="A123" s="74">
        <v>8</v>
      </c>
      <c r="B123" s="129" t="s">
        <v>31</v>
      </c>
      <c r="C123" s="125"/>
      <c r="D123" s="122">
        <f t="shared" ref="D123:P123" si="31">SUM(D121:D122)</f>
        <v>-57186.780000000006</v>
      </c>
      <c r="E123" s="122">
        <f t="shared" si="31"/>
        <v>-49510.93</v>
      </c>
      <c r="F123" s="122">
        <f t="shared" si="31"/>
        <v>-74461.72</v>
      </c>
      <c r="G123" s="122">
        <f t="shared" si="31"/>
        <v>-76503.61</v>
      </c>
      <c r="H123" s="122">
        <f t="shared" si="31"/>
        <v>-88396.799999999988</v>
      </c>
      <c r="I123" s="122">
        <f t="shared" si="31"/>
        <v>-98240.63</v>
      </c>
      <c r="J123" s="122">
        <f t="shared" si="31"/>
        <v>-96648.260000000009</v>
      </c>
      <c r="K123" s="122">
        <f t="shared" si="31"/>
        <v>-60949.25</v>
      </c>
      <c r="L123" s="122">
        <f t="shared" si="31"/>
        <v>-95164.540000000008</v>
      </c>
      <c r="M123" s="122">
        <f t="shared" si="31"/>
        <v>-80727.3</v>
      </c>
      <c r="N123" s="122">
        <f t="shared" si="31"/>
        <v>-81813.12999999999</v>
      </c>
      <c r="O123" s="122">
        <f t="shared" si="31"/>
        <v>-70883.929999999993</v>
      </c>
      <c r="P123" s="122">
        <f t="shared" si="31"/>
        <v>-930486.88000000012</v>
      </c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  <c r="EO123" s="65"/>
    </row>
    <row r="124" spans="1:145" s="62" customFormat="1" ht="12.75" customHeight="1" x14ac:dyDescent="0.2">
      <c r="A124" s="74"/>
      <c r="B124" s="129"/>
      <c r="C124" s="125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56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  <c r="EO124" s="65"/>
    </row>
    <row r="125" spans="1:145" s="62" customFormat="1" ht="12.75" customHeight="1" x14ac:dyDescent="0.2">
      <c r="A125" s="74">
        <v>9</v>
      </c>
      <c r="B125" s="162" t="s">
        <v>115</v>
      </c>
      <c r="C125" s="125" t="s">
        <v>18</v>
      </c>
      <c r="D125" s="122">
        <f>-Riders!D54</f>
        <v>58976.04</v>
      </c>
      <c r="E125" s="122">
        <f>-Riders!E54</f>
        <v>48444.79</v>
      </c>
      <c r="F125" s="122">
        <f>-Riders!F54</f>
        <v>55347</v>
      </c>
      <c r="G125" s="122">
        <f>-Riders!G54</f>
        <v>54380.93</v>
      </c>
      <c r="H125" s="122">
        <f>-Riders!H54</f>
        <v>54270.61</v>
      </c>
      <c r="I125" s="122">
        <f>-Riders!I54</f>
        <v>57448.5</v>
      </c>
      <c r="J125" s="122">
        <f>-Riders!J54</f>
        <v>50213.3</v>
      </c>
      <c r="K125" s="122">
        <f>-Riders!K54</f>
        <v>50464.59</v>
      </c>
      <c r="L125" s="122">
        <f>-Riders!L54</f>
        <v>57029.3</v>
      </c>
      <c r="M125" s="122">
        <f>-Riders!M54</f>
        <v>28396.940000000002</v>
      </c>
      <c r="N125" s="122">
        <f>-Riders!N54</f>
        <v>77424.899999999994</v>
      </c>
      <c r="O125" s="122">
        <f>-Riders!O54</f>
        <v>38548.189999999995</v>
      </c>
      <c r="P125" s="156">
        <f>SUM(D125:O125)</f>
        <v>630945.09</v>
      </c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  <c r="EO125" s="65"/>
    </row>
    <row r="126" spans="1:145" s="62" customFormat="1" ht="12.75" customHeight="1" x14ac:dyDescent="0.2">
      <c r="B126" s="129"/>
      <c r="C126" s="143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22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/>
      <c r="EJ126" s="65"/>
      <c r="EK126" s="65"/>
      <c r="EL126" s="65"/>
      <c r="EM126" s="65"/>
      <c r="EN126" s="65"/>
      <c r="EO126" s="65"/>
    </row>
    <row r="127" spans="1:145" s="62" customFormat="1" ht="12.75" customHeight="1" x14ac:dyDescent="0.2">
      <c r="A127" s="74">
        <v>10</v>
      </c>
      <c r="B127" s="117" t="s">
        <v>33</v>
      </c>
      <c r="C127" s="125" t="s">
        <v>16</v>
      </c>
      <c r="D127" s="250">
        <f>-'[10]TCC Riders Sales Elec'!BQ71</f>
        <v>0</v>
      </c>
      <c r="E127" s="250">
        <f>-'[10]TCC Riders Sales Elec'!BR71</f>
        <v>0</v>
      </c>
      <c r="F127" s="250">
        <f>-'[10]TCC Riders Sales Elec'!BS71</f>
        <v>0</v>
      </c>
      <c r="G127" s="250">
        <f>-'[10]TCC Riders Sales Elec'!BT71</f>
        <v>0</v>
      </c>
      <c r="H127" s="250">
        <f>-'[10]TCC Riders Sales Elec'!BU71</f>
        <v>0</v>
      </c>
      <c r="I127" s="250">
        <f>-'[10]TCC Riders Sales Elec'!BV71</f>
        <v>0</v>
      </c>
      <c r="J127" s="250">
        <f>-'[10]TCC Riders Sales Elec'!BW71</f>
        <v>0</v>
      </c>
      <c r="K127" s="250">
        <f>-'[10]TCC Riders Sales Elec'!BX71</f>
        <v>0</v>
      </c>
      <c r="L127" s="250">
        <f>-'[10]TCC Riders Sales Elec'!BY71</f>
        <v>0</v>
      </c>
      <c r="M127" s="250">
        <f>-'[10]TCC Riders Sales Elec'!BZ71</f>
        <v>0</v>
      </c>
      <c r="N127" s="250">
        <f>-'[10]TCC Riders Sales Elec'!CA71</f>
        <v>0</v>
      </c>
      <c r="O127" s="250">
        <f>-'[10]TCC Riders Sales Elec'!CB71</f>
        <v>0</v>
      </c>
      <c r="P127" s="156">
        <f>SUM(D127:O127)</f>
        <v>0</v>
      </c>
      <c r="Q127" s="111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  <c r="EO127" s="65"/>
    </row>
    <row r="128" spans="1:145" s="62" customFormat="1" ht="12.75" customHeight="1" x14ac:dyDescent="0.2">
      <c r="A128" s="74"/>
      <c r="B128" s="129"/>
      <c r="C128" s="143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22"/>
      <c r="P128" s="122"/>
      <c r="Q128" s="111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/>
      <c r="EJ128" s="65"/>
      <c r="EK128" s="65"/>
      <c r="EL128" s="65"/>
      <c r="EM128" s="65"/>
      <c r="EN128" s="65"/>
      <c r="EO128" s="65"/>
    </row>
    <row r="129" spans="1:145" s="62" customFormat="1" ht="12.75" customHeight="1" x14ac:dyDescent="0.2">
      <c r="A129" s="74">
        <v>11</v>
      </c>
      <c r="B129" s="183" t="s">
        <v>34</v>
      </c>
      <c r="C129" s="236"/>
      <c r="D129" s="184">
        <f>D127+D125+D123+D119+D115+D113</f>
        <v>-939314.59</v>
      </c>
      <c r="E129" s="184">
        <f t="shared" ref="E129:P129" si="32">E127+E125+E123+E119+E115+E113</f>
        <v>-747055.92999999993</v>
      </c>
      <c r="F129" s="184">
        <f t="shared" si="32"/>
        <v>-719066.7</v>
      </c>
      <c r="G129" s="184">
        <f t="shared" si="32"/>
        <v>-764223.77</v>
      </c>
      <c r="H129" s="184">
        <f t="shared" si="32"/>
        <v>-835545.32000000007</v>
      </c>
      <c r="I129" s="184">
        <f t="shared" si="32"/>
        <v>-1161371.8900000001</v>
      </c>
      <c r="J129" s="184">
        <f t="shared" si="32"/>
        <v>-1215411.58</v>
      </c>
      <c r="K129" s="184">
        <f t="shared" si="32"/>
        <v>-1188139.3600000001</v>
      </c>
      <c r="L129" s="184">
        <f t="shared" si="32"/>
        <v>-1198517.24</v>
      </c>
      <c r="M129" s="184">
        <f t="shared" si="32"/>
        <v>-993028.91999999993</v>
      </c>
      <c r="N129" s="184">
        <f t="shared" si="32"/>
        <v>-751499.6</v>
      </c>
      <c r="O129" s="184">
        <f t="shared" si="32"/>
        <v>-836781.90999999992</v>
      </c>
      <c r="P129" s="184">
        <f t="shared" si="32"/>
        <v>-11349956.810000002</v>
      </c>
      <c r="Q129" s="70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  <c r="EO129" s="65"/>
    </row>
    <row r="130" spans="1:145" s="62" customFormat="1" ht="12.75" customHeight="1" x14ac:dyDescent="0.2">
      <c r="B130" s="236"/>
      <c r="C130" s="236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56"/>
      <c r="P130" s="156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/>
      <c r="EJ130" s="65"/>
      <c r="EK130" s="65"/>
      <c r="EL130" s="65"/>
      <c r="EM130" s="65"/>
      <c r="EN130" s="65"/>
      <c r="EO130" s="65"/>
    </row>
    <row r="131" spans="1:145" s="62" customFormat="1" ht="12.75" customHeight="1" x14ac:dyDescent="0.2">
      <c r="A131" s="74">
        <v>12</v>
      </c>
      <c r="B131" s="148" t="s">
        <v>91</v>
      </c>
      <c r="C131" s="125" t="s">
        <v>17</v>
      </c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56">
        <f>SUM(D131:O131)</f>
        <v>0</v>
      </c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65"/>
      <c r="EK131" s="65"/>
      <c r="EL131" s="65"/>
      <c r="EM131" s="65"/>
      <c r="EN131" s="65"/>
      <c r="EO131" s="65"/>
    </row>
    <row r="132" spans="1:145" s="62" customFormat="1" ht="12.75" customHeight="1" x14ac:dyDescent="0.2">
      <c r="A132" s="74">
        <v>13</v>
      </c>
      <c r="B132" s="148" t="s">
        <v>92</v>
      </c>
      <c r="C132" s="125" t="s">
        <v>18</v>
      </c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73">
        <f>SUM(D132:O132)</f>
        <v>0</v>
      </c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/>
      <c r="EJ132" s="65"/>
      <c r="EK132" s="65"/>
      <c r="EL132" s="65"/>
      <c r="EM132" s="65"/>
      <c r="EN132" s="65"/>
      <c r="EO132" s="65"/>
    </row>
    <row r="133" spans="1:145" s="62" customFormat="1" ht="12.75" customHeight="1" x14ac:dyDescent="0.2">
      <c r="A133" s="74">
        <v>14</v>
      </c>
      <c r="B133" s="183" t="s">
        <v>35</v>
      </c>
      <c r="C133" s="238"/>
      <c r="D133" s="169">
        <f t="shared" ref="D133:P133" si="33">SUM(D131:D132)</f>
        <v>0</v>
      </c>
      <c r="E133" s="169">
        <f t="shared" si="33"/>
        <v>0</v>
      </c>
      <c r="F133" s="169">
        <f t="shared" si="33"/>
        <v>0</v>
      </c>
      <c r="G133" s="169">
        <f t="shared" si="33"/>
        <v>0</v>
      </c>
      <c r="H133" s="169">
        <f t="shared" si="33"/>
        <v>0</v>
      </c>
      <c r="I133" s="169">
        <f t="shared" si="33"/>
        <v>0</v>
      </c>
      <c r="J133" s="169">
        <f t="shared" si="33"/>
        <v>0</v>
      </c>
      <c r="K133" s="169">
        <f t="shared" si="33"/>
        <v>0</v>
      </c>
      <c r="L133" s="169">
        <f t="shared" si="33"/>
        <v>0</v>
      </c>
      <c r="M133" s="169">
        <f t="shared" si="33"/>
        <v>0</v>
      </c>
      <c r="N133" s="169">
        <f t="shared" si="33"/>
        <v>0</v>
      </c>
      <c r="O133" s="156">
        <f t="shared" si="33"/>
        <v>0</v>
      </c>
      <c r="P133" s="156">
        <f t="shared" si="33"/>
        <v>0</v>
      </c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/>
      <c r="EJ133" s="65"/>
      <c r="EK133" s="65"/>
      <c r="EL133" s="65"/>
      <c r="EM133" s="65"/>
      <c r="EN133" s="65"/>
      <c r="EO133" s="65"/>
    </row>
    <row r="134" spans="1:145" s="62" customFormat="1" ht="12.75" customHeight="1" x14ac:dyDescent="0.2">
      <c r="A134" s="74"/>
      <c r="B134" s="129"/>
      <c r="C134" s="185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22"/>
      <c r="P134" s="122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65"/>
      <c r="CQ134" s="65"/>
      <c r="CR134" s="65"/>
      <c r="CS134" s="65"/>
      <c r="CT134" s="65"/>
      <c r="CU134" s="65"/>
      <c r="CV134" s="65"/>
      <c r="CW134" s="65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5"/>
      <c r="DI134" s="65"/>
      <c r="DJ134" s="65"/>
      <c r="DK134" s="65"/>
      <c r="DL134" s="65"/>
      <c r="DM134" s="65"/>
      <c r="DN134" s="65"/>
      <c r="DO134" s="65"/>
      <c r="DP134" s="65"/>
      <c r="DQ134" s="65"/>
      <c r="DR134" s="65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  <c r="EF134" s="65"/>
      <c r="EG134" s="65"/>
      <c r="EH134" s="65"/>
      <c r="EI134" s="65"/>
      <c r="EJ134" s="65"/>
      <c r="EK134" s="65"/>
      <c r="EL134" s="65"/>
      <c r="EM134" s="65"/>
      <c r="EN134" s="65"/>
      <c r="EO134" s="65"/>
    </row>
    <row r="135" spans="1:145" s="62" customFormat="1" ht="13.5" customHeight="1" thickBot="1" x14ac:dyDescent="0.25">
      <c r="A135" s="74">
        <v>15</v>
      </c>
      <c r="B135" s="243" t="str">
        <f>B37</f>
        <v>TOTAL AEP TEXAS</v>
      </c>
      <c r="C135" s="238"/>
      <c r="D135" s="186">
        <f t="shared" ref="D135:P135" si="34">+D133+D129</f>
        <v>-939314.59</v>
      </c>
      <c r="E135" s="186">
        <f t="shared" si="34"/>
        <v>-747055.92999999993</v>
      </c>
      <c r="F135" s="186">
        <f t="shared" si="34"/>
        <v>-719066.7</v>
      </c>
      <c r="G135" s="186">
        <f t="shared" si="34"/>
        <v>-764223.77</v>
      </c>
      <c r="H135" s="186">
        <f t="shared" si="34"/>
        <v>-835545.32000000007</v>
      </c>
      <c r="I135" s="186">
        <f t="shared" si="34"/>
        <v>-1161371.8900000001</v>
      </c>
      <c r="J135" s="186">
        <f t="shared" si="34"/>
        <v>-1215411.58</v>
      </c>
      <c r="K135" s="186">
        <f t="shared" si="34"/>
        <v>-1188139.3600000001</v>
      </c>
      <c r="L135" s="186">
        <f t="shared" si="34"/>
        <v>-1198517.24</v>
      </c>
      <c r="M135" s="186">
        <f t="shared" si="34"/>
        <v>-993028.91999999993</v>
      </c>
      <c r="N135" s="186">
        <f t="shared" si="34"/>
        <v>-751499.6</v>
      </c>
      <c r="O135" s="186">
        <f t="shared" si="34"/>
        <v>-836781.90999999992</v>
      </c>
      <c r="P135" s="186">
        <f t="shared" si="34"/>
        <v>-11349956.810000002</v>
      </c>
      <c r="Q135" s="228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  <c r="CW135" s="65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  <c r="DL135" s="65"/>
      <c r="DM135" s="65"/>
      <c r="DN135" s="65"/>
      <c r="DO135" s="65"/>
      <c r="DP135" s="65"/>
      <c r="DQ135" s="65"/>
      <c r="DR135" s="65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  <c r="EF135" s="65"/>
      <c r="EG135" s="65"/>
      <c r="EH135" s="65"/>
      <c r="EI135" s="65"/>
      <c r="EJ135" s="65"/>
      <c r="EK135" s="65"/>
      <c r="EL135" s="65"/>
      <c r="EM135" s="65"/>
      <c r="EN135" s="65"/>
      <c r="EO135" s="65"/>
    </row>
    <row r="136" spans="1:145" s="62" customFormat="1" ht="12.75" customHeight="1" thickTop="1" x14ac:dyDescent="0.2">
      <c r="A136" s="74"/>
      <c r="B136" s="152"/>
      <c r="C136" s="238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65"/>
      <c r="CQ136" s="65"/>
      <c r="CR136" s="65"/>
      <c r="CS136" s="65"/>
      <c r="CT136" s="65"/>
      <c r="CU136" s="65"/>
      <c r="CV136" s="65"/>
      <c r="CW136" s="65"/>
      <c r="CX136" s="65"/>
      <c r="CY136" s="65"/>
      <c r="CZ136" s="65"/>
      <c r="DA136" s="65"/>
      <c r="DB136" s="65"/>
      <c r="DC136" s="65"/>
      <c r="DD136" s="65"/>
      <c r="DE136" s="65"/>
      <c r="DF136" s="65"/>
      <c r="DG136" s="65"/>
      <c r="DH136" s="65"/>
      <c r="DI136" s="65"/>
      <c r="DJ136" s="65"/>
      <c r="DK136" s="65"/>
      <c r="DL136" s="65"/>
      <c r="DM136" s="65"/>
      <c r="DN136" s="65"/>
      <c r="DO136" s="65"/>
      <c r="DP136" s="65"/>
      <c r="DQ136" s="65"/>
      <c r="DR136" s="65"/>
      <c r="DS136" s="65"/>
      <c r="DT136" s="65"/>
      <c r="DU136" s="65"/>
      <c r="DV136" s="65"/>
      <c r="DW136" s="65"/>
      <c r="DX136" s="65"/>
      <c r="DY136" s="65"/>
      <c r="DZ136" s="65"/>
      <c r="EA136" s="65"/>
      <c r="EB136" s="65"/>
      <c r="EC136" s="65"/>
      <c r="ED136" s="65"/>
      <c r="EE136" s="65"/>
      <c r="EF136" s="65"/>
      <c r="EG136" s="65"/>
      <c r="EH136" s="65"/>
      <c r="EI136" s="65"/>
      <c r="EJ136" s="65"/>
      <c r="EK136" s="65"/>
      <c r="EL136" s="65"/>
      <c r="EM136" s="65"/>
      <c r="EN136" s="65"/>
      <c r="EO136" s="65"/>
    </row>
    <row r="137" spans="1:145" s="62" customFormat="1" ht="12.75" customHeight="1" x14ac:dyDescent="0.2">
      <c r="A137" s="74"/>
      <c r="B137" s="152"/>
      <c r="C137" s="238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5"/>
      <c r="DI137" s="65"/>
      <c r="DJ137" s="65"/>
      <c r="DK137" s="65"/>
      <c r="DL137" s="65"/>
      <c r="DM137" s="65"/>
      <c r="DN137" s="65"/>
      <c r="DO137" s="65"/>
      <c r="DP137" s="65"/>
      <c r="DQ137" s="65"/>
      <c r="DR137" s="65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  <c r="EF137" s="65"/>
      <c r="EG137" s="65"/>
      <c r="EH137" s="65"/>
      <c r="EI137" s="65"/>
      <c r="EJ137" s="65"/>
      <c r="EK137" s="65"/>
      <c r="EL137" s="65"/>
      <c r="EM137" s="65"/>
      <c r="EN137" s="65"/>
      <c r="EO137" s="65"/>
    </row>
    <row r="138" spans="1:145" s="62" customFormat="1" ht="12.75" customHeight="1" x14ac:dyDescent="0.2">
      <c r="A138" s="74"/>
      <c r="B138" s="152"/>
      <c r="C138" s="238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  <c r="EH138" s="65"/>
      <c r="EI138" s="65"/>
      <c r="EJ138" s="65"/>
      <c r="EK138" s="65"/>
      <c r="EL138" s="65"/>
      <c r="EM138" s="65"/>
      <c r="EN138" s="65"/>
      <c r="EO138" s="65"/>
    </row>
    <row r="139" spans="1:145" ht="12.75" customHeight="1" x14ac:dyDescent="0.2">
      <c r="B139" s="393" t="s">
        <v>131</v>
      </c>
      <c r="C139" s="388"/>
      <c r="D139" s="388"/>
      <c r="E139" s="388"/>
      <c r="F139" s="388"/>
      <c r="G139" s="388"/>
      <c r="H139" s="388"/>
      <c r="I139" s="388"/>
      <c r="J139" s="388"/>
      <c r="K139" s="388"/>
      <c r="L139" s="388"/>
      <c r="M139" s="388"/>
      <c r="N139" s="388"/>
      <c r="O139" s="388"/>
      <c r="P139" s="251"/>
    </row>
    <row r="140" spans="1:145" s="146" customFormat="1" x14ac:dyDescent="0.2">
      <c r="B140" s="393" t="s">
        <v>73</v>
      </c>
      <c r="C140" s="388"/>
      <c r="D140" s="388"/>
      <c r="E140" s="388"/>
      <c r="F140" s="388"/>
      <c r="G140" s="388"/>
      <c r="H140" s="388"/>
      <c r="I140" s="388"/>
      <c r="J140" s="388"/>
      <c r="K140" s="388"/>
      <c r="L140" s="388"/>
      <c r="M140" s="388"/>
      <c r="N140" s="388"/>
      <c r="O140" s="388"/>
      <c r="P140" s="147" t="s">
        <v>1</v>
      </c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48"/>
      <c r="AH140" s="148"/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  <c r="AV140" s="148"/>
      <c r="AW140" s="148"/>
      <c r="AX140" s="148"/>
      <c r="AY140" s="148"/>
      <c r="AZ140" s="148"/>
      <c r="BA140" s="148"/>
      <c r="BB140" s="148"/>
      <c r="BC140" s="148"/>
      <c r="BD140" s="148"/>
      <c r="BE140" s="148"/>
      <c r="BF140" s="148"/>
      <c r="BG140" s="148"/>
      <c r="BH140" s="148"/>
      <c r="BI140" s="148"/>
      <c r="BJ140" s="148"/>
      <c r="BK140" s="148"/>
      <c r="BL140" s="148"/>
      <c r="BM140" s="148"/>
      <c r="BN140" s="148"/>
      <c r="BO140" s="148"/>
      <c r="BP140" s="148"/>
      <c r="BQ140" s="148"/>
      <c r="BR140" s="148"/>
      <c r="BS140" s="148"/>
      <c r="BT140" s="148"/>
      <c r="BU140" s="148"/>
      <c r="BV140" s="148"/>
      <c r="BW140" s="148"/>
      <c r="BX140" s="148"/>
      <c r="BY140" s="148"/>
      <c r="BZ140" s="148"/>
      <c r="CA140" s="148"/>
      <c r="CB140" s="148"/>
      <c r="CC140" s="148"/>
      <c r="CD140" s="148"/>
      <c r="CE140" s="148"/>
      <c r="CF140" s="148"/>
      <c r="CG140" s="148"/>
      <c r="CH140" s="148"/>
      <c r="CI140" s="148"/>
      <c r="CJ140" s="148"/>
      <c r="CK140" s="148"/>
      <c r="CL140" s="148"/>
      <c r="CM140" s="148"/>
      <c r="CN140" s="148"/>
      <c r="CO140" s="148"/>
      <c r="CP140" s="148"/>
      <c r="CQ140" s="148"/>
      <c r="CR140" s="148"/>
      <c r="CS140" s="148"/>
      <c r="CT140" s="148"/>
      <c r="CU140" s="148"/>
      <c r="CV140" s="148"/>
      <c r="CW140" s="148"/>
      <c r="CX140" s="148"/>
      <c r="CY140" s="148"/>
      <c r="CZ140" s="148"/>
      <c r="DA140" s="148"/>
      <c r="DB140" s="148"/>
      <c r="DC140" s="148"/>
      <c r="DD140" s="148"/>
      <c r="DE140" s="148"/>
      <c r="DF140" s="148"/>
      <c r="DG140" s="148"/>
      <c r="DH140" s="148"/>
      <c r="DI140" s="148"/>
      <c r="DJ140" s="148"/>
      <c r="DK140" s="148"/>
      <c r="DL140" s="148"/>
      <c r="DM140" s="148"/>
      <c r="DN140" s="148"/>
      <c r="DO140" s="148"/>
      <c r="DP140" s="148"/>
      <c r="DQ140" s="148"/>
      <c r="DR140" s="148"/>
      <c r="DS140" s="148"/>
      <c r="DT140" s="148"/>
      <c r="DU140" s="148"/>
      <c r="DV140" s="148"/>
      <c r="DW140" s="148"/>
      <c r="DX140" s="148"/>
      <c r="DY140" s="148"/>
      <c r="DZ140" s="148"/>
      <c r="EA140" s="148"/>
      <c r="EB140" s="148"/>
      <c r="EC140" s="148"/>
      <c r="ED140" s="148"/>
      <c r="EE140" s="148"/>
      <c r="EF140" s="148"/>
      <c r="EG140" s="148"/>
      <c r="EH140" s="148"/>
      <c r="EI140" s="148"/>
      <c r="EJ140" s="148"/>
      <c r="EK140" s="148"/>
      <c r="EL140" s="148"/>
      <c r="EM140" s="148"/>
      <c r="EN140" s="148"/>
      <c r="EO140" s="148"/>
    </row>
    <row r="141" spans="1:145" x14ac:dyDescent="0.2">
      <c r="B141" s="388" t="str">
        <f>B10</f>
        <v>FOR TEST YEAR ENDED DECEMBER 31, 2018</v>
      </c>
      <c r="C141" s="388"/>
      <c r="D141" s="388"/>
      <c r="E141" s="388"/>
      <c r="F141" s="388"/>
      <c r="G141" s="388"/>
      <c r="H141" s="388"/>
      <c r="I141" s="388"/>
      <c r="J141" s="388"/>
      <c r="K141" s="388"/>
      <c r="L141" s="388"/>
      <c r="M141" s="388"/>
      <c r="N141" s="388"/>
      <c r="O141" s="388"/>
      <c r="P141" s="146" t="s">
        <v>1</v>
      </c>
    </row>
    <row r="142" spans="1:145" x14ac:dyDescent="0.2">
      <c r="B142" s="124"/>
      <c r="C142" s="238"/>
      <c r="D142" s="238"/>
      <c r="E142" s="238"/>
      <c r="F142" s="238"/>
      <c r="G142" s="238"/>
      <c r="H142" s="238"/>
      <c r="I142" s="238"/>
      <c r="J142" s="238"/>
      <c r="K142" s="238"/>
      <c r="L142" s="238"/>
      <c r="M142" s="238"/>
      <c r="N142" s="238"/>
      <c r="O142" s="238"/>
      <c r="P142" s="146"/>
    </row>
    <row r="143" spans="1:145" x14ac:dyDescent="0.2">
      <c r="B143" s="252"/>
      <c r="C143" s="168"/>
      <c r="D143" s="176"/>
      <c r="E143" s="177"/>
      <c r="F143" s="177"/>
      <c r="G143" s="176"/>
      <c r="H143" s="157"/>
      <c r="I143" s="157"/>
      <c r="J143" s="157"/>
      <c r="K143" s="157"/>
      <c r="L143" s="157"/>
      <c r="M143" s="157"/>
      <c r="N143" s="157"/>
      <c r="O143" s="122"/>
      <c r="P143" s="178"/>
    </row>
    <row r="144" spans="1:145" x14ac:dyDescent="0.2">
      <c r="A144" s="38" t="s">
        <v>20</v>
      </c>
      <c r="B144" s="237" t="s">
        <v>0</v>
      </c>
      <c r="C144" s="237" t="s">
        <v>19</v>
      </c>
      <c r="D144" s="164" t="str">
        <f>+D13</f>
        <v>JANUARY</v>
      </c>
      <c r="E144" s="164" t="str">
        <f t="shared" ref="E144:O144" si="35">+E13</f>
        <v>FEBRUARY</v>
      </c>
      <c r="F144" s="164" t="str">
        <f t="shared" si="35"/>
        <v>MARCH</v>
      </c>
      <c r="G144" s="164" t="str">
        <f t="shared" si="35"/>
        <v>APRIL</v>
      </c>
      <c r="H144" s="164" t="str">
        <f t="shared" si="35"/>
        <v>MAY</v>
      </c>
      <c r="I144" s="164" t="str">
        <f t="shared" si="35"/>
        <v>JUNE</v>
      </c>
      <c r="J144" s="164" t="str">
        <f t="shared" si="35"/>
        <v>JULY</v>
      </c>
      <c r="K144" s="164" t="str">
        <f t="shared" si="35"/>
        <v>AUGUST</v>
      </c>
      <c r="L144" s="164" t="str">
        <f t="shared" si="35"/>
        <v>SEPTEMBER</v>
      </c>
      <c r="M144" s="164" t="str">
        <f t="shared" si="35"/>
        <v>OCTOBER</v>
      </c>
      <c r="N144" s="164" t="str">
        <f t="shared" si="35"/>
        <v>NOVEMBER</v>
      </c>
      <c r="O144" s="164" t="str">
        <f t="shared" si="35"/>
        <v>DECEMBER</v>
      </c>
      <c r="P144" s="179" t="s">
        <v>14</v>
      </c>
    </row>
    <row r="145" spans="1:145" x14ac:dyDescent="0.2">
      <c r="B145" s="237"/>
      <c r="C145" s="237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79"/>
      <c r="P145" s="179"/>
    </row>
    <row r="146" spans="1:145" s="62" customFormat="1" x14ac:dyDescent="0.2">
      <c r="A146" s="74" t="s">
        <v>21</v>
      </c>
      <c r="B146" s="129" t="s">
        <v>29</v>
      </c>
      <c r="C146" s="143" t="s">
        <v>16</v>
      </c>
      <c r="D146" s="149">
        <f>-Riders!D126-Riders!D154</f>
        <v>-11122865.99</v>
      </c>
      <c r="E146" s="149">
        <f>-Riders!E126-Riders!E154</f>
        <v>-8197190.25</v>
      </c>
      <c r="F146" s="149">
        <f>-Riders!F126-Riders!F154</f>
        <v>-6534694.4100000001</v>
      </c>
      <c r="G146" s="149">
        <f>-Riders!G126-Riders!G154</f>
        <v>-7105776.5800000001</v>
      </c>
      <c r="H146" s="149">
        <f>-Riders!H126-Riders!H154</f>
        <v>-7859452.3300000001</v>
      </c>
      <c r="I146" s="149">
        <f>-Riders!I126-Riders!I154</f>
        <v>-11815081.24</v>
      </c>
      <c r="J146" s="149">
        <f>-Riders!J126-Riders!J154</f>
        <v>-12181763.23</v>
      </c>
      <c r="K146" s="149">
        <f>-Riders!K126-Riders!K154</f>
        <v>-12533569.579999998</v>
      </c>
      <c r="L146" s="149">
        <f>-Riders!L126-Riders!L154</f>
        <v>-12374086.209999999</v>
      </c>
      <c r="M146" s="149">
        <f>-Riders!M126-Riders!M154</f>
        <v>-9800307.3300000001</v>
      </c>
      <c r="N146" s="149">
        <f>-Riders!N126-Riders!N154</f>
        <v>-7298235.0800000001</v>
      </c>
      <c r="O146" s="149">
        <f>-Riders!O126-Riders!O154</f>
        <v>-7924184.3600000003</v>
      </c>
      <c r="P146" s="149">
        <f>SUM(D146:O146)</f>
        <v>-114747206.58999999</v>
      </c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  <c r="EH146" s="65"/>
      <c r="EI146" s="65"/>
      <c r="EJ146" s="65"/>
      <c r="EK146" s="65"/>
      <c r="EL146" s="65"/>
      <c r="EM146" s="65"/>
      <c r="EN146" s="65"/>
      <c r="EO146" s="65"/>
    </row>
    <row r="147" spans="1:145" s="62" customFormat="1" x14ac:dyDescent="0.2">
      <c r="B147" s="129"/>
      <c r="C147" s="143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56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/>
      <c r="EJ147" s="65"/>
      <c r="EK147" s="65"/>
      <c r="EL147" s="65"/>
      <c r="EM147" s="65"/>
      <c r="EN147" s="65"/>
      <c r="EO147" s="65"/>
    </row>
    <row r="148" spans="1:145" s="62" customFormat="1" x14ac:dyDescent="0.2">
      <c r="A148" s="74">
        <v>2</v>
      </c>
      <c r="B148" s="129" t="s">
        <v>32</v>
      </c>
      <c r="C148" s="143" t="s">
        <v>16</v>
      </c>
      <c r="D148" s="122">
        <f>-Riders!D128-Riders!D156</f>
        <v>-962513.87999999989</v>
      </c>
      <c r="E148" s="122">
        <f>-Riders!E128-Riders!E156</f>
        <v>-795835.85</v>
      </c>
      <c r="F148" s="122">
        <f>-Riders!F128-Riders!F156</f>
        <v>-761509.34000000008</v>
      </c>
      <c r="G148" s="122">
        <f>-Riders!G128-Riders!G156</f>
        <v>-811531.06</v>
      </c>
      <c r="H148" s="122">
        <f>-Riders!H128-Riders!H156</f>
        <v>-827514.94</v>
      </c>
      <c r="I148" s="122">
        <f>-Riders!I128-Riders!I156</f>
        <v>-1011519.45</v>
      </c>
      <c r="J148" s="122">
        <f>-Riders!J128-Riders!J156</f>
        <v>-1022074.04</v>
      </c>
      <c r="K148" s="122">
        <f>-Riders!K128-Riders!K156</f>
        <v>-1033681.6599999999</v>
      </c>
      <c r="L148" s="122">
        <f>-Riders!L128-Riders!L156</f>
        <v>-1054410.3</v>
      </c>
      <c r="M148" s="122">
        <f>-Riders!M128-Riders!M156</f>
        <v>-942810.76</v>
      </c>
      <c r="N148" s="122">
        <f>-Riders!N128-Riders!N156</f>
        <v>-817972.89999999991</v>
      </c>
      <c r="O148" s="122">
        <f>-Riders!O128-Riders!O156</f>
        <v>-828227.04</v>
      </c>
      <c r="P148" s="156">
        <f>SUM(D148:O148)</f>
        <v>-10869601.220000003</v>
      </c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/>
      <c r="DJ148" s="65"/>
      <c r="DK148" s="65"/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  <c r="EH148" s="65"/>
      <c r="EI148" s="65"/>
      <c r="EJ148" s="65"/>
      <c r="EK148" s="65"/>
      <c r="EL148" s="65"/>
      <c r="EM148" s="65"/>
      <c r="EN148" s="65"/>
      <c r="EO148" s="65"/>
    </row>
    <row r="149" spans="1:145" s="62" customFormat="1" x14ac:dyDescent="0.2">
      <c r="A149" s="74"/>
      <c r="B149" s="129"/>
      <c r="C149" s="143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56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/>
      <c r="DJ149" s="65"/>
      <c r="DK149" s="65"/>
      <c r="DL149" s="65"/>
      <c r="DM149" s="65"/>
      <c r="DN149" s="65"/>
      <c r="DO149" s="65"/>
      <c r="DP149" s="65"/>
      <c r="DQ149" s="65"/>
      <c r="DR149" s="65"/>
      <c r="DS149" s="65"/>
      <c r="DT149" s="65"/>
      <c r="DU149" s="65"/>
      <c r="DV149" s="65"/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  <c r="EH149" s="65"/>
      <c r="EI149" s="65"/>
      <c r="EJ149" s="65"/>
      <c r="EK149" s="65"/>
      <c r="EL149" s="65"/>
      <c r="EM149" s="65"/>
      <c r="EN149" s="65"/>
      <c r="EO149" s="65"/>
    </row>
    <row r="150" spans="1:145" s="62" customFormat="1" x14ac:dyDescent="0.2">
      <c r="A150" s="74">
        <v>3</v>
      </c>
      <c r="B150" s="146" t="s">
        <v>113</v>
      </c>
      <c r="C150" s="125" t="s">
        <v>16</v>
      </c>
      <c r="D150" s="122">
        <f>-Riders!D130-Riders!D158</f>
        <v>-7880552.3500000006</v>
      </c>
      <c r="E150" s="122">
        <f>-Riders!E130-Riders!E158</f>
        <v>-7545430.5199999996</v>
      </c>
      <c r="F150" s="122">
        <f>-Riders!F130-Riders!F158</f>
        <v>-7348310.4700000007</v>
      </c>
      <c r="G150" s="122">
        <f>-Riders!G130-Riders!G158</f>
        <v>-7613477.8100000005</v>
      </c>
      <c r="H150" s="122">
        <f>-Riders!H130-Riders!H158</f>
        <v>-7793236.7700000005</v>
      </c>
      <c r="I150" s="122">
        <f>-Riders!I130-Riders!I158</f>
        <v>-8822518.3200000003</v>
      </c>
      <c r="J150" s="122">
        <f>-Riders!J130-Riders!J158</f>
        <v>-8731429.9900000002</v>
      </c>
      <c r="K150" s="122">
        <f>-Riders!K130-Riders!K158</f>
        <v>-8896055.5599999987</v>
      </c>
      <c r="L150" s="122">
        <f>-Riders!L130-Riders!L158</f>
        <v>-9216908.9299999997</v>
      </c>
      <c r="M150" s="122">
        <f>-Riders!M130-Riders!M158</f>
        <v>-8475707.1400000006</v>
      </c>
      <c r="N150" s="122">
        <f>-Riders!N130-Riders!N158</f>
        <v>-7778792.3600000003</v>
      </c>
      <c r="O150" s="122">
        <f>-Riders!O130-Riders!O158</f>
        <v>-7679673.4500000002</v>
      </c>
      <c r="P150" s="156">
        <f>SUM(D150:O150)</f>
        <v>-97782093.670000002</v>
      </c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/>
      <c r="DJ150" s="65"/>
      <c r="DK150" s="65"/>
      <c r="DL150" s="65"/>
      <c r="DM150" s="65"/>
      <c r="DN150" s="65"/>
      <c r="DO150" s="65"/>
      <c r="DP150" s="65"/>
      <c r="DQ150" s="65"/>
      <c r="DR150" s="65"/>
      <c r="DS150" s="65"/>
      <c r="DT150" s="65"/>
      <c r="DU150" s="65"/>
      <c r="DV150" s="65"/>
      <c r="DW150" s="65"/>
      <c r="DX150" s="65"/>
      <c r="DY150" s="65"/>
      <c r="DZ150" s="65"/>
      <c r="EA150" s="65"/>
      <c r="EB150" s="65"/>
      <c r="EC150" s="65"/>
      <c r="ED150" s="65"/>
      <c r="EE150" s="65"/>
      <c r="EF150" s="65"/>
      <c r="EG150" s="65"/>
      <c r="EH150" s="65"/>
      <c r="EI150" s="65"/>
      <c r="EJ150" s="65"/>
      <c r="EK150" s="65"/>
      <c r="EL150" s="65"/>
      <c r="EM150" s="65"/>
      <c r="EN150" s="65"/>
      <c r="EO150" s="65"/>
    </row>
    <row r="151" spans="1:145" s="62" customFormat="1" x14ac:dyDescent="0.2">
      <c r="A151" s="74">
        <v>4</v>
      </c>
      <c r="B151" s="146" t="s">
        <v>114</v>
      </c>
      <c r="C151" s="125" t="s">
        <v>16</v>
      </c>
      <c r="D151" s="123">
        <f>-Riders!D131-Riders!D159</f>
        <v>-630653.08000000007</v>
      </c>
      <c r="E151" s="123">
        <f>-Riders!E131-Riders!E159</f>
        <v>-619473.78</v>
      </c>
      <c r="F151" s="123">
        <f>-Riders!F131-Riders!F159</f>
        <v>-628366.64</v>
      </c>
      <c r="G151" s="123">
        <f>-Riders!G131-Riders!G159</f>
        <v>-651808.12</v>
      </c>
      <c r="H151" s="123">
        <f>-Riders!H131-Riders!H159</f>
        <v>-664203</v>
      </c>
      <c r="I151" s="123">
        <f>-Riders!I131-Riders!I159</f>
        <v>-701307.44</v>
      </c>
      <c r="J151" s="123">
        <f>-Riders!J131-Riders!J159</f>
        <v>-653977.21</v>
      </c>
      <c r="K151" s="123">
        <f>-Riders!K131-Riders!K159</f>
        <v>-732324.01</v>
      </c>
      <c r="L151" s="123">
        <f>-Riders!L131-Riders!L159</f>
        <v>-886786.37999999989</v>
      </c>
      <c r="M151" s="123">
        <f>-Riders!M131-Riders!M159</f>
        <v>-790812.61</v>
      </c>
      <c r="N151" s="123">
        <f>-Riders!N131-Riders!N159</f>
        <v>-710212.29</v>
      </c>
      <c r="O151" s="123">
        <f>-Riders!O131-Riders!O159</f>
        <v>-630625.30000000005</v>
      </c>
      <c r="P151" s="123">
        <f>SUM(D151:O151)</f>
        <v>-8300549.8599999994</v>
      </c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5"/>
      <c r="DI151" s="65"/>
      <c r="DJ151" s="65"/>
      <c r="DK151" s="65"/>
      <c r="DL151" s="65"/>
      <c r="DM151" s="65"/>
      <c r="DN151" s="65"/>
      <c r="DO151" s="65"/>
      <c r="DP151" s="65"/>
      <c r="DQ151" s="65"/>
      <c r="DR151" s="65"/>
      <c r="DS151" s="65"/>
      <c r="DT151" s="65"/>
      <c r="DU151" s="65"/>
      <c r="DV151" s="65"/>
      <c r="DW151" s="65"/>
      <c r="DX151" s="65"/>
      <c r="DY151" s="65"/>
      <c r="DZ151" s="65"/>
      <c r="EA151" s="65"/>
      <c r="EB151" s="65"/>
      <c r="EC151" s="65"/>
      <c r="ED151" s="65"/>
      <c r="EE151" s="65"/>
      <c r="EF151" s="65"/>
      <c r="EG151" s="65"/>
      <c r="EH151" s="65"/>
      <c r="EI151" s="65"/>
      <c r="EJ151" s="65"/>
      <c r="EK151" s="65"/>
      <c r="EL151" s="65"/>
      <c r="EM151" s="65"/>
      <c r="EN151" s="65"/>
      <c r="EO151" s="65"/>
    </row>
    <row r="152" spans="1:145" s="62" customFormat="1" x14ac:dyDescent="0.2">
      <c r="A152" s="74">
        <v>5</v>
      </c>
      <c r="B152" s="162" t="s">
        <v>30</v>
      </c>
      <c r="C152" s="143"/>
      <c r="D152" s="157">
        <f t="shared" ref="D152:P152" si="36">SUM(D150:D151)</f>
        <v>-8511205.4299999997</v>
      </c>
      <c r="E152" s="157">
        <f t="shared" si="36"/>
        <v>-8164904.2999999998</v>
      </c>
      <c r="F152" s="157">
        <f t="shared" si="36"/>
        <v>-7976677.1100000003</v>
      </c>
      <c r="G152" s="157">
        <f t="shared" si="36"/>
        <v>-8265285.9300000006</v>
      </c>
      <c r="H152" s="157">
        <f t="shared" si="36"/>
        <v>-8457439.7699999996</v>
      </c>
      <c r="I152" s="157">
        <f t="shared" si="36"/>
        <v>-9523825.7599999998</v>
      </c>
      <c r="J152" s="157">
        <f t="shared" si="36"/>
        <v>-9385407.1999999993</v>
      </c>
      <c r="K152" s="157">
        <f t="shared" si="36"/>
        <v>-9628379.5699999984</v>
      </c>
      <c r="L152" s="157">
        <f t="shared" si="36"/>
        <v>-10103695.309999999</v>
      </c>
      <c r="M152" s="157">
        <f t="shared" si="36"/>
        <v>-9266519.75</v>
      </c>
      <c r="N152" s="157">
        <f t="shared" si="36"/>
        <v>-8489004.6500000004</v>
      </c>
      <c r="O152" s="157">
        <f t="shared" si="36"/>
        <v>-8310298.75</v>
      </c>
      <c r="P152" s="157">
        <f t="shared" si="36"/>
        <v>-106082643.53</v>
      </c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/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5"/>
      <c r="DI152" s="65"/>
      <c r="DJ152" s="65"/>
      <c r="DK152" s="65"/>
      <c r="DL152" s="65"/>
      <c r="DM152" s="65"/>
      <c r="DN152" s="65"/>
      <c r="DO152" s="65"/>
      <c r="DP152" s="65"/>
      <c r="DQ152" s="65"/>
      <c r="DR152" s="65"/>
      <c r="DS152" s="65"/>
      <c r="DT152" s="65"/>
      <c r="DU152" s="65"/>
      <c r="DV152" s="65"/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  <c r="EH152" s="65"/>
      <c r="EI152" s="65"/>
      <c r="EJ152" s="65"/>
      <c r="EK152" s="65"/>
      <c r="EL152" s="65"/>
      <c r="EM152" s="65"/>
      <c r="EN152" s="65"/>
      <c r="EO152" s="65"/>
    </row>
    <row r="153" spans="1:145" s="62" customFormat="1" x14ac:dyDescent="0.2">
      <c r="B153" s="242"/>
      <c r="C153" s="143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22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65"/>
      <c r="CQ153" s="65"/>
      <c r="CR153" s="65"/>
      <c r="CS153" s="65"/>
      <c r="CT153" s="65"/>
      <c r="CU153" s="65"/>
      <c r="CV153" s="65"/>
      <c r="CW153" s="65"/>
      <c r="CX153" s="65"/>
      <c r="CY153" s="65"/>
      <c r="CZ153" s="65"/>
      <c r="DA153" s="65"/>
      <c r="DB153" s="65"/>
      <c r="DC153" s="65"/>
      <c r="DD153" s="65"/>
      <c r="DE153" s="65"/>
      <c r="DF153" s="65"/>
      <c r="DG153" s="65"/>
      <c r="DH153" s="65"/>
      <c r="DI153" s="65"/>
      <c r="DJ153" s="65"/>
      <c r="DK153" s="65"/>
      <c r="DL153" s="65"/>
      <c r="DM153" s="65"/>
      <c r="DN153" s="65"/>
      <c r="DO153" s="65"/>
      <c r="DP153" s="65"/>
      <c r="DQ153" s="65"/>
      <c r="DR153" s="65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  <c r="EF153" s="65"/>
      <c r="EG153" s="65"/>
      <c r="EH153" s="65"/>
      <c r="EI153" s="65"/>
      <c r="EJ153" s="65"/>
      <c r="EK153" s="65"/>
      <c r="EL153" s="65"/>
      <c r="EM153" s="65"/>
      <c r="EN153" s="65"/>
      <c r="EO153" s="65"/>
    </row>
    <row r="154" spans="1:145" s="62" customFormat="1" x14ac:dyDescent="0.2">
      <c r="A154" s="74">
        <v>6</v>
      </c>
      <c r="B154" s="146" t="s">
        <v>110</v>
      </c>
      <c r="C154" s="125" t="s">
        <v>17</v>
      </c>
      <c r="D154" s="122">
        <f>-Riders!D134-Riders!D162</f>
        <v>-134174.59</v>
      </c>
      <c r="E154" s="122">
        <f>-Riders!E134-Riders!E162</f>
        <v>-133825.84</v>
      </c>
      <c r="F154" s="122">
        <f>-Riders!F134-Riders!F162</f>
        <v>-130888.45999999999</v>
      </c>
      <c r="G154" s="122">
        <f>-Riders!G134-Riders!G162</f>
        <v>-138697.88</v>
      </c>
      <c r="H154" s="122">
        <f>-Riders!H134-Riders!H162</f>
        <v>-141871.29999999999</v>
      </c>
      <c r="I154" s="122">
        <f>-Riders!I134-Riders!I162</f>
        <v>-147936.62</v>
      </c>
      <c r="J154" s="122">
        <f>-Riders!J134-Riders!J162</f>
        <v>-142373.75</v>
      </c>
      <c r="K154" s="122">
        <f>-Riders!K134-Riders!K162</f>
        <v>-149174.41</v>
      </c>
      <c r="L154" s="122">
        <f>-Riders!L134-Riders!L162</f>
        <v>-163061.04999999999</v>
      </c>
      <c r="M154" s="122">
        <f>-Riders!M134-Riders!M162</f>
        <v>-154506.19999999998</v>
      </c>
      <c r="N154" s="122">
        <f>-Riders!N134-Riders!N162</f>
        <v>-173882.18</v>
      </c>
      <c r="O154" s="122">
        <f>-Riders!O134-Riders!O162</f>
        <v>-144921.43</v>
      </c>
      <c r="P154" s="156">
        <f>SUM(D154:O154)</f>
        <v>-1755313.71</v>
      </c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65"/>
      <c r="CQ154" s="65"/>
      <c r="CR154" s="65"/>
      <c r="CS154" s="65"/>
      <c r="CT154" s="65"/>
      <c r="CU154" s="65"/>
      <c r="CV154" s="65"/>
      <c r="CW154" s="65"/>
      <c r="CX154" s="65"/>
      <c r="CY154" s="65"/>
      <c r="CZ154" s="65"/>
      <c r="DA154" s="65"/>
      <c r="DB154" s="65"/>
      <c r="DC154" s="65"/>
      <c r="DD154" s="65"/>
      <c r="DE154" s="65"/>
      <c r="DF154" s="65"/>
      <c r="DG154" s="65"/>
      <c r="DH154" s="65"/>
      <c r="DI154" s="65"/>
      <c r="DJ154" s="65"/>
      <c r="DK154" s="65"/>
      <c r="DL154" s="65"/>
      <c r="DM154" s="65"/>
      <c r="DN154" s="65"/>
      <c r="DO154" s="65"/>
      <c r="DP154" s="65"/>
      <c r="DQ154" s="65"/>
      <c r="DR154" s="65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  <c r="EF154" s="65"/>
      <c r="EG154" s="65"/>
      <c r="EH154" s="65"/>
      <c r="EI154" s="65"/>
      <c r="EJ154" s="65"/>
      <c r="EK154" s="65"/>
      <c r="EL154" s="65"/>
      <c r="EM154" s="65"/>
      <c r="EN154" s="65"/>
      <c r="EO154" s="65"/>
    </row>
    <row r="155" spans="1:145" s="62" customFormat="1" x14ac:dyDescent="0.2">
      <c r="A155" s="74">
        <v>7</v>
      </c>
      <c r="B155" s="146" t="s">
        <v>111</v>
      </c>
      <c r="C155" s="125" t="s">
        <v>17</v>
      </c>
      <c r="D155" s="123">
        <f>-Riders!D135-Riders!D163</f>
        <v>-1687283.19</v>
      </c>
      <c r="E155" s="123">
        <f>-Riders!E135-Riders!E163</f>
        <v>-1580834.68</v>
      </c>
      <c r="F155" s="123">
        <f>-Riders!F135-Riders!F163</f>
        <v>-1594763.3599999999</v>
      </c>
      <c r="G155" s="123">
        <f>-Riders!G135-Riders!G163</f>
        <v>-1587149.5</v>
      </c>
      <c r="H155" s="123">
        <f>-Riders!H135-Riders!H163</f>
        <v>-1724826.35</v>
      </c>
      <c r="I155" s="123">
        <f>-Riders!I135-Riders!I163</f>
        <v>-1847020.96</v>
      </c>
      <c r="J155" s="123">
        <f>-Riders!J135-Riders!J163</f>
        <v>-1764290.48</v>
      </c>
      <c r="K155" s="123">
        <f>-Riders!K135-Riders!K163</f>
        <v>-1754728.59</v>
      </c>
      <c r="L155" s="123">
        <f>-Riders!L135-Riders!L163</f>
        <v>-1843846.7400000002</v>
      </c>
      <c r="M155" s="123">
        <f>-Riders!M135-Riders!M163</f>
        <v>-1679772.46</v>
      </c>
      <c r="N155" s="123">
        <f>-Riders!N135-Riders!N163</f>
        <v>-1735245.09</v>
      </c>
      <c r="O155" s="123">
        <f>-Riders!O135-Riders!O163</f>
        <v>-1610908.17</v>
      </c>
      <c r="P155" s="173">
        <f>SUM(D155:O155)</f>
        <v>-20410669.57</v>
      </c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5"/>
      <c r="DI155" s="65"/>
      <c r="DJ155" s="65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/>
      <c r="EM155" s="65"/>
      <c r="EN155" s="65"/>
      <c r="EO155" s="65"/>
    </row>
    <row r="156" spans="1:145" s="62" customFormat="1" x14ac:dyDescent="0.2">
      <c r="A156" s="74">
        <v>8</v>
      </c>
      <c r="B156" s="129" t="s">
        <v>31</v>
      </c>
      <c r="C156" s="125"/>
      <c r="D156" s="122">
        <f t="shared" ref="D156:P156" si="37">SUM(D154:D155)</f>
        <v>-1821457.78</v>
      </c>
      <c r="E156" s="122">
        <f t="shared" si="37"/>
        <v>-1714660.52</v>
      </c>
      <c r="F156" s="122">
        <f t="shared" si="37"/>
        <v>-1725651.8199999998</v>
      </c>
      <c r="G156" s="122">
        <f t="shared" si="37"/>
        <v>-1725847.38</v>
      </c>
      <c r="H156" s="122">
        <f t="shared" si="37"/>
        <v>-1866697.6500000001</v>
      </c>
      <c r="I156" s="122">
        <f t="shared" si="37"/>
        <v>-1994957.58</v>
      </c>
      <c r="J156" s="122">
        <f t="shared" si="37"/>
        <v>-1906664.23</v>
      </c>
      <c r="K156" s="122">
        <f t="shared" si="37"/>
        <v>-1903903</v>
      </c>
      <c r="L156" s="122">
        <f t="shared" si="37"/>
        <v>-2006907.7900000003</v>
      </c>
      <c r="M156" s="122">
        <f t="shared" si="37"/>
        <v>-1834278.66</v>
      </c>
      <c r="N156" s="122">
        <f t="shared" si="37"/>
        <v>-1909127.27</v>
      </c>
      <c r="O156" s="122">
        <f t="shared" si="37"/>
        <v>-1755829.5999999999</v>
      </c>
      <c r="P156" s="122">
        <f t="shared" si="37"/>
        <v>-22165983.280000001</v>
      </c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5"/>
      <c r="DI156" s="65"/>
      <c r="DJ156" s="65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  <c r="EH156" s="65"/>
      <c r="EI156" s="65"/>
      <c r="EJ156" s="65"/>
      <c r="EK156" s="65"/>
      <c r="EL156" s="65"/>
      <c r="EM156" s="65"/>
      <c r="EN156" s="65"/>
      <c r="EO156" s="65"/>
    </row>
    <row r="157" spans="1:145" s="62" customFormat="1" x14ac:dyDescent="0.2">
      <c r="A157" s="74"/>
      <c r="B157" s="129"/>
      <c r="C157" s="125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56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65"/>
      <c r="CQ157" s="65"/>
      <c r="CR157" s="65"/>
      <c r="CS157" s="65"/>
      <c r="CT157" s="65"/>
      <c r="CU157" s="65"/>
      <c r="CV157" s="65"/>
      <c r="CW157" s="65"/>
      <c r="CX157" s="65"/>
      <c r="CY157" s="65"/>
      <c r="CZ157" s="65"/>
      <c r="DA157" s="65"/>
      <c r="DB157" s="65"/>
      <c r="DC157" s="65"/>
      <c r="DD157" s="65"/>
      <c r="DE157" s="65"/>
      <c r="DF157" s="65"/>
      <c r="DG157" s="65"/>
      <c r="DH157" s="65"/>
      <c r="DI157" s="65"/>
      <c r="DJ157" s="65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  <c r="EF157" s="65"/>
      <c r="EG157" s="65"/>
      <c r="EH157" s="65"/>
      <c r="EI157" s="65"/>
      <c r="EJ157" s="65"/>
      <c r="EK157" s="65"/>
      <c r="EL157" s="65"/>
      <c r="EM157" s="65"/>
      <c r="EN157" s="65"/>
      <c r="EO157" s="65"/>
    </row>
    <row r="158" spans="1:145" s="62" customFormat="1" x14ac:dyDescent="0.2">
      <c r="A158" s="74">
        <v>9</v>
      </c>
      <c r="B158" s="162" t="s">
        <v>115</v>
      </c>
      <c r="C158" s="125" t="s">
        <v>18</v>
      </c>
      <c r="D158" s="122">
        <f>-Riders!D138-Riders!D166</f>
        <v>-1978401.04</v>
      </c>
      <c r="E158" s="122">
        <f>-Riders!E138-Riders!E166</f>
        <v>-1512340.92</v>
      </c>
      <c r="F158" s="122">
        <f>-Riders!F138-Riders!F166</f>
        <v>-1745720.6600000001</v>
      </c>
      <c r="G158" s="122">
        <f>-Riders!G138-Riders!G166</f>
        <v>-1639069.8299999998</v>
      </c>
      <c r="H158" s="122">
        <f>-Riders!H138-Riders!H166</f>
        <v>-1682111.73</v>
      </c>
      <c r="I158" s="122">
        <f>-Riders!I138-Riders!I166</f>
        <v>-1756427.57</v>
      </c>
      <c r="J158" s="122">
        <f>-Riders!J138-Riders!J166</f>
        <v>-1473022.4100000001</v>
      </c>
      <c r="K158" s="122">
        <f>-Riders!K138-Riders!K166</f>
        <v>-1547220.61</v>
      </c>
      <c r="L158" s="122">
        <f>-Riders!L138-Riders!L166</f>
        <v>-1583695.4400000002</v>
      </c>
      <c r="M158" s="122">
        <f>-Riders!M138-Riders!M166</f>
        <v>-796429.79</v>
      </c>
      <c r="N158" s="122">
        <f>-Riders!N138-Riders!N166</f>
        <v>-2215414.6800000002</v>
      </c>
      <c r="O158" s="122">
        <f>-Riders!O138-Riders!O166</f>
        <v>-1004780.0700000001</v>
      </c>
      <c r="P158" s="156">
        <f>SUM(D158:O158)</f>
        <v>-18934634.75</v>
      </c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65"/>
      <c r="CQ158" s="65"/>
      <c r="CR158" s="65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65"/>
      <c r="DH158" s="65"/>
      <c r="DI158" s="65"/>
      <c r="DJ158" s="65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  <c r="EF158" s="65"/>
      <c r="EG158" s="65"/>
      <c r="EH158" s="65"/>
      <c r="EI158" s="65"/>
      <c r="EJ158" s="65"/>
      <c r="EK158" s="65"/>
      <c r="EL158" s="65"/>
      <c r="EM158" s="65"/>
      <c r="EN158" s="65"/>
      <c r="EO158" s="65"/>
    </row>
    <row r="159" spans="1:145" s="62" customFormat="1" x14ac:dyDescent="0.2">
      <c r="B159" s="129"/>
      <c r="C159" s="143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22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65"/>
      <c r="CQ159" s="65"/>
      <c r="CR159" s="65"/>
      <c r="CS159" s="65"/>
      <c r="CT159" s="65"/>
      <c r="CU159" s="65"/>
      <c r="CV159" s="65"/>
      <c r="CW159" s="65"/>
      <c r="CX159" s="65"/>
      <c r="CY159" s="65"/>
      <c r="CZ159" s="65"/>
      <c r="DA159" s="65"/>
      <c r="DB159" s="65"/>
      <c r="DC159" s="65"/>
      <c r="DD159" s="65"/>
      <c r="DE159" s="65"/>
      <c r="DF159" s="65"/>
      <c r="DG159" s="65"/>
      <c r="DH159" s="65"/>
      <c r="DI159" s="65"/>
      <c r="DJ159" s="65"/>
      <c r="DK159" s="65"/>
      <c r="DL159" s="65"/>
      <c r="DM159" s="65"/>
      <c r="DN159" s="65"/>
      <c r="DO159" s="65"/>
      <c r="DP159" s="65"/>
      <c r="DQ159" s="65"/>
      <c r="DR159" s="65"/>
      <c r="DS159" s="65"/>
      <c r="DT159" s="65"/>
      <c r="DU159" s="65"/>
      <c r="DV159" s="65"/>
      <c r="DW159" s="65"/>
      <c r="DX159" s="65"/>
      <c r="DY159" s="65"/>
      <c r="DZ159" s="65"/>
      <c r="EA159" s="65"/>
      <c r="EB159" s="65"/>
      <c r="EC159" s="65"/>
      <c r="ED159" s="65"/>
      <c r="EE159" s="65"/>
      <c r="EF159" s="65"/>
      <c r="EG159" s="65"/>
      <c r="EH159" s="65"/>
      <c r="EI159" s="65"/>
      <c r="EJ159" s="65"/>
      <c r="EK159" s="65"/>
      <c r="EL159" s="65"/>
      <c r="EM159" s="65"/>
      <c r="EN159" s="65"/>
      <c r="EO159" s="65"/>
    </row>
    <row r="160" spans="1:145" s="62" customFormat="1" x14ac:dyDescent="0.2">
      <c r="A160" s="74">
        <v>10</v>
      </c>
      <c r="B160" s="117" t="s">
        <v>33</v>
      </c>
      <c r="C160" s="125" t="s">
        <v>16</v>
      </c>
      <c r="D160" s="122">
        <f>-Riders!D140-Riders!D168</f>
        <v>-365576.01</v>
      </c>
      <c r="E160" s="122">
        <f>-Riders!E140-Riders!E168</f>
        <v>-364009.29000000004</v>
      </c>
      <c r="F160" s="122">
        <f>-Riders!F140-Riders!F168</f>
        <v>-365334.72</v>
      </c>
      <c r="G160" s="122">
        <f>-Riders!G140-Riders!G168</f>
        <v>-365846.76</v>
      </c>
      <c r="H160" s="122">
        <f>-Riders!H140-Riders!H168</f>
        <v>-365065.58</v>
      </c>
      <c r="I160" s="122">
        <f>-Riders!I140-Riders!I168</f>
        <v>-365097.45</v>
      </c>
      <c r="J160" s="122">
        <f>-Riders!J140-Riders!J168</f>
        <v>-365396.94</v>
      </c>
      <c r="K160" s="122">
        <f>-Riders!K140-Riders!K168</f>
        <v>-365236.07</v>
      </c>
      <c r="L160" s="122">
        <f>-Riders!L140-Riders!L168</f>
        <v>-371195.67000000004</v>
      </c>
      <c r="M160" s="122">
        <f>-Riders!M140-Riders!M168</f>
        <v>-367702.99</v>
      </c>
      <c r="N160" s="122">
        <f>-Riders!N140-Riders!N168</f>
        <v>-373471.51</v>
      </c>
      <c r="O160" s="122">
        <f>-Riders!O140-Riders!O168</f>
        <v>-370698.32</v>
      </c>
      <c r="P160" s="156">
        <f>SUM(D160:O160)</f>
        <v>-4404631.3099999996</v>
      </c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/>
      <c r="CB160" s="65"/>
      <c r="CC160" s="65"/>
      <c r="CD160" s="65"/>
      <c r="CE160" s="65"/>
      <c r="CF160" s="65"/>
      <c r="CG160" s="65"/>
      <c r="CH160" s="65"/>
      <c r="CI160" s="65"/>
      <c r="CJ160" s="65"/>
      <c r="CK160" s="65"/>
      <c r="CL160" s="65"/>
      <c r="CM160" s="65"/>
      <c r="CN160" s="65"/>
      <c r="CO160" s="65"/>
      <c r="CP160" s="65"/>
      <c r="CQ160" s="65"/>
      <c r="CR160" s="65"/>
      <c r="CS160" s="65"/>
      <c r="CT160" s="65"/>
      <c r="CU160" s="65"/>
      <c r="CV160" s="65"/>
      <c r="CW160" s="65"/>
      <c r="CX160" s="65"/>
      <c r="CY160" s="65"/>
      <c r="CZ160" s="65"/>
      <c r="DA160" s="65"/>
      <c r="DB160" s="65"/>
      <c r="DC160" s="65"/>
      <c r="DD160" s="65"/>
      <c r="DE160" s="65"/>
      <c r="DF160" s="65"/>
      <c r="DG160" s="65"/>
      <c r="DH160" s="65"/>
      <c r="DI160" s="65"/>
      <c r="DJ160" s="65"/>
      <c r="DK160" s="65"/>
      <c r="DL160" s="65"/>
      <c r="DM160" s="65"/>
      <c r="DN160" s="65"/>
      <c r="DO160" s="65"/>
      <c r="DP160" s="65"/>
      <c r="DQ160" s="65"/>
      <c r="DR160" s="65"/>
      <c r="DS160" s="65"/>
      <c r="DT160" s="65"/>
      <c r="DU160" s="65"/>
      <c r="DV160" s="65"/>
      <c r="DW160" s="65"/>
      <c r="DX160" s="65"/>
      <c r="DY160" s="65"/>
      <c r="DZ160" s="65"/>
      <c r="EA160" s="65"/>
      <c r="EB160" s="65"/>
      <c r="EC160" s="65"/>
      <c r="ED160" s="65"/>
      <c r="EE160" s="65"/>
      <c r="EF160" s="65"/>
      <c r="EG160" s="65"/>
      <c r="EH160" s="65"/>
      <c r="EI160" s="65"/>
      <c r="EJ160" s="65"/>
      <c r="EK160" s="65"/>
      <c r="EL160" s="65"/>
      <c r="EM160" s="65"/>
      <c r="EN160" s="65"/>
      <c r="EO160" s="65"/>
    </row>
    <row r="161" spans="1:145" s="62" customFormat="1" x14ac:dyDescent="0.2">
      <c r="A161" s="74"/>
      <c r="B161" s="129"/>
      <c r="C161" s="143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22"/>
      <c r="P161" s="122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/>
      <c r="CB161" s="65"/>
      <c r="CC161" s="65"/>
      <c r="CD161" s="65"/>
      <c r="CE161" s="65"/>
      <c r="CF161" s="65"/>
      <c r="CG161" s="65"/>
      <c r="CH161" s="65"/>
      <c r="CI161" s="65"/>
      <c r="CJ161" s="65"/>
      <c r="CK161" s="65"/>
      <c r="CL161" s="65"/>
      <c r="CM161" s="65"/>
      <c r="CN161" s="65"/>
      <c r="CO161" s="65"/>
      <c r="CP161" s="65"/>
      <c r="CQ161" s="65"/>
      <c r="CR161" s="65"/>
      <c r="CS161" s="65"/>
      <c r="CT161" s="65"/>
      <c r="CU161" s="65"/>
      <c r="CV161" s="65"/>
      <c r="CW161" s="65"/>
      <c r="CX161" s="65"/>
      <c r="CY161" s="65"/>
      <c r="CZ161" s="65"/>
      <c r="DA161" s="65"/>
      <c r="DB161" s="65"/>
      <c r="DC161" s="65"/>
      <c r="DD161" s="65"/>
      <c r="DE161" s="65"/>
      <c r="DF161" s="65"/>
      <c r="DG161" s="65"/>
      <c r="DH161" s="65"/>
      <c r="DI161" s="65"/>
      <c r="DJ161" s="65"/>
      <c r="DK161" s="65"/>
      <c r="DL161" s="65"/>
      <c r="DM161" s="65"/>
      <c r="DN161" s="65"/>
      <c r="DO161" s="65"/>
      <c r="DP161" s="65"/>
      <c r="DQ161" s="65"/>
      <c r="DR161" s="65"/>
      <c r="DS161" s="65"/>
      <c r="DT161" s="65"/>
      <c r="DU161" s="65"/>
      <c r="DV161" s="65"/>
      <c r="DW161" s="65"/>
      <c r="DX161" s="65"/>
      <c r="DY161" s="65"/>
      <c r="DZ161" s="65"/>
      <c r="EA161" s="65"/>
      <c r="EB161" s="65"/>
      <c r="EC161" s="65"/>
      <c r="ED161" s="65"/>
      <c r="EE161" s="65"/>
      <c r="EF161" s="65"/>
      <c r="EG161" s="65"/>
      <c r="EH161" s="65"/>
      <c r="EI161" s="65"/>
      <c r="EJ161" s="65"/>
      <c r="EK161" s="65"/>
      <c r="EL161" s="65"/>
      <c r="EM161" s="65"/>
      <c r="EN161" s="65"/>
      <c r="EO161" s="65"/>
    </row>
    <row r="162" spans="1:145" s="62" customFormat="1" x14ac:dyDescent="0.2">
      <c r="A162" s="74">
        <v>11</v>
      </c>
      <c r="B162" s="183" t="s">
        <v>34</v>
      </c>
      <c r="C162" s="236"/>
      <c r="D162" s="184">
        <f>D160+D158+D156+D152+D148+D146</f>
        <v>-24762020.130000003</v>
      </c>
      <c r="E162" s="184">
        <f t="shared" ref="E162:O162" si="38">E160+E158+E156+E152+E148+E146</f>
        <v>-20748941.129999999</v>
      </c>
      <c r="F162" s="184">
        <f t="shared" si="38"/>
        <v>-19109588.060000002</v>
      </c>
      <c r="G162" s="184">
        <f t="shared" si="38"/>
        <v>-19913357.539999999</v>
      </c>
      <c r="H162" s="184">
        <f t="shared" si="38"/>
        <v>-21058282</v>
      </c>
      <c r="I162" s="184">
        <f t="shared" si="38"/>
        <v>-26466909.049999997</v>
      </c>
      <c r="J162" s="184">
        <f t="shared" si="38"/>
        <v>-26334328.050000001</v>
      </c>
      <c r="K162" s="184">
        <f t="shared" si="38"/>
        <v>-27011990.489999995</v>
      </c>
      <c r="L162" s="184">
        <f t="shared" si="38"/>
        <v>-27493990.719999999</v>
      </c>
      <c r="M162" s="184">
        <f t="shared" si="38"/>
        <v>-23008049.280000001</v>
      </c>
      <c r="N162" s="184">
        <f t="shared" si="38"/>
        <v>-21103226.090000004</v>
      </c>
      <c r="O162" s="184">
        <f t="shared" si="38"/>
        <v>-20194018.140000001</v>
      </c>
      <c r="P162" s="184">
        <f>P160+P158+P156+P152+P148+P146</f>
        <v>-277204700.68000001</v>
      </c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/>
      <c r="CB162" s="65"/>
      <c r="CC162" s="65"/>
      <c r="CD162" s="65"/>
      <c r="CE162" s="65"/>
      <c r="CF162" s="65"/>
      <c r="CG162" s="65"/>
      <c r="CH162" s="65"/>
      <c r="CI162" s="65"/>
      <c r="CJ162" s="65"/>
      <c r="CK162" s="65"/>
      <c r="CL162" s="65"/>
      <c r="CM162" s="65"/>
      <c r="CN162" s="65"/>
      <c r="CO162" s="65"/>
      <c r="CP162" s="65"/>
      <c r="CQ162" s="65"/>
      <c r="CR162" s="65"/>
      <c r="CS162" s="65"/>
      <c r="CT162" s="65"/>
      <c r="CU162" s="65"/>
      <c r="CV162" s="65"/>
      <c r="CW162" s="65"/>
      <c r="CX162" s="65"/>
      <c r="CY162" s="65"/>
      <c r="CZ162" s="65"/>
      <c r="DA162" s="65"/>
      <c r="DB162" s="65"/>
      <c r="DC162" s="65"/>
      <c r="DD162" s="65"/>
      <c r="DE162" s="65"/>
      <c r="DF162" s="65"/>
      <c r="DG162" s="65"/>
      <c r="DH162" s="65"/>
      <c r="DI162" s="65"/>
      <c r="DJ162" s="65"/>
      <c r="DK162" s="65"/>
      <c r="DL162" s="65"/>
      <c r="DM162" s="65"/>
      <c r="DN162" s="65"/>
      <c r="DO162" s="65"/>
      <c r="DP162" s="65"/>
      <c r="DQ162" s="65"/>
      <c r="DR162" s="65"/>
      <c r="DS162" s="65"/>
      <c r="DT162" s="65"/>
      <c r="DU162" s="65"/>
      <c r="DV162" s="65"/>
      <c r="DW162" s="65"/>
      <c r="DX162" s="65"/>
      <c r="DY162" s="65"/>
      <c r="DZ162" s="65"/>
      <c r="EA162" s="65"/>
      <c r="EB162" s="65"/>
      <c r="EC162" s="65"/>
      <c r="ED162" s="65"/>
      <c r="EE162" s="65"/>
      <c r="EF162" s="65"/>
      <c r="EG162" s="65"/>
      <c r="EH162" s="65"/>
      <c r="EI162" s="65"/>
      <c r="EJ162" s="65"/>
      <c r="EK162" s="65"/>
      <c r="EL162" s="65"/>
      <c r="EM162" s="65"/>
      <c r="EN162" s="65"/>
      <c r="EO162" s="65"/>
    </row>
    <row r="163" spans="1:145" s="62" customFormat="1" x14ac:dyDescent="0.2">
      <c r="B163" s="236"/>
      <c r="C163" s="236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56"/>
      <c r="P163" s="156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/>
      <c r="CB163" s="65"/>
      <c r="CC163" s="65"/>
      <c r="CD163" s="65"/>
      <c r="CE163" s="65"/>
      <c r="CF163" s="65"/>
      <c r="CG163" s="65"/>
      <c r="CH163" s="65"/>
      <c r="CI163" s="65"/>
      <c r="CJ163" s="65"/>
      <c r="CK163" s="65"/>
      <c r="CL163" s="65"/>
      <c r="CM163" s="65"/>
      <c r="CN163" s="65"/>
      <c r="CO163" s="65"/>
      <c r="CP163" s="65"/>
      <c r="CQ163" s="65"/>
      <c r="CR163" s="65"/>
      <c r="CS163" s="65"/>
      <c r="CT163" s="65"/>
      <c r="CU163" s="65"/>
      <c r="CV163" s="65"/>
      <c r="CW163" s="65"/>
      <c r="CX163" s="65"/>
      <c r="CY163" s="65"/>
      <c r="CZ163" s="65"/>
      <c r="DA163" s="65"/>
      <c r="DB163" s="65"/>
      <c r="DC163" s="65"/>
      <c r="DD163" s="65"/>
      <c r="DE163" s="65"/>
      <c r="DF163" s="65"/>
      <c r="DG163" s="65"/>
      <c r="DH163" s="65"/>
      <c r="DI163" s="65"/>
      <c r="DJ163" s="65"/>
      <c r="DK163" s="65"/>
      <c r="DL163" s="65"/>
      <c r="DM163" s="65"/>
      <c r="DN163" s="65"/>
      <c r="DO163" s="65"/>
      <c r="DP163" s="65"/>
      <c r="DQ163" s="65"/>
      <c r="DR163" s="65"/>
      <c r="DS163" s="65"/>
      <c r="DT163" s="65"/>
      <c r="DU163" s="65"/>
      <c r="DV163" s="65"/>
      <c r="DW163" s="65"/>
      <c r="DX163" s="65"/>
      <c r="DY163" s="65"/>
      <c r="DZ163" s="65"/>
      <c r="EA163" s="65"/>
      <c r="EB163" s="65"/>
      <c r="EC163" s="65"/>
      <c r="ED163" s="65"/>
      <c r="EE163" s="65"/>
      <c r="EF163" s="65"/>
      <c r="EG163" s="65"/>
      <c r="EH163" s="65"/>
      <c r="EI163" s="65"/>
      <c r="EJ163" s="65"/>
      <c r="EK163" s="65"/>
      <c r="EL163" s="65"/>
      <c r="EM163" s="65"/>
      <c r="EN163" s="65"/>
      <c r="EO163" s="65"/>
    </row>
    <row r="164" spans="1:145" s="62" customFormat="1" x14ac:dyDescent="0.2">
      <c r="A164" s="74">
        <v>12</v>
      </c>
      <c r="B164" s="148" t="s">
        <v>91</v>
      </c>
      <c r="C164" s="125" t="s">
        <v>17</v>
      </c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56">
        <f>SUM(D164:O164)</f>
        <v>0</v>
      </c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/>
      <c r="CB164" s="65"/>
      <c r="CC164" s="65"/>
      <c r="CD164" s="65"/>
      <c r="CE164" s="65"/>
      <c r="CF164" s="65"/>
      <c r="CG164" s="65"/>
      <c r="CH164" s="65"/>
      <c r="CI164" s="65"/>
      <c r="CJ164" s="65"/>
      <c r="CK164" s="65"/>
      <c r="CL164" s="65"/>
      <c r="CM164" s="65"/>
      <c r="CN164" s="65"/>
      <c r="CO164" s="65"/>
      <c r="CP164" s="65"/>
      <c r="CQ164" s="65"/>
      <c r="CR164" s="65"/>
      <c r="CS164" s="65"/>
      <c r="CT164" s="65"/>
      <c r="CU164" s="65"/>
      <c r="CV164" s="65"/>
      <c r="CW164" s="65"/>
      <c r="CX164" s="65"/>
      <c r="CY164" s="65"/>
      <c r="CZ164" s="65"/>
      <c r="DA164" s="65"/>
      <c r="DB164" s="65"/>
      <c r="DC164" s="65"/>
      <c r="DD164" s="65"/>
      <c r="DE164" s="65"/>
      <c r="DF164" s="65"/>
      <c r="DG164" s="65"/>
      <c r="DH164" s="65"/>
      <c r="DI164" s="65"/>
      <c r="DJ164" s="65"/>
      <c r="DK164" s="65"/>
      <c r="DL164" s="65"/>
      <c r="DM164" s="65"/>
      <c r="DN164" s="65"/>
      <c r="DO164" s="65"/>
      <c r="DP164" s="65"/>
      <c r="DQ164" s="65"/>
      <c r="DR164" s="65"/>
      <c r="DS164" s="65"/>
      <c r="DT164" s="65"/>
      <c r="DU164" s="65"/>
      <c r="DV164" s="65"/>
      <c r="DW164" s="65"/>
      <c r="DX164" s="65"/>
      <c r="DY164" s="65"/>
      <c r="DZ164" s="65"/>
      <c r="EA164" s="65"/>
      <c r="EB164" s="65"/>
      <c r="EC164" s="65"/>
      <c r="ED164" s="65"/>
      <c r="EE164" s="65"/>
      <c r="EF164" s="65"/>
      <c r="EG164" s="65"/>
      <c r="EH164" s="65"/>
      <c r="EI164" s="65"/>
      <c r="EJ164" s="65"/>
      <c r="EK164" s="65"/>
      <c r="EL164" s="65"/>
      <c r="EM164" s="65"/>
      <c r="EN164" s="65"/>
      <c r="EO164" s="65"/>
    </row>
    <row r="165" spans="1:145" s="62" customFormat="1" x14ac:dyDescent="0.2">
      <c r="A165" s="74">
        <v>13</v>
      </c>
      <c r="B165" s="148" t="s">
        <v>92</v>
      </c>
      <c r="C165" s="125" t="s">
        <v>18</v>
      </c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73">
        <f>SUM(D165:O165)</f>
        <v>0</v>
      </c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/>
      <c r="CB165" s="65"/>
      <c r="CC165" s="65"/>
      <c r="CD165" s="65"/>
      <c r="CE165" s="65"/>
      <c r="CF165" s="65"/>
      <c r="CG165" s="65"/>
      <c r="CH165" s="65"/>
      <c r="CI165" s="65"/>
      <c r="CJ165" s="65"/>
      <c r="CK165" s="65"/>
      <c r="CL165" s="65"/>
      <c r="CM165" s="65"/>
      <c r="CN165" s="65"/>
      <c r="CO165" s="65"/>
      <c r="CP165" s="65"/>
      <c r="CQ165" s="65"/>
      <c r="CR165" s="65"/>
      <c r="CS165" s="65"/>
      <c r="CT165" s="65"/>
      <c r="CU165" s="65"/>
      <c r="CV165" s="65"/>
      <c r="CW165" s="65"/>
      <c r="CX165" s="65"/>
      <c r="CY165" s="65"/>
      <c r="CZ165" s="65"/>
      <c r="DA165" s="65"/>
      <c r="DB165" s="65"/>
      <c r="DC165" s="65"/>
      <c r="DD165" s="65"/>
      <c r="DE165" s="65"/>
      <c r="DF165" s="65"/>
      <c r="DG165" s="65"/>
      <c r="DH165" s="65"/>
      <c r="DI165" s="65"/>
      <c r="DJ165" s="65"/>
      <c r="DK165" s="65"/>
      <c r="DL165" s="65"/>
      <c r="DM165" s="65"/>
      <c r="DN165" s="65"/>
      <c r="DO165" s="65"/>
      <c r="DP165" s="65"/>
      <c r="DQ165" s="65"/>
      <c r="DR165" s="65"/>
      <c r="DS165" s="65"/>
      <c r="DT165" s="65"/>
      <c r="DU165" s="65"/>
      <c r="DV165" s="65"/>
      <c r="DW165" s="65"/>
      <c r="DX165" s="65"/>
      <c r="DY165" s="65"/>
      <c r="DZ165" s="65"/>
      <c r="EA165" s="65"/>
      <c r="EB165" s="65"/>
      <c r="EC165" s="65"/>
      <c r="ED165" s="65"/>
      <c r="EE165" s="65"/>
      <c r="EF165" s="65"/>
      <c r="EG165" s="65"/>
      <c r="EH165" s="65"/>
      <c r="EI165" s="65"/>
      <c r="EJ165" s="65"/>
      <c r="EK165" s="65"/>
      <c r="EL165" s="65"/>
      <c r="EM165" s="65"/>
      <c r="EN165" s="65"/>
      <c r="EO165" s="65"/>
    </row>
    <row r="166" spans="1:145" s="62" customFormat="1" x14ac:dyDescent="0.2">
      <c r="A166" s="74">
        <v>14</v>
      </c>
      <c r="B166" s="183" t="s">
        <v>35</v>
      </c>
      <c r="C166" s="238"/>
      <c r="D166" s="169">
        <f t="shared" ref="D166:P166" si="39">SUM(D164:D165)</f>
        <v>0</v>
      </c>
      <c r="E166" s="169">
        <f t="shared" si="39"/>
        <v>0</v>
      </c>
      <c r="F166" s="169">
        <f t="shared" si="39"/>
        <v>0</v>
      </c>
      <c r="G166" s="169">
        <f t="shared" si="39"/>
        <v>0</v>
      </c>
      <c r="H166" s="169">
        <f t="shared" si="39"/>
        <v>0</v>
      </c>
      <c r="I166" s="169">
        <f t="shared" si="39"/>
        <v>0</v>
      </c>
      <c r="J166" s="169">
        <f t="shared" si="39"/>
        <v>0</v>
      </c>
      <c r="K166" s="169">
        <f t="shared" si="39"/>
        <v>0</v>
      </c>
      <c r="L166" s="169">
        <f t="shared" si="39"/>
        <v>0</v>
      </c>
      <c r="M166" s="169">
        <f t="shared" si="39"/>
        <v>0</v>
      </c>
      <c r="N166" s="169">
        <f t="shared" si="39"/>
        <v>0</v>
      </c>
      <c r="O166" s="156">
        <f t="shared" si="39"/>
        <v>0</v>
      </c>
      <c r="P166" s="156">
        <f t="shared" si="39"/>
        <v>0</v>
      </c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/>
      <c r="CB166" s="65"/>
      <c r="CC166" s="65"/>
      <c r="CD166" s="65"/>
      <c r="CE166" s="65"/>
      <c r="CF166" s="65"/>
      <c r="CG166" s="65"/>
      <c r="CH166" s="65"/>
      <c r="CI166" s="65"/>
      <c r="CJ166" s="65"/>
      <c r="CK166" s="65"/>
      <c r="CL166" s="65"/>
      <c r="CM166" s="65"/>
      <c r="CN166" s="65"/>
      <c r="CO166" s="65"/>
      <c r="CP166" s="65"/>
      <c r="CQ166" s="65"/>
      <c r="CR166" s="65"/>
      <c r="CS166" s="65"/>
      <c r="CT166" s="65"/>
      <c r="CU166" s="65"/>
      <c r="CV166" s="65"/>
      <c r="CW166" s="65"/>
      <c r="CX166" s="65"/>
      <c r="CY166" s="65"/>
      <c r="CZ166" s="65"/>
      <c r="DA166" s="65"/>
      <c r="DB166" s="65"/>
      <c r="DC166" s="65"/>
      <c r="DD166" s="65"/>
      <c r="DE166" s="65"/>
      <c r="DF166" s="65"/>
      <c r="DG166" s="65"/>
      <c r="DH166" s="65"/>
      <c r="DI166" s="65"/>
      <c r="DJ166" s="65"/>
      <c r="DK166" s="65"/>
      <c r="DL166" s="65"/>
      <c r="DM166" s="65"/>
      <c r="DN166" s="65"/>
      <c r="DO166" s="65"/>
      <c r="DP166" s="65"/>
      <c r="DQ166" s="65"/>
      <c r="DR166" s="65"/>
      <c r="DS166" s="65"/>
      <c r="DT166" s="65"/>
      <c r="DU166" s="65"/>
      <c r="DV166" s="65"/>
      <c r="DW166" s="65"/>
      <c r="DX166" s="65"/>
      <c r="DY166" s="65"/>
      <c r="DZ166" s="65"/>
      <c r="EA166" s="65"/>
      <c r="EB166" s="65"/>
      <c r="EC166" s="65"/>
      <c r="ED166" s="65"/>
      <c r="EE166" s="65"/>
      <c r="EF166" s="65"/>
      <c r="EG166" s="65"/>
      <c r="EH166" s="65"/>
      <c r="EI166" s="65"/>
      <c r="EJ166" s="65"/>
      <c r="EK166" s="65"/>
      <c r="EL166" s="65"/>
      <c r="EM166" s="65"/>
      <c r="EN166" s="65"/>
      <c r="EO166" s="65"/>
    </row>
    <row r="167" spans="1:145" s="62" customFormat="1" x14ac:dyDescent="0.2">
      <c r="A167" s="74"/>
      <c r="B167" s="129"/>
      <c r="C167" s="185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22"/>
      <c r="P167" s="122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65"/>
      <c r="CQ167" s="65"/>
      <c r="CR167" s="65"/>
      <c r="CS167" s="65"/>
      <c r="CT167" s="65"/>
      <c r="CU167" s="65"/>
      <c r="CV167" s="65"/>
      <c r="CW167" s="65"/>
      <c r="CX167" s="65"/>
      <c r="CY167" s="65"/>
      <c r="CZ167" s="65"/>
      <c r="DA167" s="65"/>
      <c r="DB167" s="65"/>
      <c r="DC167" s="65"/>
      <c r="DD167" s="65"/>
      <c r="DE167" s="65"/>
      <c r="DF167" s="65"/>
      <c r="DG167" s="65"/>
      <c r="DH167" s="65"/>
      <c r="DI167" s="65"/>
      <c r="DJ167" s="65"/>
      <c r="DK167" s="65"/>
      <c r="DL167" s="65"/>
      <c r="DM167" s="65"/>
      <c r="DN167" s="65"/>
      <c r="DO167" s="65"/>
      <c r="DP167" s="65"/>
      <c r="DQ167" s="65"/>
      <c r="DR167" s="65"/>
      <c r="DS167" s="65"/>
      <c r="DT167" s="65"/>
      <c r="DU167" s="65"/>
      <c r="DV167" s="65"/>
      <c r="DW167" s="65"/>
      <c r="DX167" s="65"/>
      <c r="DY167" s="65"/>
      <c r="DZ167" s="65"/>
      <c r="EA167" s="65"/>
      <c r="EB167" s="65"/>
      <c r="EC167" s="65"/>
      <c r="ED167" s="65"/>
      <c r="EE167" s="65"/>
      <c r="EF167" s="65"/>
      <c r="EG167" s="65"/>
      <c r="EH167" s="65"/>
      <c r="EI167" s="65"/>
      <c r="EJ167" s="65"/>
      <c r="EK167" s="65"/>
      <c r="EL167" s="65"/>
      <c r="EM167" s="65"/>
      <c r="EN167" s="65"/>
      <c r="EO167" s="65"/>
    </row>
    <row r="168" spans="1:145" s="62" customFormat="1" ht="12" thickBot="1" x14ac:dyDescent="0.25">
      <c r="A168" s="74">
        <v>15</v>
      </c>
      <c r="B168" s="243" t="str">
        <f>B37</f>
        <v>TOTAL AEP TEXAS</v>
      </c>
      <c r="C168" s="238"/>
      <c r="D168" s="186">
        <f t="shared" ref="D168:P168" si="40">+D166+D162</f>
        <v>-24762020.130000003</v>
      </c>
      <c r="E168" s="186">
        <f t="shared" si="40"/>
        <v>-20748941.129999999</v>
      </c>
      <c r="F168" s="186">
        <f t="shared" si="40"/>
        <v>-19109588.060000002</v>
      </c>
      <c r="G168" s="186">
        <f t="shared" si="40"/>
        <v>-19913357.539999999</v>
      </c>
      <c r="H168" s="186">
        <f t="shared" si="40"/>
        <v>-21058282</v>
      </c>
      <c r="I168" s="186">
        <f t="shared" si="40"/>
        <v>-26466909.049999997</v>
      </c>
      <c r="J168" s="186">
        <f t="shared" si="40"/>
        <v>-26334328.050000001</v>
      </c>
      <c r="K168" s="186">
        <f t="shared" si="40"/>
        <v>-27011990.489999995</v>
      </c>
      <c r="L168" s="186">
        <f t="shared" si="40"/>
        <v>-27493990.719999999</v>
      </c>
      <c r="M168" s="186">
        <f t="shared" si="40"/>
        <v>-23008049.280000001</v>
      </c>
      <c r="N168" s="186">
        <f t="shared" si="40"/>
        <v>-21103226.090000004</v>
      </c>
      <c r="O168" s="186">
        <f t="shared" si="40"/>
        <v>-20194018.140000001</v>
      </c>
      <c r="P168" s="186">
        <f t="shared" si="40"/>
        <v>-277204700.68000001</v>
      </c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/>
      <c r="CB168" s="65"/>
      <c r="CC168" s="65"/>
      <c r="CD168" s="65"/>
      <c r="CE168" s="65"/>
      <c r="CF168" s="65"/>
      <c r="CG168" s="65"/>
      <c r="CH168" s="65"/>
      <c r="CI168" s="65"/>
      <c r="CJ168" s="65"/>
      <c r="CK168" s="65"/>
      <c r="CL168" s="65"/>
      <c r="CM168" s="65"/>
      <c r="CN168" s="65"/>
      <c r="CO168" s="65"/>
      <c r="CP168" s="65"/>
      <c r="CQ168" s="65"/>
      <c r="CR168" s="65"/>
      <c r="CS168" s="65"/>
      <c r="CT168" s="65"/>
      <c r="CU168" s="65"/>
      <c r="CV168" s="65"/>
      <c r="CW168" s="65"/>
      <c r="CX168" s="65"/>
      <c r="CY168" s="65"/>
      <c r="CZ168" s="65"/>
      <c r="DA168" s="65"/>
      <c r="DB168" s="65"/>
      <c r="DC168" s="65"/>
      <c r="DD168" s="65"/>
      <c r="DE168" s="65"/>
      <c r="DF168" s="65"/>
      <c r="DG168" s="65"/>
      <c r="DH168" s="65"/>
      <c r="DI168" s="65"/>
      <c r="DJ168" s="65"/>
      <c r="DK168" s="65"/>
      <c r="DL168" s="65"/>
      <c r="DM168" s="65"/>
      <c r="DN168" s="65"/>
      <c r="DO168" s="65"/>
      <c r="DP168" s="65"/>
      <c r="DQ168" s="65"/>
      <c r="DR168" s="65"/>
      <c r="DS168" s="65"/>
      <c r="DT168" s="65"/>
      <c r="DU168" s="65"/>
      <c r="DV168" s="65"/>
      <c r="DW168" s="65"/>
      <c r="DX168" s="65"/>
      <c r="DY168" s="65"/>
      <c r="DZ168" s="65"/>
      <c r="EA168" s="65"/>
      <c r="EB168" s="65"/>
      <c r="EC168" s="65"/>
      <c r="ED168" s="65"/>
      <c r="EE168" s="65"/>
      <c r="EF168" s="65"/>
      <c r="EG168" s="65"/>
      <c r="EH168" s="65"/>
      <c r="EI168" s="65"/>
      <c r="EJ168" s="65"/>
      <c r="EK168" s="65"/>
      <c r="EL168" s="65"/>
      <c r="EM168" s="65"/>
      <c r="EN168" s="65"/>
      <c r="EO168" s="65"/>
    </row>
    <row r="169" spans="1:145" s="62" customFormat="1" ht="12" thickTop="1" x14ac:dyDescent="0.2">
      <c r="A169" s="74"/>
      <c r="B169" s="152"/>
      <c r="C169" s="238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/>
      <c r="CB169" s="65"/>
      <c r="CC169" s="65"/>
      <c r="CD169" s="65"/>
      <c r="CE169" s="65"/>
      <c r="CF169" s="65"/>
      <c r="CG169" s="65"/>
      <c r="CH169" s="65"/>
      <c r="CI169" s="65"/>
      <c r="CJ169" s="65"/>
      <c r="CK169" s="65"/>
      <c r="CL169" s="65"/>
      <c r="CM169" s="65"/>
      <c r="CN169" s="65"/>
      <c r="CO169" s="65"/>
      <c r="CP169" s="65"/>
      <c r="CQ169" s="65"/>
      <c r="CR169" s="65"/>
      <c r="CS169" s="65"/>
      <c r="CT169" s="65"/>
      <c r="CU169" s="65"/>
      <c r="CV169" s="65"/>
      <c r="CW169" s="65"/>
      <c r="CX169" s="65"/>
      <c r="CY169" s="65"/>
      <c r="CZ169" s="65"/>
      <c r="DA169" s="65"/>
      <c r="DB169" s="65"/>
      <c r="DC169" s="65"/>
      <c r="DD169" s="65"/>
      <c r="DE169" s="65"/>
      <c r="DF169" s="65"/>
      <c r="DG169" s="65"/>
      <c r="DH169" s="65"/>
      <c r="DI169" s="65"/>
      <c r="DJ169" s="65"/>
      <c r="DK169" s="65"/>
      <c r="DL169" s="65"/>
      <c r="DM169" s="65"/>
      <c r="DN169" s="65"/>
      <c r="DO169" s="65"/>
      <c r="DP169" s="65"/>
      <c r="DQ169" s="65"/>
      <c r="DR169" s="65"/>
      <c r="DS169" s="65"/>
      <c r="DT169" s="65"/>
      <c r="DU169" s="65"/>
      <c r="DV169" s="65"/>
      <c r="DW169" s="65"/>
      <c r="DX169" s="65"/>
      <c r="DY169" s="65"/>
      <c r="DZ169" s="65"/>
      <c r="EA169" s="65"/>
      <c r="EB169" s="65"/>
      <c r="EC169" s="65"/>
      <c r="ED169" s="65"/>
      <c r="EE169" s="65"/>
      <c r="EF169" s="65"/>
      <c r="EG169" s="65"/>
      <c r="EH169" s="65"/>
      <c r="EI169" s="65"/>
      <c r="EJ169" s="65"/>
      <c r="EK169" s="65"/>
      <c r="EL169" s="65"/>
      <c r="EM169" s="65"/>
      <c r="EN169" s="65"/>
      <c r="EO169" s="65"/>
    </row>
    <row r="170" spans="1:145" s="62" customFormat="1" x14ac:dyDescent="0.2">
      <c r="A170" s="74"/>
      <c r="B170" s="152"/>
      <c r="C170" s="238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/>
      <c r="CB170" s="65"/>
      <c r="CC170" s="65"/>
      <c r="CD170" s="65"/>
      <c r="CE170" s="65"/>
      <c r="CF170" s="65"/>
      <c r="CG170" s="65"/>
      <c r="CH170" s="65"/>
      <c r="CI170" s="65"/>
      <c r="CJ170" s="65"/>
      <c r="CK170" s="65"/>
      <c r="CL170" s="65"/>
      <c r="CM170" s="65"/>
      <c r="CN170" s="65"/>
      <c r="CO170" s="65"/>
      <c r="CP170" s="65"/>
      <c r="CQ170" s="65"/>
      <c r="CR170" s="65"/>
      <c r="CS170" s="65"/>
      <c r="CT170" s="65"/>
      <c r="CU170" s="65"/>
      <c r="CV170" s="65"/>
      <c r="CW170" s="65"/>
      <c r="CX170" s="65"/>
      <c r="CY170" s="65"/>
      <c r="CZ170" s="65"/>
      <c r="DA170" s="65"/>
      <c r="DB170" s="65"/>
      <c r="DC170" s="65"/>
      <c r="DD170" s="65"/>
      <c r="DE170" s="65"/>
      <c r="DF170" s="65"/>
      <c r="DG170" s="65"/>
      <c r="DH170" s="65"/>
      <c r="DI170" s="65"/>
      <c r="DJ170" s="65"/>
      <c r="DK170" s="65"/>
      <c r="DL170" s="65"/>
      <c r="DM170" s="65"/>
      <c r="DN170" s="65"/>
      <c r="DO170" s="65"/>
      <c r="DP170" s="65"/>
      <c r="DQ170" s="65"/>
      <c r="DR170" s="65"/>
      <c r="DS170" s="65"/>
      <c r="DT170" s="65"/>
      <c r="DU170" s="65"/>
      <c r="DV170" s="65"/>
      <c r="DW170" s="65"/>
      <c r="DX170" s="65"/>
      <c r="DY170" s="65"/>
      <c r="DZ170" s="65"/>
      <c r="EA170" s="65"/>
      <c r="EB170" s="65"/>
      <c r="EC170" s="65"/>
      <c r="ED170" s="65"/>
      <c r="EE170" s="65"/>
      <c r="EF170" s="65"/>
      <c r="EG170" s="65"/>
      <c r="EH170" s="65"/>
      <c r="EI170" s="65"/>
      <c r="EJ170" s="65"/>
      <c r="EK170" s="65"/>
      <c r="EL170" s="65"/>
      <c r="EM170" s="65"/>
      <c r="EN170" s="65"/>
      <c r="EO170" s="65"/>
    </row>
    <row r="171" spans="1:145" s="62" customFormat="1" x14ac:dyDescent="0.2">
      <c r="A171" s="74"/>
      <c r="B171" s="152"/>
      <c r="C171" s="238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/>
      <c r="CB171" s="65"/>
      <c r="CC171" s="65"/>
      <c r="CD171" s="65"/>
      <c r="CE171" s="65"/>
      <c r="CF171" s="65"/>
      <c r="CG171" s="65"/>
      <c r="CH171" s="65"/>
      <c r="CI171" s="65"/>
      <c r="CJ171" s="65"/>
      <c r="CK171" s="65"/>
      <c r="CL171" s="65"/>
      <c r="CM171" s="65"/>
      <c r="CN171" s="65"/>
      <c r="CO171" s="65"/>
      <c r="CP171" s="65"/>
      <c r="CQ171" s="65"/>
      <c r="CR171" s="65"/>
      <c r="CS171" s="65"/>
      <c r="CT171" s="65"/>
      <c r="CU171" s="65"/>
      <c r="CV171" s="65"/>
      <c r="CW171" s="65"/>
      <c r="CX171" s="65"/>
      <c r="CY171" s="65"/>
      <c r="CZ171" s="65"/>
      <c r="DA171" s="65"/>
      <c r="DB171" s="65"/>
      <c r="DC171" s="65"/>
      <c r="DD171" s="65"/>
      <c r="DE171" s="65"/>
      <c r="DF171" s="65"/>
      <c r="DG171" s="65"/>
      <c r="DH171" s="65"/>
      <c r="DI171" s="65"/>
      <c r="DJ171" s="65"/>
      <c r="DK171" s="65"/>
      <c r="DL171" s="65"/>
      <c r="DM171" s="65"/>
      <c r="DN171" s="65"/>
      <c r="DO171" s="65"/>
      <c r="DP171" s="65"/>
      <c r="DQ171" s="65"/>
      <c r="DR171" s="65"/>
      <c r="DS171" s="65"/>
      <c r="DT171" s="65"/>
      <c r="DU171" s="65"/>
      <c r="DV171" s="65"/>
      <c r="DW171" s="65"/>
      <c r="DX171" s="65"/>
      <c r="DY171" s="65"/>
      <c r="DZ171" s="65"/>
      <c r="EA171" s="65"/>
      <c r="EB171" s="65"/>
      <c r="EC171" s="65"/>
      <c r="ED171" s="65"/>
      <c r="EE171" s="65"/>
      <c r="EF171" s="65"/>
      <c r="EG171" s="65"/>
      <c r="EH171" s="65"/>
      <c r="EI171" s="65"/>
      <c r="EJ171" s="65"/>
      <c r="EK171" s="65"/>
      <c r="EL171" s="65"/>
      <c r="EM171" s="65"/>
      <c r="EN171" s="65"/>
      <c r="EO171" s="65"/>
    </row>
    <row r="172" spans="1:145" x14ac:dyDescent="0.2">
      <c r="B172" s="393" t="s">
        <v>131</v>
      </c>
      <c r="C172" s="388"/>
      <c r="D172" s="388"/>
      <c r="E172" s="388"/>
      <c r="F172" s="388"/>
      <c r="G172" s="388"/>
      <c r="H172" s="388"/>
      <c r="I172" s="388"/>
      <c r="J172" s="388"/>
      <c r="K172" s="388"/>
      <c r="L172" s="388"/>
      <c r="M172" s="388"/>
      <c r="N172" s="388"/>
      <c r="O172" s="388"/>
      <c r="P172" s="251"/>
    </row>
    <row r="173" spans="1:145" x14ac:dyDescent="0.2">
      <c r="B173" s="393" t="s">
        <v>74</v>
      </c>
      <c r="C173" s="388"/>
      <c r="D173" s="388"/>
      <c r="E173" s="388"/>
      <c r="F173" s="388"/>
      <c r="G173" s="388"/>
      <c r="H173" s="388"/>
      <c r="I173" s="388"/>
      <c r="J173" s="388"/>
      <c r="K173" s="388"/>
      <c r="L173" s="388"/>
      <c r="M173" s="388"/>
      <c r="N173" s="388"/>
      <c r="O173" s="388"/>
      <c r="P173" s="147" t="s">
        <v>1</v>
      </c>
    </row>
    <row r="174" spans="1:145" x14ac:dyDescent="0.2">
      <c r="B174" s="388" t="str">
        <f>B10</f>
        <v>FOR TEST YEAR ENDED DECEMBER 31, 2018</v>
      </c>
      <c r="C174" s="388"/>
      <c r="D174" s="388"/>
      <c r="E174" s="388"/>
      <c r="F174" s="388"/>
      <c r="G174" s="388"/>
      <c r="H174" s="388"/>
      <c r="I174" s="388"/>
      <c r="J174" s="388"/>
      <c r="K174" s="388"/>
      <c r="L174" s="388"/>
      <c r="M174" s="388"/>
      <c r="N174" s="388"/>
      <c r="O174" s="388"/>
      <c r="P174" s="146" t="s">
        <v>1</v>
      </c>
    </row>
    <row r="175" spans="1:145" x14ac:dyDescent="0.2">
      <c r="B175" s="124"/>
      <c r="C175" s="238"/>
      <c r="D175" s="238"/>
      <c r="E175" s="238"/>
      <c r="F175" s="238"/>
      <c r="G175" s="238"/>
      <c r="H175" s="238"/>
      <c r="I175" s="238"/>
      <c r="J175" s="238"/>
      <c r="K175" s="238"/>
      <c r="L175" s="238"/>
      <c r="M175" s="238"/>
      <c r="N175" s="238"/>
      <c r="O175" s="238"/>
      <c r="P175" s="146"/>
    </row>
    <row r="176" spans="1:145" x14ac:dyDescent="0.2">
      <c r="B176" s="175"/>
      <c r="C176" s="168"/>
      <c r="D176" s="176"/>
      <c r="E176" s="177"/>
      <c r="F176" s="177"/>
      <c r="G176" s="176"/>
      <c r="H176" s="157"/>
      <c r="I176" s="157"/>
      <c r="J176" s="157"/>
      <c r="K176" s="157"/>
      <c r="L176" s="157"/>
      <c r="M176" s="157"/>
      <c r="N176" s="157"/>
      <c r="O176" s="122"/>
      <c r="P176" s="178"/>
    </row>
    <row r="177" spans="1:145" x14ac:dyDescent="0.2">
      <c r="A177" s="38" t="s">
        <v>20</v>
      </c>
      <c r="B177" s="237" t="s">
        <v>0</v>
      </c>
      <c r="C177" s="237" t="s">
        <v>19</v>
      </c>
      <c r="D177" s="164" t="str">
        <f>+D13</f>
        <v>JANUARY</v>
      </c>
      <c r="E177" s="164" t="str">
        <f t="shared" ref="E177:O177" si="41">+E13</f>
        <v>FEBRUARY</v>
      </c>
      <c r="F177" s="164" t="str">
        <f t="shared" si="41"/>
        <v>MARCH</v>
      </c>
      <c r="G177" s="164" t="str">
        <f t="shared" si="41"/>
        <v>APRIL</v>
      </c>
      <c r="H177" s="164" t="str">
        <f t="shared" si="41"/>
        <v>MAY</v>
      </c>
      <c r="I177" s="164" t="str">
        <f t="shared" si="41"/>
        <v>JUNE</v>
      </c>
      <c r="J177" s="164" t="str">
        <f t="shared" si="41"/>
        <v>JULY</v>
      </c>
      <c r="K177" s="164" t="str">
        <f t="shared" si="41"/>
        <v>AUGUST</v>
      </c>
      <c r="L177" s="164" t="str">
        <f t="shared" si="41"/>
        <v>SEPTEMBER</v>
      </c>
      <c r="M177" s="164" t="str">
        <f t="shared" si="41"/>
        <v>OCTOBER</v>
      </c>
      <c r="N177" s="164" t="str">
        <f t="shared" si="41"/>
        <v>NOVEMBER</v>
      </c>
      <c r="O177" s="164" t="str">
        <f t="shared" si="41"/>
        <v>DECEMBER</v>
      </c>
      <c r="P177" s="179" t="s">
        <v>14</v>
      </c>
    </row>
    <row r="178" spans="1:145" x14ac:dyDescent="0.2">
      <c r="B178" s="237"/>
      <c r="C178" s="237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79"/>
      <c r="P178" s="179"/>
    </row>
    <row r="179" spans="1:145" s="62" customFormat="1" x14ac:dyDescent="0.2">
      <c r="A179" s="74" t="s">
        <v>21</v>
      </c>
      <c r="B179" s="129" t="s">
        <v>29</v>
      </c>
      <c r="C179" s="143" t="s">
        <v>16</v>
      </c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149">
        <f>SUM(D179:O179)</f>
        <v>0</v>
      </c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  <c r="CB179" s="65"/>
      <c r="CC179" s="65"/>
      <c r="CD179" s="65"/>
      <c r="CE179" s="65"/>
      <c r="CF179" s="65"/>
      <c r="CG179" s="65"/>
      <c r="CH179" s="65"/>
      <c r="CI179" s="65"/>
      <c r="CJ179" s="65"/>
      <c r="CK179" s="65"/>
      <c r="CL179" s="65"/>
      <c r="CM179" s="65"/>
      <c r="CN179" s="65"/>
      <c r="CO179" s="65"/>
      <c r="CP179" s="65"/>
      <c r="CQ179" s="65"/>
      <c r="CR179" s="65"/>
      <c r="CS179" s="65"/>
      <c r="CT179" s="65"/>
      <c r="CU179" s="65"/>
      <c r="CV179" s="65"/>
      <c r="CW179" s="65"/>
      <c r="CX179" s="65"/>
      <c r="CY179" s="65"/>
      <c r="CZ179" s="65"/>
      <c r="DA179" s="65"/>
      <c r="DB179" s="65"/>
      <c r="DC179" s="65"/>
      <c r="DD179" s="65"/>
      <c r="DE179" s="65"/>
      <c r="DF179" s="65"/>
      <c r="DG179" s="65"/>
      <c r="DH179" s="65"/>
      <c r="DI179" s="65"/>
      <c r="DJ179" s="65"/>
      <c r="DK179" s="65"/>
      <c r="DL179" s="65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5"/>
      <c r="EA179" s="65"/>
      <c r="EB179" s="65"/>
      <c r="EC179" s="65"/>
      <c r="ED179" s="65"/>
      <c r="EE179" s="65"/>
      <c r="EF179" s="65"/>
      <c r="EG179" s="65"/>
      <c r="EH179" s="65"/>
      <c r="EI179" s="65"/>
      <c r="EJ179" s="65"/>
      <c r="EK179" s="65"/>
      <c r="EL179" s="65"/>
      <c r="EM179" s="65"/>
      <c r="EN179" s="65"/>
      <c r="EO179" s="65"/>
    </row>
    <row r="180" spans="1:145" s="62" customFormat="1" x14ac:dyDescent="0.2">
      <c r="B180" s="129"/>
      <c r="C180" s="143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56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/>
      <c r="CB180" s="65"/>
      <c r="CC180" s="65"/>
      <c r="CD180" s="65"/>
      <c r="CE180" s="65"/>
      <c r="CF180" s="65"/>
      <c r="CG180" s="65"/>
      <c r="CH180" s="65"/>
      <c r="CI180" s="65"/>
      <c r="CJ180" s="65"/>
      <c r="CK180" s="65"/>
      <c r="CL180" s="65"/>
      <c r="CM180" s="65"/>
      <c r="CN180" s="65"/>
      <c r="CO180" s="65"/>
      <c r="CP180" s="65"/>
      <c r="CQ180" s="65"/>
      <c r="CR180" s="65"/>
      <c r="CS180" s="65"/>
      <c r="CT180" s="65"/>
      <c r="CU180" s="65"/>
      <c r="CV180" s="65"/>
      <c r="CW180" s="65"/>
      <c r="CX180" s="65"/>
      <c r="CY180" s="65"/>
      <c r="CZ180" s="65"/>
      <c r="DA180" s="65"/>
      <c r="DB180" s="65"/>
      <c r="DC180" s="65"/>
      <c r="DD180" s="65"/>
      <c r="DE180" s="65"/>
      <c r="DF180" s="65"/>
      <c r="DG180" s="65"/>
      <c r="DH180" s="65"/>
      <c r="DI180" s="65"/>
      <c r="DJ180" s="65"/>
      <c r="DK180" s="65"/>
      <c r="DL180" s="65"/>
      <c r="DM180" s="65"/>
      <c r="DN180" s="65"/>
      <c r="DO180" s="65"/>
      <c r="DP180" s="65"/>
      <c r="DQ180" s="65"/>
      <c r="DR180" s="65"/>
      <c r="DS180" s="65"/>
      <c r="DT180" s="65"/>
      <c r="DU180" s="65"/>
      <c r="DV180" s="65"/>
      <c r="DW180" s="65"/>
      <c r="DX180" s="65"/>
      <c r="DY180" s="65"/>
      <c r="DZ180" s="65"/>
      <c r="EA180" s="65"/>
      <c r="EB180" s="65"/>
      <c r="EC180" s="65"/>
      <c r="ED180" s="65"/>
      <c r="EE180" s="65"/>
      <c r="EF180" s="65"/>
      <c r="EG180" s="65"/>
      <c r="EH180" s="65"/>
      <c r="EI180" s="65"/>
      <c r="EJ180" s="65"/>
      <c r="EK180" s="65"/>
      <c r="EL180" s="65"/>
      <c r="EM180" s="65"/>
      <c r="EN180" s="65"/>
      <c r="EO180" s="65"/>
    </row>
    <row r="181" spans="1:145" s="62" customFormat="1" x14ac:dyDescent="0.2">
      <c r="A181" s="74">
        <v>2</v>
      </c>
      <c r="B181" s="129" t="s">
        <v>32</v>
      </c>
      <c r="C181" s="143" t="s">
        <v>16</v>
      </c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56">
        <f>SUM(D181:O181)</f>
        <v>0</v>
      </c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/>
      <c r="CB181" s="65"/>
      <c r="CC181" s="65"/>
      <c r="CD181" s="65"/>
      <c r="CE181" s="65"/>
      <c r="CF181" s="65"/>
      <c r="CG181" s="65"/>
      <c r="CH181" s="65"/>
      <c r="CI181" s="65"/>
      <c r="CJ181" s="65"/>
      <c r="CK181" s="65"/>
      <c r="CL181" s="65"/>
      <c r="CM181" s="65"/>
      <c r="CN181" s="65"/>
      <c r="CO181" s="65"/>
      <c r="CP181" s="65"/>
      <c r="CQ181" s="65"/>
      <c r="CR181" s="65"/>
      <c r="CS181" s="65"/>
      <c r="CT181" s="65"/>
      <c r="CU181" s="65"/>
      <c r="CV181" s="65"/>
      <c r="CW181" s="65"/>
      <c r="CX181" s="65"/>
      <c r="CY181" s="65"/>
      <c r="CZ181" s="65"/>
      <c r="DA181" s="65"/>
      <c r="DB181" s="65"/>
      <c r="DC181" s="65"/>
      <c r="DD181" s="65"/>
      <c r="DE181" s="65"/>
      <c r="DF181" s="65"/>
      <c r="DG181" s="65"/>
      <c r="DH181" s="65"/>
      <c r="DI181" s="65"/>
      <c r="DJ181" s="65"/>
      <c r="DK181" s="65"/>
      <c r="DL181" s="65"/>
      <c r="DM181" s="65"/>
      <c r="DN181" s="65"/>
      <c r="DO181" s="65"/>
      <c r="DP181" s="65"/>
      <c r="DQ181" s="65"/>
      <c r="DR181" s="65"/>
      <c r="DS181" s="65"/>
      <c r="DT181" s="65"/>
      <c r="DU181" s="65"/>
      <c r="DV181" s="65"/>
      <c r="DW181" s="65"/>
      <c r="DX181" s="65"/>
      <c r="DY181" s="65"/>
      <c r="DZ181" s="65"/>
      <c r="EA181" s="65"/>
      <c r="EB181" s="65"/>
      <c r="EC181" s="65"/>
      <c r="ED181" s="65"/>
      <c r="EE181" s="65"/>
      <c r="EF181" s="65"/>
      <c r="EG181" s="65"/>
      <c r="EH181" s="65"/>
      <c r="EI181" s="65"/>
      <c r="EJ181" s="65"/>
      <c r="EK181" s="65"/>
      <c r="EL181" s="65"/>
      <c r="EM181" s="65"/>
      <c r="EN181" s="65"/>
      <c r="EO181" s="65"/>
    </row>
    <row r="182" spans="1:145" s="62" customFormat="1" x14ac:dyDescent="0.2">
      <c r="A182" s="74"/>
      <c r="B182" s="129"/>
      <c r="C182" s="143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56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  <c r="CB182" s="65"/>
      <c r="CC182" s="65"/>
      <c r="CD182" s="65"/>
      <c r="CE182" s="65"/>
      <c r="CF182" s="65"/>
      <c r="CG182" s="65"/>
      <c r="CH182" s="65"/>
      <c r="CI182" s="65"/>
      <c r="CJ182" s="65"/>
      <c r="CK182" s="65"/>
      <c r="CL182" s="65"/>
      <c r="CM182" s="65"/>
      <c r="CN182" s="65"/>
      <c r="CO182" s="65"/>
      <c r="CP182" s="65"/>
      <c r="CQ182" s="65"/>
      <c r="CR182" s="65"/>
      <c r="CS182" s="65"/>
      <c r="CT182" s="65"/>
      <c r="CU182" s="65"/>
      <c r="CV182" s="65"/>
      <c r="CW182" s="65"/>
      <c r="CX182" s="65"/>
      <c r="CY182" s="65"/>
      <c r="CZ182" s="65"/>
      <c r="DA182" s="65"/>
      <c r="DB182" s="65"/>
      <c r="DC182" s="65"/>
      <c r="DD182" s="65"/>
      <c r="DE182" s="65"/>
      <c r="DF182" s="65"/>
      <c r="DG182" s="65"/>
      <c r="DH182" s="65"/>
      <c r="DI182" s="65"/>
      <c r="DJ182" s="65"/>
      <c r="DK182" s="65"/>
      <c r="DL182" s="65"/>
      <c r="DM182" s="65"/>
      <c r="DN182" s="65"/>
      <c r="DO182" s="65"/>
      <c r="DP182" s="65"/>
      <c r="DQ182" s="65"/>
      <c r="DR182" s="65"/>
      <c r="DS182" s="65"/>
      <c r="DT182" s="65"/>
      <c r="DU182" s="65"/>
      <c r="DV182" s="65"/>
      <c r="DW182" s="65"/>
      <c r="DX182" s="65"/>
      <c r="DY182" s="65"/>
      <c r="DZ182" s="65"/>
      <c r="EA182" s="65"/>
      <c r="EB182" s="65"/>
      <c r="EC182" s="65"/>
      <c r="ED182" s="65"/>
      <c r="EE182" s="65"/>
      <c r="EF182" s="65"/>
      <c r="EG182" s="65"/>
      <c r="EH182" s="65"/>
      <c r="EI182" s="65"/>
      <c r="EJ182" s="65"/>
      <c r="EK182" s="65"/>
      <c r="EL182" s="65"/>
      <c r="EM182" s="65"/>
      <c r="EN182" s="65"/>
      <c r="EO182" s="65"/>
    </row>
    <row r="183" spans="1:145" s="62" customFormat="1" x14ac:dyDescent="0.2">
      <c r="A183" s="74">
        <v>3</v>
      </c>
      <c r="B183" s="146" t="s">
        <v>113</v>
      </c>
      <c r="C183" s="125" t="s">
        <v>16</v>
      </c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56">
        <f>SUM(D183:O183)</f>
        <v>0</v>
      </c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/>
      <c r="CB183" s="65"/>
      <c r="CC183" s="65"/>
      <c r="CD183" s="65"/>
      <c r="CE183" s="65"/>
      <c r="CF183" s="65"/>
      <c r="CG183" s="65"/>
      <c r="CH183" s="65"/>
      <c r="CI183" s="65"/>
      <c r="CJ183" s="65"/>
      <c r="CK183" s="65"/>
      <c r="CL183" s="65"/>
      <c r="CM183" s="65"/>
      <c r="CN183" s="65"/>
      <c r="CO183" s="65"/>
      <c r="CP183" s="65"/>
      <c r="CQ183" s="65"/>
      <c r="CR183" s="65"/>
      <c r="CS183" s="65"/>
      <c r="CT183" s="65"/>
      <c r="CU183" s="65"/>
      <c r="CV183" s="65"/>
      <c r="CW183" s="65"/>
      <c r="CX183" s="65"/>
      <c r="CY183" s="65"/>
      <c r="CZ183" s="65"/>
      <c r="DA183" s="65"/>
      <c r="DB183" s="65"/>
      <c r="DC183" s="65"/>
      <c r="DD183" s="65"/>
      <c r="DE183" s="65"/>
      <c r="DF183" s="65"/>
      <c r="DG183" s="65"/>
      <c r="DH183" s="65"/>
      <c r="DI183" s="65"/>
      <c r="DJ183" s="65"/>
      <c r="DK183" s="65"/>
      <c r="DL183" s="65"/>
      <c r="DM183" s="65"/>
      <c r="DN183" s="65"/>
      <c r="DO183" s="65"/>
      <c r="DP183" s="65"/>
      <c r="DQ183" s="65"/>
      <c r="DR183" s="65"/>
      <c r="DS183" s="65"/>
      <c r="DT183" s="65"/>
      <c r="DU183" s="65"/>
      <c r="DV183" s="65"/>
      <c r="DW183" s="65"/>
      <c r="DX183" s="65"/>
      <c r="DY183" s="65"/>
      <c r="DZ183" s="65"/>
      <c r="EA183" s="65"/>
      <c r="EB183" s="65"/>
      <c r="EC183" s="65"/>
      <c r="ED183" s="65"/>
      <c r="EE183" s="65"/>
      <c r="EF183" s="65"/>
      <c r="EG183" s="65"/>
      <c r="EH183" s="65"/>
      <c r="EI183" s="65"/>
      <c r="EJ183" s="65"/>
      <c r="EK183" s="65"/>
      <c r="EL183" s="65"/>
      <c r="EM183" s="65"/>
      <c r="EN183" s="65"/>
      <c r="EO183" s="65"/>
    </row>
    <row r="184" spans="1:145" s="62" customFormat="1" x14ac:dyDescent="0.2">
      <c r="A184" s="74">
        <v>4</v>
      </c>
      <c r="B184" s="146" t="s">
        <v>114</v>
      </c>
      <c r="C184" s="125" t="s">
        <v>16</v>
      </c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>
        <f>SUM(D184:O184)</f>
        <v>0</v>
      </c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  <c r="CB184" s="65"/>
      <c r="CC184" s="65"/>
      <c r="CD184" s="65"/>
      <c r="CE184" s="65"/>
      <c r="CF184" s="65"/>
      <c r="CG184" s="65"/>
      <c r="CH184" s="65"/>
      <c r="CI184" s="65"/>
      <c r="CJ184" s="65"/>
      <c r="CK184" s="65"/>
      <c r="CL184" s="65"/>
      <c r="CM184" s="65"/>
      <c r="CN184" s="65"/>
      <c r="CO184" s="65"/>
      <c r="CP184" s="65"/>
      <c r="CQ184" s="65"/>
      <c r="CR184" s="65"/>
      <c r="CS184" s="65"/>
      <c r="CT184" s="65"/>
      <c r="CU184" s="65"/>
      <c r="CV184" s="65"/>
      <c r="CW184" s="65"/>
      <c r="CX184" s="65"/>
      <c r="CY184" s="65"/>
      <c r="CZ184" s="65"/>
      <c r="DA184" s="65"/>
      <c r="DB184" s="65"/>
      <c r="DC184" s="65"/>
      <c r="DD184" s="65"/>
      <c r="DE184" s="65"/>
      <c r="DF184" s="65"/>
      <c r="DG184" s="65"/>
      <c r="DH184" s="65"/>
      <c r="DI184" s="65"/>
      <c r="DJ184" s="65"/>
      <c r="DK184" s="65"/>
      <c r="DL184" s="65"/>
      <c r="DM184" s="65"/>
      <c r="DN184" s="65"/>
      <c r="DO184" s="65"/>
      <c r="DP184" s="65"/>
      <c r="DQ184" s="65"/>
      <c r="DR184" s="65"/>
      <c r="DS184" s="65"/>
      <c r="DT184" s="65"/>
      <c r="DU184" s="65"/>
      <c r="DV184" s="65"/>
      <c r="DW184" s="65"/>
      <c r="DX184" s="65"/>
      <c r="DY184" s="65"/>
      <c r="DZ184" s="65"/>
      <c r="EA184" s="65"/>
      <c r="EB184" s="65"/>
      <c r="EC184" s="65"/>
      <c r="ED184" s="65"/>
      <c r="EE184" s="65"/>
      <c r="EF184" s="65"/>
      <c r="EG184" s="65"/>
      <c r="EH184" s="65"/>
      <c r="EI184" s="65"/>
      <c r="EJ184" s="65"/>
      <c r="EK184" s="65"/>
      <c r="EL184" s="65"/>
      <c r="EM184" s="65"/>
      <c r="EN184" s="65"/>
      <c r="EO184" s="65"/>
    </row>
    <row r="185" spans="1:145" s="62" customFormat="1" x14ac:dyDescent="0.2">
      <c r="A185" s="74">
        <v>5</v>
      </c>
      <c r="B185" s="162" t="s">
        <v>30</v>
      </c>
      <c r="C185" s="143"/>
      <c r="D185" s="157">
        <f>SUM(D183:D184)</f>
        <v>0</v>
      </c>
      <c r="E185" s="157">
        <f t="shared" ref="E185:O185" si="42">SUM(E183:E184)</f>
        <v>0</v>
      </c>
      <c r="F185" s="157">
        <f t="shared" si="42"/>
        <v>0</v>
      </c>
      <c r="G185" s="157">
        <f t="shared" si="42"/>
        <v>0</v>
      </c>
      <c r="H185" s="157">
        <f t="shared" si="42"/>
        <v>0</v>
      </c>
      <c r="I185" s="157">
        <f t="shared" si="42"/>
        <v>0</v>
      </c>
      <c r="J185" s="157">
        <f t="shared" si="42"/>
        <v>0</v>
      </c>
      <c r="K185" s="157">
        <f t="shared" si="42"/>
        <v>0</v>
      </c>
      <c r="L185" s="157">
        <f t="shared" si="42"/>
        <v>0</v>
      </c>
      <c r="M185" s="157">
        <f t="shared" si="42"/>
        <v>0</v>
      </c>
      <c r="N185" s="157">
        <f t="shared" si="42"/>
        <v>0</v>
      </c>
      <c r="O185" s="157">
        <f t="shared" si="42"/>
        <v>0</v>
      </c>
      <c r="P185" s="157">
        <f>SUM(P183:P184)</f>
        <v>0</v>
      </c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/>
      <c r="CB185" s="65"/>
      <c r="CC185" s="65"/>
      <c r="CD185" s="65"/>
      <c r="CE185" s="65"/>
      <c r="CF185" s="65"/>
      <c r="CG185" s="65"/>
      <c r="CH185" s="65"/>
      <c r="CI185" s="65"/>
      <c r="CJ185" s="65"/>
      <c r="CK185" s="65"/>
      <c r="CL185" s="65"/>
      <c r="CM185" s="65"/>
      <c r="CN185" s="65"/>
      <c r="CO185" s="65"/>
      <c r="CP185" s="65"/>
      <c r="CQ185" s="65"/>
      <c r="CR185" s="65"/>
      <c r="CS185" s="65"/>
      <c r="CT185" s="65"/>
      <c r="CU185" s="65"/>
      <c r="CV185" s="65"/>
      <c r="CW185" s="65"/>
      <c r="CX185" s="65"/>
      <c r="CY185" s="65"/>
      <c r="CZ185" s="65"/>
      <c r="DA185" s="65"/>
      <c r="DB185" s="65"/>
      <c r="DC185" s="65"/>
      <c r="DD185" s="65"/>
      <c r="DE185" s="65"/>
      <c r="DF185" s="65"/>
      <c r="DG185" s="65"/>
      <c r="DH185" s="65"/>
      <c r="DI185" s="65"/>
      <c r="DJ185" s="65"/>
      <c r="DK185" s="65"/>
      <c r="DL185" s="65"/>
      <c r="DM185" s="65"/>
      <c r="DN185" s="65"/>
      <c r="DO185" s="65"/>
      <c r="DP185" s="65"/>
      <c r="DQ185" s="65"/>
      <c r="DR185" s="65"/>
      <c r="DS185" s="65"/>
      <c r="DT185" s="65"/>
      <c r="DU185" s="65"/>
      <c r="DV185" s="65"/>
      <c r="DW185" s="65"/>
      <c r="DX185" s="65"/>
      <c r="DY185" s="65"/>
      <c r="DZ185" s="65"/>
      <c r="EA185" s="65"/>
      <c r="EB185" s="65"/>
      <c r="EC185" s="65"/>
      <c r="ED185" s="65"/>
      <c r="EE185" s="65"/>
      <c r="EF185" s="65"/>
      <c r="EG185" s="65"/>
      <c r="EH185" s="65"/>
      <c r="EI185" s="65"/>
      <c r="EJ185" s="65"/>
      <c r="EK185" s="65"/>
      <c r="EL185" s="65"/>
      <c r="EM185" s="65"/>
      <c r="EN185" s="65"/>
      <c r="EO185" s="65"/>
    </row>
    <row r="186" spans="1:145" s="62" customFormat="1" x14ac:dyDescent="0.2">
      <c r="B186" s="242"/>
      <c r="C186" s="143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22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  <c r="CC186" s="65"/>
      <c r="CD186" s="65"/>
      <c r="CE186" s="65"/>
      <c r="CF186" s="65"/>
      <c r="CG186" s="65"/>
      <c r="CH186" s="65"/>
      <c r="CI186" s="65"/>
      <c r="CJ186" s="65"/>
      <c r="CK186" s="65"/>
      <c r="CL186" s="65"/>
      <c r="CM186" s="65"/>
      <c r="CN186" s="65"/>
      <c r="CO186" s="65"/>
      <c r="CP186" s="65"/>
      <c r="CQ186" s="65"/>
      <c r="CR186" s="65"/>
      <c r="CS186" s="65"/>
      <c r="CT186" s="65"/>
      <c r="CU186" s="65"/>
      <c r="CV186" s="65"/>
      <c r="CW186" s="65"/>
      <c r="CX186" s="65"/>
      <c r="CY186" s="65"/>
      <c r="CZ186" s="65"/>
      <c r="DA186" s="65"/>
      <c r="DB186" s="65"/>
      <c r="DC186" s="65"/>
      <c r="DD186" s="65"/>
      <c r="DE186" s="65"/>
      <c r="DF186" s="65"/>
      <c r="DG186" s="65"/>
      <c r="DH186" s="65"/>
      <c r="DI186" s="65"/>
      <c r="DJ186" s="65"/>
      <c r="DK186" s="65"/>
      <c r="DL186" s="65"/>
      <c r="DM186" s="65"/>
      <c r="DN186" s="65"/>
      <c r="DO186" s="65"/>
      <c r="DP186" s="65"/>
      <c r="DQ186" s="65"/>
      <c r="DR186" s="65"/>
      <c r="DS186" s="65"/>
      <c r="DT186" s="65"/>
      <c r="DU186" s="65"/>
      <c r="DV186" s="65"/>
      <c r="DW186" s="65"/>
      <c r="DX186" s="65"/>
      <c r="DY186" s="65"/>
      <c r="DZ186" s="65"/>
      <c r="EA186" s="65"/>
      <c r="EB186" s="65"/>
      <c r="EC186" s="65"/>
      <c r="ED186" s="65"/>
      <c r="EE186" s="65"/>
      <c r="EF186" s="65"/>
      <c r="EG186" s="65"/>
      <c r="EH186" s="65"/>
      <c r="EI186" s="65"/>
      <c r="EJ186" s="65"/>
      <c r="EK186" s="65"/>
      <c r="EL186" s="65"/>
      <c r="EM186" s="65"/>
      <c r="EN186" s="65"/>
      <c r="EO186" s="65"/>
    </row>
    <row r="187" spans="1:145" s="62" customFormat="1" x14ac:dyDescent="0.2">
      <c r="A187" s="74">
        <v>6</v>
      </c>
      <c r="B187" s="146" t="s">
        <v>110</v>
      </c>
      <c r="C187" s="125" t="s">
        <v>17</v>
      </c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56">
        <f>SUM(D187:O187)</f>
        <v>0</v>
      </c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/>
      <c r="CB187" s="65"/>
      <c r="CC187" s="65"/>
      <c r="CD187" s="65"/>
      <c r="CE187" s="65"/>
      <c r="CF187" s="65"/>
      <c r="CG187" s="65"/>
      <c r="CH187" s="65"/>
      <c r="CI187" s="65"/>
      <c r="CJ187" s="65"/>
      <c r="CK187" s="65"/>
      <c r="CL187" s="65"/>
      <c r="CM187" s="65"/>
      <c r="CN187" s="65"/>
      <c r="CO187" s="65"/>
      <c r="CP187" s="65"/>
      <c r="CQ187" s="65"/>
      <c r="CR187" s="65"/>
      <c r="CS187" s="65"/>
      <c r="CT187" s="65"/>
      <c r="CU187" s="65"/>
      <c r="CV187" s="65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65"/>
      <c r="DH187" s="65"/>
      <c r="DI187" s="65"/>
      <c r="DJ187" s="65"/>
      <c r="DK187" s="65"/>
      <c r="DL187" s="65"/>
      <c r="DM187" s="65"/>
      <c r="DN187" s="65"/>
      <c r="DO187" s="65"/>
      <c r="DP187" s="65"/>
      <c r="DQ187" s="65"/>
      <c r="DR187" s="65"/>
      <c r="DS187" s="65"/>
      <c r="DT187" s="65"/>
      <c r="DU187" s="65"/>
      <c r="DV187" s="65"/>
      <c r="DW187" s="65"/>
      <c r="DX187" s="65"/>
      <c r="DY187" s="65"/>
      <c r="DZ187" s="65"/>
      <c r="EA187" s="65"/>
      <c r="EB187" s="65"/>
      <c r="EC187" s="65"/>
      <c r="ED187" s="65"/>
      <c r="EE187" s="65"/>
      <c r="EF187" s="65"/>
      <c r="EG187" s="65"/>
      <c r="EH187" s="65"/>
      <c r="EI187" s="65"/>
      <c r="EJ187" s="65"/>
      <c r="EK187" s="65"/>
      <c r="EL187" s="65"/>
      <c r="EM187" s="65"/>
      <c r="EN187" s="65"/>
      <c r="EO187" s="65"/>
    </row>
    <row r="188" spans="1:145" s="62" customFormat="1" x14ac:dyDescent="0.2">
      <c r="A188" s="74">
        <v>7</v>
      </c>
      <c r="B188" s="146" t="s">
        <v>111</v>
      </c>
      <c r="C188" s="125" t="s">
        <v>17</v>
      </c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73">
        <f>SUM(D188:O188)</f>
        <v>0</v>
      </c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/>
      <c r="CB188" s="65"/>
      <c r="CC188" s="65"/>
      <c r="CD188" s="65"/>
      <c r="CE188" s="65"/>
      <c r="CF188" s="65"/>
      <c r="CG188" s="65"/>
      <c r="CH188" s="65"/>
      <c r="CI188" s="65"/>
      <c r="CJ188" s="65"/>
      <c r="CK188" s="65"/>
      <c r="CL188" s="65"/>
      <c r="CM188" s="65"/>
      <c r="CN188" s="65"/>
      <c r="CO188" s="65"/>
      <c r="CP188" s="65"/>
      <c r="CQ188" s="65"/>
      <c r="CR188" s="65"/>
      <c r="CS188" s="65"/>
      <c r="CT188" s="65"/>
      <c r="CU188" s="65"/>
      <c r="CV188" s="65"/>
      <c r="CW188" s="65"/>
      <c r="CX188" s="65"/>
      <c r="CY188" s="65"/>
      <c r="CZ188" s="65"/>
      <c r="DA188" s="65"/>
      <c r="DB188" s="65"/>
      <c r="DC188" s="65"/>
      <c r="DD188" s="65"/>
      <c r="DE188" s="65"/>
      <c r="DF188" s="65"/>
      <c r="DG188" s="65"/>
      <c r="DH188" s="65"/>
      <c r="DI188" s="65"/>
      <c r="DJ188" s="65"/>
      <c r="DK188" s="65"/>
      <c r="DL188" s="65"/>
      <c r="DM188" s="65"/>
      <c r="DN188" s="65"/>
      <c r="DO188" s="65"/>
      <c r="DP188" s="65"/>
      <c r="DQ188" s="65"/>
      <c r="DR188" s="65"/>
      <c r="DS188" s="65"/>
      <c r="DT188" s="65"/>
      <c r="DU188" s="65"/>
      <c r="DV188" s="65"/>
      <c r="DW188" s="65"/>
      <c r="DX188" s="65"/>
      <c r="DY188" s="65"/>
      <c r="DZ188" s="65"/>
      <c r="EA188" s="65"/>
      <c r="EB188" s="65"/>
      <c r="EC188" s="65"/>
      <c r="ED188" s="65"/>
      <c r="EE188" s="65"/>
      <c r="EF188" s="65"/>
      <c r="EG188" s="65"/>
      <c r="EH188" s="65"/>
      <c r="EI188" s="65"/>
      <c r="EJ188" s="65"/>
      <c r="EK188" s="65"/>
      <c r="EL188" s="65"/>
      <c r="EM188" s="65"/>
      <c r="EN188" s="65"/>
      <c r="EO188" s="65"/>
    </row>
    <row r="189" spans="1:145" s="62" customFormat="1" x14ac:dyDescent="0.2">
      <c r="A189" s="74">
        <v>8</v>
      </c>
      <c r="B189" s="129" t="s">
        <v>31</v>
      </c>
      <c r="C189" s="125"/>
      <c r="D189" s="122">
        <f t="shared" ref="D189:O189" si="43">SUM(D187:D188)</f>
        <v>0</v>
      </c>
      <c r="E189" s="122">
        <f t="shared" si="43"/>
        <v>0</v>
      </c>
      <c r="F189" s="122">
        <f t="shared" si="43"/>
        <v>0</v>
      </c>
      <c r="G189" s="122">
        <f t="shared" si="43"/>
        <v>0</v>
      </c>
      <c r="H189" s="122">
        <f t="shared" si="43"/>
        <v>0</v>
      </c>
      <c r="I189" s="122">
        <f t="shared" si="43"/>
        <v>0</v>
      </c>
      <c r="J189" s="122">
        <f t="shared" si="43"/>
        <v>0</v>
      </c>
      <c r="K189" s="122">
        <f t="shared" si="43"/>
        <v>0</v>
      </c>
      <c r="L189" s="122">
        <f t="shared" si="43"/>
        <v>0</v>
      </c>
      <c r="M189" s="122">
        <f t="shared" si="43"/>
        <v>0</v>
      </c>
      <c r="N189" s="122">
        <f t="shared" si="43"/>
        <v>0</v>
      </c>
      <c r="O189" s="122">
        <f t="shared" si="43"/>
        <v>0</v>
      </c>
      <c r="P189" s="122">
        <f>SUM(P187:P188)</f>
        <v>0</v>
      </c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  <c r="CE189" s="65"/>
      <c r="CF189" s="65"/>
      <c r="CG189" s="65"/>
      <c r="CH189" s="65"/>
      <c r="CI189" s="65"/>
      <c r="CJ189" s="65"/>
      <c r="CK189" s="65"/>
      <c r="CL189" s="65"/>
      <c r="CM189" s="65"/>
      <c r="CN189" s="65"/>
      <c r="CO189" s="65"/>
      <c r="CP189" s="65"/>
      <c r="CQ189" s="65"/>
      <c r="CR189" s="65"/>
      <c r="CS189" s="65"/>
      <c r="CT189" s="65"/>
      <c r="CU189" s="65"/>
      <c r="CV189" s="65"/>
      <c r="CW189" s="65"/>
      <c r="CX189" s="65"/>
      <c r="CY189" s="65"/>
      <c r="CZ189" s="65"/>
      <c r="DA189" s="65"/>
      <c r="DB189" s="65"/>
      <c r="DC189" s="65"/>
      <c r="DD189" s="65"/>
      <c r="DE189" s="65"/>
      <c r="DF189" s="65"/>
      <c r="DG189" s="65"/>
      <c r="DH189" s="65"/>
      <c r="DI189" s="65"/>
      <c r="DJ189" s="65"/>
      <c r="DK189" s="65"/>
      <c r="DL189" s="65"/>
      <c r="DM189" s="65"/>
      <c r="DN189" s="65"/>
      <c r="DO189" s="65"/>
      <c r="DP189" s="65"/>
      <c r="DQ189" s="65"/>
      <c r="DR189" s="65"/>
      <c r="DS189" s="65"/>
      <c r="DT189" s="65"/>
      <c r="DU189" s="65"/>
      <c r="DV189" s="65"/>
      <c r="DW189" s="65"/>
      <c r="DX189" s="65"/>
      <c r="DY189" s="65"/>
      <c r="DZ189" s="65"/>
      <c r="EA189" s="65"/>
      <c r="EB189" s="65"/>
      <c r="EC189" s="65"/>
      <c r="ED189" s="65"/>
      <c r="EE189" s="65"/>
      <c r="EF189" s="65"/>
      <c r="EG189" s="65"/>
      <c r="EH189" s="65"/>
      <c r="EI189" s="65"/>
      <c r="EJ189" s="65"/>
      <c r="EK189" s="65"/>
      <c r="EL189" s="65"/>
      <c r="EM189" s="65"/>
      <c r="EN189" s="65"/>
      <c r="EO189" s="65"/>
    </row>
    <row r="190" spans="1:145" s="62" customFormat="1" x14ac:dyDescent="0.2">
      <c r="A190" s="74"/>
      <c r="B190" s="129"/>
      <c r="C190" s="125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56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5"/>
      <c r="BS190" s="65"/>
      <c r="BT190" s="65"/>
      <c r="BU190" s="65"/>
      <c r="BV190" s="65"/>
      <c r="BW190" s="65"/>
      <c r="BX190" s="65"/>
      <c r="BY190" s="65"/>
      <c r="BZ190" s="65"/>
      <c r="CA190" s="65"/>
      <c r="CB190" s="65"/>
      <c r="CC190" s="65"/>
      <c r="CD190" s="65"/>
      <c r="CE190" s="65"/>
      <c r="CF190" s="65"/>
      <c r="CG190" s="65"/>
      <c r="CH190" s="65"/>
      <c r="CI190" s="65"/>
      <c r="CJ190" s="65"/>
      <c r="CK190" s="65"/>
      <c r="CL190" s="65"/>
      <c r="CM190" s="65"/>
      <c r="CN190" s="65"/>
      <c r="CO190" s="65"/>
      <c r="CP190" s="65"/>
      <c r="CQ190" s="65"/>
      <c r="CR190" s="65"/>
      <c r="CS190" s="65"/>
      <c r="CT190" s="65"/>
      <c r="CU190" s="65"/>
      <c r="CV190" s="65"/>
      <c r="CW190" s="65"/>
      <c r="CX190" s="65"/>
      <c r="CY190" s="65"/>
      <c r="CZ190" s="65"/>
      <c r="DA190" s="65"/>
      <c r="DB190" s="65"/>
      <c r="DC190" s="65"/>
      <c r="DD190" s="65"/>
      <c r="DE190" s="65"/>
      <c r="DF190" s="65"/>
      <c r="DG190" s="65"/>
      <c r="DH190" s="65"/>
      <c r="DI190" s="65"/>
      <c r="DJ190" s="65"/>
      <c r="DK190" s="65"/>
      <c r="DL190" s="65"/>
      <c r="DM190" s="65"/>
      <c r="DN190" s="65"/>
      <c r="DO190" s="65"/>
      <c r="DP190" s="65"/>
      <c r="DQ190" s="65"/>
      <c r="DR190" s="65"/>
      <c r="DS190" s="65"/>
      <c r="DT190" s="65"/>
      <c r="DU190" s="65"/>
      <c r="DV190" s="65"/>
      <c r="DW190" s="65"/>
      <c r="DX190" s="65"/>
      <c r="DY190" s="65"/>
      <c r="DZ190" s="65"/>
      <c r="EA190" s="65"/>
      <c r="EB190" s="65"/>
      <c r="EC190" s="65"/>
      <c r="ED190" s="65"/>
      <c r="EE190" s="65"/>
      <c r="EF190" s="65"/>
      <c r="EG190" s="65"/>
      <c r="EH190" s="65"/>
      <c r="EI190" s="65"/>
      <c r="EJ190" s="65"/>
      <c r="EK190" s="65"/>
      <c r="EL190" s="65"/>
      <c r="EM190" s="65"/>
      <c r="EN190" s="65"/>
      <c r="EO190" s="65"/>
    </row>
    <row r="191" spans="1:145" s="62" customFormat="1" x14ac:dyDescent="0.2">
      <c r="A191" s="74">
        <v>9</v>
      </c>
      <c r="B191" s="162" t="s">
        <v>115</v>
      </c>
      <c r="C191" s="125" t="s">
        <v>18</v>
      </c>
      <c r="D191" s="122">
        <f>Riders!D110</f>
        <v>-200</v>
      </c>
      <c r="E191" s="122">
        <f>Riders!E110</f>
        <v>-170</v>
      </c>
      <c r="F191" s="122">
        <f>Riders!F110</f>
        <v>-230</v>
      </c>
      <c r="G191" s="122">
        <f>Riders!G110</f>
        <v>-244.48000000000002</v>
      </c>
      <c r="H191" s="122">
        <f>Riders!H110</f>
        <v>-260</v>
      </c>
      <c r="I191" s="122">
        <f>Riders!I110</f>
        <v>-230</v>
      </c>
      <c r="J191" s="122">
        <f>Riders!J110</f>
        <v>-230</v>
      </c>
      <c r="K191" s="122">
        <f>Riders!K110</f>
        <v>-230</v>
      </c>
      <c r="L191" s="122">
        <f>Riders!L110</f>
        <v>-200</v>
      </c>
      <c r="M191" s="122">
        <f>Riders!M110</f>
        <v>-260</v>
      </c>
      <c r="N191" s="122">
        <f>Riders!N110</f>
        <v>-260</v>
      </c>
      <c r="O191" s="122">
        <f>Riders!O110</f>
        <v>-260</v>
      </c>
      <c r="P191" s="156">
        <f>SUM(D191:O191)</f>
        <v>-2774.48</v>
      </c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/>
      <c r="CA191" s="65"/>
      <c r="CB191" s="65"/>
      <c r="CC191" s="65"/>
      <c r="CD191" s="65"/>
      <c r="CE191" s="65"/>
      <c r="CF191" s="65"/>
      <c r="CG191" s="65"/>
      <c r="CH191" s="65"/>
      <c r="CI191" s="65"/>
      <c r="CJ191" s="65"/>
      <c r="CK191" s="65"/>
      <c r="CL191" s="65"/>
      <c r="CM191" s="65"/>
      <c r="CN191" s="65"/>
      <c r="CO191" s="65"/>
      <c r="CP191" s="65"/>
      <c r="CQ191" s="65"/>
      <c r="CR191" s="65"/>
      <c r="CS191" s="65"/>
      <c r="CT191" s="65"/>
      <c r="CU191" s="65"/>
      <c r="CV191" s="65"/>
      <c r="CW191" s="65"/>
      <c r="CX191" s="65"/>
      <c r="CY191" s="65"/>
      <c r="CZ191" s="65"/>
      <c r="DA191" s="65"/>
      <c r="DB191" s="65"/>
      <c r="DC191" s="65"/>
      <c r="DD191" s="65"/>
      <c r="DE191" s="65"/>
      <c r="DF191" s="65"/>
      <c r="DG191" s="65"/>
      <c r="DH191" s="65"/>
      <c r="DI191" s="65"/>
      <c r="DJ191" s="65"/>
      <c r="DK191" s="65"/>
      <c r="DL191" s="65"/>
      <c r="DM191" s="65"/>
      <c r="DN191" s="65"/>
      <c r="DO191" s="65"/>
      <c r="DP191" s="65"/>
      <c r="DQ191" s="65"/>
      <c r="DR191" s="65"/>
      <c r="DS191" s="65"/>
      <c r="DT191" s="65"/>
      <c r="DU191" s="65"/>
      <c r="DV191" s="65"/>
      <c r="DW191" s="65"/>
      <c r="DX191" s="65"/>
      <c r="DY191" s="65"/>
      <c r="DZ191" s="65"/>
      <c r="EA191" s="65"/>
      <c r="EB191" s="65"/>
      <c r="EC191" s="65"/>
      <c r="ED191" s="65"/>
      <c r="EE191" s="65"/>
      <c r="EF191" s="65"/>
      <c r="EG191" s="65"/>
      <c r="EH191" s="65"/>
      <c r="EI191" s="65"/>
      <c r="EJ191" s="65"/>
      <c r="EK191" s="65"/>
      <c r="EL191" s="65"/>
      <c r="EM191" s="65"/>
      <c r="EN191" s="65"/>
      <c r="EO191" s="65"/>
    </row>
    <row r="192" spans="1:145" s="62" customFormat="1" x14ac:dyDescent="0.2">
      <c r="B192" s="129"/>
      <c r="C192" s="143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22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  <c r="BY192" s="65"/>
      <c r="BZ192" s="65"/>
      <c r="CA192" s="65"/>
      <c r="CB192" s="65"/>
      <c r="CC192" s="65"/>
      <c r="CD192" s="65"/>
      <c r="CE192" s="65"/>
      <c r="CF192" s="65"/>
      <c r="CG192" s="65"/>
      <c r="CH192" s="65"/>
      <c r="CI192" s="65"/>
      <c r="CJ192" s="65"/>
      <c r="CK192" s="65"/>
      <c r="CL192" s="65"/>
      <c r="CM192" s="65"/>
      <c r="CN192" s="65"/>
      <c r="CO192" s="65"/>
      <c r="CP192" s="65"/>
      <c r="CQ192" s="65"/>
      <c r="CR192" s="65"/>
      <c r="CS192" s="65"/>
      <c r="CT192" s="65"/>
      <c r="CU192" s="65"/>
      <c r="CV192" s="65"/>
      <c r="CW192" s="65"/>
      <c r="CX192" s="65"/>
      <c r="CY192" s="65"/>
      <c r="CZ192" s="65"/>
      <c r="DA192" s="65"/>
      <c r="DB192" s="65"/>
      <c r="DC192" s="65"/>
      <c r="DD192" s="65"/>
      <c r="DE192" s="65"/>
      <c r="DF192" s="65"/>
      <c r="DG192" s="65"/>
      <c r="DH192" s="65"/>
      <c r="DI192" s="65"/>
      <c r="DJ192" s="65"/>
      <c r="DK192" s="65"/>
      <c r="DL192" s="65"/>
      <c r="DM192" s="65"/>
      <c r="DN192" s="65"/>
      <c r="DO192" s="65"/>
      <c r="DP192" s="65"/>
      <c r="DQ192" s="65"/>
      <c r="DR192" s="65"/>
      <c r="DS192" s="65"/>
      <c r="DT192" s="65"/>
      <c r="DU192" s="65"/>
      <c r="DV192" s="65"/>
      <c r="DW192" s="65"/>
      <c r="DX192" s="65"/>
      <c r="DY192" s="65"/>
      <c r="DZ192" s="65"/>
      <c r="EA192" s="65"/>
      <c r="EB192" s="65"/>
      <c r="EC192" s="65"/>
      <c r="ED192" s="65"/>
      <c r="EE192" s="65"/>
      <c r="EF192" s="65"/>
      <c r="EG192" s="65"/>
      <c r="EH192" s="65"/>
      <c r="EI192" s="65"/>
      <c r="EJ192" s="65"/>
      <c r="EK192" s="65"/>
      <c r="EL192" s="65"/>
      <c r="EM192" s="65"/>
      <c r="EN192" s="65"/>
      <c r="EO192" s="65"/>
    </row>
    <row r="193" spans="1:145" s="62" customFormat="1" x14ac:dyDescent="0.2">
      <c r="A193" s="74">
        <v>10</v>
      </c>
      <c r="B193" s="117" t="s">
        <v>33</v>
      </c>
      <c r="C193" s="125" t="s">
        <v>16</v>
      </c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156">
        <f>SUM(D193:O193)</f>
        <v>0</v>
      </c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/>
      <c r="CA193" s="65"/>
      <c r="CB193" s="65"/>
      <c r="CC193" s="65"/>
      <c r="CD193" s="65"/>
      <c r="CE193" s="65"/>
      <c r="CF193" s="65"/>
      <c r="CG193" s="65"/>
      <c r="CH193" s="65"/>
      <c r="CI193" s="65"/>
      <c r="CJ193" s="65"/>
      <c r="CK193" s="65"/>
      <c r="CL193" s="65"/>
      <c r="CM193" s="65"/>
      <c r="CN193" s="65"/>
      <c r="CO193" s="65"/>
      <c r="CP193" s="65"/>
      <c r="CQ193" s="65"/>
      <c r="CR193" s="65"/>
      <c r="CS193" s="65"/>
      <c r="CT193" s="65"/>
      <c r="CU193" s="65"/>
      <c r="CV193" s="65"/>
      <c r="CW193" s="65"/>
      <c r="CX193" s="65"/>
      <c r="CY193" s="65"/>
      <c r="CZ193" s="65"/>
      <c r="DA193" s="65"/>
      <c r="DB193" s="65"/>
      <c r="DC193" s="65"/>
      <c r="DD193" s="65"/>
      <c r="DE193" s="65"/>
      <c r="DF193" s="65"/>
      <c r="DG193" s="65"/>
      <c r="DH193" s="65"/>
      <c r="DI193" s="65"/>
      <c r="DJ193" s="65"/>
      <c r="DK193" s="65"/>
      <c r="DL193" s="65"/>
      <c r="DM193" s="65"/>
      <c r="DN193" s="65"/>
      <c r="DO193" s="65"/>
      <c r="DP193" s="65"/>
      <c r="DQ193" s="65"/>
      <c r="DR193" s="65"/>
      <c r="DS193" s="65"/>
      <c r="DT193" s="65"/>
      <c r="DU193" s="65"/>
      <c r="DV193" s="65"/>
      <c r="DW193" s="65"/>
      <c r="DX193" s="65"/>
      <c r="DY193" s="65"/>
      <c r="DZ193" s="65"/>
      <c r="EA193" s="65"/>
      <c r="EB193" s="65"/>
      <c r="EC193" s="65"/>
      <c r="ED193" s="65"/>
      <c r="EE193" s="65"/>
      <c r="EF193" s="65"/>
      <c r="EG193" s="65"/>
      <c r="EH193" s="65"/>
      <c r="EI193" s="65"/>
      <c r="EJ193" s="65"/>
      <c r="EK193" s="65"/>
      <c r="EL193" s="65"/>
      <c r="EM193" s="65"/>
      <c r="EN193" s="65"/>
      <c r="EO193" s="65"/>
    </row>
    <row r="194" spans="1:145" s="62" customFormat="1" x14ac:dyDescent="0.2">
      <c r="A194" s="74"/>
      <c r="B194" s="129"/>
      <c r="C194" s="143"/>
      <c r="D194" s="254"/>
      <c r="E194" s="254"/>
      <c r="F194" s="254"/>
      <c r="G194" s="254"/>
      <c r="H194" s="254"/>
      <c r="I194" s="254"/>
      <c r="J194" s="254"/>
      <c r="K194" s="254"/>
      <c r="L194" s="254"/>
      <c r="M194" s="254"/>
      <c r="N194" s="254"/>
      <c r="O194" s="250"/>
      <c r="P194" s="122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</row>
    <row r="195" spans="1:145" s="62" customFormat="1" x14ac:dyDescent="0.2">
      <c r="A195" s="74">
        <v>11</v>
      </c>
      <c r="B195" s="183" t="s">
        <v>34</v>
      </c>
      <c r="C195" s="236"/>
      <c r="D195" s="184">
        <f>D193+D191+D189+D185+D181+D179</f>
        <v>-200</v>
      </c>
      <c r="E195" s="184">
        <f t="shared" ref="E195:O195" si="44">E193+E191+E189+E185+E181+E179</f>
        <v>-170</v>
      </c>
      <c r="F195" s="184">
        <f t="shared" si="44"/>
        <v>-230</v>
      </c>
      <c r="G195" s="184">
        <f t="shared" si="44"/>
        <v>-244.48000000000002</v>
      </c>
      <c r="H195" s="184">
        <f t="shared" si="44"/>
        <v>-260</v>
      </c>
      <c r="I195" s="184">
        <f t="shared" si="44"/>
        <v>-230</v>
      </c>
      <c r="J195" s="184">
        <f t="shared" si="44"/>
        <v>-230</v>
      </c>
      <c r="K195" s="184">
        <f t="shared" si="44"/>
        <v>-230</v>
      </c>
      <c r="L195" s="184">
        <f t="shared" si="44"/>
        <v>-200</v>
      </c>
      <c r="M195" s="184">
        <f t="shared" si="44"/>
        <v>-260</v>
      </c>
      <c r="N195" s="184">
        <f t="shared" si="44"/>
        <v>-260</v>
      </c>
      <c r="O195" s="184">
        <f t="shared" si="44"/>
        <v>-260</v>
      </c>
      <c r="P195" s="184">
        <f>P193+P191+P189+P185+P181+P179</f>
        <v>-2774.48</v>
      </c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  <c r="BQ195" s="65"/>
      <c r="BR195" s="65"/>
      <c r="BS195" s="65"/>
      <c r="BT195" s="65"/>
      <c r="BU195" s="65"/>
      <c r="BV195" s="65"/>
      <c r="BW195" s="65"/>
      <c r="BX195" s="65"/>
      <c r="BY195" s="65"/>
      <c r="BZ195" s="65"/>
      <c r="CA195" s="65"/>
      <c r="CB195" s="65"/>
      <c r="CC195" s="65"/>
      <c r="CD195" s="65"/>
      <c r="CE195" s="65"/>
      <c r="CF195" s="65"/>
      <c r="CG195" s="65"/>
      <c r="CH195" s="65"/>
      <c r="CI195" s="65"/>
      <c r="CJ195" s="65"/>
      <c r="CK195" s="65"/>
      <c r="CL195" s="65"/>
      <c r="CM195" s="65"/>
      <c r="CN195" s="65"/>
      <c r="CO195" s="65"/>
      <c r="CP195" s="65"/>
      <c r="CQ195" s="65"/>
      <c r="CR195" s="65"/>
      <c r="CS195" s="65"/>
      <c r="CT195" s="65"/>
      <c r="CU195" s="65"/>
      <c r="CV195" s="65"/>
      <c r="CW195" s="65"/>
      <c r="CX195" s="65"/>
      <c r="CY195" s="65"/>
      <c r="CZ195" s="65"/>
      <c r="DA195" s="65"/>
      <c r="DB195" s="65"/>
      <c r="DC195" s="65"/>
      <c r="DD195" s="65"/>
      <c r="DE195" s="65"/>
      <c r="DF195" s="65"/>
      <c r="DG195" s="65"/>
      <c r="DH195" s="65"/>
      <c r="DI195" s="65"/>
      <c r="DJ195" s="65"/>
      <c r="DK195" s="65"/>
      <c r="DL195" s="65"/>
      <c r="DM195" s="65"/>
      <c r="DN195" s="65"/>
      <c r="DO195" s="65"/>
      <c r="DP195" s="65"/>
      <c r="DQ195" s="65"/>
      <c r="DR195" s="65"/>
      <c r="DS195" s="65"/>
      <c r="DT195" s="65"/>
      <c r="DU195" s="65"/>
      <c r="DV195" s="65"/>
      <c r="DW195" s="65"/>
      <c r="DX195" s="65"/>
      <c r="DY195" s="65"/>
      <c r="DZ195" s="65"/>
      <c r="EA195" s="65"/>
      <c r="EB195" s="65"/>
      <c r="EC195" s="65"/>
      <c r="ED195" s="65"/>
      <c r="EE195" s="65"/>
      <c r="EF195" s="65"/>
      <c r="EG195" s="65"/>
      <c r="EH195" s="65"/>
      <c r="EI195" s="65"/>
      <c r="EJ195" s="65"/>
      <c r="EK195" s="65"/>
      <c r="EL195" s="65"/>
      <c r="EM195" s="65"/>
      <c r="EN195" s="65"/>
      <c r="EO195" s="65"/>
    </row>
    <row r="196" spans="1:145" s="62" customFormat="1" x14ac:dyDescent="0.2">
      <c r="B196" s="236"/>
      <c r="C196" s="236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56"/>
      <c r="P196" s="156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  <c r="BQ196" s="65"/>
      <c r="BR196" s="65"/>
      <c r="BS196" s="65"/>
      <c r="BT196" s="65"/>
      <c r="BU196" s="65"/>
      <c r="BV196" s="65"/>
      <c r="BW196" s="65"/>
      <c r="BX196" s="65"/>
      <c r="BY196" s="65"/>
      <c r="BZ196" s="65"/>
      <c r="CA196" s="65"/>
      <c r="CB196" s="65"/>
      <c r="CC196" s="65"/>
      <c r="CD196" s="65"/>
      <c r="CE196" s="65"/>
      <c r="CF196" s="65"/>
      <c r="CG196" s="65"/>
      <c r="CH196" s="65"/>
      <c r="CI196" s="65"/>
      <c r="CJ196" s="65"/>
      <c r="CK196" s="65"/>
      <c r="CL196" s="65"/>
      <c r="CM196" s="65"/>
      <c r="CN196" s="65"/>
      <c r="CO196" s="65"/>
      <c r="CP196" s="65"/>
      <c r="CQ196" s="65"/>
      <c r="CR196" s="65"/>
      <c r="CS196" s="65"/>
      <c r="CT196" s="65"/>
      <c r="CU196" s="65"/>
      <c r="CV196" s="65"/>
      <c r="CW196" s="65"/>
      <c r="CX196" s="65"/>
      <c r="CY196" s="65"/>
      <c r="CZ196" s="65"/>
      <c r="DA196" s="65"/>
      <c r="DB196" s="65"/>
      <c r="DC196" s="65"/>
      <c r="DD196" s="65"/>
      <c r="DE196" s="65"/>
      <c r="DF196" s="65"/>
      <c r="DG196" s="65"/>
      <c r="DH196" s="65"/>
      <c r="DI196" s="65"/>
      <c r="DJ196" s="65"/>
      <c r="DK196" s="65"/>
      <c r="DL196" s="65"/>
      <c r="DM196" s="65"/>
      <c r="DN196" s="65"/>
      <c r="DO196" s="65"/>
      <c r="DP196" s="65"/>
      <c r="DQ196" s="65"/>
      <c r="DR196" s="65"/>
      <c r="DS196" s="65"/>
      <c r="DT196" s="65"/>
      <c r="DU196" s="65"/>
      <c r="DV196" s="65"/>
      <c r="DW196" s="65"/>
      <c r="DX196" s="65"/>
      <c r="DY196" s="65"/>
      <c r="DZ196" s="65"/>
      <c r="EA196" s="65"/>
      <c r="EB196" s="65"/>
      <c r="EC196" s="65"/>
      <c r="ED196" s="65"/>
      <c r="EE196" s="65"/>
      <c r="EF196" s="65"/>
      <c r="EG196" s="65"/>
      <c r="EH196" s="65"/>
      <c r="EI196" s="65"/>
      <c r="EJ196" s="65"/>
      <c r="EK196" s="65"/>
      <c r="EL196" s="65"/>
      <c r="EM196" s="65"/>
      <c r="EN196" s="65"/>
      <c r="EO196" s="65"/>
    </row>
    <row r="197" spans="1:145" s="62" customFormat="1" x14ac:dyDescent="0.2">
      <c r="A197" s="74">
        <v>12</v>
      </c>
      <c r="B197" s="148" t="s">
        <v>91</v>
      </c>
      <c r="C197" s="125" t="s">
        <v>17</v>
      </c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56">
        <f>SUM(D197:O197)</f>
        <v>0</v>
      </c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5"/>
      <c r="BN197" s="65"/>
      <c r="BO197" s="65"/>
      <c r="BP197" s="65"/>
      <c r="BQ197" s="65"/>
      <c r="BR197" s="65"/>
      <c r="BS197" s="65"/>
      <c r="BT197" s="65"/>
      <c r="BU197" s="65"/>
      <c r="BV197" s="65"/>
      <c r="BW197" s="65"/>
      <c r="BX197" s="65"/>
      <c r="BY197" s="65"/>
      <c r="BZ197" s="65"/>
      <c r="CA197" s="65"/>
      <c r="CB197" s="65"/>
      <c r="CC197" s="65"/>
      <c r="CD197" s="65"/>
      <c r="CE197" s="65"/>
      <c r="CF197" s="65"/>
      <c r="CG197" s="65"/>
      <c r="CH197" s="65"/>
      <c r="CI197" s="65"/>
      <c r="CJ197" s="65"/>
      <c r="CK197" s="65"/>
      <c r="CL197" s="65"/>
      <c r="CM197" s="65"/>
      <c r="CN197" s="65"/>
      <c r="CO197" s="65"/>
      <c r="CP197" s="65"/>
      <c r="CQ197" s="65"/>
      <c r="CR197" s="65"/>
      <c r="CS197" s="65"/>
      <c r="CT197" s="65"/>
      <c r="CU197" s="65"/>
      <c r="CV197" s="65"/>
      <c r="CW197" s="65"/>
      <c r="CX197" s="65"/>
      <c r="CY197" s="65"/>
      <c r="CZ197" s="65"/>
      <c r="DA197" s="65"/>
      <c r="DB197" s="65"/>
      <c r="DC197" s="65"/>
      <c r="DD197" s="65"/>
      <c r="DE197" s="65"/>
      <c r="DF197" s="65"/>
      <c r="DG197" s="65"/>
      <c r="DH197" s="65"/>
      <c r="DI197" s="65"/>
      <c r="DJ197" s="65"/>
      <c r="DK197" s="65"/>
      <c r="DL197" s="65"/>
      <c r="DM197" s="65"/>
      <c r="DN197" s="65"/>
      <c r="DO197" s="65"/>
      <c r="DP197" s="65"/>
      <c r="DQ197" s="65"/>
      <c r="DR197" s="65"/>
      <c r="DS197" s="65"/>
      <c r="DT197" s="65"/>
      <c r="DU197" s="65"/>
      <c r="DV197" s="65"/>
      <c r="DW197" s="65"/>
      <c r="DX197" s="65"/>
      <c r="DY197" s="65"/>
      <c r="DZ197" s="65"/>
      <c r="EA197" s="65"/>
      <c r="EB197" s="65"/>
      <c r="EC197" s="65"/>
      <c r="ED197" s="65"/>
      <c r="EE197" s="65"/>
      <c r="EF197" s="65"/>
      <c r="EG197" s="65"/>
      <c r="EH197" s="65"/>
      <c r="EI197" s="65"/>
      <c r="EJ197" s="65"/>
      <c r="EK197" s="65"/>
      <c r="EL197" s="65"/>
      <c r="EM197" s="65"/>
      <c r="EN197" s="65"/>
      <c r="EO197" s="65"/>
    </row>
    <row r="198" spans="1:145" s="62" customFormat="1" x14ac:dyDescent="0.2">
      <c r="A198" s="74">
        <v>13</v>
      </c>
      <c r="B198" s="148" t="s">
        <v>92</v>
      </c>
      <c r="C198" s="125" t="s">
        <v>18</v>
      </c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73">
        <f>SUM(D198:O198)</f>
        <v>0</v>
      </c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5"/>
      <c r="BN198" s="65"/>
      <c r="BO198" s="65"/>
      <c r="BP198" s="65"/>
      <c r="BQ198" s="65"/>
      <c r="BR198" s="65"/>
      <c r="BS198" s="65"/>
      <c r="BT198" s="65"/>
      <c r="BU198" s="65"/>
      <c r="BV198" s="65"/>
      <c r="BW198" s="65"/>
      <c r="BX198" s="65"/>
      <c r="BY198" s="65"/>
      <c r="BZ198" s="65"/>
      <c r="CA198" s="65"/>
      <c r="CB198" s="65"/>
      <c r="CC198" s="65"/>
      <c r="CD198" s="65"/>
      <c r="CE198" s="65"/>
      <c r="CF198" s="65"/>
      <c r="CG198" s="65"/>
      <c r="CH198" s="65"/>
      <c r="CI198" s="65"/>
      <c r="CJ198" s="65"/>
      <c r="CK198" s="65"/>
      <c r="CL198" s="65"/>
      <c r="CM198" s="65"/>
      <c r="CN198" s="65"/>
      <c r="CO198" s="65"/>
      <c r="CP198" s="65"/>
      <c r="CQ198" s="65"/>
      <c r="CR198" s="65"/>
      <c r="CS198" s="65"/>
      <c r="CT198" s="65"/>
      <c r="CU198" s="65"/>
      <c r="CV198" s="65"/>
      <c r="CW198" s="65"/>
      <c r="CX198" s="65"/>
      <c r="CY198" s="65"/>
      <c r="CZ198" s="65"/>
      <c r="DA198" s="65"/>
      <c r="DB198" s="65"/>
      <c r="DC198" s="65"/>
      <c r="DD198" s="65"/>
      <c r="DE198" s="65"/>
      <c r="DF198" s="65"/>
      <c r="DG198" s="65"/>
      <c r="DH198" s="65"/>
      <c r="DI198" s="65"/>
      <c r="DJ198" s="65"/>
      <c r="DK198" s="65"/>
      <c r="DL198" s="65"/>
      <c r="DM198" s="65"/>
      <c r="DN198" s="65"/>
      <c r="DO198" s="65"/>
      <c r="DP198" s="65"/>
      <c r="DQ198" s="65"/>
      <c r="DR198" s="65"/>
      <c r="DS198" s="65"/>
      <c r="DT198" s="65"/>
      <c r="DU198" s="65"/>
      <c r="DV198" s="65"/>
      <c r="DW198" s="65"/>
      <c r="DX198" s="65"/>
      <c r="DY198" s="65"/>
      <c r="DZ198" s="65"/>
      <c r="EA198" s="65"/>
      <c r="EB198" s="65"/>
      <c r="EC198" s="65"/>
      <c r="ED198" s="65"/>
      <c r="EE198" s="65"/>
      <c r="EF198" s="65"/>
      <c r="EG198" s="65"/>
      <c r="EH198" s="65"/>
      <c r="EI198" s="65"/>
      <c r="EJ198" s="65"/>
      <c r="EK198" s="65"/>
      <c r="EL198" s="65"/>
      <c r="EM198" s="65"/>
      <c r="EN198" s="65"/>
      <c r="EO198" s="65"/>
    </row>
    <row r="199" spans="1:145" s="62" customFormat="1" x14ac:dyDescent="0.2">
      <c r="A199" s="74">
        <v>14</v>
      </c>
      <c r="B199" s="183" t="s">
        <v>35</v>
      </c>
      <c r="C199" s="238"/>
      <c r="D199" s="169">
        <f t="shared" ref="D199:P199" si="45">SUM(D197:D198)</f>
        <v>0</v>
      </c>
      <c r="E199" s="169">
        <f t="shared" si="45"/>
        <v>0</v>
      </c>
      <c r="F199" s="169">
        <f t="shared" si="45"/>
        <v>0</v>
      </c>
      <c r="G199" s="169">
        <f t="shared" si="45"/>
        <v>0</v>
      </c>
      <c r="H199" s="169">
        <f t="shared" si="45"/>
        <v>0</v>
      </c>
      <c r="I199" s="169">
        <f t="shared" si="45"/>
        <v>0</v>
      </c>
      <c r="J199" s="169">
        <f t="shared" si="45"/>
        <v>0</v>
      </c>
      <c r="K199" s="169">
        <f t="shared" si="45"/>
        <v>0</v>
      </c>
      <c r="L199" s="169">
        <f t="shared" si="45"/>
        <v>0</v>
      </c>
      <c r="M199" s="169">
        <f t="shared" si="45"/>
        <v>0</v>
      </c>
      <c r="N199" s="169">
        <f t="shared" si="45"/>
        <v>0</v>
      </c>
      <c r="O199" s="156">
        <f t="shared" si="45"/>
        <v>0</v>
      </c>
      <c r="P199" s="156">
        <f t="shared" si="45"/>
        <v>0</v>
      </c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65"/>
      <c r="BP199" s="65"/>
      <c r="BQ199" s="65"/>
      <c r="BR199" s="65"/>
      <c r="BS199" s="65"/>
      <c r="BT199" s="65"/>
      <c r="BU199" s="65"/>
      <c r="BV199" s="65"/>
      <c r="BW199" s="65"/>
      <c r="BX199" s="65"/>
      <c r="BY199" s="65"/>
      <c r="BZ199" s="65"/>
      <c r="CA199" s="65"/>
      <c r="CB199" s="65"/>
      <c r="CC199" s="65"/>
      <c r="CD199" s="65"/>
      <c r="CE199" s="65"/>
      <c r="CF199" s="65"/>
      <c r="CG199" s="65"/>
      <c r="CH199" s="65"/>
      <c r="CI199" s="65"/>
      <c r="CJ199" s="65"/>
      <c r="CK199" s="65"/>
      <c r="CL199" s="65"/>
      <c r="CM199" s="65"/>
      <c r="CN199" s="65"/>
      <c r="CO199" s="65"/>
      <c r="CP199" s="65"/>
      <c r="CQ199" s="65"/>
      <c r="CR199" s="65"/>
      <c r="CS199" s="65"/>
      <c r="CT199" s="65"/>
      <c r="CU199" s="65"/>
      <c r="CV199" s="65"/>
      <c r="CW199" s="65"/>
      <c r="CX199" s="65"/>
      <c r="CY199" s="65"/>
      <c r="CZ199" s="65"/>
      <c r="DA199" s="65"/>
      <c r="DB199" s="65"/>
      <c r="DC199" s="65"/>
      <c r="DD199" s="65"/>
      <c r="DE199" s="65"/>
      <c r="DF199" s="65"/>
      <c r="DG199" s="65"/>
      <c r="DH199" s="65"/>
      <c r="DI199" s="65"/>
      <c r="DJ199" s="65"/>
      <c r="DK199" s="65"/>
      <c r="DL199" s="65"/>
      <c r="DM199" s="65"/>
      <c r="DN199" s="65"/>
      <c r="DO199" s="65"/>
      <c r="DP199" s="65"/>
      <c r="DQ199" s="65"/>
      <c r="DR199" s="65"/>
      <c r="DS199" s="65"/>
      <c r="DT199" s="65"/>
      <c r="DU199" s="65"/>
      <c r="DV199" s="65"/>
      <c r="DW199" s="65"/>
      <c r="DX199" s="65"/>
      <c r="DY199" s="65"/>
      <c r="DZ199" s="65"/>
      <c r="EA199" s="65"/>
      <c r="EB199" s="65"/>
      <c r="EC199" s="65"/>
      <c r="ED199" s="65"/>
      <c r="EE199" s="65"/>
      <c r="EF199" s="65"/>
      <c r="EG199" s="65"/>
      <c r="EH199" s="65"/>
      <c r="EI199" s="65"/>
      <c r="EJ199" s="65"/>
      <c r="EK199" s="65"/>
      <c r="EL199" s="65"/>
      <c r="EM199" s="65"/>
      <c r="EN199" s="65"/>
      <c r="EO199" s="65"/>
    </row>
    <row r="200" spans="1:145" s="62" customFormat="1" x14ac:dyDescent="0.2">
      <c r="A200" s="74"/>
      <c r="B200" s="129"/>
      <c r="C200" s="185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22"/>
      <c r="P200" s="122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5"/>
      <c r="BN200" s="65"/>
      <c r="BO200" s="65"/>
      <c r="BP200" s="65"/>
      <c r="BQ200" s="65"/>
      <c r="BR200" s="65"/>
      <c r="BS200" s="65"/>
      <c r="BT200" s="65"/>
      <c r="BU200" s="65"/>
      <c r="BV200" s="65"/>
      <c r="BW200" s="65"/>
      <c r="BX200" s="65"/>
      <c r="BY200" s="65"/>
      <c r="BZ200" s="65"/>
      <c r="CA200" s="65"/>
      <c r="CB200" s="65"/>
      <c r="CC200" s="65"/>
      <c r="CD200" s="65"/>
      <c r="CE200" s="65"/>
      <c r="CF200" s="65"/>
      <c r="CG200" s="65"/>
      <c r="CH200" s="65"/>
      <c r="CI200" s="65"/>
      <c r="CJ200" s="65"/>
      <c r="CK200" s="65"/>
      <c r="CL200" s="65"/>
      <c r="CM200" s="65"/>
      <c r="CN200" s="65"/>
      <c r="CO200" s="65"/>
      <c r="CP200" s="65"/>
      <c r="CQ200" s="65"/>
      <c r="CR200" s="65"/>
      <c r="CS200" s="65"/>
      <c r="CT200" s="65"/>
      <c r="CU200" s="65"/>
      <c r="CV200" s="65"/>
      <c r="CW200" s="65"/>
      <c r="CX200" s="65"/>
      <c r="CY200" s="65"/>
      <c r="CZ200" s="65"/>
      <c r="DA200" s="65"/>
      <c r="DB200" s="65"/>
      <c r="DC200" s="65"/>
      <c r="DD200" s="65"/>
      <c r="DE200" s="65"/>
      <c r="DF200" s="65"/>
      <c r="DG200" s="65"/>
      <c r="DH200" s="65"/>
      <c r="DI200" s="65"/>
      <c r="DJ200" s="65"/>
      <c r="DK200" s="65"/>
      <c r="DL200" s="65"/>
      <c r="DM200" s="65"/>
      <c r="DN200" s="65"/>
      <c r="DO200" s="65"/>
      <c r="DP200" s="65"/>
      <c r="DQ200" s="65"/>
      <c r="DR200" s="65"/>
      <c r="DS200" s="65"/>
      <c r="DT200" s="65"/>
      <c r="DU200" s="65"/>
      <c r="DV200" s="65"/>
      <c r="DW200" s="65"/>
      <c r="DX200" s="65"/>
      <c r="DY200" s="65"/>
      <c r="DZ200" s="65"/>
      <c r="EA200" s="65"/>
      <c r="EB200" s="65"/>
      <c r="EC200" s="65"/>
      <c r="ED200" s="65"/>
      <c r="EE200" s="65"/>
      <c r="EF200" s="65"/>
      <c r="EG200" s="65"/>
      <c r="EH200" s="65"/>
      <c r="EI200" s="65"/>
      <c r="EJ200" s="65"/>
      <c r="EK200" s="65"/>
      <c r="EL200" s="65"/>
      <c r="EM200" s="65"/>
      <c r="EN200" s="65"/>
      <c r="EO200" s="65"/>
    </row>
    <row r="201" spans="1:145" s="62" customFormat="1" ht="12" thickBot="1" x14ac:dyDescent="0.25">
      <c r="A201" s="74">
        <v>15</v>
      </c>
      <c r="B201" s="243" t="str">
        <f>B37</f>
        <v>TOTAL AEP TEXAS</v>
      </c>
      <c r="C201" s="238"/>
      <c r="D201" s="186">
        <f t="shared" ref="D201:P201" si="46">+D199+D195</f>
        <v>-200</v>
      </c>
      <c r="E201" s="186">
        <f t="shared" si="46"/>
        <v>-170</v>
      </c>
      <c r="F201" s="186">
        <f t="shared" si="46"/>
        <v>-230</v>
      </c>
      <c r="G201" s="186">
        <f t="shared" si="46"/>
        <v>-244.48000000000002</v>
      </c>
      <c r="H201" s="186">
        <f t="shared" si="46"/>
        <v>-260</v>
      </c>
      <c r="I201" s="186">
        <f t="shared" si="46"/>
        <v>-230</v>
      </c>
      <c r="J201" s="186">
        <f t="shared" si="46"/>
        <v>-230</v>
      </c>
      <c r="K201" s="186">
        <f t="shared" si="46"/>
        <v>-230</v>
      </c>
      <c r="L201" s="186">
        <f t="shared" si="46"/>
        <v>-200</v>
      </c>
      <c r="M201" s="186">
        <f t="shared" si="46"/>
        <v>-260</v>
      </c>
      <c r="N201" s="186">
        <f t="shared" si="46"/>
        <v>-260</v>
      </c>
      <c r="O201" s="186">
        <f t="shared" si="46"/>
        <v>-260</v>
      </c>
      <c r="P201" s="186">
        <f t="shared" si="46"/>
        <v>-2774.48</v>
      </c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65"/>
      <c r="BP201" s="65"/>
      <c r="BQ201" s="65"/>
      <c r="BR201" s="65"/>
      <c r="BS201" s="65"/>
      <c r="BT201" s="65"/>
      <c r="BU201" s="65"/>
      <c r="BV201" s="65"/>
      <c r="BW201" s="65"/>
      <c r="BX201" s="65"/>
      <c r="BY201" s="65"/>
      <c r="BZ201" s="65"/>
      <c r="CA201" s="65"/>
      <c r="CB201" s="65"/>
      <c r="CC201" s="65"/>
      <c r="CD201" s="65"/>
      <c r="CE201" s="65"/>
      <c r="CF201" s="65"/>
      <c r="CG201" s="65"/>
      <c r="CH201" s="65"/>
      <c r="CI201" s="65"/>
      <c r="CJ201" s="65"/>
      <c r="CK201" s="65"/>
      <c r="CL201" s="65"/>
      <c r="CM201" s="65"/>
      <c r="CN201" s="65"/>
      <c r="CO201" s="65"/>
      <c r="CP201" s="65"/>
      <c r="CQ201" s="65"/>
      <c r="CR201" s="65"/>
      <c r="CS201" s="65"/>
      <c r="CT201" s="65"/>
      <c r="CU201" s="65"/>
      <c r="CV201" s="65"/>
      <c r="CW201" s="65"/>
      <c r="CX201" s="65"/>
      <c r="CY201" s="65"/>
      <c r="CZ201" s="65"/>
      <c r="DA201" s="65"/>
      <c r="DB201" s="65"/>
      <c r="DC201" s="65"/>
      <c r="DD201" s="65"/>
      <c r="DE201" s="65"/>
      <c r="DF201" s="65"/>
      <c r="DG201" s="65"/>
      <c r="DH201" s="65"/>
      <c r="DI201" s="65"/>
      <c r="DJ201" s="65"/>
      <c r="DK201" s="65"/>
      <c r="DL201" s="65"/>
      <c r="DM201" s="65"/>
      <c r="DN201" s="65"/>
      <c r="DO201" s="65"/>
      <c r="DP201" s="65"/>
      <c r="DQ201" s="65"/>
      <c r="DR201" s="65"/>
      <c r="DS201" s="65"/>
      <c r="DT201" s="65"/>
      <c r="DU201" s="65"/>
      <c r="DV201" s="65"/>
      <c r="DW201" s="65"/>
      <c r="DX201" s="65"/>
      <c r="DY201" s="65"/>
      <c r="DZ201" s="65"/>
      <c r="EA201" s="65"/>
      <c r="EB201" s="65"/>
      <c r="EC201" s="65"/>
      <c r="ED201" s="65"/>
      <c r="EE201" s="65"/>
      <c r="EF201" s="65"/>
      <c r="EG201" s="65"/>
      <c r="EH201" s="65"/>
      <c r="EI201" s="65"/>
      <c r="EJ201" s="65"/>
      <c r="EK201" s="65"/>
      <c r="EL201" s="65"/>
      <c r="EM201" s="65"/>
      <c r="EN201" s="65"/>
      <c r="EO201" s="65"/>
    </row>
    <row r="202" spans="1:145" s="62" customFormat="1" ht="12" thickTop="1" x14ac:dyDescent="0.2">
      <c r="A202" s="74"/>
      <c r="B202" s="152"/>
      <c r="C202" s="238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  <c r="BM202" s="65"/>
      <c r="BN202" s="65"/>
      <c r="BO202" s="65"/>
      <c r="BP202" s="65"/>
      <c r="BQ202" s="65"/>
      <c r="BR202" s="65"/>
      <c r="BS202" s="65"/>
      <c r="BT202" s="65"/>
      <c r="BU202" s="65"/>
      <c r="BV202" s="65"/>
      <c r="BW202" s="65"/>
      <c r="BX202" s="65"/>
      <c r="BY202" s="65"/>
      <c r="BZ202" s="65"/>
      <c r="CA202" s="65"/>
      <c r="CB202" s="65"/>
      <c r="CC202" s="65"/>
      <c r="CD202" s="65"/>
      <c r="CE202" s="65"/>
      <c r="CF202" s="65"/>
      <c r="CG202" s="65"/>
      <c r="CH202" s="65"/>
      <c r="CI202" s="65"/>
      <c r="CJ202" s="65"/>
      <c r="CK202" s="65"/>
      <c r="CL202" s="65"/>
      <c r="CM202" s="65"/>
      <c r="CN202" s="65"/>
      <c r="CO202" s="65"/>
      <c r="CP202" s="65"/>
      <c r="CQ202" s="65"/>
      <c r="CR202" s="65"/>
      <c r="CS202" s="65"/>
      <c r="CT202" s="65"/>
      <c r="CU202" s="65"/>
      <c r="CV202" s="65"/>
      <c r="CW202" s="65"/>
      <c r="CX202" s="65"/>
      <c r="CY202" s="65"/>
      <c r="CZ202" s="65"/>
      <c r="DA202" s="65"/>
      <c r="DB202" s="65"/>
      <c r="DC202" s="65"/>
      <c r="DD202" s="65"/>
      <c r="DE202" s="65"/>
      <c r="DF202" s="65"/>
      <c r="DG202" s="65"/>
      <c r="DH202" s="65"/>
      <c r="DI202" s="65"/>
      <c r="DJ202" s="65"/>
      <c r="DK202" s="65"/>
      <c r="DL202" s="65"/>
      <c r="DM202" s="65"/>
      <c r="DN202" s="65"/>
      <c r="DO202" s="65"/>
      <c r="DP202" s="65"/>
      <c r="DQ202" s="65"/>
      <c r="DR202" s="65"/>
      <c r="DS202" s="65"/>
      <c r="DT202" s="65"/>
      <c r="DU202" s="65"/>
      <c r="DV202" s="65"/>
      <c r="DW202" s="65"/>
      <c r="DX202" s="65"/>
      <c r="DY202" s="65"/>
      <c r="DZ202" s="65"/>
      <c r="EA202" s="65"/>
      <c r="EB202" s="65"/>
      <c r="EC202" s="65"/>
      <c r="ED202" s="65"/>
      <c r="EE202" s="65"/>
      <c r="EF202" s="65"/>
      <c r="EG202" s="65"/>
      <c r="EH202" s="65"/>
      <c r="EI202" s="65"/>
      <c r="EJ202" s="65"/>
      <c r="EK202" s="65"/>
      <c r="EL202" s="65"/>
      <c r="EM202" s="65"/>
      <c r="EN202" s="65"/>
      <c r="EO202" s="65"/>
    </row>
    <row r="203" spans="1:145" s="62" customFormat="1" x14ac:dyDescent="0.2">
      <c r="A203" s="74"/>
      <c r="B203" s="152"/>
      <c r="C203" s="238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  <c r="BM203" s="65"/>
      <c r="BN203" s="65"/>
      <c r="BO203" s="65"/>
      <c r="BP203" s="65"/>
      <c r="BQ203" s="65"/>
      <c r="BR203" s="65"/>
      <c r="BS203" s="65"/>
      <c r="BT203" s="65"/>
      <c r="BU203" s="65"/>
      <c r="BV203" s="65"/>
      <c r="BW203" s="65"/>
      <c r="BX203" s="65"/>
      <c r="BY203" s="65"/>
      <c r="BZ203" s="65"/>
      <c r="CA203" s="65"/>
      <c r="CB203" s="65"/>
      <c r="CC203" s="65"/>
      <c r="CD203" s="65"/>
      <c r="CE203" s="65"/>
      <c r="CF203" s="65"/>
      <c r="CG203" s="65"/>
      <c r="CH203" s="65"/>
      <c r="CI203" s="65"/>
      <c r="CJ203" s="65"/>
      <c r="CK203" s="65"/>
      <c r="CL203" s="65"/>
      <c r="CM203" s="65"/>
      <c r="CN203" s="65"/>
      <c r="CO203" s="65"/>
      <c r="CP203" s="65"/>
      <c r="CQ203" s="65"/>
      <c r="CR203" s="65"/>
      <c r="CS203" s="65"/>
      <c r="CT203" s="65"/>
      <c r="CU203" s="65"/>
      <c r="CV203" s="65"/>
      <c r="CW203" s="65"/>
      <c r="CX203" s="65"/>
      <c r="CY203" s="65"/>
      <c r="CZ203" s="65"/>
      <c r="DA203" s="65"/>
      <c r="DB203" s="65"/>
      <c r="DC203" s="65"/>
      <c r="DD203" s="65"/>
      <c r="DE203" s="65"/>
      <c r="DF203" s="65"/>
      <c r="DG203" s="65"/>
      <c r="DH203" s="65"/>
      <c r="DI203" s="65"/>
      <c r="DJ203" s="65"/>
      <c r="DK203" s="65"/>
      <c r="DL203" s="65"/>
      <c r="DM203" s="65"/>
      <c r="DN203" s="65"/>
      <c r="DO203" s="65"/>
      <c r="DP203" s="65"/>
      <c r="DQ203" s="65"/>
      <c r="DR203" s="65"/>
      <c r="DS203" s="65"/>
      <c r="DT203" s="65"/>
      <c r="DU203" s="65"/>
      <c r="DV203" s="65"/>
      <c r="DW203" s="65"/>
      <c r="DX203" s="65"/>
      <c r="DY203" s="65"/>
      <c r="DZ203" s="65"/>
      <c r="EA203" s="65"/>
      <c r="EB203" s="65"/>
      <c r="EC203" s="65"/>
      <c r="ED203" s="65"/>
      <c r="EE203" s="65"/>
      <c r="EF203" s="65"/>
      <c r="EG203" s="65"/>
      <c r="EH203" s="65"/>
      <c r="EI203" s="65"/>
      <c r="EJ203" s="65"/>
      <c r="EK203" s="65"/>
      <c r="EL203" s="65"/>
      <c r="EM203" s="65"/>
      <c r="EN203" s="65"/>
      <c r="EO203" s="65"/>
    </row>
    <row r="204" spans="1:145" s="62" customFormat="1" ht="12" customHeight="1" x14ac:dyDescent="0.2">
      <c r="A204" s="74"/>
      <c r="B204" s="152"/>
      <c r="C204" s="238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  <c r="CA204" s="65"/>
      <c r="CB204" s="65"/>
      <c r="CC204" s="65"/>
      <c r="CD204" s="65"/>
      <c r="CE204" s="65"/>
      <c r="CF204" s="65"/>
      <c r="CG204" s="65"/>
      <c r="CH204" s="65"/>
      <c r="CI204" s="65"/>
      <c r="CJ204" s="65"/>
      <c r="CK204" s="65"/>
      <c r="CL204" s="65"/>
      <c r="CM204" s="65"/>
      <c r="CN204" s="65"/>
      <c r="CO204" s="65"/>
      <c r="CP204" s="65"/>
      <c r="CQ204" s="65"/>
      <c r="CR204" s="65"/>
      <c r="CS204" s="65"/>
      <c r="CT204" s="65"/>
      <c r="CU204" s="65"/>
      <c r="CV204" s="65"/>
      <c r="CW204" s="65"/>
      <c r="CX204" s="65"/>
      <c r="CY204" s="65"/>
      <c r="CZ204" s="65"/>
      <c r="DA204" s="65"/>
      <c r="DB204" s="65"/>
      <c r="DC204" s="65"/>
      <c r="DD204" s="65"/>
      <c r="DE204" s="65"/>
      <c r="DF204" s="65"/>
      <c r="DG204" s="65"/>
      <c r="DH204" s="65"/>
      <c r="DI204" s="65"/>
      <c r="DJ204" s="65"/>
      <c r="DK204" s="65"/>
      <c r="DL204" s="65"/>
      <c r="DM204" s="65"/>
      <c r="DN204" s="65"/>
      <c r="DO204" s="65"/>
      <c r="DP204" s="65"/>
      <c r="DQ204" s="65"/>
      <c r="DR204" s="65"/>
      <c r="DS204" s="65"/>
      <c r="DT204" s="65"/>
      <c r="DU204" s="65"/>
      <c r="DV204" s="65"/>
      <c r="DW204" s="65"/>
      <c r="DX204" s="65"/>
      <c r="DY204" s="65"/>
      <c r="DZ204" s="65"/>
      <c r="EA204" s="65"/>
      <c r="EB204" s="65"/>
      <c r="EC204" s="65"/>
      <c r="ED204" s="65"/>
      <c r="EE204" s="65"/>
      <c r="EF204" s="65"/>
      <c r="EG204" s="65"/>
      <c r="EH204" s="65"/>
      <c r="EI204" s="65"/>
      <c r="EJ204" s="65"/>
      <c r="EK204" s="65"/>
      <c r="EL204" s="65"/>
      <c r="EM204" s="65"/>
      <c r="EN204" s="65"/>
      <c r="EO204" s="65"/>
    </row>
    <row r="205" spans="1:145" x14ac:dyDescent="0.2">
      <c r="B205" s="393" t="s">
        <v>131</v>
      </c>
      <c r="C205" s="388"/>
      <c r="D205" s="388"/>
      <c r="E205" s="388"/>
      <c r="F205" s="388"/>
      <c r="G205" s="388"/>
      <c r="H205" s="388"/>
      <c r="I205" s="388"/>
      <c r="J205" s="388"/>
      <c r="K205" s="388"/>
      <c r="L205" s="388"/>
      <c r="M205" s="388"/>
      <c r="N205" s="388"/>
      <c r="O205" s="388"/>
      <c r="P205" s="251"/>
    </row>
    <row r="206" spans="1:145" x14ac:dyDescent="0.2">
      <c r="B206" s="393" t="s">
        <v>75</v>
      </c>
      <c r="C206" s="388"/>
      <c r="D206" s="388"/>
      <c r="E206" s="388"/>
      <c r="F206" s="388"/>
      <c r="G206" s="388"/>
      <c r="H206" s="388"/>
      <c r="I206" s="388"/>
      <c r="J206" s="388"/>
      <c r="K206" s="388"/>
      <c r="L206" s="388"/>
      <c r="M206" s="388"/>
      <c r="N206" s="388"/>
      <c r="O206" s="388"/>
      <c r="P206" s="147" t="s">
        <v>1</v>
      </c>
    </row>
    <row r="207" spans="1:145" x14ac:dyDescent="0.2">
      <c r="B207" s="388" t="str">
        <f>B10</f>
        <v>FOR TEST YEAR ENDED DECEMBER 31, 2018</v>
      </c>
      <c r="C207" s="388"/>
      <c r="D207" s="388"/>
      <c r="E207" s="388"/>
      <c r="F207" s="388"/>
      <c r="G207" s="388"/>
      <c r="H207" s="388"/>
      <c r="I207" s="388"/>
      <c r="J207" s="388"/>
      <c r="K207" s="388"/>
      <c r="L207" s="388"/>
      <c r="M207" s="388"/>
      <c r="N207" s="388"/>
      <c r="O207" s="388"/>
      <c r="P207" s="146" t="s">
        <v>1</v>
      </c>
    </row>
    <row r="208" spans="1:145" x14ac:dyDescent="0.2">
      <c r="B208" s="124"/>
      <c r="C208" s="238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  <c r="N208" s="238"/>
      <c r="O208" s="238"/>
      <c r="P208" s="146"/>
    </row>
    <row r="209" spans="1:145" x14ac:dyDescent="0.2">
      <c r="B209" s="175"/>
      <c r="C209" s="168"/>
      <c r="D209" s="176"/>
      <c r="E209" s="177"/>
      <c r="F209" s="177"/>
      <c r="G209" s="176"/>
      <c r="H209" s="157"/>
      <c r="I209" s="157"/>
      <c r="J209" s="157"/>
      <c r="K209" s="157"/>
      <c r="L209" s="157"/>
      <c r="M209" s="157"/>
      <c r="N209" s="157"/>
      <c r="O209" s="122"/>
      <c r="P209" s="178"/>
    </row>
    <row r="210" spans="1:145" x14ac:dyDescent="0.2">
      <c r="A210" s="38" t="s">
        <v>20</v>
      </c>
      <c r="B210" s="237" t="s">
        <v>0</v>
      </c>
      <c r="C210" s="237" t="s">
        <v>19</v>
      </c>
      <c r="D210" s="164" t="str">
        <f>+D13</f>
        <v>JANUARY</v>
      </c>
      <c r="E210" s="164" t="str">
        <f t="shared" ref="E210:O210" si="47">+E13</f>
        <v>FEBRUARY</v>
      </c>
      <c r="F210" s="164" t="str">
        <f t="shared" si="47"/>
        <v>MARCH</v>
      </c>
      <c r="G210" s="164" t="str">
        <f t="shared" si="47"/>
        <v>APRIL</v>
      </c>
      <c r="H210" s="164" t="str">
        <f t="shared" si="47"/>
        <v>MAY</v>
      </c>
      <c r="I210" s="164" t="str">
        <f t="shared" si="47"/>
        <v>JUNE</v>
      </c>
      <c r="J210" s="164" t="str">
        <f t="shared" si="47"/>
        <v>JULY</v>
      </c>
      <c r="K210" s="164" t="str">
        <f t="shared" si="47"/>
        <v>AUGUST</v>
      </c>
      <c r="L210" s="164" t="str">
        <f t="shared" si="47"/>
        <v>SEPTEMBER</v>
      </c>
      <c r="M210" s="164" t="str">
        <f t="shared" si="47"/>
        <v>OCTOBER</v>
      </c>
      <c r="N210" s="164" t="str">
        <f t="shared" si="47"/>
        <v>NOVEMBER</v>
      </c>
      <c r="O210" s="164" t="str">
        <f t="shared" si="47"/>
        <v>DECEMBER</v>
      </c>
      <c r="P210" s="179" t="s">
        <v>14</v>
      </c>
    </row>
    <row r="211" spans="1:145" x14ac:dyDescent="0.2">
      <c r="B211" s="237"/>
      <c r="C211" s="237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79"/>
      <c r="P211" s="179"/>
    </row>
    <row r="212" spans="1:145" s="62" customFormat="1" x14ac:dyDescent="0.2">
      <c r="A212" s="74" t="s">
        <v>21</v>
      </c>
      <c r="B212" s="129" t="s">
        <v>29</v>
      </c>
      <c r="C212" s="143" t="s">
        <v>16</v>
      </c>
      <c r="D212" s="149">
        <f>-'[6]State Inst-Facil'!R38+'[5]II-H-4.1 Monthly'!D171</f>
        <v>870.34999999999991</v>
      </c>
      <c r="E212" s="149">
        <f>-'[6]State Inst-Facil'!S38+'[5]II-H-4.1 Monthly'!E171</f>
        <v>817.66</v>
      </c>
      <c r="F212" s="149">
        <f>-'[6]State Inst-Facil'!T38+'[5]II-H-4.1 Monthly'!F171</f>
        <v>693.41000000000008</v>
      </c>
      <c r="G212" s="149">
        <f>-'[6]State Inst-Facil'!U38+'[5]II-H-4.1 Monthly'!G171</f>
        <v>709.45</v>
      </c>
      <c r="H212" s="149">
        <f>-'[6]State Inst-Facil'!V38+'[5]II-H-4.1 Monthly'!H171</f>
        <v>676.79</v>
      </c>
      <c r="I212" s="149">
        <f>-'[6]State Inst-Facil'!W38+'[5]II-H-4.1 Monthly'!I171</f>
        <v>709.44</v>
      </c>
      <c r="J212" s="149">
        <f>-'[6]State Inst-Facil'!X38+'[5]II-H-4.1 Monthly'!J171</f>
        <v>726.81</v>
      </c>
      <c r="K212" s="149">
        <f>-'[6]State Inst-Facil'!Y38+'[5]II-H-4.1 Monthly'!K171</f>
        <v>752.51</v>
      </c>
      <c r="L212" s="149">
        <f>-'[6]State Inst-Facil'!Z38+'[5]II-H-4.1 Monthly'!L171</f>
        <v>715.22</v>
      </c>
      <c r="M212" s="149">
        <f>-'[6]State Inst-Facil'!AA38+'[5]II-H-4.1 Monthly'!M171</f>
        <v>667.69</v>
      </c>
      <c r="N212" s="149">
        <f>-'[6]State Inst-Facil'!AB38+'[5]II-H-4.1 Monthly'!N171</f>
        <v>636.77</v>
      </c>
      <c r="O212" s="149">
        <f>-'[6]State Inst-Facil'!AC38+'[5]II-H-4.1 Monthly'!O171</f>
        <v>864.23</v>
      </c>
      <c r="P212" s="255">
        <f>SUM(D212:O212)</f>
        <v>8840.33</v>
      </c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5"/>
      <c r="BU212" s="65"/>
      <c r="BV212" s="65"/>
      <c r="BW212" s="65"/>
      <c r="BX212" s="65"/>
      <c r="BY212" s="65"/>
      <c r="BZ212" s="65"/>
      <c r="CA212" s="65"/>
      <c r="CB212" s="65"/>
      <c r="CC212" s="65"/>
      <c r="CD212" s="65"/>
      <c r="CE212" s="65"/>
      <c r="CF212" s="65"/>
      <c r="CG212" s="65"/>
      <c r="CH212" s="65"/>
      <c r="CI212" s="65"/>
      <c r="CJ212" s="65"/>
      <c r="CK212" s="65"/>
      <c r="CL212" s="65"/>
      <c r="CM212" s="65"/>
      <c r="CN212" s="65"/>
      <c r="CO212" s="65"/>
      <c r="CP212" s="65"/>
      <c r="CQ212" s="65"/>
      <c r="CR212" s="65"/>
      <c r="CS212" s="65"/>
      <c r="CT212" s="65"/>
      <c r="CU212" s="65"/>
      <c r="CV212" s="65"/>
      <c r="CW212" s="65"/>
      <c r="CX212" s="65"/>
      <c r="CY212" s="65"/>
      <c r="CZ212" s="65"/>
      <c r="DA212" s="65"/>
      <c r="DB212" s="65"/>
      <c r="DC212" s="65"/>
      <c r="DD212" s="65"/>
      <c r="DE212" s="65"/>
      <c r="DF212" s="65"/>
      <c r="DG212" s="65"/>
      <c r="DH212" s="65"/>
      <c r="DI212" s="65"/>
      <c r="DJ212" s="65"/>
      <c r="DK212" s="65"/>
      <c r="DL212" s="65"/>
      <c r="DM212" s="65"/>
      <c r="DN212" s="65"/>
      <c r="DO212" s="65"/>
      <c r="DP212" s="65"/>
      <c r="DQ212" s="65"/>
      <c r="DR212" s="65"/>
      <c r="DS212" s="65"/>
      <c r="DT212" s="65"/>
      <c r="DU212" s="65"/>
      <c r="DV212" s="65"/>
      <c r="DW212" s="65"/>
      <c r="DX212" s="65"/>
      <c r="DY212" s="65"/>
      <c r="DZ212" s="65"/>
      <c r="EA212" s="65"/>
      <c r="EB212" s="65"/>
      <c r="EC212" s="65"/>
      <c r="ED212" s="65"/>
      <c r="EE212" s="65"/>
      <c r="EF212" s="65"/>
      <c r="EG212" s="65"/>
      <c r="EH212" s="65"/>
      <c r="EI212" s="65"/>
      <c r="EJ212" s="65"/>
      <c r="EK212" s="65"/>
      <c r="EL212" s="65"/>
      <c r="EM212" s="65"/>
      <c r="EN212" s="65"/>
      <c r="EO212" s="65"/>
    </row>
    <row r="213" spans="1:145" s="62" customFormat="1" x14ac:dyDescent="0.2">
      <c r="B213" s="129"/>
      <c r="C213" s="143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56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  <c r="BM213" s="65"/>
      <c r="BN213" s="65"/>
      <c r="BO213" s="65"/>
      <c r="BP213" s="65"/>
      <c r="BQ213" s="65"/>
      <c r="BR213" s="65"/>
      <c r="BS213" s="65"/>
      <c r="BT213" s="65"/>
      <c r="BU213" s="65"/>
      <c r="BV213" s="65"/>
      <c r="BW213" s="65"/>
      <c r="BX213" s="65"/>
      <c r="BY213" s="65"/>
      <c r="BZ213" s="65"/>
      <c r="CA213" s="65"/>
      <c r="CB213" s="65"/>
      <c r="CC213" s="65"/>
      <c r="CD213" s="65"/>
      <c r="CE213" s="65"/>
      <c r="CF213" s="65"/>
      <c r="CG213" s="65"/>
      <c r="CH213" s="65"/>
      <c r="CI213" s="65"/>
      <c r="CJ213" s="65"/>
      <c r="CK213" s="65"/>
      <c r="CL213" s="65"/>
      <c r="CM213" s="65"/>
      <c r="CN213" s="65"/>
      <c r="CO213" s="65"/>
      <c r="CP213" s="65"/>
      <c r="CQ213" s="65"/>
      <c r="CR213" s="65"/>
      <c r="CS213" s="65"/>
      <c r="CT213" s="65"/>
      <c r="CU213" s="65"/>
      <c r="CV213" s="65"/>
      <c r="CW213" s="65"/>
      <c r="CX213" s="65"/>
      <c r="CY213" s="65"/>
      <c r="CZ213" s="65"/>
      <c r="DA213" s="65"/>
      <c r="DB213" s="65"/>
      <c r="DC213" s="65"/>
      <c r="DD213" s="65"/>
      <c r="DE213" s="65"/>
      <c r="DF213" s="65"/>
      <c r="DG213" s="65"/>
      <c r="DH213" s="65"/>
      <c r="DI213" s="65"/>
      <c r="DJ213" s="65"/>
      <c r="DK213" s="65"/>
      <c r="DL213" s="65"/>
      <c r="DM213" s="65"/>
      <c r="DN213" s="65"/>
      <c r="DO213" s="65"/>
      <c r="DP213" s="65"/>
      <c r="DQ213" s="65"/>
      <c r="DR213" s="65"/>
      <c r="DS213" s="65"/>
      <c r="DT213" s="65"/>
      <c r="DU213" s="65"/>
      <c r="DV213" s="65"/>
      <c r="DW213" s="65"/>
      <c r="DX213" s="65"/>
      <c r="DY213" s="65"/>
      <c r="DZ213" s="65"/>
      <c r="EA213" s="65"/>
      <c r="EB213" s="65"/>
      <c r="EC213" s="65"/>
      <c r="ED213" s="65"/>
      <c r="EE213" s="65"/>
      <c r="EF213" s="65"/>
      <c r="EG213" s="65"/>
      <c r="EH213" s="65"/>
      <c r="EI213" s="65"/>
      <c r="EJ213" s="65"/>
      <c r="EK213" s="65"/>
      <c r="EL213" s="65"/>
      <c r="EM213" s="65"/>
      <c r="EN213" s="65"/>
      <c r="EO213" s="65"/>
    </row>
    <row r="214" spans="1:145" s="62" customFormat="1" x14ac:dyDescent="0.2">
      <c r="A214" s="74">
        <v>2</v>
      </c>
      <c r="B214" s="129" t="s">
        <v>32</v>
      </c>
      <c r="C214" s="143" t="s">
        <v>16</v>
      </c>
      <c r="D214" s="122">
        <f>-'[6]State Inst-Facil'!R8+'[5]II-H-4.1 Monthly'!D173</f>
        <v>871.75</v>
      </c>
      <c r="E214" s="122">
        <f>-'[6]State Inst-Facil'!S8+'[5]II-H-4.1 Monthly'!E173</f>
        <v>691.03</v>
      </c>
      <c r="F214" s="122">
        <f>-'[6]State Inst-Facil'!T8+'[5]II-H-4.1 Monthly'!F173</f>
        <v>576.20000000000005</v>
      </c>
      <c r="G214" s="122">
        <f>-'[6]State Inst-Facil'!U8+'[5]II-H-4.1 Monthly'!G173</f>
        <v>590.04</v>
      </c>
      <c r="H214" s="122">
        <f>-'[6]State Inst-Facil'!V8+'[5]II-H-4.1 Monthly'!H173</f>
        <v>579.74</v>
      </c>
      <c r="I214" s="122">
        <f>-'[6]State Inst-Facil'!W8+'[5]II-H-4.1 Monthly'!I173</f>
        <v>641.48</v>
      </c>
      <c r="J214" s="122">
        <f>-'[6]State Inst-Facil'!X8+'[5]II-H-4.1 Monthly'!J173</f>
        <v>614.54999999999995</v>
      </c>
      <c r="K214" s="122">
        <f>-'[6]State Inst-Facil'!Y8+'[5]II-H-4.1 Monthly'!K173</f>
        <v>590.46</v>
      </c>
      <c r="L214" s="122">
        <f>-'[6]State Inst-Facil'!Z8+'[5]II-H-4.1 Monthly'!L173</f>
        <v>558.54999999999995</v>
      </c>
      <c r="M214" s="122">
        <f>-'[6]State Inst-Facil'!AA8+'[5]II-H-4.1 Monthly'!M173</f>
        <v>557.29999999999995</v>
      </c>
      <c r="N214" s="122">
        <f>-'[6]State Inst-Facil'!AB8+'[5]II-H-4.1 Monthly'!N173</f>
        <v>523.86</v>
      </c>
      <c r="O214" s="122">
        <f>-'[6]State Inst-Facil'!AC8+'[5]II-H-4.1 Monthly'!O173</f>
        <v>560.92999999999995</v>
      </c>
      <c r="P214" s="156">
        <f>SUM(D214:O214)</f>
        <v>7355.89</v>
      </c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65"/>
      <c r="BP214" s="65"/>
      <c r="BQ214" s="65"/>
      <c r="BR214" s="65"/>
      <c r="BS214" s="65"/>
      <c r="BT214" s="65"/>
      <c r="BU214" s="65"/>
      <c r="BV214" s="65"/>
      <c r="BW214" s="65"/>
      <c r="BX214" s="65"/>
      <c r="BY214" s="65"/>
      <c r="BZ214" s="65"/>
      <c r="CA214" s="65"/>
      <c r="CB214" s="65"/>
      <c r="CC214" s="65"/>
      <c r="CD214" s="65"/>
      <c r="CE214" s="65"/>
      <c r="CF214" s="65"/>
      <c r="CG214" s="65"/>
      <c r="CH214" s="65"/>
      <c r="CI214" s="65"/>
      <c r="CJ214" s="65"/>
      <c r="CK214" s="65"/>
      <c r="CL214" s="65"/>
      <c r="CM214" s="65"/>
      <c r="CN214" s="65"/>
      <c r="CO214" s="65"/>
      <c r="CP214" s="65"/>
      <c r="CQ214" s="65"/>
      <c r="CR214" s="65"/>
      <c r="CS214" s="65"/>
      <c r="CT214" s="65"/>
      <c r="CU214" s="65"/>
      <c r="CV214" s="65"/>
      <c r="CW214" s="65"/>
      <c r="CX214" s="65"/>
      <c r="CY214" s="65"/>
      <c r="CZ214" s="65"/>
      <c r="DA214" s="65"/>
      <c r="DB214" s="65"/>
      <c r="DC214" s="65"/>
      <c r="DD214" s="65"/>
      <c r="DE214" s="65"/>
      <c r="DF214" s="65"/>
      <c r="DG214" s="65"/>
      <c r="DH214" s="65"/>
      <c r="DI214" s="65"/>
      <c r="DJ214" s="65"/>
      <c r="DK214" s="65"/>
      <c r="DL214" s="65"/>
      <c r="DM214" s="65"/>
      <c r="DN214" s="65"/>
      <c r="DO214" s="65"/>
      <c r="DP214" s="65"/>
      <c r="DQ214" s="65"/>
      <c r="DR214" s="65"/>
      <c r="DS214" s="65"/>
      <c r="DT214" s="65"/>
      <c r="DU214" s="65"/>
      <c r="DV214" s="65"/>
      <c r="DW214" s="65"/>
      <c r="DX214" s="65"/>
      <c r="DY214" s="65"/>
      <c r="DZ214" s="65"/>
      <c r="EA214" s="65"/>
      <c r="EB214" s="65"/>
      <c r="EC214" s="65"/>
      <c r="ED214" s="65"/>
      <c r="EE214" s="65"/>
      <c r="EF214" s="65"/>
      <c r="EG214" s="65"/>
      <c r="EH214" s="65"/>
      <c r="EI214" s="65"/>
      <c r="EJ214" s="65"/>
      <c r="EK214" s="65"/>
      <c r="EL214" s="65"/>
      <c r="EM214" s="65"/>
      <c r="EN214" s="65"/>
      <c r="EO214" s="65"/>
    </row>
    <row r="215" spans="1:145" s="62" customFormat="1" x14ac:dyDescent="0.2">
      <c r="A215" s="74"/>
      <c r="B215" s="129"/>
      <c r="C215" s="143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56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5"/>
      <c r="BO215" s="65"/>
      <c r="BP215" s="65"/>
      <c r="BQ215" s="65"/>
      <c r="BR215" s="65"/>
      <c r="BS215" s="65"/>
      <c r="BT215" s="65"/>
      <c r="BU215" s="65"/>
      <c r="BV215" s="65"/>
      <c r="BW215" s="65"/>
      <c r="BX215" s="65"/>
      <c r="BY215" s="65"/>
      <c r="BZ215" s="65"/>
      <c r="CA215" s="65"/>
      <c r="CB215" s="65"/>
      <c r="CC215" s="65"/>
      <c r="CD215" s="65"/>
      <c r="CE215" s="65"/>
      <c r="CF215" s="65"/>
      <c r="CG215" s="65"/>
      <c r="CH215" s="65"/>
      <c r="CI215" s="65"/>
      <c r="CJ215" s="65"/>
      <c r="CK215" s="65"/>
      <c r="CL215" s="65"/>
      <c r="CM215" s="65"/>
      <c r="CN215" s="65"/>
      <c r="CO215" s="65"/>
      <c r="CP215" s="65"/>
      <c r="CQ215" s="65"/>
      <c r="CR215" s="65"/>
      <c r="CS215" s="65"/>
      <c r="CT215" s="65"/>
      <c r="CU215" s="65"/>
      <c r="CV215" s="65"/>
      <c r="CW215" s="65"/>
      <c r="CX215" s="65"/>
      <c r="CY215" s="65"/>
      <c r="CZ215" s="65"/>
      <c r="DA215" s="65"/>
      <c r="DB215" s="65"/>
      <c r="DC215" s="65"/>
      <c r="DD215" s="65"/>
      <c r="DE215" s="65"/>
      <c r="DF215" s="65"/>
      <c r="DG215" s="65"/>
      <c r="DH215" s="65"/>
      <c r="DI215" s="65"/>
      <c r="DJ215" s="65"/>
      <c r="DK215" s="65"/>
      <c r="DL215" s="65"/>
      <c r="DM215" s="65"/>
      <c r="DN215" s="65"/>
      <c r="DO215" s="65"/>
      <c r="DP215" s="65"/>
      <c r="DQ215" s="65"/>
      <c r="DR215" s="65"/>
      <c r="DS215" s="65"/>
      <c r="DT215" s="65"/>
      <c r="DU215" s="65"/>
      <c r="DV215" s="65"/>
      <c r="DW215" s="65"/>
      <c r="DX215" s="65"/>
      <c r="DY215" s="65"/>
      <c r="DZ215" s="65"/>
      <c r="EA215" s="65"/>
      <c r="EB215" s="65"/>
      <c r="EC215" s="65"/>
      <c r="ED215" s="65"/>
      <c r="EE215" s="65"/>
      <c r="EF215" s="65"/>
      <c r="EG215" s="65"/>
      <c r="EH215" s="65"/>
      <c r="EI215" s="65"/>
      <c r="EJ215" s="65"/>
      <c r="EK215" s="65"/>
      <c r="EL215" s="65"/>
      <c r="EM215" s="65"/>
      <c r="EN215" s="65"/>
      <c r="EO215" s="65"/>
    </row>
    <row r="216" spans="1:145" s="62" customFormat="1" x14ac:dyDescent="0.2">
      <c r="A216" s="74">
        <v>3</v>
      </c>
      <c r="B216" s="146" t="s">
        <v>113</v>
      </c>
      <c r="C216" s="125" t="s">
        <v>16</v>
      </c>
      <c r="D216" s="142">
        <f>-'[6]State Inst-Facil'!R14+'[5]II-H-4.1 Monthly'!D175</f>
        <v>14470.78</v>
      </c>
      <c r="E216" s="142">
        <f>-'[6]State Inst-Facil'!S14+'[5]II-H-4.1 Monthly'!E175</f>
        <v>14059.51</v>
      </c>
      <c r="F216" s="142">
        <f>-'[6]State Inst-Facil'!T14+'[5]II-H-4.1 Monthly'!F175</f>
        <v>13436.91</v>
      </c>
      <c r="G216" s="142">
        <f>-'[6]State Inst-Facil'!U14+'[5]II-H-4.1 Monthly'!G175</f>
        <v>13177.22</v>
      </c>
      <c r="H216" s="142">
        <f>-'[6]State Inst-Facil'!V14+'[5]II-H-4.1 Monthly'!H175</f>
        <v>13029.42</v>
      </c>
      <c r="I216" s="142">
        <f>-'[6]State Inst-Facil'!W14+'[5]II-H-4.1 Monthly'!I175</f>
        <v>13088.029999999999</v>
      </c>
      <c r="J216" s="142">
        <f>-'[6]State Inst-Facil'!X14+'[5]II-H-4.1 Monthly'!J175</f>
        <v>13442.48</v>
      </c>
      <c r="K216" s="142">
        <f>-'[6]State Inst-Facil'!Y14+'[5]II-H-4.1 Monthly'!K175</f>
        <v>13547.08</v>
      </c>
      <c r="L216" s="142">
        <f>-'[6]State Inst-Facil'!Z14+'[5]II-H-4.1 Monthly'!L175</f>
        <v>13876.32</v>
      </c>
      <c r="M216" s="142">
        <f>-'[6]State Inst-Facil'!AA14+'[5]II-H-4.1 Monthly'!M175</f>
        <v>13588.66</v>
      </c>
      <c r="N216" s="142">
        <f>-'[6]State Inst-Facil'!AB14+'[5]II-H-4.1 Monthly'!N175</f>
        <v>13520.78</v>
      </c>
      <c r="O216" s="142">
        <f>-'[6]State Inst-Facil'!AC14+'[5]II-H-4.1 Monthly'!O175</f>
        <v>13530.509999999998</v>
      </c>
      <c r="P216" s="156">
        <f>SUM(D216:O216)</f>
        <v>162767.70000000001</v>
      </c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  <c r="BM216" s="65"/>
      <c r="BN216" s="65"/>
      <c r="BO216" s="65"/>
      <c r="BP216" s="65"/>
      <c r="BQ216" s="65"/>
      <c r="BR216" s="65"/>
      <c r="BS216" s="65"/>
      <c r="BT216" s="65"/>
      <c r="BU216" s="65"/>
      <c r="BV216" s="65"/>
      <c r="BW216" s="65"/>
      <c r="BX216" s="65"/>
      <c r="BY216" s="65"/>
      <c r="BZ216" s="65"/>
      <c r="CA216" s="65"/>
      <c r="CB216" s="65"/>
      <c r="CC216" s="65"/>
      <c r="CD216" s="65"/>
      <c r="CE216" s="65"/>
      <c r="CF216" s="65"/>
      <c r="CG216" s="65"/>
      <c r="CH216" s="65"/>
      <c r="CI216" s="65"/>
      <c r="CJ216" s="65"/>
      <c r="CK216" s="65"/>
      <c r="CL216" s="65"/>
      <c r="CM216" s="65"/>
      <c r="CN216" s="65"/>
      <c r="CO216" s="65"/>
      <c r="CP216" s="65"/>
      <c r="CQ216" s="65"/>
      <c r="CR216" s="65"/>
      <c r="CS216" s="65"/>
      <c r="CT216" s="65"/>
      <c r="CU216" s="65"/>
      <c r="CV216" s="65"/>
      <c r="CW216" s="65"/>
      <c r="CX216" s="65"/>
      <c r="CY216" s="65"/>
      <c r="CZ216" s="65"/>
      <c r="DA216" s="65"/>
      <c r="DB216" s="65"/>
      <c r="DC216" s="65"/>
      <c r="DD216" s="65"/>
      <c r="DE216" s="65"/>
      <c r="DF216" s="65"/>
      <c r="DG216" s="65"/>
      <c r="DH216" s="65"/>
      <c r="DI216" s="65"/>
      <c r="DJ216" s="65"/>
      <c r="DK216" s="65"/>
      <c r="DL216" s="65"/>
      <c r="DM216" s="65"/>
      <c r="DN216" s="65"/>
      <c r="DO216" s="65"/>
      <c r="DP216" s="65"/>
      <c r="DQ216" s="65"/>
      <c r="DR216" s="65"/>
      <c r="DS216" s="65"/>
      <c r="DT216" s="65"/>
      <c r="DU216" s="65"/>
      <c r="DV216" s="65"/>
      <c r="DW216" s="65"/>
      <c r="DX216" s="65"/>
      <c r="DY216" s="65"/>
      <c r="DZ216" s="65"/>
      <c r="EA216" s="65"/>
      <c r="EB216" s="65"/>
      <c r="EC216" s="65"/>
      <c r="ED216" s="65"/>
      <c r="EE216" s="65"/>
      <c r="EF216" s="65"/>
      <c r="EG216" s="65"/>
      <c r="EH216" s="65"/>
      <c r="EI216" s="65"/>
      <c r="EJ216" s="65"/>
      <c r="EK216" s="65"/>
      <c r="EL216" s="65"/>
      <c r="EM216" s="65"/>
      <c r="EN216" s="65"/>
      <c r="EO216" s="65"/>
    </row>
    <row r="217" spans="1:145" s="62" customFormat="1" x14ac:dyDescent="0.2">
      <c r="A217" s="74">
        <v>4</v>
      </c>
      <c r="B217" s="146" t="s">
        <v>114</v>
      </c>
      <c r="C217" s="125" t="s">
        <v>16</v>
      </c>
      <c r="D217" s="256">
        <f>'[5]II-H-4.1 Monthly'!D176</f>
        <v>3634.15</v>
      </c>
      <c r="E217" s="256">
        <f>'[5]II-H-4.1 Monthly'!E176</f>
        <v>3705.09</v>
      </c>
      <c r="F217" s="256">
        <f>'[5]II-H-4.1 Monthly'!F176</f>
        <v>3707.34</v>
      </c>
      <c r="G217" s="256">
        <f>'[5]II-H-4.1 Monthly'!G176</f>
        <v>3883.56</v>
      </c>
      <c r="H217" s="256">
        <f>'[5]II-H-4.1 Monthly'!H176</f>
        <v>3885.62</v>
      </c>
      <c r="I217" s="256">
        <f>'[5]II-H-4.1 Monthly'!I176</f>
        <v>4216.3100000000004</v>
      </c>
      <c r="J217" s="256">
        <f>'[5]II-H-4.1 Monthly'!J176</f>
        <v>4005.04</v>
      </c>
      <c r="K217" s="256">
        <f>'[5]II-H-4.1 Monthly'!K176</f>
        <v>3966.84</v>
      </c>
      <c r="L217" s="256">
        <f>'[5]II-H-4.1 Monthly'!L176</f>
        <v>4033.67</v>
      </c>
      <c r="M217" s="256">
        <f>'[5]II-H-4.1 Monthly'!M176</f>
        <v>4031.81</v>
      </c>
      <c r="N217" s="256">
        <f>'[5]II-H-4.1 Monthly'!N176</f>
        <v>3783.17</v>
      </c>
      <c r="O217" s="256">
        <f>'[5]II-H-4.1 Monthly'!O176</f>
        <v>3741.12</v>
      </c>
      <c r="P217" s="173">
        <f>SUM(D217:O217)</f>
        <v>46593.72</v>
      </c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  <c r="BM217" s="65"/>
      <c r="BN217" s="65"/>
      <c r="BO217" s="65"/>
      <c r="BP217" s="65"/>
      <c r="BQ217" s="65"/>
      <c r="BR217" s="65"/>
      <c r="BS217" s="65"/>
      <c r="BT217" s="65"/>
      <c r="BU217" s="65"/>
      <c r="BV217" s="65"/>
      <c r="BW217" s="65"/>
      <c r="BX217" s="65"/>
      <c r="BY217" s="65"/>
      <c r="BZ217" s="65"/>
      <c r="CA217" s="65"/>
      <c r="CB217" s="65"/>
      <c r="CC217" s="65"/>
      <c r="CD217" s="65"/>
      <c r="CE217" s="65"/>
      <c r="CF217" s="65"/>
      <c r="CG217" s="65"/>
      <c r="CH217" s="65"/>
      <c r="CI217" s="65"/>
      <c r="CJ217" s="65"/>
      <c r="CK217" s="65"/>
      <c r="CL217" s="65"/>
      <c r="CM217" s="65"/>
      <c r="CN217" s="65"/>
      <c r="CO217" s="65"/>
      <c r="CP217" s="65"/>
      <c r="CQ217" s="65"/>
      <c r="CR217" s="65"/>
      <c r="CS217" s="65"/>
      <c r="CT217" s="65"/>
      <c r="CU217" s="65"/>
      <c r="CV217" s="65"/>
      <c r="CW217" s="65"/>
      <c r="CX217" s="65"/>
      <c r="CY217" s="65"/>
      <c r="CZ217" s="65"/>
      <c r="DA217" s="65"/>
      <c r="DB217" s="65"/>
      <c r="DC217" s="65"/>
      <c r="DD217" s="65"/>
      <c r="DE217" s="65"/>
      <c r="DF217" s="65"/>
      <c r="DG217" s="65"/>
      <c r="DH217" s="65"/>
      <c r="DI217" s="65"/>
      <c r="DJ217" s="65"/>
      <c r="DK217" s="65"/>
      <c r="DL217" s="65"/>
      <c r="DM217" s="65"/>
      <c r="DN217" s="65"/>
      <c r="DO217" s="65"/>
      <c r="DP217" s="65"/>
      <c r="DQ217" s="65"/>
      <c r="DR217" s="65"/>
      <c r="DS217" s="65"/>
      <c r="DT217" s="65"/>
      <c r="DU217" s="65"/>
      <c r="DV217" s="65"/>
      <c r="DW217" s="65"/>
      <c r="DX217" s="65"/>
      <c r="DY217" s="65"/>
      <c r="DZ217" s="65"/>
      <c r="EA217" s="65"/>
      <c r="EB217" s="65"/>
      <c r="EC217" s="65"/>
      <c r="ED217" s="65"/>
      <c r="EE217" s="65"/>
      <c r="EF217" s="65"/>
      <c r="EG217" s="65"/>
      <c r="EH217" s="65"/>
      <c r="EI217" s="65"/>
      <c r="EJ217" s="65"/>
      <c r="EK217" s="65"/>
      <c r="EL217" s="65"/>
      <c r="EM217" s="65"/>
      <c r="EN217" s="65"/>
      <c r="EO217" s="65"/>
    </row>
    <row r="218" spans="1:145" s="62" customFormat="1" x14ac:dyDescent="0.2">
      <c r="A218" s="74">
        <v>5</v>
      </c>
      <c r="B218" s="162" t="s">
        <v>30</v>
      </c>
      <c r="C218" s="143"/>
      <c r="D218" s="157">
        <f>SUM(D216:D217)</f>
        <v>18104.93</v>
      </c>
      <c r="E218" s="157">
        <f t="shared" ref="E218:O218" si="48">SUM(E216:E217)</f>
        <v>17764.599999999999</v>
      </c>
      <c r="F218" s="157">
        <f t="shared" si="48"/>
        <v>17144.25</v>
      </c>
      <c r="G218" s="157">
        <f t="shared" si="48"/>
        <v>17060.78</v>
      </c>
      <c r="H218" s="157">
        <f t="shared" si="48"/>
        <v>16915.04</v>
      </c>
      <c r="I218" s="157">
        <f t="shared" si="48"/>
        <v>17304.34</v>
      </c>
      <c r="J218" s="157">
        <f t="shared" si="48"/>
        <v>17447.52</v>
      </c>
      <c r="K218" s="157">
        <f t="shared" si="48"/>
        <v>17513.919999999998</v>
      </c>
      <c r="L218" s="157">
        <f t="shared" si="48"/>
        <v>17909.989999999998</v>
      </c>
      <c r="M218" s="157">
        <f t="shared" si="48"/>
        <v>17620.47</v>
      </c>
      <c r="N218" s="157">
        <f t="shared" si="48"/>
        <v>17303.95</v>
      </c>
      <c r="O218" s="157">
        <f t="shared" si="48"/>
        <v>17271.629999999997</v>
      </c>
      <c r="P218" s="169">
        <f>SUM(P216:P217)</f>
        <v>209361.42</v>
      </c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  <c r="BM218" s="65"/>
      <c r="BN218" s="65"/>
      <c r="BO218" s="65"/>
      <c r="BP218" s="65"/>
      <c r="BQ218" s="65"/>
      <c r="BR218" s="65"/>
      <c r="BS218" s="65"/>
      <c r="BT218" s="65"/>
      <c r="BU218" s="65"/>
      <c r="BV218" s="65"/>
      <c r="BW218" s="65"/>
      <c r="BX218" s="65"/>
      <c r="BY218" s="65"/>
      <c r="BZ218" s="65"/>
      <c r="CA218" s="65"/>
      <c r="CB218" s="65"/>
      <c r="CC218" s="65"/>
      <c r="CD218" s="65"/>
      <c r="CE218" s="65"/>
      <c r="CF218" s="65"/>
      <c r="CG218" s="65"/>
      <c r="CH218" s="65"/>
      <c r="CI218" s="65"/>
      <c r="CJ218" s="65"/>
      <c r="CK218" s="65"/>
      <c r="CL218" s="65"/>
      <c r="CM218" s="65"/>
      <c r="CN218" s="65"/>
      <c r="CO218" s="65"/>
      <c r="CP218" s="65"/>
      <c r="CQ218" s="65"/>
      <c r="CR218" s="65"/>
      <c r="CS218" s="65"/>
      <c r="CT218" s="65"/>
      <c r="CU218" s="65"/>
      <c r="CV218" s="65"/>
      <c r="CW218" s="65"/>
      <c r="CX218" s="65"/>
      <c r="CY218" s="65"/>
      <c r="CZ218" s="65"/>
      <c r="DA218" s="65"/>
      <c r="DB218" s="65"/>
      <c r="DC218" s="65"/>
      <c r="DD218" s="65"/>
      <c r="DE218" s="65"/>
      <c r="DF218" s="65"/>
      <c r="DG218" s="65"/>
      <c r="DH218" s="65"/>
      <c r="DI218" s="65"/>
      <c r="DJ218" s="65"/>
      <c r="DK218" s="65"/>
      <c r="DL218" s="65"/>
      <c r="DM218" s="65"/>
      <c r="DN218" s="65"/>
      <c r="DO218" s="65"/>
      <c r="DP218" s="65"/>
      <c r="DQ218" s="65"/>
      <c r="DR218" s="65"/>
      <c r="DS218" s="65"/>
      <c r="DT218" s="65"/>
      <c r="DU218" s="65"/>
      <c r="DV218" s="65"/>
      <c r="DW218" s="65"/>
      <c r="DX218" s="65"/>
      <c r="DY218" s="65"/>
      <c r="DZ218" s="65"/>
      <c r="EA218" s="65"/>
      <c r="EB218" s="65"/>
      <c r="EC218" s="65"/>
      <c r="ED218" s="65"/>
      <c r="EE218" s="65"/>
      <c r="EF218" s="65"/>
      <c r="EG218" s="65"/>
      <c r="EH218" s="65"/>
      <c r="EI218" s="65"/>
      <c r="EJ218" s="65"/>
      <c r="EK218" s="65"/>
      <c r="EL218" s="65"/>
      <c r="EM218" s="65"/>
      <c r="EN218" s="65"/>
      <c r="EO218" s="65"/>
    </row>
    <row r="219" spans="1:145" s="62" customFormat="1" x14ac:dyDescent="0.2">
      <c r="B219" s="242"/>
      <c r="C219" s="143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6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5"/>
      <c r="CA219" s="65"/>
      <c r="CB219" s="65"/>
      <c r="CC219" s="65"/>
      <c r="CD219" s="65"/>
      <c r="CE219" s="65"/>
      <c r="CF219" s="65"/>
      <c r="CG219" s="65"/>
      <c r="CH219" s="65"/>
      <c r="CI219" s="65"/>
      <c r="CJ219" s="65"/>
      <c r="CK219" s="65"/>
      <c r="CL219" s="65"/>
      <c r="CM219" s="65"/>
      <c r="CN219" s="65"/>
      <c r="CO219" s="65"/>
      <c r="CP219" s="65"/>
      <c r="CQ219" s="65"/>
      <c r="CR219" s="65"/>
      <c r="CS219" s="65"/>
      <c r="CT219" s="65"/>
      <c r="CU219" s="65"/>
      <c r="CV219" s="65"/>
      <c r="CW219" s="65"/>
      <c r="CX219" s="65"/>
      <c r="CY219" s="65"/>
      <c r="CZ219" s="65"/>
      <c r="DA219" s="65"/>
      <c r="DB219" s="65"/>
      <c r="DC219" s="65"/>
      <c r="DD219" s="65"/>
      <c r="DE219" s="65"/>
      <c r="DF219" s="65"/>
      <c r="DG219" s="65"/>
      <c r="DH219" s="65"/>
      <c r="DI219" s="65"/>
      <c r="DJ219" s="65"/>
      <c r="DK219" s="65"/>
      <c r="DL219" s="65"/>
      <c r="DM219" s="65"/>
      <c r="DN219" s="65"/>
      <c r="DO219" s="65"/>
      <c r="DP219" s="65"/>
      <c r="DQ219" s="65"/>
      <c r="DR219" s="65"/>
      <c r="DS219" s="65"/>
      <c r="DT219" s="65"/>
      <c r="DU219" s="65"/>
      <c r="DV219" s="65"/>
      <c r="DW219" s="65"/>
      <c r="DX219" s="65"/>
      <c r="DY219" s="65"/>
      <c r="DZ219" s="65"/>
      <c r="EA219" s="65"/>
      <c r="EB219" s="65"/>
      <c r="EC219" s="65"/>
      <c r="ED219" s="65"/>
      <c r="EE219" s="65"/>
      <c r="EF219" s="65"/>
      <c r="EG219" s="65"/>
      <c r="EH219" s="65"/>
      <c r="EI219" s="65"/>
      <c r="EJ219" s="65"/>
      <c r="EK219" s="65"/>
      <c r="EL219" s="65"/>
      <c r="EM219" s="65"/>
      <c r="EN219" s="65"/>
      <c r="EO219" s="65"/>
    </row>
    <row r="220" spans="1:145" s="62" customFormat="1" x14ac:dyDescent="0.2">
      <c r="A220" s="74">
        <v>6</v>
      </c>
      <c r="B220" s="146" t="s">
        <v>110</v>
      </c>
      <c r="C220" s="125" t="s">
        <v>17</v>
      </c>
      <c r="D220" s="122">
        <f>-'[6]State Inst-Facil'!R35</f>
        <v>1982.86</v>
      </c>
      <c r="E220" s="122">
        <f>-'[6]State Inst-Facil'!S35</f>
        <v>2064.9699999999998</v>
      </c>
      <c r="F220" s="122">
        <f>-'[6]State Inst-Facil'!T35</f>
        <v>2013.27</v>
      </c>
      <c r="G220" s="122">
        <f>-'[6]State Inst-Facil'!U35</f>
        <v>2037.26</v>
      </c>
      <c r="H220" s="122">
        <f>-'[6]State Inst-Facil'!V35</f>
        <v>2099.4699999999998</v>
      </c>
      <c r="I220" s="122">
        <f>-'[6]State Inst-Facil'!W35</f>
        <v>2085.6</v>
      </c>
      <c r="J220" s="122">
        <f>-'[6]State Inst-Facil'!X35</f>
        <v>2023.23</v>
      </c>
      <c r="K220" s="122">
        <f>-'[6]State Inst-Facil'!Y35</f>
        <v>2182.65</v>
      </c>
      <c r="L220" s="122">
        <f>-'[6]State Inst-Facil'!Z35</f>
        <v>2308.52</v>
      </c>
      <c r="M220" s="122">
        <f>-'[6]State Inst-Facil'!AA35</f>
        <v>2321.3000000000002</v>
      </c>
      <c r="N220" s="122">
        <f>-'[6]State Inst-Facil'!AB35</f>
        <v>2221.34</v>
      </c>
      <c r="O220" s="122">
        <f>-'[6]State Inst-Facil'!AC35</f>
        <v>1329.23</v>
      </c>
      <c r="P220" s="156">
        <f>SUM(D220:O220)</f>
        <v>24669.7</v>
      </c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  <c r="BJ220" s="65"/>
      <c r="BK220" s="65"/>
      <c r="BL220" s="65"/>
      <c r="BM220" s="65"/>
      <c r="BN220" s="65"/>
      <c r="BO220" s="65"/>
      <c r="BP220" s="65"/>
      <c r="BQ220" s="65"/>
      <c r="BR220" s="65"/>
      <c r="BS220" s="65"/>
      <c r="BT220" s="65"/>
      <c r="BU220" s="65"/>
      <c r="BV220" s="65"/>
      <c r="BW220" s="65"/>
      <c r="BX220" s="65"/>
      <c r="BY220" s="65"/>
      <c r="BZ220" s="65"/>
      <c r="CA220" s="65"/>
      <c r="CB220" s="65"/>
      <c r="CC220" s="65"/>
      <c r="CD220" s="65"/>
      <c r="CE220" s="65"/>
      <c r="CF220" s="65"/>
      <c r="CG220" s="65"/>
      <c r="CH220" s="65"/>
      <c r="CI220" s="65"/>
      <c r="CJ220" s="65"/>
      <c r="CK220" s="65"/>
      <c r="CL220" s="65"/>
      <c r="CM220" s="65"/>
      <c r="CN220" s="65"/>
      <c r="CO220" s="65"/>
      <c r="CP220" s="65"/>
      <c r="CQ220" s="65"/>
      <c r="CR220" s="65"/>
      <c r="CS220" s="65"/>
      <c r="CT220" s="65"/>
      <c r="CU220" s="65"/>
      <c r="CV220" s="65"/>
      <c r="CW220" s="65"/>
      <c r="CX220" s="65"/>
      <c r="CY220" s="65"/>
      <c r="CZ220" s="65"/>
      <c r="DA220" s="65"/>
      <c r="DB220" s="65"/>
      <c r="DC220" s="65"/>
      <c r="DD220" s="65"/>
      <c r="DE220" s="65"/>
      <c r="DF220" s="65"/>
      <c r="DG220" s="65"/>
      <c r="DH220" s="65"/>
      <c r="DI220" s="65"/>
      <c r="DJ220" s="65"/>
      <c r="DK220" s="65"/>
      <c r="DL220" s="65"/>
      <c r="DM220" s="65"/>
      <c r="DN220" s="65"/>
      <c r="DO220" s="65"/>
      <c r="DP220" s="65"/>
      <c r="DQ220" s="65"/>
      <c r="DR220" s="65"/>
      <c r="DS220" s="65"/>
      <c r="DT220" s="65"/>
      <c r="DU220" s="65"/>
      <c r="DV220" s="65"/>
      <c r="DW220" s="65"/>
      <c r="DX220" s="65"/>
      <c r="DY220" s="65"/>
      <c r="DZ220" s="65"/>
      <c r="EA220" s="65"/>
      <c r="EB220" s="65"/>
      <c r="EC220" s="65"/>
      <c r="ED220" s="65"/>
      <c r="EE220" s="65"/>
      <c r="EF220" s="65"/>
      <c r="EG220" s="65"/>
      <c r="EH220" s="65"/>
      <c r="EI220" s="65"/>
      <c r="EJ220" s="65"/>
      <c r="EK220" s="65"/>
      <c r="EL220" s="65"/>
      <c r="EM220" s="65"/>
      <c r="EN220" s="65"/>
      <c r="EO220" s="65"/>
    </row>
    <row r="221" spans="1:145" s="62" customFormat="1" x14ac:dyDescent="0.2">
      <c r="A221" s="74">
        <v>7</v>
      </c>
      <c r="B221" s="146" t="s">
        <v>111</v>
      </c>
      <c r="C221" s="125" t="s">
        <v>17</v>
      </c>
      <c r="D221" s="123">
        <f>-'[6]State Inst-Facil'!R32</f>
        <v>24426.05</v>
      </c>
      <c r="E221" s="123">
        <f>-'[6]State Inst-Facil'!S32</f>
        <v>24803.17</v>
      </c>
      <c r="F221" s="123">
        <f>-'[6]State Inst-Facil'!T32</f>
        <v>24948.9</v>
      </c>
      <c r="G221" s="123">
        <f>-'[6]State Inst-Facil'!U32</f>
        <v>24709.14</v>
      </c>
      <c r="H221" s="123">
        <f>-'[6]State Inst-Facil'!V32</f>
        <v>25202.47</v>
      </c>
      <c r="I221" s="123">
        <f>-'[6]State Inst-Facil'!W32</f>
        <v>25825.57</v>
      </c>
      <c r="J221" s="123">
        <f>-'[6]State Inst-Facil'!X32</f>
        <v>26121.05</v>
      </c>
      <c r="K221" s="123">
        <f>-'[6]State Inst-Facil'!Y32</f>
        <v>25667.49</v>
      </c>
      <c r="L221" s="123">
        <f>-'[6]State Inst-Facil'!Z32</f>
        <v>26809.05</v>
      </c>
      <c r="M221" s="123">
        <f>-'[6]State Inst-Facil'!AA32</f>
        <v>26958.5</v>
      </c>
      <c r="N221" s="123">
        <f>-'[6]State Inst-Facil'!AB32</f>
        <v>26234.560000000001</v>
      </c>
      <c r="O221" s="123">
        <f>-'[6]State Inst-Facil'!AC32</f>
        <v>25760.22</v>
      </c>
      <c r="P221" s="173">
        <f>SUM(D221:O221)</f>
        <v>307466.16999999993</v>
      </c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  <c r="BM221" s="65"/>
      <c r="BN221" s="65"/>
      <c r="BO221" s="65"/>
      <c r="BP221" s="65"/>
      <c r="BQ221" s="65"/>
      <c r="BR221" s="65"/>
      <c r="BS221" s="65"/>
      <c r="BT221" s="65"/>
      <c r="BU221" s="65"/>
      <c r="BV221" s="65"/>
      <c r="BW221" s="65"/>
      <c r="BX221" s="65"/>
      <c r="BY221" s="65"/>
      <c r="BZ221" s="65"/>
      <c r="CA221" s="65"/>
      <c r="CB221" s="65"/>
      <c r="CC221" s="65"/>
      <c r="CD221" s="65"/>
      <c r="CE221" s="65"/>
      <c r="CF221" s="65"/>
      <c r="CG221" s="65"/>
      <c r="CH221" s="65"/>
      <c r="CI221" s="65"/>
      <c r="CJ221" s="65"/>
      <c r="CK221" s="65"/>
      <c r="CL221" s="65"/>
      <c r="CM221" s="65"/>
      <c r="CN221" s="65"/>
      <c r="CO221" s="65"/>
      <c r="CP221" s="65"/>
      <c r="CQ221" s="65"/>
      <c r="CR221" s="65"/>
      <c r="CS221" s="65"/>
      <c r="CT221" s="65"/>
      <c r="CU221" s="65"/>
      <c r="CV221" s="65"/>
      <c r="CW221" s="65"/>
      <c r="CX221" s="65"/>
      <c r="CY221" s="65"/>
      <c r="CZ221" s="65"/>
      <c r="DA221" s="65"/>
      <c r="DB221" s="65"/>
      <c r="DC221" s="65"/>
      <c r="DD221" s="65"/>
      <c r="DE221" s="65"/>
      <c r="DF221" s="65"/>
      <c r="DG221" s="65"/>
      <c r="DH221" s="65"/>
      <c r="DI221" s="65"/>
      <c r="DJ221" s="65"/>
      <c r="DK221" s="65"/>
      <c r="DL221" s="65"/>
      <c r="DM221" s="65"/>
      <c r="DN221" s="65"/>
      <c r="DO221" s="65"/>
      <c r="DP221" s="65"/>
      <c r="DQ221" s="65"/>
      <c r="DR221" s="65"/>
      <c r="DS221" s="65"/>
      <c r="DT221" s="65"/>
      <c r="DU221" s="65"/>
      <c r="DV221" s="65"/>
      <c r="DW221" s="65"/>
      <c r="DX221" s="65"/>
      <c r="DY221" s="65"/>
      <c r="DZ221" s="65"/>
      <c r="EA221" s="65"/>
      <c r="EB221" s="65"/>
      <c r="EC221" s="65"/>
      <c r="ED221" s="65"/>
      <c r="EE221" s="65"/>
      <c r="EF221" s="65"/>
      <c r="EG221" s="65"/>
      <c r="EH221" s="65"/>
      <c r="EI221" s="65"/>
      <c r="EJ221" s="65"/>
      <c r="EK221" s="65"/>
      <c r="EL221" s="65"/>
      <c r="EM221" s="65"/>
      <c r="EN221" s="65"/>
      <c r="EO221" s="65"/>
    </row>
    <row r="222" spans="1:145" s="62" customFormat="1" x14ac:dyDescent="0.2">
      <c r="A222" s="74">
        <v>8</v>
      </c>
      <c r="B222" s="129" t="s">
        <v>31</v>
      </c>
      <c r="C222" s="125"/>
      <c r="D222" s="122">
        <f>SUM(D220:D221)</f>
        <v>26408.91</v>
      </c>
      <c r="E222" s="122">
        <f t="shared" ref="E222:O222" si="49">SUM(E220:E221)</f>
        <v>26868.14</v>
      </c>
      <c r="F222" s="122">
        <f t="shared" si="49"/>
        <v>26962.170000000002</v>
      </c>
      <c r="G222" s="122">
        <f t="shared" si="49"/>
        <v>26746.399999999998</v>
      </c>
      <c r="H222" s="122">
        <f t="shared" si="49"/>
        <v>27301.940000000002</v>
      </c>
      <c r="I222" s="122">
        <f t="shared" si="49"/>
        <v>27911.17</v>
      </c>
      <c r="J222" s="122">
        <f t="shared" si="49"/>
        <v>28144.28</v>
      </c>
      <c r="K222" s="122">
        <f t="shared" si="49"/>
        <v>27850.140000000003</v>
      </c>
      <c r="L222" s="122">
        <f t="shared" si="49"/>
        <v>29117.57</v>
      </c>
      <c r="M222" s="122">
        <f t="shared" si="49"/>
        <v>29279.8</v>
      </c>
      <c r="N222" s="122">
        <f t="shared" si="49"/>
        <v>28455.9</v>
      </c>
      <c r="O222" s="122">
        <f t="shared" si="49"/>
        <v>27089.45</v>
      </c>
      <c r="P222" s="156">
        <f>SUM(P220:P221)</f>
        <v>332135.86999999994</v>
      </c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5"/>
      <c r="BK222" s="65"/>
      <c r="BL222" s="65"/>
      <c r="BM222" s="65"/>
      <c r="BN222" s="65"/>
      <c r="BO222" s="65"/>
      <c r="BP222" s="65"/>
      <c r="BQ222" s="65"/>
      <c r="BR222" s="65"/>
      <c r="BS222" s="65"/>
      <c r="BT222" s="65"/>
      <c r="BU222" s="65"/>
      <c r="BV222" s="65"/>
      <c r="BW222" s="65"/>
      <c r="BX222" s="65"/>
      <c r="BY222" s="65"/>
      <c r="BZ222" s="65"/>
      <c r="CA222" s="65"/>
      <c r="CB222" s="65"/>
      <c r="CC222" s="65"/>
      <c r="CD222" s="65"/>
      <c r="CE222" s="65"/>
      <c r="CF222" s="65"/>
      <c r="CG222" s="65"/>
      <c r="CH222" s="65"/>
      <c r="CI222" s="65"/>
      <c r="CJ222" s="65"/>
      <c r="CK222" s="65"/>
      <c r="CL222" s="65"/>
      <c r="CM222" s="65"/>
      <c r="CN222" s="65"/>
      <c r="CO222" s="65"/>
      <c r="CP222" s="65"/>
      <c r="CQ222" s="65"/>
      <c r="CR222" s="65"/>
      <c r="CS222" s="65"/>
      <c r="CT222" s="65"/>
      <c r="CU222" s="65"/>
      <c r="CV222" s="65"/>
      <c r="CW222" s="65"/>
      <c r="CX222" s="65"/>
      <c r="CY222" s="65"/>
      <c r="CZ222" s="65"/>
      <c r="DA222" s="65"/>
      <c r="DB222" s="65"/>
      <c r="DC222" s="65"/>
      <c r="DD222" s="65"/>
      <c r="DE222" s="65"/>
      <c r="DF222" s="65"/>
      <c r="DG222" s="65"/>
      <c r="DH222" s="65"/>
      <c r="DI222" s="65"/>
      <c r="DJ222" s="65"/>
      <c r="DK222" s="65"/>
      <c r="DL222" s="65"/>
      <c r="DM222" s="65"/>
      <c r="DN222" s="65"/>
      <c r="DO222" s="65"/>
      <c r="DP222" s="65"/>
      <c r="DQ222" s="65"/>
      <c r="DR222" s="65"/>
      <c r="DS222" s="65"/>
      <c r="DT222" s="65"/>
      <c r="DU222" s="65"/>
      <c r="DV222" s="65"/>
      <c r="DW222" s="65"/>
      <c r="DX222" s="65"/>
      <c r="DY222" s="65"/>
      <c r="DZ222" s="65"/>
      <c r="EA222" s="65"/>
      <c r="EB222" s="65"/>
      <c r="EC222" s="65"/>
      <c r="ED222" s="65"/>
      <c r="EE222" s="65"/>
      <c r="EF222" s="65"/>
      <c r="EG222" s="65"/>
      <c r="EH222" s="65"/>
      <c r="EI222" s="65"/>
      <c r="EJ222" s="65"/>
      <c r="EK222" s="65"/>
      <c r="EL222" s="65"/>
      <c r="EM222" s="65"/>
      <c r="EN222" s="65"/>
      <c r="EO222" s="65"/>
    </row>
    <row r="223" spans="1:145" s="62" customFormat="1" x14ac:dyDescent="0.2">
      <c r="A223" s="74"/>
      <c r="B223" s="129"/>
      <c r="C223" s="125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56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  <c r="BM223" s="65"/>
      <c r="BN223" s="65"/>
      <c r="BO223" s="65"/>
      <c r="BP223" s="65"/>
      <c r="BQ223" s="65"/>
      <c r="BR223" s="65"/>
      <c r="BS223" s="65"/>
      <c r="BT223" s="65"/>
      <c r="BU223" s="65"/>
      <c r="BV223" s="65"/>
      <c r="BW223" s="65"/>
      <c r="BX223" s="65"/>
      <c r="BY223" s="65"/>
      <c r="BZ223" s="65"/>
      <c r="CA223" s="65"/>
      <c r="CB223" s="65"/>
      <c r="CC223" s="65"/>
      <c r="CD223" s="65"/>
      <c r="CE223" s="65"/>
      <c r="CF223" s="65"/>
      <c r="CG223" s="65"/>
      <c r="CH223" s="65"/>
      <c r="CI223" s="65"/>
      <c r="CJ223" s="65"/>
      <c r="CK223" s="65"/>
      <c r="CL223" s="65"/>
      <c r="CM223" s="65"/>
      <c r="CN223" s="65"/>
      <c r="CO223" s="65"/>
      <c r="CP223" s="65"/>
      <c r="CQ223" s="65"/>
      <c r="CR223" s="65"/>
      <c r="CS223" s="65"/>
      <c r="CT223" s="65"/>
      <c r="CU223" s="65"/>
      <c r="CV223" s="65"/>
      <c r="CW223" s="65"/>
      <c r="CX223" s="65"/>
      <c r="CY223" s="65"/>
      <c r="CZ223" s="65"/>
      <c r="DA223" s="65"/>
      <c r="DB223" s="65"/>
      <c r="DC223" s="65"/>
      <c r="DD223" s="65"/>
      <c r="DE223" s="65"/>
      <c r="DF223" s="65"/>
      <c r="DG223" s="65"/>
      <c r="DH223" s="65"/>
      <c r="DI223" s="65"/>
      <c r="DJ223" s="65"/>
      <c r="DK223" s="65"/>
      <c r="DL223" s="65"/>
      <c r="DM223" s="65"/>
      <c r="DN223" s="65"/>
      <c r="DO223" s="65"/>
      <c r="DP223" s="65"/>
      <c r="DQ223" s="65"/>
      <c r="DR223" s="65"/>
      <c r="DS223" s="65"/>
      <c r="DT223" s="65"/>
      <c r="DU223" s="65"/>
      <c r="DV223" s="65"/>
      <c r="DW223" s="65"/>
      <c r="DX223" s="65"/>
      <c r="DY223" s="65"/>
      <c r="DZ223" s="65"/>
      <c r="EA223" s="65"/>
      <c r="EB223" s="65"/>
      <c r="EC223" s="65"/>
      <c r="ED223" s="65"/>
      <c r="EE223" s="65"/>
      <c r="EF223" s="65"/>
      <c r="EG223" s="65"/>
      <c r="EH223" s="65"/>
      <c r="EI223" s="65"/>
      <c r="EJ223" s="65"/>
      <c r="EK223" s="65"/>
      <c r="EL223" s="65"/>
      <c r="EM223" s="65"/>
      <c r="EN223" s="65"/>
      <c r="EO223" s="65"/>
    </row>
    <row r="224" spans="1:145" s="62" customFormat="1" x14ac:dyDescent="0.2">
      <c r="A224" s="74">
        <v>9</v>
      </c>
      <c r="B224" s="162" t="s">
        <v>115</v>
      </c>
      <c r="C224" s="125" t="s">
        <v>18</v>
      </c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56">
        <f>SUM(D224:O224)</f>
        <v>0</v>
      </c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  <c r="BM224" s="65"/>
      <c r="BN224" s="65"/>
      <c r="BO224" s="65"/>
      <c r="BP224" s="65"/>
      <c r="BQ224" s="65"/>
      <c r="BR224" s="65"/>
      <c r="BS224" s="65"/>
      <c r="BT224" s="65"/>
      <c r="BU224" s="65"/>
      <c r="BV224" s="65"/>
      <c r="BW224" s="65"/>
      <c r="BX224" s="65"/>
      <c r="BY224" s="65"/>
      <c r="BZ224" s="65"/>
      <c r="CA224" s="65"/>
      <c r="CB224" s="65"/>
      <c r="CC224" s="65"/>
      <c r="CD224" s="65"/>
      <c r="CE224" s="65"/>
      <c r="CF224" s="65"/>
      <c r="CG224" s="65"/>
      <c r="CH224" s="65"/>
      <c r="CI224" s="65"/>
      <c r="CJ224" s="65"/>
      <c r="CK224" s="65"/>
      <c r="CL224" s="65"/>
      <c r="CM224" s="65"/>
      <c r="CN224" s="65"/>
      <c r="CO224" s="65"/>
      <c r="CP224" s="65"/>
      <c r="CQ224" s="65"/>
      <c r="CR224" s="65"/>
      <c r="CS224" s="65"/>
      <c r="CT224" s="65"/>
      <c r="CU224" s="65"/>
      <c r="CV224" s="65"/>
      <c r="CW224" s="65"/>
      <c r="CX224" s="65"/>
      <c r="CY224" s="65"/>
      <c r="CZ224" s="65"/>
      <c r="DA224" s="65"/>
      <c r="DB224" s="65"/>
      <c r="DC224" s="65"/>
      <c r="DD224" s="65"/>
      <c r="DE224" s="65"/>
      <c r="DF224" s="65"/>
      <c r="DG224" s="65"/>
      <c r="DH224" s="65"/>
      <c r="DI224" s="65"/>
      <c r="DJ224" s="65"/>
      <c r="DK224" s="65"/>
      <c r="DL224" s="65"/>
      <c r="DM224" s="65"/>
      <c r="DN224" s="65"/>
      <c r="DO224" s="65"/>
      <c r="DP224" s="65"/>
      <c r="DQ224" s="65"/>
      <c r="DR224" s="65"/>
      <c r="DS224" s="65"/>
      <c r="DT224" s="65"/>
      <c r="DU224" s="65"/>
      <c r="DV224" s="65"/>
      <c r="DW224" s="65"/>
      <c r="DX224" s="65"/>
      <c r="DY224" s="65"/>
      <c r="DZ224" s="65"/>
      <c r="EA224" s="65"/>
      <c r="EB224" s="65"/>
      <c r="EC224" s="65"/>
      <c r="ED224" s="65"/>
      <c r="EE224" s="65"/>
      <c r="EF224" s="65"/>
      <c r="EG224" s="65"/>
      <c r="EH224" s="65"/>
      <c r="EI224" s="65"/>
      <c r="EJ224" s="65"/>
      <c r="EK224" s="65"/>
      <c r="EL224" s="65"/>
      <c r="EM224" s="65"/>
      <c r="EN224" s="65"/>
      <c r="EO224" s="65"/>
    </row>
    <row r="225" spans="1:145" s="62" customFormat="1" x14ac:dyDescent="0.2">
      <c r="B225" s="129"/>
      <c r="C225" s="143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6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  <c r="BM225" s="65"/>
      <c r="BN225" s="65"/>
      <c r="BO225" s="65"/>
      <c r="BP225" s="65"/>
      <c r="BQ225" s="65"/>
      <c r="BR225" s="65"/>
      <c r="BS225" s="65"/>
      <c r="BT225" s="65"/>
      <c r="BU225" s="65"/>
      <c r="BV225" s="65"/>
      <c r="BW225" s="65"/>
      <c r="BX225" s="65"/>
      <c r="BY225" s="65"/>
      <c r="BZ225" s="65"/>
      <c r="CA225" s="65"/>
      <c r="CB225" s="65"/>
      <c r="CC225" s="65"/>
      <c r="CD225" s="65"/>
      <c r="CE225" s="65"/>
      <c r="CF225" s="65"/>
      <c r="CG225" s="65"/>
      <c r="CH225" s="65"/>
      <c r="CI225" s="65"/>
      <c r="CJ225" s="65"/>
      <c r="CK225" s="65"/>
      <c r="CL225" s="65"/>
      <c r="CM225" s="65"/>
      <c r="CN225" s="65"/>
      <c r="CO225" s="65"/>
      <c r="CP225" s="65"/>
      <c r="CQ225" s="65"/>
      <c r="CR225" s="65"/>
      <c r="CS225" s="65"/>
      <c r="CT225" s="65"/>
      <c r="CU225" s="65"/>
      <c r="CV225" s="65"/>
      <c r="CW225" s="65"/>
      <c r="CX225" s="65"/>
      <c r="CY225" s="65"/>
      <c r="CZ225" s="65"/>
      <c r="DA225" s="65"/>
      <c r="DB225" s="65"/>
      <c r="DC225" s="65"/>
      <c r="DD225" s="65"/>
      <c r="DE225" s="65"/>
      <c r="DF225" s="65"/>
      <c r="DG225" s="65"/>
      <c r="DH225" s="65"/>
      <c r="DI225" s="65"/>
      <c r="DJ225" s="65"/>
      <c r="DK225" s="65"/>
      <c r="DL225" s="65"/>
      <c r="DM225" s="65"/>
      <c r="DN225" s="65"/>
      <c r="DO225" s="65"/>
      <c r="DP225" s="65"/>
      <c r="DQ225" s="65"/>
      <c r="DR225" s="65"/>
      <c r="DS225" s="65"/>
      <c r="DT225" s="65"/>
      <c r="DU225" s="65"/>
      <c r="DV225" s="65"/>
      <c r="DW225" s="65"/>
      <c r="DX225" s="65"/>
      <c r="DY225" s="65"/>
      <c r="DZ225" s="65"/>
      <c r="EA225" s="65"/>
      <c r="EB225" s="65"/>
      <c r="EC225" s="65"/>
      <c r="ED225" s="65"/>
      <c r="EE225" s="65"/>
      <c r="EF225" s="65"/>
      <c r="EG225" s="65"/>
      <c r="EH225" s="65"/>
      <c r="EI225" s="65"/>
      <c r="EJ225" s="65"/>
      <c r="EK225" s="65"/>
      <c r="EL225" s="65"/>
      <c r="EM225" s="65"/>
      <c r="EN225" s="65"/>
      <c r="EO225" s="65"/>
    </row>
    <row r="226" spans="1:145" s="62" customFormat="1" x14ac:dyDescent="0.2">
      <c r="A226" s="74">
        <v>10</v>
      </c>
      <c r="B226" s="117" t="s">
        <v>33</v>
      </c>
      <c r="C226" s="125" t="s">
        <v>16</v>
      </c>
      <c r="D226" s="122">
        <f>-'[6]State Inst-Facil'!R29+'[5]II-H-4.1 Monthly'!D185</f>
        <v>546.12</v>
      </c>
      <c r="E226" s="122">
        <f>-'[6]State Inst-Facil'!S29+'[5]II-H-4.1 Monthly'!E185</f>
        <v>541.6</v>
      </c>
      <c r="F226" s="122">
        <f>-'[6]State Inst-Facil'!T29+'[5]II-H-4.1 Monthly'!F185</f>
        <v>540.03</v>
      </c>
      <c r="G226" s="122">
        <f>-'[6]State Inst-Facil'!U29+'[5]II-H-4.1 Monthly'!G185</f>
        <v>540.03</v>
      </c>
      <c r="H226" s="122">
        <f>-'[6]State Inst-Facil'!V29+'[5]II-H-4.1 Monthly'!H185</f>
        <v>540.03</v>
      </c>
      <c r="I226" s="122">
        <f>-'[6]State Inst-Facil'!W29+'[5]II-H-4.1 Monthly'!I185</f>
        <v>540.03</v>
      </c>
      <c r="J226" s="122">
        <f>-'[6]State Inst-Facil'!X29+'[5]II-H-4.1 Monthly'!J185</f>
        <v>540.03</v>
      </c>
      <c r="K226" s="122">
        <f>-'[6]State Inst-Facil'!Y29+'[5]II-H-4.1 Monthly'!K185</f>
        <v>540.03</v>
      </c>
      <c r="L226" s="122">
        <f>-'[6]State Inst-Facil'!Z29+'[5]II-H-4.1 Monthly'!L185</f>
        <v>540.03</v>
      </c>
      <c r="M226" s="122">
        <f>-'[6]State Inst-Facil'!AA29+'[5]II-H-4.1 Monthly'!M185</f>
        <v>526.14</v>
      </c>
      <c r="N226" s="122">
        <f>-'[6]State Inst-Facil'!AB29+'[5]II-H-4.1 Monthly'!N185</f>
        <v>526.85</v>
      </c>
      <c r="O226" s="122">
        <f>-'[6]State Inst-Facil'!AC29+'[5]II-H-4.1 Monthly'!O185</f>
        <v>524.66000000000008</v>
      </c>
      <c r="P226" s="156">
        <f>SUM(D226:O226)</f>
        <v>6445.579999999999</v>
      </c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65"/>
      <c r="BI226" s="65"/>
      <c r="BJ226" s="65"/>
      <c r="BK226" s="65"/>
      <c r="BL226" s="65"/>
      <c r="BM226" s="65"/>
      <c r="BN226" s="65"/>
      <c r="BO226" s="65"/>
      <c r="BP226" s="65"/>
      <c r="BQ226" s="65"/>
      <c r="BR226" s="65"/>
      <c r="BS226" s="65"/>
      <c r="BT226" s="65"/>
      <c r="BU226" s="65"/>
      <c r="BV226" s="65"/>
      <c r="BW226" s="65"/>
      <c r="BX226" s="65"/>
      <c r="BY226" s="65"/>
      <c r="BZ226" s="65"/>
      <c r="CA226" s="65"/>
      <c r="CB226" s="65"/>
      <c r="CC226" s="65"/>
      <c r="CD226" s="65"/>
      <c r="CE226" s="65"/>
      <c r="CF226" s="65"/>
      <c r="CG226" s="65"/>
      <c r="CH226" s="65"/>
      <c r="CI226" s="65"/>
      <c r="CJ226" s="65"/>
      <c r="CK226" s="65"/>
      <c r="CL226" s="65"/>
      <c r="CM226" s="65"/>
      <c r="CN226" s="65"/>
      <c r="CO226" s="65"/>
      <c r="CP226" s="65"/>
      <c r="CQ226" s="65"/>
      <c r="CR226" s="65"/>
      <c r="CS226" s="65"/>
      <c r="CT226" s="65"/>
      <c r="CU226" s="65"/>
      <c r="CV226" s="65"/>
      <c r="CW226" s="65"/>
      <c r="CX226" s="65"/>
      <c r="CY226" s="65"/>
      <c r="CZ226" s="65"/>
      <c r="DA226" s="65"/>
      <c r="DB226" s="65"/>
      <c r="DC226" s="65"/>
      <c r="DD226" s="65"/>
      <c r="DE226" s="65"/>
      <c r="DF226" s="65"/>
      <c r="DG226" s="65"/>
      <c r="DH226" s="65"/>
      <c r="DI226" s="65"/>
      <c r="DJ226" s="65"/>
      <c r="DK226" s="65"/>
      <c r="DL226" s="65"/>
      <c r="DM226" s="65"/>
      <c r="DN226" s="65"/>
      <c r="DO226" s="65"/>
      <c r="DP226" s="65"/>
      <c r="DQ226" s="65"/>
      <c r="DR226" s="65"/>
      <c r="DS226" s="65"/>
      <c r="DT226" s="65"/>
      <c r="DU226" s="65"/>
      <c r="DV226" s="65"/>
      <c r="DW226" s="65"/>
      <c r="DX226" s="65"/>
      <c r="DY226" s="65"/>
      <c r="DZ226" s="65"/>
      <c r="EA226" s="65"/>
      <c r="EB226" s="65"/>
      <c r="EC226" s="65"/>
      <c r="ED226" s="65"/>
      <c r="EE226" s="65"/>
      <c r="EF226" s="65"/>
      <c r="EG226" s="65"/>
      <c r="EH226" s="65"/>
      <c r="EI226" s="65"/>
      <c r="EJ226" s="65"/>
      <c r="EK226" s="65"/>
      <c r="EL226" s="65"/>
      <c r="EM226" s="65"/>
      <c r="EN226" s="65"/>
      <c r="EO226" s="65"/>
    </row>
    <row r="227" spans="1:145" s="62" customFormat="1" x14ac:dyDescent="0.2">
      <c r="A227" s="74"/>
      <c r="B227" s="129"/>
      <c r="C227" s="143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22"/>
      <c r="P227" s="156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5"/>
      <c r="BK227" s="65"/>
      <c r="BL227" s="65"/>
      <c r="BM227" s="65"/>
      <c r="BN227" s="65"/>
      <c r="BO227" s="65"/>
      <c r="BP227" s="65"/>
      <c r="BQ227" s="65"/>
      <c r="BR227" s="65"/>
      <c r="BS227" s="65"/>
      <c r="BT227" s="65"/>
      <c r="BU227" s="65"/>
      <c r="BV227" s="65"/>
      <c r="BW227" s="65"/>
      <c r="BX227" s="65"/>
      <c r="BY227" s="65"/>
      <c r="BZ227" s="65"/>
      <c r="CA227" s="65"/>
      <c r="CB227" s="65"/>
      <c r="CC227" s="65"/>
      <c r="CD227" s="65"/>
      <c r="CE227" s="65"/>
      <c r="CF227" s="65"/>
      <c r="CG227" s="65"/>
      <c r="CH227" s="65"/>
      <c r="CI227" s="65"/>
      <c r="CJ227" s="65"/>
      <c r="CK227" s="65"/>
      <c r="CL227" s="65"/>
      <c r="CM227" s="65"/>
      <c r="CN227" s="65"/>
      <c r="CO227" s="65"/>
      <c r="CP227" s="65"/>
      <c r="CQ227" s="65"/>
      <c r="CR227" s="65"/>
      <c r="CS227" s="65"/>
      <c r="CT227" s="65"/>
      <c r="CU227" s="65"/>
      <c r="CV227" s="65"/>
      <c r="CW227" s="65"/>
      <c r="CX227" s="65"/>
      <c r="CY227" s="65"/>
      <c r="CZ227" s="65"/>
      <c r="DA227" s="65"/>
      <c r="DB227" s="65"/>
      <c r="DC227" s="65"/>
      <c r="DD227" s="65"/>
      <c r="DE227" s="65"/>
      <c r="DF227" s="65"/>
      <c r="DG227" s="65"/>
      <c r="DH227" s="65"/>
      <c r="DI227" s="65"/>
      <c r="DJ227" s="65"/>
      <c r="DK227" s="65"/>
      <c r="DL227" s="65"/>
      <c r="DM227" s="65"/>
      <c r="DN227" s="65"/>
      <c r="DO227" s="65"/>
      <c r="DP227" s="65"/>
      <c r="DQ227" s="65"/>
      <c r="DR227" s="65"/>
      <c r="DS227" s="65"/>
      <c r="DT227" s="65"/>
      <c r="DU227" s="65"/>
      <c r="DV227" s="65"/>
      <c r="DW227" s="65"/>
      <c r="DX227" s="65"/>
      <c r="DY227" s="65"/>
      <c r="DZ227" s="65"/>
      <c r="EA227" s="65"/>
      <c r="EB227" s="65"/>
      <c r="EC227" s="65"/>
      <c r="ED227" s="65"/>
      <c r="EE227" s="65"/>
      <c r="EF227" s="65"/>
      <c r="EG227" s="65"/>
      <c r="EH227" s="65"/>
      <c r="EI227" s="65"/>
      <c r="EJ227" s="65"/>
      <c r="EK227" s="65"/>
      <c r="EL227" s="65"/>
      <c r="EM227" s="65"/>
      <c r="EN227" s="65"/>
      <c r="EO227" s="65"/>
    </row>
    <row r="228" spans="1:145" s="62" customFormat="1" x14ac:dyDescent="0.2">
      <c r="A228" s="74">
        <v>11</v>
      </c>
      <c r="B228" s="183" t="s">
        <v>34</v>
      </c>
      <c r="C228" s="236"/>
      <c r="D228" s="184">
        <f>D226+D224+D222+D218+D214+D212</f>
        <v>46802.06</v>
      </c>
      <c r="E228" s="184">
        <f t="shared" ref="E228:O228" si="50">E226+E224+E222+E218+E214+E212</f>
        <v>46683.03</v>
      </c>
      <c r="F228" s="184">
        <f t="shared" si="50"/>
        <v>45916.06</v>
      </c>
      <c r="G228" s="184">
        <f t="shared" si="50"/>
        <v>45646.69999999999</v>
      </c>
      <c r="H228" s="184">
        <f t="shared" si="50"/>
        <v>46013.54</v>
      </c>
      <c r="I228" s="184">
        <f t="shared" si="50"/>
        <v>47106.46</v>
      </c>
      <c r="J228" s="184">
        <f t="shared" si="50"/>
        <v>47473.19</v>
      </c>
      <c r="K228" s="184">
        <f t="shared" si="50"/>
        <v>47247.06</v>
      </c>
      <c r="L228" s="184">
        <f t="shared" si="50"/>
        <v>48841.36</v>
      </c>
      <c r="M228" s="184">
        <f t="shared" si="50"/>
        <v>48651.400000000009</v>
      </c>
      <c r="N228" s="184">
        <f t="shared" si="50"/>
        <v>47447.329999999994</v>
      </c>
      <c r="O228" s="184">
        <f t="shared" si="50"/>
        <v>46310.9</v>
      </c>
      <c r="P228" s="184">
        <f>P226+P224+P222+P218+P214+P212</f>
        <v>564139.09</v>
      </c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5"/>
      <c r="BK228" s="65"/>
      <c r="BL228" s="65"/>
      <c r="BM228" s="65"/>
      <c r="BN228" s="65"/>
      <c r="BO228" s="65"/>
      <c r="BP228" s="65"/>
      <c r="BQ228" s="65"/>
      <c r="BR228" s="65"/>
      <c r="BS228" s="65"/>
      <c r="BT228" s="65"/>
      <c r="BU228" s="65"/>
      <c r="BV228" s="65"/>
      <c r="BW228" s="65"/>
      <c r="BX228" s="65"/>
      <c r="BY228" s="65"/>
      <c r="BZ228" s="65"/>
      <c r="CA228" s="65"/>
      <c r="CB228" s="65"/>
      <c r="CC228" s="65"/>
      <c r="CD228" s="65"/>
      <c r="CE228" s="65"/>
      <c r="CF228" s="65"/>
      <c r="CG228" s="65"/>
      <c r="CH228" s="65"/>
      <c r="CI228" s="65"/>
      <c r="CJ228" s="65"/>
      <c r="CK228" s="65"/>
      <c r="CL228" s="65"/>
      <c r="CM228" s="65"/>
      <c r="CN228" s="65"/>
      <c r="CO228" s="65"/>
      <c r="CP228" s="65"/>
      <c r="CQ228" s="65"/>
      <c r="CR228" s="65"/>
      <c r="CS228" s="65"/>
      <c r="CT228" s="65"/>
      <c r="CU228" s="65"/>
      <c r="CV228" s="65"/>
      <c r="CW228" s="65"/>
      <c r="CX228" s="65"/>
      <c r="CY228" s="65"/>
      <c r="CZ228" s="65"/>
      <c r="DA228" s="65"/>
      <c r="DB228" s="65"/>
      <c r="DC228" s="65"/>
      <c r="DD228" s="65"/>
      <c r="DE228" s="65"/>
      <c r="DF228" s="65"/>
      <c r="DG228" s="65"/>
      <c r="DH228" s="65"/>
      <c r="DI228" s="65"/>
      <c r="DJ228" s="65"/>
      <c r="DK228" s="65"/>
      <c r="DL228" s="65"/>
      <c r="DM228" s="65"/>
      <c r="DN228" s="65"/>
      <c r="DO228" s="65"/>
      <c r="DP228" s="65"/>
      <c r="DQ228" s="65"/>
      <c r="DR228" s="65"/>
      <c r="DS228" s="65"/>
      <c r="DT228" s="65"/>
      <c r="DU228" s="65"/>
      <c r="DV228" s="65"/>
      <c r="DW228" s="65"/>
      <c r="DX228" s="65"/>
      <c r="DY228" s="65"/>
      <c r="DZ228" s="65"/>
      <c r="EA228" s="65"/>
      <c r="EB228" s="65"/>
      <c r="EC228" s="65"/>
      <c r="ED228" s="65"/>
      <c r="EE228" s="65"/>
      <c r="EF228" s="65"/>
      <c r="EG228" s="65"/>
      <c r="EH228" s="65"/>
      <c r="EI228" s="65"/>
      <c r="EJ228" s="65"/>
      <c r="EK228" s="65"/>
      <c r="EL228" s="65"/>
      <c r="EM228" s="65"/>
      <c r="EN228" s="65"/>
      <c r="EO228" s="65"/>
    </row>
    <row r="229" spans="1:145" s="62" customFormat="1" x14ac:dyDescent="0.2">
      <c r="B229" s="236"/>
      <c r="C229" s="236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56"/>
      <c r="P229" s="156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  <c r="BM229" s="65"/>
      <c r="BN229" s="65"/>
      <c r="BO229" s="65"/>
      <c r="BP229" s="65"/>
      <c r="BQ229" s="65"/>
      <c r="BR229" s="65"/>
      <c r="BS229" s="65"/>
      <c r="BT229" s="65"/>
      <c r="BU229" s="65"/>
      <c r="BV229" s="65"/>
      <c r="BW229" s="65"/>
      <c r="BX229" s="65"/>
      <c r="BY229" s="65"/>
      <c r="BZ229" s="65"/>
      <c r="CA229" s="65"/>
      <c r="CB229" s="65"/>
      <c r="CC229" s="65"/>
      <c r="CD229" s="65"/>
      <c r="CE229" s="65"/>
      <c r="CF229" s="65"/>
      <c r="CG229" s="65"/>
      <c r="CH229" s="65"/>
      <c r="CI229" s="65"/>
      <c r="CJ229" s="65"/>
      <c r="CK229" s="65"/>
      <c r="CL229" s="65"/>
      <c r="CM229" s="65"/>
      <c r="CN229" s="65"/>
      <c r="CO229" s="65"/>
      <c r="CP229" s="65"/>
      <c r="CQ229" s="65"/>
      <c r="CR229" s="65"/>
      <c r="CS229" s="65"/>
      <c r="CT229" s="65"/>
      <c r="CU229" s="65"/>
      <c r="CV229" s="65"/>
      <c r="CW229" s="65"/>
      <c r="CX229" s="65"/>
      <c r="CY229" s="65"/>
      <c r="CZ229" s="65"/>
      <c r="DA229" s="65"/>
      <c r="DB229" s="65"/>
      <c r="DC229" s="65"/>
      <c r="DD229" s="65"/>
      <c r="DE229" s="65"/>
      <c r="DF229" s="65"/>
      <c r="DG229" s="65"/>
      <c r="DH229" s="65"/>
      <c r="DI229" s="65"/>
      <c r="DJ229" s="65"/>
      <c r="DK229" s="65"/>
      <c r="DL229" s="65"/>
      <c r="DM229" s="65"/>
      <c r="DN229" s="65"/>
      <c r="DO229" s="65"/>
      <c r="DP229" s="65"/>
      <c r="DQ229" s="65"/>
      <c r="DR229" s="65"/>
      <c r="DS229" s="65"/>
      <c r="DT229" s="65"/>
      <c r="DU229" s="65"/>
      <c r="DV229" s="65"/>
      <c r="DW229" s="65"/>
      <c r="DX229" s="65"/>
      <c r="DY229" s="65"/>
      <c r="DZ229" s="65"/>
      <c r="EA229" s="65"/>
      <c r="EB229" s="65"/>
      <c r="EC229" s="65"/>
      <c r="ED229" s="65"/>
      <c r="EE229" s="65"/>
      <c r="EF229" s="65"/>
      <c r="EG229" s="65"/>
      <c r="EH229" s="65"/>
      <c r="EI229" s="65"/>
      <c r="EJ229" s="65"/>
      <c r="EK229" s="65"/>
      <c r="EL229" s="65"/>
      <c r="EM229" s="65"/>
      <c r="EN229" s="65"/>
      <c r="EO229" s="65"/>
    </row>
    <row r="230" spans="1:145" s="62" customFormat="1" x14ac:dyDescent="0.2">
      <c r="A230" s="74">
        <v>12</v>
      </c>
      <c r="B230" s="148" t="s">
        <v>91</v>
      </c>
      <c r="C230" s="125" t="s">
        <v>17</v>
      </c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56">
        <f>SUM(D230:O230)</f>
        <v>0</v>
      </c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  <c r="BM230" s="65"/>
      <c r="BN230" s="65"/>
      <c r="BO230" s="65"/>
      <c r="BP230" s="65"/>
      <c r="BQ230" s="65"/>
      <c r="BR230" s="65"/>
      <c r="BS230" s="65"/>
      <c r="BT230" s="65"/>
      <c r="BU230" s="65"/>
      <c r="BV230" s="65"/>
      <c r="BW230" s="65"/>
      <c r="BX230" s="65"/>
      <c r="BY230" s="65"/>
      <c r="BZ230" s="65"/>
      <c r="CA230" s="65"/>
      <c r="CB230" s="65"/>
      <c r="CC230" s="65"/>
      <c r="CD230" s="65"/>
      <c r="CE230" s="65"/>
      <c r="CF230" s="65"/>
      <c r="CG230" s="65"/>
      <c r="CH230" s="65"/>
      <c r="CI230" s="65"/>
      <c r="CJ230" s="65"/>
      <c r="CK230" s="65"/>
      <c r="CL230" s="65"/>
      <c r="CM230" s="65"/>
      <c r="CN230" s="65"/>
      <c r="CO230" s="65"/>
      <c r="CP230" s="65"/>
      <c r="CQ230" s="65"/>
      <c r="CR230" s="65"/>
      <c r="CS230" s="65"/>
      <c r="CT230" s="65"/>
      <c r="CU230" s="65"/>
      <c r="CV230" s="65"/>
      <c r="CW230" s="65"/>
      <c r="CX230" s="65"/>
      <c r="CY230" s="65"/>
      <c r="CZ230" s="65"/>
      <c r="DA230" s="65"/>
      <c r="DB230" s="65"/>
      <c r="DC230" s="65"/>
      <c r="DD230" s="65"/>
      <c r="DE230" s="65"/>
      <c r="DF230" s="65"/>
      <c r="DG230" s="65"/>
      <c r="DH230" s="65"/>
      <c r="DI230" s="65"/>
      <c r="DJ230" s="65"/>
      <c r="DK230" s="65"/>
      <c r="DL230" s="65"/>
      <c r="DM230" s="65"/>
      <c r="DN230" s="65"/>
      <c r="DO230" s="65"/>
      <c r="DP230" s="65"/>
      <c r="DQ230" s="65"/>
      <c r="DR230" s="65"/>
      <c r="DS230" s="65"/>
      <c r="DT230" s="65"/>
      <c r="DU230" s="65"/>
      <c r="DV230" s="65"/>
      <c r="DW230" s="65"/>
      <c r="DX230" s="65"/>
      <c r="DY230" s="65"/>
      <c r="DZ230" s="65"/>
      <c r="EA230" s="65"/>
      <c r="EB230" s="65"/>
      <c r="EC230" s="65"/>
      <c r="ED230" s="65"/>
      <c r="EE230" s="65"/>
      <c r="EF230" s="65"/>
      <c r="EG230" s="65"/>
      <c r="EH230" s="65"/>
      <c r="EI230" s="65"/>
      <c r="EJ230" s="65"/>
      <c r="EK230" s="65"/>
      <c r="EL230" s="65"/>
      <c r="EM230" s="65"/>
      <c r="EN230" s="65"/>
      <c r="EO230" s="65"/>
    </row>
    <row r="231" spans="1:145" s="62" customFormat="1" x14ac:dyDescent="0.2">
      <c r="A231" s="74">
        <v>13</v>
      </c>
      <c r="B231" s="148" t="s">
        <v>92</v>
      </c>
      <c r="C231" s="125" t="s">
        <v>18</v>
      </c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73">
        <f>SUM(D231:O231)</f>
        <v>0</v>
      </c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  <c r="BM231" s="65"/>
      <c r="BN231" s="65"/>
      <c r="BO231" s="65"/>
      <c r="BP231" s="65"/>
      <c r="BQ231" s="65"/>
      <c r="BR231" s="65"/>
      <c r="BS231" s="65"/>
      <c r="BT231" s="65"/>
      <c r="BU231" s="65"/>
      <c r="BV231" s="65"/>
      <c r="BW231" s="65"/>
      <c r="BX231" s="65"/>
      <c r="BY231" s="65"/>
      <c r="BZ231" s="65"/>
      <c r="CA231" s="65"/>
      <c r="CB231" s="65"/>
      <c r="CC231" s="65"/>
      <c r="CD231" s="65"/>
      <c r="CE231" s="65"/>
      <c r="CF231" s="65"/>
      <c r="CG231" s="65"/>
      <c r="CH231" s="65"/>
      <c r="CI231" s="65"/>
      <c r="CJ231" s="65"/>
      <c r="CK231" s="65"/>
      <c r="CL231" s="65"/>
      <c r="CM231" s="65"/>
      <c r="CN231" s="65"/>
      <c r="CO231" s="65"/>
      <c r="CP231" s="65"/>
      <c r="CQ231" s="65"/>
      <c r="CR231" s="65"/>
      <c r="CS231" s="65"/>
      <c r="CT231" s="65"/>
      <c r="CU231" s="65"/>
      <c r="CV231" s="65"/>
      <c r="CW231" s="65"/>
      <c r="CX231" s="65"/>
      <c r="CY231" s="65"/>
      <c r="CZ231" s="65"/>
      <c r="DA231" s="65"/>
      <c r="DB231" s="65"/>
      <c r="DC231" s="65"/>
      <c r="DD231" s="65"/>
      <c r="DE231" s="65"/>
      <c r="DF231" s="65"/>
      <c r="DG231" s="65"/>
      <c r="DH231" s="65"/>
      <c r="DI231" s="65"/>
      <c r="DJ231" s="65"/>
      <c r="DK231" s="65"/>
      <c r="DL231" s="65"/>
      <c r="DM231" s="65"/>
      <c r="DN231" s="65"/>
      <c r="DO231" s="65"/>
      <c r="DP231" s="65"/>
      <c r="DQ231" s="65"/>
      <c r="DR231" s="65"/>
      <c r="DS231" s="65"/>
      <c r="DT231" s="65"/>
      <c r="DU231" s="65"/>
      <c r="DV231" s="65"/>
      <c r="DW231" s="65"/>
      <c r="DX231" s="65"/>
      <c r="DY231" s="65"/>
      <c r="DZ231" s="65"/>
      <c r="EA231" s="65"/>
      <c r="EB231" s="65"/>
      <c r="EC231" s="65"/>
      <c r="ED231" s="65"/>
      <c r="EE231" s="65"/>
      <c r="EF231" s="65"/>
      <c r="EG231" s="65"/>
      <c r="EH231" s="65"/>
      <c r="EI231" s="65"/>
      <c r="EJ231" s="65"/>
      <c r="EK231" s="65"/>
      <c r="EL231" s="65"/>
      <c r="EM231" s="65"/>
      <c r="EN231" s="65"/>
      <c r="EO231" s="65"/>
    </row>
    <row r="232" spans="1:145" s="62" customFormat="1" x14ac:dyDescent="0.2">
      <c r="A232" s="74">
        <v>14</v>
      </c>
      <c r="B232" s="183" t="s">
        <v>35</v>
      </c>
      <c r="C232" s="238"/>
      <c r="D232" s="169">
        <f t="shared" ref="D232:P232" si="51">SUM(D230:D231)</f>
        <v>0</v>
      </c>
      <c r="E232" s="169">
        <f t="shared" si="51"/>
        <v>0</v>
      </c>
      <c r="F232" s="169">
        <f t="shared" si="51"/>
        <v>0</v>
      </c>
      <c r="G232" s="169">
        <f t="shared" si="51"/>
        <v>0</v>
      </c>
      <c r="H232" s="169">
        <f t="shared" si="51"/>
        <v>0</v>
      </c>
      <c r="I232" s="169">
        <f t="shared" si="51"/>
        <v>0</v>
      </c>
      <c r="J232" s="169">
        <f t="shared" si="51"/>
        <v>0</v>
      </c>
      <c r="K232" s="169">
        <f t="shared" si="51"/>
        <v>0</v>
      </c>
      <c r="L232" s="169">
        <f t="shared" si="51"/>
        <v>0</v>
      </c>
      <c r="M232" s="169">
        <f t="shared" si="51"/>
        <v>0</v>
      </c>
      <c r="N232" s="169">
        <f t="shared" si="51"/>
        <v>0</v>
      </c>
      <c r="O232" s="156">
        <f t="shared" si="51"/>
        <v>0</v>
      </c>
      <c r="P232" s="156">
        <f t="shared" si="51"/>
        <v>0</v>
      </c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5"/>
      <c r="BK232" s="65"/>
      <c r="BL232" s="65"/>
      <c r="BM232" s="65"/>
      <c r="BN232" s="65"/>
      <c r="BO232" s="65"/>
      <c r="BP232" s="65"/>
      <c r="BQ232" s="65"/>
      <c r="BR232" s="65"/>
      <c r="BS232" s="65"/>
      <c r="BT232" s="65"/>
      <c r="BU232" s="65"/>
      <c r="BV232" s="65"/>
      <c r="BW232" s="65"/>
      <c r="BX232" s="65"/>
      <c r="BY232" s="65"/>
      <c r="BZ232" s="65"/>
      <c r="CA232" s="65"/>
      <c r="CB232" s="65"/>
      <c r="CC232" s="65"/>
      <c r="CD232" s="65"/>
      <c r="CE232" s="65"/>
      <c r="CF232" s="65"/>
      <c r="CG232" s="65"/>
      <c r="CH232" s="65"/>
      <c r="CI232" s="65"/>
      <c r="CJ232" s="65"/>
      <c r="CK232" s="65"/>
      <c r="CL232" s="65"/>
      <c r="CM232" s="65"/>
      <c r="CN232" s="65"/>
      <c r="CO232" s="65"/>
      <c r="CP232" s="65"/>
      <c r="CQ232" s="65"/>
      <c r="CR232" s="65"/>
      <c r="CS232" s="65"/>
      <c r="CT232" s="65"/>
      <c r="CU232" s="65"/>
      <c r="CV232" s="65"/>
      <c r="CW232" s="65"/>
      <c r="CX232" s="65"/>
      <c r="CY232" s="65"/>
      <c r="CZ232" s="65"/>
      <c r="DA232" s="65"/>
      <c r="DB232" s="65"/>
      <c r="DC232" s="65"/>
      <c r="DD232" s="65"/>
      <c r="DE232" s="65"/>
      <c r="DF232" s="65"/>
      <c r="DG232" s="65"/>
      <c r="DH232" s="65"/>
      <c r="DI232" s="65"/>
      <c r="DJ232" s="65"/>
      <c r="DK232" s="65"/>
      <c r="DL232" s="65"/>
      <c r="DM232" s="65"/>
      <c r="DN232" s="65"/>
      <c r="DO232" s="65"/>
      <c r="DP232" s="65"/>
      <c r="DQ232" s="65"/>
      <c r="DR232" s="65"/>
      <c r="DS232" s="65"/>
      <c r="DT232" s="65"/>
      <c r="DU232" s="65"/>
      <c r="DV232" s="65"/>
      <c r="DW232" s="65"/>
      <c r="DX232" s="65"/>
      <c r="DY232" s="65"/>
      <c r="DZ232" s="65"/>
      <c r="EA232" s="65"/>
      <c r="EB232" s="65"/>
      <c r="EC232" s="65"/>
      <c r="ED232" s="65"/>
      <c r="EE232" s="65"/>
      <c r="EF232" s="65"/>
      <c r="EG232" s="65"/>
      <c r="EH232" s="65"/>
      <c r="EI232" s="65"/>
      <c r="EJ232" s="65"/>
      <c r="EK232" s="65"/>
      <c r="EL232" s="65"/>
      <c r="EM232" s="65"/>
      <c r="EN232" s="65"/>
      <c r="EO232" s="65"/>
    </row>
    <row r="233" spans="1:145" s="62" customFormat="1" x14ac:dyDescent="0.2">
      <c r="A233" s="74"/>
      <c r="B233" s="129"/>
      <c r="C233" s="185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22"/>
      <c r="P233" s="156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5"/>
      <c r="BK233" s="65"/>
      <c r="BL233" s="65"/>
      <c r="BM233" s="65"/>
      <c r="BN233" s="65"/>
      <c r="BO233" s="65"/>
      <c r="BP233" s="65"/>
      <c r="BQ233" s="65"/>
      <c r="BR233" s="65"/>
      <c r="BS233" s="65"/>
      <c r="BT233" s="65"/>
      <c r="BU233" s="65"/>
      <c r="BV233" s="65"/>
      <c r="BW233" s="65"/>
      <c r="BX233" s="65"/>
      <c r="BY233" s="65"/>
      <c r="BZ233" s="65"/>
      <c r="CA233" s="65"/>
      <c r="CB233" s="65"/>
      <c r="CC233" s="65"/>
      <c r="CD233" s="65"/>
      <c r="CE233" s="65"/>
      <c r="CF233" s="65"/>
      <c r="CG233" s="65"/>
      <c r="CH233" s="65"/>
      <c r="CI233" s="65"/>
      <c r="CJ233" s="65"/>
      <c r="CK233" s="65"/>
      <c r="CL233" s="65"/>
      <c r="CM233" s="65"/>
      <c r="CN233" s="65"/>
      <c r="CO233" s="65"/>
      <c r="CP233" s="65"/>
      <c r="CQ233" s="65"/>
      <c r="CR233" s="65"/>
      <c r="CS233" s="65"/>
      <c r="CT233" s="65"/>
      <c r="CU233" s="65"/>
      <c r="CV233" s="65"/>
      <c r="CW233" s="65"/>
      <c r="CX233" s="65"/>
      <c r="CY233" s="65"/>
      <c r="CZ233" s="65"/>
      <c r="DA233" s="65"/>
      <c r="DB233" s="65"/>
      <c r="DC233" s="65"/>
      <c r="DD233" s="65"/>
      <c r="DE233" s="65"/>
      <c r="DF233" s="65"/>
      <c r="DG233" s="65"/>
      <c r="DH233" s="65"/>
      <c r="DI233" s="65"/>
      <c r="DJ233" s="65"/>
      <c r="DK233" s="65"/>
      <c r="DL233" s="65"/>
      <c r="DM233" s="65"/>
      <c r="DN233" s="65"/>
      <c r="DO233" s="65"/>
      <c r="DP233" s="65"/>
      <c r="DQ233" s="65"/>
      <c r="DR233" s="65"/>
      <c r="DS233" s="65"/>
      <c r="DT233" s="65"/>
      <c r="DU233" s="65"/>
      <c r="DV233" s="65"/>
      <c r="DW233" s="65"/>
      <c r="DX233" s="65"/>
      <c r="DY233" s="65"/>
      <c r="DZ233" s="65"/>
      <c r="EA233" s="65"/>
      <c r="EB233" s="65"/>
      <c r="EC233" s="65"/>
      <c r="ED233" s="65"/>
      <c r="EE233" s="65"/>
      <c r="EF233" s="65"/>
      <c r="EG233" s="65"/>
      <c r="EH233" s="65"/>
      <c r="EI233" s="65"/>
      <c r="EJ233" s="65"/>
      <c r="EK233" s="65"/>
      <c r="EL233" s="65"/>
      <c r="EM233" s="65"/>
      <c r="EN233" s="65"/>
      <c r="EO233" s="65"/>
    </row>
    <row r="234" spans="1:145" s="62" customFormat="1" ht="12" thickBot="1" x14ac:dyDescent="0.25">
      <c r="A234" s="74">
        <v>15</v>
      </c>
      <c r="B234" s="243" t="str">
        <f>B37</f>
        <v>TOTAL AEP TEXAS</v>
      </c>
      <c r="C234" s="238"/>
      <c r="D234" s="186">
        <f t="shared" ref="D234:P234" si="52">+D232+D228</f>
        <v>46802.06</v>
      </c>
      <c r="E234" s="186">
        <f t="shared" si="52"/>
        <v>46683.03</v>
      </c>
      <c r="F234" s="186">
        <f t="shared" si="52"/>
        <v>45916.06</v>
      </c>
      <c r="G234" s="186">
        <f t="shared" si="52"/>
        <v>45646.69999999999</v>
      </c>
      <c r="H234" s="186">
        <f t="shared" si="52"/>
        <v>46013.54</v>
      </c>
      <c r="I234" s="186">
        <f t="shared" si="52"/>
        <v>47106.46</v>
      </c>
      <c r="J234" s="186">
        <f t="shared" si="52"/>
        <v>47473.19</v>
      </c>
      <c r="K234" s="186">
        <f t="shared" si="52"/>
        <v>47247.06</v>
      </c>
      <c r="L234" s="186">
        <f t="shared" si="52"/>
        <v>48841.36</v>
      </c>
      <c r="M234" s="186">
        <f t="shared" si="52"/>
        <v>48651.400000000009</v>
      </c>
      <c r="N234" s="186">
        <f t="shared" si="52"/>
        <v>47447.329999999994</v>
      </c>
      <c r="O234" s="186">
        <f t="shared" si="52"/>
        <v>46310.9</v>
      </c>
      <c r="P234" s="186">
        <f t="shared" si="52"/>
        <v>564139.09</v>
      </c>
      <c r="Q234" s="228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  <c r="BZ234" s="65"/>
      <c r="CA234" s="65"/>
      <c r="CB234" s="65"/>
      <c r="CC234" s="65"/>
      <c r="CD234" s="65"/>
      <c r="CE234" s="65"/>
      <c r="CF234" s="65"/>
      <c r="CG234" s="65"/>
      <c r="CH234" s="65"/>
      <c r="CI234" s="65"/>
      <c r="CJ234" s="65"/>
      <c r="CK234" s="65"/>
      <c r="CL234" s="65"/>
      <c r="CM234" s="65"/>
      <c r="CN234" s="65"/>
      <c r="CO234" s="65"/>
      <c r="CP234" s="65"/>
      <c r="CQ234" s="65"/>
      <c r="CR234" s="65"/>
      <c r="CS234" s="65"/>
      <c r="CT234" s="65"/>
      <c r="CU234" s="65"/>
      <c r="CV234" s="65"/>
      <c r="CW234" s="65"/>
      <c r="CX234" s="65"/>
      <c r="CY234" s="65"/>
      <c r="CZ234" s="65"/>
      <c r="DA234" s="65"/>
      <c r="DB234" s="65"/>
      <c r="DC234" s="65"/>
      <c r="DD234" s="65"/>
      <c r="DE234" s="65"/>
      <c r="DF234" s="65"/>
      <c r="DG234" s="65"/>
      <c r="DH234" s="65"/>
      <c r="DI234" s="65"/>
      <c r="DJ234" s="65"/>
      <c r="DK234" s="65"/>
      <c r="DL234" s="65"/>
      <c r="DM234" s="65"/>
      <c r="DN234" s="65"/>
      <c r="DO234" s="65"/>
      <c r="DP234" s="65"/>
      <c r="DQ234" s="65"/>
      <c r="DR234" s="65"/>
      <c r="DS234" s="65"/>
      <c r="DT234" s="65"/>
      <c r="DU234" s="65"/>
      <c r="DV234" s="65"/>
      <c r="DW234" s="65"/>
      <c r="DX234" s="65"/>
      <c r="DY234" s="65"/>
      <c r="DZ234" s="65"/>
      <c r="EA234" s="65"/>
      <c r="EB234" s="65"/>
      <c r="EC234" s="65"/>
      <c r="ED234" s="65"/>
      <c r="EE234" s="65"/>
      <c r="EF234" s="65"/>
      <c r="EG234" s="65"/>
      <c r="EH234" s="65"/>
      <c r="EI234" s="65"/>
      <c r="EJ234" s="65"/>
      <c r="EK234" s="65"/>
      <c r="EL234" s="65"/>
      <c r="EM234" s="65"/>
      <c r="EN234" s="65"/>
      <c r="EO234" s="65"/>
    </row>
    <row r="235" spans="1:145" s="62" customFormat="1" ht="12" thickTop="1" x14ac:dyDescent="0.2">
      <c r="A235" s="74"/>
      <c r="B235" s="243"/>
      <c r="C235" s="238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228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5"/>
      <c r="CJ235" s="65"/>
      <c r="CK235" s="65"/>
      <c r="CL235" s="65"/>
      <c r="CM235" s="65"/>
      <c r="CN235" s="65"/>
      <c r="CO235" s="65"/>
      <c r="CP235" s="65"/>
      <c r="CQ235" s="65"/>
      <c r="CR235" s="65"/>
      <c r="CS235" s="65"/>
      <c r="CT235" s="65"/>
      <c r="CU235" s="65"/>
      <c r="CV235" s="65"/>
      <c r="CW235" s="65"/>
      <c r="CX235" s="65"/>
      <c r="CY235" s="65"/>
      <c r="CZ235" s="65"/>
      <c r="DA235" s="65"/>
      <c r="DB235" s="65"/>
      <c r="DC235" s="65"/>
      <c r="DD235" s="65"/>
      <c r="DE235" s="65"/>
      <c r="DF235" s="65"/>
      <c r="DG235" s="65"/>
      <c r="DH235" s="65"/>
      <c r="DI235" s="65"/>
      <c r="DJ235" s="65"/>
      <c r="DK235" s="65"/>
      <c r="DL235" s="65"/>
      <c r="DM235" s="65"/>
      <c r="DN235" s="65"/>
      <c r="DO235" s="65"/>
      <c r="DP235" s="65"/>
      <c r="DQ235" s="65"/>
      <c r="DR235" s="65"/>
      <c r="DS235" s="65"/>
      <c r="DT235" s="65"/>
      <c r="DU235" s="65"/>
      <c r="DV235" s="65"/>
      <c r="DW235" s="65"/>
      <c r="DX235" s="65"/>
      <c r="DY235" s="65"/>
      <c r="DZ235" s="65"/>
      <c r="EA235" s="65"/>
      <c r="EB235" s="65"/>
      <c r="EC235" s="65"/>
      <c r="ED235" s="65"/>
      <c r="EE235" s="65"/>
      <c r="EF235" s="65"/>
      <c r="EG235" s="65"/>
      <c r="EH235" s="65"/>
      <c r="EI235" s="65"/>
      <c r="EJ235" s="65"/>
      <c r="EK235" s="65"/>
      <c r="EL235" s="65"/>
      <c r="EM235" s="65"/>
      <c r="EN235" s="65"/>
      <c r="EO235" s="65"/>
    </row>
    <row r="236" spans="1:145" ht="20.25" customHeight="1" x14ac:dyDescent="0.2">
      <c r="B236" s="393" t="s">
        <v>131</v>
      </c>
      <c r="C236" s="388"/>
      <c r="D236" s="388"/>
      <c r="E236" s="388"/>
      <c r="F236" s="388"/>
      <c r="G236" s="388"/>
      <c r="H236" s="388"/>
      <c r="I236" s="388"/>
      <c r="J236" s="388"/>
      <c r="K236" s="388"/>
      <c r="L236" s="388"/>
      <c r="M236" s="388"/>
      <c r="N236" s="388"/>
      <c r="O236" s="388"/>
      <c r="P236" s="251"/>
    </row>
    <row r="237" spans="1:145" s="146" customFormat="1" x14ac:dyDescent="0.2">
      <c r="B237" s="393" t="s">
        <v>124</v>
      </c>
      <c r="C237" s="388"/>
      <c r="D237" s="388"/>
      <c r="E237" s="388"/>
      <c r="F237" s="388"/>
      <c r="G237" s="388"/>
      <c r="H237" s="388"/>
      <c r="I237" s="388"/>
      <c r="J237" s="388"/>
      <c r="K237" s="388"/>
      <c r="L237" s="388"/>
      <c r="M237" s="388"/>
      <c r="N237" s="388"/>
      <c r="O237" s="388"/>
      <c r="P237" s="147" t="s">
        <v>1</v>
      </c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8"/>
      <c r="AG237" s="148"/>
      <c r="AH237" s="148"/>
      <c r="AI237" s="148"/>
      <c r="AJ237" s="148"/>
      <c r="AK237" s="148"/>
      <c r="AL237" s="148"/>
      <c r="AM237" s="148"/>
      <c r="AN237" s="148"/>
      <c r="AO237" s="148"/>
      <c r="AP237" s="148"/>
      <c r="AQ237" s="148"/>
      <c r="AR237" s="148"/>
      <c r="AS237" s="148"/>
      <c r="AT237" s="148"/>
      <c r="AU237" s="148"/>
      <c r="AV237" s="148"/>
      <c r="AW237" s="148"/>
      <c r="AX237" s="148"/>
      <c r="AY237" s="148"/>
      <c r="AZ237" s="148"/>
      <c r="BA237" s="148"/>
      <c r="BB237" s="148"/>
      <c r="BC237" s="148"/>
      <c r="BD237" s="148"/>
      <c r="BE237" s="148"/>
      <c r="BF237" s="148"/>
      <c r="BG237" s="148"/>
      <c r="BH237" s="148"/>
      <c r="BI237" s="148"/>
      <c r="BJ237" s="148"/>
      <c r="BK237" s="148"/>
      <c r="BL237" s="148"/>
      <c r="BM237" s="148"/>
      <c r="BN237" s="148"/>
      <c r="BO237" s="148"/>
      <c r="BP237" s="148"/>
      <c r="BQ237" s="148"/>
      <c r="BR237" s="148"/>
      <c r="BS237" s="148"/>
      <c r="BT237" s="148"/>
      <c r="BU237" s="148"/>
      <c r="BV237" s="148"/>
      <c r="BW237" s="148"/>
      <c r="BX237" s="148"/>
      <c r="BY237" s="148"/>
      <c r="BZ237" s="148"/>
      <c r="CA237" s="148"/>
      <c r="CB237" s="148"/>
      <c r="CC237" s="148"/>
      <c r="CD237" s="148"/>
      <c r="CE237" s="148"/>
      <c r="CF237" s="148"/>
      <c r="CG237" s="148"/>
      <c r="CH237" s="148"/>
      <c r="CI237" s="148"/>
      <c r="CJ237" s="148"/>
      <c r="CK237" s="148"/>
      <c r="CL237" s="148"/>
      <c r="CM237" s="148"/>
      <c r="CN237" s="148"/>
      <c r="CO237" s="148"/>
      <c r="CP237" s="148"/>
      <c r="CQ237" s="148"/>
      <c r="CR237" s="148"/>
      <c r="CS237" s="148"/>
      <c r="CT237" s="148"/>
      <c r="CU237" s="148"/>
      <c r="CV237" s="148"/>
      <c r="CW237" s="148"/>
      <c r="CX237" s="148"/>
      <c r="CY237" s="148"/>
      <c r="CZ237" s="148"/>
      <c r="DA237" s="148"/>
      <c r="DB237" s="148"/>
      <c r="DC237" s="148"/>
      <c r="DD237" s="148"/>
      <c r="DE237" s="148"/>
      <c r="DF237" s="148"/>
      <c r="DG237" s="148"/>
      <c r="DH237" s="148"/>
      <c r="DI237" s="148"/>
      <c r="DJ237" s="148"/>
      <c r="DK237" s="148"/>
      <c r="DL237" s="148"/>
      <c r="DM237" s="148"/>
      <c r="DN237" s="148"/>
      <c r="DO237" s="148"/>
      <c r="DP237" s="148"/>
      <c r="DQ237" s="148"/>
      <c r="DR237" s="148"/>
      <c r="DS237" s="148"/>
      <c r="DT237" s="148"/>
      <c r="DU237" s="148"/>
      <c r="DV237" s="148"/>
      <c r="DW237" s="148"/>
      <c r="DX237" s="148"/>
      <c r="DY237" s="148"/>
      <c r="DZ237" s="148"/>
      <c r="EA237" s="148"/>
      <c r="EB237" s="148"/>
      <c r="EC237" s="148"/>
      <c r="ED237" s="148"/>
      <c r="EE237" s="148"/>
      <c r="EF237" s="148"/>
      <c r="EG237" s="148"/>
      <c r="EH237" s="148"/>
      <c r="EI237" s="148"/>
      <c r="EJ237" s="148"/>
      <c r="EK237" s="148"/>
      <c r="EL237" s="148"/>
      <c r="EM237" s="148"/>
      <c r="EN237" s="148"/>
      <c r="EO237" s="148"/>
    </row>
    <row r="238" spans="1:145" x14ac:dyDescent="0.2">
      <c r="B238" s="388" t="str">
        <f>B10</f>
        <v>FOR TEST YEAR ENDED DECEMBER 31, 2018</v>
      </c>
      <c r="C238" s="388"/>
      <c r="D238" s="388"/>
      <c r="E238" s="388"/>
      <c r="F238" s="388"/>
      <c r="G238" s="388"/>
      <c r="H238" s="388"/>
      <c r="I238" s="388"/>
      <c r="J238" s="388"/>
      <c r="K238" s="388"/>
      <c r="L238" s="388"/>
      <c r="M238" s="388"/>
      <c r="N238" s="388"/>
      <c r="O238" s="388"/>
      <c r="P238" s="146" t="s">
        <v>1</v>
      </c>
    </row>
    <row r="239" spans="1:145" x14ac:dyDescent="0.2">
      <c r="B239" s="202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146"/>
    </row>
    <row r="240" spans="1:145" x14ac:dyDescent="0.2">
      <c r="B240" s="175"/>
      <c r="C240" s="168"/>
      <c r="D240" s="176"/>
      <c r="E240" s="177"/>
      <c r="F240" s="177"/>
      <c r="G240" s="176"/>
      <c r="H240" s="157"/>
      <c r="I240" s="157"/>
      <c r="J240" s="157"/>
      <c r="K240" s="157"/>
      <c r="L240" s="157"/>
      <c r="M240" s="157"/>
      <c r="N240" s="157"/>
      <c r="O240" s="122"/>
      <c r="P240" s="178"/>
    </row>
    <row r="241" spans="1:145" x14ac:dyDescent="0.2">
      <c r="A241" s="229" t="s">
        <v>20</v>
      </c>
      <c r="B241" s="237" t="s">
        <v>0</v>
      </c>
      <c r="C241" s="237" t="s">
        <v>19</v>
      </c>
      <c r="D241" s="164" t="str">
        <f t="shared" ref="D241:O241" si="53">D13</f>
        <v>JANUARY</v>
      </c>
      <c r="E241" s="164" t="str">
        <f t="shared" si="53"/>
        <v>FEBRUARY</v>
      </c>
      <c r="F241" s="164" t="str">
        <f t="shared" si="53"/>
        <v>MARCH</v>
      </c>
      <c r="G241" s="164" t="str">
        <f t="shared" si="53"/>
        <v>APRIL</v>
      </c>
      <c r="H241" s="164" t="str">
        <f t="shared" si="53"/>
        <v>MAY</v>
      </c>
      <c r="I241" s="164" t="str">
        <f t="shared" si="53"/>
        <v>JUNE</v>
      </c>
      <c r="J241" s="164" t="str">
        <f t="shared" si="53"/>
        <v>JULY</v>
      </c>
      <c r="K241" s="164" t="str">
        <f t="shared" si="53"/>
        <v>AUGUST</v>
      </c>
      <c r="L241" s="164" t="str">
        <f t="shared" si="53"/>
        <v>SEPTEMBER</v>
      </c>
      <c r="M241" s="164" t="str">
        <f t="shared" si="53"/>
        <v>OCTOBER</v>
      </c>
      <c r="N241" s="164" t="str">
        <f t="shared" si="53"/>
        <v>NOVEMBER</v>
      </c>
      <c r="O241" s="164" t="str">
        <f t="shared" si="53"/>
        <v>DECEMBER</v>
      </c>
      <c r="P241" s="179" t="s">
        <v>14</v>
      </c>
    </row>
    <row r="242" spans="1:145" x14ac:dyDescent="0.2">
      <c r="B242" s="237"/>
      <c r="C242" s="237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79"/>
      <c r="P242" s="179"/>
    </row>
    <row r="243" spans="1:145" s="62" customFormat="1" x14ac:dyDescent="0.2">
      <c r="A243" s="74" t="s">
        <v>21</v>
      </c>
      <c r="B243" s="129" t="s">
        <v>29</v>
      </c>
      <c r="C243" s="143" t="s">
        <v>16</v>
      </c>
      <c r="D243" s="194">
        <f>-Riders!D14</f>
        <v>-1976927.75</v>
      </c>
      <c r="E243" s="194">
        <f>-Riders!E14</f>
        <v>-1973713.9700000002</v>
      </c>
      <c r="F243" s="194">
        <f>-Riders!F14</f>
        <v>-1976649.53</v>
      </c>
      <c r="G243" s="194">
        <f>-Riders!G14</f>
        <v>-1980220.39</v>
      </c>
      <c r="H243" s="194">
        <f>-Riders!H14</f>
        <v>-1983343.5</v>
      </c>
      <c r="I243" s="194">
        <f>-Riders!I14</f>
        <v>-1985316.5</v>
      </c>
      <c r="J243" s="194">
        <f>-Riders!J14</f>
        <v>-1987963.52</v>
      </c>
      <c r="K243" s="194">
        <f>-Riders!K14</f>
        <v>-1985098.21</v>
      </c>
      <c r="L243" s="194">
        <f>-Riders!L14</f>
        <v>-1985648.8699999999</v>
      </c>
      <c r="M243" s="194">
        <f>-Riders!M14</f>
        <v>-1986200.55</v>
      </c>
      <c r="N243" s="194">
        <f>-Riders!N14</f>
        <v>-1989829.59</v>
      </c>
      <c r="O243" s="194">
        <f>-Riders!O14</f>
        <v>-1988689.23</v>
      </c>
      <c r="P243" s="149">
        <f>SUM(D243:O243)</f>
        <v>-23799601.610000003</v>
      </c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5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65"/>
      <c r="CQ243" s="65"/>
      <c r="CR243" s="65"/>
      <c r="CS243" s="65"/>
      <c r="CT243" s="65"/>
      <c r="CU243" s="65"/>
      <c r="CV243" s="65"/>
      <c r="CW243" s="65"/>
      <c r="CX243" s="65"/>
      <c r="CY243" s="65"/>
      <c r="CZ243" s="65"/>
      <c r="DA243" s="65"/>
      <c r="DB243" s="65"/>
      <c r="DC243" s="65"/>
      <c r="DD243" s="65"/>
      <c r="DE243" s="65"/>
      <c r="DF243" s="65"/>
      <c r="DG243" s="65"/>
      <c r="DH243" s="65"/>
      <c r="DI243" s="65"/>
      <c r="DJ243" s="65"/>
      <c r="DK243" s="65"/>
      <c r="DL243" s="65"/>
      <c r="DM243" s="65"/>
      <c r="DN243" s="65"/>
      <c r="DO243" s="65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5"/>
      <c r="ED243" s="65"/>
      <c r="EE243" s="65"/>
      <c r="EF243" s="65"/>
      <c r="EG243" s="65"/>
      <c r="EH243" s="65"/>
      <c r="EI243" s="65"/>
      <c r="EJ243" s="65"/>
      <c r="EK243" s="65"/>
      <c r="EL243" s="65"/>
      <c r="EM243" s="65"/>
      <c r="EN243" s="65"/>
      <c r="EO243" s="65"/>
    </row>
    <row r="244" spans="1:145" s="62" customFormat="1" x14ac:dyDescent="0.2">
      <c r="B244" s="129"/>
      <c r="C244" s="143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56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5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  <c r="CY244" s="65"/>
      <c r="CZ244" s="65"/>
      <c r="DA244" s="65"/>
      <c r="DB244" s="65"/>
      <c r="DC244" s="65"/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5"/>
      <c r="EO244" s="65"/>
    </row>
    <row r="245" spans="1:145" s="62" customFormat="1" x14ac:dyDescent="0.2">
      <c r="A245" s="74">
        <v>2</v>
      </c>
      <c r="B245" s="129" t="s">
        <v>32</v>
      </c>
      <c r="C245" s="143" t="s">
        <v>16</v>
      </c>
      <c r="D245" s="194">
        <f>-Riders!D16</f>
        <v>-373928.91</v>
      </c>
      <c r="E245" s="194">
        <f>-Riders!E16</f>
        <v>-366619.4</v>
      </c>
      <c r="F245" s="194">
        <f>-Riders!F16</f>
        <v>-365446.48</v>
      </c>
      <c r="G245" s="194">
        <f>-Riders!G16</f>
        <v>-366824.55</v>
      </c>
      <c r="H245" s="194">
        <f>-Riders!H16</f>
        <v>-367891.4</v>
      </c>
      <c r="I245" s="194">
        <f>-Riders!I16</f>
        <v>-368761.36</v>
      </c>
      <c r="J245" s="194">
        <f>-Riders!J16</f>
        <v>-369160.18</v>
      </c>
      <c r="K245" s="194">
        <f>-Riders!K16</f>
        <v>-369335.63</v>
      </c>
      <c r="L245" s="194">
        <f>-Riders!L16</f>
        <v>-369149.53</v>
      </c>
      <c r="M245" s="194">
        <f>-Riders!M16</f>
        <v>-370846.51</v>
      </c>
      <c r="N245" s="194">
        <f>-Riders!N16</f>
        <v>-370828.27</v>
      </c>
      <c r="O245" s="194">
        <f>-Riders!O16</f>
        <v>-370231.08999999997</v>
      </c>
      <c r="P245" s="122">
        <f>SUM(D245:O245)</f>
        <v>-4429023.3100000005</v>
      </c>
      <c r="Q245" s="208"/>
      <c r="R245" s="209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  <c r="BM245" s="65"/>
      <c r="BN245" s="65"/>
      <c r="BO245" s="65"/>
      <c r="BP245" s="65"/>
      <c r="BQ245" s="65"/>
      <c r="BR245" s="65"/>
      <c r="BS245" s="65"/>
      <c r="BT245" s="65"/>
      <c r="BU245" s="65"/>
      <c r="BV245" s="65"/>
      <c r="BW245" s="65"/>
      <c r="BX245" s="65"/>
      <c r="BY245" s="65"/>
      <c r="BZ245" s="65"/>
      <c r="CA245" s="65"/>
      <c r="CB245" s="65"/>
      <c r="CC245" s="65"/>
      <c r="CD245" s="65"/>
      <c r="CE245" s="65"/>
      <c r="CF245" s="65"/>
      <c r="CG245" s="65"/>
      <c r="CH245" s="65"/>
      <c r="CI245" s="65"/>
      <c r="CJ245" s="65"/>
      <c r="CK245" s="65"/>
      <c r="CL245" s="65"/>
      <c r="CM245" s="65"/>
      <c r="CN245" s="65"/>
      <c r="CO245" s="65"/>
      <c r="CP245" s="65"/>
      <c r="CQ245" s="65"/>
      <c r="CR245" s="65"/>
      <c r="CS245" s="65"/>
      <c r="CT245" s="65"/>
      <c r="CU245" s="65"/>
      <c r="CV245" s="65"/>
      <c r="CW245" s="65"/>
      <c r="CX245" s="65"/>
      <c r="CY245" s="65"/>
      <c r="CZ245" s="65"/>
      <c r="DA245" s="65"/>
      <c r="DB245" s="65"/>
      <c r="DC245" s="65"/>
      <c r="DD245" s="65"/>
      <c r="DE245" s="65"/>
      <c r="DF245" s="65"/>
      <c r="DG245" s="65"/>
      <c r="DH245" s="65"/>
      <c r="DI245" s="65"/>
      <c r="DJ245" s="65"/>
      <c r="DK245" s="65"/>
      <c r="DL245" s="65"/>
      <c r="DM245" s="65"/>
      <c r="DN245" s="65"/>
      <c r="DO245" s="65"/>
      <c r="DP245" s="65"/>
      <c r="DQ245" s="65"/>
      <c r="DR245" s="65"/>
      <c r="DS245" s="65"/>
      <c r="DT245" s="65"/>
      <c r="DU245" s="65"/>
      <c r="DV245" s="65"/>
      <c r="DW245" s="65"/>
      <c r="DX245" s="65"/>
      <c r="DY245" s="65"/>
      <c r="DZ245" s="65"/>
      <c r="EA245" s="65"/>
      <c r="EB245" s="65"/>
      <c r="EC245" s="65"/>
      <c r="ED245" s="65"/>
      <c r="EE245" s="65"/>
      <c r="EF245" s="65"/>
      <c r="EG245" s="65"/>
      <c r="EH245" s="65"/>
      <c r="EI245" s="65"/>
      <c r="EJ245" s="65"/>
      <c r="EK245" s="65"/>
      <c r="EL245" s="65"/>
      <c r="EM245" s="65"/>
      <c r="EN245" s="65"/>
      <c r="EO245" s="65"/>
    </row>
    <row r="246" spans="1:145" s="62" customFormat="1" x14ac:dyDescent="0.2">
      <c r="A246" s="74"/>
      <c r="B246" s="129"/>
      <c r="C246" s="143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22"/>
      <c r="Q246" s="208"/>
      <c r="R246" s="209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5"/>
      <c r="BK246" s="65"/>
      <c r="BL246" s="65"/>
      <c r="BM246" s="65"/>
      <c r="BN246" s="65"/>
      <c r="BO246" s="65"/>
      <c r="BP246" s="65"/>
      <c r="BQ246" s="65"/>
      <c r="BR246" s="65"/>
      <c r="BS246" s="65"/>
      <c r="BT246" s="65"/>
      <c r="BU246" s="65"/>
      <c r="BV246" s="65"/>
      <c r="BW246" s="65"/>
      <c r="BX246" s="65"/>
      <c r="BY246" s="65"/>
      <c r="BZ246" s="65"/>
      <c r="CA246" s="65"/>
      <c r="CB246" s="65"/>
      <c r="CC246" s="65"/>
      <c r="CD246" s="65"/>
      <c r="CE246" s="65"/>
      <c r="CF246" s="65"/>
      <c r="CG246" s="65"/>
      <c r="CH246" s="65"/>
      <c r="CI246" s="65"/>
      <c r="CJ246" s="65"/>
      <c r="CK246" s="65"/>
      <c r="CL246" s="65"/>
      <c r="CM246" s="65"/>
      <c r="CN246" s="65"/>
      <c r="CO246" s="65"/>
      <c r="CP246" s="65"/>
      <c r="CQ246" s="65"/>
      <c r="CR246" s="65"/>
      <c r="CS246" s="65"/>
      <c r="CT246" s="65"/>
      <c r="CU246" s="65"/>
      <c r="CV246" s="65"/>
      <c r="CW246" s="65"/>
      <c r="CX246" s="65"/>
      <c r="CY246" s="65"/>
      <c r="CZ246" s="65"/>
      <c r="DA246" s="65"/>
      <c r="DB246" s="65"/>
      <c r="DC246" s="65"/>
      <c r="DD246" s="65"/>
      <c r="DE246" s="65"/>
      <c r="DF246" s="65"/>
      <c r="DG246" s="65"/>
      <c r="DH246" s="65"/>
      <c r="DI246" s="65"/>
      <c r="DJ246" s="65"/>
      <c r="DK246" s="65"/>
      <c r="DL246" s="65"/>
      <c r="DM246" s="65"/>
      <c r="DN246" s="65"/>
      <c r="DO246" s="65"/>
      <c r="DP246" s="65"/>
      <c r="DQ246" s="65"/>
      <c r="DR246" s="65"/>
      <c r="DS246" s="65"/>
      <c r="DT246" s="65"/>
      <c r="DU246" s="65"/>
      <c r="DV246" s="65"/>
      <c r="DW246" s="65"/>
      <c r="DX246" s="65"/>
      <c r="DY246" s="65"/>
      <c r="DZ246" s="65"/>
      <c r="EA246" s="65"/>
      <c r="EB246" s="65"/>
      <c r="EC246" s="65"/>
      <c r="ED246" s="65"/>
      <c r="EE246" s="65"/>
      <c r="EF246" s="65"/>
      <c r="EG246" s="65"/>
      <c r="EH246" s="65"/>
      <c r="EI246" s="65"/>
      <c r="EJ246" s="65"/>
      <c r="EK246" s="65"/>
      <c r="EL246" s="65"/>
      <c r="EM246" s="65"/>
      <c r="EN246" s="65"/>
      <c r="EO246" s="65"/>
    </row>
    <row r="247" spans="1:145" s="62" customFormat="1" x14ac:dyDescent="0.2">
      <c r="A247" s="74">
        <v>3</v>
      </c>
      <c r="B247" s="146" t="s">
        <v>113</v>
      </c>
      <c r="C247" s="125" t="s">
        <v>16</v>
      </c>
      <c r="D247" s="194">
        <f>-Riders!D18</f>
        <v>-135939.76</v>
      </c>
      <c r="E247" s="194">
        <f>-Riders!E18</f>
        <v>-138034.92000000001</v>
      </c>
      <c r="F247" s="194">
        <f>-Riders!F18</f>
        <v>-139488.57</v>
      </c>
      <c r="G247" s="194">
        <f>-Riders!G18</f>
        <v>-139719.45000000001</v>
      </c>
      <c r="H247" s="194">
        <f>-Riders!H18</f>
        <v>-139491.53</v>
      </c>
      <c r="I247" s="194">
        <f>-Riders!I18</f>
        <v>-139678.71</v>
      </c>
      <c r="J247" s="194">
        <f>-Riders!J18</f>
        <v>-139767.79999999999</v>
      </c>
      <c r="K247" s="194">
        <f>-Riders!K18</f>
        <v>-139992.69</v>
      </c>
      <c r="L247" s="194">
        <f>-Riders!L18</f>
        <v>-139776.77000000002</v>
      </c>
      <c r="M247" s="194">
        <f>-Riders!M18</f>
        <v>-139530.19</v>
      </c>
      <c r="N247" s="194">
        <f>-Riders!N18</f>
        <v>-139648.95000000001</v>
      </c>
      <c r="O247" s="194">
        <f>-Riders!O18</f>
        <v>-140133.9</v>
      </c>
      <c r="P247" s="156">
        <f>SUM(D247:O247)</f>
        <v>-1671203.2399999998</v>
      </c>
      <c r="Q247" s="146"/>
      <c r="R247" s="214"/>
      <c r="S247" s="117"/>
      <c r="T247" s="117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  <c r="CY247" s="65"/>
      <c r="CZ247" s="65"/>
      <c r="DA247" s="65"/>
      <c r="DB247" s="65"/>
      <c r="DC247" s="65"/>
      <c r="DD247" s="65"/>
      <c r="DE247" s="65"/>
      <c r="DF247" s="65"/>
      <c r="DG247" s="65"/>
      <c r="DH247" s="65"/>
      <c r="DI247" s="65"/>
      <c r="DJ247" s="65"/>
      <c r="DK247" s="65"/>
      <c r="DL247" s="65"/>
      <c r="DM247" s="65"/>
      <c r="DN247" s="65"/>
      <c r="DO247" s="65"/>
      <c r="DP247" s="65"/>
      <c r="DQ247" s="65"/>
      <c r="DR247" s="65"/>
      <c r="DS247" s="65"/>
      <c r="DT247" s="65"/>
      <c r="DU247" s="65"/>
      <c r="DV247" s="65"/>
      <c r="DW247" s="65"/>
      <c r="DX247" s="65"/>
      <c r="DY247" s="65"/>
      <c r="DZ247" s="65"/>
      <c r="EA247" s="65"/>
      <c r="EB247" s="65"/>
      <c r="EC247" s="65"/>
      <c r="ED247" s="65"/>
      <c r="EE247" s="65"/>
      <c r="EF247" s="65"/>
      <c r="EG247" s="65"/>
      <c r="EH247" s="65"/>
      <c r="EI247" s="65"/>
      <c r="EJ247" s="65"/>
      <c r="EK247" s="65"/>
      <c r="EL247" s="65"/>
      <c r="EM247" s="65"/>
      <c r="EN247" s="65"/>
      <c r="EO247" s="65"/>
    </row>
    <row r="248" spans="1:145" s="62" customFormat="1" x14ac:dyDescent="0.2">
      <c r="A248" s="74">
        <v>4</v>
      </c>
      <c r="B248" s="146" t="s">
        <v>114</v>
      </c>
      <c r="C248" s="125" t="s">
        <v>16</v>
      </c>
      <c r="D248" s="247">
        <f>-Riders!D19</f>
        <v>0</v>
      </c>
      <c r="E248" s="247">
        <f>-Riders!E19</f>
        <v>0</v>
      </c>
      <c r="F248" s="247">
        <f>-Riders!F19</f>
        <v>0</v>
      </c>
      <c r="G248" s="247">
        <f>-Riders!G19</f>
        <v>0</v>
      </c>
      <c r="H248" s="247">
        <f>-Riders!H19</f>
        <v>0</v>
      </c>
      <c r="I248" s="247">
        <f>-Riders!I19</f>
        <v>0</v>
      </c>
      <c r="J248" s="247">
        <f>-Riders!J19</f>
        <v>0</v>
      </c>
      <c r="K248" s="247">
        <f>-Riders!K19</f>
        <v>0</v>
      </c>
      <c r="L248" s="247">
        <f>-Riders!L19</f>
        <v>0</v>
      </c>
      <c r="M248" s="247">
        <f>-Riders!M19</f>
        <v>0</v>
      </c>
      <c r="N248" s="247">
        <f>-Riders!N19</f>
        <v>0</v>
      </c>
      <c r="O248" s="247">
        <f>-Riders!O19</f>
        <v>0</v>
      </c>
      <c r="P248" s="123">
        <f>SUM(D248:O248)</f>
        <v>0</v>
      </c>
      <c r="Q248" s="146"/>
      <c r="R248" s="214"/>
      <c r="S248" s="117"/>
      <c r="T248" s="117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  <c r="BM248" s="65"/>
      <c r="BN248" s="65"/>
      <c r="BO248" s="65"/>
      <c r="BP248" s="65"/>
      <c r="BQ248" s="65"/>
      <c r="BR248" s="65"/>
      <c r="BS248" s="65"/>
      <c r="BT248" s="65"/>
      <c r="BU248" s="65"/>
      <c r="BV248" s="65"/>
      <c r="BW248" s="65"/>
      <c r="BX248" s="65"/>
      <c r="BY248" s="65"/>
      <c r="BZ248" s="65"/>
      <c r="CA248" s="65"/>
      <c r="CB248" s="65"/>
      <c r="CC248" s="65"/>
      <c r="CD248" s="65"/>
      <c r="CE248" s="65"/>
      <c r="CF248" s="65"/>
      <c r="CG248" s="65"/>
      <c r="CH248" s="65"/>
      <c r="CI248" s="65"/>
      <c r="CJ248" s="65"/>
      <c r="CK248" s="65"/>
      <c r="CL248" s="65"/>
      <c r="CM248" s="65"/>
      <c r="CN248" s="65"/>
      <c r="CO248" s="65"/>
      <c r="CP248" s="65"/>
      <c r="CQ248" s="65"/>
      <c r="CR248" s="65"/>
      <c r="CS248" s="65"/>
      <c r="CT248" s="65"/>
      <c r="CU248" s="65"/>
      <c r="CV248" s="65"/>
      <c r="CW248" s="65"/>
      <c r="CX248" s="65"/>
      <c r="CY248" s="65"/>
      <c r="CZ248" s="65"/>
      <c r="DA248" s="65"/>
      <c r="DB248" s="65"/>
      <c r="DC248" s="65"/>
      <c r="DD248" s="65"/>
      <c r="DE248" s="65"/>
      <c r="DF248" s="65"/>
      <c r="DG248" s="65"/>
      <c r="DH248" s="65"/>
      <c r="DI248" s="65"/>
      <c r="DJ248" s="65"/>
      <c r="DK248" s="65"/>
      <c r="DL248" s="65"/>
      <c r="DM248" s="65"/>
      <c r="DN248" s="65"/>
      <c r="DO248" s="65"/>
      <c r="DP248" s="65"/>
      <c r="DQ248" s="65"/>
      <c r="DR248" s="65"/>
      <c r="DS248" s="65"/>
      <c r="DT248" s="65"/>
      <c r="DU248" s="65"/>
      <c r="DV248" s="65"/>
      <c r="DW248" s="65"/>
      <c r="DX248" s="65"/>
      <c r="DY248" s="65"/>
      <c r="DZ248" s="65"/>
      <c r="EA248" s="65"/>
      <c r="EB248" s="65"/>
      <c r="EC248" s="65"/>
      <c r="ED248" s="65"/>
      <c r="EE248" s="65"/>
      <c r="EF248" s="65"/>
      <c r="EG248" s="65"/>
      <c r="EH248" s="65"/>
      <c r="EI248" s="65"/>
      <c r="EJ248" s="65"/>
      <c r="EK248" s="65"/>
      <c r="EL248" s="65"/>
      <c r="EM248" s="65"/>
      <c r="EN248" s="65"/>
      <c r="EO248" s="65"/>
    </row>
    <row r="249" spans="1:145" s="62" customFormat="1" x14ac:dyDescent="0.2">
      <c r="A249" s="74">
        <v>5</v>
      </c>
      <c r="B249" s="162" t="s">
        <v>30</v>
      </c>
      <c r="C249" s="143"/>
      <c r="D249" s="157">
        <f t="shared" ref="D249:P249" si="54">SUM(D247:D248)</f>
        <v>-135939.76</v>
      </c>
      <c r="E249" s="157">
        <f t="shared" si="54"/>
        <v>-138034.92000000001</v>
      </c>
      <c r="F249" s="157">
        <f t="shared" si="54"/>
        <v>-139488.57</v>
      </c>
      <c r="G249" s="157">
        <f t="shared" si="54"/>
        <v>-139719.45000000001</v>
      </c>
      <c r="H249" s="157">
        <f t="shared" si="54"/>
        <v>-139491.53</v>
      </c>
      <c r="I249" s="157">
        <f t="shared" si="54"/>
        <v>-139678.71</v>
      </c>
      <c r="J249" s="157">
        <f t="shared" si="54"/>
        <v>-139767.79999999999</v>
      </c>
      <c r="K249" s="157">
        <f t="shared" si="54"/>
        <v>-139992.69</v>
      </c>
      <c r="L249" s="157">
        <f t="shared" si="54"/>
        <v>-139776.77000000002</v>
      </c>
      <c r="M249" s="157">
        <f t="shared" si="54"/>
        <v>-139530.19</v>
      </c>
      <c r="N249" s="157">
        <f t="shared" si="54"/>
        <v>-139648.95000000001</v>
      </c>
      <c r="O249" s="157">
        <f t="shared" si="54"/>
        <v>-140133.9</v>
      </c>
      <c r="P249" s="157">
        <f t="shared" si="54"/>
        <v>-1671203.2399999998</v>
      </c>
      <c r="Q249" s="215"/>
      <c r="R249" s="214"/>
      <c r="S249" s="117"/>
      <c r="T249" s="117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  <c r="CA249" s="65"/>
      <c r="CB249" s="65"/>
      <c r="CC249" s="65"/>
      <c r="CD249" s="65"/>
      <c r="CE249" s="65"/>
      <c r="CF249" s="65"/>
      <c r="CG249" s="65"/>
      <c r="CH249" s="65"/>
      <c r="CI249" s="65"/>
      <c r="CJ249" s="65"/>
      <c r="CK249" s="65"/>
      <c r="CL249" s="65"/>
      <c r="CM249" s="65"/>
      <c r="CN249" s="65"/>
      <c r="CO249" s="65"/>
      <c r="CP249" s="65"/>
      <c r="CQ249" s="65"/>
      <c r="CR249" s="65"/>
      <c r="CS249" s="65"/>
      <c r="CT249" s="65"/>
      <c r="CU249" s="65"/>
      <c r="CV249" s="65"/>
      <c r="CW249" s="65"/>
      <c r="CX249" s="65"/>
      <c r="CY249" s="65"/>
      <c r="CZ249" s="65"/>
      <c r="DA249" s="65"/>
      <c r="DB249" s="65"/>
      <c r="DC249" s="65"/>
      <c r="DD249" s="65"/>
      <c r="DE249" s="65"/>
      <c r="DF249" s="65"/>
      <c r="DG249" s="65"/>
      <c r="DH249" s="65"/>
      <c r="DI249" s="65"/>
      <c r="DJ249" s="65"/>
      <c r="DK249" s="65"/>
      <c r="DL249" s="65"/>
      <c r="DM249" s="65"/>
      <c r="DN249" s="65"/>
      <c r="DO249" s="65"/>
      <c r="DP249" s="65"/>
      <c r="DQ249" s="65"/>
      <c r="DR249" s="65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  <c r="EF249" s="65"/>
      <c r="EG249" s="65"/>
      <c r="EH249" s="65"/>
      <c r="EI249" s="65"/>
      <c r="EJ249" s="65"/>
      <c r="EK249" s="65"/>
      <c r="EL249" s="65"/>
      <c r="EM249" s="65"/>
      <c r="EN249" s="65"/>
      <c r="EO249" s="65"/>
    </row>
    <row r="250" spans="1:145" s="62" customFormat="1" x14ac:dyDescent="0.2">
      <c r="B250" s="242"/>
      <c r="C250" s="143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22"/>
      <c r="Q250" s="215"/>
      <c r="R250" s="214"/>
      <c r="S250" s="117"/>
      <c r="T250" s="117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  <c r="BM250" s="65"/>
      <c r="BN250" s="65"/>
      <c r="BO250" s="65"/>
      <c r="BP250" s="65"/>
      <c r="BQ250" s="65"/>
      <c r="BR250" s="65"/>
      <c r="BS250" s="65"/>
      <c r="BT250" s="65"/>
      <c r="BU250" s="65"/>
      <c r="BV250" s="65"/>
      <c r="BW250" s="65"/>
      <c r="BX250" s="65"/>
      <c r="BY250" s="65"/>
      <c r="BZ250" s="65"/>
      <c r="CA250" s="65"/>
      <c r="CB250" s="65"/>
      <c r="CC250" s="65"/>
      <c r="CD250" s="65"/>
      <c r="CE250" s="65"/>
      <c r="CF250" s="65"/>
      <c r="CG250" s="65"/>
      <c r="CH250" s="65"/>
      <c r="CI250" s="65"/>
      <c r="CJ250" s="65"/>
      <c r="CK250" s="65"/>
      <c r="CL250" s="65"/>
      <c r="CM250" s="65"/>
      <c r="CN250" s="65"/>
      <c r="CO250" s="65"/>
      <c r="CP250" s="65"/>
      <c r="CQ250" s="65"/>
      <c r="CR250" s="65"/>
      <c r="CS250" s="65"/>
      <c r="CT250" s="65"/>
      <c r="CU250" s="65"/>
      <c r="CV250" s="65"/>
      <c r="CW250" s="65"/>
      <c r="CX250" s="65"/>
      <c r="CY250" s="65"/>
      <c r="CZ250" s="65"/>
      <c r="DA250" s="65"/>
      <c r="DB250" s="65"/>
      <c r="DC250" s="65"/>
      <c r="DD250" s="65"/>
      <c r="DE250" s="65"/>
      <c r="DF250" s="65"/>
      <c r="DG250" s="65"/>
      <c r="DH250" s="65"/>
      <c r="DI250" s="65"/>
      <c r="DJ250" s="65"/>
      <c r="DK250" s="65"/>
      <c r="DL250" s="65"/>
      <c r="DM250" s="65"/>
      <c r="DN250" s="65"/>
      <c r="DO250" s="65"/>
      <c r="DP250" s="65"/>
      <c r="DQ250" s="65"/>
      <c r="DR250" s="65"/>
      <c r="DS250" s="65"/>
      <c r="DT250" s="65"/>
      <c r="DU250" s="65"/>
      <c r="DV250" s="65"/>
      <c r="DW250" s="65"/>
      <c r="DX250" s="65"/>
      <c r="DY250" s="65"/>
      <c r="DZ250" s="65"/>
      <c r="EA250" s="65"/>
      <c r="EB250" s="65"/>
      <c r="EC250" s="65"/>
      <c r="ED250" s="65"/>
      <c r="EE250" s="65"/>
      <c r="EF250" s="65"/>
      <c r="EG250" s="65"/>
      <c r="EH250" s="65"/>
      <c r="EI250" s="65"/>
      <c r="EJ250" s="65"/>
      <c r="EK250" s="65"/>
      <c r="EL250" s="65"/>
      <c r="EM250" s="65"/>
      <c r="EN250" s="65"/>
      <c r="EO250" s="65"/>
    </row>
    <row r="251" spans="1:145" s="62" customFormat="1" x14ac:dyDescent="0.2">
      <c r="A251" s="74">
        <v>6</v>
      </c>
      <c r="B251" s="146" t="s">
        <v>110</v>
      </c>
      <c r="C251" s="125" t="s">
        <v>17</v>
      </c>
      <c r="D251" s="122">
        <f>-Riders!D22</f>
        <v>1360.4399999999998</v>
      </c>
      <c r="E251" s="122">
        <f>-Riders!E22</f>
        <v>1333.7</v>
      </c>
      <c r="F251" s="122">
        <f>-Riders!F22</f>
        <v>1344.3799999999999</v>
      </c>
      <c r="G251" s="122">
        <f>-Riders!G22</f>
        <v>1340.89</v>
      </c>
      <c r="H251" s="122">
        <f>-Riders!H22</f>
        <v>1350.77</v>
      </c>
      <c r="I251" s="122">
        <f>-Riders!I22</f>
        <v>1335.72</v>
      </c>
      <c r="J251" s="122">
        <f>-Riders!J22</f>
        <v>1371.1499999999999</v>
      </c>
      <c r="K251" s="122">
        <f>-Riders!K22</f>
        <v>1367.35</v>
      </c>
      <c r="L251" s="122">
        <f>-Riders!L22</f>
        <v>1387.54</v>
      </c>
      <c r="M251" s="122">
        <f>-Riders!M22</f>
        <v>1364.22</v>
      </c>
      <c r="N251" s="122">
        <f>-Riders!N22</f>
        <v>1378.4299999999998</v>
      </c>
      <c r="O251" s="122">
        <f>-Riders!O22</f>
        <v>1358.39</v>
      </c>
      <c r="P251" s="156">
        <f>SUM(D251:O251)</f>
        <v>16292.980000000001</v>
      </c>
      <c r="Q251" s="215"/>
      <c r="R251" s="214"/>
      <c r="S251" s="117"/>
      <c r="T251" s="117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/>
      <c r="BM251" s="65"/>
      <c r="BN251" s="65"/>
      <c r="BO251" s="65"/>
      <c r="BP251" s="65"/>
      <c r="BQ251" s="65"/>
      <c r="BR251" s="65"/>
      <c r="BS251" s="65"/>
      <c r="BT251" s="65"/>
      <c r="BU251" s="65"/>
      <c r="BV251" s="65"/>
      <c r="BW251" s="65"/>
      <c r="BX251" s="65"/>
      <c r="BY251" s="65"/>
      <c r="BZ251" s="65"/>
      <c r="CA251" s="65"/>
      <c r="CB251" s="65"/>
      <c r="CC251" s="65"/>
      <c r="CD251" s="65"/>
      <c r="CE251" s="65"/>
      <c r="CF251" s="65"/>
      <c r="CG251" s="65"/>
      <c r="CH251" s="65"/>
      <c r="CI251" s="65"/>
      <c r="CJ251" s="65"/>
      <c r="CK251" s="65"/>
      <c r="CL251" s="65"/>
      <c r="CM251" s="65"/>
      <c r="CN251" s="65"/>
      <c r="CO251" s="65"/>
      <c r="CP251" s="65"/>
      <c r="CQ251" s="65"/>
      <c r="CR251" s="65"/>
      <c r="CS251" s="65"/>
      <c r="CT251" s="65"/>
      <c r="CU251" s="65"/>
      <c r="CV251" s="65"/>
      <c r="CW251" s="65"/>
      <c r="CX251" s="65"/>
      <c r="CY251" s="65"/>
      <c r="CZ251" s="65"/>
      <c r="DA251" s="65"/>
      <c r="DB251" s="65"/>
      <c r="DC251" s="65"/>
      <c r="DD251" s="65"/>
      <c r="DE251" s="65"/>
      <c r="DF251" s="65"/>
      <c r="DG251" s="65"/>
      <c r="DH251" s="65"/>
      <c r="DI251" s="65"/>
      <c r="DJ251" s="65"/>
      <c r="DK251" s="65"/>
      <c r="DL251" s="65"/>
      <c r="DM251" s="65"/>
      <c r="DN251" s="65"/>
      <c r="DO251" s="65"/>
      <c r="DP251" s="65"/>
      <c r="DQ251" s="65"/>
      <c r="DR251" s="65"/>
      <c r="DS251" s="65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5"/>
      <c r="EE251" s="65"/>
      <c r="EF251" s="65"/>
      <c r="EG251" s="65"/>
      <c r="EH251" s="65"/>
      <c r="EI251" s="65"/>
      <c r="EJ251" s="65"/>
      <c r="EK251" s="65"/>
      <c r="EL251" s="65"/>
      <c r="EM251" s="65"/>
      <c r="EN251" s="65"/>
      <c r="EO251" s="65"/>
    </row>
    <row r="252" spans="1:145" s="62" customFormat="1" x14ac:dyDescent="0.2">
      <c r="A252" s="74">
        <v>7</v>
      </c>
      <c r="B252" s="146" t="s">
        <v>111</v>
      </c>
      <c r="C252" s="125" t="s">
        <v>17</v>
      </c>
      <c r="D252" s="123">
        <f>-Riders!D23</f>
        <v>0</v>
      </c>
      <c r="E252" s="123">
        <f>-Riders!E23</f>
        <v>0</v>
      </c>
      <c r="F252" s="123">
        <f>-Riders!F23</f>
        <v>0</v>
      </c>
      <c r="G252" s="123">
        <f>-Riders!G23</f>
        <v>0</v>
      </c>
      <c r="H252" s="123">
        <f>-Riders!H23</f>
        <v>0</v>
      </c>
      <c r="I252" s="123">
        <f>-Riders!I23</f>
        <v>0</v>
      </c>
      <c r="J252" s="123">
        <f>-Riders!J23</f>
        <v>0</v>
      </c>
      <c r="K252" s="123">
        <f>-Riders!K23</f>
        <v>0</v>
      </c>
      <c r="L252" s="123">
        <f>-Riders!L23</f>
        <v>0</v>
      </c>
      <c r="M252" s="123">
        <f>-Riders!M23</f>
        <v>0</v>
      </c>
      <c r="N252" s="123">
        <f>-Riders!N23</f>
        <v>0</v>
      </c>
      <c r="O252" s="123">
        <f>-Riders!O23</f>
        <v>0</v>
      </c>
      <c r="P252" s="173">
        <f>SUM(D252:O252)</f>
        <v>0</v>
      </c>
      <c r="Q252" s="216"/>
      <c r="R252" s="214"/>
      <c r="S252" s="117"/>
      <c r="T252" s="117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65"/>
      <c r="BU252" s="65"/>
      <c r="BV252" s="65"/>
      <c r="BW252" s="65"/>
      <c r="BX252" s="65"/>
      <c r="BY252" s="65"/>
      <c r="BZ252" s="65"/>
      <c r="CA252" s="65"/>
      <c r="CB252" s="65"/>
      <c r="CC252" s="65"/>
      <c r="CD252" s="65"/>
      <c r="CE252" s="65"/>
      <c r="CF252" s="65"/>
      <c r="CG252" s="65"/>
      <c r="CH252" s="65"/>
      <c r="CI252" s="65"/>
      <c r="CJ252" s="65"/>
      <c r="CK252" s="65"/>
      <c r="CL252" s="65"/>
      <c r="CM252" s="65"/>
      <c r="CN252" s="65"/>
      <c r="CO252" s="65"/>
      <c r="CP252" s="65"/>
      <c r="CQ252" s="65"/>
      <c r="CR252" s="65"/>
      <c r="CS252" s="65"/>
      <c r="CT252" s="65"/>
      <c r="CU252" s="65"/>
      <c r="CV252" s="65"/>
      <c r="CW252" s="65"/>
      <c r="CX252" s="65"/>
      <c r="CY252" s="65"/>
      <c r="CZ252" s="65"/>
      <c r="DA252" s="65"/>
      <c r="DB252" s="65"/>
      <c r="DC252" s="65"/>
      <c r="DD252" s="65"/>
      <c r="DE252" s="65"/>
      <c r="DF252" s="65"/>
      <c r="DG252" s="65"/>
      <c r="DH252" s="65"/>
      <c r="DI252" s="65"/>
      <c r="DJ252" s="65"/>
      <c r="DK252" s="65"/>
      <c r="DL252" s="65"/>
      <c r="DM252" s="65"/>
      <c r="DN252" s="65"/>
      <c r="DO252" s="65"/>
      <c r="DP252" s="65"/>
      <c r="DQ252" s="65"/>
      <c r="DR252" s="65"/>
      <c r="DS252" s="65"/>
      <c r="DT252" s="65"/>
      <c r="DU252" s="65"/>
      <c r="DV252" s="65"/>
      <c r="DW252" s="65"/>
      <c r="DX252" s="65"/>
      <c r="DY252" s="65"/>
      <c r="DZ252" s="65"/>
      <c r="EA252" s="65"/>
      <c r="EB252" s="65"/>
      <c r="EC252" s="65"/>
      <c r="ED252" s="65"/>
      <c r="EE252" s="65"/>
      <c r="EF252" s="65"/>
      <c r="EG252" s="65"/>
      <c r="EH252" s="65"/>
      <c r="EI252" s="65"/>
      <c r="EJ252" s="65"/>
      <c r="EK252" s="65"/>
      <c r="EL252" s="65"/>
      <c r="EM252" s="65"/>
      <c r="EN252" s="65"/>
      <c r="EO252" s="65"/>
    </row>
    <row r="253" spans="1:145" s="62" customFormat="1" x14ac:dyDescent="0.2">
      <c r="A253" s="74">
        <v>8</v>
      </c>
      <c r="B253" s="129" t="s">
        <v>31</v>
      </c>
      <c r="C253" s="125"/>
      <c r="D253" s="122">
        <f t="shared" ref="D253:P253" si="55">SUM(D251:D252)</f>
        <v>1360.4399999999998</v>
      </c>
      <c r="E253" s="122">
        <f t="shared" si="55"/>
        <v>1333.7</v>
      </c>
      <c r="F253" s="122">
        <f t="shared" si="55"/>
        <v>1344.3799999999999</v>
      </c>
      <c r="G253" s="122">
        <f t="shared" si="55"/>
        <v>1340.89</v>
      </c>
      <c r="H253" s="122">
        <f t="shared" si="55"/>
        <v>1350.77</v>
      </c>
      <c r="I253" s="122">
        <f t="shared" si="55"/>
        <v>1335.72</v>
      </c>
      <c r="J253" s="122">
        <f t="shared" si="55"/>
        <v>1371.1499999999999</v>
      </c>
      <c r="K253" s="122">
        <f t="shared" si="55"/>
        <v>1367.35</v>
      </c>
      <c r="L253" s="122">
        <f t="shared" si="55"/>
        <v>1387.54</v>
      </c>
      <c r="M253" s="122">
        <f t="shared" si="55"/>
        <v>1364.22</v>
      </c>
      <c r="N253" s="122">
        <f t="shared" si="55"/>
        <v>1378.4299999999998</v>
      </c>
      <c r="O253" s="122">
        <f t="shared" si="55"/>
        <v>1358.39</v>
      </c>
      <c r="P253" s="122">
        <f t="shared" si="55"/>
        <v>16292.980000000001</v>
      </c>
      <c r="Q253" s="117"/>
      <c r="R253" s="117"/>
      <c r="S253" s="117"/>
      <c r="T253" s="117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  <c r="BE253" s="65"/>
      <c r="BF253" s="65"/>
      <c r="BG253" s="65"/>
      <c r="BH253" s="65"/>
      <c r="BI253" s="65"/>
      <c r="BJ253" s="65"/>
      <c r="BK253" s="65"/>
      <c r="BL253" s="65"/>
      <c r="BM253" s="65"/>
      <c r="BN253" s="65"/>
      <c r="BO253" s="65"/>
      <c r="BP253" s="65"/>
      <c r="BQ253" s="65"/>
      <c r="BR253" s="65"/>
      <c r="BS253" s="65"/>
      <c r="BT253" s="65"/>
      <c r="BU253" s="65"/>
      <c r="BV253" s="65"/>
      <c r="BW253" s="65"/>
      <c r="BX253" s="65"/>
      <c r="BY253" s="65"/>
      <c r="BZ253" s="65"/>
      <c r="CA253" s="65"/>
      <c r="CB253" s="65"/>
      <c r="CC253" s="65"/>
      <c r="CD253" s="65"/>
      <c r="CE253" s="65"/>
      <c r="CF253" s="65"/>
      <c r="CG253" s="65"/>
      <c r="CH253" s="65"/>
      <c r="CI253" s="65"/>
      <c r="CJ253" s="65"/>
      <c r="CK253" s="65"/>
      <c r="CL253" s="65"/>
      <c r="CM253" s="65"/>
      <c r="CN253" s="65"/>
      <c r="CO253" s="65"/>
      <c r="CP253" s="65"/>
      <c r="CQ253" s="65"/>
      <c r="CR253" s="65"/>
      <c r="CS253" s="65"/>
      <c r="CT253" s="65"/>
      <c r="CU253" s="65"/>
      <c r="CV253" s="65"/>
      <c r="CW253" s="65"/>
      <c r="CX253" s="65"/>
      <c r="CY253" s="65"/>
      <c r="CZ253" s="65"/>
      <c r="DA253" s="65"/>
      <c r="DB253" s="65"/>
      <c r="DC253" s="65"/>
      <c r="DD253" s="65"/>
      <c r="DE253" s="65"/>
      <c r="DF253" s="65"/>
      <c r="DG253" s="65"/>
      <c r="DH253" s="65"/>
      <c r="DI253" s="65"/>
      <c r="DJ253" s="65"/>
      <c r="DK253" s="65"/>
      <c r="DL253" s="65"/>
      <c r="DM253" s="65"/>
      <c r="DN253" s="65"/>
      <c r="DO253" s="65"/>
      <c r="DP253" s="65"/>
      <c r="DQ253" s="65"/>
      <c r="DR253" s="65"/>
      <c r="DS253" s="65"/>
      <c r="DT253" s="65"/>
      <c r="DU253" s="65"/>
      <c r="DV253" s="65"/>
      <c r="DW253" s="65"/>
      <c r="DX253" s="65"/>
      <c r="DY253" s="65"/>
      <c r="DZ253" s="65"/>
      <c r="EA253" s="65"/>
      <c r="EB253" s="65"/>
      <c r="EC253" s="65"/>
      <c r="ED253" s="65"/>
      <c r="EE253" s="65"/>
      <c r="EF253" s="65"/>
      <c r="EG253" s="65"/>
      <c r="EH253" s="65"/>
      <c r="EI253" s="65"/>
      <c r="EJ253" s="65"/>
      <c r="EK253" s="65"/>
      <c r="EL253" s="65"/>
      <c r="EM253" s="65"/>
      <c r="EN253" s="65"/>
      <c r="EO253" s="65"/>
    </row>
    <row r="254" spans="1:145" s="62" customFormat="1" x14ac:dyDescent="0.2">
      <c r="A254" s="74"/>
      <c r="B254" s="129"/>
      <c r="C254" s="125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56"/>
      <c r="Q254" s="117"/>
      <c r="R254" s="117"/>
      <c r="S254" s="117"/>
      <c r="T254" s="117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  <c r="BN254" s="65"/>
      <c r="BO254" s="65"/>
      <c r="BP254" s="65"/>
      <c r="BQ254" s="65"/>
      <c r="BR254" s="65"/>
      <c r="BS254" s="65"/>
      <c r="BT254" s="65"/>
      <c r="BU254" s="65"/>
      <c r="BV254" s="65"/>
      <c r="BW254" s="65"/>
      <c r="BX254" s="65"/>
      <c r="BY254" s="65"/>
      <c r="BZ254" s="65"/>
      <c r="CA254" s="65"/>
      <c r="CB254" s="65"/>
      <c r="CC254" s="65"/>
      <c r="CD254" s="65"/>
      <c r="CE254" s="65"/>
      <c r="CF254" s="65"/>
      <c r="CG254" s="65"/>
      <c r="CH254" s="65"/>
      <c r="CI254" s="65"/>
      <c r="CJ254" s="65"/>
      <c r="CK254" s="65"/>
      <c r="CL254" s="65"/>
      <c r="CM254" s="65"/>
      <c r="CN254" s="65"/>
      <c r="CO254" s="65"/>
      <c r="CP254" s="65"/>
      <c r="CQ254" s="65"/>
      <c r="CR254" s="65"/>
      <c r="CS254" s="65"/>
      <c r="CT254" s="65"/>
      <c r="CU254" s="65"/>
      <c r="CV254" s="65"/>
      <c r="CW254" s="65"/>
      <c r="CX254" s="65"/>
      <c r="CY254" s="65"/>
      <c r="CZ254" s="65"/>
      <c r="DA254" s="65"/>
      <c r="DB254" s="65"/>
      <c r="DC254" s="65"/>
      <c r="DD254" s="65"/>
      <c r="DE254" s="65"/>
      <c r="DF254" s="65"/>
      <c r="DG254" s="65"/>
      <c r="DH254" s="65"/>
      <c r="DI254" s="65"/>
      <c r="DJ254" s="65"/>
      <c r="DK254" s="65"/>
      <c r="DL254" s="65"/>
      <c r="DM254" s="65"/>
      <c r="DN254" s="65"/>
      <c r="DO254" s="65"/>
      <c r="DP254" s="65"/>
      <c r="DQ254" s="65"/>
      <c r="DR254" s="65"/>
      <c r="DS254" s="65"/>
      <c r="DT254" s="65"/>
      <c r="DU254" s="65"/>
      <c r="DV254" s="65"/>
      <c r="DW254" s="65"/>
      <c r="DX254" s="65"/>
      <c r="DY254" s="65"/>
      <c r="DZ254" s="65"/>
      <c r="EA254" s="65"/>
      <c r="EB254" s="65"/>
      <c r="EC254" s="65"/>
      <c r="ED254" s="65"/>
      <c r="EE254" s="65"/>
      <c r="EF254" s="65"/>
      <c r="EG254" s="65"/>
      <c r="EH254" s="65"/>
      <c r="EI254" s="65"/>
      <c r="EJ254" s="65"/>
      <c r="EK254" s="65"/>
      <c r="EL254" s="65"/>
      <c r="EM254" s="65"/>
      <c r="EN254" s="65"/>
      <c r="EO254" s="65"/>
    </row>
    <row r="255" spans="1:145" s="62" customFormat="1" x14ac:dyDescent="0.2">
      <c r="A255" s="74">
        <v>9</v>
      </c>
      <c r="B255" s="162" t="s">
        <v>115</v>
      </c>
      <c r="C255" s="125" t="s">
        <v>18</v>
      </c>
      <c r="D255" s="122">
        <f>-Riders!D26</f>
        <v>0</v>
      </c>
      <c r="E255" s="122">
        <f>-Riders!E26</f>
        <v>0</v>
      </c>
      <c r="F255" s="122">
        <f>-Riders!F26</f>
        <v>0</v>
      </c>
      <c r="G255" s="122">
        <f>-Riders!G26</f>
        <v>0</v>
      </c>
      <c r="H255" s="122">
        <f>-Riders!H26</f>
        <v>0</v>
      </c>
      <c r="I255" s="122">
        <f>-Riders!I26</f>
        <v>0</v>
      </c>
      <c r="J255" s="122">
        <f>-Riders!J26</f>
        <v>0</v>
      </c>
      <c r="K255" s="122">
        <f>-Riders!K26</f>
        <v>0</v>
      </c>
      <c r="L255" s="122">
        <f>-Riders!L26</f>
        <v>0</v>
      </c>
      <c r="M255" s="122">
        <f>-Riders!M26</f>
        <v>0</v>
      </c>
      <c r="N255" s="122">
        <f>-Riders!N26</f>
        <v>0</v>
      </c>
      <c r="O255" s="122">
        <f>-Riders!O26</f>
        <v>0</v>
      </c>
      <c r="P255" s="156">
        <f>SUM(D255:O255)</f>
        <v>0</v>
      </c>
      <c r="Q255" s="117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  <c r="BE255" s="65"/>
      <c r="BF255" s="65"/>
      <c r="BG255" s="65"/>
      <c r="BH255" s="65"/>
      <c r="BI255" s="65"/>
      <c r="BJ255" s="65"/>
      <c r="BK255" s="65"/>
      <c r="BL255" s="65"/>
      <c r="BM255" s="65"/>
      <c r="BN255" s="65"/>
      <c r="BO255" s="65"/>
      <c r="BP255" s="65"/>
      <c r="BQ255" s="65"/>
      <c r="BR255" s="65"/>
      <c r="BS255" s="65"/>
      <c r="BT255" s="65"/>
      <c r="BU255" s="65"/>
      <c r="BV255" s="65"/>
      <c r="BW255" s="65"/>
      <c r="BX255" s="65"/>
      <c r="BY255" s="65"/>
      <c r="BZ255" s="65"/>
      <c r="CA255" s="65"/>
      <c r="CB255" s="65"/>
      <c r="CC255" s="65"/>
      <c r="CD255" s="65"/>
      <c r="CE255" s="65"/>
      <c r="CF255" s="65"/>
      <c r="CG255" s="65"/>
      <c r="CH255" s="65"/>
      <c r="CI255" s="65"/>
      <c r="CJ255" s="65"/>
      <c r="CK255" s="65"/>
      <c r="CL255" s="65"/>
      <c r="CM255" s="65"/>
      <c r="CN255" s="65"/>
      <c r="CO255" s="65"/>
      <c r="CP255" s="65"/>
      <c r="CQ255" s="65"/>
      <c r="CR255" s="65"/>
      <c r="CS255" s="65"/>
      <c r="CT255" s="65"/>
      <c r="CU255" s="65"/>
      <c r="CV255" s="65"/>
      <c r="CW255" s="65"/>
      <c r="CX255" s="65"/>
      <c r="CY255" s="65"/>
      <c r="CZ255" s="65"/>
      <c r="DA255" s="65"/>
      <c r="DB255" s="65"/>
      <c r="DC255" s="65"/>
      <c r="DD255" s="65"/>
      <c r="DE255" s="65"/>
      <c r="DF255" s="65"/>
      <c r="DG255" s="65"/>
      <c r="DH255" s="65"/>
      <c r="DI255" s="65"/>
      <c r="DJ255" s="65"/>
      <c r="DK255" s="65"/>
      <c r="DL255" s="65"/>
      <c r="DM255" s="65"/>
      <c r="DN255" s="65"/>
      <c r="DO255" s="65"/>
      <c r="DP255" s="65"/>
      <c r="DQ255" s="65"/>
      <c r="DR255" s="65"/>
      <c r="DS255" s="65"/>
      <c r="DT255" s="65"/>
      <c r="DU255" s="65"/>
      <c r="DV255" s="65"/>
      <c r="DW255" s="65"/>
      <c r="DX255" s="65"/>
      <c r="DY255" s="65"/>
      <c r="DZ255" s="65"/>
      <c r="EA255" s="65"/>
      <c r="EB255" s="65"/>
      <c r="EC255" s="65"/>
      <c r="ED255" s="65"/>
      <c r="EE255" s="65"/>
      <c r="EF255" s="65"/>
      <c r="EG255" s="65"/>
      <c r="EH255" s="65"/>
      <c r="EI255" s="65"/>
      <c r="EJ255" s="65"/>
      <c r="EK255" s="65"/>
      <c r="EL255" s="65"/>
      <c r="EM255" s="65"/>
      <c r="EN255" s="65"/>
      <c r="EO255" s="65"/>
    </row>
    <row r="256" spans="1:145" s="62" customFormat="1" x14ac:dyDescent="0.2">
      <c r="B256" s="129"/>
      <c r="C256" s="143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22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  <c r="BM256" s="65"/>
      <c r="BN256" s="65"/>
      <c r="BO256" s="65"/>
      <c r="BP256" s="65"/>
      <c r="BQ256" s="65"/>
      <c r="BR256" s="65"/>
      <c r="BS256" s="65"/>
      <c r="BT256" s="65"/>
      <c r="BU256" s="65"/>
      <c r="BV256" s="65"/>
      <c r="BW256" s="65"/>
      <c r="BX256" s="65"/>
      <c r="BY256" s="65"/>
      <c r="BZ256" s="65"/>
      <c r="CA256" s="65"/>
      <c r="CB256" s="65"/>
      <c r="CC256" s="65"/>
      <c r="CD256" s="65"/>
      <c r="CE256" s="65"/>
      <c r="CF256" s="65"/>
      <c r="CG256" s="65"/>
      <c r="CH256" s="65"/>
      <c r="CI256" s="65"/>
      <c r="CJ256" s="65"/>
      <c r="CK256" s="65"/>
      <c r="CL256" s="65"/>
      <c r="CM256" s="65"/>
      <c r="CN256" s="65"/>
      <c r="CO256" s="65"/>
      <c r="CP256" s="65"/>
      <c r="CQ256" s="65"/>
      <c r="CR256" s="65"/>
      <c r="CS256" s="65"/>
      <c r="CT256" s="65"/>
      <c r="CU256" s="65"/>
      <c r="CV256" s="65"/>
      <c r="CW256" s="65"/>
      <c r="CX256" s="65"/>
      <c r="CY256" s="65"/>
      <c r="CZ256" s="65"/>
      <c r="DA256" s="65"/>
      <c r="DB256" s="65"/>
      <c r="DC256" s="65"/>
      <c r="DD256" s="65"/>
      <c r="DE256" s="65"/>
      <c r="DF256" s="65"/>
      <c r="DG256" s="65"/>
      <c r="DH256" s="65"/>
      <c r="DI256" s="65"/>
      <c r="DJ256" s="65"/>
      <c r="DK256" s="65"/>
      <c r="DL256" s="65"/>
      <c r="DM256" s="65"/>
      <c r="DN256" s="65"/>
      <c r="DO256" s="65"/>
      <c r="DP256" s="65"/>
      <c r="DQ256" s="65"/>
      <c r="DR256" s="65"/>
      <c r="DS256" s="65"/>
      <c r="DT256" s="65"/>
      <c r="DU256" s="65"/>
      <c r="DV256" s="65"/>
      <c r="DW256" s="65"/>
      <c r="DX256" s="65"/>
      <c r="DY256" s="65"/>
      <c r="DZ256" s="65"/>
      <c r="EA256" s="65"/>
      <c r="EB256" s="65"/>
      <c r="EC256" s="65"/>
      <c r="ED256" s="65"/>
      <c r="EE256" s="65"/>
      <c r="EF256" s="65"/>
      <c r="EG256" s="65"/>
      <c r="EH256" s="65"/>
      <c r="EI256" s="65"/>
      <c r="EJ256" s="65"/>
      <c r="EK256" s="65"/>
      <c r="EL256" s="65"/>
      <c r="EM256" s="65"/>
      <c r="EN256" s="65"/>
      <c r="EO256" s="65"/>
    </row>
    <row r="257" spans="1:145" s="62" customFormat="1" x14ac:dyDescent="0.2">
      <c r="A257" s="74">
        <v>10</v>
      </c>
      <c r="B257" s="117" t="s">
        <v>33</v>
      </c>
      <c r="C257" s="125" t="s">
        <v>16</v>
      </c>
      <c r="D257" s="122">
        <f>-Riders!D28</f>
        <v>0</v>
      </c>
      <c r="E257" s="122">
        <f>-Riders!E28</f>
        <v>0</v>
      </c>
      <c r="F257" s="122">
        <f>-Riders!F28</f>
        <v>0</v>
      </c>
      <c r="G257" s="122">
        <f>-Riders!G28</f>
        <v>0</v>
      </c>
      <c r="H257" s="122">
        <f>-Riders!H28</f>
        <v>0</v>
      </c>
      <c r="I257" s="122">
        <f>-Riders!I28</f>
        <v>0</v>
      </c>
      <c r="J257" s="122">
        <f>-Riders!J28</f>
        <v>0</v>
      </c>
      <c r="K257" s="122">
        <f>-Riders!K28</f>
        <v>0</v>
      </c>
      <c r="L257" s="122">
        <f>-Riders!L28</f>
        <v>0</v>
      </c>
      <c r="M257" s="122">
        <f>-Riders!M28</f>
        <v>0</v>
      </c>
      <c r="N257" s="122">
        <f>-Riders!N28</f>
        <v>0</v>
      </c>
      <c r="O257" s="122">
        <f>-Riders!O28</f>
        <v>0</v>
      </c>
      <c r="P257" s="156">
        <f>SUM(D257:O257)</f>
        <v>0</v>
      </c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  <c r="BM257" s="65"/>
      <c r="BN257" s="65"/>
      <c r="BO257" s="65"/>
      <c r="BP257" s="65"/>
      <c r="BQ257" s="65"/>
      <c r="BR257" s="65"/>
      <c r="BS257" s="65"/>
      <c r="BT257" s="65"/>
      <c r="BU257" s="65"/>
      <c r="BV257" s="65"/>
      <c r="BW257" s="65"/>
      <c r="BX257" s="65"/>
      <c r="BY257" s="65"/>
      <c r="BZ257" s="65"/>
      <c r="CA257" s="65"/>
      <c r="CB257" s="65"/>
      <c r="CC257" s="65"/>
      <c r="CD257" s="65"/>
      <c r="CE257" s="65"/>
      <c r="CF257" s="65"/>
      <c r="CG257" s="65"/>
      <c r="CH257" s="65"/>
      <c r="CI257" s="65"/>
      <c r="CJ257" s="65"/>
      <c r="CK257" s="65"/>
      <c r="CL257" s="65"/>
      <c r="CM257" s="65"/>
      <c r="CN257" s="65"/>
      <c r="CO257" s="65"/>
      <c r="CP257" s="65"/>
      <c r="CQ257" s="65"/>
      <c r="CR257" s="65"/>
      <c r="CS257" s="65"/>
      <c r="CT257" s="65"/>
      <c r="CU257" s="65"/>
      <c r="CV257" s="65"/>
      <c r="CW257" s="65"/>
      <c r="CX257" s="65"/>
      <c r="CY257" s="65"/>
      <c r="CZ257" s="65"/>
      <c r="DA257" s="65"/>
      <c r="DB257" s="65"/>
      <c r="DC257" s="65"/>
      <c r="DD257" s="65"/>
      <c r="DE257" s="65"/>
      <c r="DF257" s="65"/>
      <c r="DG257" s="65"/>
      <c r="DH257" s="65"/>
      <c r="DI257" s="65"/>
      <c r="DJ257" s="65"/>
      <c r="DK257" s="65"/>
      <c r="DL257" s="65"/>
      <c r="DM257" s="65"/>
      <c r="DN257" s="65"/>
      <c r="DO257" s="65"/>
      <c r="DP257" s="65"/>
      <c r="DQ257" s="65"/>
      <c r="DR257" s="65"/>
      <c r="DS257" s="65"/>
      <c r="DT257" s="65"/>
      <c r="DU257" s="65"/>
      <c r="DV257" s="65"/>
      <c r="DW257" s="65"/>
      <c r="DX257" s="65"/>
      <c r="DY257" s="65"/>
      <c r="DZ257" s="65"/>
      <c r="EA257" s="65"/>
      <c r="EB257" s="65"/>
      <c r="EC257" s="65"/>
      <c r="ED257" s="65"/>
      <c r="EE257" s="65"/>
      <c r="EF257" s="65"/>
      <c r="EG257" s="65"/>
      <c r="EH257" s="65"/>
      <c r="EI257" s="65"/>
      <c r="EJ257" s="65"/>
      <c r="EK257" s="65"/>
      <c r="EL257" s="65"/>
      <c r="EM257" s="65"/>
      <c r="EN257" s="65"/>
      <c r="EO257" s="65"/>
    </row>
    <row r="258" spans="1:145" s="62" customFormat="1" x14ac:dyDescent="0.2">
      <c r="A258" s="74"/>
      <c r="B258" s="129"/>
      <c r="C258" s="143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22"/>
      <c r="P258" s="122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  <c r="BS258" s="65"/>
      <c r="BT258" s="65"/>
      <c r="BU258" s="65"/>
      <c r="BV258" s="65"/>
      <c r="BW258" s="65"/>
      <c r="BX258" s="65"/>
      <c r="BY258" s="65"/>
      <c r="BZ258" s="65"/>
      <c r="CA258" s="65"/>
      <c r="CB258" s="65"/>
      <c r="CC258" s="65"/>
      <c r="CD258" s="65"/>
      <c r="CE258" s="65"/>
      <c r="CF258" s="65"/>
      <c r="CG258" s="65"/>
      <c r="CH258" s="65"/>
      <c r="CI258" s="65"/>
      <c r="CJ258" s="65"/>
      <c r="CK258" s="65"/>
      <c r="CL258" s="65"/>
      <c r="CM258" s="65"/>
      <c r="CN258" s="65"/>
      <c r="CO258" s="65"/>
      <c r="CP258" s="65"/>
      <c r="CQ258" s="65"/>
      <c r="CR258" s="65"/>
      <c r="CS258" s="65"/>
      <c r="CT258" s="65"/>
      <c r="CU258" s="65"/>
      <c r="CV258" s="65"/>
      <c r="CW258" s="65"/>
      <c r="CX258" s="65"/>
      <c r="CY258" s="65"/>
      <c r="CZ258" s="65"/>
      <c r="DA258" s="65"/>
      <c r="DB258" s="65"/>
      <c r="DC258" s="65"/>
      <c r="DD258" s="65"/>
      <c r="DE258" s="65"/>
      <c r="DF258" s="65"/>
      <c r="DG258" s="65"/>
      <c r="DH258" s="65"/>
      <c r="DI258" s="65"/>
      <c r="DJ258" s="65"/>
      <c r="DK258" s="65"/>
      <c r="DL258" s="65"/>
      <c r="DM258" s="65"/>
      <c r="DN258" s="65"/>
      <c r="DO258" s="65"/>
      <c r="DP258" s="65"/>
      <c r="DQ258" s="65"/>
      <c r="DR258" s="65"/>
      <c r="DS258" s="65"/>
      <c r="DT258" s="65"/>
      <c r="DU258" s="65"/>
      <c r="DV258" s="65"/>
      <c r="DW258" s="65"/>
      <c r="DX258" s="65"/>
      <c r="DY258" s="65"/>
      <c r="DZ258" s="65"/>
      <c r="EA258" s="65"/>
      <c r="EB258" s="65"/>
      <c r="EC258" s="65"/>
      <c r="ED258" s="65"/>
      <c r="EE258" s="65"/>
      <c r="EF258" s="65"/>
      <c r="EG258" s="65"/>
      <c r="EH258" s="65"/>
      <c r="EI258" s="65"/>
      <c r="EJ258" s="65"/>
      <c r="EK258" s="65"/>
      <c r="EL258" s="65"/>
      <c r="EM258" s="65"/>
      <c r="EN258" s="65"/>
      <c r="EO258" s="65"/>
    </row>
    <row r="259" spans="1:145" s="62" customFormat="1" x14ac:dyDescent="0.2">
      <c r="A259" s="74">
        <v>11</v>
      </c>
      <c r="B259" s="183" t="s">
        <v>34</v>
      </c>
      <c r="C259" s="236"/>
      <c r="D259" s="184">
        <f>D257+D255+D253+D249+D245+D243</f>
        <v>-2485435.98</v>
      </c>
      <c r="E259" s="184">
        <f t="shared" ref="E259:O259" si="56">E257+E255+E253+E249+E245+E243</f>
        <v>-2477034.5900000003</v>
      </c>
      <c r="F259" s="184">
        <f t="shared" si="56"/>
        <v>-2480240.2000000002</v>
      </c>
      <c r="G259" s="184">
        <f t="shared" si="56"/>
        <v>-2485423.5</v>
      </c>
      <c r="H259" s="184">
        <f t="shared" si="56"/>
        <v>-2489375.66</v>
      </c>
      <c r="I259" s="184">
        <f t="shared" si="56"/>
        <v>-2492420.85</v>
      </c>
      <c r="J259" s="184">
        <f t="shared" si="56"/>
        <v>-2495520.35</v>
      </c>
      <c r="K259" s="184">
        <f t="shared" si="56"/>
        <v>-2493059.1799999997</v>
      </c>
      <c r="L259" s="184">
        <f t="shared" si="56"/>
        <v>-2493187.63</v>
      </c>
      <c r="M259" s="184">
        <f t="shared" si="56"/>
        <v>-2495213.0300000003</v>
      </c>
      <c r="N259" s="184">
        <f t="shared" si="56"/>
        <v>-2498928.38</v>
      </c>
      <c r="O259" s="184">
        <f t="shared" si="56"/>
        <v>-2497695.83</v>
      </c>
      <c r="P259" s="184">
        <f>P257+P255+P253+P249+P245+P243</f>
        <v>-29883535.180000003</v>
      </c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5"/>
      <c r="BU259" s="65"/>
      <c r="BV259" s="65"/>
      <c r="BW259" s="65"/>
      <c r="BX259" s="65"/>
      <c r="BY259" s="65"/>
      <c r="BZ259" s="65"/>
      <c r="CA259" s="65"/>
      <c r="CB259" s="65"/>
      <c r="CC259" s="65"/>
      <c r="CD259" s="65"/>
      <c r="CE259" s="65"/>
      <c r="CF259" s="65"/>
      <c r="CG259" s="65"/>
      <c r="CH259" s="65"/>
      <c r="CI259" s="65"/>
      <c r="CJ259" s="65"/>
      <c r="CK259" s="65"/>
      <c r="CL259" s="65"/>
      <c r="CM259" s="65"/>
      <c r="CN259" s="65"/>
      <c r="CO259" s="65"/>
      <c r="CP259" s="65"/>
      <c r="CQ259" s="65"/>
      <c r="CR259" s="65"/>
      <c r="CS259" s="65"/>
      <c r="CT259" s="65"/>
      <c r="CU259" s="65"/>
      <c r="CV259" s="65"/>
      <c r="CW259" s="65"/>
      <c r="CX259" s="65"/>
      <c r="CY259" s="65"/>
      <c r="CZ259" s="65"/>
      <c r="DA259" s="65"/>
      <c r="DB259" s="65"/>
      <c r="DC259" s="65"/>
      <c r="DD259" s="65"/>
      <c r="DE259" s="65"/>
      <c r="DF259" s="65"/>
      <c r="DG259" s="65"/>
      <c r="DH259" s="65"/>
      <c r="DI259" s="65"/>
      <c r="DJ259" s="65"/>
      <c r="DK259" s="65"/>
      <c r="DL259" s="65"/>
      <c r="DM259" s="65"/>
      <c r="DN259" s="65"/>
      <c r="DO259" s="65"/>
      <c r="DP259" s="65"/>
      <c r="DQ259" s="65"/>
      <c r="DR259" s="65"/>
      <c r="DS259" s="65"/>
      <c r="DT259" s="65"/>
      <c r="DU259" s="65"/>
      <c r="DV259" s="65"/>
      <c r="DW259" s="65"/>
      <c r="DX259" s="65"/>
      <c r="DY259" s="65"/>
      <c r="DZ259" s="65"/>
      <c r="EA259" s="65"/>
      <c r="EB259" s="65"/>
      <c r="EC259" s="65"/>
      <c r="ED259" s="65"/>
      <c r="EE259" s="65"/>
      <c r="EF259" s="65"/>
      <c r="EG259" s="65"/>
      <c r="EH259" s="65"/>
      <c r="EI259" s="65"/>
      <c r="EJ259" s="65"/>
      <c r="EK259" s="65"/>
      <c r="EL259" s="65"/>
      <c r="EM259" s="65"/>
      <c r="EN259" s="65"/>
      <c r="EO259" s="65"/>
    </row>
    <row r="260" spans="1:145" s="62" customFormat="1" x14ac:dyDescent="0.2">
      <c r="B260" s="236"/>
      <c r="C260" s="236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56"/>
      <c r="P260" s="156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/>
      <c r="BU260" s="65"/>
      <c r="BV260" s="65"/>
      <c r="BW260" s="65"/>
      <c r="BX260" s="65"/>
      <c r="BY260" s="65"/>
      <c r="BZ260" s="65"/>
      <c r="CA260" s="65"/>
      <c r="CB260" s="65"/>
      <c r="CC260" s="65"/>
      <c r="CD260" s="65"/>
      <c r="CE260" s="65"/>
      <c r="CF260" s="65"/>
      <c r="CG260" s="65"/>
      <c r="CH260" s="65"/>
      <c r="CI260" s="65"/>
      <c r="CJ260" s="65"/>
      <c r="CK260" s="65"/>
      <c r="CL260" s="65"/>
      <c r="CM260" s="65"/>
      <c r="CN260" s="65"/>
      <c r="CO260" s="65"/>
      <c r="CP260" s="65"/>
      <c r="CQ260" s="65"/>
      <c r="CR260" s="65"/>
      <c r="CS260" s="65"/>
      <c r="CT260" s="65"/>
      <c r="CU260" s="65"/>
      <c r="CV260" s="65"/>
      <c r="CW260" s="65"/>
      <c r="CX260" s="65"/>
      <c r="CY260" s="65"/>
      <c r="CZ260" s="65"/>
      <c r="DA260" s="65"/>
      <c r="DB260" s="65"/>
      <c r="DC260" s="65"/>
      <c r="DD260" s="65"/>
      <c r="DE260" s="65"/>
      <c r="DF260" s="65"/>
      <c r="DG260" s="65"/>
      <c r="DH260" s="65"/>
      <c r="DI260" s="65"/>
      <c r="DJ260" s="65"/>
      <c r="DK260" s="65"/>
      <c r="DL260" s="65"/>
      <c r="DM260" s="65"/>
      <c r="DN260" s="65"/>
      <c r="DO260" s="65"/>
      <c r="DP260" s="65"/>
      <c r="DQ260" s="65"/>
      <c r="DR260" s="65"/>
      <c r="DS260" s="65"/>
      <c r="DT260" s="65"/>
      <c r="DU260" s="65"/>
      <c r="DV260" s="65"/>
      <c r="DW260" s="65"/>
      <c r="DX260" s="65"/>
      <c r="DY260" s="65"/>
      <c r="DZ260" s="65"/>
      <c r="EA260" s="65"/>
      <c r="EB260" s="65"/>
      <c r="EC260" s="65"/>
      <c r="ED260" s="65"/>
      <c r="EE260" s="65"/>
      <c r="EF260" s="65"/>
      <c r="EG260" s="65"/>
      <c r="EH260" s="65"/>
      <c r="EI260" s="65"/>
      <c r="EJ260" s="65"/>
      <c r="EK260" s="65"/>
      <c r="EL260" s="65"/>
      <c r="EM260" s="65"/>
      <c r="EN260" s="65"/>
      <c r="EO260" s="65"/>
    </row>
    <row r="261" spans="1:145" s="62" customFormat="1" x14ac:dyDescent="0.2">
      <c r="A261" s="74">
        <v>12</v>
      </c>
      <c r="B261" s="148" t="s">
        <v>91</v>
      </c>
      <c r="C261" s="125" t="s">
        <v>17</v>
      </c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56">
        <f>SUM(D261:O261)</f>
        <v>0</v>
      </c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  <c r="BE261" s="65"/>
      <c r="BF261" s="65"/>
      <c r="BG261" s="65"/>
      <c r="BH261" s="65"/>
      <c r="BI261" s="65"/>
      <c r="BJ261" s="65"/>
      <c r="BK261" s="65"/>
      <c r="BL261" s="65"/>
      <c r="BM261" s="65"/>
      <c r="BN261" s="65"/>
      <c r="BO261" s="65"/>
      <c r="BP261" s="65"/>
      <c r="BQ261" s="65"/>
      <c r="BR261" s="65"/>
      <c r="BS261" s="65"/>
      <c r="BT261" s="65"/>
      <c r="BU261" s="65"/>
      <c r="BV261" s="65"/>
      <c r="BW261" s="65"/>
      <c r="BX261" s="65"/>
      <c r="BY261" s="65"/>
      <c r="BZ261" s="65"/>
      <c r="CA261" s="65"/>
      <c r="CB261" s="65"/>
      <c r="CC261" s="65"/>
      <c r="CD261" s="65"/>
      <c r="CE261" s="65"/>
      <c r="CF261" s="65"/>
      <c r="CG261" s="65"/>
      <c r="CH261" s="65"/>
      <c r="CI261" s="65"/>
      <c r="CJ261" s="65"/>
      <c r="CK261" s="65"/>
      <c r="CL261" s="65"/>
      <c r="CM261" s="65"/>
      <c r="CN261" s="65"/>
      <c r="CO261" s="65"/>
      <c r="CP261" s="65"/>
      <c r="CQ261" s="65"/>
      <c r="CR261" s="65"/>
      <c r="CS261" s="65"/>
      <c r="CT261" s="65"/>
      <c r="CU261" s="65"/>
      <c r="CV261" s="65"/>
      <c r="CW261" s="65"/>
      <c r="CX261" s="65"/>
      <c r="CY261" s="65"/>
      <c r="CZ261" s="65"/>
      <c r="DA261" s="65"/>
      <c r="DB261" s="65"/>
      <c r="DC261" s="65"/>
      <c r="DD261" s="65"/>
      <c r="DE261" s="65"/>
      <c r="DF261" s="65"/>
      <c r="DG261" s="65"/>
      <c r="DH261" s="65"/>
      <c r="DI261" s="65"/>
      <c r="DJ261" s="65"/>
      <c r="DK261" s="65"/>
      <c r="DL261" s="65"/>
      <c r="DM261" s="65"/>
      <c r="DN261" s="65"/>
      <c r="DO261" s="65"/>
      <c r="DP261" s="65"/>
      <c r="DQ261" s="65"/>
      <c r="DR261" s="65"/>
      <c r="DS261" s="65"/>
      <c r="DT261" s="65"/>
      <c r="DU261" s="65"/>
      <c r="DV261" s="65"/>
      <c r="DW261" s="65"/>
      <c r="DX261" s="65"/>
      <c r="DY261" s="65"/>
      <c r="DZ261" s="65"/>
      <c r="EA261" s="65"/>
      <c r="EB261" s="65"/>
      <c r="EC261" s="65"/>
      <c r="ED261" s="65"/>
      <c r="EE261" s="65"/>
      <c r="EF261" s="65"/>
      <c r="EG261" s="65"/>
      <c r="EH261" s="65"/>
      <c r="EI261" s="65"/>
      <c r="EJ261" s="65"/>
      <c r="EK261" s="65"/>
      <c r="EL261" s="65"/>
      <c r="EM261" s="65"/>
      <c r="EN261" s="65"/>
      <c r="EO261" s="65"/>
    </row>
    <row r="262" spans="1:145" s="62" customFormat="1" x14ac:dyDescent="0.2">
      <c r="A262" s="74">
        <v>13</v>
      </c>
      <c r="B262" s="148" t="s">
        <v>92</v>
      </c>
      <c r="C262" s="125" t="s">
        <v>18</v>
      </c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73">
        <f>SUM(D262:O262)</f>
        <v>0</v>
      </c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/>
      <c r="BF262" s="65"/>
      <c r="BG262" s="65"/>
      <c r="BH262" s="65"/>
      <c r="BI262" s="65"/>
      <c r="BJ262" s="65"/>
      <c r="BK262" s="65"/>
      <c r="BL262" s="65"/>
      <c r="BM262" s="65"/>
      <c r="BN262" s="65"/>
      <c r="BO262" s="65"/>
      <c r="BP262" s="65"/>
      <c r="BQ262" s="65"/>
      <c r="BR262" s="65"/>
      <c r="BS262" s="65"/>
      <c r="BT262" s="65"/>
      <c r="BU262" s="65"/>
      <c r="BV262" s="65"/>
      <c r="BW262" s="65"/>
      <c r="BX262" s="65"/>
      <c r="BY262" s="65"/>
      <c r="BZ262" s="65"/>
      <c r="CA262" s="65"/>
      <c r="CB262" s="65"/>
      <c r="CC262" s="65"/>
      <c r="CD262" s="65"/>
      <c r="CE262" s="65"/>
      <c r="CF262" s="65"/>
      <c r="CG262" s="65"/>
      <c r="CH262" s="65"/>
      <c r="CI262" s="65"/>
      <c r="CJ262" s="65"/>
      <c r="CK262" s="65"/>
      <c r="CL262" s="65"/>
      <c r="CM262" s="65"/>
      <c r="CN262" s="65"/>
      <c r="CO262" s="65"/>
      <c r="CP262" s="65"/>
      <c r="CQ262" s="65"/>
      <c r="CR262" s="65"/>
      <c r="CS262" s="65"/>
      <c r="CT262" s="65"/>
      <c r="CU262" s="65"/>
      <c r="CV262" s="65"/>
      <c r="CW262" s="65"/>
      <c r="CX262" s="65"/>
      <c r="CY262" s="65"/>
      <c r="CZ262" s="65"/>
      <c r="DA262" s="65"/>
      <c r="DB262" s="65"/>
      <c r="DC262" s="65"/>
      <c r="DD262" s="65"/>
      <c r="DE262" s="65"/>
      <c r="DF262" s="65"/>
      <c r="DG262" s="65"/>
      <c r="DH262" s="65"/>
      <c r="DI262" s="65"/>
      <c r="DJ262" s="65"/>
      <c r="DK262" s="65"/>
      <c r="DL262" s="65"/>
      <c r="DM262" s="65"/>
      <c r="DN262" s="65"/>
      <c r="DO262" s="65"/>
      <c r="DP262" s="65"/>
      <c r="DQ262" s="65"/>
      <c r="DR262" s="65"/>
      <c r="DS262" s="65"/>
      <c r="DT262" s="65"/>
      <c r="DU262" s="65"/>
      <c r="DV262" s="65"/>
      <c r="DW262" s="65"/>
      <c r="DX262" s="65"/>
      <c r="DY262" s="65"/>
      <c r="DZ262" s="65"/>
      <c r="EA262" s="65"/>
      <c r="EB262" s="65"/>
      <c r="EC262" s="65"/>
      <c r="ED262" s="65"/>
      <c r="EE262" s="65"/>
      <c r="EF262" s="65"/>
      <c r="EG262" s="65"/>
      <c r="EH262" s="65"/>
      <c r="EI262" s="65"/>
      <c r="EJ262" s="65"/>
      <c r="EK262" s="65"/>
      <c r="EL262" s="65"/>
      <c r="EM262" s="65"/>
      <c r="EN262" s="65"/>
      <c r="EO262" s="65"/>
    </row>
    <row r="263" spans="1:145" s="62" customFormat="1" x14ac:dyDescent="0.2">
      <c r="A263" s="74">
        <v>14</v>
      </c>
      <c r="B263" s="183" t="s">
        <v>35</v>
      </c>
      <c r="C263" s="238"/>
      <c r="D263" s="169">
        <f t="shared" ref="D263:P263" si="57">SUM(D261:D262)</f>
        <v>0</v>
      </c>
      <c r="E263" s="169">
        <f t="shared" si="57"/>
        <v>0</v>
      </c>
      <c r="F263" s="169">
        <f t="shared" si="57"/>
        <v>0</v>
      </c>
      <c r="G263" s="169">
        <f t="shared" si="57"/>
        <v>0</v>
      </c>
      <c r="H263" s="169">
        <f t="shared" si="57"/>
        <v>0</v>
      </c>
      <c r="I263" s="169">
        <f t="shared" si="57"/>
        <v>0</v>
      </c>
      <c r="J263" s="169">
        <f t="shared" si="57"/>
        <v>0</v>
      </c>
      <c r="K263" s="169">
        <f t="shared" si="57"/>
        <v>0</v>
      </c>
      <c r="L263" s="169">
        <f t="shared" si="57"/>
        <v>0</v>
      </c>
      <c r="M263" s="169">
        <f t="shared" si="57"/>
        <v>0</v>
      </c>
      <c r="N263" s="169">
        <f t="shared" si="57"/>
        <v>0</v>
      </c>
      <c r="O263" s="156">
        <f t="shared" si="57"/>
        <v>0</v>
      </c>
      <c r="P263" s="156">
        <f t="shared" si="57"/>
        <v>0</v>
      </c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  <c r="BE263" s="65"/>
      <c r="BF263" s="65"/>
      <c r="BG263" s="65"/>
      <c r="BH263" s="65"/>
      <c r="BI263" s="65"/>
      <c r="BJ263" s="65"/>
      <c r="BK263" s="65"/>
      <c r="BL263" s="65"/>
      <c r="BM263" s="65"/>
      <c r="BN263" s="65"/>
      <c r="BO263" s="65"/>
      <c r="BP263" s="65"/>
      <c r="BQ263" s="65"/>
      <c r="BR263" s="65"/>
      <c r="BS263" s="65"/>
      <c r="BT263" s="65"/>
      <c r="BU263" s="65"/>
      <c r="BV263" s="65"/>
      <c r="BW263" s="65"/>
      <c r="BX263" s="65"/>
      <c r="BY263" s="65"/>
      <c r="BZ263" s="65"/>
      <c r="CA263" s="65"/>
      <c r="CB263" s="65"/>
      <c r="CC263" s="65"/>
      <c r="CD263" s="65"/>
      <c r="CE263" s="65"/>
      <c r="CF263" s="65"/>
      <c r="CG263" s="65"/>
      <c r="CH263" s="65"/>
      <c r="CI263" s="65"/>
      <c r="CJ263" s="65"/>
      <c r="CK263" s="65"/>
      <c r="CL263" s="65"/>
      <c r="CM263" s="65"/>
      <c r="CN263" s="65"/>
      <c r="CO263" s="65"/>
      <c r="CP263" s="65"/>
      <c r="CQ263" s="65"/>
      <c r="CR263" s="65"/>
      <c r="CS263" s="65"/>
      <c r="CT263" s="65"/>
      <c r="CU263" s="65"/>
      <c r="CV263" s="65"/>
      <c r="CW263" s="65"/>
      <c r="CX263" s="65"/>
      <c r="CY263" s="65"/>
      <c r="CZ263" s="65"/>
      <c r="DA263" s="65"/>
      <c r="DB263" s="65"/>
      <c r="DC263" s="65"/>
      <c r="DD263" s="65"/>
      <c r="DE263" s="65"/>
      <c r="DF263" s="65"/>
      <c r="DG263" s="65"/>
      <c r="DH263" s="65"/>
      <c r="DI263" s="65"/>
      <c r="DJ263" s="65"/>
      <c r="DK263" s="65"/>
      <c r="DL263" s="65"/>
      <c r="DM263" s="65"/>
      <c r="DN263" s="65"/>
      <c r="DO263" s="65"/>
      <c r="DP263" s="65"/>
      <c r="DQ263" s="65"/>
      <c r="DR263" s="65"/>
      <c r="DS263" s="65"/>
      <c r="DT263" s="65"/>
      <c r="DU263" s="65"/>
      <c r="DV263" s="65"/>
      <c r="DW263" s="65"/>
      <c r="DX263" s="65"/>
      <c r="DY263" s="65"/>
      <c r="DZ263" s="65"/>
      <c r="EA263" s="65"/>
      <c r="EB263" s="65"/>
      <c r="EC263" s="65"/>
      <c r="ED263" s="65"/>
      <c r="EE263" s="65"/>
      <c r="EF263" s="65"/>
      <c r="EG263" s="65"/>
      <c r="EH263" s="65"/>
      <c r="EI263" s="65"/>
      <c r="EJ263" s="65"/>
      <c r="EK263" s="65"/>
      <c r="EL263" s="65"/>
      <c r="EM263" s="65"/>
      <c r="EN263" s="65"/>
      <c r="EO263" s="65"/>
    </row>
    <row r="264" spans="1:145" s="62" customFormat="1" x14ac:dyDescent="0.2">
      <c r="A264" s="74"/>
      <c r="B264" s="129"/>
      <c r="C264" s="185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22"/>
      <c r="P264" s="122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  <c r="BM264" s="65"/>
      <c r="BN264" s="65"/>
      <c r="BO264" s="65"/>
      <c r="BP264" s="65"/>
      <c r="BQ264" s="65"/>
      <c r="BR264" s="65"/>
      <c r="BS264" s="65"/>
      <c r="BT264" s="65"/>
      <c r="BU264" s="65"/>
      <c r="BV264" s="65"/>
      <c r="BW264" s="65"/>
      <c r="BX264" s="65"/>
      <c r="BY264" s="65"/>
      <c r="BZ264" s="65"/>
      <c r="CA264" s="65"/>
      <c r="CB264" s="65"/>
      <c r="CC264" s="65"/>
      <c r="CD264" s="65"/>
      <c r="CE264" s="65"/>
      <c r="CF264" s="65"/>
      <c r="CG264" s="65"/>
      <c r="CH264" s="65"/>
      <c r="CI264" s="65"/>
      <c r="CJ264" s="65"/>
      <c r="CK264" s="65"/>
      <c r="CL264" s="65"/>
      <c r="CM264" s="65"/>
      <c r="CN264" s="65"/>
      <c r="CO264" s="65"/>
      <c r="CP264" s="65"/>
      <c r="CQ264" s="65"/>
      <c r="CR264" s="65"/>
      <c r="CS264" s="65"/>
      <c r="CT264" s="65"/>
      <c r="CU264" s="65"/>
      <c r="CV264" s="65"/>
      <c r="CW264" s="65"/>
      <c r="CX264" s="65"/>
      <c r="CY264" s="65"/>
      <c r="CZ264" s="65"/>
      <c r="DA264" s="65"/>
      <c r="DB264" s="65"/>
      <c r="DC264" s="65"/>
      <c r="DD264" s="65"/>
      <c r="DE264" s="65"/>
      <c r="DF264" s="65"/>
      <c r="DG264" s="65"/>
      <c r="DH264" s="65"/>
      <c r="DI264" s="65"/>
      <c r="DJ264" s="65"/>
      <c r="DK264" s="65"/>
      <c r="DL264" s="65"/>
      <c r="DM264" s="65"/>
      <c r="DN264" s="65"/>
      <c r="DO264" s="65"/>
      <c r="DP264" s="65"/>
      <c r="DQ264" s="65"/>
      <c r="DR264" s="65"/>
      <c r="DS264" s="65"/>
      <c r="DT264" s="65"/>
      <c r="DU264" s="65"/>
      <c r="DV264" s="65"/>
      <c r="DW264" s="65"/>
      <c r="DX264" s="65"/>
      <c r="DY264" s="65"/>
      <c r="DZ264" s="65"/>
      <c r="EA264" s="65"/>
      <c r="EB264" s="65"/>
      <c r="EC264" s="65"/>
      <c r="ED264" s="65"/>
      <c r="EE264" s="65"/>
      <c r="EF264" s="65"/>
      <c r="EG264" s="65"/>
      <c r="EH264" s="65"/>
      <c r="EI264" s="65"/>
      <c r="EJ264" s="65"/>
      <c r="EK264" s="65"/>
      <c r="EL264" s="65"/>
      <c r="EM264" s="65"/>
      <c r="EN264" s="65"/>
      <c r="EO264" s="65"/>
    </row>
    <row r="265" spans="1:145" s="62" customFormat="1" ht="12" thickBot="1" x14ac:dyDescent="0.25">
      <c r="A265" s="74">
        <v>15</v>
      </c>
      <c r="B265" s="243" t="str">
        <f>B37</f>
        <v>TOTAL AEP TEXAS</v>
      </c>
      <c r="C265" s="238"/>
      <c r="D265" s="186">
        <f t="shared" ref="D265:P265" si="58">+D263+D259</f>
        <v>-2485435.98</v>
      </c>
      <c r="E265" s="186">
        <f t="shared" si="58"/>
        <v>-2477034.5900000003</v>
      </c>
      <c r="F265" s="186">
        <f t="shared" si="58"/>
        <v>-2480240.2000000002</v>
      </c>
      <c r="G265" s="186">
        <f t="shared" si="58"/>
        <v>-2485423.5</v>
      </c>
      <c r="H265" s="186">
        <f t="shared" si="58"/>
        <v>-2489375.66</v>
      </c>
      <c r="I265" s="186">
        <f t="shared" si="58"/>
        <v>-2492420.85</v>
      </c>
      <c r="J265" s="186">
        <f t="shared" si="58"/>
        <v>-2495520.35</v>
      </c>
      <c r="K265" s="186">
        <f t="shared" si="58"/>
        <v>-2493059.1799999997</v>
      </c>
      <c r="L265" s="186">
        <f t="shared" si="58"/>
        <v>-2493187.63</v>
      </c>
      <c r="M265" s="186">
        <f t="shared" si="58"/>
        <v>-2495213.0300000003</v>
      </c>
      <c r="N265" s="186">
        <f t="shared" si="58"/>
        <v>-2498928.38</v>
      </c>
      <c r="O265" s="186">
        <f t="shared" si="58"/>
        <v>-2497695.83</v>
      </c>
      <c r="P265" s="244">
        <f t="shared" si="58"/>
        <v>-29883535.180000003</v>
      </c>
      <c r="Q265" s="70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65"/>
      <c r="BU265" s="65"/>
      <c r="BV265" s="65"/>
      <c r="BW265" s="65"/>
      <c r="BX265" s="65"/>
      <c r="BY265" s="65"/>
      <c r="BZ265" s="65"/>
      <c r="CA265" s="65"/>
      <c r="CB265" s="65"/>
      <c r="CC265" s="65"/>
      <c r="CD265" s="65"/>
      <c r="CE265" s="65"/>
      <c r="CF265" s="65"/>
      <c r="CG265" s="65"/>
      <c r="CH265" s="65"/>
      <c r="CI265" s="65"/>
      <c r="CJ265" s="65"/>
      <c r="CK265" s="65"/>
      <c r="CL265" s="65"/>
      <c r="CM265" s="65"/>
      <c r="CN265" s="65"/>
      <c r="CO265" s="65"/>
      <c r="CP265" s="65"/>
      <c r="CQ265" s="65"/>
      <c r="CR265" s="65"/>
      <c r="CS265" s="65"/>
      <c r="CT265" s="65"/>
      <c r="CU265" s="65"/>
      <c r="CV265" s="65"/>
      <c r="CW265" s="65"/>
      <c r="CX265" s="65"/>
      <c r="CY265" s="65"/>
      <c r="CZ265" s="65"/>
      <c r="DA265" s="65"/>
      <c r="DB265" s="65"/>
      <c r="DC265" s="65"/>
      <c r="DD265" s="65"/>
      <c r="DE265" s="65"/>
      <c r="DF265" s="65"/>
      <c r="DG265" s="65"/>
      <c r="DH265" s="65"/>
      <c r="DI265" s="65"/>
      <c r="DJ265" s="65"/>
      <c r="DK265" s="65"/>
      <c r="DL265" s="65"/>
      <c r="DM265" s="65"/>
      <c r="DN265" s="65"/>
      <c r="DO265" s="65"/>
      <c r="DP265" s="65"/>
      <c r="DQ265" s="65"/>
      <c r="DR265" s="65"/>
      <c r="DS265" s="65"/>
      <c r="DT265" s="65"/>
      <c r="DU265" s="65"/>
      <c r="DV265" s="65"/>
      <c r="DW265" s="65"/>
      <c r="DX265" s="65"/>
      <c r="DY265" s="65"/>
      <c r="DZ265" s="65"/>
      <c r="EA265" s="65"/>
      <c r="EB265" s="65"/>
      <c r="EC265" s="65"/>
      <c r="ED265" s="65"/>
      <c r="EE265" s="65"/>
      <c r="EF265" s="65"/>
      <c r="EG265" s="65"/>
      <c r="EH265" s="65"/>
      <c r="EI265" s="65"/>
      <c r="EJ265" s="65"/>
      <c r="EK265" s="65"/>
      <c r="EL265" s="65"/>
      <c r="EM265" s="65"/>
      <c r="EN265" s="65"/>
      <c r="EO265" s="65"/>
    </row>
    <row r="266" spans="1:145" s="62" customFormat="1" ht="12" thickTop="1" x14ac:dyDescent="0.2">
      <c r="A266" s="74"/>
      <c r="B266" s="243"/>
      <c r="C266" s="238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228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  <c r="BM266" s="65"/>
      <c r="BN266" s="65"/>
      <c r="BO266" s="65"/>
      <c r="BP266" s="65"/>
      <c r="BQ266" s="65"/>
      <c r="BR266" s="65"/>
      <c r="BS266" s="65"/>
      <c r="BT266" s="65"/>
      <c r="BU266" s="65"/>
      <c r="BV266" s="65"/>
      <c r="BW266" s="65"/>
      <c r="BX266" s="65"/>
      <c r="BY266" s="65"/>
      <c r="BZ266" s="65"/>
      <c r="CA266" s="65"/>
      <c r="CB266" s="65"/>
      <c r="CC266" s="65"/>
      <c r="CD266" s="65"/>
      <c r="CE266" s="65"/>
      <c r="CF266" s="65"/>
      <c r="CG266" s="65"/>
      <c r="CH266" s="65"/>
      <c r="CI266" s="65"/>
      <c r="CJ266" s="65"/>
      <c r="CK266" s="65"/>
      <c r="CL266" s="65"/>
      <c r="CM266" s="65"/>
      <c r="CN266" s="65"/>
      <c r="CO266" s="65"/>
      <c r="CP266" s="65"/>
      <c r="CQ266" s="65"/>
      <c r="CR266" s="65"/>
      <c r="CS266" s="65"/>
      <c r="CT266" s="65"/>
      <c r="CU266" s="65"/>
      <c r="CV266" s="65"/>
      <c r="CW266" s="65"/>
      <c r="CX266" s="65"/>
      <c r="CY266" s="65"/>
      <c r="CZ266" s="65"/>
      <c r="DA266" s="65"/>
      <c r="DB266" s="65"/>
      <c r="DC266" s="65"/>
      <c r="DD266" s="65"/>
      <c r="DE266" s="65"/>
      <c r="DF266" s="65"/>
      <c r="DG266" s="65"/>
      <c r="DH266" s="65"/>
      <c r="DI266" s="65"/>
      <c r="DJ266" s="65"/>
      <c r="DK266" s="65"/>
      <c r="DL266" s="65"/>
      <c r="DM266" s="65"/>
      <c r="DN266" s="65"/>
      <c r="DO266" s="65"/>
      <c r="DP266" s="65"/>
      <c r="DQ266" s="65"/>
      <c r="DR266" s="65"/>
      <c r="DS266" s="65"/>
      <c r="DT266" s="65"/>
      <c r="DU266" s="65"/>
      <c r="DV266" s="65"/>
      <c r="DW266" s="65"/>
      <c r="DX266" s="65"/>
      <c r="DY266" s="65"/>
      <c r="DZ266" s="65"/>
      <c r="EA266" s="65"/>
      <c r="EB266" s="65"/>
      <c r="EC266" s="65"/>
      <c r="ED266" s="65"/>
      <c r="EE266" s="65"/>
      <c r="EF266" s="65"/>
      <c r="EG266" s="65"/>
      <c r="EH266" s="65"/>
      <c r="EI266" s="65"/>
      <c r="EJ266" s="65"/>
      <c r="EK266" s="65"/>
      <c r="EL266" s="65"/>
      <c r="EM266" s="65"/>
      <c r="EN266" s="65"/>
      <c r="EO266" s="65"/>
    </row>
    <row r="267" spans="1:145" ht="20.25" customHeight="1" x14ac:dyDescent="0.2">
      <c r="B267" s="393" t="s">
        <v>131</v>
      </c>
      <c r="C267" s="388"/>
      <c r="D267" s="388"/>
      <c r="E267" s="388"/>
      <c r="F267" s="388"/>
      <c r="G267" s="388"/>
      <c r="H267" s="388"/>
      <c r="I267" s="388"/>
      <c r="J267" s="388"/>
      <c r="K267" s="388"/>
      <c r="L267" s="388"/>
      <c r="M267" s="388"/>
      <c r="N267" s="388"/>
      <c r="O267" s="388"/>
      <c r="P267" s="251"/>
    </row>
    <row r="268" spans="1:145" s="146" customFormat="1" x14ac:dyDescent="0.2">
      <c r="B268" s="393" t="s">
        <v>128</v>
      </c>
      <c r="C268" s="388"/>
      <c r="D268" s="388"/>
      <c r="E268" s="388"/>
      <c r="F268" s="388"/>
      <c r="G268" s="388"/>
      <c r="H268" s="388"/>
      <c r="I268" s="388"/>
      <c r="J268" s="388"/>
      <c r="K268" s="388"/>
      <c r="L268" s="388"/>
      <c r="M268" s="388"/>
      <c r="N268" s="388"/>
      <c r="O268" s="388"/>
      <c r="P268" s="147" t="s">
        <v>1</v>
      </c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  <c r="AC268" s="148"/>
      <c r="AD268" s="148"/>
      <c r="AE268" s="148"/>
      <c r="AF268" s="148"/>
      <c r="AG268" s="148"/>
      <c r="AH268" s="148"/>
      <c r="AI268" s="148"/>
      <c r="AJ268" s="148"/>
      <c r="AK268" s="148"/>
      <c r="AL268" s="148"/>
      <c r="AM268" s="148"/>
      <c r="AN268" s="148"/>
      <c r="AO268" s="148"/>
      <c r="AP268" s="148"/>
      <c r="AQ268" s="148"/>
      <c r="AR268" s="148"/>
      <c r="AS268" s="148"/>
      <c r="AT268" s="148"/>
      <c r="AU268" s="148"/>
      <c r="AV268" s="148"/>
      <c r="AW268" s="148"/>
      <c r="AX268" s="148"/>
      <c r="AY268" s="148"/>
      <c r="AZ268" s="148"/>
      <c r="BA268" s="148"/>
      <c r="BB268" s="148"/>
      <c r="BC268" s="148"/>
      <c r="BD268" s="148"/>
      <c r="BE268" s="148"/>
      <c r="BF268" s="148"/>
      <c r="BG268" s="148"/>
      <c r="BH268" s="148"/>
      <c r="BI268" s="148"/>
      <c r="BJ268" s="148"/>
      <c r="BK268" s="148"/>
      <c r="BL268" s="148"/>
      <c r="BM268" s="148"/>
      <c r="BN268" s="148"/>
      <c r="BO268" s="148"/>
      <c r="BP268" s="148"/>
      <c r="BQ268" s="148"/>
      <c r="BR268" s="148"/>
      <c r="BS268" s="148"/>
      <c r="BT268" s="148"/>
      <c r="BU268" s="148"/>
      <c r="BV268" s="148"/>
      <c r="BW268" s="148"/>
      <c r="BX268" s="148"/>
      <c r="BY268" s="148"/>
      <c r="BZ268" s="148"/>
      <c r="CA268" s="148"/>
      <c r="CB268" s="148"/>
      <c r="CC268" s="148"/>
      <c r="CD268" s="148"/>
      <c r="CE268" s="148"/>
      <c r="CF268" s="148"/>
      <c r="CG268" s="148"/>
      <c r="CH268" s="148"/>
      <c r="CI268" s="148"/>
      <c r="CJ268" s="148"/>
      <c r="CK268" s="148"/>
      <c r="CL268" s="148"/>
      <c r="CM268" s="148"/>
      <c r="CN268" s="148"/>
      <c r="CO268" s="148"/>
      <c r="CP268" s="148"/>
      <c r="CQ268" s="148"/>
      <c r="CR268" s="148"/>
      <c r="CS268" s="148"/>
      <c r="CT268" s="148"/>
      <c r="CU268" s="148"/>
      <c r="CV268" s="148"/>
      <c r="CW268" s="148"/>
      <c r="CX268" s="148"/>
      <c r="CY268" s="148"/>
      <c r="CZ268" s="148"/>
      <c r="DA268" s="148"/>
      <c r="DB268" s="148"/>
      <c r="DC268" s="148"/>
      <c r="DD268" s="148"/>
      <c r="DE268" s="148"/>
      <c r="DF268" s="148"/>
      <c r="DG268" s="148"/>
      <c r="DH268" s="148"/>
      <c r="DI268" s="148"/>
      <c r="DJ268" s="148"/>
      <c r="DK268" s="148"/>
      <c r="DL268" s="148"/>
      <c r="DM268" s="148"/>
      <c r="DN268" s="148"/>
      <c r="DO268" s="148"/>
      <c r="DP268" s="148"/>
      <c r="DQ268" s="148"/>
      <c r="DR268" s="148"/>
      <c r="DS268" s="148"/>
      <c r="DT268" s="148"/>
      <c r="DU268" s="148"/>
      <c r="DV268" s="148"/>
      <c r="DW268" s="148"/>
      <c r="DX268" s="148"/>
      <c r="DY268" s="148"/>
      <c r="DZ268" s="148"/>
      <c r="EA268" s="148"/>
      <c r="EB268" s="148"/>
      <c r="EC268" s="148"/>
      <c r="ED268" s="148"/>
      <c r="EE268" s="148"/>
      <c r="EF268" s="148"/>
      <c r="EG268" s="148"/>
      <c r="EH268" s="148"/>
      <c r="EI268" s="148"/>
      <c r="EJ268" s="148"/>
      <c r="EK268" s="148"/>
      <c r="EL268" s="148"/>
      <c r="EM268" s="148"/>
      <c r="EN268" s="148"/>
      <c r="EO268" s="148"/>
    </row>
    <row r="269" spans="1:145" x14ac:dyDescent="0.2">
      <c r="B269" s="388" t="str">
        <f>B10</f>
        <v>FOR TEST YEAR ENDED DECEMBER 31, 2018</v>
      </c>
      <c r="C269" s="388"/>
      <c r="D269" s="388"/>
      <c r="E269" s="388"/>
      <c r="F269" s="388"/>
      <c r="G269" s="388"/>
      <c r="H269" s="388"/>
      <c r="I269" s="388"/>
      <c r="J269" s="388"/>
      <c r="K269" s="388"/>
      <c r="L269" s="388"/>
      <c r="M269" s="388"/>
      <c r="N269" s="388"/>
      <c r="O269" s="388"/>
      <c r="P269" s="146" t="s">
        <v>1</v>
      </c>
    </row>
    <row r="270" spans="1:145" x14ac:dyDescent="0.2">
      <c r="B270" s="202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146"/>
    </row>
    <row r="271" spans="1:145" x14ac:dyDescent="0.2">
      <c r="B271" s="175"/>
      <c r="C271" s="168"/>
      <c r="D271" s="176"/>
      <c r="E271" s="177"/>
      <c r="F271" s="177"/>
      <c r="G271" s="176"/>
      <c r="H271" s="157"/>
      <c r="I271" s="157"/>
      <c r="J271" s="157"/>
      <c r="K271" s="157"/>
      <c r="L271" s="157"/>
      <c r="M271" s="157"/>
      <c r="N271" s="157"/>
      <c r="O271" s="122"/>
      <c r="P271" s="178"/>
    </row>
    <row r="272" spans="1:145" x14ac:dyDescent="0.2">
      <c r="A272" s="229" t="s">
        <v>20</v>
      </c>
      <c r="B272" s="237" t="s">
        <v>0</v>
      </c>
      <c r="C272" s="237" t="s">
        <v>19</v>
      </c>
      <c r="D272" s="164" t="str">
        <f t="shared" ref="D272:O272" si="59">D13</f>
        <v>JANUARY</v>
      </c>
      <c r="E272" s="164" t="str">
        <f t="shared" si="59"/>
        <v>FEBRUARY</v>
      </c>
      <c r="F272" s="164" t="str">
        <f t="shared" si="59"/>
        <v>MARCH</v>
      </c>
      <c r="G272" s="164" t="str">
        <f t="shared" si="59"/>
        <v>APRIL</v>
      </c>
      <c r="H272" s="164" t="str">
        <f t="shared" si="59"/>
        <v>MAY</v>
      </c>
      <c r="I272" s="164" t="str">
        <f t="shared" si="59"/>
        <v>JUNE</v>
      </c>
      <c r="J272" s="164" t="str">
        <f t="shared" si="59"/>
        <v>JULY</v>
      </c>
      <c r="K272" s="164" t="str">
        <f t="shared" si="59"/>
        <v>AUGUST</v>
      </c>
      <c r="L272" s="164" t="str">
        <f t="shared" si="59"/>
        <v>SEPTEMBER</v>
      </c>
      <c r="M272" s="164" t="str">
        <f t="shared" si="59"/>
        <v>OCTOBER</v>
      </c>
      <c r="N272" s="164" t="str">
        <f t="shared" si="59"/>
        <v>NOVEMBER</v>
      </c>
      <c r="O272" s="164" t="str">
        <f t="shared" si="59"/>
        <v>DECEMBER</v>
      </c>
      <c r="P272" s="179" t="s">
        <v>14</v>
      </c>
    </row>
    <row r="273" spans="1:145" x14ac:dyDescent="0.2">
      <c r="B273" s="237"/>
      <c r="C273" s="237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79"/>
      <c r="P273" s="179"/>
    </row>
    <row r="274" spans="1:145" s="62" customFormat="1" x14ac:dyDescent="0.2">
      <c r="A274" s="74" t="s">
        <v>21</v>
      </c>
      <c r="B274" s="129" t="s">
        <v>29</v>
      </c>
      <c r="C274" s="143" t="s">
        <v>16</v>
      </c>
      <c r="D274" s="149">
        <f>-Riders!D98+-Riders!D69</f>
        <v>0</v>
      </c>
      <c r="E274" s="149">
        <f>-Riders!E98+-Riders!E69</f>
        <v>0</v>
      </c>
      <c r="F274" s="149">
        <f>-Riders!F98+-Riders!F69</f>
        <v>0</v>
      </c>
      <c r="G274" s="149">
        <f>-Riders!G98+-Riders!G69</f>
        <v>0</v>
      </c>
      <c r="H274" s="149">
        <f>-Riders!H98+-Riders!H69</f>
        <v>0</v>
      </c>
      <c r="I274" s="149">
        <f>-Riders!I98+-Riders!I69</f>
        <v>0</v>
      </c>
      <c r="J274" s="149">
        <f>-Riders!J98+-Riders!J69</f>
        <v>0</v>
      </c>
      <c r="K274" s="149">
        <f>-Riders!K98+-Riders!K69</f>
        <v>0</v>
      </c>
      <c r="L274" s="149">
        <f>-Riders!L98+-Riders!L69</f>
        <v>524947.72</v>
      </c>
      <c r="M274" s="149">
        <f>-Riders!M98+-Riders!M69</f>
        <v>10.09</v>
      </c>
      <c r="N274" s="149">
        <f>-Riders!N98+-Riders!N69</f>
        <v>-66.52</v>
      </c>
      <c r="O274" s="149">
        <f>-Riders!O98+-Riders!O69</f>
        <v>-0.69</v>
      </c>
      <c r="P274" s="149">
        <f>SUM(D274:O274)</f>
        <v>524890.6</v>
      </c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/>
      <c r="BJ274" s="65"/>
      <c r="BK274" s="65"/>
      <c r="BL274" s="65"/>
      <c r="BM274" s="65"/>
      <c r="BN274" s="65"/>
      <c r="BO274" s="65"/>
      <c r="BP274" s="65"/>
      <c r="BQ274" s="65"/>
      <c r="BR274" s="65"/>
      <c r="BS274" s="65"/>
      <c r="BT274" s="65"/>
      <c r="BU274" s="65"/>
      <c r="BV274" s="65"/>
      <c r="BW274" s="65"/>
      <c r="BX274" s="65"/>
      <c r="BY274" s="65"/>
      <c r="BZ274" s="65"/>
      <c r="CA274" s="65"/>
      <c r="CB274" s="65"/>
      <c r="CC274" s="65"/>
      <c r="CD274" s="65"/>
      <c r="CE274" s="65"/>
      <c r="CF274" s="65"/>
      <c r="CG274" s="65"/>
      <c r="CH274" s="65"/>
      <c r="CI274" s="65"/>
      <c r="CJ274" s="65"/>
      <c r="CK274" s="65"/>
      <c r="CL274" s="65"/>
      <c r="CM274" s="65"/>
      <c r="CN274" s="65"/>
      <c r="CO274" s="65"/>
      <c r="CP274" s="65"/>
      <c r="CQ274" s="65"/>
      <c r="CR274" s="65"/>
      <c r="CS274" s="65"/>
      <c r="CT274" s="65"/>
      <c r="CU274" s="65"/>
      <c r="CV274" s="65"/>
      <c r="CW274" s="65"/>
      <c r="CX274" s="65"/>
      <c r="CY274" s="65"/>
      <c r="CZ274" s="65"/>
      <c r="DA274" s="65"/>
      <c r="DB274" s="65"/>
      <c r="DC274" s="65"/>
      <c r="DD274" s="65"/>
      <c r="DE274" s="65"/>
      <c r="DF274" s="65"/>
      <c r="DG274" s="65"/>
      <c r="DH274" s="65"/>
      <c r="DI274" s="65"/>
      <c r="DJ274" s="65"/>
      <c r="DK274" s="65"/>
      <c r="DL274" s="65"/>
      <c r="DM274" s="65"/>
      <c r="DN274" s="65"/>
      <c r="DO274" s="65"/>
      <c r="DP274" s="65"/>
      <c r="DQ274" s="65"/>
      <c r="DR274" s="65"/>
      <c r="DS274" s="65"/>
      <c r="DT274" s="65"/>
      <c r="DU274" s="65"/>
      <c r="DV274" s="65"/>
      <c r="DW274" s="65"/>
      <c r="DX274" s="65"/>
      <c r="DY274" s="65"/>
      <c r="DZ274" s="65"/>
      <c r="EA274" s="65"/>
      <c r="EB274" s="65"/>
      <c r="EC274" s="65"/>
      <c r="ED274" s="65"/>
      <c r="EE274" s="65"/>
      <c r="EF274" s="65"/>
      <c r="EG274" s="65"/>
      <c r="EH274" s="65"/>
      <c r="EI274" s="65"/>
      <c r="EJ274" s="65"/>
      <c r="EK274" s="65"/>
      <c r="EL274" s="65"/>
      <c r="EM274" s="65"/>
      <c r="EN274" s="65"/>
      <c r="EO274" s="65"/>
    </row>
    <row r="275" spans="1:145" s="62" customFormat="1" x14ac:dyDescent="0.2">
      <c r="B275" s="129"/>
      <c r="C275" s="143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56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  <c r="BM275" s="65"/>
      <c r="BN275" s="65"/>
      <c r="BO275" s="65"/>
      <c r="BP275" s="65"/>
      <c r="BQ275" s="65"/>
      <c r="BR275" s="65"/>
      <c r="BS275" s="65"/>
      <c r="BT275" s="65"/>
      <c r="BU275" s="65"/>
      <c r="BV275" s="65"/>
      <c r="BW275" s="65"/>
      <c r="BX275" s="65"/>
      <c r="BY275" s="65"/>
      <c r="BZ275" s="65"/>
      <c r="CA275" s="65"/>
      <c r="CB275" s="65"/>
      <c r="CC275" s="65"/>
      <c r="CD275" s="65"/>
      <c r="CE275" s="65"/>
      <c r="CF275" s="65"/>
      <c r="CG275" s="65"/>
      <c r="CH275" s="65"/>
      <c r="CI275" s="65"/>
      <c r="CJ275" s="65"/>
      <c r="CK275" s="65"/>
      <c r="CL275" s="65"/>
      <c r="CM275" s="65"/>
      <c r="CN275" s="65"/>
      <c r="CO275" s="65"/>
      <c r="CP275" s="65"/>
      <c r="CQ275" s="65"/>
      <c r="CR275" s="65"/>
      <c r="CS275" s="65"/>
      <c r="CT275" s="65"/>
      <c r="CU275" s="65"/>
      <c r="CV275" s="65"/>
      <c r="CW275" s="65"/>
      <c r="CX275" s="65"/>
      <c r="CY275" s="65"/>
      <c r="CZ275" s="65"/>
      <c r="DA275" s="65"/>
      <c r="DB275" s="65"/>
      <c r="DC275" s="65"/>
      <c r="DD275" s="65"/>
      <c r="DE275" s="65"/>
      <c r="DF275" s="65"/>
      <c r="DG275" s="65"/>
      <c r="DH275" s="65"/>
      <c r="DI275" s="65"/>
      <c r="DJ275" s="65"/>
      <c r="DK275" s="65"/>
      <c r="DL275" s="65"/>
      <c r="DM275" s="65"/>
      <c r="DN275" s="65"/>
      <c r="DO275" s="65"/>
      <c r="DP275" s="65"/>
      <c r="DQ275" s="65"/>
      <c r="DR275" s="65"/>
      <c r="DS275" s="65"/>
      <c r="DT275" s="65"/>
      <c r="DU275" s="65"/>
      <c r="DV275" s="65"/>
      <c r="DW275" s="65"/>
      <c r="DX275" s="65"/>
      <c r="DY275" s="65"/>
      <c r="DZ275" s="65"/>
      <c r="EA275" s="65"/>
      <c r="EB275" s="65"/>
      <c r="EC275" s="65"/>
      <c r="ED275" s="65"/>
      <c r="EE275" s="65"/>
      <c r="EF275" s="65"/>
      <c r="EG275" s="65"/>
      <c r="EH275" s="65"/>
      <c r="EI275" s="65"/>
      <c r="EJ275" s="65"/>
      <c r="EK275" s="65"/>
      <c r="EL275" s="65"/>
      <c r="EM275" s="65"/>
      <c r="EN275" s="65"/>
      <c r="EO275" s="65"/>
    </row>
    <row r="276" spans="1:145" s="62" customFormat="1" x14ac:dyDescent="0.2">
      <c r="A276" s="74">
        <v>2</v>
      </c>
      <c r="B276" s="129" t="s">
        <v>32</v>
      </c>
      <c r="C276" s="143" t="s">
        <v>16</v>
      </c>
      <c r="D276" s="122">
        <f>-Riders!D100+-Riders!D71</f>
        <v>0</v>
      </c>
      <c r="E276" s="122">
        <f>-Riders!E100+-Riders!E71</f>
        <v>0</v>
      </c>
      <c r="F276" s="122">
        <f>-Riders!F100+-Riders!F71</f>
        <v>0</v>
      </c>
      <c r="G276" s="122">
        <f>-Riders!G100+-Riders!G71</f>
        <v>0</v>
      </c>
      <c r="H276" s="122">
        <f>-Riders!H100+-Riders!H71</f>
        <v>0</v>
      </c>
      <c r="I276" s="122">
        <f>-Riders!I100+-Riders!I71</f>
        <v>0</v>
      </c>
      <c r="J276" s="122">
        <f>-Riders!J100+-Riders!J71</f>
        <v>0</v>
      </c>
      <c r="K276" s="122">
        <f>-Riders!K100+-Riders!K71</f>
        <v>0</v>
      </c>
      <c r="L276" s="122">
        <f>-Riders!L100+-Riders!L71</f>
        <v>36272.53</v>
      </c>
      <c r="M276" s="122">
        <f>-Riders!M100+-Riders!M71</f>
        <v>13.89</v>
      </c>
      <c r="N276" s="122">
        <f>-Riders!N100+-Riders!N71</f>
        <v>65.37</v>
      </c>
      <c r="O276" s="122">
        <f>-Riders!O100+-Riders!O71</f>
        <v>-29.25</v>
      </c>
      <c r="P276" s="122">
        <f>SUM(D276:O276)</f>
        <v>36322.54</v>
      </c>
      <c r="Q276" s="208"/>
      <c r="R276" s="209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65"/>
      <c r="BU276" s="65"/>
      <c r="BV276" s="65"/>
      <c r="BW276" s="65"/>
      <c r="BX276" s="65"/>
      <c r="BY276" s="65"/>
      <c r="BZ276" s="65"/>
      <c r="CA276" s="65"/>
      <c r="CB276" s="65"/>
      <c r="CC276" s="65"/>
      <c r="CD276" s="65"/>
      <c r="CE276" s="65"/>
      <c r="CF276" s="65"/>
      <c r="CG276" s="65"/>
      <c r="CH276" s="65"/>
      <c r="CI276" s="65"/>
      <c r="CJ276" s="65"/>
      <c r="CK276" s="65"/>
      <c r="CL276" s="65"/>
      <c r="CM276" s="65"/>
      <c r="CN276" s="65"/>
      <c r="CO276" s="65"/>
      <c r="CP276" s="65"/>
      <c r="CQ276" s="65"/>
      <c r="CR276" s="65"/>
      <c r="CS276" s="65"/>
      <c r="CT276" s="65"/>
      <c r="CU276" s="65"/>
      <c r="CV276" s="65"/>
      <c r="CW276" s="65"/>
      <c r="CX276" s="65"/>
      <c r="CY276" s="65"/>
      <c r="CZ276" s="65"/>
      <c r="DA276" s="65"/>
      <c r="DB276" s="65"/>
      <c r="DC276" s="65"/>
      <c r="DD276" s="65"/>
      <c r="DE276" s="65"/>
      <c r="DF276" s="65"/>
      <c r="DG276" s="65"/>
      <c r="DH276" s="65"/>
      <c r="DI276" s="65"/>
      <c r="DJ276" s="65"/>
      <c r="DK276" s="65"/>
      <c r="DL276" s="65"/>
      <c r="DM276" s="65"/>
      <c r="DN276" s="65"/>
      <c r="DO276" s="65"/>
      <c r="DP276" s="65"/>
      <c r="DQ276" s="65"/>
      <c r="DR276" s="65"/>
      <c r="DS276" s="65"/>
      <c r="DT276" s="65"/>
      <c r="DU276" s="65"/>
      <c r="DV276" s="65"/>
      <c r="DW276" s="65"/>
      <c r="DX276" s="65"/>
      <c r="DY276" s="65"/>
      <c r="DZ276" s="65"/>
      <c r="EA276" s="65"/>
      <c r="EB276" s="65"/>
      <c r="EC276" s="65"/>
      <c r="ED276" s="65"/>
      <c r="EE276" s="65"/>
      <c r="EF276" s="65"/>
      <c r="EG276" s="65"/>
      <c r="EH276" s="65"/>
      <c r="EI276" s="65"/>
      <c r="EJ276" s="65"/>
      <c r="EK276" s="65"/>
      <c r="EL276" s="65"/>
      <c r="EM276" s="65"/>
      <c r="EN276" s="65"/>
      <c r="EO276" s="65"/>
    </row>
    <row r="277" spans="1:145" s="62" customFormat="1" x14ac:dyDescent="0.2">
      <c r="A277" s="74"/>
      <c r="B277" s="129"/>
      <c r="C277" s="143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208"/>
      <c r="R277" s="209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65"/>
      <c r="BA277" s="65"/>
      <c r="BB277" s="65"/>
      <c r="BC277" s="65"/>
      <c r="BD277" s="65"/>
      <c r="BE277" s="65"/>
      <c r="BF277" s="65"/>
      <c r="BG277" s="65"/>
      <c r="BH277" s="65"/>
      <c r="BI277" s="65"/>
      <c r="BJ277" s="65"/>
      <c r="BK277" s="65"/>
      <c r="BL277" s="65"/>
      <c r="BM277" s="65"/>
      <c r="BN277" s="65"/>
      <c r="BO277" s="65"/>
      <c r="BP277" s="65"/>
      <c r="BQ277" s="65"/>
      <c r="BR277" s="65"/>
      <c r="BS277" s="65"/>
      <c r="BT277" s="65"/>
      <c r="BU277" s="65"/>
      <c r="BV277" s="65"/>
      <c r="BW277" s="65"/>
      <c r="BX277" s="65"/>
      <c r="BY277" s="65"/>
      <c r="BZ277" s="65"/>
      <c r="CA277" s="65"/>
      <c r="CB277" s="65"/>
      <c r="CC277" s="65"/>
      <c r="CD277" s="65"/>
      <c r="CE277" s="65"/>
      <c r="CF277" s="65"/>
      <c r="CG277" s="65"/>
      <c r="CH277" s="65"/>
      <c r="CI277" s="65"/>
      <c r="CJ277" s="65"/>
      <c r="CK277" s="65"/>
      <c r="CL277" s="65"/>
      <c r="CM277" s="65"/>
      <c r="CN277" s="65"/>
      <c r="CO277" s="65"/>
      <c r="CP277" s="65"/>
      <c r="CQ277" s="65"/>
      <c r="CR277" s="65"/>
      <c r="CS277" s="65"/>
      <c r="CT277" s="65"/>
      <c r="CU277" s="65"/>
      <c r="CV277" s="65"/>
      <c r="CW277" s="65"/>
      <c r="CX277" s="65"/>
      <c r="CY277" s="65"/>
      <c r="CZ277" s="65"/>
      <c r="DA277" s="65"/>
      <c r="DB277" s="65"/>
      <c r="DC277" s="65"/>
      <c r="DD277" s="65"/>
      <c r="DE277" s="65"/>
      <c r="DF277" s="65"/>
      <c r="DG277" s="65"/>
      <c r="DH277" s="65"/>
      <c r="DI277" s="65"/>
      <c r="DJ277" s="65"/>
      <c r="DK277" s="65"/>
      <c r="DL277" s="65"/>
      <c r="DM277" s="65"/>
      <c r="DN277" s="65"/>
      <c r="DO277" s="65"/>
      <c r="DP277" s="65"/>
      <c r="DQ277" s="65"/>
      <c r="DR277" s="65"/>
      <c r="DS277" s="65"/>
      <c r="DT277" s="65"/>
      <c r="DU277" s="65"/>
      <c r="DV277" s="65"/>
      <c r="DW277" s="65"/>
      <c r="DX277" s="65"/>
      <c r="DY277" s="65"/>
      <c r="DZ277" s="65"/>
      <c r="EA277" s="65"/>
      <c r="EB277" s="65"/>
      <c r="EC277" s="65"/>
      <c r="ED277" s="65"/>
      <c r="EE277" s="65"/>
      <c r="EF277" s="65"/>
      <c r="EG277" s="65"/>
      <c r="EH277" s="65"/>
      <c r="EI277" s="65"/>
      <c r="EJ277" s="65"/>
      <c r="EK277" s="65"/>
      <c r="EL277" s="65"/>
      <c r="EM277" s="65"/>
      <c r="EN277" s="65"/>
      <c r="EO277" s="65"/>
    </row>
    <row r="278" spans="1:145" s="62" customFormat="1" x14ac:dyDescent="0.2">
      <c r="A278" s="74">
        <v>3</v>
      </c>
      <c r="B278" s="146" t="s">
        <v>113</v>
      </c>
      <c r="C278" s="125" t="s">
        <v>16</v>
      </c>
      <c r="D278" s="142">
        <f>-Riders!D102+-Riders!D73</f>
        <v>0</v>
      </c>
      <c r="E278" s="142">
        <f>-Riders!E102+-Riders!E73</f>
        <v>0</v>
      </c>
      <c r="F278" s="142">
        <f>-Riders!F102+-Riders!F73</f>
        <v>0</v>
      </c>
      <c r="G278" s="142">
        <f>-Riders!G102+-Riders!G73</f>
        <v>0</v>
      </c>
      <c r="H278" s="142">
        <f>-Riders!H102+-Riders!H73</f>
        <v>0</v>
      </c>
      <c r="I278" s="142">
        <f>-Riders!I102+-Riders!I73</f>
        <v>0</v>
      </c>
      <c r="J278" s="142">
        <f>-Riders!J102+-Riders!J73</f>
        <v>0</v>
      </c>
      <c r="K278" s="142">
        <f>-Riders!K102+-Riders!K73</f>
        <v>0</v>
      </c>
      <c r="L278" s="142">
        <f>-Riders!L102+-Riders!L73</f>
        <v>272094.89</v>
      </c>
      <c r="M278" s="142">
        <f>-Riders!M102+-Riders!M73</f>
        <v>9.58</v>
      </c>
      <c r="N278" s="142">
        <f>-Riders!N102+-Riders!N73</f>
        <v>46.24</v>
      </c>
      <c r="O278" s="142">
        <f>-Riders!O102+-Riders!O73</f>
        <v>-0.52</v>
      </c>
      <c r="P278" s="156">
        <f>SUM(D278:O278)</f>
        <v>272150.19</v>
      </c>
      <c r="Q278" s="146"/>
      <c r="R278" s="214"/>
      <c r="S278" s="117"/>
      <c r="T278" s="117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  <c r="AW278" s="65"/>
      <c r="AX278" s="65"/>
      <c r="AY278" s="65"/>
      <c r="AZ278" s="65"/>
      <c r="BA278" s="65"/>
      <c r="BB278" s="65"/>
      <c r="BC278" s="65"/>
      <c r="BD278" s="65"/>
      <c r="BE278" s="65"/>
      <c r="BF278" s="65"/>
      <c r="BG278" s="65"/>
      <c r="BH278" s="65"/>
      <c r="BI278" s="65"/>
      <c r="BJ278" s="65"/>
      <c r="BK278" s="65"/>
      <c r="BL278" s="65"/>
      <c r="BM278" s="65"/>
      <c r="BN278" s="65"/>
      <c r="BO278" s="65"/>
      <c r="BP278" s="65"/>
      <c r="BQ278" s="65"/>
      <c r="BR278" s="65"/>
      <c r="BS278" s="65"/>
      <c r="BT278" s="65"/>
      <c r="BU278" s="65"/>
      <c r="BV278" s="65"/>
      <c r="BW278" s="65"/>
      <c r="BX278" s="65"/>
      <c r="BY278" s="65"/>
      <c r="BZ278" s="65"/>
      <c r="CA278" s="65"/>
      <c r="CB278" s="65"/>
      <c r="CC278" s="65"/>
      <c r="CD278" s="65"/>
      <c r="CE278" s="65"/>
      <c r="CF278" s="65"/>
      <c r="CG278" s="65"/>
      <c r="CH278" s="65"/>
      <c r="CI278" s="65"/>
      <c r="CJ278" s="65"/>
      <c r="CK278" s="65"/>
      <c r="CL278" s="65"/>
      <c r="CM278" s="65"/>
      <c r="CN278" s="65"/>
      <c r="CO278" s="65"/>
      <c r="CP278" s="65"/>
      <c r="CQ278" s="65"/>
      <c r="CR278" s="65"/>
      <c r="CS278" s="65"/>
      <c r="CT278" s="65"/>
      <c r="CU278" s="65"/>
      <c r="CV278" s="65"/>
      <c r="CW278" s="65"/>
      <c r="CX278" s="65"/>
      <c r="CY278" s="65"/>
      <c r="CZ278" s="65"/>
      <c r="DA278" s="65"/>
      <c r="DB278" s="65"/>
      <c r="DC278" s="65"/>
      <c r="DD278" s="65"/>
      <c r="DE278" s="65"/>
      <c r="DF278" s="65"/>
      <c r="DG278" s="65"/>
      <c r="DH278" s="65"/>
      <c r="DI278" s="65"/>
      <c r="DJ278" s="65"/>
      <c r="DK278" s="65"/>
      <c r="DL278" s="65"/>
      <c r="DM278" s="65"/>
      <c r="DN278" s="65"/>
      <c r="DO278" s="65"/>
      <c r="DP278" s="65"/>
      <c r="DQ278" s="65"/>
      <c r="DR278" s="65"/>
      <c r="DS278" s="65"/>
      <c r="DT278" s="65"/>
      <c r="DU278" s="65"/>
      <c r="DV278" s="65"/>
      <c r="DW278" s="65"/>
      <c r="DX278" s="65"/>
      <c r="DY278" s="65"/>
      <c r="DZ278" s="65"/>
      <c r="EA278" s="65"/>
      <c r="EB278" s="65"/>
      <c r="EC278" s="65"/>
      <c r="ED278" s="65"/>
      <c r="EE278" s="65"/>
      <c r="EF278" s="65"/>
      <c r="EG278" s="65"/>
      <c r="EH278" s="65"/>
      <c r="EI278" s="65"/>
      <c r="EJ278" s="65"/>
      <c r="EK278" s="65"/>
      <c r="EL278" s="65"/>
      <c r="EM278" s="65"/>
      <c r="EN278" s="65"/>
      <c r="EO278" s="65"/>
    </row>
    <row r="279" spans="1:145" s="62" customFormat="1" x14ac:dyDescent="0.2">
      <c r="A279" s="74">
        <v>4</v>
      </c>
      <c r="B279" s="146" t="s">
        <v>114</v>
      </c>
      <c r="C279" s="125" t="s">
        <v>16</v>
      </c>
      <c r="D279" s="123">
        <f>-Riders!D103+-Riders!D74</f>
        <v>0</v>
      </c>
      <c r="E279" s="123">
        <f>-Riders!E103+-Riders!E74</f>
        <v>0</v>
      </c>
      <c r="F279" s="123">
        <f>-Riders!F103+-Riders!F74</f>
        <v>0</v>
      </c>
      <c r="G279" s="123">
        <f>-Riders!G103+-Riders!G74</f>
        <v>0</v>
      </c>
      <c r="H279" s="123">
        <f>-Riders!H103+-Riders!H74</f>
        <v>0</v>
      </c>
      <c r="I279" s="123">
        <f>-Riders!I103+-Riders!I74</f>
        <v>0</v>
      </c>
      <c r="J279" s="123">
        <f>-Riders!J103+-Riders!J74</f>
        <v>0</v>
      </c>
      <c r="K279" s="123">
        <f>-Riders!K103+-Riders!K74</f>
        <v>0</v>
      </c>
      <c r="L279" s="123">
        <f>-Riders!L103+-Riders!L74</f>
        <v>25247.86</v>
      </c>
      <c r="M279" s="123">
        <f>-Riders!M103+-Riders!M74</f>
        <v>407.05</v>
      </c>
      <c r="N279" s="123">
        <f>-Riders!N103+-Riders!N74</f>
        <v>0</v>
      </c>
      <c r="O279" s="123">
        <f>-Riders!O103+-Riders!O74</f>
        <v>0</v>
      </c>
      <c r="P279" s="123">
        <f>SUM(D279:O279)</f>
        <v>25654.91</v>
      </c>
      <c r="Q279" s="146"/>
      <c r="R279" s="214"/>
      <c r="S279" s="117"/>
      <c r="T279" s="117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/>
      <c r="AX279" s="65"/>
      <c r="AY279" s="65"/>
      <c r="AZ279" s="65"/>
      <c r="BA279" s="65"/>
      <c r="BB279" s="65"/>
      <c r="BC279" s="65"/>
      <c r="BD279" s="65"/>
      <c r="BE279" s="65"/>
      <c r="BF279" s="65"/>
      <c r="BG279" s="65"/>
      <c r="BH279" s="65"/>
      <c r="BI279" s="65"/>
      <c r="BJ279" s="65"/>
      <c r="BK279" s="65"/>
      <c r="BL279" s="65"/>
      <c r="BM279" s="65"/>
      <c r="BN279" s="65"/>
      <c r="BO279" s="65"/>
      <c r="BP279" s="65"/>
      <c r="BQ279" s="65"/>
      <c r="BR279" s="65"/>
      <c r="BS279" s="65"/>
      <c r="BT279" s="65"/>
      <c r="BU279" s="65"/>
      <c r="BV279" s="65"/>
      <c r="BW279" s="65"/>
      <c r="BX279" s="65"/>
      <c r="BY279" s="65"/>
      <c r="BZ279" s="65"/>
      <c r="CA279" s="65"/>
      <c r="CB279" s="65"/>
      <c r="CC279" s="65"/>
      <c r="CD279" s="65"/>
      <c r="CE279" s="65"/>
      <c r="CF279" s="65"/>
      <c r="CG279" s="65"/>
      <c r="CH279" s="65"/>
      <c r="CI279" s="65"/>
      <c r="CJ279" s="65"/>
      <c r="CK279" s="65"/>
      <c r="CL279" s="65"/>
      <c r="CM279" s="65"/>
      <c r="CN279" s="65"/>
      <c r="CO279" s="65"/>
      <c r="CP279" s="65"/>
      <c r="CQ279" s="65"/>
      <c r="CR279" s="65"/>
      <c r="CS279" s="65"/>
      <c r="CT279" s="65"/>
      <c r="CU279" s="65"/>
      <c r="CV279" s="65"/>
      <c r="CW279" s="65"/>
      <c r="CX279" s="65"/>
      <c r="CY279" s="65"/>
      <c r="CZ279" s="65"/>
      <c r="DA279" s="65"/>
      <c r="DB279" s="65"/>
      <c r="DC279" s="65"/>
      <c r="DD279" s="65"/>
      <c r="DE279" s="65"/>
      <c r="DF279" s="65"/>
      <c r="DG279" s="65"/>
      <c r="DH279" s="65"/>
      <c r="DI279" s="65"/>
      <c r="DJ279" s="65"/>
      <c r="DK279" s="65"/>
      <c r="DL279" s="65"/>
      <c r="DM279" s="65"/>
      <c r="DN279" s="65"/>
      <c r="DO279" s="65"/>
      <c r="DP279" s="65"/>
      <c r="DQ279" s="65"/>
      <c r="DR279" s="65"/>
      <c r="DS279" s="65"/>
      <c r="DT279" s="65"/>
      <c r="DU279" s="65"/>
      <c r="DV279" s="65"/>
      <c r="DW279" s="65"/>
      <c r="DX279" s="65"/>
      <c r="DY279" s="65"/>
      <c r="DZ279" s="65"/>
      <c r="EA279" s="65"/>
      <c r="EB279" s="65"/>
      <c r="EC279" s="65"/>
      <c r="ED279" s="65"/>
      <c r="EE279" s="65"/>
      <c r="EF279" s="65"/>
      <c r="EG279" s="65"/>
      <c r="EH279" s="65"/>
      <c r="EI279" s="65"/>
      <c r="EJ279" s="65"/>
      <c r="EK279" s="65"/>
      <c r="EL279" s="65"/>
      <c r="EM279" s="65"/>
      <c r="EN279" s="65"/>
      <c r="EO279" s="65"/>
    </row>
    <row r="280" spans="1:145" s="62" customFormat="1" x14ac:dyDescent="0.2">
      <c r="A280" s="74">
        <v>5</v>
      </c>
      <c r="B280" s="162" t="s">
        <v>30</v>
      </c>
      <c r="C280" s="143"/>
      <c r="D280" s="157">
        <f t="shared" ref="D280:P280" si="60">SUM(D278:D279)</f>
        <v>0</v>
      </c>
      <c r="E280" s="157">
        <f t="shared" si="60"/>
        <v>0</v>
      </c>
      <c r="F280" s="157">
        <f t="shared" si="60"/>
        <v>0</v>
      </c>
      <c r="G280" s="157">
        <f t="shared" si="60"/>
        <v>0</v>
      </c>
      <c r="H280" s="157">
        <f t="shared" si="60"/>
        <v>0</v>
      </c>
      <c r="I280" s="157">
        <f t="shared" si="60"/>
        <v>0</v>
      </c>
      <c r="J280" s="157">
        <f t="shared" si="60"/>
        <v>0</v>
      </c>
      <c r="K280" s="157">
        <f t="shared" si="60"/>
        <v>0</v>
      </c>
      <c r="L280" s="157">
        <f t="shared" si="60"/>
        <v>297342.75</v>
      </c>
      <c r="M280" s="157">
        <f t="shared" si="60"/>
        <v>416.63</v>
      </c>
      <c r="N280" s="157">
        <f t="shared" si="60"/>
        <v>46.24</v>
      </c>
      <c r="O280" s="157">
        <f t="shared" si="60"/>
        <v>-0.52</v>
      </c>
      <c r="P280" s="157">
        <f t="shared" si="60"/>
        <v>297805.09999999998</v>
      </c>
      <c r="Q280" s="215"/>
      <c r="R280" s="214"/>
      <c r="S280" s="117"/>
      <c r="T280" s="117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  <c r="AW280" s="65"/>
      <c r="AX280" s="65"/>
      <c r="AY280" s="65"/>
      <c r="AZ280" s="65"/>
      <c r="BA280" s="65"/>
      <c r="BB280" s="65"/>
      <c r="BC280" s="65"/>
      <c r="BD280" s="65"/>
      <c r="BE280" s="65"/>
      <c r="BF280" s="65"/>
      <c r="BG280" s="65"/>
      <c r="BH280" s="65"/>
      <c r="BI280" s="65"/>
      <c r="BJ280" s="65"/>
      <c r="BK280" s="65"/>
      <c r="BL280" s="65"/>
      <c r="BM280" s="65"/>
      <c r="BN280" s="65"/>
      <c r="BO280" s="65"/>
      <c r="BP280" s="65"/>
      <c r="BQ280" s="65"/>
      <c r="BR280" s="65"/>
      <c r="BS280" s="65"/>
      <c r="BT280" s="65"/>
      <c r="BU280" s="65"/>
      <c r="BV280" s="65"/>
      <c r="BW280" s="65"/>
      <c r="BX280" s="65"/>
      <c r="BY280" s="65"/>
      <c r="BZ280" s="65"/>
      <c r="CA280" s="65"/>
      <c r="CB280" s="65"/>
      <c r="CC280" s="65"/>
      <c r="CD280" s="65"/>
      <c r="CE280" s="65"/>
      <c r="CF280" s="65"/>
      <c r="CG280" s="65"/>
      <c r="CH280" s="65"/>
      <c r="CI280" s="65"/>
      <c r="CJ280" s="65"/>
      <c r="CK280" s="65"/>
      <c r="CL280" s="65"/>
      <c r="CM280" s="65"/>
      <c r="CN280" s="65"/>
      <c r="CO280" s="65"/>
      <c r="CP280" s="65"/>
      <c r="CQ280" s="65"/>
      <c r="CR280" s="65"/>
      <c r="CS280" s="65"/>
      <c r="CT280" s="65"/>
      <c r="CU280" s="65"/>
      <c r="CV280" s="65"/>
      <c r="CW280" s="65"/>
      <c r="CX280" s="65"/>
      <c r="CY280" s="65"/>
      <c r="CZ280" s="65"/>
      <c r="DA280" s="65"/>
      <c r="DB280" s="65"/>
      <c r="DC280" s="65"/>
      <c r="DD280" s="65"/>
      <c r="DE280" s="65"/>
      <c r="DF280" s="65"/>
      <c r="DG280" s="65"/>
      <c r="DH280" s="65"/>
      <c r="DI280" s="65"/>
      <c r="DJ280" s="65"/>
      <c r="DK280" s="65"/>
      <c r="DL280" s="65"/>
      <c r="DM280" s="65"/>
      <c r="DN280" s="65"/>
      <c r="DO280" s="65"/>
      <c r="DP280" s="65"/>
      <c r="DQ280" s="65"/>
      <c r="DR280" s="65"/>
      <c r="DS280" s="65"/>
      <c r="DT280" s="65"/>
      <c r="DU280" s="65"/>
      <c r="DV280" s="65"/>
      <c r="DW280" s="65"/>
      <c r="DX280" s="65"/>
      <c r="DY280" s="65"/>
      <c r="DZ280" s="65"/>
      <c r="EA280" s="65"/>
      <c r="EB280" s="65"/>
      <c r="EC280" s="65"/>
      <c r="ED280" s="65"/>
      <c r="EE280" s="65"/>
      <c r="EF280" s="65"/>
      <c r="EG280" s="65"/>
      <c r="EH280" s="65"/>
      <c r="EI280" s="65"/>
      <c r="EJ280" s="65"/>
      <c r="EK280" s="65"/>
      <c r="EL280" s="65"/>
      <c r="EM280" s="65"/>
      <c r="EN280" s="65"/>
      <c r="EO280" s="65"/>
    </row>
    <row r="281" spans="1:145" s="62" customFormat="1" x14ac:dyDescent="0.2">
      <c r="B281" s="242"/>
      <c r="C281" s="143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22"/>
      <c r="Q281" s="215"/>
      <c r="R281" s="214"/>
      <c r="S281" s="117"/>
      <c r="T281" s="117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  <c r="BD281" s="65"/>
      <c r="BE281" s="65"/>
      <c r="BF281" s="65"/>
      <c r="BG281" s="65"/>
      <c r="BH281" s="65"/>
      <c r="BI281" s="65"/>
      <c r="BJ281" s="65"/>
      <c r="BK281" s="65"/>
      <c r="BL281" s="65"/>
      <c r="BM281" s="65"/>
      <c r="BN281" s="65"/>
      <c r="BO281" s="65"/>
      <c r="BP281" s="65"/>
      <c r="BQ281" s="65"/>
      <c r="BR281" s="65"/>
      <c r="BS281" s="65"/>
      <c r="BT281" s="65"/>
      <c r="BU281" s="65"/>
      <c r="BV281" s="65"/>
      <c r="BW281" s="65"/>
      <c r="BX281" s="65"/>
      <c r="BY281" s="65"/>
      <c r="BZ281" s="65"/>
      <c r="CA281" s="65"/>
      <c r="CB281" s="65"/>
      <c r="CC281" s="65"/>
      <c r="CD281" s="65"/>
      <c r="CE281" s="65"/>
      <c r="CF281" s="65"/>
      <c r="CG281" s="65"/>
      <c r="CH281" s="65"/>
      <c r="CI281" s="65"/>
      <c r="CJ281" s="65"/>
      <c r="CK281" s="65"/>
      <c r="CL281" s="65"/>
      <c r="CM281" s="65"/>
      <c r="CN281" s="65"/>
      <c r="CO281" s="65"/>
      <c r="CP281" s="65"/>
      <c r="CQ281" s="65"/>
      <c r="CR281" s="65"/>
      <c r="CS281" s="65"/>
      <c r="CT281" s="65"/>
      <c r="CU281" s="65"/>
      <c r="CV281" s="65"/>
      <c r="CW281" s="65"/>
      <c r="CX281" s="65"/>
      <c r="CY281" s="65"/>
      <c r="CZ281" s="65"/>
      <c r="DA281" s="65"/>
      <c r="DB281" s="65"/>
      <c r="DC281" s="65"/>
      <c r="DD281" s="65"/>
      <c r="DE281" s="65"/>
      <c r="DF281" s="65"/>
      <c r="DG281" s="65"/>
      <c r="DH281" s="65"/>
      <c r="DI281" s="65"/>
      <c r="DJ281" s="65"/>
      <c r="DK281" s="65"/>
      <c r="DL281" s="65"/>
      <c r="DM281" s="65"/>
      <c r="DN281" s="65"/>
      <c r="DO281" s="65"/>
      <c r="DP281" s="65"/>
      <c r="DQ281" s="65"/>
      <c r="DR281" s="65"/>
      <c r="DS281" s="65"/>
      <c r="DT281" s="65"/>
      <c r="DU281" s="65"/>
      <c r="DV281" s="65"/>
      <c r="DW281" s="65"/>
      <c r="DX281" s="65"/>
      <c r="DY281" s="65"/>
      <c r="DZ281" s="65"/>
      <c r="EA281" s="65"/>
      <c r="EB281" s="65"/>
      <c r="EC281" s="65"/>
      <c r="ED281" s="65"/>
      <c r="EE281" s="65"/>
      <c r="EF281" s="65"/>
      <c r="EG281" s="65"/>
      <c r="EH281" s="65"/>
      <c r="EI281" s="65"/>
      <c r="EJ281" s="65"/>
      <c r="EK281" s="65"/>
      <c r="EL281" s="65"/>
      <c r="EM281" s="65"/>
      <c r="EN281" s="65"/>
      <c r="EO281" s="65"/>
    </row>
    <row r="282" spans="1:145" s="62" customFormat="1" x14ac:dyDescent="0.2">
      <c r="A282" s="74">
        <v>6</v>
      </c>
      <c r="B282" s="146" t="s">
        <v>110</v>
      </c>
      <c r="C282" s="125" t="s">
        <v>17</v>
      </c>
      <c r="D282" s="122">
        <f>-Riders!D106+-Riders!D77</f>
        <v>0</v>
      </c>
      <c r="E282" s="122">
        <f>-Riders!E106+-Riders!E77</f>
        <v>0</v>
      </c>
      <c r="F282" s="122">
        <f>-Riders!F106+-Riders!F77</f>
        <v>0</v>
      </c>
      <c r="G282" s="122">
        <f>-Riders!G106+-Riders!G77</f>
        <v>0</v>
      </c>
      <c r="H282" s="122">
        <f>-Riders!H106+-Riders!H77</f>
        <v>0</v>
      </c>
      <c r="I282" s="122">
        <f>-Riders!I106+-Riders!I77</f>
        <v>0</v>
      </c>
      <c r="J282" s="122">
        <f>-Riders!J106+-Riders!J77</f>
        <v>0</v>
      </c>
      <c r="K282" s="122">
        <f>-Riders!K106+-Riders!K77</f>
        <v>0</v>
      </c>
      <c r="L282" s="122">
        <f>-Riders!L106+-Riders!L77</f>
        <v>8103.34</v>
      </c>
      <c r="M282" s="122">
        <f>-Riders!M106+-Riders!M77</f>
        <v>517.64</v>
      </c>
      <c r="N282" s="122">
        <f>-Riders!N106+-Riders!N77</f>
        <v>0.01</v>
      </c>
      <c r="O282" s="122">
        <f>-Riders!O106+-Riders!O77</f>
        <v>0</v>
      </c>
      <c r="P282" s="156">
        <f>SUM(D282:O282)</f>
        <v>8620.99</v>
      </c>
      <c r="Q282" s="215"/>
      <c r="R282" s="214"/>
      <c r="S282" s="117"/>
      <c r="T282" s="117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  <c r="BE282" s="65"/>
      <c r="BF282" s="65"/>
      <c r="BG282" s="65"/>
      <c r="BH282" s="65"/>
      <c r="BI282" s="65"/>
      <c r="BJ282" s="65"/>
      <c r="BK282" s="65"/>
      <c r="BL282" s="65"/>
      <c r="BM282" s="65"/>
      <c r="BN282" s="65"/>
      <c r="BO282" s="65"/>
      <c r="BP282" s="65"/>
      <c r="BQ282" s="65"/>
      <c r="BR282" s="65"/>
      <c r="BS282" s="65"/>
      <c r="BT282" s="65"/>
      <c r="BU282" s="65"/>
      <c r="BV282" s="65"/>
      <c r="BW282" s="65"/>
      <c r="BX282" s="65"/>
      <c r="BY282" s="65"/>
      <c r="BZ282" s="65"/>
      <c r="CA282" s="65"/>
      <c r="CB282" s="65"/>
      <c r="CC282" s="65"/>
      <c r="CD282" s="65"/>
      <c r="CE282" s="65"/>
      <c r="CF282" s="65"/>
      <c r="CG282" s="65"/>
      <c r="CH282" s="65"/>
      <c r="CI282" s="65"/>
      <c r="CJ282" s="65"/>
      <c r="CK282" s="65"/>
      <c r="CL282" s="65"/>
      <c r="CM282" s="65"/>
      <c r="CN282" s="65"/>
      <c r="CO282" s="65"/>
      <c r="CP282" s="65"/>
      <c r="CQ282" s="65"/>
      <c r="CR282" s="65"/>
      <c r="CS282" s="65"/>
      <c r="CT282" s="65"/>
      <c r="CU282" s="65"/>
      <c r="CV282" s="65"/>
      <c r="CW282" s="65"/>
      <c r="CX282" s="65"/>
      <c r="CY282" s="65"/>
      <c r="CZ282" s="65"/>
      <c r="DA282" s="65"/>
      <c r="DB282" s="65"/>
      <c r="DC282" s="65"/>
      <c r="DD282" s="65"/>
      <c r="DE282" s="65"/>
      <c r="DF282" s="65"/>
      <c r="DG282" s="65"/>
      <c r="DH282" s="65"/>
      <c r="DI282" s="65"/>
      <c r="DJ282" s="65"/>
      <c r="DK282" s="65"/>
      <c r="DL282" s="65"/>
      <c r="DM282" s="65"/>
      <c r="DN282" s="65"/>
      <c r="DO282" s="65"/>
      <c r="DP282" s="65"/>
      <c r="DQ282" s="65"/>
      <c r="DR282" s="65"/>
      <c r="DS282" s="65"/>
      <c r="DT282" s="65"/>
      <c r="DU282" s="65"/>
      <c r="DV282" s="65"/>
      <c r="DW282" s="65"/>
      <c r="DX282" s="65"/>
      <c r="DY282" s="65"/>
      <c r="DZ282" s="65"/>
      <c r="EA282" s="65"/>
      <c r="EB282" s="65"/>
      <c r="EC282" s="65"/>
      <c r="ED282" s="65"/>
      <c r="EE282" s="65"/>
      <c r="EF282" s="65"/>
      <c r="EG282" s="65"/>
      <c r="EH282" s="65"/>
      <c r="EI282" s="65"/>
      <c r="EJ282" s="65"/>
      <c r="EK282" s="65"/>
      <c r="EL282" s="65"/>
      <c r="EM282" s="65"/>
      <c r="EN282" s="65"/>
      <c r="EO282" s="65"/>
    </row>
    <row r="283" spans="1:145" s="62" customFormat="1" x14ac:dyDescent="0.2">
      <c r="A283" s="74">
        <v>7</v>
      </c>
      <c r="B283" s="146" t="s">
        <v>111</v>
      </c>
      <c r="C283" s="125" t="s">
        <v>17</v>
      </c>
      <c r="D283" s="123">
        <f>-Riders!D107+-Riders!D78</f>
        <v>0</v>
      </c>
      <c r="E283" s="123">
        <f>-Riders!E107+-Riders!E78</f>
        <v>0</v>
      </c>
      <c r="F283" s="123">
        <f>-Riders!F107+-Riders!F78</f>
        <v>0</v>
      </c>
      <c r="G283" s="123">
        <f>-Riders!G107+-Riders!G78</f>
        <v>0</v>
      </c>
      <c r="H283" s="123">
        <f>-Riders!H107+-Riders!H78</f>
        <v>0</v>
      </c>
      <c r="I283" s="123">
        <f>-Riders!I107+-Riders!I78</f>
        <v>0</v>
      </c>
      <c r="J283" s="123">
        <f>-Riders!J107+-Riders!J78</f>
        <v>0</v>
      </c>
      <c r="K283" s="123">
        <f>-Riders!K107+-Riders!K78</f>
        <v>0</v>
      </c>
      <c r="L283" s="123">
        <f>-Riders!L107+-Riders!L78</f>
        <v>67870.880000000005</v>
      </c>
      <c r="M283" s="123">
        <f>-Riders!M107+-Riders!M78</f>
        <v>755.1</v>
      </c>
      <c r="N283" s="123">
        <f>-Riders!N107+-Riders!N78</f>
        <v>-0.42</v>
      </c>
      <c r="O283" s="123">
        <f>-Riders!O107+-Riders!O78</f>
        <v>0</v>
      </c>
      <c r="P283" s="173">
        <f>SUM(D283:O283)</f>
        <v>68625.560000000012</v>
      </c>
      <c r="Q283" s="216"/>
      <c r="R283" s="214"/>
      <c r="S283" s="117"/>
      <c r="T283" s="117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/>
      <c r="AX283" s="65"/>
      <c r="AY283" s="65"/>
      <c r="AZ283" s="65"/>
      <c r="BA283" s="65"/>
      <c r="BB283" s="65"/>
      <c r="BC283" s="65"/>
      <c r="BD283" s="65"/>
      <c r="BE283" s="65"/>
      <c r="BF283" s="65"/>
      <c r="BG283" s="65"/>
      <c r="BH283" s="65"/>
      <c r="BI283" s="65"/>
      <c r="BJ283" s="65"/>
      <c r="BK283" s="65"/>
      <c r="BL283" s="65"/>
      <c r="BM283" s="65"/>
      <c r="BN283" s="65"/>
      <c r="BO283" s="65"/>
      <c r="BP283" s="65"/>
      <c r="BQ283" s="65"/>
      <c r="BR283" s="65"/>
      <c r="BS283" s="65"/>
      <c r="BT283" s="65"/>
      <c r="BU283" s="65"/>
      <c r="BV283" s="65"/>
      <c r="BW283" s="65"/>
      <c r="BX283" s="65"/>
      <c r="BY283" s="65"/>
      <c r="BZ283" s="65"/>
      <c r="CA283" s="65"/>
      <c r="CB283" s="65"/>
      <c r="CC283" s="65"/>
      <c r="CD283" s="65"/>
      <c r="CE283" s="65"/>
      <c r="CF283" s="65"/>
      <c r="CG283" s="65"/>
      <c r="CH283" s="65"/>
      <c r="CI283" s="65"/>
      <c r="CJ283" s="65"/>
      <c r="CK283" s="65"/>
      <c r="CL283" s="65"/>
      <c r="CM283" s="65"/>
      <c r="CN283" s="65"/>
      <c r="CO283" s="65"/>
      <c r="CP283" s="65"/>
      <c r="CQ283" s="65"/>
      <c r="CR283" s="65"/>
      <c r="CS283" s="65"/>
      <c r="CT283" s="65"/>
      <c r="CU283" s="65"/>
      <c r="CV283" s="65"/>
      <c r="CW283" s="65"/>
      <c r="CX283" s="65"/>
      <c r="CY283" s="65"/>
      <c r="CZ283" s="65"/>
      <c r="DA283" s="65"/>
      <c r="DB283" s="65"/>
      <c r="DC283" s="65"/>
      <c r="DD283" s="65"/>
      <c r="DE283" s="65"/>
      <c r="DF283" s="65"/>
      <c r="DG283" s="65"/>
      <c r="DH283" s="65"/>
      <c r="DI283" s="65"/>
      <c r="DJ283" s="65"/>
      <c r="DK283" s="65"/>
      <c r="DL283" s="65"/>
      <c r="DM283" s="65"/>
      <c r="DN283" s="65"/>
      <c r="DO283" s="65"/>
      <c r="DP283" s="65"/>
      <c r="DQ283" s="65"/>
      <c r="DR283" s="65"/>
      <c r="DS283" s="65"/>
      <c r="DT283" s="65"/>
      <c r="DU283" s="65"/>
      <c r="DV283" s="65"/>
      <c r="DW283" s="65"/>
      <c r="DX283" s="65"/>
      <c r="DY283" s="65"/>
      <c r="DZ283" s="65"/>
      <c r="EA283" s="65"/>
      <c r="EB283" s="65"/>
      <c r="EC283" s="65"/>
      <c r="ED283" s="65"/>
      <c r="EE283" s="65"/>
      <c r="EF283" s="65"/>
      <c r="EG283" s="65"/>
      <c r="EH283" s="65"/>
      <c r="EI283" s="65"/>
      <c r="EJ283" s="65"/>
      <c r="EK283" s="65"/>
      <c r="EL283" s="65"/>
      <c r="EM283" s="65"/>
      <c r="EN283" s="65"/>
      <c r="EO283" s="65"/>
    </row>
    <row r="284" spans="1:145" s="62" customFormat="1" x14ac:dyDescent="0.2">
      <c r="A284" s="74">
        <v>8</v>
      </c>
      <c r="B284" s="129" t="s">
        <v>31</v>
      </c>
      <c r="C284" s="125"/>
      <c r="D284" s="122">
        <f t="shared" ref="D284:P284" si="61">SUM(D282:D283)</f>
        <v>0</v>
      </c>
      <c r="E284" s="122">
        <f t="shared" si="61"/>
        <v>0</v>
      </c>
      <c r="F284" s="122">
        <f t="shared" si="61"/>
        <v>0</v>
      </c>
      <c r="G284" s="122">
        <f t="shared" si="61"/>
        <v>0</v>
      </c>
      <c r="H284" s="122">
        <f t="shared" si="61"/>
        <v>0</v>
      </c>
      <c r="I284" s="122">
        <f t="shared" si="61"/>
        <v>0</v>
      </c>
      <c r="J284" s="122">
        <f t="shared" si="61"/>
        <v>0</v>
      </c>
      <c r="K284" s="122">
        <f t="shared" si="61"/>
        <v>0</v>
      </c>
      <c r="L284" s="122">
        <f t="shared" si="61"/>
        <v>75974.22</v>
      </c>
      <c r="M284" s="122">
        <f t="shared" si="61"/>
        <v>1272.74</v>
      </c>
      <c r="N284" s="122">
        <f t="shared" si="61"/>
        <v>-0.41</v>
      </c>
      <c r="O284" s="122">
        <f t="shared" si="61"/>
        <v>0</v>
      </c>
      <c r="P284" s="122">
        <f t="shared" si="61"/>
        <v>77246.550000000017</v>
      </c>
      <c r="Q284" s="117"/>
      <c r="R284" s="117"/>
      <c r="S284" s="117"/>
      <c r="T284" s="117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  <c r="BD284" s="65"/>
      <c r="BE284" s="65"/>
      <c r="BF284" s="65"/>
      <c r="BG284" s="65"/>
      <c r="BH284" s="65"/>
      <c r="BI284" s="65"/>
      <c r="BJ284" s="65"/>
      <c r="BK284" s="65"/>
      <c r="BL284" s="65"/>
      <c r="BM284" s="65"/>
      <c r="BN284" s="65"/>
      <c r="BO284" s="65"/>
      <c r="BP284" s="65"/>
      <c r="BQ284" s="65"/>
      <c r="BR284" s="65"/>
      <c r="BS284" s="65"/>
      <c r="BT284" s="65"/>
      <c r="BU284" s="65"/>
      <c r="BV284" s="65"/>
      <c r="BW284" s="65"/>
      <c r="BX284" s="65"/>
      <c r="BY284" s="65"/>
      <c r="BZ284" s="65"/>
      <c r="CA284" s="65"/>
      <c r="CB284" s="65"/>
      <c r="CC284" s="65"/>
      <c r="CD284" s="65"/>
      <c r="CE284" s="65"/>
      <c r="CF284" s="65"/>
      <c r="CG284" s="65"/>
      <c r="CH284" s="65"/>
      <c r="CI284" s="65"/>
      <c r="CJ284" s="65"/>
      <c r="CK284" s="65"/>
      <c r="CL284" s="65"/>
      <c r="CM284" s="65"/>
      <c r="CN284" s="65"/>
      <c r="CO284" s="65"/>
      <c r="CP284" s="65"/>
      <c r="CQ284" s="65"/>
      <c r="CR284" s="65"/>
      <c r="CS284" s="65"/>
      <c r="CT284" s="65"/>
      <c r="CU284" s="65"/>
      <c r="CV284" s="65"/>
      <c r="CW284" s="65"/>
      <c r="CX284" s="65"/>
      <c r="CY284" s="65"/>
      <c r="CZ284" s="65"/>
      <c r="DA284" s="65"/>
      <c r="DB284" s="65"/>
      <c r="DC284" s="65"/>
      <c r="DD284" s="65"/>
      <c r="DE284" s="65"/>
      <c r="DF284" s="65"/>
      <c r="DG284" s="65"/>
      <c r="DH284" s="65"/>
      <c r="DI284" s="65"/>
      <c r="DJ284" s="65"/>
      <c r="DK284" s="65"/>
      <c r="DL284" s="65"/>
      <c r="DM284" s="65"/>
      <c r="DN284" s="65"/>
      <c r="DO284" s="65"/>
      <c r="DP284" s="65"/>
      <c r="DQ284" s="65"/>
      <c r="DR284" s="65"/>
      <c r="DS284" s="65"/>
      <c r="DT284" s="65"/>
      <c r="DU284" s="65"/>
      <c r="DV284" s="65"/>
      <c r="DW284" s="65"/>
      <c r="DX284" s="65"/>
      <c r="DY284" s="65"/>
      <c r="DZ284" s="65"/>
      <c r="EA284" s="65"/>
      <c r="EB284" s="65"/>
      <c r="EC284" s="65"/>
      <c r="ED284" s="65"/>
      <c r="EE284" s="65"/>
      <c r="EF284" s="65"/>
      <c r="EG284" s="65"/>
      <c r="EH284" s="65"/>
      <c r="EI284" s="65"/>
      <c r="EJ284" s="65"/>
      <c r="EK284" s="65"/>
      <c r="EL284" s="65"/>
      <c r="EM284" s="65"/>
      <c r="EN284" s="65"/>
      <c r="EO284" s="65"/>
    </row>
    <row r="285" spans="1:145" s="62" customFormat="1" x14ac:dyDescent="0.2">
      <c r="A285" s="74"/>
      <c r="B285" s="129"/>
      <c r="C285" s="125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56"/>
      <c r="Q285" s="117"/>
      <c r="R285" s="117"/>
      <c r="S285" s="117"/>
      <c r="T285" s="117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/>
      <c r="AX285" s="65"/>
      <c r="AY285" s="65"/>
      <c r="AZ285" s="65"/>
      <c r="BA285" s="65"/>
      <c r="BB285" s="65"/>
      <c r="BC285" s="65"/>
      <c r="BD285" s="65"/>
      <c r="BE285" s="65"/>
      <c r="BF285" s="65"/>
      <c r="BG285" s="65"/>
      <c r="BH285" s="65"/>
      <c r="BI285" s="65"/>
      <c r="BJ285" s="65"/>
      <c r="BK285" s="65"/>
      <c r="BL285" s="65"/>
      <c r="BM285" s="65"/>
      <c r="BN285" s="65"/>
      <c r="BO285" s="65"/>
      <c r="BP285" s="65"/>
      <c r="BQ285" s="65"/>
      <c r="BR285" s="65"/>
      <c r="BS285" s="65"/>
      <c r="BT285" s="65"/>
      <c r="BU285" s="65"/>
      <c r="BV285" s="65"/>
      <c r="BW285" s="65"/>
      <c r="BX285" s="65"/>
      <c r="BY285" s="65"/>
      <c r="BZ285" s="65"/>
      <c r="CA285" s="65"/>
      <c r="CB285" s="65"/>
      <c r="CC285" s="65"/>
      <c r="CD285" s="65"/>
      <c r="CE285" s="65"/>
      <c r="CF285" s="65"/>
      <c r="CG285" s="65"/>
      <c r="CH285" s="65"/>
      <c r="CI285" s="65"/>
      <c r="CJ285" s="65"/>
      <c r="CK285" s="65"/>
      <c r="CL285" s="65"/>
      <c r="CM285" s="65"/>
      <c r="CN285" s="65"/>
      <c r="CO285" s="65"/>
      <c r="CP285" s="65"/>
      <c r="CQ285" s="65"/>
      <c r="CR285" s="65"/>
      <c r="CS285" s="65"/>
      <c r="CT285" s="65"/>
      <c r="CU285" s="65"/>
      <c r="CV285" s="65"/>
      <c r="CW285" s="65"/>
      <c r="CX285" s="65"/>
      <c r="CY285" s="65"/>
      <c r="CZ285" s="65"/>
      <c r="DA285" s="65"/>
      <c r="DB285" s="65"/>
      <c r="DC285" s="65"/>
      <c r="DD285" s="65"/>
      <c r="DE285" s="65"/>
      <c r="DF285" s="65"/>
      <c r="DG285" s="65"/>
      <c r="DH285" s="65"/>
      <c r="DI285" s="65"/>
      <c r="DJ285" s="65"/>
      <c r="DK285" s="65"/>
      <c r="DL285" s="65"/>
      <c r="DM285" s="65"/>
      <c r="DN285" s="65"/>
      <c r="DO285" s="65"/>
      <c r="DP285" s="65"/>
      <c r="DQ285" s="65"/>
      <c r="DR285" s="65"/>
      <c r="DS285" s="65"/>
      <c r="DT285" s="65"/>
      <c r="DU285" s="65"/>
      <c r="DV285" s="65"/>
      <c r="DW285" s="65"/>
      <c r="DX285" s="65"/>
      <c r="DY285" s="65"/>
      <c r="DZ285" s="65"/>
      <c r="EA285" s="65"/>
      <c r="EB285" s="65"/>
      <c r="EC285" s="65"/>
      <c r="ED285" s="65"/>
      <c r="EE285" s="65"/>
      <c r="EF285" s="65"/>
      <c r="EG285" s="65"/>
      <c r="EH285" s="65"/>
      <c r="EI285" s="65"/>
      <c r="EJ285" s="65"/>
      <c r="EK285" s="65"/>
      <c r="EL285" s="65"/>
      <c r="EM285" s="65"/>
      <c r="EN285" s="65"/>
      <c r="EO285" s="65"/>
    </row>
    <row r="286" spans="1:145" s="62" customFormat="1" x14ac:dyDescent="0.2">
      <c r="A286" s="74">
        <v>9</v>
      </c>
      <c r="B286" s="162" t="s">
        <v>115</v>
      </c>
      <c r="C286" s="125" t="s">
        <v>18</v>
      </c>
      <c r="D286" s="122">
        <f>-Riders!D81</f>
        <v>0</v>
      </c>
      <c r="E286" s="122">
        <f>-Riders!E81</f>
        <v>0</v>
      </c>
      <c r="F286" s="122">
        <f>-Riders!F81</f>
        <v>0</v>
      </c>
      <c r="G286" s="122">
        <f>-Riders!G81</f>
        <v>0</v>
      </c>
      <c r="H286" s="122">
        <f>-Riders!H81</f>
        <v>0</v>
      </c>
      <c r="I286" s="122">
        <f>-Riders!I81</f>
        <v>0</v>
      </c>
      <c r="J286" s="122">
        <f>-Riders!J81</f>
        <v>0</v>
      </c>
      <c r="K286" s="122">
        <f>-Riders!K81</f>
        <v>0</v>
      </c>
      <c r="L286" s="122">
        <f>-Riders!L81</f>
        <v>19510.240000000002</v>
      </c>
      <c r="M286" s="122">
        <f>-Riders!M81</f>
        <v>3484.9700000000003</v>
      </c>
      <c r="N286" s="122">
        <f>-Riders!N81</f>
        <v>0</v>
      </c>
      <c r="O286" s="122">
        <f>-Riders!O81</f>
        <v>0</v>
      </c>
      <c r="P286" s="156">
        <f>SUM(D286:O286)</f>
        <v>22995.210000000003</v>
      </c>
      <c r="Q286" s="117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  <c r="BD286" s="65"/>
      <c r="BE286" s="65"/>
      <c r="BF286" s="65"/>
      <c r="BG286" s="65"/>
      <c r="BH286" s="65"/>
      <c r="BI286" s="65"/>
      <c r="BJ286" s="65"/>
      <c r="BK286" s="65"/>
      <c r="BL286" s="65"/>
      <c r="BM286" s="65"/>
      <c r="BN286" s="65"/>
      <c r="BO286" s="65"/>
      <c r="BP286" s="65"/>
      <c r="BQ286" s="65"/>
      <c r="BR286" s="65"/>
      <c r="BS286" s="65"/>
      <c r="BT286" s="65"/>
      <c r="BU286" s="65"/>
      <c r="BV286" s="65"/>
      <c r="BW286" s="65"/>
      <c r="BX286" s="65"/>
      <c r="BY286" s="65"/>
      <c r="BZ286" s="65"/>
      <c r="CA286" s="65"/>
      <c r="CB286" s="65"/>
      <c r="CC286" s="65"/>
      <c r="CD286" s="65"/>
      <c r="CE286" s="65"/>
      <c r="CF286" s="65"/>
      <c r="CG286" s="65"/>
      <c r="CH286" s="65"/>
      <c r="CI286" s="65"/>
      <c r="CJ286" s="65"/>
      <c r="CK286" s="65"/>
      <c r="CL286" s="65"/>
      <c r="CM286" s="65"/>
      <c r="CN286" s="65"/>
      <c r="CO286" s="65"/>
      <c r="CP286" s="65"/>
      <c r="CQ286" s="65"/>
      <c r="CR286" s="65"/>
      <c r="CS286" s="65"/>
      <c r="CT286" s="65"/>
      <c r="CU286" s="65"/>
      <c r="CV286" s="65"/>
      <c r="CW286" s="65"/>
      <c r="CX286" s="65"/>
      <c r="CY286" s="65"/>
      <c r="CZ286" s="65"/>
      <c r="DA286" s="65"/>
      <c r="DB286" s="65"/>
      <c r="DC286" s="65"/>
      <c r="DD286" s="65"/>
      <c r="DE286" s="65"/>
      <c r="DF286" s="65"/>
      <c r="DG286" s="65"/>
      <c r="DH286" s="65"/>
      <c r="DI286" s="65"/>
      <c r="DJ286" s="65"/>
      <c r="DK286" s="65"/>
      <c r="DL286" s="65"/>
      <c r="DM286" s="65"/>
      <c r="DN286" s="65"/>
      <c r="DO286" s="65"/>
      <c r="DP286" s="65"/>
      <c r="DQ286" s="65"/>
      <c r="DR286" s="65"/>
      <c r="DS286" s="65"/>
      <c r="DT286" s="65"/>
      <c r="DU286" s="65"/>
      <c r="DV286" s="65"/>
      <c r="DW286" s="65"/>
      <c r="DX286" s="65"/>
      <c r="DY286" s="65"/>
      <c r="DZ286" s="65"/>
      <c r="EA286" s="65"/>
      <c r="EB286" s="65"/>
      <c r="EC286" s="65"/>
      <c r="ED286" s="65"/>
      <c r="EE286" s="65"/>
      <c r="EF286" s="65"/>
      <c r="EG286" s="65"/>
      <c r="EH286" s="65"/>
      <c r="EI286" s="65"/>
      <c r="EJ286" s="65"/>
      <c r="EK286" s="65"/>
      <c r="EL286" s="65"/>
      <c r="EM286" s="65"/>
      <c r="EN286" s="65"/>
      <c r="EO286" s="65"/>
    </row>
    <row r="287" spans="1:145" s="62" customFormat="1" x14ac:dyDescent="0.2">
      <c r="B287" s="129"/>
      <c r="C287" s="143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22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  <c r="BD287" s="65"/>
      <c r="BE287" s="65"/>
      <c r="BF287" s="65"/>
      <c r="BG287" s="65"/>
      <c r="BH287" s="65"/>
      <c r="BI287" s="65"/>
      <c r="BJ287" s="65"/>
      <c r="BK287" s="65"/>
      <c r="BL287" s="65"/>
      <c r="BM287" s="65"/>
      <c r="BN287" s="65"/>
      <c r="BO287" s="65"/>
      <c r="BP287" s="65"/>
      <c r="BQ287" s="65"/>
      <c r="BR287" s="65"/>
      <c r="BS287" s="65"/>
      <c r="BT287" s="65"/>
      <c r="BU287" s="65"/>
      <c r="BV287" s="65"/>
      <c r="BW287" s="65"/>
      <c r="BX287" s="65"/>
      <c r="BY287" s="65"/>
      <c r="BZ287" s="65"/>
      <c r="CA287" s="65"/>
      <c r="CB287" s="65"/>
      <c r="CC287" s="65"/>
      <c r="CD287" s="65"/>
      <c r="CE287" s="65"/>
      <c r="CF287" s="65"/>
      <c r="CG287" s="65"/>
      <c r="CH287" s="65"/>
      <c r="CI287" s="65"/>
      <c r="CJ287" s="65"/>
      <c r="CK287" s="65"/>
      <c r="CL287" s="65"/>
      <c r="CM287" s="65"/>
      <c r="CN287" s="65"/>
      <c r="CO287" s="65"/>
      <c r="CP287" s="65"/>
      <c r="CQ287" s="65"/>
      <c r="CR287" s="65"/>
      <c r="CS287" s="65"/>
      <c r="CT287" s="65"/>
      <c r="CU287" s="65"/>
      <c r="CV287" s="65"/>
      <c r="CW287" s="65"/>
      <c r="CX287" s="65"/>
      <c r="CY287" s="65"/>
      <c r="CZ287" s="65"/>
      <c r="DA287" s="65"/>
      <c r="DB287" s="65"/>
      <c r="DC287" s="65"/>
      <c r="DD287" s="65"/>
      <c r="DE287" s="65"/>
      <c r="DF287" s="65"/>
      <c r="DG287" s="65"/>
      <c r="DH287" s="65"/>
      <c r="DI287" s="65"/>
      <c r="DJ287" s="65"/>
      <c r="DK287" s="65"/>
      <c r="DL287" s="65"/>
      <c r="DM287" s="65"/>
      <c r="DN287" s="65"/>
      <c r="DO287" s="65"/>
      <c r="DP287" s="65"/>
      <c r="DQ287" s="65"/>
      <c r="DR287" s="65"/>
      <c r="DS287" s="65"/>
      <c r="DT287" s="65"/>
      <c r="DU287" s="65"/>
      <c r="DV287" s="65"/>
      <c r="DW287" s="65"/>
      <c r="DX287" s="65"/>
      <c r="DY287" s="65"/>
      <c r="DZ287" s="65"/>
      <c r="EA287" s="65"/>
      <c r="EB287" s="65"/>
      <c r="EC287" s="65"/>
      <c r="ED287" s="65"/>
      <c r="EE287" s="65"/>
      <c r="EF287" s="65"/>
      <c r="EG287" s="65"/>
      <c r="EH287" s="65"/>
      <c r="EI287" s="65"/>
      <c r="EJ287" s="65"/>
      <c r="EK287" s="65"/>
      <c r="EL287" s="65"/>
      <c r="EM287" s="65"/>
      <c r="EN287" s="65"/>
      <c r="EO287" s="65"/>
    </row>
    <row r="288" spans="1:145" s="62" customFormat="1" x14ac:dyDescent="0.2">
      <c r="A288" s="74">
        <v>10</v>
      </c>
      <c r="B288" s="117" t="s">
        <v>33</v>
      </c>
      <c r="C288" s="125" t="s">
        <v>16</v>
      </c>
      <c r="D288" s="122">
        <f>-Riders!D112+-Riders!D83</f>
        <v>0</v>
      </c>
      <c r="E288" s="122">
        <f>-Riders!E112+-Riders!E83</f>
        <v>0</v>
      </c>
      <c r="F288" s="122">
        <f>-Riders!F112+-Riders!F83</f>
        <v>0</v>
      </c>
      <c r="G288" s="122">
        <f>-Riders!G112+-Riders!G83</f>
        <v>0</v>
      </c>
      <c r="H288" s="122">
        <f>-Riders!H112+-Riders!H83</f>
        <v>0</v>
      </c>
      <c r="I288" s="122">
        <f>-Riders!I112+-Riders!I83</f>
        <v>0</v>
      </c>
      <c r="J288" s="122">
        <f>-Riders!J112+-Riders!J83</f>
        <v>0</v>
      </c>
      <c r="K288" s="122">
        <f>-Riders!K112+-Riders!K83</f>
        <v>0</v>
      </c>
      <c r="L288" s="122">
        <f>-Riders!L112+-Riders!L83</f>
        <v>30687.56</v>
      </c>
      <c r="M288" s="122">
        <f>-Riders!M112+-Riders!M83</f>
        <v>-0.55000000000000004</v>
      </c>
      <c r="N288" s="122">
        <f>-Riders!N112+-Riders!N83</f>
        <v>2.36</v>
      </c>
      <c r="O288" s="122">
        <f>-Riders!O112+-Riders!O83</f>
        <v>-0.14000000000000001</v>
      </c>
      <c r="P288" s="156">
        <f>SUM(D288:O288)</f>
        <v>30689.230000000003</v>
      </c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  <c r="AW288" s="65"/>
      <c r="AX288" s="65"/>
      <c r="AY288" s="65"/>
      <c r="AZ288" s="65"/>
      <c r="BA288" s="65"/>
      <c r="BB288" s="65"/>
      <c r="BC288" s="65"/>
      <c r="BD288" s="65"/>
      <c r="BE288" s="65"/>
      <c r="BF288" s="65"/>
      <c r="BG288" s="65"/>
      <c r="BH288" s="65"/>
      <c r="BI288" s="65"/>
      <c r="BJ288" s="65"/>
      <c r="BK288" s="65"/>
      <c r="BL288" s="65"/>
      <c r="BM288" s="65"/>
      <c r="BN288" s="65"/>
      <c r="BO288" s="65"/>
      <c r="BP288" s="65"/>
      <c r="BQ288" s="65"/>
      <c r="BR288" s="65"/>
      <c r="BS288" s="65"/>
      <c r="BT288" s="65"/>
      <c r="BU288" s="65"/>
      <c r="BV288" s="65"/>
      <c r="BW288" s="65"/>
      <c r="BX288" s="65"/>
      <c r="BY288" s="65"/>
      <c r="BZ288" s="65"/>
      <c r="CA288" s="65"/>
      <c r="CB288" s="65"/>
      <c r="CC288" s="65"/>
      <c r="CD288" s="65"/>
      <c r="CE288" s="65"/>
      <c r="CF288" s="65"/>
      <c r="CG288" s="65"/>
      <c r="CH288" s="65"/>
      <c r="CI288" s="65"/>
      <c r="CJ288" s="65"/>
      <c r="CK288" s="65"/>
      <c r="CL288" s="65"/>
      <c r="CM288" s="65"/>
      <c r="CN288" s="65"/>
      <c r="CO288" s="65"/>
      <c r="CP288" s="65"/>
      <c r="CQ288" s="65"/>
      <c r="CR288" s="65"/>
      <c r="CS288" s="65"/>
      <c r="CT288" s="65"/>
      <c r="CU288" s="65"/>
      <c r="CV288" s="65"/>
      <c r="CW288" s="65"/>
      <c r="CX288" s="65"/>
      <c r="CY288" s="65"/>
      <c r="CZ288" s="65"/>
      <c r="DA288" s="65"/>
      <c r="DB288" s="65"/>
      <c r="DC288" s="65"/>
      <c r="DD288" s="65"/>
      <c r="DE288" s="65"/>
      <c r="DF288" s="65"/>
      <c r="DG288" s="65"/>
      <c r="DH288" s="65"/>
      <c r="DI288" s="65"/>
      <c r="DJ288" s="65"/>
      <c r="DK288" s="65"/>
      <c r="DL288" s="65"/>
      <c r="DM288" s="65"/>
      <c r="DN288" s="65"/>
      <c r="DO288" s="65"/>
      <c r="DP288" s="65"/>
      <c r="DQ288" s="65"/>
      <c r="DR288" s="65"/>
      <c r="DS288" s="65"/>
      <c r="DT288" s="65"/>
      <c r="DU288" s="65"/>
      <c r="DV288" s="65"/>
      <c r="DW288" s="65"/>
      <c r="DX288" s="65"/>
      <c r="DY288" s="65"/>
      <c r="DZ288" s="65"/>
      <c r="EA288" s="65"/>
      <c r="EB288" s="65"/>
      <c r="EC288" s="65"/>
      <c r="ED288" s="65"/>
      <c r="EE288" s="65"/>
      <c r="EF288" s="65"/>
      <c r="EG288" s="65"/>
      <c r="EH288" s="65"/>
      <c r="EI288" s="65"/>
      <c r="EJ288" s="65"/>
      <c r="EK288" s="65"/>
      <c r="EL288" s="65"/>
      <c r="EM288" s="65"/>
      <c r="EN288" s="65"/>
      <c r="EO288" s="65"/>
    </row>
    <row r="289" spans="1:145" s="62" customFormat="1" x14ac:dyDescent="0.2">
      <c r="A289" s="74"/>
      <c r="B289" s="129"/>
      <c r="C289" s="143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22"/>
      <c r="P289" s="122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  <c r="AW289" s="65"/>
      <c r="AX289" s="65"/>
      <c r="AY289" s="65"/>
      <c r="AZ289" s="65"/>
      <c r="BA289" s="65"/>
      <c r="BB289" s="65"/>
      <c r="BC289" s="65"/>
      <c r="BD289" s="65"/>
      <c r="BE289" s="65"/>
      <c r="BF289" s="65"/>
      <c r="BG289" s="65"/>
      <c r="BH289" s="65"/>
      <c r="BI289" s="65"/>
      <c r="BJ289" s="65"/>
      <c r="BK289" s="65"/>
      <c r="BL289" s="65"/>
      <c r="BM289" s="65"/>
      <c r="BN289" s="65"/>
      <c r="BO289" s="65"/>
      <c r="BP289" s="65"/>
      <c r="BQ289" s="65"/>
      <c r="BR289" s="65"/>
      <c r="BS289" s="65"/>
      <c r="BT289" s="65"/>
      <c r="BU289" s="65"/>
      <c r="BV289" s="65"/>
      <c r="BW289" s="65"/>
      <c r="BX289" s="65"/>
      <c r="BY289" s="65"/>
      <c r="BZ289" s="65"/>
      <c r="CA289" s="65"/>
      <c r="CB289" s="65"/>
      <c r="CC289" s="65"/>
      <c r="CD289" s="65"/>
      <c r="CE289" s="65"/>
      <c r="CF289" s="65"/>
      <c r="CG289" s="65"/>
      <c r="CH289" s="65"/>
      <c r="CI289" s="65"/>
      <c r="CJ289" s="65"/>
      <c r="CK289" s="65"/>
      <c r="CL289" s="65"/>
      <c r="CM289" s="65"/>
      <c r="CN289" s="65"/>
      <c r="CO289" s="65"/>
      <c r="CP289" s="65"/>
      <c r="CQ289" s="65"/>
      <c r="CR289" s="65"/>
      <c r="CS289" s="65"/>
      <c r="CT289" s="65"/>
      <c r="CU289" s="65"/>
      <c r="CV289" s="65"/>
      <c r="CW289" s="65"/>
      <c r="CX289" s="65"/>
      <c r="CY289" s="65"/>
      <c r="CZ289" s="65"/>
      <c r="DA289" s="65"/>
      <c r="DB289" s="65"/>
      <c r="DC289" s="65"/>
      <c r="DD289" s="65"/>
      <c r="DE289" s="65"/>
      <c r="DF289" s="65"/>
      <c r="DG289" s="65"/>
      <c r="DH289" s="65"/>
      <c r="DI289" s="65"/>
      <c r="DJ289" s="65"/>
      <c r="DK289" s="65"/>
      <c r="DL289" s="65"/>
      <c r="DM289" s="65"/>
      <c r="DN289" s="65"/>
      <c r="DO289" s="65"/>
      <c r="DP289" s="65"/>
      <c r="DQ289" s="65"/>
      <c r="DR289" s="65"/>
      <c r="DS289" s="65"/>
      <c r="DT289" s="65"/>
      <c r="DU289" s="65"/>
      <c r="DV289" s="65"/>
      <c r="DW289" s="65"/>
      <c r="DX289" s="65"/>
      <c r="DY289" s="65"/>
      <c r="DZ289" s="65"/>
      <c r="EA289" s="65"/>
      <c r="EB289" s="65"/>
      <c r="EC289" s="65"/>
      <c r="ED289" s="65"/>
      <c r="EE289" s="65"/>
      <c r="EF289" s="65"/>
      <c r="EG289" s="65"/>
      <c r="EH289" s="65"/>
      <c r="EI289" s="65"/>
      <c r="EJ289" s="65"/>
      <c r="EK289" s="65"/>
      <c r="EL289" s="65"/>
      <c r="EM289" s="65"/>
      <c r="EN289" s="65"/>
      <c r="EO289" s="65"/>
    </row>
    <row r="290" spans="1:145" s="62" customFormat="1" x14ac:dyDescent="0.2">
      <c r="A290" s="74">
        <v>11</v>
      </c>
      <c r="B290" s="183" t="s">
        <v>34</v>
      </c>
      <c r="C290" s="236"/>
      <c r="D290" s="184">
        <f>D288+D286+D284+D280+D276+D274</f>
        <v>0</v>
      </c>
      <c r="E290" s="184">
        <f t="shared" ref="E290:O290" si="62">E288+E286+E284+E280+E276+E274</f>
        <v>0</v>
      </c>
      <c r="F290" s="184">
        <f t="shared" si="62"/>
        <v>0</v>
      </c>
      <c r="G290" s="184">
        <f t="shared" si="62"/>
        <v>0</v>
      </c>
      <c r="H290" s="184">
        <f t="shared" si="62"/>
        <v>0</v>
      </c>
      <c r="I290" s="184">
        <f t="shared" si="62"/>
        <v>0</v>
      </c>
      <c r="J290" s="184">
        <f t="shared" si="62"/>
        <v>0</v>
      </c>
      <c r="K290" s="184">
        <f t="shared" si="62"/>
        <v>0</v>
      </c>
      <c r="L290" s="184">
        <f t="shared" si="62"/>
        <v>984735.02</v>
      </c>
      <c r="M290" s="184">
        <f t="shared" si="62"/>
        <v>5197.7700000000004</v>
      </c>
      <c r="N290" s="184">
        <f t="shared" si="62"/>
        <v>47.040000000000006</v>
      </c>
      <c r="O290" s="184">
        <f t="shared" si="62"/>
        <v>-30.6</v>
      </c>
      <c r="P290" s="184">
        <f>P288+P286+P284+P280+P276+P274</f>
        <v>989949.23</v>
      </c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  <c r="AW290" s="65"/>
      <c r="AX290" s="65"/>
      <c r="AY290" s="65"/>
      <c r="AZ290" s="65"/>
      <c r="BA290" s="65"/>
      <c r="BB290" s="65"/>
      <c r="BC290" s="65"/>
      <c r="BD290" s="65"/>
      <c r="BE290" s="65"/>
      <c r="BF290" s="65"/>
      <c r="BG290" s="65"/>
      <c r="BH290" s="65"/>
      <c r="BI290" s="65"/>
      <c r="BJ290" s="65"/>
      <c r="BK290" s="65"/>
      <c r="BL290" s="65"/>
      <c r="BM290" s="65"/>
      <c r="BN290" s="65"/>
      <c r="BO290" s="65"/>
      <c r="BP290" s="65"/>
      <c r="BQ290" s="65"/>
      <c r="BR290" s="65"/>
      <c r="BS290" s="65"/>
      <c r="BT290" s="65"/>
      <c r="BU290" s="65"/>
      <c r="BV290" s="65"/>
      <c r="BW290" s="65"/>
      <c r="BX290" s="65"/>
      <c r="BY290" s="65"/>
      <c r="BZ290" s="65"/>
      <c r="CA290" s="65"/>
      <c r="CB290" s="65"/>
      <c r="CC290" s="65"/>
      <c r="CD290" s="65"/>
      <c r="CE290" s="65"/>
      <c r="CF290" s="65"/>
      <c r="CG290" s="65"/>
      <c r="CH290" s="65"/>
      <c r="CI290" s="65"/>
      <c r="CJ290" s="65"/>
      <c r="CK290" s="65"/>
      <c r="CL290" s="65"/>
      <c r="CM290" s="65"/>
      <c r="CN290" s="65"/>
      <c r="CO290" s="65"/>
      <c r="CP290" s="65"/>
      <c r="CQ290" s="65"/>
      <c r="CR290" s="65"/>
      <c r="CS290" s="65"/>
      <c r="CT290" s="65"/>
      <c r="CU290" s="65"/>
      <c r="CV290" s="65"/>
      <c r="CW290" s="65"/>
      <c r="CX290" s="65"/>
      <c r="CY290" s="65"/>
      <c r="CZ290" s="65"/>
      <c r="DA290" s="65"/>
      <c r="DB290" s="65"/>
      <c r="DC290" s="65"/>
      <c r="DD290" s="65"/>
      <c r="DE290" s="65"/>
      <c r="DF290" s="65"/>
      <c r="DG290" s="65"/>
      <c r="DH290" s="65"/>
      <c r="DI290" s="65"/>
      <c r="DJ290" s="65"/>
      <c r="DK290" s="65"/>
      <c r="DL290" s="65"/>
      <c r="DM290" s="65"/>
      <c r="DN290" s="65"/>
      <c r="DO290" s="65"/>
      <c r="DP290" s="65"/>
      <c r="DQ290" s="65"/>
      <c r="DR290" s="65"/>
      <c r="DS290" s="65"/>
      <c r="DT290" s="65"/>
      <c r="DU290" s="65"/>
      <c r="DV290" s="65"/>
      <c r="DW290" s="65"/>
      <c r="DX290" s="65"/>
      <c r="DY290" s="65"/>
      <c r="DZ290" s="65"/>
      <c r="EA290" s="65"/>
      <c r="EB290" s="65"/>
      <c r="EC290" s="65"/>
      <c r="ED290" s="65"/>
      <c r="EE290" s="65"/>
      <c r="EF290" s="65"/>
      <c r="EG290" s="65"/>
      <c r="EH290" s="65"/>
      <c r="EI290" s="65"/>
      <c r="EJ290" s="65"/>
      <c r="EK290" s="65"/>
      <c r="EL290" s="65"/>
      <c r="EM290" s="65"/>
      <c r="EN290" s="65"/>
      <c r="EO290" s="65"/>
    </row>
    <row r="291" spans="1:145" s="62" customFormat="1" x14ac:dyDescent="0.2">
      <c r="B291" s="236"/>
      <c r="C291" s="236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56"/>
      <c r="P291" s="156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65"/>
      <c r="BD291" s="65"/>
      <c r="BE291" s="65"/>
      <c r="BF291" s="65"/>
      <c r="BG291" s="65"/>
      <c r="BH291" s="65"/>
      <c r="BI291" s="65"/>
      <c r="BJ291" s="65"/>
      <c r="BK291" s="65"/>
      <c r="BL291" s="65"/>
      <c r="BM291" s="65"/>
      <c r="BN291" s="65"/>
      <c r="BO291" s="65"/>
      <c r="BP291" s="65"/>
      <c r="BQ291" s="65"/>
      <c r="BR291" s="65"/>
      <c r="BS291" s="65"/>
      <c r="BT291" s="65"/>
      <c r="BU291" s="65"/>
      <c r="BV291" s="65"/>
      <c r="BW291" s="65"/>
      <c r="BX291" s="65"/>
      <c r="BY291" s="65"/>
      <c r="BZ291" s="65"/>
      <c r="CA291" s="65"/>
      <c r="CB291" s="65"/>
      <c r="CC291" s="65"/>
      <c r="CD291" s="65"/>
      <c r="CE291" s="65"/>
      <c r="CF291" s="65"/>
      <c r="CG291" s="65"/>
      <c r="CH291" s="65"/>
      <c r="CI291" s="65"/>
      <c r="CJ291" s="65"/>
      <c r="CK291" s="65"/>
      <c r="CL291" s="65"/>
      <c r="CM291" s="65"/>
      <c r="CN291" s="65"/>
      <c r="CO291" s="65"/>
      <c r="CP291" s="65"/>
      <c r="CQ291" s="65"/>
      <c r="CR291" s="65"/>
      <c r="CS291" s="65"/>
      <c r="CT291" s="65"/>
      <c r="CU291" s="65"/>
      <c r="CV291" s="65"/>
      <c r="CW291" s="65"/>
      <c r="CX291" s="65"/>
      <c r="CY291" s="65"/>
      <c r="CZ291" s="65"/>
      <c r="DA291" s="65"/>
      <c r="DB291" s="65"/>
      <c r="DC291" s="65"/>
      <c r="DD291" s="65"/>
      <c r="DE291" s="65"/>
      <c r="DF291" s="65"/>
      <c r="DG291" s="65"/>
      <c r="DH291" s="65"/>
      <c r="DI291" s="65"/>
      <c r="DJ291" s="65"/>
      <c r="DK291" s="65"/>
      <c r="DL291" s="65"/>
      <c r="DM291" s="65"/>
      <c r="DN291" s="65"/>
      <c r="DO291" s="65"/>
      <c r="DP291" s="65"/>
      <c r="DQ291" s="65"/>
      <c r="DR291" s="65"/>
      <c r="DS291" s="65"/>
      <c r="DT291" s="65"/>
      <c r="DU291" s="65"/>
      <c r="DV291" s="65"/>
      <c r="DW291" s="65"/>
      <c r="DX291" s="65"/>
      <c r="DY291" s="65"/>
      <c r="DZ291" s="65"/>
      <c r="EA291" s="65"/>
      <c r="EB291" s="65"/>
      <c r="EC291" s="65"/>
      <c r="ED291" s="65"/>
      <c r="EE291" s="65"/>
      <c r="EF291" s="65"/>
      <c r="EG291" s="65"/>
      <c r="EH291" s="65"/>
      <c r="EI291" s="65"/>
      <c r="EJ291" s="65"/>
      <c r="EK291" s="65"/>
      <c r="EL291" s="65"/>
      <c r="EM291" s="65"/>
      <c r="EN291" s="65"/>
      <c r="EO291" s="65"/>
    </row>
    <row r="292" spans="1:145" s="62" customFormat="1" x14ac:dyDescent="0.2">
      <c r="A292" s="74">
        <v>12</v>
      </c>
      <c r="B292" s="148" t="s">
        <v>91</v>
      </c>
      <c r="C292" s="125" t="s">
        <v>17</v>
      </c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56">
        <f>SUM(D292:O292)</f>
        <v>0</v>
      </c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65"/>
      <c r="BD292" s="65"/>
      <c r="BE292" s="65"/>
      <c r="BF292" s="65"/>
      <c r="BG292" s="65"/>
      <c r="BH292" s="65"/>
      <c r="BI292" s="65"/>
      <c r="BJ292" s="65"/>
      <c r="BK292" s="65"/>
      <c r="BL292" s="65"/>
      <c r="BM292" s="65"/>
      <c r="BN292" s="65"/>
      <c r="BO292" s="65"/>
      <c r="BP292" s="65"/>
      <c r="BQ292" s="65"/>
      <c r="BR292" s="65"/>
      <c r="BS292" s="65"/>
      <c r="BT292" s="65"/>
      <c r="BU292" s="65"/>
      <c r="BV292" s="65"/>
      <c r="BW292" s="65"/>
      <c r="BX292" s="65"/>
      <c r="BY292" s="65"/>
      <c r="BZ292" s="65"/>
      <c r="CA292" s="65"/>
      <c r="CB292" s="65"/>
      <c r="CC292" s="65"/>
      <c r="CD292" s="65"/>
      <c r="CE292" s="65"/>
      <c r="CF292" s="65"/>
      <c r="CG292" s="65"/>
      <c r="CH292" s="65"/>
      <c r="CI292" s="65"/>
      <c r="CJ292" s="65"/>
      <c r="CK292" s="65"/>
      <c r="CL292" s="65"/>
      <c r="CM292" s="65"/>
      <c r="CN292" s="65"/>
      <c r="CO292" s="65"/>
      <c r="CP292" s="65"/>
      <c r="CQ292" s="65"/>
      <c r="CR292" s="65"/>
      <c r="CS292" s="65"/>
      <c r="CT292" s="65"/>
      <c r="CU292" s="65"/>
      <c r="CV292" s="65"/>
      <c r="CW292" s="65"/>
      <c r="CX292" s="65"/>
      <c r="CY292" s="65"/>
      <c r="CZ292" s="65"/>
      <c r="DA292" s="65"/>
      <c r="DB292" s="65"/>
      <c r="DC292" s="65"/>
      <c r="DD292" s="65"/>
      <c r="DE292" s="65"/>
      <c r="DF292" s="65"/>
      <c r="DG292" s="65"/>
      <c r="DH292" s="65"/>
      <c r="DI292" s="65"/>
      <c r="DJ292" s="65"/>
      <c r="DK292" s="65"/>
      <c r="DL292" s="65"/>
      <c r="DM292" s="65"/>
      <c r="DN292" s="65"/>
      <c r="DO292" s="65"/>
      <c r="DP292" s="65"/>
      <c r="DQ292" s="65"/>
      <c r="DR292" s="65"/>
      <c r="DS292" s="65"/>
      <c r="DT292" s="65"/>
      <c r="DU292" s="65"/>
      <c r="DV292" s="65"/>
      <c r="DW292" s="65"/>
      <c r="DX292" s="65"/>
      <c r="DY292" s="65"/>
      <c r="DZ292" s="65"/>
      <c r="EA292" s="65"/>
      <c r="EB292" s="65"/>
      <c r="EC292" s="65"/>
      <c r="ED292" s="65"/>
      <c r="EE292" s="65"/>
      <c r="EF292" s="65"/>
      <c r="EG292" s="65"/>
      <c r="EH292" s="65"/>
      <c r="EI292" s="65"/>
      <c r="EJ292" s="65"/>
      <c r="EK292" s="65"/>
      <c r="EL292" s="65"/>
      <c r="EM292" s="65"/>
      <c r="EN292" s="65"/>
      <c r="EO292" s="65"/>
    </row>
    <row r="293" spans="1:145" s="62" customFormat="1" x14ac:dyDescent="0.2">
      <c r="A293" s="74">
        <v>13</v>
      </c>
      <c r="B293" s="148" t="s">
        <v>92</v>
      </c>
      <c r="C293" s="125" t="s">
        <v>18</v>
      </c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73">
        <f>SUM(D293:O293)</f>
        <v>0</v>
      </c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  <c r="AW293" s="65"/>
      <c r="AX293" s="65"/>
      <c r="AY293" s="65"/>
      <c r="AZ293" s="65"/>
      <c r="BA293" s="65"/>
      <c r="BB293" s="65"/>
      <c r="BC293" s="65"/>
      <c r="BD293" s="65"/>
      <c r="BE293" s="65"/>
      <c r="BF293" s="65"/>
      <c r="BG293" s="65"/>
      <c r="BH293" s="65"/>
      <c r="BI293" s="65"/>
      <c r="BJ293" s="65"/>
      <c r="BK293" s="65"/>
      <c r="BL293" s="65"/>
      <c r="BM293" s="65"/>
      <c r="BN293" s="65"/>
      <c r="BO293" s="65"/>
      <c r="BP293" s="65"/>
      <c r="BQ293" s="65"/>
      <c r="BR293" s="65"/>
      <c r="BS293" s="65"/>
      <c r="BT293" s="65"/>
      <c r="BU293" s="65"/>
      <c r="BV293" s="65"/>
      <c r="BW293" s="65"/>
      <c r="BX293" s="65"/>
      <c r="BY293" s="65"/>
      <c r="BZ293" s="65"/>
      <c r="CA293" s="65"/>
      <c r="CB293" s="65"/>
      <c r="CC293" s="65"/>
      <c r="CD293" s="65"/>
      <c r="CE293" s="65"/>
      <c r="CF293" s="65"/>
      <c r="CG293" s="65"/>
      <c r="CH293" s="65"/>
      <c r="CI293" s="65"/>
      <c r="CJ293" s="65"/>
      <c r="CK293" s="65"/>
      <c r="CL293" s="65"/>
      <c r="CM293" s="65"/>
      <c r="CN293" s="65"/>
      <c r="CO293" s="65"/>
      <c r="CP293" s="65"/>
      <c r="CQ293" s="65"/>
      <c r="CR293" s="65"/>
      <c r="CS293" s="65"/>
      <c r="CT293" s="65"/>
      <c r="CU293" s="65"/>
      <c r="CV293" s="65"/>
      <c r="CW293" s="65"/>
      <c r="CX293" s="65"/>
      <c r="CY293" s="65"/>
      <c r="CZ293" s="65"/>
      <c r="DA293" s="65"/>
      <c r="DB293" s="65"/>
      <c r="DC293" s="65"/>
      <c r="DD293" s="65"/>
      <c r="DE293" s="65"/>
      <c r="DF293" s="65"/>
      <c r="DG293" s="65"/>
      <c r="DH293" s="65"/>
      <c r="DI293" s="65"/>
      <c r="DJ293" s="65"/>
      <c r="DK293" s="65"/>
      <c r="DL293" s="65"/>
      <c r="DM293" s="65"/>
      <c r="DN293" s="65"/>
      <c r="DO293" s="65"/>
      <c r="DP293" s="65"/>
      <c r="DQ293" s="65"/>
      <c r="DR293" s="65"/>
      <c r="DS293" s="65"/>
      <c r="DT293" s="65"/>
      <c r="DU293" s="65"/>
      <c r="DV293" s="65"/>
      <c r="DW293" s="65"/>
      <c r="DX293" s="65"/>
      <c r="DY293" s="65"/>
      <c r="DZ293" s="65"/>
      <c r="EA293" s="65"/>
      <c r="EB293" s="65"/>
      <c r="EC293" s="65"/>
      <c r="ED293" s="65"/>
      <c r="EE293" s="65"/>
      <c r="EF293" s="65"/>
      <c r="EG293" s="65"/>
      <c r="EH293" s="65"/>
      <c r="EI293" s="65"/>
      <c r="EJ293" s="65"/>
      <c r="EK293" s="65"/>
      <c r="EL293" s="65"/>
      <c r="EM293" s="65"/>
      <c r="EN293" s="65"/>
      <c r="EO293" s="65"/>
    </row>
    <row r="294" spans="1:145" s="62" customFormat="1" x14ac:dyDescent="0.2">
      <c r="A294" s="74">
        <v>14</v>
      </c>
      <c r="B294" s="183" t="s">
        <v>35</v>
      </c>
      <c r="C294" s="238"/>
      <c r="D294" s="169">
        <f t="shared" ref="D294:P294" si="63">SUM(D292:D293)</f>
        <v>0</v>
      </c>
      <c r="E294" s="169">
        <f t="shared" si="63"/>
        <v>0</v>
      </c>
      <c r="F294" s="169">
        <f t="shared" si="63"/>
        <v>0</v>
      </c>
      <c r="G294" s="169">
        <f t="shared" si="63"/>
        <v>0</v>
      </c>
      <c r="H294" s="169">
        <f t="shared" si="63"/>
        <v>0</v>
      </c>
      <c r="I294" s="169">
        <f t="shared" si="63"/>
        <v>0</v>
      </c>
      <c r="J294" s="169">
        <f t="shared" si="63"/>
        <v>0</v>
      </c>
      <c r="K294" s="169">
        <f t="shared" si="63"/>
        <v>0</v>
      </c>
      <c r="L294" s="169">
        <f t="shared" si="63"/>
        <v>0</v>
      </c>
      <c r="M294" s="169">
        <f t="shared" si="63"/>
        <v>0</v>
      </c>
      <c r="N294" s="169">
        <f t="shared" si="63"/>
        <v>0</v>
      </c>
      <c r="O294" s="156">
        <f t="shared" si="63"/>
        <v>0</v>
      </c>
      <c r="P294" s="156">
        <f t="shared" si="63"/>
        <v>0</v>
      </c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  <c r="AW294" s="65"/>
      <c r="AX294" s="65"/>
      <c r="AY294" s="65"/>
      <c r="AZ294" s="65"/>
      <c r="BA294" s="65"/>
      <c r="BB294" s="65"/>
      <c r="BC294" s="65"/>
      <c r="BD294" s="65"/>
      <c r="BE294" s="65"/>
      <c r="BF294" s="65"/>
      <c r="BG294" s="65"/>
      <c r="BH294" s="65"/>
      <c r="BI294" s="65"/>
      <c r="BJ294" s="65"/>
      <c r="BK294" s="65"/>
      <c r="BL294" s="65"/>
      <c r="BM294" s="65"/>
      <c r="BN294" s="65"/>
      <c r="BO294" s="65"/>
      <c r="BP294" s="65"/>
      <c r="BQ294" s="65"/>
      <c r="BR294" s="65"/>
      <c r="BS294" s="65"/>
      <c r="BT294" s="65"/>
      <c r="BU294" s="65"/>
      <c r="BV294" s="65"/>
      <c r="BW294" s="65"/>
      <c r="BX294" s="65"/>
      <c r="BY294" s="65"/>
      <c r="BZ294" s="65"/>
      <c r="CA294" s="65"/>
      <c r="CB294" s="65"/>
      <c r="CC294" s="65"/>
      <c r="CD294" s="65"/>
      <c r="CE294" s="65"/>
      <c r="CF294" s="65"/>
      <c r="CG294" s="65"/>
      <c r="CH294" s="65"/>
      <c r="CI294" s="65"/>
      <c r="CJ294" s="65"/>
      <c r="CK294" s="65"/>
      <c r="CL294" s="65"/>
      <c r="CM294" s="65"/>
      <c r="CN294" s="65"/>
      <c r="CO294" s="65"/>
      <c r="CP294" s="65"/>
      <c r="CQ294" s="65"/>
      <c r="CR294" s="65"/>
      <c r="CS294" s="65"/>
      <c r="CT294" s="65"/>
      <c r="CU294" s="65"/>
      <c r="CV294" s="65"/>
      <c r="CW294" s="65"/>
      <c r="CX294" s="65"/>
      <c r="CY294" s="65"/>
      <c r="CZ294" s="65"/>
      <c r="DA294" s="65"/>
      <c r="DB294" s="65"/>
      <c r="DC294" s="65"/>
      <c r="DD294" s="65"/>
      <c r="DE294" s="65"/>
      <c r="DF294" s="65"/>
      <c r="DG294" s="65"/>
      <c r="DH294" s="65"/>
      <c r="DI294" s="65"/>
      <c r="DJ294" s="65"/>
      <c r="DK294" s="65"/>
      <c r="DL294" s="65"/>
      <c r="DM294" s="65"/>
      <c r="DN294" s="65"/>
      <c r="DO294" s="65"/>
      <c r="DP294" s="65"/>
      <c r="DQ294" s="65"/>
      <c r="DR294" s="65"/>
      <c r="DS294" s="65"/>
      <c r="DT294" s="65"/>
      <c r="DU294" s="65"/>
      <c r="DV294" s="65"/>
      <c r="DW294" s="65"/>
      <c r="DX294" s="65"/>
      <c r="DY294" s="65"/>
      <c r="DZ294" s="65"/>
      <c r="EA294" s="65"/>
      <c r="EB294" s="65"/>
      <c r="EC294" s="65"/>
      <c r="ED294" s="65"/>
      <c r="EE294" s="65"/>
      <c r="EF294" s="65"/>
      <c r="EG294" s="65"/>
      <c r="EH294" s="65"/>
      <c r="EI294" s="65"/>
      <c r="EJ294" s="65"/>
      <c r="EK294" s="65"/>
      <c r="EL294" s="65"/>
      <c r="EM294" s="65"/>
      <c r="EN294" s="65"/>
      <c r="EO294" s="65"/>
    </row>
    <row r="295" spans="1:145" s="62" customFormat="1" x14ac:dyDescent="0.2">
      <c r="A295" s="74"/>
      <c r="B295" s="129"/>
      <c r="C295" s="185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22"/>
      <c r="P295" s="122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65"/>
      <c r="BD295" s="65"/>
      <c r="BE295" s="65"/>
      <c r="BF295" s="65"/>
      <c r="BG295" s="65"/>
      <c r="BH295" s="65"/>
      <c r="BI295" s="65"/>
      <c r="BJ295" s="65"/>
      <c r="BK295" s="65"/>
      <c r="BL295" s="65"/>
      <c r="BM295" s="65"/>
      <c r="BN295" s="65"/>
      <c r="BO295" s="65"/>
      <c r="BP295" s="65"/>
      <c r="BQ295" s="65"/>
      <c r="BR295" s="65"/>
      <c r="BS295" s="65"/>
      <c r="BT295" s="65"/>
      <c r="BU295" s="65"/>
      <c r="BV295" s="65"/>
      <c r="BW295" s="65"/>
      <c r="BX295" s="65"/>
      <c r="BY295" s="65"/>
      <c r="BZ295" s="65"/>
      <c r="CA295" s="65"/>
      <c r="CB295" s="65"/>
      <c r="CC295" s="65"/>
      <c r="CD295" s="65"/>
      <c r="CE295" s="65"/>
      <c r="CF295" s="65"/>
      <c r="CG295" s="65"/>
      <c r="CH295" s="65"/>
      <c r="CI295" s="65"/>
      <c r="CJ295" s="65"/>
      <c r="CK295" s="65"/>
      <c r="CL295" s="65"/>
      <c r="CM295" s="65"/>
      <c r="CN295" s="65"/>
      <c r="CO295" s="65"/>
      <c r="CP295" s="65"/>
      <c r="CQ295" s="65"/>
      <c r="CR295" s="65"/>
      <c r="CS295" s="65"/>
      <c r="CT295" s="65"/>
      <c r="CU295" s="65"/>
      <c r="CV295" s="65"/>
      <c r="CW295" s="65"/>
      <c r="CX295" s="65"/>
      <c r="CY295" s="65"/>
      <c r="CZ295" s="65"/>
      <c r="DA295" s="65"/>
      <c r="DB295" s="65"/>
      <c r="DC295" s="65"/>
      <c r="DD295" s="65"/>
      <c r="DE295" s="65"/>
      <c r="DF295" s="65"/>
      <c r="DG295" s="65"/>
      <c r="DH295" s="65"/>
      <c r="DI295" s="65"/>
      <c r="DJ295" s="65"/>
      <c r="DK295" s="65"/>
      <c r="DL295" s="65"/>
      <c r="DM295" s="65"/>
      <c r="DN295" s="65"/>
      <c r="DO295" s="65"/>
      <c r="DP295" s="65"/>
      <c r="DQ295" s="65"/>
      <c r="DR295" s="65"/>
      <c r="DS295" s="65"/>
      <c r="DT295" s="65"/>
      <c r="DU295" s="65"/>
      <c r="DV295" s="65"/>
      <c r="DW295" s="65"/>
      <c r="DX295" s="65"/>
      <c r="DY295" s="65"/>
      <c r="DZ295" s="65"/>
      <c r="EA295" s="65"/>
      <c r="EB295" s="65"/>
      <c r="EC295" s="65"/>
      <c r="ED295" s="65"/>
      <c r="EE295" s="65"/>
      <c r="EF295" s="65"/>
      <c r="EG295" s="65"/>
      <c r="EH295" s="65"/>
      <c r="EI295" s="65"/>
      <c r="EJ295" s="65"/>
      <c r="EK295" s="65"/>
      <c r="EL295" s="65"/>
      <c r="EM295" s="65"/>
      <c r="EN295" s="65"/>
      <c r="EO295" s="65"/>
    </row>
    <row r="296" spans="1:145" s="62" customFormat="1" ht="12" thickBot="1" x14ac:dyDescent="0.25">
      <c r="A296" s="74">
        <v>15</v>
      </c>
      <c r="B296" s="243" t="str">
        <f>B37</f>
        <v>TOTAL AEP TEXAS</v>
      </c>
      <c r="C296" s="238"/>
      <c r="D296" s="186">
        <f t="shared" ref="D296:P296" si="64">+D294+D290</f>
        <v>0</v>
      </c>
      <c r="E296" s="186">
        <f t="shared" si="64"/>
        <v>0</v>
      </c>
      <c r="F296" s="186">
        <f t="shared" si="64"/>
        <v>0</v>
      </c>
      <c r="G296" s="186">
        <f t="shared" si="64"/>
        <v>0</v>
      </c>
      <c r="H296" s="186">
        <f t="shared" si="64"/>
        <v>0</v>
      </c>
      <c r="I296" s="186">
        <f t="shared" si="64"/>
        <v>0</v>
      </c>
      <c r="J296" s="186">
        <f t="shared" si="64"/>
        <v>0</v>
      </c>
      <c r="K296" s="186">
        <f t="shared" si="64"/>
        <v>0</v>
      </c>
      <c r="L296" s="186">
        <f t="shared" si="64"/>
        <v>984735.02</v>
      </c>
      <c r="M296" s="186">
        <f t="shared" si="64"/>
        <v>5197.7700000000004</v>
      </c>
      <c r="N296" s="186">
        <f t="shared" si="64"/>
        <v>47.040000000000006</v>
      </c>
      <c r="O296" s="186">
        <f t="shared" si="64"/>
        <v>-30.6</v>
      </c>
      <c r="P296" s="244">
        <f t="shared" si="64"/>
        <v>989949.23</v>
      </c>
      <c r="Q296" s="70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  <c r="BE296" s="65"/>
      <c r="BF296" s="65"/>
      <c r="BG296" s="65"/>
      <c r="BH296" s="65"/>
      <c r="BI296" s="65"/>
      <c r="BJ296" s="65"/>
      <c r="BK296" s="65"/>
      <c r="BL296" s="65"/>
      <c r="BM296" s="65"/>
      <c r="BN296" s="65"/>
      <c r="BO296" s="65"/>
      <c r="BP296" s="65"/>
      <c r="BQ296" s="65"/>
      <c r="BR296" s="65"/>
      <c r="BS296" s="65"/>
      <c r="BT296" s="65"/>
      <c r="BU296" s="65"/>
      <c r="BV296" s="65"/>
      <c r="BW296" s="65"/>
      <c r="BX296" s="65"/>
      <c r="BY296" s="65"/>
      <c r="BZ296" s="65"/>
      <c r="CA296" s="65"/>
      <c r="CB296" s="65"/>
      <c r="CC296" s="65"/>
      <c r="CD296" s="65"/>
      <c r="CE296" s="65"/>
      <c r="CF296" s="65"/>
      <c r="CG296" s="65"/>
      <c r="CH296" s="65"/>
      <c r="CI296" s="65"/>
      <c r="CJ296" s="65"/>
      <c r="CK296" s="65"/>
      <c r="CL296" s="65"/>
      <c r="CM296" s="65"/>
      <c r="CN296" s="65"/>
      <c r="CO296" s="65"/>
      <c r="CP296" s="65"/>
      <c r="CQ296" s="65"/>
      <c r="CR296" s="65"/>
      <c r="CS296" s="65"/>
      <c r="CT296" s="65"/>
      <c r="CU296" s="65"/>
      <c r="CV296" s="65"/>
      <c r="CW296" s="65"/>
      <c r="CX296" s="65"/>
      <c r="CY296" s="65"/>
      <c r="CZ296" s="65"/>
      <c r="DA296" s="65"/>
      <c r="DB296" s="65"/>
      <c r="DC296" s="65"/>
      <c r="DD296" s="65"/>
      <c r="DE296" s="65"/>
      <c r="DF296" s="65"/>
      <c r="DG296" s="65"/>
      <c r="DH296" s="65"/>
      <c r="DI296" s="65"/>
      <c r="DJ296" s="65"/>
      <c r="DK296" s="65"/>
      <c r="DL296" s="65"/>
      <c r="DM296" s="65"/>
      <c r="DN296" s="65"/>
      <c r="DO296" s="65"/>
      <c r="DP296" s="65"/>
      <c r="DQ296" s="65"/>
      <c r="DR296" s="65"/>
      <c r="DS296" s="65"/>
      <c r="DT296" s="65"/>
      <c r="DU296" s="65"/>
      <c r="DV296" s="65"/>
      <c r="DW296" s="65"/>
      <c r="DX296" s="65"/>
      <c r="DY296" s="65"/>
      <c r="DZ296" s="65"/>
      <c r="EA296" s="65"/>
      <c r="EB296" s="65"/>
      <c r="EC296" s="65"/>
      <c r="ED296" s="65"/>
      <c r="EE296" s="65"/>
      <c r="EF296" s="65"/>
      <c r="EG296" s="65"/>
      <c r="EH296" s="65"/>
      <c r="EI296" s="65"/>
      <c r="EJ296" s="65"/>
      <c r="EK296" s="65"/>
      <c r="EL296" s="65"/>
      <c r="EM296" s="65"/>
      <c r="EN296" s="65"/>
      <c r="EO296" s="65"/>
    </row>
    <row r="297" spans="1:145" s="62" customFormat="1" ht="12" thickTop="1" x14ac:dyDescent="0.2">
      <c r="A297" s="74"/>
      <c r="B297" s="243"/>
      <c r="C297" s="238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27"/>
      <c r="Q297" s="70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  <c r="BE297" s="65"/>
      <c r="BF297" s="65"/>
      <c r="BG297" s="65"/>
      <c r="BH297" s="65"/>
      <c r="BI297" s="65"/>
      <c r="BJ297" s="65"/>
      <c r="BK297" s="65"/>
      <c r="BL297" s="65"/>
      <c r="BM297" s="65"/>
      <c r="BN297" s="65"/>
      <c r="BO297" s="65"/>
      <c r="BP297" s="65"/>
      <c r="BQ297" s="65"/>
      <c r="BR297" s="65"/>
      <c r="BS297" s="65"/>
      <c r="BT297" s="65"/>
      <c r="BU297" s="65"/>
      <c r="BV297" s="65"/>
      <c r="BW297" s="65"/>
      <c r="BX297" s="65"/>
      <c r="BY297" s="65"/>
      <c r="BZ297" s="65"/>
      <c r="CA297" s="65"/>
      <c r="CB297" s="65"/>
      <c r="CC297" s="65"/>
      <c r="CD297" s="65"/>
      <c r="CE297" s="65"/>
      <c r="CF297" s="65"/>
      <c r="CG297" s="65"/>
      <c r="CH297" s="65"/>
      <c r="CI297" s="65"/>
      <c r="CJ297" s="65"/>
      <c r="CK297" s="65"/>
      <c r="CL297" s="65"/>
      <c r="CM297" s="65"/>
      <c r="CN297" s="65"/>
      <c r="CO297" s="65"/>
      <c r="CP297" s="65"/>
      <c r="CQ297" s="65"/>
      <c r="CR297" s="65"/>
      <c r="CS297" s="65"/>
      <c r="CT297" s="65"/>
      <c r="CU297" s="65"/>
      <c r="CV297" s="65"/>
      <c r="CW297" s="65"/>
      <c r="CX297" s="65"/>
      <c r="CY297" s="65"/>
      <c r="CZ297" s="65"/>
      <c r="DA297" s="65"/>
      <c r="DB297" s="65"/>
      <c r="DC297" s="65"/>
      <c r="DD297" s="65"/>
      <c r="DE297" s="65"/>
      <c r="DF297" s="65"/>
      <c r="DG297" s="65"/>
      <c r="DH297" s="65"/>
      <c r="DI297" s="65"/>
      <c r="DJ297" s="65"/>
      <c r="DK297" s="65"/>
      <c r="DL297" s="65"/>
      <c r="DM297" s="65"/>
      <c r="DN297" s="65"/>
      <c r="DO297" s="65"/>
      <c r="DP297" s="65"/>
      <c r="DQ297" s="65"/>
      <c r="DR297" s="65"/>
      <c r="DS297" s="65"/>
      <c r="DT297" s="65"/>
      <c r="DU297" s="65"/>
      <c r="DV297" s="65"/>
      <c r="DW297" s="65"/>
      <c r="DX297" s="65"/>
      <c r="DY297" s="65"/>
      <c r="DZ297" s="65"/>
      <c r="EA297" s="65"/>
      <c r="EB297" s="65"/>
      <c r="EC297" s="65"/>
      <c r="ED297" s="65"/>
      <c r="EE297" s="65"/>
      <c r="EF297" s="65"/>
      <c r="EG297" s="65"/>
      <c r="EH297" s="65"/>
      <c r="EI297" s="65"/>
      <c r="EJ297" s="65"/>
      <c r="EK297" s="65"/>
      <c r="EL297" s="65"/>
      <c r="EM297" s="65"/>
      <c r="EN297" s="65"/>
      <c r="EO297" s="65"/>
    </row>
    <row r="298" spans="1:145" x14ac:dyDescent="0.2">
      <c r="B298" s="393" t="s">
        <v>131</v>
      </c>
      <c r="C298" s="388"/>
      <c r="D298" s="388"/>
      <c r="E298" s="388"/>
      <c r="F298" s="388"/>
      <c r="G298" s="388"/>
      <c r="H298" s="388"/>
      <c r="I298" s="388"/>
      <c r="J298" s="388"/>
      <c r="K298" s="388"/>
      <c r="L298" s="388"/>
      <c r="M298" s="388"/>
      <c r="N298" s="388"/>
      <c r="O298" s="388"/>
      <c r="P298" s="251"/>
    </row>
    <row r="299" spans="1:145" s="146" customFormat="1" x14ac:dyDescent="0.2">
      <c r="B299" s="393" t="s">
        <v>101</v>
      </c>
      <c r="C299" s="388"/>
      <c r="D299" s="388"/>
      <c r="E299" s="388"/>
      <c r="F299" s="388"/>
      <c r="G299" s="388"/>
      <c r="H299" s="388"/>
      <c r="I299" s="388"/>
      <c r="J299" s="388"/>
      <c r="K299" s="388"/>
      <c r="L299" s="388"/>
      <c r="M299" s="388"/>
      <c r="N299" s="388"/>
      <c r="O299" s="388"/>
      <c r="P299" s="147" t="s">
        <v>1</v>
      </c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  <c r="AD299" s="148"/>
      <c r="AE299" s="148"/>
      <c r="AF299" s="148"/>
      <c r="AG299" s="148"/>
      <c r="AH299" s="148"/>
      <c r="AI299" s="148"/>
      <c r="AJ299" s="148"/>
      <c r="AK299" s="148"/>
      <c r="AL299" s="148"/>
      <c r="AM299" s="148"/>
      <c r="AN299" s="148"/>
      <c r="AO299" s="148"/>
      <c r="AP299" s="148"/>
      <c r="AQ299" s="148"/>
      <c r="AR299" s="148"/>
      <c r="AS299" s="148"/>
      <c r="AT299" s="148"/>
      <c r="AU299" s="148"/>
      <c r="AV299" s="148"/>
      <c r="AW299" s="148"/>
      <c r="AX299" s="148"/>
      <c r="AY299" s="148"/>
      <c r="AZ299" s="148"/>
      <c r="BA299" s="148"/>
      <c r="BB299" s="148"/>
      <c r="BC299" s="148"/>
      <c r="BD299" s="148"/>
      <c r="BE299" s="148"/>
      <c r="BF299" s="148"/>
      <c r="BG299" s="148"/>
      <c r="BH299" s="148"/>
      <c r="BI299" s="148"/>
      <c r="BJ299" s="148"/>
      <c r="BK299" s="148"/>
      <c r="BL299" s="148"/>
      <c r="BM299" s="148"/>
      <c r="BN299" s="148"/>
      <c r="BO299" s="148"/>
      <c r="BP299" s="148"/>
      <c r="BQ299" s="148"/>
      <c r="BR299" s="148"/>
      <c r="BS299" s="148"/>
      <c r="BT299" s="148"/>
      <c r="BU299" s="148"/>
      <c r="BV299" s="148"/>
      <c r="BW299" s="148"/>
      <c r="BX299" s="148"/>
      <c r="BY299" s="148"/>
      <c r="BZ299" s="148"/>
      <c r="CA299" s="148"/>
      <c r="CB299" s="148"/>
      <c r="CC299" s="148"/>
      <c r="CD299" s="148"/>
      <c r="CE299" s="148"/>
      <c r="CF299" s="148"/>
      <c r="CG299" s="148"/>
      <c r="CH299" s="148"/>
      <c r="CI299" s="148"/>
      <c r="CJ299" s="148"/>
      <c r="CK299" s="148"/>
      <c r="CL299" s="148"/>
      <c r="CM299" s="148"/>
      <c r="CN299" s="148"/>
      <c r="CO299" s="148"/>
      <c r="CP299" s="148"/>
      <c r="CQ299" s="148"/>
      <c r="CR299" s="148"/>
      <c r="CS299" s="148"/>
      <c r="CT299" s="148"/>
      <c r="CU299" s="148"/>
      <c r="CV299" s="148"/>
      <c r="CW299" s="148"/>
      <c r="CX299" s="148"/>
      <c r="CY299" s="148"/>
      <c r="CZ299" s="148"/>
      <c r="DA299" s="148"/>
      <c r="DB299" s="148"/>
      <c r="DC299" s="148"/>
      <c r="DD299" s="148"/>
      <c r="DE299" s="148"/>
      <c r="DF299" s="148"/>
      <c r="DG299" s="148"/>
      <c r="DH299" s="148"/>
      <c r="DI299" s="148"/>
      <c r="DJ299" s="148"/>
      <c r="DK299" s="148"/>
      <c r="DL299" s="148"/>
      <c r="DM299" s="148"/>
      <c r="DN299" s="148"/>
      <c r="DO299" s="148"/>
      <c r="DP299" s="148"/>
      <c r="DQ299" s="148"/>
      <c r="DR299" s="148"/>
      <c r="DS299" s="148"/>
      <c r="DT299" s="148"/>
      <c r="DU299" s="148"/>
      <c r="DV299" s="148"/>
      <c r="DW299" s="148"/>
      <c r="DX299" s="148"/>
      <c r="DY299" s="148"/>
      <c r="DZ299" s="148"/>
      <c r="EA299" s="148"/>
      <c r="EB299" s="148"/>
      <c r="EC299" s="148"/>
      <c r="ED299" s="148"/>
      <c r="EE299" s="148"/>
      <c r="EF299" s="148"/>
      <c r="EG299" s="148"/>
      <c r="EH299" s="148"/>
      <c r="EI299" s="148"/>
      <c r="EJ299" s="148"/>
      <c r="EK299" s="148"/>
      <c r="EL299" s="148"/>
      <c r="EM299" s="148"/>
      <c r="EN299" s="148"/>
      <c r="EO299" s="148"/>
    </row>
    <row r="300" spans="1:145" x14ac:dyDescent="0.2">
      <c r="B300" s="388" t="str">
        <f>B10</f>
        <v>FOR TEST YEAR ENDED DECEMBER 31, 2018</v>
      </c>
      <c r="C300" s="388"/>
      <c r="D300" s="388"/>
      <c r="E300" s="388"/>
      <c r="F300" s="388"/>
      <c r="G300" s="388"/>
      <c r="H300" s="388"/>
      <c r="I300" s="388"/>
      <c r="J300" s="388"/>
      <c r="K300" s="388"/>
      <c r="L300" s="388"/>
      <c r="M300" s="388"/>
      <c r="N300" s="388"/>
      <c r="O300" s="388"/>
      <c r="P300" s="146" t="s">
        <v>1</v>
      </c>
    </row>
    <row r="301" spans="1:145" x14ac:dyDescent="0.2">
      <c r="B301" s="202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146"/>
    </row>
    <row r="302" spans="1:145" x14ac:dyDescent="0.2">
      <c r="B302" s="175"/>
      <c r="C302" s="168"/>
      <c r="D302" s="176"/>
      <c r="E302" s="177"/>
      <c r="F302" s="177"/>
      <c r="G302" s="176"/>
      <c r="H302" s="157"/>
      <c r="I302" s="157"/>
      <c r="J302" s="157"/>
      <c r="K302" s="157"/>
      <c r="L302" s="157"/>
      <c r="M302" s="157"/>
      <c r="N302" s="157"/>
      <c r="O302" s="122"/>
      <c r="P302" s="178"/>
    </row>
    <row r="303" spans="1:145" x14ac:dyDescent="0.2">
      <c r="A303" s="38" t="s">
        <v>20</v>
      </c>
      <c r="B303" s="237" t="s">
        <v>0</v>
      </c>
      <c r="C303" s="237" t="s">
        <v>19</v>
      </c>
      <c r="D303" s="164" t="str">
        <f>+D13</f>
        <v>JANUARY</v>
      </c>
      <c r="E303" s="164" t="str">
        <f t="shared" ref="E303:O303" si="65">+E13</f>
        <v>FEBRUARY</v>
      </c>
      <c r="F303" s="164" t="str">
        <f t="shared" si="65"/>
        <v>MARCH</v>
      </c>
      <c r="G303" s="164" t="str">
        <f t="shared" si="65"/>
        <v>APRIL</v>
      </c>
      <c r="H303" s="164" t="str">
        <f t="shared" si="65"/>
        <v>MAY</v>
      </c>
      <c r="I303" s="164" t="str">
        <f t="shared" si="65"/>
        <v>JUNE</v>
      </c>
      <c r="J303" s="164" t="str">
        <f t="shared" si="65"/>
        <v>JULY</v>
      </c>
      <c r="K303" s="164" t="str">
        <f t="shared" si="65"/>
        <v>AUGUST</v>
      </c>
      <c r="L303" s="164" t="str">
        <f t="shared" si="65"/>
        <v>SEPTEMBER</v>
      </c>
      <c r="M303" s="164" t="str">
        <f t="shared" si="65"/>
        <v>OCTOBER</v>
      </c>
      <c r="N303" s="164" t="str">
        <f t="shared" si="65"/>
        <v>NOVEMBER</v>
      </c>
      <c r="O303" s="164" t="str">
        <f t="shared" si="65"/>
        <v>DECEMBER</v>
      </c>
      <c r="P303" s="179" t="s">
        <v>14</v>
      </c>
    </row>
    <row r="304" spans="1:145" x14ac:dyDescent="0.2">
      <c r="B304" s="237"/>
      <c r="C304" s="237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79"/>
      <c r="P304" s="179"/>
    </row>
    <row r="305" spans="1:145" s="62" customFormat="1" x14ac:dyDescent="0.2">
      <c r="A305" s="74" t="s">
        <v>21</v>
      </c>
      <c r="B305" s="129" t="s">
        <v>29</v>
      </c>
      <c r="C305" s="143" t="s">
        <v>16</v>
      </c>
      <c r="D305" s="149">
        <f>-Riders!D210</f>
        <v>-11804538.809999999</v>
      </c>
      <c r="E305" s="149">
        <f>-Riders!E210</f>
        <v>-8762963.75</v>
      </c>
      <c r="F305" s="149">
        <f>-Riders!F210</f>
        <v>-4937323.9800000004</v>
      </c>
      <c r="G305" s="149">
        <f>-Riders!G210</f>
        <v>-5026988.0999999996</v>
      </c>
      <c r="H305" s="149">
        <f>-Riders!H210</f>
        <v>-5583697.8399999999</v>
      </c>
      <c r="I305" s="149">
        <f>-Riders!I210</f>
        <v>-8554913.870000001</v>
      </c>
      <c r="J305" s="149">
        <f>-Riders!J210</f>
        <v>-8993845.4700000007</v>
      </c>
      <c r="K305" s="149">
        <f>-Riders!K210</f>
        <v>-9098802.8800000008</v>
      </c>
      <c r="L305" s="149">
        <f>-Riders!L210</f>
        <v>-10571142.449999999</v>
      </c>
      <c r="M305" s="149">
        <f>-Riders!M210</f>
        <v>-8568384.0600000005</v>
      </c>
      <c r="N305" s="149">
        <f>-Riders!N210</f>
        <v>-6516519.7400000002</v>
      </c>
      <c r="O305" s="149">
        <f>-Riders!O210</f>
        <v>-7380307.4199999999</v>
      </c>
      <c r="P305" s="149">
        <f>SUM(D305:O305)</f>
        <v>-95799428.370000005</v>
      </c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  <c r="AW305" s="65"/>
      <c r="AX305" s="65"/>
      <c r="AY305" s="65"/>
      <c r="AZ305" s="65"/>
      <c r="BA305" s="65"/>
      <c r="BB305" s="65"/>
      <c r="BC305" s="65"/>
      <c r="BD305" s="65"/>
      <c r="BE305" s="65"/>
      <c r="BF305" s="65"/>
      <c r="BG305" s="65"/>
      <c r="BH305" s="65"/>
      <c r="BI305" s="65"/>
      <c r="BJ305" s="65"/>
      <c r="BK305" s="65"/>
      <c r="BL305" s="65"/>
      <c r="BM305" s="65"/>
      <c r="BN305" s="65"/>
      <c r="BO305" s="65"/>
      <c r="BP305" s="65"/>
      <c r="BQ305" s="65"/>
      <c r="BR305" s="65"/>
      <c r="BS305" s="65"/>
      <c r="BT305" s="65"/>
      <c r="BU305" s="65"/>
      <c r="BV305" s="65"/>
      <c r="BW305" s="65"/>
      <c r="BX305" s="65"/>
      <c r="BY305" s="65"/>
      <c r="BZ305" s="65"/>
      <c r="CA305" s="65"/>
      <c r="CB305" s="65"/>
      <c r="CC305" s="65"/>
      <c r="CD305" s="65"/>
      <c r="CE305" s="65"/>
      <c r="CF305" s="65"/>
      <c r="CG305" s="65"/>
      <c r="CH305" s="65"/>
      <c r="CI305" s="65"/>
      <c r="CJ305" s="65"/>
      <c r="CK305" s="65"/>
      <c r="CL305" s="65"/>
      <c r="CM305" s="65"/>
      <c r="CN305" s="65"/>
      <c r="CO305" s="65"/>
      <c r="CP305" s="65"/>
      <c r="CQ305" s="65"/>
      <c r="CR305" s="65"/>
      <c r="CS305" s="65"/>
      <c r="CT305" s="65"/>
      <c r="CU305" s="65"/>
      <c r="CV305" s="65"/>
      <c r="CW305" s="65"/>
      <c r="CX305" s="65"/>
      <c r="CY305" s="65"/>
      <c r="CZ305" s="65"/>
      <c r="DA305" s="65"/>
      <c r="DB305" s="65"/>
      <c r="DC305" s="65"/>
      <c r="DD305" s="65"/>
      <c r="DE305" s="65"/>
      <c r="DF305" s="65"/>
      <c r="DG305" s="65"/>
      <c r="DH305" s="65"/>
      <c r="DI305" s="65"/>
      <c r="DJ305" s="65"/>
      <c r="DK305" s="65"/>
      <c r="DL305" s="65"/>
      <c r="DM305" s="65"/>
      <c r="DN305" s="65"/>
      <c r="DO305" s="65"/>
      <c r="DP305" s="65"/>
      <c r="DQ305" s="65"/>
      <c r="DR305" s="65"/>
      <c r="DS305" s="65"/>
      <c r="DT305" s="65"/>
      <c r="DU305" s="65"/>
      <c r="DV305" s="65"/>
      <c r="DW305" s="65"/>
      <c r="DX305" s="65"/>
      <c r="DY305" s="65"/>
      <c r="DZ305" s="65"/>
      <c r="EA305" s="65"/>
      <c r="EB305" s="65"/>
      <c r="EC305" s="65"/>
      <c r="ED305" s="65"/>
      <c r="EE305" s="65"/>
      <c r="EF305" s="65"/>
      <c r="EG305" s="65"/>
      <c r="EH305" s="65"/>
      <c r="EI305" s="65"/>
      <c r="EJ305" s="65"/>
      <c r="EK305" s="65"/>
      <c r="EL305" s="65"/>
      <c r="EM305" s="65"/>
      <c r="EN305" s="65"/>
      <c r="EO305" s="65"/>
    </row>
    <row r="306" spans="1:145" s="62" customFormat="1" x14ac:dyDescent="0.2">
      <c r="B306" s="129"/>
      <c r="C306" s="143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56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  <c r="BD306" s="65"/>
      <c r="BE306" s="65"/>
      <c r="BF306" s="65"/>
      <c r="BG306" s="65"/>
      <c r="BH306" s="65"/>
      <c r="BI306" s="65"/>
      <c r="BJ306" s="65"/>
      <c r="BK306" s="65"/>
      <c r="BL306" s="65"/>
      <c r="BM306" s="65"/>
      <c r="BN306" s="65"/>
      <c r="BO306" s="65"/>
      <c r="BP306" s="65"/>
      <c r="BQ306" s="65"/>
      <c r="BR306" s="65"/>
      <c r="BS306" s="65"/>
      <c r="BT306" s="65"/>
      <c r="BU306" s="65"/>
      <c r="BV306" s="65"/>
      <c r="BW306" s="65"/>
      <c r="BX306" s="65"/>
      <c r="BY306" s="65"/>
      <c r="BZ306" s="65"/>
      <c r="CA306" s="65"/>
      <c r="CB306" s="65"/>
      <c r="CC306" s="65"/>
      <c r="CD306" s="65"/>
      <c r="CE306" s="65"/>
      <c r="CF306" s="65"/>
      <c r="CG306" s="65"/>
      <c r="CH306" s="65"/>
      <c r="CI306" s="65"/>
      <c r="CJ306" s="65"/>
      <c r="CK306" s="65"/>
      <c r="CL306" s="65"/>
      <c r="CM306" s="65"/>
      <c r="CN306" s="65"/>
      <c r="CO306" s="65"/>
      <c r="CP306" s="65"/>
      <c r="CQ306" s="65"/>
      <c r="CR306" s="65"/>
      <c r="CS306" s="65"/>
      <c r="CT306" s="65"/>
      <c r="CU306" s="65"/>
      <c r="CV306" s="65"/>
      <c r="CW306" s="65"/>
      <c r="CX306" s="65"/>
      <c r="CY306" s="65"/>
      <c r="CZ306" s="65"/>
      <c r="DA306" s="65"/>
      <c r="DB306" s="65"/>
      <c r="DC306" s="65"/>
      <c r="DD306" s="65"/>
      <c r="DE306" s="65"/>
      <c r="DF306" s="65"/>
      <c r="DG306" s="65"/>
      <c r="DH306" s="65"/>
      <c r="DI306" s="65"/>
      <c r="DJ306" s="65"/>
      <c r="DK306" s="65"/>
      <c r="DL306" s="65"/>
      <c r="DM306" s="65"/>
      <c r="DN306" s="65"/>
      <c r="DO306" s="65"/>
      <c r="DP306" s="65"/>
      <c r="DQ306" s="65"/>
      <c r="DR306" s="65"/>
      <c r="DS306" s="65"/>
      <c r="DT306" s="65"/>
      <c r="DU306" s="65"/>
      <c r="DV306" s="65"/>
      <c r="DW306" s="65"/>
      <c r="DX306" s="65"/>
      <c r="DY306" s="65"/>
      <c r="DZ306" s="65"/>
      <c r="EA306" s="65"/>
      <c r="EB306" s="65"/>
      <c r="EC306" s="65"/>
      <c r="ED306" s="65"/>
      <c r="EE306" s="65"/>
      <c r="EF306" s="65"/>
      <c r="EG306" s="65"/>
      <c r="EH306" s="65"/>
      <c r="EI306" s="65"/>
      <c r="EJ306" s="65"/>
      <c r="EK306" s="65"/>
      <c r="EL306" s="65"/>
      <c r="EM306" s="65"/>
      <c r="EN306" s="65"/>
      <c r="EO306" s="65"/>
    </row>
    <row r="307" spans="1:145" s="62" customFormat="1" x14ac:dyDescent="0.2">
      <c r="A307" s="74">
        <v>2</v>
      </c>
      <c r="B307" s="129" t="s">
        <v>32</v>
      </c>
      <c r="C307" s="143" t="s">
        <v>16</v>
      </c>
      <c r="D307" s="149">
        <f>-Riders!D212</f>
        <v>-256555.33000000002</v>
      </c>
      <c r="E307" s="149">
        <f>-Riders!E212</f>
        <v>-216159.25</v>
      </c>
      <c r="F307" s="149">
        <f>-Riders!F212</f>
        <v>-187637.41999999998</v>
      </c>
      <c r="G307" s="149">
        <f>-Riders!G212</f>
        <v>-193716.27000000002</v>
      </c>
      <c r="H307" s="149">
        <f>-Riders!H212</f>
        <v>-197171.87</v>
      </c>
      <c r="I307" s="149">
        <f>-Riders!I212</f>
        <v>-241740.44</v>
      </c>
      <c r="J307" s="149">
        <f>-Riders!J212</f>
        <v>-248992.16</v>
      </c>
      <c r="K307" s="149">
        <f>-Riders!K212</f>
        <v>-249859.39</v>
      </c>
      <c r="L307" s="149">
        <f>-Riders!L212</f>
        <v>-259238.62</v>
      </c>
      <c r="M307" s="149">
        <f>-Riders!M212</f>
        <v>-228785.67</v>
      </c>
      <c r="N307" s="149">
        <f>-Riders!N212</f>
        <v>-201682.82</v>
      </c>
      <c r="O307" s="149">
        <f>-Riders!O212</f>
        <v>-214267.75</v>
      </c>
      <c r="P307" s="122">
        <f>SUM(D307:O307)</f>
        <v>-2695806.9899999998</v>
      </c>
      <c r="Q307" s="208"/>
      <c r="R307" s="209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65"/>
      <c r="BD307" s="65"/>
      <c r="BE307" s="65"/>
      <c r="BF307" s="65"/>
      <c r="BG307" s="65"/>
      <c r="BH307" s="65"/>
      <c r="BI307" s="65"/>
      <c r="BJ307" s="65"/>
      <c r="BK307" s="65"/>
      <c r="BL307" s="65"/>
      <c r="BM307" s="65"/>
      <c r="BN307" s="65"/>
      <c r="BO307" s="65"/>
      <c r="BP307" s="65"/>
      <c r="BQ307" s="65"/>
      <c r="BR307" s="65"/>
      <c r="BS307" s="65"/>
      <c r="BT307" s="65"/>
      <c r="BU307" s="65"/>
      <c r="BV307" s="65"/>
      <c r="BW307" s="65"/>
      <c r="BX307" s="65"/>
      <c r="BY307" s="65"/>
      <c r="BZ307" s="65"/>
      <c r="CA307" s="65"/>
      <c r="CB307" s="65"/>
      <c r="CC307" s="65"/>
      <c r="CD307" s="65"/>
      <c r="CE307" s="65"/>
      <c r="CF307" s="65"/>
      <c r="CG307" s="65"/>
      <c r="CH307" s="65"/>
      <c r="CI307" s="65"/>
      <c r="CJ307" s="65"/>
      <c r="CK307" s="65"/>
      <c r="CL307" s="65"/>
      <c r="CM307" s="65"/>
      <c r="CN307" s="65"/>
      <c r="CO307" s="65"/>
      <c r="CP307" s="65"/>
      <c r="CQ307" s="65"/>
      <c r="CR307" s="65"/>
      <c r="CS307" s="65"/>
      <c r="CT307" s="65"/>
      <c r="CU307" s="65"/>
      <c r="CV307" s="65"/>
      <c r="CW307" s="65"/>
      <c r="CX307" s="65"/>
      <c r="CY307" s="65"/>
      <c r="CZ307" s="65"/>
      <c r="DA307" s="65"/>
      <c r="DB307" s="65"/>
      <c r="DC307" s="65"/>
      <c r="DD307" s="65"/>
      <c r="DE307" s="65"/>
      <c r="DF307" s="65"/>
      <c r="DG307" s="65"/>
      <c r="DH307" s="65"/>
      <c r="DI307" s="65"/>
      <c r="DJ307" s="65"/>
      <c r="DK307" s="65"/>
      <c r="DL307" s="65"/>
      <c r="DM307" s="65"/>
      <c r="DN307" s="65"/>
      <c r="DO307" s="65"/>
      <c r="DP307" s="65"/>
      <c r="DQ307" s="65"/>
      <c r="DR307" s="65"/>
      <c r="DS307" s="65"/>
      <c r="DT307" s="65"/>
      <c r="DU307" s="65"/>
      <c r="DV307" s="65"/>
      <c r="DW307" s="65"/>
      <c r="DX307" s="65"/>
      <c r="DY307" s="65"/>
      <c r="DZ307" s="65"/>
      <c r="EA307" s="65"/>
      <c r="EB307" s="65"/>
      <c r="EC307" s="65"/>
      <c r="ED307" s="65"/>
      <c r="EE307" s="65"/>
      <c r="EF307" s="65"/>
      <c r="EG307" s="65"/>
      <c r="EH307" s="65"/>
      <c r="EI307" s="65"/>
      <c r="EJ307" s="65"/>
      <c r="EK307" s="65"/>
      <c r="EL307" s="65"/>
      <c r="EM307" s="65"/>
      <c r="EN307" s="65"/>
      <c r="EO307" s="65"/>
    </row>
    <row r="308" spans="1:145" s="62" customFormat="1" x14ac:dyDescent="0.2">
      <c r="A308" s="74"/>
      <c r="B308" s="129"/>
      <c r="C308" s="143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22"/>
      <c r="Q308" s="208"/>
      <c r="R308" s="209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  <c r="BD308" s="65"/>
      <c r="BE308" s="65"/>
      <c r="BF308" s="65"/>
      <c r="BG308" s="65"/>
      <c r="BH308" s="65"/>
      <c r="BI308" s="65"/>
      <c r="BJ308" s="65"/>
      <c r="BK308" s="65"/>
      <c r="BL308" s="65"/>
      <c r="BM308" s="65"/>
      <c r="BN308" s="65"/>
      <c r="BO308" s="65"/>
      <c r="BP308" s="65"/>
      <c r="BQ308" s="65"/>
      <c r="BR308" s="65"/>
      <c r="BS308" s="65"/>
      <c r="BT308" s="65"/>
      <c r="BU308" s="65"/>
      <c r="BV308" s="65"/>
      <c r="BW308" s="65"/>
      <c r="BX308" s="65"/>
      <c r="BY308" s="65"/>
      <c r="BZ308" s="65"/>
      <c r="CA308" s="65"/>
      <c r="CB308" s="65"/>
      <c r="CC308" s="65"/>
      <c r="CD308" s="65"/>
      <c r="CE308" s="65"/>
      <c r="CF308" s="65"/>
      <c r="CG308" s="65"/>
      <c r="CH308" s="65"/>
      <c r="CI308" s="65"/>
      <c r="CJ308" s="65"/>
      <c r="CK308" s="65"/>
      <c r="CL308" s="65"/>
      <c r="CM308" s="65"/>
      <c r="CN308" s="65"/>
      <c r="CO308" s="65"/>
      <c r="CP308" s="65"/>
      <c r="CQ308" s="65"/>
      <c r="CR308" s="65"/>
      <c r="CS308" s="65"/>
      <c r="CT308" s="65"/>
      <c r="CU308" s="65"/>
      <c r="CV308" s="65"/>
      <c r="CW308" s="65"/>
      <c r="CX308" s="65"/>
      <c r="CY308" s="65"/>
      <c r="CZ308" s="65"/>
      <c r="DA308" s="65"/>
      <c r="DB308" s="65"/>
      <c r="DC308" s="65"/>
      <c r="DD308" s="65"/>
      <c r="DE308" s="65"/>
      <c r="DF308" s="65"/>
      <c r="DG308" s="65"/>
      <c r="DH308" s="65"/>
      <c r="DI308" s="65"/>
      <c r="DJ308" s="65"/>
      <c r="DK308" s="65"/>
      <c r="DL308" s="65"/>
      <c r="DM308" s="65"/>
      <c r="DN308" s="65"/>
      <c r="DO308" s="65"/>
      <c r="DP308" s="65"/>
      <c r="DQ308" s="65"/>
      <c r="DR308" s="65"/>
      <c r="DS308" s="65"/>
      <c r="DT308" s="65"/>
      <c r="DU308" s="65"/>
      <c r="DV308" s="65"/>
      <c r="DW308" s="65"/>
      <c r="DX308" s="65"/>
      <c r="DY308" s="65"/>
      <c r="DZ308" s="65"/>
      <c r="EA308" s="65"/>
      <c r="EB308" s="65"/>
      <c r="EC308" s="65"/>
      <c r="ED308" s="65"/>
      <c r="EE308" s="65"/>
      <c r="EF308" s="65"/>
      <c r="EG308" s="65"/>
      <c r="EH308" s="65"/>
      <c r="EI308" s="65"/>
      <c r="EJ308" s="65"/>
      <c r="EK308" s="65"/>
      <c r="EL308" s="65"/>
      <c r="EM308" s="65"/>
      <c r="EN308" s="65"/>
      <c r="EO308" s="65"/>
    </row>
    <row r="309" spans="1:145" s="62" customFormat="1" x14ac:dyDescent="0.2">
      <c r="A309" s="74">
        <v>3</v>
      </c>
      <c r="B309" s="146" t="s">
        <v>113</v>
      </c>
      <c r="C309" s="125" t="s">
        <v>16</v>
      </c>
      <c r="D309" s="149">
        <f>-Riders!D214</f>
        <v>-5480773.4299999997</v>
      </c>
      <c r="E309" s="149">
        <f>-Riders!E214</f>
        <v>-5387559.0300000003</v>
      </c>
      <c r="F309" s="149">
        <f>-Riders!F214</f>
        <v>-4867349.88</v>
      </c>
      <c r="G309" s="149">
        <f>-Riders!G214</f>
        <v>-4680218.66</v>
      </c>
      <c r="H309" s="149">
        <f>-Riders!H214</f>
        <v>-4791540.2299999995</v>
      </c>
      <c r="I309" s="149">
        <f>-Riders!I214</f>
        <v>-5111194.84</v>
      </c>
      <c r="J309" s="149">
        <f>-Riders!J214</f>
        <v>-5054401.6100000003</v>
      </c>
      <c r="K309" s="149">
        <f>-Riders!K214</f>
        <v>-5133718.6900000004</v>
      </c>
      <c r="L309" s="149">
        <f>-Riders!L214</f>
        <v>-5046563.1499999994</v>
      </c>
      <c r="M309" s="149">
        <f>-Riders!M214</f>
        <v>-4802212.7300000004</v>
      </c>
      <c r="N309" s="149">
        <f>-Riders!N214</f>
        <v>-4768607.28</v>
      </c>
      <c r="O309" s="149">
        <f>-Riders!O214</f>
        <v>-4753585.1500000004</v>
      </c>
      <c r="P309" s="156">
        <f>SUM(D309:O309)</f>
        <v>-59877724.68</v>
      </c>
      <c r="Q309" s="146"/>
      <c r="R309" s="214"/>
      <c r="S309" s="117"/>
      <c r="T309" s="117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  <c r="BD309" s="65"/>
      <c r="BE309" s="65"/>
      <c r="BF309" s="65"/>
      <c r="BG309" s="65"/>
      <c r="BH309" s="65"/>
      <c r="BI309" s="65"/>
      <c r="BJ309" s="65"/>
      <c r="BK309" s="65"/>
      <c r="BL309" s="65"/>
      <c r="BM309" s="65"/>
      <c r="BN309" s="65"/>
      <c r="BO309" s="65"/>
      <c r="BP309" s="65"/>
      <c r="BQ309" s="65"/>
      <c r="BR309" s="65"/>
      <c r="BS309" s="65"/>
      <c r="BT309" s="65"/>
      <c r="BU309" s="65"/>
      <c r="BV309" s="65"/>
      <c r="BW309" s="65"/>
      <c r="BX309" s="65"/>
      <c r="BY309" s="65"/>
      <c r="BZ309" s="65"/>
      <c r="CA309" s="65"/>
      <c r="CB309" s="65"/>
      <c r="CC309" s="65"/>
      <c r="CD309" s="65"/>
      <c r="CE309" s="65"/>
      <c r="CF309" s="65"/>
      <c r="CG309" s="65"/>
      <c r="CH309" s="65"/>
      <c r="CI309" s="65"/>
      <c r="CJ309" s="65"/>
      <c r="CK309" s="65"/>
      <c r="CL309" s="65"/>
      <c r="CM309" s="65"/>
      <c r="CN309" s="65"/>
      <c r="CO309" s="65"/>
      <c r="CP309" s="65"/>
      <c r="CQ309" s="65"/>
      <c r="CR309" s="65"/>
      <c r="CS309" s="65"/>
      <c r="CT309" s="65"/>
      <c r="CU309" s="65"/>
      <c r="CV309" s="65"/>
      <c r="CW309" s="65"/>
      <c r="CX309" s="65"/>
      <c r="CY309" s="65"/>
      <c r="CZ309" s="65"/>
      <c r="DA309" s="65"/>
      <c r="DB309" s="65"/>
      <c r="DC309" s="65"/>
      <c r="DD309" s="65"/>
      <c r="DE309" s="65"/>
      <c r="DF309" s="65"/>
      <c r="DG309" s="65"/>
      <c r="DH309" s="65"/>
      <c r="DI309" s="65"/>
      <c r="DJ309" s="65"/>
      <c r="DK309" s="65"/>
      <c r="DL309" s="65"/>
      <c r="DM309" s="65"/>
      <c r="DN309" s="65"/>
      <c r="DO309" s="65"/>
      <c r="DP309" s="65"/>
      <c r="DQ309" s="65"/>
      <c r="DR309" s="65"/>
      <c r="DS309" s="65"/>
      <c r="DT309" s="65"/>
      <c r="DU309" s="65"/>
      <c r="DV309" s="65"/>
      <c r="DW309" s="65"/>
      <c r="DX309" s="65"/>
      <c r="DY309" s="65"/>
      <c r="DZ309" s="65"/>
      <c r="EA309" s="65"/>
      <c r="EB309" s="65"/>
      <c r="EC309" s="65"/>
      <c r="ED309" s="65"/>
      <c r="EE309" s="65"/>
      <c r="EF309" s="65"/>
      <c r="EG309" s="65"/>
      <c r="EH309" s="65"/>
      <c r="EI309" s="65"/>
      <c r="EJ309" s="65"/>
      <c r="EK309" s="65"/>
      <c r="EL309" s="65"/>
      <c r="EM309" s="65"/>
      <c r="EN309" s="65"/>
      <c r="EO309" s="65"/>
    </row>
    <row r="310" spans="1:145" s="62" customFormat="1" x14ac:dyDescent="0.2">
      <c r="A310" s="74">
        <v>4</v>
      </c>
      <c r="B310" s="146" t="s">
        <v>114</v>
      </c>
      <c r="C310" s="125" t="s">
        <v>16</v>
      </c>
      <c r="D310" s="247">
        <f>-Riders!D215</f>
        <v>-507679.93999999994</v>
      </c>
      <c r="E310" s="247">
        <f>-Riders!E215</f>
        <v>-501068.91000000003</v>
      </c>
      <c r="F310" s="247">
        <f>-Riders!F215</f>
        <v>-439354.06</v>
      </c>
      <c r="G310" s="247">
        <f>-Riders!G215</f>
        <v>-428916.69999999995</v>
      </c>
      <c r="H310" s="247">
        <f>-Riders!H215</f>
        <v>-434189.38</v>
      </c>
      <c r="I310" s="247">
        <f>-Riders!I215</f>
        <v>-402880.06</v>
      </c>
      <c r="J310" s="247">
        <f>-Riders!J215</f>
        <v>-437109.49</v>
      </c>
      <c r="K310" s="247">
        <f>-Riders!K215</f>
        <v>-420598.43999999994</v>
      </c>
      <c r="L310" s="247">
        <f>-Riders!L215</f>
        <v>-412364.41000000003</v>
      </c>
      <c r="M310" s="247">
        <f>-Riders!M215</f>
        <v>-409139.07</v>
      </c>
      <c r="N310" s="247">
        <f>-Riders!N215</f>
        <v>-422558.43999999994</v>
      </c>
      <c r="O310" s="247">
        <f>-Riders!O215</f>
        <v>-416941.07</v>
      </c>
      <c r="P310" s="123">
        <f>SUM(D310:O310)</f>
        <v>-5232799.9700000007</v>
      </c>
      <c r="Q310" s="146"/>
      <c r="R310" s="214"/>
      <c r="S310" s="117"/>
      <c r="T310" s="117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  <c r="BD310" s="65"/>
      <c r="BE310" s="65"/>
      <c r="BF310" s="65"/>
      <c r="BG310" s="65"/>
      <c r="BH310" s="65"/>
      <c r="BI310" s="65"/>
      <c r="BJ310" s="65"/>
      <c r="BK310" s="65"/>
      <c r="BL310" s="65"/>
      <c r="BM310" s="65"/>
      <c r="BN310" s="65"/>
      <c r="BO310" s="65"/>
      <c r="BP310" s="65"/>
      <c r="BQ310" s="65"/>
      <c r="BR310" s="65"/>
      <c r="BS310" s="65"/>
      <c r="BT310" s="65"/>
      <c r="BU310" s="65"/>
      <c r="BV310" s="65"/>
      <c r="BW310" s="65"/>
      <c r="BX310" s="65"/>
      <c r="BY310" s="65"/>
      <c r="BZ310" s="65"/>
      <c r="CA310" s="65"/>
      <c r="CB310" s="65"/>
      <c r="CC310" s="65"/>
      <c r="CD310" s="65"/>
      <c r="CE310" s="65"/>
      <c r="CF310" s="65"/>
      <c r="CG310" s="65"/>
      <c r="CH310" s="65"/>
      <c r="CI310" s="65"/>
      <c r="CJ310" s="65"/>
      <c r="CK310" s="65"/>
      <c r="CL310" s="65"/>
      <c r="CM310" s="65"/>
      <c r="CN310" s="65"/>
      <c r="CO310" s="65"/>
      <c r="CP310" s="65"/>
      <c r="CQ310" s="65"/>
      <c r="CR310" s="65"/>
      <c r="CS310" s="65"/>
      <c r="CT310" s="65"/>
      <c r="CU310" s="65"/>
      <c r="CV310" s="65"/>
      <c r="CW310" s="65"/>
      <c r="CX310" s="65"/>
      <c r="CY310" s="65"/>
      <c r="CZ310" s="65"/>
      <c r="DA310" s="65"/>
      <c r="DB310" s="65"/>
      <c r="DC310" s="65"/>
      <c r="DD310" s="65"/>
      <c r="DE310" s="65"/>
      <c r="DF310" s="65"/>
      <c r="DG310" s="65"/>
      <c r="DH310" s="65"/>
      <c r="DI310" s="65"/>
      <c r="DJ310" s="65"/>
      <c r="DK310" s="65"/>
      <c r="DL310" s="65"/>
      <c r="DM310" s="65"/>
      <c r="DN310" s="65"/>
      <c r="DO310" s="65"/>
      <c r="DP310" s="65"/>
      <c r="DQ310" s="65"/>
      <c r="DR310" s="65"/>
      <c r="DS310" s="65"/>
      <c r="DT310" s="65"/>
      <c r="DU310" s="65"/>
      <c r="DV310" s="65"/>
      <c r="DW310" s="65"/>
      <c r="DX310" s="65"/>
      <c r="DY310" s="65"/>
      <c r="DZ310" s="65"/>
      <c r="EA310" s="65"/>
      <c r="EB310" s="65"/>
      <c r="EC310" s="65"/>
      <c r="ED310" s="65"/>
      <c r="EE310" s="65"/>
      <c r="EF310" s="65"/>
      <c r="EG310" s="65"/>
      <c r="EH310" s="65"/>
      <c r="EI310" s="65"/>
      <c r="EJ310" s="65"/>
      <c r="EK310" s="65"/>
      <c r="EL310" s="65"/>
      <c r="EM310" s="65"/>
      <c r="EN310" s="65"/>
      <c r="EO310" s="65"/>
    </row>
    <row r="311" spans="1:145" s="62" customFormat="1" x14ac:dyDescent="0.2">
      <c r="A311" s="74">
        <v>5</v>
      </c>
      <c r="B311" s="162" t="s">
        <v>30</v>
      </c>
      <c r="C311" s="143"/>
      <c r="D311" s="157">
        <f t="shared" ref="D311:P311" si="66">SUM(D309:D310)</f>
        <v>-5988453.3699999992</v>
      </c>
      <c r="E311" s="157">
        <f t="shared" si="66"/>
        <v>-5888627.9400000004</v>
      </c>
      <c r="F311" s="157">
        <f t="shared" si="66"/>
        <v>-5306703.9399999995</v>
      </c>
      <c r="G311" s="157">
        <f t="shared" si="66"/>
        <v>-5109135.3600000003</v>
      </c>
      <c r="H311" s="157">
        <f t="shared" si="66"/>
        <v>-5225729.6099999994</v>
      </c>
      <c r="I311" s="157">
        <f t="shared" si="66"/>
        <v>-5514074.8999999994</v>
      </c>
      <c r="J311" s="157">
        <f t="shared" si="66"/>
        <v>-5491511.1000000006</v>
      </c>
      <c r="K311" s="157">
        <f t="shared" si="66"/>
        <v>-5554317.1300000008</v>
      </c>
      <c r="L311" s="157">
        <f t="shared" si="66"/>
        <v>-5458927.5599999996</v>
      </c>
      <c r="M311" s="157">
        <f t="shared" si="66"/>
        <v>-5211351.8000000007</v>
      </c>
      <c r="N311" s="157">
        <f t="shared" si="66"/>
        <v>-5191165.7200000007</v>
      </c>
      <c r="O311" s="157">
        <f t="shared" si="66"/>
        <v>-5170526.2200000007</v>
      </c>
      <c r="P311" s="157">
        <f t="shared" si="66"/>
        <v>-65110524.649999999</v>
      </c>
      <c r="Q311" s="215"/>
      <c r="R311" s="214"/>
      <c r="S311" s="117"/>
      <c r="T311" s="117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  <c r="AW311" s="65"/>
      <c r="AX311" s="65"/>
      <c r="AY311" s="65"/>
      <c r="AZ311" s="65"/>
      <c r="BA311" s="65"/>
      <c r="BB311" s="65"/>
      <c r="BC311" s="65"/>
      <c r="BD311" s="65"/>
      <c r="BE311" s="65"/>
      <c r="BF311" s="65"/>
      <c r="BG311" s="65"/>
      <c r="BH311" s="65"/>
      <c r="BI311" s="65"/>
      <c r="BJ311" s="65"/>
      <c r="BK311" s="65"/>
      <c r="BL311" s="65"/>
      <c r="BM311" s="65"/>
      <c r="BN311" s="65"/>
      <c r="BO311" s="65"/>
      <c r="BP311" s="65"/>
      <c r="BQ311" s="65"/>
      <c r="BR311" s="65"/>
      <c r="BS311" s="65"/>
      <c r="BT311" s="65"/>
      <c r="BU311" s="65"/>
      <c r="BV311" s="65"/>
      <c r="BW311" s="65"/>
      <c r="BX311" s="65"/>
      <c r="BY311" s="65"/>
      <c r="BZ311" s="65"/>
      <c r="CA311" s="65"/>
      <c r="CB311" s="65"/>
      <c r="CC311" s="65"/>
      <c r="CD311" s="65"/>
      <c r="CE311" s="65"/>
      <c r="CF311" s="65"/>
      <c r="CG311" s="65"/>
      <c r="CH311" s="65"/>
      <c r="CI311" s="65"/>
      <c r="CJ311" s="65"/>
      <c r="CK311" s="65"/>
      <c r="CL311" s="65"/>
      <c r="CM311" s="65"/>
      <c r="CN311" s="65"/>
      <c r="CO311" s="65"/>
      <c r="CP311" s="65"/>
      <c r="CQ311" s="65"/>
      <c r="CR311" s="65"/>
      <c r="CS311" s="65"/>
      <c r="CT311" s="65"/>
      <c r="CU311" s="65"/>
      <c r="CV311" s="65"/>
      <c r="CW311" s="65"/>
      <c r="CX311" s="65"/>
      <c r="CY311" s="65"/>
      <c r="CZ311" s="65"/>
      <c r="DA311" s="65"/>
      <c r="DB311" s="65"/>
      <c r="DC311" s="65"/>
      <c r="DD311" s="65"/>
      <c r="DE311" s="65"/>
      <c r="DF311" s="65"/>
      <c r="DG311" s="65"/>
      <c r="DH311" s="65"/>
      <c r="DI311" s="65"/>
      <c r="DJ311" s="65"/>
      <c r="DK311" s="65"/>
      <c r="DL311" s="65"/>
      <c r="DM311" s="65"/>
      <c r="DN311" s="65"/>
      <c r="DO311" s="65"/>
      <c r="DP311" s="65"/>
      <c r="DQ311" s="65"/>
      <c r="DR311" s="65"/>
      <c r="DS311" s="65"/>
      <c r="DT311" s="65"/>
      <c r="DU311" s="65"/>
      <c r="DV311" s="65"/>
      <c r="DW311" s="65"/>
      <c r="DX311" s="65"/>
      <c r="DY311" s="65"/>
      <c r="DZ311" s="65"/>
      <c r="EA311" s="65"/>
      <c r="EB311" s="65"/>
      <c r="EC311" s="65"/>
      <c r="ED311" s="65"/>
      <c r="EE311" s="65"/>
      <c r="EF311" s="65"/>
      <c r="EG311" s="65"/>
      <c r="EH311" s="65"/>
      <c r="EI311" s="65"/>
      <c r="EJ311" s="65"/>
      <c r="EK311" s="65"/>
      <c r="EL311" s="65"/>
      <c r="EM311" s="65"/>
      <c r="EN311" s="65"/>
      <c r="EO311" s="65"/>
    </row>
    <row r="312" spans="1:145" s="62" customFormat="1" x14ac:dyDescent="0.2">
      <c r="B312" s="242"/>
      <c r="C312" s="143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22"/>
      <c r="Q312" s="215"/>
      <c r="R312" s="214"/>
      <c r="S312" s="117"/>
      <c r="T312" s="117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  <c r="BD312" s="65"/>
      <c r="BE312" s="65"/>
      <c r="BF312" s="65"/>
      <c r="BG312" s="65"/>
      <c r="BH312" s="65"/>
      <c r="BI312" s="65"/>
      <c r="BJ312" s="65"/>
      <c r="BK312" s="65"/>
      <c r="BL312" s="65"/>
      <c r="BM312" s="65"/>
      <c r="BN312" s="65"/>
      <c r="BO312" s="65"/>
      <c r="BP312" s="65"/>
      <c r="BQ312" s="65"/>
      <c r="BR312" s="65"/>
      <c r="BS312" s="65"/>
      <c r="BT312" s="65"/>
      <c r="BU312" s="65"/>
      <c r="BV312" s="65"/>
      <c r="BW312" s="65"/>
      <c r="BX312" s="65"/>
      <c r="BY312" s="65"/>
      <c r="BZ312" s="65"/>
      <c r="CA312" s="65"/>
      <c r="CB312" s="65"/>
      <c r="CC312" s="65"/>
      <c r="CD312" s="65"/>
      <c r="CE312" s="65"/>
      <c r="CF312" s="65"/>
      <c r="CG312" s="65"/>
      <c r="CH312" s="65"/>
      <c r="CI312" s="65"/>
      <c r="CJ312" s="65"/>
      <c r="CK312" s="65"/>
      <c r="CL312" s="65"/>
      <c r="CM312" s="65"/>
      <c r="CN312" s="65"/>
      <c r="CO312" s="65"/>
      <c r="CP312" s="65"/>
      <c r="CQ312" s="65"/>
      <c r="CR312" s="65"/>
      <c r="CS312" s="65"/>
      <c r="CT312" s="65"/>
      <c r="CU312" s="65"/>
      <c r="CV312" s="65"/>
      <c r="CW312" s="65"/>
      <c r="CX312" s="65"/>
      <c r="CY312" s="65"/>
      <c r="CZ312" s="65"/>
      <c r="DA312" s="65"/>
      <c r="DB312" s="65"/>
      <c r="DC312" s="65"/>
      <c r="DD312" s="65"/>
      <c r="DE312" s="65"/>
      <c r="DF312" s="65"/>
      <c r="DG312" s="65"/>
      <c r="DH312" s="65"/>
      <c r="DI312" s="65"/>
      <c r="DJ312" s="65"/>
      <c r="DK312" s="65"/>
      <c r="DL312" s="65"/>
      <c r="DM312" s="65"/>
      <c r="DN312" s="65"/>
      <c r="DO312" s="65"/>
      <c r="DP312" s="65"/>
      <c r="DQ312" s="65"/>
      <c r="DR312" s="65"/>
      <c r="DS312" s="65"/>
      <c r="DT312" s="65"/>
      <c r="DU312" s="65"/>
      <c r="DV312" s="65"/>
      <c r="DW312" s="65"/>
      <c r="DX312" s="65"/>
      <c r="DY312" s="65"/>
      <c r="DZ312" s="65"/>
      <c r="EA312" s="65"/>
      <c r="EB312" s="65"/>
      <c r="EC312" s="65"/>
      <c r="ED312" s="65"/>
      <c r="EE312" s="65"/>
      <c r="EF312" s="65"/>
      <c r="EG312" s="65"/>
      <c r="EH312" s="65"/>
      <c r="EI312" s="65"/>
      <c r="EJ312" s="65"/>
      <c r="EK312" s="65"/>
      <c r="EL312" s="65"/>
      <c r="EM312" s="65"/>
      <c r="EN312" s="65"/>
      <c r="EO312" s="65"/>
    </row>
    <row r="313" spans="1:145" s="62" customFormat="1" x14ac:dyDescent="0.2">
      <c r="A313" s="74">
        <v>6</v>
      </c>
      <c r="B313" s="146" t="s">
        <v>110</v>
      </c>
      <c r="C313" s="125" t="s">
        <v>17</v>
      </c>
      <c r="D313" s="142">
        <f>-Riders!D218</f>
        <v>-149450.16999999998</v>
      </c>
      <c r="E313" s="142">
        <f>-Riders!E218</f>
        <v>-150240.93</v>
      </c>
      <c r="F313" s="142">
        <f>-Riders!F218</f>
        <v>-138737.47999999998</v>
      </c>
      <c r="G313" s="142">
        <f>-Riders!G218</f>
        <v>-144583.43</v>
      </c>
      <c r="H313" s="142">
        <f>-Riders!H218</f>
        <v>-153115.76999999999</v>
      </c>
      <c r="I313" s="142">
        <f>-Riders!I218</f>
        <v>-162991.91</v>
      </c>
      <c r="J313" s="142">
        <f>-Riders!J218</f>
        <v>-160321.58000000002</v>
      </c>
      <c r="K313" s="142">
        <f>-Riders!K218</f>
        <v>-174358.83000000002</v>
      </c>
      <c r="L313" s="142">
        <f>-Riders!L218</f>
        <v>-190541.79</v>
      </c>
      <c r="M313" s="142">
        <f>-Riders!M218</f>
        <v>-205298.18</v>
      </c>
      <c r="N313" s="142">
        <f>-Riders!N218</f>
        <v>-234934.32</v>
      </c>
      <c r="O313" s="142">
        <f>-Riders!O218</f>
        <v>-187346.05</v>
      </c>
      <c r="P313" s="156">
        <f>SUM(D313:O313)</f>
        <v>-2051920.4400000002</v>
      </c>
      <c r="Q313" s="215"/>
      <c r="R313" s="214"/>
      <c r="S313" s="117"/>
      <c r="T313" s="117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  <c r="BE313" s="65"/>
      <c r="BF313" s="65"/>
      <c r="BG313" s="65"/>
      <c r="BH313" s="65"/>
      <c r="BI313" s="65"/>
      <c r="BJ313" s="65"/>
      <c r="BK313" s="65"/>
      <c r="BL313" s="65"/>
      <c r="BM313" s="65"/>
      <c r="BN313" s="65"/>
      <c r="BO313" s="65"/>
      <c r="BP313" s="65"/>
      <c r="BQ313" s="65"/>
      <c r="BR313" s="65"/>
      <c r="BS313" s="65"/>
      <c r="BT313" s="65"/>
      <c r="BU313" s="65"/>
      <c r="BV313" s="65"/>
      <c r="BW313" s="65"/>
      <c r="BX313" s="65"/>
      <c r="BY313" s="65"/>
      <c r="BZ313" s="65"/>
      <c r="CA313" s="65"/>
      <c r="CB313" s="65"/>
      <c r="CC313" s="65"/>
      <c r="CD313" s="65"/>
      <c r="CE313" s="65"/>
      <c r="CF313" s="65"/>
      <c r="CG313" s="65"/>
      <c r="CH313" s="65"/>
      <c r="CI313" s="65"/>
      <c r="CJ313" s="65"/>
      <c r="CK313" s="65"/>
      <c r="CL313" s="65"/>
      <c r="CM313" s="65"/>
      <c r="CN313" s="65"/>
      <c r="CO313" s="65"/>
      <c r="CP313" s="65"/>
      <c r="CQ313" s="65"/>
      <c r="CR313" s="65"/>
      <c r="CS313" s="65"/>
      <c r="CT313" s="65"/>
      <c r="CU313" s="65"/>
      <c r="CV313" s="65"/>
      <c r="CW313" s="65"/>
      <c r="CX313" s="65"/>
      <c r="CY313" s="65"/>
      <c r="CZ313" s="65"/>
      <c r="DA313" s="65"/>
      <c r="DB313" s="65"/>
      <c r="DC313" s="65"/>
      <c r="DD313" s="65"/>
      <c r="DE313" s="65"/>
      <c r="DF313" s="65"/>
      <c r="DG313" s="65"/>
      <c r="DH313" s="65"/>
      <c r="DI313" s="65"/>
      <c r="DJ313" s="65"/>
      <c r="DK313" s="65"/>
      <c r="DL313" s="65"/>
      <c r="DM313" s="65"/>
      <c r="DN313" s="65"/>
      <c r="DO313" s="65"/>
      <c r="DP313" s="65"/>
      <c r="DQ313" s="65"/>
      <c r="DR313" s="65"/>
      <c r="DS313" s="65"/>
      <c r="DT313" s="65"/>
      <c r="DU313" s="65"/>
      <c r="DV313" s="65"/>
      <c r="DW313" s="65"/>
      <c r="DX313" s="65"/>
      <c r="DY313" s="65"/>
      <c r="DZ313" s="65"/>
      <c r="EA313" s="65"/>
      <c r="EB313" s="65"/>
      <c r="EC313" s="65"/>
      <c r="ED313" s="65"/>
      <c r="EE313" s="65"/>
      <c r="EF313" s="65"/>
      <c r="EG313" s="65"/>
      <c r="EH313" s="65"/>
      <c r="EI313" s="65"/>
      <c r="EJ313" s="65"/>
      <c r="EK313" s="65"/>
      <c r="EL313" s="65"/>
      <c r="EM313" s="65"/>
      <c r="EN313" s="65"/>
      <c r="EO313" s="65"/>
    </row>
    <row r="314" spans="1:145" s="62" customFormat="1" x14ac:dyDescent="0.2">
      <c r="A314" s="74">
        <v>7</v>
      </c>
      <c r="B314" s="146" t="s">
        <v>111</v>
      </c>
      <c r="C314" s="125" t="s">
        <v>17</v>
      </c>
      <c r="D314" s="123">
        <f>-Riders!D219</f>
        <v>-1673613.41</v>
      </c>
      <c r="E314" s="123">
        <f>-Riders!E219</f>
        <v>-1604273.52</v>
      </c>
      <c r="F314" s="123">
        <f>-Riders!F219</f>
        <v>-1642229.85</v>
      </c>
      <c r="G314" s="123">
        <f>-Riders!G219</f>
        <v>-1581832.95</v>
      </c>
      <c r="H314" s="123">
        <f>-Riders!H219</f>
        <v>-1702909.26</v>
      </c>
      <c r="I314" s="123">
        <f>-Riders!I219</f>
        <v>-1671397.7999999998</v>
      </c>
      <c r="J314" s="123">
        <f>-Riders!J219</f>
        <v>-1655223.23</v>
      </c>
      <c r="K314" s="123">
        <f>-Riders!K219</f>
        <v>-1647076.01</v>
      </c>
      <c r="L314" s="123">
        <f>-Riders!L219</f>
        <v>-1689579.16</v>
      </c>
      <c r="M314" s="123">
        <f>-Riders!M219</f>
        <v>-1625406.8399999999</v>
      </c>
      <c r="N314" s="123">
        <f>-Riders!N219</f>
        <v>-1725578.44</v>
      </c>
      <c r="O314" s="123">
        <f>-Riders!O219</f>
        <v>-1606940.8800000001</v>
      </c>
      <c r="P314" s="173">
        <f>SUM(D314:O314)</f>
        <v>-19826061.349999998</v>
      </c>
      <c r="Q314" s="216"/>
      <c r="R314" s="214"/>
      <c r="S314" s="117"/>
      <c r="T314" s="117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  <c r="BE314" s="65"/>
      <c r="BF314" s="65"/>
      <c r="BG314" s="65"/>
      <c r="BH314" s="65"/>
      <c r="BI314" s="65"/>
      <c r="BJ314" s="65"/>
      <c r="BK314" s="65"/>
      <c r="BL314" s="65"/>
      <c r="BM314" s="65"/>
      <c r="BN314" s="65"/>
      <c r="BO314" s="65"/>
      <c r="BP314" s="65"/>
      <c r="BQ314" s="65"/>
      <c r="BR314" s="65"/>
      <c r="BS314" s="65"/>
      <c r="BT314" s="65"/>
      <c r="BU314" s="65"/>
      <c r="BV314" s="65"/>
      <c r="BW314" s="65"/>
      <c r="BX314" s="65"/>
      <c r="BY314" s="65"/>
      <c r="BZ314" s="65"/>
      <c r="CA314" s="65"/>
      <c r="CB314" s="65"/>
      <c r="CC314" s="65"/>
      <c r="CD314" s="65"/>
      <c r="CE314" s="65"/>
      <c r="CF314" s="65"/>
      <c r="CG314" s="65"/>
      <c r="CH314" s="65"/>
      <c r="CI314" s="65"/>
      <c r="CJ314" s="65"/>
      <c r="CK314" s="65"/>
      <c r="CL314" s="65"/>
      <c r="CM314" s="65"/>
      <c r="CN314" s="65"/>
      <c r="CO314" s="65"/>
      <c r="CP314" s="65"/>
      <c r="CQ314" s="65"/>
      <c r="CR314" s="65"/>
      <c r="CS314" s="65"/>
      <c r="CT314" s="65"/>
      <c r="CU314" s="65"/>
      <c r="CV314" s="65"/>
      <c r="CW314" s="65"/>
      <c r="CX314" s="65"/>
      <c r="CY314" s="65"/>
      <c r="CZ314" s="65"/>
      <c r="DA314" s="65"/>
      <c r="DB314" s="65"/>
      <c r="DC314" s="65"/>
      <c r="DD314" s="65"/>
      <c r="DE314" s="65"/>
      <c r="DF314" s="65"/>
      <c r="DG314" s="65"/>
      <c r="DH314" s="65"/>
      <c r="DI314" s="65"/>
      <c r="DJ314" s="65"/>
      <c r="DK314" s="65"/>
      <c r="DL314" s="65"/>
      <c r="DM314" s="65"/>
      <c r="DN314" s="65"/>
      <c r="DO314" s="65"/>
      <c r="DP314" s="65"/>
      <c r="DQ314" s="65"/>
      <c r="DR314" s="65"/>
      <c r="DS314" s="65"/>
      <c r="DT314" s="65"/>
      <c r="DU314" s="65"/>
      <c r="DV314" s="65"/>
      <c r="DW314" s="65"/>
      <c r="DX314" s="65"/>
      <c r="DY314" s="65"/>
      <c r="DZ314" s="65"/>
      <c r="EA314" s="65"/>
      <c r="EB314" s="65"/>
      <c r="EC314" s="65"/>
      <c r="ED314" s="65"/>
      <c r="EE314" s="65"/>
      <c r="EF314" s="65"/>
      <c r="EG314" s="65"/>
      <c r="EH314" s="65"/>
      <c r="EI314" s="65"/>
      <c r="EJ314" s="65"/>
      <c r="EK314" s="65"/>
      <c r="EL314" s="65"/>
      <c r="EM314" s="65"/>
      <c r="EN314" s="65"/>
      <c r="EO314" s="65"/>
    </row>
    <row r="315" spans="1:145" s="62" customFormat="1" x14ac:dyDescent="0.2">
      <c r="A315" s="74">
        <v>8</v>
      </c>
      <c r="B315" s="129" t="s">
        <v>31</v>
      </c>
      <c r="C315" s="125"/>
      <c r="D315" s="122">
        <f t="shared" ref="D315:P315" si="67">SUM(D313:D314)</f>
        <v>-1823063.5799999998</v>
      </c>
      <c r="E315" s="122">
        <f t="shared" si="67"/>
        <v>-1754514.45</v>
      </c>
      <c r="F315" s="122">
        <f t="shared" si="67"/>
        <v>-1780967.33</v>
      </c>
      <c r="G315" s="122">
        <f t="shared" si="67"/>
        <v>-1726416.38</v>
      </c>
      <c r="H315" s="122">
        <f t="shared" si="67"/>
        <v>-1856025.03</v>
      </c>
      <c r="I315" s="122">
        <f t="shared" si="67"/>
        <v>-1834389.7099999997</v>
      </c>
      <c r="J315" s="122">
        <f t="shared" si="67"/>
        <v>-1815544.81</v>
      </c>
      <c r="K315" s="122">
        <f t="shared" si="67"/>
        <v>-1821434.84</v>
      </c>
      <c r="L315" s="122">
        <f t="shared" si="67"/>
        <v>-1880120.95</v>
      </c>
      <c r="M315" s="122">
        <f t="shared" si="67"/>
        <v>-1830705.0199999998</v>
      </c>
      <c r="N315" s="122">
        <f t="shared" si="67"/>
        <v>-1960512.76</v>
      </c>
      <c r="O315" s="122">
        <f t="shared" si="67"/>
        <v>-1794286.9300000002</v>
      </c>
      <c r="P315" s="122">
        <f t="shared" si="67"/>
        <v>-21877981.789999999</v>
      </c>
      <c r="Q315" s="117"/>
      <c r="R315" s="117"/>
      <c r="S315" s="117"/>
      <c r="T315" s="117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  <c r="BE315" s="65"/>
      <c r="BF315" s="65"/>
      <c r="BG315" s="65"/>
      <c r="BH315" s="65"/>
      <c r="BI315" s="65"/>
      <c r="BJ315" s="65"/>
      <c r="BK315" s="65"/>
      <c r="BL315" s="65"/>
      <c r="BM315" s="65"/>
      <c r="BN315" s="65"/>
      <c r="BO315" s="65"/>
      <c r="BP315" s="65"/>
      <c r="BQ315" s="65"/>
      <c r="BR315" s="65"/>
      <c r="BS315" s="65"/>
      <c r="BT315" s="65"/>
      <c r="BU315" s="65"/>
      <c r="BV315" s="65"/>
      <c r="BW315" s="65"/>
      <c r="BX315" s="65"/>
      <c r="BY315" s="65"/>
      <c r="BZ315" s="65"/>
      <c r="CA315" s="65"/>
      <c r="CB315" s="65"/>
      <c r="CC315" s="65"/>
      <c r="CD315" s="65"/>
      <c r="CE315" s="65"/>
      <c r="CF315" s="65"/>
      <c r="CG315" s="65"/>
      <c r="CH315" s="65"/>
      <c r="CI315" s="65"/>
      <c r="CJ315" s="65"/>
      <c r="CK315" s="65"/>
      <c r="CL315" s="65"/>
      <c r="CM315" s="65"/>
      <c r="CN315" s="65"/>
      <c r="CO315" s="65"/>
      <c r="CP315" s="65"/>
      <c r="CQ315" s="65"/>
      <c r="CR315" s="65"/>
      <c r="CS315" s="65"/>
      <c r="CT315" s="65"/>
      <c r="CU315" s="65"/>
      <c r="CV315" s="65"/>
      <c r="CW315" s="65"/>
      <c r="CX315" s="65"/>
      <c r="CY315" s="65"/>
      <c r="CZ315" s="65"/>
      <c r="DA315" s="65"/>
      <c r="DB315" s="65"/>
      <c r="DC315" s="65"/>
      <c r="DD315" s="65"/>
      <c r="DE315" s="65"/>
      <c r="DF315" s="65"/>
      <c r="DG315" s="65"/>
      <c r="DH315" s="65"/>
      <c r="DI315" s="65"/>
      <c r="DJ315" s="65"/>
      <c r="DK315" s="65"/>
      <c r="DL315" s="65"/>
      <c r="DM315" s="65"/>
      <c r="DN315" s="65"/>
      <c r="DO315" s="65"/>
      <c r="DP315" s="65"/>
      <c r="DQ315" s="65"/>
      <c r="DR315" s="65"/>
      <c r="DS315" s="65"/>
      <c r="DT315" s="65"/>
      <c r="DU315" s="65"/>
      <c r="DV315" s="65"/>
      <c r="DW315" s="65"/>
      <c r="DX315" s="65"/>
      <c r="DY315" s="65"/>
      <c r="DZ315" s="65"/>
      <c r="EA315" s="65"/>
      <c r="EB315" s="65"/>
      <c r="EC315" s="65"/>
      <c r="ED315" s="65"/>
      <c r="EE315" s="65"/>
      <c r="EF315" s="65"/>
      <c r="EG315" s="65"/>
      <c r="EH315" s="65"/>
      <c r="EI315" s="65"/>
      <c r="EJ315" s="65"/>
      <c r="EK315" s="65"/>
      <c r="EL315" s="65"/>
      <c r="EM315" s="65"/>
      <c r="EN315" s="65"/>
      <c r="EO315" s="65"/>
    </row>
    <row r="316" spans="1:145" s="62" customFormat="1" x14ac:dyDescent="0.2">
      <c r="A316" s="74"/>
      <c r="B316" s="129"/>
      <c r="C316" s="125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56"/>
      <c r="Q316" s="117"/>
      <c r="R316" s="117"/>
      <c r="S316" s="117"/>
      <c r="T316" s="117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  <c r="BE316" s="65"/>
      <c r="BF316" s="65"/>
      <c r="BG316" s="65"/>
      <c r="BH316" s="65"/>
      <c r="BI316" s="65"/>
      <c r="BJ316" s="65"/>
      <c r="BK316" s="65"/>
      <c r="BL316" s="65"/>
      <c r="BM316" s="65"/>
      <c r="BN316" s="65"/>
      <c r="BO316" s="65"/>
      <c r="BP316" s="65"/>
      <c r="BQ316" s="65"/>
      <c r="BR316" s="65"/>
      <c r="BS316" s="65"/>
      <c r="BT316" s="65"/>
      <c r="BU316" s="65"/>
      <c r="BV316" s="65"/>
      <c r="BW316" s="65"/>
      <c r="BX316" s="65"/>
      <c r="BY316" s="65"/>
      <c r="BZ316" s="65"/>
      <c r="CA316" s="65"/>
      <c r="CB316" s="65"/>
      <c r="CC316" s="65"/>
      <c r="CD316" s="65"/>
      <c r="CE316" s="65"/>
      <c r="CF316" s="65"/>
      <c r="CG316" s="65"/>
      <c r="CH316" s="65"/>
      <c r="CI316" s="65"/>
      <c r="CJ316" s="65"/>
      <c r="CK316" s="65"/>
      <c r="CL316" s="65"/>
      <c r="CM316" s="65"/>
      <c r="CN316" s="65"/>
      <c r="CO316" s="65"/>
      <c r="CP316" s="65"/>
      <c r="CQ316" s="65"/>
      <c r="CR316" s="65"/>
      <c r="CS316" s="65"/>
      <c r="CT316" s="65"/>
      <c r="CU316" s="65"/>
      <c r="CV316" s="65"/>
      <c r="CW316" s="65"/>
      <c r="CX316" s="65"/>
      <c r="CY316" s="65"/>
      <c r="CZ316" s="65"/>
      <c r="DA316" s="65"/>
      <c r="DB316" s="65"/>
      <c r="DC316" s="65"/>
      <c r="DD316" s="65"/>
      <c r="DE316" s="65"/>
      <c r="DF316" s="65"/>
      <c r="DG316" s="65"/>
      <c r="DH316" s="65"/>
      <c r="DI316" s="65"/>
      <c r="DJ316" s="65"/>
      <c r="DK316" s="65"/>
      <c r="DL316" s="65"/>
      <c r="DM316" s="65"/>
      <c r="DN316" s="65"/>
      <c r="DO316" s="65"/>
      <c r="DP316" s="65"/>
      <c r="DQ316" s="65"/>
      <c r="DR316" s="65"/>
      <c r="DS316" s="65"/>
      <c r="DT316" s="65"/>
      <c r="DU316" s="65"/>
      <c r="DV316" s="65"/>
      <c r="DW316" s="65"/>
      <c r="DX316" s="65"/>
      <c r="DY316" s="65"/>
      <c r="DZ316" s="65"/>
      <c r="EA316" s="65"/>
      <c r="EB316" s="65"/>
      <c r="EC316" s="65"/>
      <c r="ED316" s="65"/>
      <c r="EE316" s="65"/>
      <c r="EF316" s="65"/>
      <c r="EG316" s="65"/>
      <c r="EH316" s="65"/>
      <c r="EI316" s="65"/>
      <c r="EJ316" s="65"/>
      <c r="EK316" s="65"/>
      <c r="EL316" s="65"/>
      <c r="EM316" s="65"/>
      <c r="EN316" s="65"/>
      <c r="EO316" s="65"/>
    </row>
    <row r="317" spans="1:145" s="62" customFormat="1" x14ac:dyDescent="0.2">
      <c r="A317" s="74">
        <v>9</v>
      </c>
      <c r="B317" s="162" t="s">
        <v>115</v>
      </c>
      <c r="C317" s="125" t="s">
        <v>18</v>
      </c>
      <c r="D317" s="122">
        <f>-Riders!D222</f>
        <v>-1671186.1199999999</v>
      </c>
      <c r="E317" s="122">
        <f>-Riders!E222</f>
        <v>-1166303.8</v>
      </c>
      <c r="F317" s="122">
        <f>-Riders!F222</f>
        <v>-1501995.4200000002</v>
      </c>
      <c r="G317" s="122">
        <f>-Riders!G222</f>
        <v>-1327210.27</v>
      </c>
      <c r="H317" s="122">
        <f>-Riders!H222</f>
        <v>-1416505.0299999998</v>
      </c>
      <c r="I317" s="122">
        <f>-Riders!I222</f>
        <v>-1604238.75</v>
      </c>
      <c r="J317" s="122">
        <f>-Riders!J222</f>
        <v>-1178461.1499999999</v>
      </c>
      <c r="K317" s="122">
        <f>-Riders!K222</f>
        <v>-1212420.8999999999</v>
      </c>
      <c r="L317" s="122">
        <f>-Riders!L222</f>
        <v>-1468576.86</v>
      </c>
      <c r="M317" s="122">
        <f>-Riders!M222</f>
        <v>-790172.14</v>
      </c>
      <c r="N317" s="122">
        <f>-Riders!N222</f>
        <v>-1491716.2100000002</v>
      </c>
      <c r="O317" s="122">
        <f>-Riders!O222</f>
        <v>-776036.07000000007</v>
      </c>
      <c r="P317" s="156">
        <f>SUM(D317:O317)</f>
        <v>-15604822.720000001</v>
      </c>
      <c r="Q317" s="117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  <c r="AW317" s="65"/>
      <c r="AX317" s="65"/>
      <c r="AY317" s="65"/>
      <c r="AZ317" s="65"/>
      <c r="BA317" s="65"/>
      <c r="BB317" s="65"/>
      <c r="BC317" s="65"/>
      <c r="BD317" s="65"/>
      <c r="BE317" s="65"/>
      <c r="BF317" s="65"/>
      <c r="BG317" s="65"/>
      <c r="BH317" s="65"/>
      <c r="BI317" s="65"/>
      <c r="BJ317" s="65"/>
      <c r="BK317" s="65"/>
      <c r="BL317" s="65"/>
      <c r="BM317" s="65"/>
      <c r="BN317" s="65"/>
      <c r="BO317" s="65"/>
      <c r="BP317" s="65"/>
      <c r="BQ317" s="65"/>
      <c r="BR317" s="65"/>
      <c r="BS317" s="65"/>
      <c r="BT317" s="65"/>
      <c r="BU317" s="65"/>
      <c r="BV317" s="65"/>
      <c r="BW317" s="65"/>
      <c r="BX317" s="65"/>
      <c r="BY317" s="65"/>
      <c r="BZ317" s="65"/>
      <c r="CA317" s="65"/>
      <c r="CB317" s="65"/>
      <c r="CC317" s="65"/>
      <c r="CD317" s="65"/>
      <c r="CE317" s="65"/>
      <c r="CF317" s="65"/>
      <c r="CG317" s="65"/>
      <c r="CH317" s="65"/>
      <c r="CI317" s="65"/>
      <c r="CJ317" s="65"/>
      <c r="CK317" s="65"/>
      <c r="CL317" s="65"/>
      <c r="CM317" s="65"/>
      <c r="CN317" s="65"/>
      <c r="CO317" s="65"/>
      <c r="CP317" s="65"/>
      <c r="CQ317" s="65"/>
      <c r="CR317" s="65"/>
      <c r="CS317" s="65"/>
      <c r="CT317" s="65"/>
      <c r="CU317" s="65"/>
      <c r="CV317" s="65"/>
      <c r="CW317" s="65"/>
      <c r="CX317" s="65"/>
      <c r="CY317" s="65"/>
      <c r="CZ317" s="65"/>
      <c r="DA317" s="65"/>
      <c r="DB317" s="65"/>
      <c r="DC317" s="65"/>
      <c r="DD317" s="65"/>
      <c r="DE317" s="65"/>
      <c r="DF317" s="65"/>
      <c r="DG317" s="65"/>
      <c r="DH317" s="65"/>
      <c r="DI317" s="65"/>
      <c r="DJ317" s="65"/>
      <c r="DK317" s="65"/>
      <c r="DL317" s="65"/>
      <c r="DM317" s="65"/>
      <c r="DN317" s="65"/>
      <c r="DO317" s="65"/>
      <c r="DP317" s="65"/>
      <c r="DQ317" s="65"/>
      <c r="DR317" s="65"/>
      <c r="DS317" s="65"/>
      <c r="DT317" s="65"/>
      <c r="DU317" s="65"/>
      <c r="DV317" s="65"/>
      <c r="DW317" s="65"/>
      <c r="DX317" s="65"/>
      <c r="DY317" s="65"/>
      <c r="DZ317" s="65"/>
      <c r="EA317" s="65"/>
      <c r="EB317" s="65"/>
      <c r="EC317" s="65"/>
      <c r="ED317" s="65"/>
      <c r="EE317" s="65"/>
      <c r="EF317" s="65"/>
      <c r="EG317" s="65"/>
      <c r="EH317" s="65"/>
      <c r="EI317" s="65"/>
      <c r="EJ317" s="65"/>
      <c r="EK317" s="65"/>
      <c r="EL317" s="65"/>
      <c r="EM317" s="65"/>
      <c r="EN317" s="65"/>
      <c r="EO317" s="65"/>
    </row>
    <row r="318" spans="1:145" s="62" customFormat="1" x14ac:dyDescent="0.2">
      <c r="B318" s="129"/>
      <c r="C318" s="143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  <c r="BD318" s="65"/>
      <c r="BE318" s="65"/>
      <c r="BF318" s="65"/>
      <c r="BG318" s="65"/>
      <c r="BH318" s="65"/>
      <c r="BI318" s="65"/>
      <c r="BJ318" s="65"/>
      <c r="BK318" s="65"/>
      <c r="BL318" s="65"/>
      <c r="BM318" s="65"/>
      <c r="BN318" s="65"/>
      <c r="BO318" s="65"/>
      <c r="BP318" s="65"/>
      <c r="BQ318" s="65"/>
      <c r="BR318" s="65"/>
      <c r="BS318" s="65"/>
      <c r="BT318" s="65"/>
      <c r="BU318" s="65"/>
      <c r="BV318" s="65"/>
      <c r="BW318" s="65"/>
      <c r="BX318" s="65"/>
      <c r="BY318" s="65"/>
      <c r="BZ318" s="65"/>
      <c r="CA318" s="65"/>
      <c r="CB318" s="65"/>
      <c r="CC318" s="65"/>
      <c r="CD318" s="65"/>
      <c r="CE318" s="65"/>
      <c r="CF318" s="65"/>
      <c r="CG318" s="65"/>
      <c r="CH318" s="65"/>
      <c r="CI318" s="65"/>
      <c r="CJ318" s="65"/>
      <c r="CK318" s="65"/>
      <c r="CL318" s="65"/>
      <c r="CM318" s="65"/>
      <c r="CN318" s="65"/>
      <c r="CO318" s="65"/>
      <c r="CP318" s="65"/>
      <c r="CQ318" s="65"/>
      <c r="CR318" s="65"/>
      <c r="CS318" s="65"/>
      <c r="CT318" s="65"/>
      <c r="CU318" s="65"/>
      <c r="CV318" s="65"/>
      <c r="CW318" s="65"/>
      <c r="CX318" s="65"/>
      <c r="CY318" s="65"/>
      <c r="CZ318" s="65"/>
      <c r="DA318" s="65"/>
      <c r="DB318" s="65"/>
      <c r="DC318" s="65"/>
      <c r="DD318" s="65"/>
      <c r="DE318" s="65"/>
      <c r="DF318" s="65"/>
      <c r="DG318" s="65"/>
      <c r="DH318" s="65"/>
      <c r="DI318" s="65"/>
      <c r="DJ318" s="65"/>
      <c r="DK318" s="65"/>
      <c r="DL318" s="65"/>
      <c r="DM318" s="65"/>
      <c r="DN318" s="65"/>
      <c r="DO318" s="65"/>
      <c r="DP318" s="65"/>
      <c r="DQ318" s="65"/>
      <c r="DR318" s="65"/>
      <c r="DS318" s="65"/>
      <c r="DT318" s="65"/>
      <c r="DU318" s="65"/>
      <c r="DV318" s="65"/>
      <c r="DW318" s="65"/>
      <c r="DX318" s="65"/>
      <c r="DY318" s="65"/>
      <c r="DZ318" s="65"/>
      <c r="EA318" s="65"/>
      <c r="EB318" s="65"/>
      <c r="EC318" s="65"/>
      <c r="ED318" s="65"/>
      <c r="EE318" s="65"/>
      <c r="EF318" s="65"/>
      <c r="EG318" s="65"/>
      <c r="EH318" s="65"/>
      <c r="EI318" s="65"/>
      <c r="EJ318" s="65"/>
      <c r="EK318" s="65"/>
      <c r="EL318" s="65"/>
      <c r="EM318" s="65"/>
      <c r="EN318" s="65"/>
      <c r="EO318" s="65"/>
    </row>
    <row r="319" spans="1:145" s="62" customFormat="1" x14ac:dyDescent="0.2">
      <c r="A319" s="74">
        <v>10</v>
      </c>
      <c r="B319" s="117" t="s">
        <v>33</v>
      </c>
      <c r="C319" s="125" t="s">
        <v>16</v>
      </c>
      <c r="D319" s="122">
        <f>-Riders!D224</f>
        <v>-102644.12</v>
      </c>
      <c r="E319" s="122">
        <f>-Riders!E224</f>
        <v>-102256.37</v>
      </c>
      <c r="F319" s="122">
        <f>-Riders!F224</f>
        <v>-95213.650000000009</v>
      </c>
      <c r="G319" s="122">
        <f>-Riders!G224</f>
        <v>-94484.450000000012</v>
      </c>
      <c r="H319" s="122">
        <f>-Riders!H224</f>
        <v>-94423.66</v>
      </c>
      <c r="I319" s="122">
        <f>-Riders!I224</f>
        <v>-94401.69</v>
      </c>
      <c r="J319" s="122">
        <f>-Riders!J224</f>
        <v>-94429.2</v>
      </c>
      <c r="K319" s="122">
        <f>-Riders!K224</f>
        <v>-94393.37999999999</v>
      </c>
      <c r="L319" s="122">
        <f>-Riders!L224</f>
        <v>-98943.790000000008</v>
      </c>
      <c r="M319" s="122">
        <f>-Riders!M224</f>
        <v>-100339.15</v>
      </c>
      <c r="N319" s="122">
        <f>-Riders!N224</f>
        <v>-101286.65</v>
      </c>
      <c r="O319" s="122">
        <f>-Riders!O224</f>
        <v>-100792.98</v>
      </c>
      <c r="P319" s="156">
        <f>SUM(D319:O319)</f>
        <v>-1173609.0899999999</v>
      </c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  <c r="AT319" s="65"/>
      <c r="AU319" s="65"/>
      <c r="AV319" s="65"/>
      <c r="AW319" s="65"/>
      <c r="AX319" s="65"/>
      <c r="AY319" s="65"/>
      <c r="AZ319" s="65"/>
      <c r="BA319" s="65"/>
      <c r="BB319" s="65"/>
      <c r="BC319" s="65"/>
      <c r="BD319" s="65"/>
      <c r="BE319" s="65"/>
      <c r="BF319" s="65"/>
      <c r="BG319" s="65"/>
      <c r="BH319" s="65"/>
      <c r="BI319" s="65"/>
      <c r="BJ319" s="65"/>
      <c r="BK319" s="65"/>
      <c r="BL319" s="65"/>
      <c r="BM319" s="65"/>
      <c r="BN319" s="65"/>
      <c r="BO319" s="65"/>
      <c r="BP319" s="65"/>
      <c r="BQ319" s="65"/>
      <c r="BR319" s="65"/>
      <c r="BS319" s="65"/>
      <c r="BT319" s="65"/>
      <c r="BU319" s="65"/>
      <c r="BV319" s="65"/>
      <c r="BW319" s="65"/>
      <c r="BX319" s="65"/>
      <c r="BY319" s="65"/>
      <c r="BZ319" s="65"/>
      <c r="CA319" s="65"/>
      <c r="CB319" s="65"/>
      <c r="CC319" s="65"/>
      <c r="CD319" s="65"/>
      <c r="CE319" s="65"/>
      <c r="CF319" s="65"/>
      <c r="CG319" s="65"/>
      <c r="CH319" s="65"/>
      <c r="CI319" s="65"/>
      <c r="CJ319" s="65"/>
      <c r="CK319" s="65"/>
      <c r="CL319" s="65"/>
      <c r="CM319" s="65"/>
      <c r="CN319" s="65"/>
      <c r="CO319" s="65"/>
      <c r="CP319" s="65"/>
      <c r="CQ319" s="65"/>
      <c r="CR319" s="65"/>
      <c r="CS319" s="65"/>
      <c r="CT319" s="65"/>
      <c r="CU319" s="65"/>
      <c r="CV319" s="65"/>
      <c r="CW319" s="65"/>
      <c r="CX319" s="65"/>
      <c r="CY319" s="65"/>
      <c r="CZ319" s="65"/>
      <c r="DA319" s="65"/>
      <c r="DB319" s="65"/>
      <c r="DC319" s="65"/>
      <c r="DD319" s="65"/>
      <c r="DE319" s="65"/>
      <c r="DF319" s="65"/>
      <c r="DG319" s="65"/>
      <c r="DH319" s="65"/>
      <c r="DI319" s="65"/>
      <c r="DJ319" s="65"/>
      <c r="DK319" s="65"/>
      <c r="DL319" s="65"/>
      <c r="DM319" s="65"/>
      <c r="DN319" s="65"/>
      <c r="DO319" s="65"/>
      <c r="DP319" s="65"/>
      <c r="DQ319" s="65"/>
      <c r="DR319" s="65"/>
      <c r="DS319" s="65"/>
      <c r="DT319" s="65"/>
      <c r="DU319" s="65"/>
      <c r="DV319" s="65"/>
      <c r="DW319" s="65"/>
      <c r="DX319" s="65"/>
      <c r="DY319" s="65"/>
      <c r="DZ319" s="65"/>
      <c r="EA319" s="65"/>
      <c r="EB319" s="65"/>
      <c r="EC319" s="65"/>
      <c r="ED319" s="65"/>
      <c r="EE319" s="65"/>
      <c r="EF319" s="65"/>
      <c r="EG319" s="65"/>
      <c r="EH319" s="65"/>
      <c r="EI319" s="65"/>
      <c r="EJ319" s="65"/>
      <c r="EK319" s="65"/>
      <c r="EL319" s="65"/>
      <c r="EM319" s="65"/>
      <c r="EN319" s="65"/>
      <c r="EO319" s="65"/>
    </row>
    <row r="320" spans="1:145" s="62" customFormat="1" x14ac:dyDescent="0.2">
      <c r="A320" s="74"/>
      <c r="B320" s="129"/>
      <c r="C320" s="143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22"/>
      <c r="P320" s="122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  <c r="AT320" s="65"/>
      <c r="AU320" s="65"/>
      <c r="AV320" s="65"/>
      <c r="AW320" s="65"/>
      <c r="AX320" s="65"/>
      <c r="AY320" s="65"/>
      <c r="AZ320" s="65"/>
      <c r="BA320" s="65"/>
      <c r="BB320" s="65"/>
      <c r="BC320" s="65"/>
      <c r="BD320" s="65"/>
      <c r="BE320" s="65"/>
      <c r="BF320" s="65"/>
      <c r="BG320" s="65"/>
      <c r="BH320" s="65"/>
      <c r="BI320" s="65"/>
      <c r="BJ320" s="65"/>
      <c r="BK320" s="65"/>
      <c r="BL320" s="65"/>
      <c r="BM320" s="65"/>
      <c r="BN320" s="65"/>
      <c r="BO320" s="65"/>
      <c r="BP320" s="65"/>
      <c r="BQ320" s="65"/>
      <c r="BR320" s="65"/>
      <c r="BS320" s="65"/>
      <c r="BT320" s="65"/>
      <c r="BU320" s="65"/>
      <c r="BV320" s="65"/>
      <c r="BW320" s="65"/>
      <c r="BX320" s="65"/>
      <c r="BY320" s="65"/>
      <c r="BZ320" s="65"/>
      <c r="CA320" s="65"/>
      <c r="CB320" s="65"/>
      <c r="CC320" s="65"/>
      <c r="CD320" s="65"/>
      <c r="CE320" s="65"/>
      <c r="CF320" s="65"/>
      <c r="CG320" s="65"/>
      <c r="CH320" s="65"/>
      <c r="CI320" s="65"/>
      <c r="CJ320" s="65"/>
      <c r="CK320" s="65"/>
      <c r="CL320" s="65"/>
      <c r="CM320" s="65"/>
      <c r="CN320" s="65"/>
      <c r="CO320" s="65"/>
      <c r="CP320" s="65"/>
      <c r="CQ320" s="65"/>
      <c r="CR320" s="65"/>
      <c r="CS320" s="65"/>
      <c r="CT320" s="65"/>
      <c r="CU320" s="65"/>
      <c r="CV320" s="65"/>
      <c r="CW320" s="65"/>
      <c r="CX320" s="65"/>
      <c r="CY320" s="65"/>
      <c r="CZ320" s="65"/>
      <c r="DA320" s="65"/>
      <c r="DB320" s="65"/>
      <c r="DC320" s="65"/>
      <c r="DD320" s="65"/>
      <c r="DE320" s="65"/>
      <c r="DF320" s="65"/>
      <c r="DG320" s="65"/>
      <c r="DH320" s="65"/>
      <c r="DI320" s="65"/>
      <c r="DJ320" s="65"/>
      <c r="DK320" s="65"/>
      <c r="DL320" s="65"/>
      <c r="DM320" s="65"/>
      <c r="DN320" s="65"/>
      <c r="DO320" s="65"/>
      <c r="DP320" s="65"/>
      <c r="DQ320" s="65"/>
      <c r="DR320" s="65"/>
      <c r="DS320" s="65"/>
      <c r="DT320" s="65"/>
      <c r="DU320" s="65"/>
      <c r="DV320" s="65"/>
      <c r="DW320" s="65"/>
      <c r="DX320" s="65"/>
      <c r="DY320" s="65"/>
      <c r="DZ320" s="65"/>
      <c r="EA320" s="65"/>
      <c r="EB320" s="65"/>
      <c r="EC320" s="65"/>
      <c r="ED320" s="65"/>
      <c r="EE320" s="65"/>
      <c r="EF320" s="65"/>
      <c r="EG320" s="65"/>
      <c r="EH320" s="65"/>
      <c r="EI320" s="65"/>
      <c r="EJ320" s="65"/>
      <c r="EK320" s="65"/>
      <c r="EL320" s="65"/>
      <c r="EM320" s="65"/>
      <c r="EN320" s="65"/>
      <c r="EO320" s="65"/>
    </row>
    <row r="321" spans="1:145" s="62" customFormat="1" x14ac:dyDescent="0.2">
      <c r="A321" s="74">
        <v>11</v>
      </c>
      <c r="B321" s="183" t="s">
        <v>34</v>
      </c>
      <c r="C321" s="236"/>
      <c r="D321" s="184">
        <f>D319+D317+D315+D311+D307+D305</f>
        <v>-21646441.329999998</v>
      </c>
      <c r="E321" s="184">
        <f t="shared" ref="E321:O321" si="68">E319+E317+E315+E311+E307+E305</f>
        <v>-17890825.560000002</v>
      </c>
      <c r="F321" s="184">
        <f t="shared" si="68"/>
        <v>-13809841.74</v>
      </c>
      <c r="G321" s="184">
        <f t="shared" si="68"/>
        <v>-13477950.83</v>
      </c>
      <c r="H321" s="184">
        <f t="shared" si="68"/>
        <v>-14373553.039999997</v>
      </c>
      <c r="I321" s="184">
        <f t="shared" si="68"/>
        <v>-17843759.359999999</v>
      </c>
      <c r="J321" s="184">
        <f t="shared" si="68"/>
        <v>-17822783.890000001</v>
      </c>
      <c r="K321" s="184">
        <f t="shared" si="68"/>
        <v>-18031228.520000003</v>
      </c>
      <c r="L321" s="184">
        <f t="shared" si="68"/>
        <v>-19736950.229999997</v>
      </c>
      <c r="M321" s="184">
        <f t="shared" si="68"/>
        <v>-16729737.84</v>
      </c>
      <c r="N321" s="184">
        <f t="shared" si="68"/>
        <v>-15462883.9</v>
      </c>
      <c r="O321" s="184">
        <f t="shared" si="68"/>
        <v>-15436217.370000001</v>
      </c>
      <c r="P321" s="184">
        <f>P319+P317+P315+P311+P307+P305</f>
        <v>-202262173.61000001</v>
      </c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  <c r="AW321" s="65"/>
      <c r="AX321" s="65"/>
      <c r="AY321" s="65"/>
      <c r="AZ321" s="65"/>
      <c r="BA321" s="65"/>
      <c r="BB321" s="65"/>
      <c r="BC321" s="65"/>
      <c r="BD321" s="65"/>
      <c r="BE321" s="65"/>
      <c r="BF321" s="65"/>
      <c r="BG321" s="65"/>
      <c r="BH321" s="65"/>
      <c r="BI321" s="65"/>
      <c r="BJ321" s="65"/>
      <c r="BK321" s="65"/>
      <c r="BL321" s="65"/>
      <c r="BM321" s="65"/>
      <c r="BN321" s="65"/>
      <c r="BO321" s="65"/>
      <c r="BP321" s="65"/>
      <c r="BQ321" s="65"/>
      <c r="BR321" s="65"/>
      <c r="BS321" s="65"/>
      <c r="BT321" s="65"/>
      <c r="BU321" s="65"/>
      <c r="BV321" s="65"/>
      <c r="BW321" s="65"/>
      <c r="BX321" s="65"/>
      <c r="BY321" s="65"/>
      <c r="BZ321" s="65"/>
      <c r="CA321" s="65"/>
      <c r="CB321" s="65"/>
      <c r="CC321" s="65"/>
      <c r="CD321" s="65"/>
      <c r="CE321" s="65"/>
      <c r="CF321" s="65"/>
      <c r="CG321" s="65"/>
      <c r="CH321" s="65"/>
      <c r="CI321" s="65"/>
      <c r="CJ321" s="65"/>
      <c r="CK321" s="65"/>
      <c r="CL321" s="65"/>
      <c r="CM321" s="65"/>
      <c r="CN321" s="65"/>
      <c r="CO321" s="65"/>
      <c r="CP321" s="65"/>
      <c r="CQ321" s="65"/>
      <c r="CR321" s="65"/>
      <c r="CS321" s="65"/>
      <c r="CT321" s="65"/>
      <c r="CU321" s="65"/>
      <c r="CV321" s="65"/>
      <c r="CW321" s="65"/>
      <c r="CX321" s="65"/>
      <c r="CY321" s="65"/>
      <c r="CZ321" s="65"/>
      <c r="DA321" s="65"/>
      <c r="DB321" s="65"/>
      <c r="DC321" s="65"/>
      <c r="DD321" s="65"/>
      <c r="DE321" s="65"/>
      <c r="DF321" s="65"/>
      <c r="DG321" s="65"/>
      <c r="DH321" s="65"/>
      <c r="DI321" s="65"/>
      <c r="DJ321" s="65"/>
      <c r="DK321" s="65"/>
      <c r="DL321" s="65"/>
      <c r="DM321" s="65"/>
      <c r="DN321" s="65"/>
      <c r="DO321" s="65"/>
      <c r="DP321" s="65"/>
      <c r="DQ321" s="65"/>
      <c r="DR321" s="65"/>
      <c r="DS321" s="65"/>
      <c r="DT321" s="65"/>
      <c r="DU321" s="65"/>
      <c r="DV321" s="65"/>
      <c r="DW321" s="65"/>
      <c r="DX321" s="65"/>
      <c r="DY321" s="65"/>
      <c r="DZ321" s="65"/>
      <c r="EA321" s="65"/>
      <c r="EB321" s="65"/>
      <c r="EC321" s="65"/>
      <c r="ED321" s="65"/>
      <c r="EE321" s="65"/>
      <c r="EF321" s="65"/>
      <c r="EG321" s="65"/>
      <c r="EH321" s="65"/>
      <c r="EI321" s="65"/>
      <c r="EJ321" s="65"/>
      <c r="EK321" s="65"/>
      <c r="EL321" s="65"/>
      <c r="EM321" s="65"/>
      <c r="EN321" s="65"/>
      <c r="EO321" s="65"/>
    </row>
    <row r="322" spans="1:145" s="62" customFormat="1" x14ac:dyDescent="0.2">
      <c r="B322" s="236"/>
      <c r="C322" s="236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56"/>
      <c r="P322" s="156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  <c r="BE322" s="65"/>
      <c r="BF322" s="65"/>
      <c r="BG322" s="65"/>
      <c r="BH322" s="65"/>
      <c r="BI322" s="65"/>
      <c r="BJ322" s="65"/>
      <c r="BK322" s="65"/>
      <c r="BL322" s="65"/>
      <c r="BM322" s="65"/>
      <c r="BN322" s="65"/>
      <c r="BO322" s="65"/>
      <c r="BP322" s="65"/>
      <c r="BQ322" s="65"/>
      <c r="BR322" s="65"/>
      <c r="BS322" s="65"/>
      <c r="BT322" s="65"/>
      <c r="BU322" s="65"/>
      <c r="BV322" s="65"/>
      <c r="BW322" s="65"/>
      <c r="BX322" s="65"/>
      <c r="BY322" s="65"/>
      <c r="BZ322" s="65"/>
      <c r="CA322" s="65"/>
      <c r="CB322" s="65"/>
      <c r="CC322" s="65"/>
      <c r="CD322" s="65"/>
      <c r="CE322" s="65"/>
      <c r="CF322" s="65"/>
      <c r="CG322" s="65"/>
      <c r="CH322" s="65"/>
      <c r="CI322" s="65"/>
      <c r="CJ322" s="65"/>
      <c r="CK322" s="65"/>
      <c r="CL322" s="65"/>
      <c r="CM322" s="65"/>
      <c r="CN322" s="65"/>
      <c r="CO322" s="65"/>
      <c r="CP322" s="65"/>
      <c r="CQ322" s="65"/>
      <c r="CR322" s="65"/>
      <c r="CS322" s="65"/>
      <c r="CT322" s="65"/>
      <c r="CU322" s="65"/>
      <c r="CV322" s="65"/>
      <c r="CW322" s="65"/>
      <c r="CX322" s="65"/>
      <c r="CY322" s="65"/>
      <c r="CZ322" s="65"/>
      <c r="DA322" s="65"/>
      <c r="DB322" s="65"/>
      <c r="DC322" s="65"/>
      <c r="DD322" s="65"/>
      <c r="DE322" s="65"/>
      <c r="DF322" s="65"/>
      <c r="DG322" s="65"/>
      <c r="DH322" s="65"/>
      <c r="DI322" s="65"/>
      <c r="DJ322" s="65"/>
      <c r="DK322" s="65"/>
      <c r="DL322" s="65"/>
      <c r="DM322" s="65"/>
      <c r="DN322" s="65"/>
      <c r="DO322" s="65"/>
      <c r="DP322" s="65"/>
      <c r="DQ322" s="65"/>
      <c r="DR322" s="65"/>
      <c r="DS322" s="65"/>
      <c r="DT322" s="65"/>
      <c r="DU322" s="65"/>
      <c r="DV322" s="65"/>
      <c r="DW322" s="65"/>
      <c r="DX322" s="65"/>
      <c r="DY322" s="65"/>
      <c r="DZ322" s="65"/>
      <c r="EA322" s="65"/>
      <c r="EB322" s="65"/>
      <c r="EC322" s="65"/>
      <c r="ED322" s="65"/>
      <c r="EE322" s="65"/>
      <c r="EF322" s="65"/>
      <c r="EG322" s="65"/>
      <c r="EH322" s="65"/>
      <c r="EI322" s="65"/>
      <c r="EJ322" s="65"/>
      <c r="EK322" s="65"/>
      <c r="EL322" s="65"/>
      <c r="EM322" s="65"/>
      <c r="EN322" s="65"/>
      <c r="EO322" s="65"/>
    </row>
    <row r="323" spans="1:145" s="62" customFormat="1" x14ac:dyDescent="0.2">
      <c r="A323" s="74">
        <v>12</v>
      </c>
      <c r="B323" s="148" t="s">
        <v>91</v>
      </c>
      <c r="C323" s="125" t="s">
        <v>17</v>
      </c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56">
        <f>SUM(D323:O323)</f>
        <v>0</v>
      </c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  <c r="AW323" s="65"/>
      <c r="AX323" s="65"/>
      <c r="AY323" s="65"/>
      <c r="AZ323" s="65"/>
      <c r="BA323" s="65"/>
      <c r="BB323" s="65"/>
      <c r="BC323" s="65"/>
      <c r="BD323" s="65"/>
      <c r="BE323" s="65"/>
      <c r="BF323" s="65"/>
      <c r="BG323" s="65"/>
      <c r="BH323" s="65"/>
      <c r="BI323" s="65"/>
      <c r="BJ323" s="65"/>
      <c r="BK323" s="65"/>
      <c r="BL323" s="65"/>
      <c r="BM323" s="65"/>
      <c r="BN323" s="65"/>
      <c r="BO323" s="65"/>
      <c r="BP323" s="65"/>
      <c r="BQ323" s="65"/>
      <c r="BR323" s="65"/>
      <c r="BS323" s="65"/>
      <c r="BT323" s="65"/>
      <c r="BU323" s="65"/>
      <c r="BV323" s="65"/>
      <c r="BW323" s="65"/>
      <c r="BX323" s="65"/>
      <c r="BY323" s="65"/>
      <c r="BZ323" s="65"/>
      <c r="CA323" s="65"/>
      <c r="CB323" s="65"/>
      <c r="CC323" s="65"/>
      <c r="CD323" s="65"/>
      <c r="CE323" s="65"/>
      <c r="CF323" s="65"/>
      <c r="CG323" s="65"/>
      <c r="CH323" s="65"/>
      <c r="CI323" s="65"/>
      <c r="CJ323" s="65"/>
      <c r="CK323" s="65"/>
      <c r="CL323" s="65"/>
      <c r="CM323" s="65"/>
      <c r="CN323" s="65"/>
      <c r="CO323" s="65"/>
      <c r="CP323" s="65"/>
      <c r="CQ323" s="65"/>
      <c r="CR323" s="65"/>
      <c r="CS323" s="65"/>
      <c r="CT323" s="65"/>
      <c r="CU323" s="65"/>
      <c r="CV323" s="65"/>
      <c r="CW323" s="65"/>
      <c r="CX323" s="65"/>
      <c r="CY323" s="65"/>
      <c r="CZ323" s="65"/>
      <c r="DA323" s="65"/>
      <c r="DB323" s="65"/>
      <c r="DC323" s="65"/>
      <c r="DD323" s="65"/>
      <c r="DE323" s="65"/>
      <c r="DF323" s="65"/>
      <c r="DG323" s="65"/>
      <c r="DH323" s="65"/>
      <c r="DI323" s="65"/>
      <c r="DJ323" s="65"/>
      <c r="DK323" s="65"/>
      <c r="DL323" s="65"/>
      <c r="DM323" s="65"/>
      <c r="DN323" s="65"/>
      <c r="DO323" s="65"/>
      <c r="DP323" s="65"/>
      <c r="DQ323" s="65"/>
      <c r="DR323" s="65"/>
      <c r="DS323" s="65"/>
      <c r="DT323" s="65"/>
      <c r="DU323" s="65"/>
      <c r="DV323" s="65"/>
      <c r="DW323" s="65"/>
      <c r="DX323" s="65"/>
      <c r="DY323" s="65"/>
      <c r="DZ323" s="65"/>
      <c r="EA323" s="65"/>
      <c r="EB323" s="65"/>
      <c r="EC323" s="65"/>
      <c r="ED323" s="65"/>
      <c r="EE323" s="65"/>
      <c r="EF323" s="65"/>
      <c r="EG323" s="65"/>
      <c r="EH323" s="65"/>
      <c r="EI323" s="65"/>
      <c r="EJ323" s="65"/>
      <c r="EK323" s="65"/>
      <c r="EL323" s="65"/>
      <c r="EM323" s="65"/>
      <c r="EN323" s="65"/>
      <c r="EO323" s="65"/>
    </row>
    <row r="324" spans="1:145" s="62" customFormat="1" x14ac:dyDescent="0.2">
      <c r="A324" s="74">
        <v>13</v>
      </c>
      <c r="B324" s="148" t="s">
        <v>92</v>
      </c>
      <c r="C324" s="125" t="s">
        <v>18</v>
      </c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73">
        <f>SUM(D324:O324)</f>
        <v>0</v>
      </c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  <c r="AW324" s="65"/>
      <c r="AX324" s="65"/>
      <c r="AY324" s="65"/>
      <c r="AZ324" s="65"/>
      <c r="BA324" s="65"/>
      <c r="BB324" s="65"/>
      <c r="BC324" s="65"/>
      <c r="BD324" s="65"/>
      <c r="BE324" s="65"/>
      <c r="BF324" s="65"/>
      <c r="BG324" s="65"/>
      <c r="BH324" s="65"/>
      <c r="BI324" s="65"/>
      <c r="BJ324" s="65"/>
      <c r="BK324" s="65"/>
      <c r="BL324" s="65"/>
      <c r="BM324" s="65"/>
      <c r="BN324" s="65"/>
      <c r="BO324" s="65"/>
      <c r="BP324" s="65"/>
      <c r="BQ324" s="65"/>
      <c r="BR324" s="65"/>
      <c r="BS324" s="65"/>
      <c r="BT324" s="65"/>
      <c r="BU324" s="65"/>
      <c r="BV324" s="65"/>
      <c r="BW324" s="65"/>
      <c r="BX324" s="65"/>
      <c r="BY324" s="65"/>
      <c r="BZ324" s="65"/>
      <c r="CA324" s="65"/>
      <c r="CB324" s="65"/>
      <c r="CC324" s="65"/>
      <c r="CD324" s="65"/>
      <c r="CE324" s="65"/>
      <c r="CF324" s="65"/>
      <c r="CG324" s="65"/>
      <c r="CH324" s="65"/>
      <c r="CI324" s="65"/>
      <c r="CJ324" s="65"/>
      <c r="CK324" s="65"/>
      <c r="CL324" s="65"/>
      <c r="CM324" s="65"/>
      <c r="CN324" s="65"/>
      <c r="CO324" s="65"/>
      <c r="CP324" s="65"/>
      <c r="CQ324" s="65"/>
      <c r="CR324" s="65"/>
      <c r="CS324" s="65"/>
      <c r="CT324" s="65"/>
      <c r="CU324" s="65"/>
      <c r="CV324" s="65"/>
      <c r="CW324" s="65"/>
      <c r="CX324" s="65"/>
      <c r="CY324" s="65"/>
      <c r="CZ324" s="65"/>
      <c r="DA324" s="65"/>
      <c r="DB324" s="65"/>
      <c r="DC324" s="65"/>
      <c r="DD324" s="65"/>
      <c r="DE324" s="65"/>
      <c r="DF324" s="65"/>
      <c r="DG324" s="65"/>
      <c r="DH324" s="65"/>
      <c r="DI324" s="65"/>
      <c r="DJ324" s="65"/>
      <c r="DK324" s="65"/>
      <c r="DL324" s="65"/>
      <c r="DM324" s="65"/>
      <c r="DN324" s="65"/>
      <c r="DO324" s="65"/>
      <c r="DP324" s="65"/>
      <c r="DQ324" s="65"/>
      <c r="DR324" s="65"/>
      <c r="DS324" s="65"/>
      <c r="DT324" s="65"/>
      <c r="DU324" s="65"/>
      <c r="DV324" s="65"/>
      <c r="DW324" s="65"/>
      <c r="DX324" s="65"/>
      <c r="DY324" s="65"/>
      <c r="DZ324" s="65"/>
      <c r="EA324" s="65"/>
      <c r="EB324" s="65"/>
      <c r="EC324" s="65"/>
      <c r="ED324" s="65"/>
      <c r="EE324" s="65"/>
      <c r="EF324" s="65"/>
      <c r="EG324" s="65"/>
      <c r="EH324" s="65"/>
      <c r="EI324" s="65"/>
      <c r="EJ324" s="65"/>
      <c r="EK324" s="65"/>
      <c r="EL324" s="65"/>
      <c r="EM324" s="65"/>
      <c r="EN324" s="65"/>
      <c r="EO324" s="65"/>
    </row>
    <row r="325" spans="1:145" s="62" customFormat="1" x14ac:dyDescent="0.2">
      <c r="A325" s="74">
        <v>14</v>
      </c>
      <c r="B325" s="183" t="s">
        <v>35</v>
      </c>
      <c r="C325" s="238"/>
      <c r="D325" s="169">
        <f t="shared" ref="D325:P325" si="69">SUM(D323:D324)</f>
        <v>0</v>
      </c>
      <c r="E325" s="169">
        <f t="shared" si="69"/>
        <v>0</v>
      </c>
      <c r="F325" s="169">
        <f t="shared" si="69"/>
        <v>0</v>
      </c>
      <c r="G325" s="169">
        <f t="shared" si="69"/>
        <v>0</v>
      </c>
      <c r="H325" s="169">
        <f t="shared" si="69"/>
        <v>0</v>
      </c>
      <c r="I325" s="169">
        <f t="shared" si="69"/>
        <v>0</v>
      </c>
      <c r="J325" s="169">
        <f t="shared" si="69"/>
        <v>0</v>
      </c>
      <c r="K325" s="169">
        <f t="shared" si="69"/>
        <v>0</v>
      </c>
      <c r="L325" s="169">
        <f t="shared" si="69"/>
        <v>0</v>
      </c>
      <c r="M325" s="169">
        <f t="shared" si="69"/>
        <v>0</v>
      </c>
      <c r="N325" s="169">
        <f t="shared" si="69"/>
        <v>0</v>
      </c>
      <c r="O325" s="156">
        <f t="shared" si="69"/>
        <v>0</v>
      </c>
      <c r="P325" s="156">
        <f t="shared" si="69"/>
        <v>0</v>
      </c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65"/>
      <c r="AV325" s="65"/>
      <c r="AW325" s="65"/>
      <c r="AX325" s="65"/>
      <c r="AY325" s="65"/>
      <c r="AZ325" s="65"/>
      <c r="BA325" s="65"/>
      <c r="BB325" s="65"/>
      <c r="BC325" s="65"/>
      <c r="BD325" s="65"/>
      <c r="BE325" s="65"/>
      <c r="BF325" s="65"/>
      <c r="BG325" s="65"/>
      <c r="BH325" s="65"/>
      <c r="BI325" s="65"/>
      <c r="BJ325" s="65"/>
      <c r="BK325" s="65"/>
      <c r="BL325" s="65"/>
      <c r="BM325" s="65"/>
      <c r="BN325" s="65"/>
      <c r="BO325" s="65"/>
      <c r="BP325" s="65"/>
      <c r="BQ325" s="65"/>
      <c r="BR325" s="65"/>
      <c r="BS325" s="65"/>
      <c r="BT325" s="65"/>
      <c r="BU325" s="65"/>
      <c r="BV325" s="65"/>
      <c r="BW325" s="65"/>
      <c r="BX325" s="65"/>
      <c r="BY325" s="65"/>
      <c r="BZ325" s="65"/>
      <c r="CA325" s="65"/>
      <c r="CB325" s="65"/>
      <c r="CC325" s="65"/>
      <c r="CD325" s="65"/>
      <c r="CE325" s="65"/>
      <c r="CF325" s="65"/>
      <c r="CG325" s="65"/>
      <c r="CH325" s="65"/>
      <c r="CI325" s="65"/>
      <c r="CJ325" s="65"/>
      <c r="CK325" s="65"/>
      <c r="CL325" s="65"/>
      <c r="CM325" s="65"/>
      <c r="CN325" s="65"/>
      <c r="CO325" s="65"/>
      <c r="CP325" s="65"/>
      <c r="CQ325" s="65"/>
      <c r="CR325" s="65"/>
      <c r="CS325" s="65"/>
      <c r="CT325" s="65"/>
      <c r="CU325" s="65"/>
      <c r="CV325" s="65"/>
      <c r="CW325" s="65"/>
      <c r="CX325" s="65"/>
      <c r="CY325" s="65"/>
      <c r="CZ325" s="65"/>
      <c r="DA325" s="65"/>
      <c r="DB325" s="65"/>
      <c r="DC325" s="65"/>
      <c r="DD325" s="65"/>
      <c r="DE325" s="65"/>
      <c r="DF325" s="65"/>
      <c r="DG325" s="65"/>
      <c r="DH325" s="65"/>
      <c r="DI325" s="65"/>
      <c r="DJ325" s="65"/>
      <c r="DK325" s="65"/>
      <c r="DL325" s="65"/>
      <c r="DM325" s="65"/>
      <c r="DN325" s="65"/>
      <c r="DO325" s="65"/>
      <c r="DP325" s="65"/>
      <c r="DQ325" s="65"/>
      <c r="DR325" s="65"/>
      <c r="DS325" s="65"/>
      <c r="DT325" s="65"/>
      <c r="DU325" s="65"/>
      <c r="DV325" s="65"/>
      <c r="DW325" s="65"/>
      <c r="DX325" s="65"/>
      <c r="DY325" s="65"/>
      <c r="DZ325" s="65"/>
      <c r="EA325" s="65"/>
      <c r="EB325" s="65"/>
      <c r="EC325" s="65"/>
      <c r="ED325" s="65"/>
      <c r="EE325" s="65"/>
      <c r="EF325" s="65"/>
      <c r="EG325" s="65"/>
      <c r="EH325" s="65"/>
      <c r="EI325" s="65"/>
      <c r="EJ325" s="65"/>
      <c r="EK325" s="65"/>
      <c r="EL325" s="65"/>
      <c r="EM325" s="65"/>
      <c r="EN325" s="65"/>
      <c r="EO325" s="65"/>
    </row>
    <row r="326" spans="1:145" s="62" customFormat="1" x14ac:dyDescent="0.2">
      <c r="A326" s="74"/>
      <c r="B326" s="129"/>
      <c r="C326" s="185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22"/>
      <c r="P326" s="122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  <c r="BD326" s="65"/>
      <c r="BE326" s="65"/>
      <c r="BF326" s="65"/>
      <c r="BG326" s="65"/>
      <c r="BH326" s="65"/>
      <c r="BI326" s="65"/>
      <c r="BJ326" s="65"/>
      <c r="BK326" s="65"/>
      <c r="BL326" s="65"/>
      <c r="BM326" s="65"/>
      <c r="BN326" s="65"/>
      <c r="BO326" s="65"/>
      <c r="BP326" s="65"/>
      <c r="BQ326" s="65"/>
      <c r="BR326" s="65"/>
      <c r="BS326" s="65"/>
      <c r="BT326" s="65"/>
      <c r="BU326" s="65"/>
      <c r="BV326" s="65"/>
      <c r="BW326" s="65"/>
      <c r="BX326" s="65"/>
      <c r="BY326" s="65"/>
      <c r="BZ326" s="65"/>
      <c r="CA326" s="65"/>
      <c r="CB326" s="65"/>
      <c r="CC326" s="65"/>
      <c r="CD326" s="65"/>
      <c r="CE326" s="65"/>
      <c r="CF326" s="65"/>
      <c r="CG326" s="65"/>
      <c r="CH326" s="65"/>
      <c r="CI326" s="65"/>
      <c r="CJ326" s="65"/>
      <c r="CK326" s="65"/>
      <c r="CL326" s="65"/>
      <c r="CM326" s="65"/>
      <c r="CN326" s="65"/>
      <c r="CO326" s="65"/>
      <c r="CP326" s="65"/>
      <c r="CQ326" s="65"/>
      <c r="CR326" s="65"/>
      <c r="CS326" s="65"/>
      <c r="CT326" s="65"/>
      <c r="CU326" s="65"/>
      <c r="CV326" s="65"/>
      <c r="CW326" s="65"/>
      <c r="CX326" s="65"/>
      <c r="CY326" s="65"/>
      <c r="CZ326" s="65"/>
      <c r="DA326" s="65"/>
      <c r="DB326" s="65"/>
      <c r="DC326" s="65"/>
      <c r="DD326" s="65"/>
      <c r="DE326" s="65"/>
      <c r="DF326" s="65"/>
      <c r="DG326" s="65"/>
      <c r="DH326" s="65"/>
      <c r="DI326" s="65"/>
      <c r="DJ326" s="65"/>
      <c r="DK326" s="65"/>
      <c r="DL326" s="65"/>
      <c r="DM326" s="65"/>
      <c r="DN326" s="65"/>
      <c r="DO326" s="65"/>
      <c r="DP326" s="65"/>
      <c r="DQ326" s="65"/>
      <c r="DR326" s="65"/>
      <c r="DS326" s="65"/>
      <c r="DT326" s="65"/>
      <c r="DU326" s="65"/>
      <c r="DV326" s="65"/>
      <c r="DW326" s="65"/>
      <c r="DX326" s="65"/>
      <c r="DY326" s="65"/>
      <c r="DZ326" s="65"/>
      <c r="EA326" s="65"/>
      <c r="EB326" s="65"/>
      <c r="EC326" s="65"/>
      <c r="ED326" s="65"/>
      <c r="EE326" s="65"/>
      <c r="EF326" s="65"/>
      <c r="EG326" s="65"/>
      <c r="EH326" s="65"/>
      <c r="EI326" s="65"/>
      <c r="EJ326" s="65"/>
      <c r="EK326" s="65"/>
      <c r="EL326" s="65"/>
      <c r="EM326" s="65"/>
      <c r="EN326" s="65"/>
      <c r="EO326" s="65"/>
    </row>
    <row r="327" spans="1:145" s="62" customFormat="1" ht="12" thickBot="1" x14ac:dyDescent="0.25">
      <c r="A327" s="74">
        <v>15</v>
      </c>
      <c r="B327" s="243" t="str">
        <f>B37</f>
        <v>TOTAL AEP TEXAS</v>
      </c>
      <c r="C327" s="238"/>
      <c r="D327" s="186">
        <f t="shared" ref="D327:P327" si="70">+D325+D321</f>
        <v>-21646441.329999998</v>
      </c>
      <c r="E327" s="186">
        <f t="shared" si="70"/>
        <v>-17890825.560000002</v>
      </c>
      <c r="F327" s="186">
        <f t="shared" si="70"/>
        <v>-13809841.74</v>
      </c>
      <c r="G327" s="186">
        <f t="shared" si="70"/>
        <v>-13477950.83</v>
      </c>
      <c r="H327" s="186">
        <f t="shared" si="70"/>
        <v>-14373553.039999997</v>
      </c>
      <c r="I327" s="186">
        <f t="shared" si="70"/>
        <v>-17843759.359999999</v>
      </c>
      <c r="J327" s="186">
        <f t="shared" si="70"/>
        <v>-17822783.890000001</v>
      </c>
      <c r="K327" s="186">
        <f t="shared" si="70"/>
        <v>-18031228.520000003</v>
      </c>
      <c r="L327" s="186">
        <f t="shared" si="70"/>
        <v>-19736950.229999997</v>
      </c>
      <c r="M327" s="186">
        <f t="shared" si="70"/>
        <v>-16729737.84</v>
      </c>
      <c r="N327" s="186">
        <f t="shared" si="70"/>
        <v>-15462883.9</v>
      </c>
      <c r="O327" s="186">
        <f t="shared" si="70"/>
        <v>-15436217.370000001</v>
      </c>
      <c r="P327" s="244">
        <f t="shared" si="70"/>
        <v>-202262173.61000001</v>
      </c>
      <c r="Q327" s="70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  <c r="BD327" s="65"/>
      <c r="BE327" s="65"/>
      <c r="BF327" s="65"/>
      <c r="BG327" s="65"/>
      <c r="BH327" s="65"/>
      <c r="BI327" s="65"/>
      <c r="BJ327" s="65"/>
      <c r="BK327" s="65"/>
      <c r="BL327" s="65"/>
      <c r="BM327" s="65"/>
      <c r="BN327" s="65"/>
      <c r="BO327" s="65"/>
      <c r="BP327" s="65"/>
      <c r="BQ327" s="65"/>
      <c r="BR327" s="65"/>
      <c r="BS327" s="65"/>
      <c r="BT327" s="65"/>
      <c r="BU327" s="65"/>
      <c r="BV327" s="65"/>
      <c r="BW327" s="65"/>
      <c r="BX327" s="65"/>
      <c r="BY327" s="65"/>
      <c r="BZ327" s="65"/>
      <c r="CA327" s="65"/>
      <c r="CB327" s="65"/>
      <c r="CC327" s="65"/>
      <c r="CD327" s="65"/>
      <c r="CE327" s="65"/>
      <c r="CF327" s="65"/>
      <c r="CG327" s="65"/>
      <c r="CH327" s="65"/>
      <c r="CI327" s="65"/>
      <c r="CJ327" s="65"/>
      <c r="CK327" s="65"/>
      <c r="CL327" s="65"/>
      <c r="CM327" s="65"/>
      <c r="CN327" s="65"/>
      <c r="CO327" s="65"/>
      <c r="CP327" s="65"/>
      <c r="CQ327" s="65"/>
      <c r="CR327" s="65"/>
      <c r="CS327" s="65"/>
      <c r="CT327" s="65"/>
      <c r="CU327" s="65"/>
      <c r="CV327" s="65"/>
      <c r="CW327" s="65"/>
      <c r="CX327" s="65"/>
      <c r="CY327" s="65"/>
      <c r="CZ327" s="65"/>
      <c r="DA327" s="65"/>
      <c r="DB327" s="65"/>
      <c r="DC327" s="65"/>
      <c r="DD327" s="65"/>
      <c r="DE327" s="65"/>
      <c r="DF327" s="65"/>
      <c r="DG327" s="65"/>
      <c r="DH327" s="65"/>
      <c r="DI327" s="65"/>
      <c r="DJ327" s="65"/>
      <c r="DK327" s="65"/>
      <c r="DL327" s="65"/>
      <c r="DM327" s="65"/>
      <c r="DN327" s="65"/>
      <c r="DO327" s="65"/>
      <c r="DP327" s="65"/>
      <c r="DQ327" s="65"/>
      <c r="DR327" s="65"/>
      <c r="DS327" s="65"/>
      <c r="DT327" s="65"/>
      <c r="DU327" s="65"/>
      <c r="DV327" s="65"/>
      <c r="DW327" s="65"/>
      <c r="DX327" s="65"/>
      <c r="DY327" s="65"/>
      <c r="DZ327" s="65"/>
      <c r="EA327" s="65"/>
      <c r="EB327" s="65"/>
      <c r="EC327" s="65"/>
      <c r="ED327" s="65"/>
      <c r="EE327" s="65"/>
      <c r="EF327" s="65"/>
      <c r="EG327" s="65"/>
      <c r="EH327" s="65"/>
      <c r="EI327" s="65"/>
      <c r="EJ327" s="65"/>
      <c r="EK327" s="65"/>
      <c r="EL327" s="65"/>
      <c r="EM327" s="65"/>
      <c r="EN327" s="65"/>
      <c r="EO327" s="65"/>
    </row>
    <row r="328" spans="1:145" s="62" customFormat="1" ht="12" thickTop="1" x14ac:dyDescent="0.2">
      <c r="A328" s="74"/>
      <c r="B328" s="243"/>
      <c r="C328" s="238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27"/>
      <c r="Q328" s="70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  <c r="BD328" s="65"/>
      <c r="BE328" s="65"/>
      <c r="BF328" s="65"/>
      <c r="BG328" s="65"/>
      <c r="BH328" s="65"/>
      <c r="BI328" s="65"/>
      <c r="BJ328" s="65"/>
      <c r="BK328" s="65"/>
      <c r="BL328" s="65"/>
      <c r="BM328" s="65"/>
      <c r="BN328" s="65"/>
      <c r="BO328" s="65"/>
      <c r="BP328" s="65"/>
      <c r="BQ328" s="65"/>
      <c r="BR328" s="65"/>
      <c r="BS328" s="65"/>
      <c r="BT328" s="65"/>
      <c r="BU328" s="65"/>
      <c r="BV328" s="65"/>
      <c r="BW328" s="65"/>
      <c r="BX328" s="65"/>
      <c r="BY328" s="65"/>
      <c r="BZ328" s="65"/>
      <c r="CA328" s="65"/>
      <c r="CB328" s="65"/>
      <c r="CC328" s="65"/>
      <c r="CD328" s="65"/>
      <c r="CE328" s="65"/>
      <c r="CF328" s="65"/>
      <c r="CG328" s="65"/>
      <c r="CH328" s="65"/>
      <c r="CI328" s="65"/>
      <c r="CJ328" s="65"/>
      <c r="CK328" s="65"/>
      <c r="CL328" s="65"/>
      <c r="CM328" s="65"/>
      <c r="CN328" s="65"/>
      <c r="CO328" s="65"/>
      <c r="CP328" s="65"/>
      <c r="CQ328" s="65"/>
      <c r="CR328" s="65"/>
      <c r="CS328" s="65"/>
      <c r="CT328" s="65"/>
      <c r="CU328" s="65"/>
      <c r="CV328" s="65"/>
      <c r="CW328" s="65"/>
      <c r="CX328" s="65"/>
      <c r="CY328" s="65"/>
      <c r="CZ328" s="65"/>
      <c r="DA328" s="65"/>
      <c r="DB328" s="65"/>
      <c r="DC328" s="65"/>
      <c r="DD328" s="65"/>
      <c r="DE328" s="65"/>
      <c r="DF328" s="65"/>
      <c r="DG328" s="65"/>
      <c r="DH328" s="65"/>
      <c r="DI328" s="65"/>
      <c r="DJ328" s="65"/>
      <c r="DK328" s="65"/>
      <c r="DL328" s="65"/>
      <c r="DM328" s="65"/>
      <c r="DN328" s="65"/>
      <c r="DO328" s="65"/>
      <c r="DP328" s="65"/>
      <c r="DQ328" s="65"/>
      <c r="DR328" s="65"/>
      <c r="DS328" s="65"/>
      <c r="DT328" s="65"/>
      <c r="DU328" s="65"/>
      <c r="DV328" s="65"/>
      <c r="DW328" s="65"/>
      <c r="DX328" s="65"/>
      <c r="DY328" s="65"/>
      <c r="DZ328" s="65"/>
      <c r="EA328" s="65"/>
      <c r="EB328" s="65"/>
      <c r="EC328" s="65"/>
      <c r="ED328" s="65"/>
      <c r="EE328" s="65"/>
      <c r="EF328" s="65"/>
      <c r="EG328" s="65"/>
      <c r="EH328" s="65"/>
      <c r="EI328" s="65"/>
      <c r="EJ328" s="65"/>
      <c r="EK328" s="65"/>
      <c r="EL328" s="65"/>
      <c r="EM328" s="65"/>
      <c r="EN328" s="65"/>
      <c r="EO328" s="65"/>
    </row>
    <row r="329" spans="1:145" ht="20.25" customHeight="1" x14ac:dyDescent="0.2">
      <c r="B329" s="393" t="s">
        <v>131</v>
      </c>
      <c r="C329" s="388"/>
      <c r="D329" s="388"/>
      <c r="E329" s="388"/>
      <c r="F329" s="388"/>
      <c r="G329" s="388"/>
      <c r="H329" s="388"/>
      <c r="I329" s="388"/>
      <c r="J329" s="388"/>
      <c r="K329" s="388"/>
      <c r="L329" s="388"/>
      <c r="M329" s="388"/>
      <c r="N329" s="388"/>
      <c r="O329" s="388"/>
      <c r="P329" s="251"/>
    </row>
    <row r="330" spans="1:145" s="146" customFormat="1" x14ac:dyDescent="0.2">
      <c r="B330" s="393" t="s">
        <v>123</v>
      </c>
      <c r="C330" s="388"/>
      <c r="D330" s="388"/>
      <c r="E330" s="388"/>
      <c r="F330" s="388"/>
      <c r="G330" s="388"/>
      <c r="H330" s="388"/>
      <c r="I330" s="388"/>
      <c r="J330" s="388"/>
      <c r="K330" s="388"/>
      <c r="L330" s="388"/>
      <c r="M330" s="388"/>
      <c r="N330" s="388"/>
      <c r="O330" s="388"/>
      <c r="P330" s="147" t="s">
        <v>1</v>
      </c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148"/>
      <c r="AD330" s="148"/>
      <c r="AE330" s="148"/>
      <c r="AF330" s="148"/>
      <c r="AG330" s="148"/>
      <c r="AH330" s="148"/>
      <c r="AI330" s="148"/>
      <c r="AJ330" s="148"/>
      <c r="AK330" s="148"/>
      <c r="AL330" s="148"/>
      <c r="AM330" s="148"/>
      <c r="AN330" s="148"/>
      <c r="AO330" s="148"/>
      <c r="AP330" s="148"/>
      <c r="AQ330" s="148"/>
      <c r="AR330" s="148"/>
      <c r="AS330" s="148"/>
      <c r="AT330" s="148"/>
      <c r="AU330" s="148"/>
      <c r="AV330" s="148"/>
      <c r="AW330" s="148"/>
      <c r="AX330" s="148"/>
      <c r="AY330" s="148"/>
      <c r="AZ330" s="148"/>
      <c r="BA330" s="148"/>
      <c r="BB330" s="148"/>
      <c r="BC330" s="148"/>
      <c r="BD330" s="148"/>
      <c r="BE330" s="148"/>
      <c r="BF330" s="148"/>
      <c r="BG330" s="148"/>
      <c r="BH330" s="148"/>
      <c r="BI330" s="148"/>
      <c r="BJ330" s="148"/>
      <c r="BK330" s="148"/>
      <c r="BL330" s="148"/>
      <c r="BM330" s="148"/>
      <c r="BN330" s="148"/>
      <c r="BO330" s="148"/>
      <c r="BP330" s="148"/>
      <c r="BQ330" s="148"/>
      <c r="BR330" s="148"/>
      <c r="BS330" s="148"/>
      <c r="BT330" s="148"/>
      <c r="BU330" s="148"/>
      <c r="BV330" s="148"/>
      <c r="BW330" s="148"/>
      <c r="BX330" s="148"/>
      <c r="BY330" s="148"/>
      <c r="BZ330" s="148"/>
      <c r="CA330" s="148"/>
      <c r="CB330" s="148"/>
      <c r="CC330" s="148"/>
      <c r="CD330" s="148"/>
      <c r="CE330" s="148"/>
      <c r="CF330" s="148"/>
      <c r="CG330" s="148"/>
      <c r="CH330" s="148"/>
      <c r="CI330" s="148"/>
      <c r="CJ330" s="148"/>
      <c r="CK330" s="148"/>
      <c r="CL330" s="148"/>
      <c r="CM330" s="148"/>
      <c r="CN330" s="148"/>
      <c r="CO330" s="148"/>
      <c r="CP330" s="148"/>
      <c r="CQ330" s="148"/>
      <c r="CR330" s="148"/>
      <c r="CS330" s="148"/>
      <c r="CT330" s="148"/>
      <c r="CU330" s="148"/>
      <c r="CV330" s="148"/>
      <c r="CW330" s="148"/>
      <c r="CX330" s="148"/>
      <c r="CY330" s="148"/>
      <c r="CZ330" s="148"/>
      <c r="DA330" s="148"/>
      <c r="DB330" s="148"/>
      <c r="DC330" s="148"/>
      <c r="DD330" s="148"/>
      <c r="DE330" s="148"/>
      <c r="DF330" s="148"/>
      <c r="DG330" s="148"/>
      <c r="DH330" s="148"/>
      <c r="DI330" s="148"/>
      <c r="DJ330" s="148"/>
      <c r="DK330" s="148"/>
      <c r="DL330" s="148"/>
      <c r="DM330" s="148"/>
      <c r="DN330" s="148"/>
      <c r="DO330" s="148"/>
      <c r="DP330" s="148"/>
      <c r="DQ330" s="148"/>
      <c r="DR330" s="148"/>
      <c r="DS330" s="148"/>
      <c r="DT330" s="148"/>
      <c r="DU330" s="148"/>
      <c r="DV330" s="148"/>
      <c r="DW330" s="148"/>
      <c r="DX330" s="148"/>
      <c r="DY330" s="148"/>
      <c r="DZ330" s="148"/>
      <c r="EA330" s="148"/>
      <c r="EB330" s="148"/>
      <c r="EC330" s="148"/>
      <c r="ED330" s="148"/>
      <c r="EE330" s="148"/>
      <c r="EF330" s="148"/>
      <c r="EG330" s="148"/>
      <c r="EH330" s="148"/>
      <c r="EI330" s="148"/>
      <c r="EJ330" s="148"/>
      <c r="EK330" s="148"/>
      <c r="EL330" s="148"/>
      <c r="EM330" s="148"/>
      <c r="EN330" s="148"/>
      <c r="EO330" s="148"/>
    </row>
    <row r="331" spans="1:145" x14ac:dyDescent="0.2">
      <c r="B331" s="388" t="str">
        <f>B41</f>
        <v>AEP TEXAS</v>
      </c>
      <c r="C331" s="388"/>
      <c r="D331" s="388"/>
      <c r="E331" s="388"/>
      <c r="F331" s="388"/>
      <c r="G331" s="388"/>
      <c r="H331" s="388"/>
      <c r="I331" s="388"/>
      <c r="J331" s="388"/>
      <c r="K331" s="388"/>
      <c r="L331" s="388"/>
      <c r="M331" s="388"/>
      <c r="N331" s="388"/>
      <c r="O331" s="388"/>
      <c r="P331" s="146" t="s">
        <v>1</v>
      </c>
    </row>
    <row r="332" spans="1:145" x14ac:dyDescent="0.2">
      <c r="B332" s="202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146"/>
    </row>
    <row r="333" spans="1:145" x14ac:dyDescent="0.2">
      <c r="B333" s="175"/>
      <c r="C333" s="168"/>
      <c r="D333" s="176"/>
      <c r="E333" s="177"/>
      <c r="F333" s="177"/>
      <c r="G333" s="176"/>
      <c r="H333" s="157"/>
      <c r="I333" s="157"/>
      <c r="J333" s="157"/>
      <c r="K333" s="157"/>
      <c r="L333" s="157"/>
      <c r="M333" s="157"/>
      <c r="N333" s="157"/>
      <c r="O333" s="122"/>
      <c r="P333" s="178"/>
    </row>
    <row r="334" spans="1:145" x14ac:dyDescent="0.2">
      <c r="A334" s="229" t="s">
        <v>20</v>
      </c>
      <c r="B334" s="237" t="s">
        <v>0</v>
      </c>
      <c r="C334" s="237" t="s">
        <v>19</v>
      </c>
      <c r="D334" s="164" t="str">
        <f t="shared" ref="D334:O334" si="71">+D13</f>
        <v>JANUARY</v>
      </c>
      <c r="E334" s="164" t="str">
        <f t="shared" si="71"/>
        <v>FEBRUARY</v>
      </c>
      <c r="F334" s="164" t="str">
        <f t="shared" si="71"/>
        <v>MARCH</v>
      </c>
      <c r="G334" s="164" t="str">
        <f t="shared" si="71"/>
        <v>APRIL</v>
      </c>
      <c r="H334" s="164" t="str">
        <f t="shared" si="71"/>
        <v>MAY</v>
      </c>
      <c r="I334" s="164" t="str">
        <f t="shared" si="71"/>
        <v>JUNE</v>
      </c>
      <c r="J334" s="164" t="str">
        <f t="shared" si="71"/>
        <v>JULY</v>
      </c>
      <c r="K334" s="164" t="str">
        <f t="shared" si="71"/>
        <v>AUGUST</v>
      </c>
      <c r="L334" s="164" t="str">
        <f t="shared" si="71"/>
        <v>SEPTEMBER</v>
      </c>
      <c r="M334" s="164" t="str">
        <f t="shared" si="71"/>
        <v>OCTOBER</v>
      </c>
      <c r="N334" s="164" t="str">
        <f t="shared" si="71"/>
        <v>NOVEMBER</v>
      </c>
      <c r="O334" s="164" t="str">
        <f t="shared" si="71"/>
        <v>DECEMBER</v>
      </c>
      <c r="P334" s="179" t="s">
        <v>14</v>
      </c>
    </row>
    <row r="335" spans="1:145" x14ac:dyDescent="0.2">
      <c r="B335" s="237"/>
      <c r="C335" s="237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79"/>
      <c r="P335" s="179"/>
    </row>
    <row r="336" spans="1:145" s="62" customFormat="1" x14ac:dyDescent="0.2">
      <c r="A336" s="74" t="s">
        <v>21</v>
      </c>
      <c r="B336" s="129" t="s">
        <v>29</v>
      </c>
      <c r="C336" s="143" t="s">
        <v>16</v>
      </c>
      <c r="D336" s="194">
        <f>-Riders!D182</f>
        <v>-4127519.68</v>
      </c>
      <c r="E336" s="194">
        <f>-Riders!E182</f>
        <v>-3065117.78</v>
      </c>
      <c r="F336" s="194">
        <f>-Riders!F182</f>
        <v>-2443422.02</v>
      </c>
      <c r="G336" s="194">
        <f>-Riders!G182</f>
        <v>-2541181.66</v>
      </c>
      <c r="H336" s="194">
        <f>-Riders!H182</f>
        <v>-2822076.98</v>
      </c>
      <c r="I336" s="194">
        <f>-Riders!I182</f>
        <v>-4322275.7799999993</v>
      </c>
      <c r="J336" s="194">
        <f>-Riders!J182</f>
        <v>-4542048.93</v>
      </c>
      <c r="K336" s="194">
        <f>-Riders!K182</f>
        <v>-4596806.3899999997</v>
      </c>
      <c r="L336" s="194">
        <f>-Riders!L182</f>
        <v>-3341073.1500000004</v>
      </c>
      <c r="M336" s="194">
        <f>-Riders!M182</f>
        <v>-2382174.2599999998</v>
      </c>
      <c r="N336" s="194">
        <f>-Riders!N182</f>
        <v>-1828696.6500000001</v>
      </c>
      <c r="O336" s="194">
        <f>-Riders!O182</f>
        <v>-2108525.0099999998</v>
      </c>
      <c r="P336" s="149">
        <f>SUM(D336:O336)</f>
        <v>-38120918.289999992</v>
      </c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  <c r="BE336" s="65"/>
      <c r="BF336" s="65"/>
      <c r="BG336" s="65"/>
      <c r="BH336" s="65"/>
      <c r="BI336" s="65"/>
      <c r="BJ336" s="65"/>
      <c r="BK336" s="65"/>
      <c r="BL336" s="65"/>
      <c r="BM336" s="65"/>
      <c r="BN336" s="65"/>
      <c r="BO336" s="65"/>
      <c r="BP336" s="65"/>
      <c r="BQ336" s="65"/>
      <c r="BR336" s="65"/>
      <c r="BS336" s="65"/>
      <c r="BT336" s="65"/>
      <c r="BU336" s="65"/>
      <c r="BV336" s="65"/>
      <c r="BW336" s="65"/>
      <c r="BX336" s="65"/>
      <c r="BY336" s="65"/>
      <c r="BZ336" s="65"/>
      <c r="CA336" s="65"/>
      <c r="CB336" s="65"/>
      <c r="CC336" s="65"/>
      <c r="CD336" s="65"/>
      <c r="CE336" s="65"/>
      <c r="CF336" s="65"/>
      <c r="CG336" s="65"/>
      <c r="CH336" s="65"/>
      <c r="CI336" s="65"/>
      <c r="CJ336" s="65"/>
      <c r="CK336" s="65"/>
      <c r="CL336" s="65"/>
      <c r="CM336" s="65"/>
      <c r="CN336" s="65"/>
      <c r="CO336" s="65"/>
      <c r="CP336" s="65"/>
      <c r="CQ336" s="65"/>
      <c r="CR336" s="65"/>
      <c r="CS336" s="65"/>
      <c r="CT336" s="65"/>
      <c r="CU336" s="65"/>
      <c r="CV336" s="65"/>
      <c r="CW336" s="65"/>
      <c r="CX336" s="65"/>
      <c r="CY336" s="65"/>
      <c r="CZ336" s="65"/>
      <c r="DA336" s="65"/>
      <c r="DB336" s="65"/>
      <c r="DC336" s="65"/>
      <c r="DD336" s="65"/>
      <c r="DE336" s="65"/>
      <c r="DF336" s="65"/>
      <c r="DG336" s="65"/>
      <c r="DH336" s="65"/>
      <c r="DI336" s="65"/>
      <c r="DJ336" s="65"/>
      <c r="DK336" s="65"/>
      <c r="DL336" s="65"/>
      <c r="DM336" s="65"/>
      <c r="DN336" s="65"/>
      <c r="DO336" s="65"/>
      <c r="DP336" s="65"/>
      <c r="DQ336" s="65"/>
      <c r="DR336" s="65"/>
      <c r="DS336" s="65"/>
      <c r="DT336" s="65"/>
      <c r="DU336" s="65"/>
      <c r="DV336" s="65"/>
      <c r="DW336" s="65"/>
      <c r="DX336" s="65"/>
      <c r="DY336" s="65"/>
      <c r="DZ336" s="65"/>
      <c r="EA336" s="65"/>
      <c r="EB336" s="65"/>
      <c r="EC336" s="65"/>
      <c r="ED336" s="65"/>
      <c r="EE336" s="65"/>
      <c r="EF336" s="65"/>
      <c r="EG336" s="65"/>
      <c r="EH336" s="65"/>
      <c r="EI336" s="65"/>
      <c r="EJ336" s="65"/>
      <c r="EK336" s="65"/>
      <c r="EL336" s="65"/>
      <c r="EM336" s="65"/>
      <c r="EN336" s="65"/>
      <c r="EO336" s="65"/>
    </row>
    <row r="337" spans="1:145" s="62" customFormat="1" x14ac:dyDescent="0.2">
      <c r="B337" s="129"/>
      <c r="C337" s="143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56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  <c r="BE337" s="65"/>
      <c r="BF337" s="65"/>
      <c r="BG337" s="65"/>
      <c r="BH337" s="65"/>
      <c r="BI337" s="65"/>
      <c r="BJ337" s="65"/>
      <c r="BK337" s="65"/>
      <c r="BL337" s="65"/>
      <c r="BM337" s="65"/>
      <c r="BN337" s="65"/>
      <c r="BO337" s="65"/>
      <c r="BP337" s="65"/>
      <c r="BQ337" s="65"/>
      <c r="BR337" s="65"/>
      <c r="BS337" s="65"/>
      <c r="BT337" s="65"/>
      <c r="BU337" s="65"/>
      <c r="BV337" s="65"/>
      <c r="BW337" s="65"/>
      <c r="BX337" s="65"/>
      <c r="BY337" s="65"/>
      <c r="BZ337" s="65"/>
      <c r="CA337" s="65"/>
      <c r="CB337" s="65"/>
      <c r="CC337" s="65"/>
      <c r="CD337" s="65"/>
      <c r="CE337" s="65"/>
      <c r="CF337" s="65"/>
      <c r="CG337" s="65"/>
      <c r="CH337" s="65"/>
      <c r="CI337" s="65"/>
      <c r="CJ337" s="65"/>
      <c r="CK337" s="65"/>
      <c r="CL337" s="65"/>
      <c r="CM337" s="65"/>
      <c r="CN337" s="65"/>
      <c r="CO337" s="65"/>
      <c r="CP337" s="65"/>
      <c r="CQ337" s="65"/>
      <c r="CR337" s="65"/>
      <c r="CS337" s="65"/>
      <c r="CT337" s="65"/>
      <c r="CU337" s="65"/>
      <c r="CV337" s="65"/>
      <c r="CW337" s="65"/>
      <c r="CX337" s="65"/>
      <c r="CY337" s="65"/>
      <c r="CZ337" s="65"/>
      <c r="DA337" s="65"/>
      <c r="DB337" s="65"/>
      <c r="DC337" s="65"/>
      <c r="DD337" s="65"/>
      <c r="DE337" s="65"/>
      <c r="DF337" s="65"/>
      <c r="DG337" s="65"/>
      <c r="DH337" s="65"/>
      <c r="DI337" s="65"/>
      <c r="DJ337" s="65"/>
      <c r="DK337" s="65"/>
      <c r="DL337" s="65"/>
      <c r="DM337" s="65"/>
      <c r="DN337" s="65"/>
      <c r="DO337" s="65"/>
      <c r="DP337" s="65"/>
      <c r="DQ337" s="65"/>
      <c r="DR337" s="65"/>
      <c r="DS337" s="65"/>
      <c r="DT337" s="65"/>
      <c r="DU337" s="65"/>
      <c r="DV337" s="65"/>
      <c r="DW337" s="65"/>
      <c r="DX337" s="65"/>
      <c r="DY337" s="65"/>
      <c r="DZ337" s="65"/>
      <c r="EA337" s="65"/>
      <c r="EB337" s="65"/>
      <c r="EC337" s="65"/>
      <c r="ED337" s="65"/>
      <c r="EE337" s="65"/>
      <c r="EF337" s="65"/>
      <c r="EG337" s="65"/>
      <c r="EH337" s="65"/>
      <c r="EI337" s="65"/>
      <c r="EJ337" s="65"/>
      <c r="EK337" s="65"/>
      <c r="EL337" s="65"/>
      <c r="EM337" s="65"/>
      <c r="EN337" s="65"/>
      <c r="EO337" s="65"/>
    </row>
    <row r="338" spans="1:145" s="62" customFormat="1" x14ac:dyDescent="0.2">
      <c r="A338" s="74">
        <v>2</v>
      </c>
      <c r="B338" s="129" t="s">
        <v>32</v>
      </c>
      <c r="C338" s="143" t="s">
        <v>16</v>
      </c>
      <c r="D338" s="194">
        <f>-Riders!D184</f>
        <v>-502601.76</v>
      </c>
      <c r="E338" s="194">
        <f>-Riders!E184</f>
        <v>-423065.33999999997</v>
      </c>
      <c r="F338" s="194">
        <f>-Riders!F184</f>
        <v>-396553.18</v>
      </c>
      <c r="G338" s="194">
        <f>-Riders!G184</f>
        <v>-412168.56</v>
      </c>
      <c r="H338" s="194">
        <f>-Riders!H184</f>
        <v>-419595.93000000005</v>
      </c>
      <c r="I338" s="194">
        <f>-Riders!I184</f>
        <v>-513889.87</v>
      </c>
      <c r="J338" s="194">
        <f>-Riders!J184</f>
        <v>-528470.16999999993</v>
      </c>
      <c r="K338" s="194">
        <f>-Riders!K184</f>
        <v>-530566.11</v>
      </c>
      <c r="L338" s="194">
        <f>-Riders!L184</f>
        <v>-409451.91</v>
      </c>
      <c r="M338" s="194">
        <f>-Riders!M184</f>
        <v>-332960.20999999996</v>
      </c>
      <c r="N338" s="194">
        <f>-Riders!N184</f>
        <v>-294138.07</v>
      </c>
      <c r="O338" s="194">
        <f>-Riders!O184</f>
        <v>-314048.90000000002</v>
      </c>
      <c r="P338" s="122">
        <f>SUM(D338:O338)</f>
        <v>-5077510.0100000007</v>
      </c>
      <c r="Q338" s="208"/>
      <c r="R338" s="209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  <c r="BE338" s="65"/>
      <c r="BF338" s="65"/>
      <c r="BG338" s="65"/>
      <c r="BH338" s="65"/>
      <c r="BI338" s="65"/>
      <c r="BJ338" s="65"/>
      <c r="BK338" s="65"/>
      <c r="BL338" s="65"/>
      <c r="BM338" s="65"/>
      <c r="BN338" s="65"/>
      <c r="BO338" s="65"/>
      <c r="BP338" s="65"/>
      <c r="BQ338" s="65"/>
      <c r="BR338" s="65"/>
      <c r="BS338" s="65"/>
      <c r="BT338" s="65"/>
      <c r="BU338" s="65"/>
      <c r="BV338" s="65"/>
      <c r="BW338" s="65"/>
      <c r="BX338" s="65"/>
      <c r="BY338" s="65"/>
      <c r="BZ338" s="65"/>
      <c r="CA338" s="65"/>
      <c r="CB338" s="65"/>
      <c r="CC338" s="65"/>
      <c r="CD338" s="65"/>
      <c r="CE338" s="65"/>
      <c r="CF338" s="65"/>
      <c r="CG338" s="65"/>
      <c r="CH338" s="65"/>
      <c r="CI338" s="65"/>
      <c r="CJ338" s="65"/>
      <c r="CK338" s="65"/>
      <c r="CL338" s="65"/>
      <c r="CM338" s="65"/>
      <c r="CN338" s="65"/>
      <c r="CO338" s="65"/>
      <c r="CP338" s="65"/>
      <c r="CQ338" s="65"/>
      <c r="CR338" s="65"/>
      <c r="CS338" s="65"/>
      <c r="CT338" s="65"/>
      <c r="CU338" s="65"/>
      <c r="CV338" s="65"/>
      <c r="CW338" s="65"/>
      <c r="CX338" s="65"/>
      <c r="CY338" s="65"/>
      <c r="CZ338" s="65"/>
      <c r="DA338" s="65"/>
      <c r="DB338" s="65"/>
      <c r="DC338" s="65"/>
      <c r="DD338" s="65"/>
      <c r="DE338" s="65"/>
      <c r="DF338" s="65"/>
      <c r="DG338" s="65"/>
      <c r="DH338" s="65"/>
      <c r="DI338" s="65"/>
      <c r="DJ338" s="65"/>
      <c r="DK338" s="65"/>
      <c r="DL338" s="65"/>
      <c r="DM338" s="65"/>
      <c r="DN338" s="65"/>
      <c r="DO338" s="65"/>
      <c r="DP338" s="65"/>
      <c r="DQ338" s="65"/>
      <c r="DR338" s="65"/>
      <c r="DS338" s="65"/>
      <c r="DT338" s="65"/>
      <c r="DU338" s="65"/>
      <c r="DV338" s="65"/>
      <c r="DW338" s="65"/>
      <c r="DX338" s="65"/>
      <c r="DY338" s="65"/>
      <c r="DZ338" s="65"/>
      <c r="EA338" s="65"/>
      <c r="EB338" s="65"/>
      <c r="EC338" s="65"/>
      <c r="ED338" s="65"/>
      <c r="EE338" s="65"/>
      <c r="EF338" s="65"/>
      <c r="EG338" s="65"/>
      <c r="EH338" s="65"/>
      <c r="EI338" s="65"/>
      <c r="EJ338" s="65"/>
      <c r="EK338" s="65"/>
      <c r="EL338" s="65"/>
      <c r="EM338" s="65"/>
      <c r="EN338" s="65"/>
      <c r="EO338" s="65"/>
    </row>
    <row r="339" spans="1:145" s="62" customFormat="1" x14ac:dyDescent="0.2">
      <c r="A339" s="74"/>
      <c r="B339" s="129"/>
      <c r="C339" s="143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22"/>
      <c r="Q339" s="208"/>
      <c r="R339" s="209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  <c r="BE339" s="65"/>
      <c r="BF339" s="65"/>
      <c r="BG339" s="65"/>
      <c r="BH339" s="65"/>
      <c r="BI339" s="65"/>
      <c r="BJ339" s="65"/>
      <c r="BK339" s="65"/>
      <c r="BL339" s="65"/>
      <c r="BM339" s="65"/>
      <c r="BN339" s="65"/>
      <c r="BO339" s="65"/>
      <c r="BP339" s="65"/>
      <c r="BQ339" s="65"/>
      <c r="BR339" s="65"/>
      <c r="BS339" s="65"/>
      <c r="BT339" s="65"/>
      <c r="BU339" s="65"/>
      <c r="BV339" s="65"/>
      <c r="BW339" s="65"/>
      <c r="BX339" s="65"/>
      <c r="BY339" s="65"/>
      <c r="BZ339" s="65"/>
      <c r="CA339" s="65"/>
      <c r="CB339" s="65"/>
      <c r="CC339" s="65"/>
      <c r="CD339" s="65"/>
      <c r="CE339" s="65"/>
      <c r="CF339" s="65"/>
      <c r="CG339" s="65"/>
      <c r="CH339" s="65"/>
      <c r="CI339" s="65"/>
      <c r="CJ339" s="65"/>
      <c r="CK339" s="65"/>
      <c r="CL339" s="65"/>
      <c r="CM339" s="65"/>
      <c r="CN339" s="65"/>
      <c r="CO339" s="65"/>
      <c r="CP339" s="65"/>
      <c r="CQ339" s="65"/>
      <c r="CR339" s="65"/>
      <c r="CS339" s="65"/>
      <c r="CT339" s="65"/>
      <c r="CU339" s="65"/>
      <c r="CV339" s="65"/>
      <c r="CW339" s="65"/>
      <c r="CX339" s="65"/>
      <c r="CY339" s="65"/>
      <c r="CZ339" s="65"/>
      <c r="DA339" s="65"/>
      <c r="DB339" s="65"/>
      <c r="DC339" s="65"/>
      <c r="DD339" s="65"/>
      <c r="DE339" s="65"/>
      <c r="DF339" s="65"/>
      <c r="DG339" s="65"/>
      <c r="DH339" s="65"/>
      <c r="DI339" s="65"/>
      <c r="DJ339" s="65"/>
      <c r="DK339" s="65"/>
      <c r="DL339" s="65"/>
      <c r="DM339" s="65"/>
      <c r="DN339" s="65"/>
      <c r="DO339" s="65"/>
      <c r="DP339" s="65"/>
      <c r="DQ339" s="65"/>
      <c r="DR339" s="65"/>
      <c r="DS339" s="65"/>
      <c r="DT339" s="65"/>
      <c r="DU339" s="65"/>
      <c r="DV339" s="65"/>
      <c r="DW339" s="65"/>
      <c r="DX339" s="65"/>
      <c r="DY339" s="65"/>
      <c r="DZ339" s="65"/>
      <c r="EA339" s="65"/>
      <c r="EB339" s="65"/>
      <c r="EC339" s="65"/>
      <c r="ED339" s="65"/>
      <c r="EE339" s="65"/>
      <c r="EF339" s="65"/>
      <c r="EG339" s="65"/>
      <c r="EH339" s="65"/>
      <c r="EI339" s="65"/>
      <c r="EJ339" s="65"/>
      <c r="EK339" s="65"/>
      <c r="EL339" s="65"/>
      <c r="EM339" s="65"/>
      <c r="EN339" s="65"/>
      <c r="EO339" s="65"/>
    </row>
    <row r="340" spans="1:145" s="62" customFormat="1" x14ac:dyDescent="0.2">
      <c r="A340" s="74">
        <v>3</v>
      </c>
      <c r="B340" s="146" t="s">
        <v>113</v>
      </c>
      <c r="C340" s="125" t="s">
        <v>16</v>
      </c>
      <c r="D340" s="194">
        <f>-Riders!D186</f>
        <v>-2004190.75</v>
      </c>
      <c r="E340" s="194">
        <f>-Riders!E186</f>
        <v>-1989961.92</v>
      </c>
      <c r="F340" s="194">
        <f>-Riders!F186</f>
        <v>-1937649.66</v>
      </c>
      <c r="G340" s="194">
        <f>-Riders!G186</f>
        <v>-1929150.3</v>
      </c>
      <c r="H340" s="194">
        <f>-Riders!H186</f>
        <v>-1950806.84</v>
      </c>
      <c r="I340" s="194">
        <f>-Riders!I186</f>
        <v>-2016166.32</v>
      </c>
      <c r="J340" s="194">
        <f>-Riders!J186</f>
        <v>-2016236.87</v>
      </c>
      <c r="K340" s="194">
        <f>-Riders!K186</f>
        <v>-2031973.78</v>
      </c>
      <c r="L340" s="194">
        <f>-Riders!L186</f>
        <v>-1531441.41</v>
      </c>
      <c r="M340" s="194">
        <f>-Riders!M186</f>
        <v>-1378594.5499999998</v>
      </c>
      <c r="N340" s="194">
        <f>-Riders!N186</f>
        <v>-1362115.83</v>
      </c>
      <c r="O340" s="194">
        <f>-Riders!O186</f>
        <v>-1366027.71</v>
      </c>
      <c r="P340" s="156">
        <f>SUM(D340:O340)</f>
        <v>-21514315.939999998</v>
      </c>
      <c r="Q340" s="146"/>
      <c r="R340" s="214"/>
      <c r="S340" s="117"/>
      <c r="T340" s="117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  <c r="BE340" s="65"/>
      <c r="BF340" s="65"/>
      <c r="BG340" s="65"/>
      <c r="BH340" s="65"/>
      <c r="BI340" s="65"/>
      <c r="BJ340" s="65"/>
      <c r="BK340" s="65"/>
      <c r="BL340" s="65"/>
      <c r="BM340" s="65"/>
      <c r="BN340" s="65"/>
      <c r="BO340" s="65"/>
      <c r="BP340" s="65"/>
      <c r="BQ340" s="65"/>
      <c r="BR340" s="65"/>
      <c r="BS340" s="65"/>
      <c r="BT340" s="65"/>
      <c r="BU340" s="65"/>
      <c r="BV340" s="65"/>
      <c r="BW340" s="65"/>
      <c r="BX340" s="65"/>
      <c r="BY340" s="65"/>
      <c r="BZ340" s="65"/>
      <c r="CA340" s="65"/>
      <c r="CB340" s="65"/>
      <c r="CC340" s="65"/>
      <c r="CD340" s="65"/>
      <c r="CE340" s="65"/>
      <c r="CF340" s="65"/>
      <c r="CG340" s="65"/>
      <c r="CH340" s="65"/>
      <c r="CI340" s="65"/>
      <c r="CJ340" s="65"/>
      <c r="CK340" s="65"/>
      <c r="CL340" s="65"/>
      <c r="CM340" s="65"/>
      <c r="CN340" s="65"/>
      <c r="CO340" s="65"/>
      <c r="CP340" s="65"/>
      <c r="CQ340" s="65"/>
      <c r="CR340" s="65"/>
      <c r="CS340" s="65"/>
      <c r="CT340" s="65"/>
      <c r="CU340" s="65"/>
      <c r="CV340" s="65"/>
      <c r="CW340" s="65"/>
      <c r="CX340" s="65"/>
      <c r="CY340" s="65"/>
      <c r="CZ340" s="65"/>
      <c r="DA340" s="65"/>
      <c r="DB340" s="65"/>
      <c r="DC340" s="65"/>
      <c r="DD340" s="65"/>
      <c r="DE340" s="65"/>
      <c r="DF340" s="65"/>
      <c r="DG340" s="65"/>
      <c r="DH340" s="65"/>
      <c r="DI340" s="65"/>
      <c r="DJ340" s="65"/>
      <c r="DK340" s="65"/>
      <c r="DL340" s="65"/>
      <c r="DM340" s="65"/>
      <c r="DN340" s="65"/>
      <c r="DO340" s="65"/>
      <c r="DP340" s="65"/>
      <c r="DQ340" s="65"/>
      <c r="DR340" s="65"/>
      <c r="DS340" s="65"/>
      <c r="DT340" s="65"/>
      <c r="DU340" s="65"/>
      <c r="DV340" s="65"/>
      <c r="DW340" s="65"/>
      <c r="DX340" s="65"/>
      <c r="DY340" s="65"/>
      <c r="DZ340" s="65"/>
      <c r="EA340" s="65"/>
      <c r="EB340" s="65"/>
      <c r="EC340" s="65"/>
      <c r="ED340" s="65"/>
      <c r="EE340" s="65"/>
      <c r="EF340" s="65"/>
      <c r="EG340" s="65"/>
      <c r="EH340" s="65"/>
      <c r="EI340" s="65"/>
      <c r="EJ340" s="65"/>
      <c r="EK340" s="65"/>
      <c r="EL340" s="65"/>
      <c r="EM340" s="65"/>
      <c r="EN340" s="65"/>
      <c r="EO340" s="65"/>
    </row>
    <row r="341" spans="1:145" s="62" customFormat="1" x14ac:dyDescent="0.2">
      <c r="A341" s="74">
        <v>4</v>
      </c>
      <c r="B341" s="146" t="s">
        <v>114</v>
      </c>
      <c r="C341" s="125" t="s">
        <v>16</v>
      </c>
      <c r="D341" s="247">
        <f>-Riders!D187</f>
        <v>-218038.51</v>
      </c>
      <c r="E341" s="247">
        <f>-Riders!E187</f>
        <v>-210277.25</v>
      </c>
      <c r="F341" s="247">
        <f>-Riders!F187</f>
        <v>-204283.08000000002</v>
      </c>
      <c r="G341" s="247">
        <f>-Riders!G187</f>
        <v>-197472.21000000002</v>
      </c>
      <c r="H341" s="247">
        <f>-Riders!H187</f>
        <v>-196508.88</v>
      </c>
      <c r="I341" s="247">
        <f>-Riders!I187</f>
        <v>-192391.61</v>
      </c>
      <c r="J341" s="247">
        <f>-Riders!J187</f>
        <v>-206192.45</v>
      </c>
      <c r="K341" s="247">
        <f>-Riders!K187</f>
        <v>-211116.77000000002</v>
      </c>
      <c r="L341" s="247">
        <f>-Riders!L187</f>
        <v>-171741.29</v>
      </c>
      <c r="M341" s="247">
        <f>-Riders!M187</f>
        <v>-155722.29</v>
      </c>
      <c r="N341" s="247">
        <f>-Riders!N187</f>
        <v>-156466.25</v>
      </c>
      <c r="O341" s="247">
        <f>-Riders!O187</f>
        <v>-156116.57</v>
      </c>
      <c r="P341" s="123">
        <f>SUM(D341:O341)</f>
        <v>-2276327.1599999997</v>
      </c>
      <c r="Q341" s="146"/>
      <c r="R341" s="214"/>
      <c r="S341" s="117"/>
      <c r="T341" s="117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  <c r="BE341" s="65"/>
      <c r="BF341" s="65"/>
      <c r="BG341" s="65"/>
      <c r="BH341" s="65"/>
      <c r="BI341" s="65"/>
      <c r="BJ341" s="65"/>
      <c r="BK341" s="65"/>
      <c r="BL341" s="65"/>
      <c r="BM341" s="65"/>
      <c r="BN341" s="65"/>
      <c r="BO341" s="65"/>
      <c r="BP341" s="65"/>
      <c r="BQ341" s="65"/>
      <c r="BR341" s="65"/>
      <c r="BS341" s="65"/>
      <c r="BT341" s="65"/>
      <c r="BU341" s="65"/>
      <c r="BV341" s="65"/>
      <c r="BW341" s="65"/>
      <c r="BX341" s="65"/>
      <c r="BY341" s="65"/>
      <c r="BZ341" s="65"/>
      <c r="CA341" s="65"/>
      <c r="CB341" s="65"/>
      <c r="CC341" s="65"/>
      <c r="CD341" s="65"/>
      <c r="CE341" s="65"/>
      <c r="CF341" s="65"/>
      <c r="CG341" s="65"/>
      <c r="CH341" s="65"/>
      <c r="CI341" s="65"/>
      <c r="CJ341" s="65"/>
      <c r="CK341" s="65"/>
      <c r="CL341" s="65"/>
      <c r="CM341" s="65"/>
      <c r="CN341" s="65"/>
      <c r="CO341" s="65"/>
      <c r="CP341" s="65"/>
      <c r="CQ341" s="65"/>
      <c r="CR341" s="65"/>
      <c r="CS341" s="65"/>
      <c r="CT341" s="65"/>
      <c r="CU341" s="65"/>
      <c r="CV341" s="65"/>
      <c r="CW341" s="65"/>
      <c r="CX341" s="65"/>
      <c r="CY341" s="65"/>
      <c r="CZ341" s="65"/>
      <c r="DA341" s="65"/>
      <c r="DB341" s="65"/>
      <c r="DC341" s="65"/>
      <c r="DD341" s="65"/>
      <c r="DE341" s="65"/>
      <c r="DF341" s="65"/>
      <c r="DG341" s="65"/>
      <c r="DH341" s="65"/>
      <c r="DI341" s="65"/>
      <c r="DJ341" s="65"/>
      <c r="DK341" s="65"/>
      <c r="DL341" s="65"/>
      <c r="DM341" s="65"/>
      <c r="DN341" s="65"/>
      <c r="DO341" s="65"/>
      <c r="DP341" s="65"/>
      <c r="DQ341" s="65"/>
      <c r="DR341" s="65"/>
      <c r="DS341" s="65"/>
      <c r="DT341" s="65"/>
      <c r="DU341" s="65"/>
      <c r="DV341" s="65"/>
      <c r="DW341" s="65"/>
      <c r="DX341" s="65"/>
      <c r="DY341" s="65"/>
      <c r="DZ341" s="65"/>
      <c r="EA341" s="65"/>
      <c r="EB341" s="65"/>
      <c r="EC341" s="65"/>
      <c r="ED341" s="65"/>
      <c r="EE341" s="65"/>
      <c r="EF341" s="65"/>
      <c r="EG341" s="65"/>
      <c r="EH341" s="65"/>
      <c r="EI341" s="65"/>
      <c r="EJ341" s="65"/>
      <c r="EK341" s="65"/>
      <c r="EL341" s="65"/>
      <c r="EM341" s="65"/>
      <c r="EN341" s="65"/>
      <c r="EO341" s="65"/>
    </row>
    <row r="342" spans="1:145" s="62" customFormat="1" x14ac:dyDescent="0.2">
      <c r="A342" s="74">
        <v>5</v>
      </c>
      <c r="B342" s="162" t="s">
        <v>30</v>
      </c>
      <c r="C342" s="143"/>
      <c r="D342" s="157">
        <f t="shared" ref="D342:P342" si="72">SUM(D340:D341)</f>
        <v>-2222229.2599999998</v>
      </c>
      <c r="E342" s="157">
        <f t="shared" ref="E342:O342" si="73">SUM(E340:E341)</f>
        <v>-2200239.17</v>
      </c>
      <c r="F342" s="157">
        <f t="shared" si="73"/>
        <v>-2141932.7399999998</v>
      </c>
      <c r="G342" s="157">
        <f t="shared" si="73"/>
        <v>-2126622.5100000002</v>
      </c>
      <c r="H342" s="157">
        <f t="shared" si="73"/>
        <v>-2147315.7200000002</v>
      </c>
      <c r="I342" s="157">
        <f t="shared" si="73"/>
        <v>-2208557.9300000002</v>
      </c>
      <c r="J342" s="157">
        <f t="shared" si="73"/>
        <v>-2222429.3200000003</v>
      </c>
      <c r="K342" s="157">
        <f t="shared" si="73"/>
        <v>-2243090.5499999998</v>
      </c>
      <c r="L342" s="157">
        <f t="shared" si="73"/>
        <v>-1703182.7</v>
      </c>
      <c r="M342" s="157">
        <f t="shared" si="73"/>
        <v>-1534316.8399999999</v>
      </c>
      <c r="N342" s="157">
        <f t="shared" si="73"/>
        <v>-1518582.08</v>
      </c>
      <c r="O342" s="157">
        <f t="shared" si="73"/>
        <v>-1522144.28</v>
      </c>
      <c r="P342" s="157">
        <f t="shared" si="72"/>
        <v>-23790643.099999998</v>
      </c>
      <c r="Q342" s="215"/>
      <c r="R342" s="214"/>
      <c r="S342" s="117"/>
      <c r="T342" s="117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  <c r="BE342" s="65"/>
      <c r="BF342" s="65"/>
      <c r="BG342" s="65"/>
      <c r="BH342" s="65"/>
      <c r="BI342" s="65"/>
      <c r="BJ342" s="65"/>
      <c r="BK342" s="65"/>
      <c r="BL342" s="65"/>
      <c r="BM342" s="65"/>
      <c r="BN342" s="65"/>
      <c r="BO342" s="65"/>
      <c r="BP342" s="65"/>
      <c r="BQ342" s="65"/>
      <c r="BR342" s="65"/>
      <c r="BS342" s="65"/>
      <c r="BT342" s="65"/>
      <c r="BU342" s="65"/>
      <c r="BV342" s="65"/>
      <c r="BW342" s="65"/>
      <c r="BX342" s="65"/>
      <c r="BY342" s="65"/>
      <c r="BZ342" s="65"/>
      <c r="CA342" s="65"/>
      <c r="CB342" s="65"/>
      <c r="CC342" s="65"/>
      <c r="CD342" s="65"/>
      <c r="CE342" s="65"/>
      <c r="CF342" s="65"/>
      <c r="CG342" s="65"/>
      <c r="CH342" s="65"/>
      <c r="CI342" s="65"/>
      <c r="CJ342" s="65"/>
      <c r="CK342" s="65"/>
      <c r="CL342" s="65"/>
      <c r="CM342" s="65"/>
      <c r="CN342" s="65"/>
      <c r="CO342" s="65"/>
      <c r="CP342" s="65"/>
      <c r="CQ342" s="65"/>
      <c r="CR342" s="65"/>
      <c r="CS342" s="65"/>
      <c r="CT342" s="65"/>
      <c r="CU342" s="65"/>
      <c r="CV342" s="65"/>
      <c r="CW342" s="65"/>
      <c r="CX342" s="65"/>
      <c r="CY342" s="65"/>
      <c r="CZ342" s="65"/>
      <c r="DA342" s="65"/>
      <c r="DB342" s="65"/>
      <c r="DC342" s="65"/>
      <c r="DD342" s="65"/>
      <c r="DE342" s="65"/>
      <c r="DF342" s="65"/>
      <c r="DG342" s="65"/>
      <c r="DH342" s="65"/>
      <c r="DI342" s="65"/>
      <c r="DJ342" s="65"/>
      <c r="DK342" s="65"/>
      <c r="DL342" s="65"/>
      <c r="DM342" s="65"/>
      <c r="DN342" s="65"/>
      <c r="DO342" s="65"/>
      <c r="DP342" s="65"/>
      <c r="DQ342" s="65"/>
      <c r="DR342" s="65"/>
      <c r="DS342" s="65"/>
      <c r="DT342" s="65"/>
      <c r="DU342" s="65"/>
      <c r="DV342" s="65"/>
      <c r="DW342" s="65"/>
      <c r="DX342" s="65"/>
      <c r="DY342" s="65"/>
      <c r="DZ342" s="65"/>
      <c r="EA342" s="65"/>
      <c r="EB342" s="65"/>
      <c r="EC342" s="65"/>
      <c r="ED342" s="65"/>
      <c r="EE342" s="65"/>
      <c r="EF342" s="65"/>
      <c r="EG342" s="65"/>
      <c r="EH342" s="65"/>
      <c r="EI342" s="65"/>
      <c r="EJ342" s="65"/>
      <c r="EK342" s="65"/>
      <c r="EL342" s="65"/>
      <c r="EM342" s="65"/>
      <c r="EN342" s="65"/>
      <c r="EO342" s="65"/>
    </row>
    <row r="343" spans="1:145" s="62" customFormat="1" x14ac:dyDescent="0.2">
      <c r="B343" s="242"/>
      <c r="C343" s="143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22"/>
      <c r="Q343" s="215"/>
      <c r="R343" s="214"/>
      <c r="S343" s="117"/>
      <c r="T343" s="117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  <c r="BE343" s="65"/>
      <c r="BF343" s="65"/>
      <c r="BG343" s="65"/>
      <c r="BH343" s="65"/>
      <c r="BI343" s="65"/>
      <c r="BJ343" s="65"/>
      <c r="BK343" s="65"/>
      <c r="BL343" s="65"/>
      <c r="BM343" s="65"/>
      <c r="BN343" s="65"/>
      <c r="BO343" s="65"/>
      <c r="BP343" s="65"/>
      <c r="BQ343" s="65"/>
      <c r="BR343" s="65"/>
      <c r="BS343" s="65"/>
      <c r="BT343" s="65"/>
      <c r="BU343" s="65"/>
      <c r="BV343" s="65"/>
      <c r="BW343" s="65"/>
      <c r="BX343" s="65"/>
      <c r="BY343" s="65"/>
      <c r="BZ343" s="65"/>
      <c r="CA343" s="65"/>
      <c r="CB343" s="65"/>
      <c r="CC343" s="65"/>
      <c r="CD343" s="65"/>
      <c r="CE343" s="65"/>
      <c r="CF343" s="65"/>
      <c r="CG343" s="65"/>
      <c r="CH343" s="65"/>
      <c r="CI343" s="65"/>
      <c r="CJ343" s="65"/>
      <c r="CK343" s="65"/>
      <c r="CL343" s="65"/>
      <c r="CM343" s="65"/>
      <c r="CN343" s="65"/>
      <c r="CO343" s="65"/>
      <c r="CP343" s="65"/>
      <c r="CQ343" s="65"/>
      <c r="CR343" s="65"/>
      <c r="CS343" s="65"/>
      <c r="CT343" s="65"/>
      <c r="CU343" s="65"/>
      <c r="CV343" s="65"/>
      <c r="CW343" s="65"/>
      <c r="CX343" s="65"/>
      <c r="CY343" s="65"/>
      <c r="CZ343" s="65"/>
      <c r="DA343" s="65"/>
      <c r="DB343" s="65"/>
      <c r="DC343" s="65"/>
      <c r="DD343" s="65"/>
      <c r="DE343" s="65"/>
      <c r="DF343" s="65"/>
      <c r="DG343" s="65"/>
      <c r="DH343" s="65"/>
      <c r="DI343" s="65"/>
      <c r="DJ343" s="65"/>
      <c r="DK343" s="65"/>
      <c r="DL343" s="65"/>
      <c r="DM343" s="65"/>
      <c r="DN343" s="65"/>
      <c r="DO343" s="65"/>
      <c r="DP343" s="65"/>
      <c r="DQ343" s="65"/>
      <c r="DR343" s="65"/>
      <c r="DS343" s="65"/>
      <c r="DT343" s="65"/>
      <c r="DU343" s="65"/>
      <c r="DV343" s="65"/>
      <c r="DW343" s="65"/>
      <c r="DX343" s="65"/>
      <c r="DY343" s="65"/>
      <c r="DZ343" s="65"/>
      <c r="EA343" s="65"/>
      <c r="EB343" s="65"/>
      <c r="EC343" s="65"/>
      <c r="ED343" s="65"/>
      <c r="EE343" s="65"/>
      <c r="EF343" s="65"/>
      <c r="EG343" s="65"/>
      <c r="EH343" s="65"/>
      <c r="EI343" s="65"/>
      <c r="EJ343" s="65"/>
      <c r="EK343" s="65"/>
      <c r="EL343" s="65"/>
      <c r="EM343" s="65"/>
      <c r="EN343" s="65"/>
      <c r="EO343" s="65"/>
    </row>
    <row r="344" spans="1:145" s="62" customFormat="1" x14ac:dyDescent="0.2">
      <c r="A344" s="74">
        <v>6</v>
      </c>
      <c r="B344" s="146" t="s">
        <v>110</v>
      </c>
      <c r="C344" s="125" t="s">
        <v>17</v>
      </c>
      <c r="D344" s="142">
        <f>-Riders!D190</f>
        <v>-32779.379999999997</v>
      </c>
      <c r="E344" s="142">
        <f>-Riders!E190</f>
        <v>-33175.870000000003</v>
      </c>
      <c r="F344" s="142">
        <f>-Riders!F190</f>
        <v>-32238.1</v>
      </c>
      <c r="G344" s="142">
        <f>-Riders!G190</f>
        <v>-32997.949999999997</v>
      </c>
      <c r="H344" s="142">
        <f>-Riders!H190</f>
        <v>-34012.839999999997</v>
      </c>
      <c r="I344" s="142">
        <f>-Riders!I190</f>
        <v>-34950.78</v>
      </c>
      <c r="J344" s="142">
        <f>-Riders!J190</f>
        <v>-33728.720000000001</v>
      </c>
      <c r="K344" s="142">
        <f>-Riders!K190</f>
        <v>-37933.82</v>
      </c>
      <c r="L344" s="142">
        <f>-Riders!L190</f>
        <v>-28600.5</v>
      </c>
      <c r="M344" s="142">
        <f>-Riders!M190</f>
        <v>-28544.25</v>
      </c>
      <c r="N344" s="142">
        <f>-Riders!N190</f>
        <v>-30028.400000000001</v>
      </c>
      <c r="O344" s="142">
        <f>-Riders!O190</f>
        <v>-26036.91</v>
      </c>
      <c r="P344" s="156">
        <f>SUM(D344:O344)</f>
        <v>-385027.51999999996</v>
      </c>
      <c r="Q344" s="215"/>
      <c r="R344" s="214"/>
      <c r="S344" s="117"/>
      <c r="T344" s="117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  <c r="AV344" s="65"/>
      <c r="AW344" s="65"/>
      <c r="AX344" s="65"/>
      <c r="AY344" s="65"/>
      <c r="AZ344" s="65"/>
      <c r="BA344" s="65"/>
      <c r="BB344" s="65"/>
      <c r="BC344" s="65"/>
      <c r="BD344" s="65"/>
      <c r="BE344" s="65"/>
      <c r="BF344" s="65"/>
      <c r="BG344" s="65"/>
      <c r="BH344" s="65"/>
      <c r="BI344" s="65"/>
      <c r="BJ344" s="65"/>
      <c r="BK344" s="65"/>
      <c r="BL344" s="65"/>
      <c r="BM344" s="65"/>
      <c r="BN344" s="65"/>
      <c r="BO344" s="65"/>
      <c r="BP344" s="65"/>
      <c r="BQ344" s="65"/>
      <c r="BR344" s="65"/>
      <c r="BS344" s="65"/>
      <c r="BT344" s="65"/>
      <c r="BU344" s="65"/>
      <c r="BV344" s="65"/>
      <c r="BW344" s="65"/>
      <c r="BX344" s="65"/>
      <c r="BY344" s="65"/>
      <c r="BZ344" s="65"/>
      <c r="CA344" s="65"/>
      <c r="CB344" s="65"/>
      <c r="CC344" s="65"/>
      <c r="CD344" s="65"/>
      <c r="CE344" s="65"/>
      <c r="CF344" s="65"/>
      <c r="CG344" s="65"/>
      <c r="CH344" s="65"/>
      <c r="CI344" s="65"/>
      <c r="CJ344" s="65"/>
      <c r="CK344" s="65"/>
      <c r="CL344" s="65"/>
      <c r="CM344" s="65"/>
      <c r="CN344" s="65"/>
      <c r="CO344" s="65"/>
      <c r="CP344" s="65"/>
      <c r="CQ344" s="65"/>
      <c r="CR344" s="65"/>
      <c r="CS344" s="65"/>
      <c r="CT344" s="65"/>
      <c r="CU344" s="65"/>
      <c r="CV344" s="65"/>
      <c r="CW344" s="65"/>
      <c r="CX344" s="65"/>
      <c r="CY344" s="65"/>
      <c r="CZ344" s="65"/>
      <c r="DA344" s="65"/>
      <c r="DB344" s="65"/>
      <c r="DC344" s="65"/>
      <c r="DD344" s="65"/>
      <c r="DE344" s="65"/>
      <c r="DF344" s="65"/>
      <c r="DG344" s="65"/>
      <c r="DH344" s="65"/>
      <c r="DI344" s="65"/>
      <c r="DJ344" s="65"/>
      <c r="DK344" s="65"/>
      <c r="DL344" s="65"/>
      <c r="DM344" s="65"/>
      <c r="DN344" s="65"/>
      <c r="DO344" s="65"/>
      <c r="DP344" s="65"/>
      <c r="DQ344" s="65"/>
      <c r="DR344" s="65"/>
      <c r="DS344" s="65"/>
      <c r="DT344" s="65"/>
      <c r="DU344" s="65"/>
      <c r="DV344" s="65"/>
      <c r="DW344" s="65"/>
      <c r="DX344" s="65"/>
      <c r="DY344" s="65"/>
      <c r="DZ344" s="65"/>
      <c r="EA344" s="65"/>
      <c r="EB344" s="65"/>
      <c r="EC344" s="65"/>
      <c r="ED344" s="65"/>
      <c r="EE344" s="65"/>
      <c r="EF344" s="65"/>
      <c r="EG344" s="65"/>
      <c r="EH344" s="65"/>
      <c r="EI344" s="65"/>
      <c r="EJ344" s="65"/>
      <c r="EK344" s="65"/>
      <c r="EL344" s="65"/>
      <c r="EM344" s="65"/>
      <c r="EN344" s="65"/>
      <c r="EO344" s="65"/>
    </row>
    <row r="345" spans="1:145" s="62" customFormat="1" x14ac:dyDescent="0.2">
      <c r="A345" s="74">
        <v>7</v>
      </c>
      <c r="B345" s="146" t="s">
        <v>111</v>
      </c>
      <c r="C345" s="125" t="s">
        <v>17</v>
      </c>
      <c r="D345" s="123">
        <f>-Riders!D191</f>
        <v>-369681.25</v>
      </c>
      <c r="E345" s="123">
        <f>-Riders!E191</f>
        <v>-355155.48</v>
      </c>
      <c r="F345" s="123">
        <f>-Riders!F191</f>
        <v>-357590.95</v>
      </c>
      <c r="G345" s="123">
        <f>-Riders!G191</f>
        <v>-352632.26</v>
      </c>
      <c r="H345" s="123">
        <f>-Riders!H191</f>
        <v>-375057.91000000003</v>
      </c>
      <c r="I345" s="123">
        <f>-Riders!I191</f>
        <v>-383861.21</v>
      </c>
      <c r="J345" s="123">
        <f>-Riders!J191</f>
        <v>-378562.23</v>
      </c>
      <c r="K345" s="123">
        <f>-Riders!K191</f>
        <v>-377013.03</v>
      </c>
      <c r="L345" s="123">
        <f>-Riders!L191</f>
        <v>-298904.90000000002</v>
      </c>
      <c r="M345" s="123">
        <f>-Riders!M191</f>
        <v>-269861.04000000004</v>
      </c>
      <c r="N345" s="123">
        <f>-Riders!N191</f>
        <v>-275977.95999999996</v>
      </c>
      <c r="O345" s="123">
        <f>-Riders!O191</f>
        <v>-260531.96</v>
      </c>
      <c r="P345" s="173">
        <f>SUM(D345:O345)</f>
        <v>-4054830.18</v>
      </c>
      <c r="Q345" s="216"/>
      <c r="R345" s="214"/>
      <c r="S345" s="117"/>
      <c r="T345" s="117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  <c r="BE345" s="65"/>
      <c r="BF345" s="65"/>
      <c r="BG345" s="65"/>
      <c r="BH345" s="65"/>
      <c r="BI345" s="65"/>
      <c r="BJ345" s="65"/>
      <c r="BK345" s="65"/>
      <c r="BL345" s="65"/>
      <c r="BM345" s="65"/>
      <c r="BN345" s="65"/>
      <c r="BO345" s="65"/>
      <c r="BP345" s="65"/>
      <c r="BQ345" s="65"/>
      <c r="BR345" s="65"/>
      <c r="BS345" s="65"/>
      <c r="BT345" s="65"/>
      <c r="BU345" s="65"/>
      <c r="BV345" s="65"/>
      <c r="BW345" s="65"/>
      <c r="BX345" s="65"/>
      <c r="BY345" s="65"/>
      <c r="BZ345" s="65"/>
      <c r="CA345" s="65"/>
      <c r="CB345" s="65"/>
      <c r="CC345" s="65"/>
      <c r="CD345" s="65"/>
      <c r="CE345" s="65"/>
      <c r="CF345" s="65"/>
      <c r="CG345" s="65"/>
      <c r="CH345" s="65"/>
      <c r="CI345" s="65"/>
      <c r="CJ345" s="65"/>
      <c r="CK345" s="65"/>
      <c r="CL345" s="65"/>
      <c r="CM345" s="65"/>
      <c r="CN345" s="65"/>
      <c r="CO345" s="65"/>
      <c r="CP345" s="65"/>
      <c r="CQ345" s="65"/>
      <c r="CR345" s="65"/>
      <c r="CS345" s="65"/>
      <c r="CT345" s="65"/>
      <c r="CU345" s="65"/>
      <c r="CV345" s="65"/>
      <c r="CW345" s="65"/>
      <c r="CX345" s="65"/>
      <c r="CY345" s="65"/>
      <c r="CZ345" s="65"/>
      <c r="DA345" s="65"/>
      <c r="DB345" s="65"/>
      <c r="DC345" s="65"/>
      <c r="DD345" s="65"/>
      <c r="DE345" s="65"/>
      <c r="DF345" s="65"/>
      <c r="DG345" s="65"/>
      <c r="DH345" s="65"/>
      <c r="DI345" s="65"/>
      <c r="DJ345" s="65"/>
      <c r="DK345" s="65"/>
      <c r="DL345" s="65"/>
      <c r="DM345" s="65"/>
      <c r="DN345" s="65"/>
      <c r="DO345" s="65"/>
      <c r="DP345" s="65"/>
      <c r="DQ345" s="65"/>
      <c r="DR345" s="65"/>
      <c r="DS345" s="65"/>
      <c r="DT345" s="65"/>
      <c r="DU345" s="65"/>
      <c r="DV345" s="65"/>
      <c r="DW345" s="65"/>
      <c r="DX345" s="65"/>
      <c r="DY345" s="65"/>
      <c r="DZ345" s="65"/>
      <c r="EA345" s="65"/>
      <c r="EB345" s="65"/>
      <c r="EC345" s="65"/>
      <c r="ED345" s="65"/>
      <c r="EE345" s="65"/>
      <c r="EF345" s="65"/>
      <c r="EG345" s="65"/>
      <c r="EH345" s="65"/>
      <c r="EI345" s="65"/>
      <c r="EJ345" s="65"/>
      <c r="EK345" s="65"/>
      <c r="EL345" s="65"/>
      <c r="EM345" s="65"/>
      <c r="EN345" s="65"/>
      <c r="EO345" s="65"/>
    </row>
    <row r="346" spans="1:145" s="62" customFormat="1" x14ac:dyDescent="0.2">
      <c r="A346" s="74">
        <v>8</v>
      </c>
      <c r="B346" s="129" t="s">
        <v>31</v>
      </c>
      <c r="C346" s="125"/>
      <c r="D346" s="122">
        <f t="shared" ref="D346:P346" si="74">SUM(D344:D345)</f>
        <v>-402460.63</v>
      </c>
      <c r="E346" s="122">
        <f t="shared" ref="E346:O346" si="75">SUM(E344:E345)</f>
        <v>-388331.35</v>
      </c>
      <c r="F346" s="122">
        <f t="shared" si="75"/>
        <v>-389829.05</v>
      </c>
      <c r="G346" s="122">
        <f t="shared" si="75"/>
        <v>-385630.21</v>
      </c>
      <c r="H346" s="122">
        <f t="shared" si="75"/>
        <v>-409070.75</v>
      </c>
      <c r="I346" s="122">
        <f t="shared" si="75"/>
        <v>-418811.99</v>
      </c>
      <c r="J346" s="122">
        <f t="shared" si="75"/>
        <v>-412290.94999999995</v>
      </c>
      <c r="K346" s="122">
        <f t="shared" si="75"/>
        <v>-414946.85000000003</v>
      </c>
      <c r="L346" s="122">
        <f t="shared" si="75"/>
        <v>-327505.40000000002</v>
      </c>
      <c r="M346" s="122">
        <f t="shared" si="75"/>
        <v>-298405.29000000004</v>
      </c>
      <c r="N346" s="122">
        <f t="shared" si="75"/>
        <v>-306006.36</v>
      </c>
      <c r="O346" s="122">
        <f t="shared" si="75"/>
        <v>-286568.87</v>
      </c>
      <c r="P346" s="122">
        <f t="shared" si="74"/>
        <v>-4439857.7</v>
      </c>
      <c r="Q346" s="117"/>
      <c r="R346" s="117"/>
      <c r="S346" s="117"/>
      <c r="T346" s="117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  <c r="BE346" s="65"/>
      <c r="BF346" s="65"/>
      <c r="BG346" s="65"/>
      <c r="BH346" s="65"/>
      <c r="BI346" s="65"/>
      <c r="BJ346" s="65"/>
      <c r="BK346" s="65"/>
      <c r="BL346" s="65"/>
      <c r="BM346" s="65"/>
      <c r="BN346" s="65"/>
      <c r="BO346" s="65"/>
      <c r="BP346" s="65"/>
      <c r="BQ346" s="65"/>
      <c r="BR346" s="65"/>
      <c r="BS346" s="65"/>
      <c r="BT346" s="65"/>
      <c r="BU346" s="65"/>
      <c r="BV346" s="65"/>
      <c r="BW346" s="65"/>
      <c r="BX346" s="65"/>
      <c r="BY346" s="65"/>
      <c r="BZ346" s="65"/>
      <c r="CA346" s="65"/>
      <c r="CB346" s="65"/>
      <c r="CC346" s="65"/>
      <c r="CD346" s="65"/>
      <c r="CE346" s="65"/>
      <c r="CF346" s="65"/>
      <c r="CG346" s="65"/>
      <c r="CH346" s="65"/>
      <c r="CI346" s="65"/>
      <c r="CJ346" s="65"/>
      <c r="CK346" s="65"/>
      <c r="CL346" s="65"/>
      <c r="CM346" s="65"/>
      <c r="CN346" s="65"/>
      <c r="CO346" s="65"/>
      <c r="CP346" s="65"/>
      <c r="CQ346" s="65"/>
      <c r="CR346" s="65"/>
      <c r="CS346" s="65"/>
      <c r="CT346" s="65"/>
      <c r="CU346" s="65"/>
      <c r="CV346" s="65"/>
      <c r="CW346" s="65"/>
      <c r="CX346" s="65"/>
      <c r="CY346" s="65"/>
      <c r="CZ346" s="65"/>
      <c r="DA346" s="65"/>
      <c r="DB346" s="65"/>
      <c r="DC346" s="65"/>
      <c r="DD346" s="65"/>
      <c r="DE346" s="65"/>
      <c r="DF346" s="65"/>
      <c r="DG346" s="65"/>
      <c r="DH346" s="65"/>
      <c r="DI346" s="65"/>
      <c r="DJ346" s="65"/>
      <c r="DK346" s="65"/>
      <c r="DL346" s="65"/>
      <c r="DM346" s="65"/>
      <c r="DN346" s="65"/>
      <c r="DO346" s="65"/>
      <c r="DP346" s="65"/>
      <c r="DQ346" s="65"/>
      <c r="DR346" s="65"/>
      <c r="DS346" s="65"/>
      <c r="DT346" s="65"/>
      <c r="DU346" s="65"/>
      <c r="DV346" s="65"/>
      <c r="DW346" s="65"/>
      <c r="DX346" s="65"/>
      <c r="DY346" s="65"/>
      <c r="DZ346" s="65"/>
      <c r="EA346" s="65"/>
      <c r="EB346" s="65"/>
      <c r="EC346" s="65"/>
      <c r="ED346" s="65"/>
      <c r="EE346" s="65"/>
      <c r="EF346" s="65"/>
      <c r="EG346" s="65"/>
      <c r="EH346" s="65"/>
      <c r="EI346" s="65"/>
      <c r="EJ346" s="65"/>
      <c r="EK346" s="65"/>
      <c r="EL346" s="65"/>
      <c r="EM346" s="65"/>
      <c r="EN346" s="65"/>
      <c r="EO346" s="65"/>
    </row>
    <row r="347" spans="1:145" s="62" customFormat="1" x14ac:dyDescent="0.2">
      <c r="A347" s="74"/>
      <c r="B347" s="129"/>
      <c r="C347" s="125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56"/>
      <c r="Q347" s="117"/>
      <c r="R347" s="117"/>
      <c r="S347" s="117"/>
      <c r="T347" s="117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  <c r="BE347" s="65"/>
      <c r="BF347" s="65"/>
      <c r="BG347" s="65"/>
      <c r="BH347" s="65"/>
      <c r="BI347" s="65"/>
      <c r="BJ347" s="65"/>
      <c r="BK347" s="65"/>
      <c r="BL347" s="65"/>
      <c r="BM347" s="65"/>
      <c r="BN347" s="65"/>
      <c r="BO347" s="65"/>
      <c r="BP347" s="65"/>
      <c r="BQ347" s="65"/>
      <c r="BR347" s="65"/>
      <c r="BS347" s="65"/>
      <c r="BT347" s="65"/>
      <c r="BU347" s="65"/>
      <c r="BV347" s="65"/>
      <c r="BW347" s="65"/>
      <c r="BX347" s="65"/>
      <c r="BY347" s="65"/>
      <c r="BZ347" s="65"/>
      <c r="CA347" s="65"/>
      <c r="CB347" s="65"/>
      <c r="CC347" s="65"/>
      <c r="CD347" s="65"/>
      <c r="CE347" s="65"/>
      <c r="CF347" s="65"/>
      <c r="CG347" s="65"/>
      <c r="CH347" s="65"/>
      <c r="CI347" s="65"/>
      <c r="CJ347" s="65"/>
      <c r="CK347" s="65"/>
      <c r="CL347" s="65"/>
      <c r="CM347" s="65"/>
      <c r="CN347" s="65"/>
      <c r="CO347" s="65"/>
      <c r="CP347" s="65"/>
      <c r="CQ347" s="65"/>
      <c r="CR347" s="65"/>
      <c r="CS347" s="65"/>
      <c r="CT347" s="65"/>
      <c r="CU347" s="65"/>
      <c r="CV347" s="65"/>
      <c r="CW347" s="65"/>
      <c r="CX347" s="65"/>
      <c r="CY347" s="65"/>
      <c r="CZ347" s="65"/>
      <c r="DA347" s="65"/>
      <c r="DB347" s="65"/>
      <c r="DC347" s="65"/>
      <c r="DD347" s="65"/>
      <c r="DE347" s="65"/>
      <c r="DF347" s="65"/>
      <c r="DG347" s="65"/>
      <c r="DH347" s="65"/>
      <c r="DI347" s="65"/>
      <c r="DJ347" s="65"/>
      <c r="DK347" s="65"/>
      <c r="DL347" s="65"/>
      <c r="DM347" s="65"/>
      <c r="DN347" s="65"/>
      <c r="DO347" s="65"/>
      <c r="DP347" s="65"/>
      <c r="DQ347" s="65"/>
      <c r="DR347" s="65"/>
      <c r="DS347" s="65"/>
      <c r="DT347" s="65"/>
      <c r="DU347" s="65"/>
      <c r="DV347" s="65"/>
      <c r="DW347" s="65"/>
      <c r="DX347" s="65"/>
      <c r="DY347" s="65"/>
      <c r="DZ347" s="65"/>
      <c r="EA347" s="65"/>
      <c r="EB347" s="65"/>
      <c r="EC347" s="65"/>
      <c r="ED347" s="65"/>
      <c r="EE347" s="65"/>
      <c r="EF347" s="65"/>
      <c r="EG347" s="65"/>
      <c r="EH347" s="65"/>
      <c r="EI347" s="65"/>
      <c r="EJ347" s="65"/>
      <c r="EK347" s="65"/>
      <c r="EL347" s="65"/>
      <c r="EM347" s="65"/>
      <c r="EN347" s="65"/>
      <c r="EO347" s="65"/>
    </row>
    <row r="348" spans="1:145" s="62" customFormat="1" x14ac:dyDescent="0.2">
      <c r="A348" s="74">
        <v>9</v>
      </c>
      <c r="B348" s="162" t="s">
        <v>115</v>
      </c>
      <c r="C348" s="125" t="s">
        <v>18</v>
      </c>
      <c r="D348" s="122">
        <f>-Riders!D194</f>
        <v>-16628.64</v>
      </c>
      <c r="E348" s="122">
        <f>-Riders!E194</f>
        <v>-13833.5</v>
      </c>
      <c r="F348" s="122">
        <f>-Riders!F194</f>
        <v>-15759.64</v>
      </c>
      <c r="G348" s="122">
        <f>-Riders!G194</f>
        <v>-15449.19</v>
      </c>
      <c r="H348" s="122">
        <f>-Riders!H194</f>
        <v>-15575.96</v>
      </c>
      <c r="I348" s="122">
        <f>-Riders!I194</f>
        <v>-16528</v>
      </c>
      <c r="J348" s="122">
        <f>-Riders!J194</f>
        <v>-14719.81</v>
      </c>
      <c r="K348" s="122">
        <f>-Riders!K194</f>
        <v>-14594.07</v>
      </c>
      <c r="L348" s="122">
        <f>-Riders!L194</f>
        <v>-12186.89</v>
      </c>
      <c r="M348" s="122">
        <f>-Riders!M194</f>
        <v>-6110.93</v>
      </c>
      <c r="N348" s="122">
        <f>-Riders!N194</f>
        <v>-14053.46</v>
      </c>
      <c r="O348" s="122">
        <f>-Riders!O194</f>
        <v>-7793.37</v>
      </c>
      <c r="P348" s="156">
        <f>SUM(D348:O348)</f>
        <v>-163233.46</v>
      </c>
      <c r="Q348" s="117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  <c r="BE348" s="65"/>
      <c r="BF348" s="65"/>
      <c r="BG348" s="65"/>
      <c r="BH348" s="65"/>
      <c r="BI348" s="65"/>
      <c r="BJ348" s="65"/>
      <c r="BK348" s="65"/>
      <c r="BL348" s="65"/>
      <c r="BM348" s="65"/>
      <c r="BN348" s="65"/>
      <c r="BO348" s="65"/>
      <c r="BP348" s="65"/>
      <c r="BQ348" s="65"/>
      <c r="BR348" s="65"/>
      <c r="BS348" s="65"/>
      <c r="BT348" s="65"/>
      <c r="BU348" s="65"/>
      <c r="BV348" s="65"/>
      <c r="BW348" s="65"/>
      <c r="BX348" s="65"/>
      <c r="BY348" s="65"/>
      <c r="BZ348" s="65"/>
      <c r="CA348" s="65"/>
      <c r="CB348" s="65"/>
      <c r="CC348" s="65"/>
      <c r="CD348" s="65"/>
      <c r="CE348" s="65"/>
      <c r="CF348" s="65"/>
      <c r="CG348" s="65"/>
      <c r="CH348" s="65"/>
      <c r="CI348" s="65"/>
      <c r="CJ348" s="65"/>
      <c r="CK348" s="65"/>
      <c r="CL348" s="65"/>
      <c r="CM348" s="65"/>
      <c r="CN348" s="65"/>
      <c r="CO348" s="65"/>
      <c r="CP348" s="65"/>
      <c r="CQ348" s="65"/>
      <c r="CR348" s="65"/>
      <c r="CS348" s="65"/>
      <c r="CT348" s="65"/>
      <c r="CU348" s="65"/>
      <c r="CV348" s="65"/>
      <c r="CW348" s="65"/>
      <c r="CX348" s="65"/>
      <c r="CY348" s="65"/>
      <c r="CZ348" s="65"/>
      <c r="DA348" s="65"/>
      <c r="DB348" s="65"/>
      <c r="DC348" s="65"/>
      <c r="DD348" s="65"/>
      <c r="DE348" s="65"/>
      <c r="DF348" s="65"/>
      <c r="DG348" s="65"/>
      <c r="DH348" s="65"/>
      <c r="DI348" s="65"/>
      <c r="DJ348" s="65"/>
      <c r="DK348" s="65"/>
      <c r="DL348" s="65"/>
      <c r="DM348" s="65"/>
      <c r="DN348" s="65"/>
      <c r="DO348" s="65"/>
      <c r="DP348" s="65"/>
      <c r="DQ348" s="65"/>
      <c r="DR348" s="65"/>
      <c r="DS348" s="65"/>
      <c r="DT348" s="65"/>
      <c r="DU348" s="65"/>
      <c r="DV348" s="65"/>
      <c r="DW348" s="65"/>
      <c r="DX348" s="65"/>
      <c r="DY348" s="65"/>
      <c r="DZ348" s="65"/>
      <c r="EA348" s="65"/>
      <c r="EB348" s="65"/>
      <c r="EC348" s="65"/>
      <c r="ED348" s="65"/>
      <c r="EE348" s="65"/>
      <c r="EF348" s="65"/>
      <c r="EG348" s="65"/>
      <c r="EH348" s="65"/>
      <c r="EI348" s="65"/>
      <c r="EJ348" s="65"/>
      <c r="EK348" s="65"/>
      <c r="EL348" s="65"/>
      <c r="EM348" s="65"/>
      <c r="EN348" s="65"/>
      <c r="EO348" s="65"/>
    </row>
    <row r="349" spans="1:145" s="62" customFormat="1" x14ac:dyDescent="0.2">
      <c r="B349" s="129"/>
      <c r="C349" s="143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  <c r="BD349" s="65"/>
      <c r="BE349" s="65"/>
      <c r="BF349" s="65"/>
      <c r="BG349" s="65"/>
      <c r="BH349" s="65"/>
      <c r="BI349" s="65"/>
      <c r="BJ349" s="65"/>
      <c r="BK349" s="65"/>
      <c r="BL349" s="65"/>
      <c r="BM349" s="65"/>
      <c r="BN349" s="65"/>
      <c r="BO349" s="65"/>
      <c r="BP349" s="65"/>
      <c r="BQ349" s="65"/>
      <c r="BR349" s="65"/>
      <c r="BS349" s="65"/>
      <c r="BT349" s="65"/>
      <c r="BU349" s="65"/>
      <c r="BV349" s="65"/>
      <c r="BW349" s="65"/>
      <c r="BX349" s="65"/>
      <c r="BY349" s="65"/>
      <c r="BZ349" s="65"/>
      <c r="CA349" s="65"/>
      <c r="CB349" s="65"/>
      <c r="CC349" s="65"/>
      <c r="CD349" s="65"/>
      <c r="CE349" s="65"/>
      <c r="CF349" s="65"/>
      <c r="CG349" s="65"/>
      <c r="CH349" s="65"/>
      <c r="CI349" s="65"/>
      <c r="CJ349" s="65"/>
      <c r="CK349" s="65"/>
      <c r="CL349" s="65"/>
      <c r="CM349" s="65"/>
      <c r="CN349" s="65"/>
      <c r="CO349" s="65"/>
      <c r="CP349" s="65"/>
      <c r="CQ349" s="65"/>
      <c r="CR349" s="65"/>
      <c r="CS349" s="65"/>
      <c r="CT349" s="65"/>
      <c r="CU349" s="65"/>
      <c r="CV349" s="65"/>
      <c r="CW349" s="65"/>
      <c r="CX349" s="65"/>
      <c r="CY349" s="65"/>
      <c r="CZ349" s="65"/>
      <c r="DA349" s="65"/>
      <c r="DB349" s="65"/>
      <c r="DC349" s="65"/>
      <c r="DD349" s="65"/>
      <c r="DE349" s="65"/>
      <c r="DF349" s="65"/>
      <c r="DG349" s="65"/>
      <c r="DH349" s="65"/>
      <c r="DI349" s="65"/>
      <c r="DJ349" s="65"/>
      <c r="DK349" s="65"/>
      <c r="DL349" s="65"/>
      <c r="DM349" s="65"/>
      <c r="DN349" s="65"/>
      <c r="DO349" s="65"/>
      <c r="DP349" s="65"/>
      <c r="DQ349" s="65"/>
      <c r="DR349" s="65"/>
      <c r="DS349" s="65"/>
      <c r="DT349" s="65"/>
      <c r="DU349" s="65"/>
      <c r="DV349" s="65"/>
      <c r="DW349" s="65"/>
      <c r="DX349" s="65"/>
      <c r="DY349" s="65"/>
      <c r="DZ349" s="65"/>
      <c r="EA349" s="65"/>
      <c r="EB349" s="65"/>
      <c r="EC349" s="65"/>
      <c r="ED349" s="65"/>
      <c r="EE349" s="65"/>
      <c r="EF349" s="65"/>
      <c r="EG349" s="65"/>
      <c r="EH349" s="65"/>
      <c r="EI349" s="65"/>
      <c r="EJ349" s="65"/>
      <c r="EK349" s="65"/>
      <c r="EL349" s="65"/>
      <c r="EM349" s="65"/>
      <c r="EN349" s="65"/>
      <c r="EO349" s="65"/>
    </row>
    <row r="350" spans="1:145" s="62" customFormat="1" x14ac:dyDescent="0.2">
      <c r="A350" s="74">
        <v>10</v>
      </c>
      <c r="B350" s="117" t="s">
        <v>33</v>
      </c>
      <c r="C350" s="125" t="s">
        <v>16</v>
      </c>
      <c r="D350" s="122">
        <f>-Riders!D196</f>
        <v>-203885.61000000002</v>
      </c>
      <c r="E350" s="122">
        <f>-Riders!E196</f>
        <v>-203072.93</v>
      </c>
      <c r="F350" s="122">
        <f>-Riders!F196</f>
        <v>-203569.84000000003</v>
      </c>
      <c r="G350" s="122">
        <f>-Riders!G196</f>
        <v>-203743.87</v>
      </c>
      <c r="H350" s="122">
        <f>-Riders!H196</f>
        <v>-203637.49</v>
      </c>
      <c r="I350" s="122">
        <f>-Riders!I196</f>
        <v>-203556.28</v>
      </c>
      <c r="J350" s="122">
        <f>-Riders!J196</f>
        <v>-203618.89</v>
      </c>
      <c r="K350" s="122">
        <f>-Riders!K196</f>
        <v>-203530.33000000002</v>
      </c>
      <c r="L350" s="122">
        <f>-Riders!L196</f>
        <v>-161036.43</v>
      </c>
      <c r="M350" s="122">
        <f>-Riders!M196</f>
        <v>-142140.07</v>
      </c>
      <c r="N350" s="122">
        <f>-Riders!N196</f>
        <v>-143399.43</v>
      </c>
      <c r="O350" s="122">
        <f>-Riders!O196</f>
        <v>-142722.03</v>
      </c>
      <c r="P350" s="156">
        <f>SUM(D350:O350)</f>
        <v>-2217913.2000000002</v>
      </c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  <c r="BE350" s="65"/>
      <c r="BF350" s="65"/>
      <c r="BG350" s="65"/>
      <c r="BH350" s="65"/>
      <c r="BI350" s="65"/>
      <c r="BJ350" s="65"/>
      <c r="BK350" s="65"/>
      <c r="BL350" s="65"/>
      <c r="BM350" s="65"/>
      <c r="BN350" s="65"/>
      <c r="BO350" s="65"/>
      <c r="BP350" s="65"/>
      <c r="BQ350" s="65"/>
      <c r="BR350" s="65"/>
      <c r="BS350" s="65"/>
      <c r="BT350" s="65"/>
      <c r="BU350" s="65"/>
      <c r="BV350" s="65"/>
      <c r="BW350" s="65"/>
      <c r="BX350" s="65"/>
      <c r="BY350" s="65"/>
      <c r="BZ350" s="65"/>
      <c r="CA350" s="65"/>
      <c r="CB350" s="65"/>
      <c r="CC350" s="65"/>
      <c r="CD350" s="65"/>
      <c r="CE350" s="65"/>
      <c r="CF350" s="65"/>
      <c r="CG350" s="65"/>
      <c r="CH350" s="65"/>
      <c r="CI350" s="65"/>
      <c r="CJ350" s="65"/>
      <c r="CK350" s="65"/>
      <c r="CL350" s="65"/>
      <c r="CM350" s="65"/>
      <c r="CN350" s="65"/>
      <c r="CO350" s="65"/>
      <c r="CP350" s="65"/>
      <c r="CQ350" s="65"/>
      <c r="CR350" s="65"/>
      <c r="CS350" s="65"/>
      <c r="CT350" s="65"/>
      <c r="CU350" s="65"/>
      <c r="CV350" s="65"/>
      <c r="CW350" s="65"/>
      <c r="CX350" s="65"/>
      <c r="CY350" s="65"/>
      <c r="CZ350" s="65"/>
      <c r="DA350" s="65"/>
      <c r="DB350" s="65"/>
      <c r="DC350" s="65"/>
      <c r="DD350" s="65"/>
      <c r="DE350" s="65"/>
      <c r="DF350" s="65"/>
      <c r="DG350" s="65"/>
      <c r="DH350" s="65"/>
      <c r="DI350" s="65"/>
      <c r="DJ350" s="65"/>
      <c r="DK350" s="65"/>
      <c r="DL350" s="65"/>
      <c r="DM350" s="65"/>
      <c r="DN350" s="65"/>
      <c r="DO350" s="65"/>
      <c r="DP350" s="65"/>
      <c r="DQ350" s="65"/>
      <c r="DR350" s="65"/>
      <c r="DS350" s="65"/>
      <c r="DT350" s="65"/>
      <c r="DU350" s="65"/>
      <c r="DV350" s="65"/>
      <c r="DW350" s="65"/>
      <c r="DX350" s="65"/>
      <c r="DY350" s="65"/>
      <c r="DZ350" s="65"/>
      <c r="EA350" s="65"/>
      <c r="EB350" s="65"/>
      <c r="EC350" s="65"/>
      <c r="ED350" s="65"/>
      <c r="EE350" s="65"/>
      <c r="EF350" s="65"/>
      <c r="EG350" s="65"/>
      <c r="EH350" s="65"/>
      <c r="EI350" s="65"/>
      <c r="EJ350" s="65"/>
      <c r="EK350" s="65"/>
      <c r="EL350" s="65"/>
      <c r="EM350" s="65"/>
      <c r="EN350" s="65"/>
      <c r="EO350" s="65"/>
    </row>
    <row r="351" spans="1:145" s="62" customFormat="1" x14ac:dyDescent="0.2">
      <c r="A351" s="74"/>
      <c r="B351" s="129"/>
      <c r="C351" s="143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22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  <c r="BE351" s="65"/>
      <c r="BF351" s="65"/>
      <c r="BG351" s="65"/>
      <c r="BH351" s="65"/>
      <c r="BI351" s="65"/>
      <c r="BJ351" s="65"/>
      <c r="BK351" s="65"/>
      <c r="BL351" s="65"/>
      <c r="BM351" s="65"/>
      <c r="BN351" s="65"/>
      <c r="BO351" s="65"/>
      <c r="BP351" s="65"/>
      <c r="BQ351" s="65"/>
      <c r="BR351" s="65"/>
      <c r="BS351" s="65"/>
      <c r="BT351" s="65"/>
      <c r="BU351" s="65"/>
      <c r="BV351" s="65"/>
      <c r="BW351" s="65"/>
      <c r="BX351" s="65"/>
      <c r="BY351" s="65"/>
      <c r="BZ351" s="65"/>
      <c r="CA351" s="65"/>
      <c r="CB351" s="65"/>
      <c r="CC351" s="65"/>
      <c r="CD351" s="65"/>
      <c r="CE351" s="65"/>
      <c r="CF351" s="65"/>
      <c r="CG351" s="65"/>
      <c r="CH351" s="65"/>
      <c r="CI351" s="65"/>
      <c r="CJ351" s="65"/>
      <c r="CK351" s="65"/>
      <c r="CL351" s="65"/>
      <c r="CM351" s="65"/>
      <c r="CN351" s="65"/>
      <c r="CO351" s="65"/>
      <c r="CP351" s="65"/>
      <c r="CQ351" s="65"/>
      <c r="CR351" s="65"/>
      <c r="CS351" s="65"/>
      <c r="CT351" s="65"/>
      <c r="CU351" s="65"/>
      <c r="CV351" s="65"/>
      <c r="CW351" s="65"/>
      <c r="CX351" s="65"/>
      <c r="CY351" s="65"/>
      <c r="CZ351" s="65"/>
      <c r="DA351" s="65"/>
      <c r="DB351" s="65"/>
      <c r="DC351" s="65"/>
      <c r="DD351" s="65"/>
      <c r="DE351" s="65"/>
      <c r="DF351" s="65"/>
      <c r="DG351" s="65"/>
      <c r="DH351" s="65"/>
      <c r="DI351" s="65"/>
      <c r="DJ351" s="65"/>
      <c r="DK351" s="65"/>
      <c r="DL351" s="65"/>
      <c r="DM351" s="65"/>
      <c r="DN351" s="65"/>
      <c r="DO351" s="65"/>
      <c r="DP351" s="65"/>
      <c r="DQ351" s="65"/>
      <c r="DR351" s="65"/>
      <c r="DS351" s="65"/>
      <c r="DT351" s="65"/>
      <c r="DU351" s="65"/>
      <c r="DV351" s="65"/>
      <c r="DW351" s="65"/>
      <c r="DX351" s="65"/>
      <c r="DY351" s="65"/>
      <c r="DZ351" s="65"/>
      <c r="EA351" s="65"/>
      <c r="EB351" s="65"/>
      <c r="EC351" s="65"/>
      <c r="ED351" s="65"/>
      <c r="EE351" s="65"/>
      <c r="EF351" s="65"/>
      <c r="EG351" s="65"/>
      <c r="EH351" s="65"/>
      <c r="EI351" s="65"/>
      <c r="EJ351" s="65"/>
      <c r="EK351" s="65"/>
      <c r="EL351" s="65"/>
      <c r="EM351" s="65"/>
      <c r="EN351" s="65"/>
      <c r="EO351" s="65"/>
    </row>
    <row r="352" spans="1:145" s="62" customFormat="1" x14ac:dyDescent="0.2">
      <c r="A352" s="74">
        <v>11</v>
      </c>
      <c r="B352" s="183" t="s">
        <v>34</v>
      </c>
      <c r="C352" s="236"/>
      <c r="D352" s="184">
        <f t="shared" ref="D352:P352" si="76">D350+D348+D346+D342+D338+D336</f>
        <v>-7475325.5800000001</v>
      </c>
      <c r="E352" s="184">
        <f t="shared" si="76"/>
        <v>-6293660.0700000003</v>
      </c>
      <c r="F352" s="184">
        <f t="shared" si="76"/>
        <v>-5591066.4699999997</v>
      </c>
      <c r="G352" s="184">
        <f t="shared" si="76"/>
        <v>-5684796</v>
      </c>
      <c r="H352" s="184">
        <f t="shared" si="76"/>
        <v>-6017272.8300000001</v>
      </c>
      <c r="I352" s="184">
        <f t="shared" si="76"/>
        <v>-7683619.8499999996</v>
      </c>
      <c r="J352" s="184">
        <f t="shared" si="76"/>
        <v>-7923578.0700000003</v>
      </c>
      <c r="K352" s="184">
        <f t="shared" si="76"/>
        <v>-8003534.2999999989</v>
      </c>
      <c r="L352" s="184">
        <f t="shared" si="76"/>
        <v>-5954436.4800000004</v>
      </c>
      <c r="M352" s="184">
        <f t="shared" si="76"/>
        <v>-4696107.5999999996</v>
      </c>
      <c r="N352" s="184">
        <f t="shared" si="76"/>
        <v>-4104876.05</v>
      </c>
      <c r="O352" s="184">
        <f t="shared" si="76"/>
        <v>-4381802.46</v>
      </c>
      <c r="P352" s="184">
        <f t="shared" si="76"/>
        <v>-73810075.75999999</v>
      </c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  <c r="BE352" s="65"/>
      <c r="BF352" s="65"/>
      <c r="BG352" s="65"/>
      <c r="BH352" s="65"/>
      <c r="BI352" s="65"/>
      <c r="BJ352" s="65"/>
      <c r="BK352" s="65"/>
      <c r="BL352" s="65"/>
      <c r="BM352" s="65"/>
      <c r="BN352" s="65"/>
      <c r="BO352" s="65"/>
      <c r="BP352" s="65"/>
      <c r="BQ352" s="65"/>
      <c r="BR352" s="65"/>
      <c r="BS352" s="65"/>
      <c r="BT352" s="65"/>
      <c r="BU352" s="65"/>
      <c r="BV352" s="65"/>
      <c r="BW352" s="65"/>
      <c r="BX352" s="65"/>
      <c r="BY352" s="65"/>
      <c r="BZ352" s="65"/>
      <c r="CA352" s="65"/>
      <c r="CB352" s="65"/>
      <c r="CC352" s="65"/>
      <c r="CD352" s="65"/>
      <c r="CE352" s="65"/>
      <c r="CF352" s="65"/>
      <c r="CG352" s="65"/>
      <c r="CH352" s="65"/>
      <c r="CI352" s="65"/>
      <c r="CJ352" s="65"/>
      <c r="CK352" s="65"/>
      <c r="CL352" s="65"/>
      <c r="CM352" s="65"/>
      <c r="CN352" s="65"/>
      <c r="CO352" s="65"/>
      <c r="CP352" s="65"/>
      <c r="CQ352" s="65"/>
      <c r="CR352" s="65"/>
      <c r="CS352" s="65"/>
      <c r="CT352" s="65"/>
      <c r="CU352" s="65"/>
      <c r="CV352" s="65"/>
      <c r="CW352" s="65"/>
      <c r="CX352" s="65"/>
      <c r="CY352" s="65"/>
      <c r="CZ352" s="65"/>
      <c r="DA352" s="65"/>
      <c r="DB352" s="65"/>
      <c r="DC352" s="65"/>
      <c r="DD352" s="65"/>
      <c r="DE352" s="65"/>
      <c r="DF352" s="65"/>
      <c r="DG352" s="65"/>
      <c r="DH352" s="65"/>
      <c r="DI352" s="65"/>
      <c r="DJ352" s="65"/>
      <c r="DK352" s="65"/>
      <c r="DL352" s="65"/>
      <c r="DM352" s="65"/>
      <c r="DN352" s="65"/>
      <c r="DO352" s="65"/>
      <c r="DP352" s="65"/>
      <c r="DQ352" s="65"/>
      <c r="DR352" s="65"/>
      <c r="DS352" s="65"/>
      <c r="DT352" s="65"/>
      <c r="DU352" s="65"/>
      <c r="DV352" s="65"/>
      <c r="DW352" s="65"/>
      <c r="DX352" s="65"/>
      <c r="DY352" s="65"/>
      <c r="DZ352" s="65"/>
      <c r="EA352" s="65"/>
      <c r="EB352" s="65"/>
      <c r="EC352" s="65"/>
      <c r="ED352" s="65"/>
      <c r="EE352" s="65"/>
      <c r="EF352" s="65"/>
      <c r="EG352" s="65"/>
      <c r="EH352" s="65"/>
      <c r="EI352" s="65"/>
      <c r="EJ352" s="65"/>
      <c r="EK352" s="65"/>
      <c r="EL352" s="65"/>
      <c r="EM352" s="65"/>
      <c r="EN352" s="65"/>
      <c r="EO352" s="65"/>
    </row>
    <row r="353" spans="1:145" s="62" customFormat="1" x14ac:dyDescent="0.2">
      <c r="B353" s="236"/>
      <c r="C353" s="236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56"/>
      <c r="P353" s="156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  <c r="AW353" s="65"/>
      <c r="AX353" s="65"/>
      <c r="AY353" s="65"/>
      <c r="AZ353" s="65"/>
      <c r="BA353" s="65"/>
      <c r="BB353" s="65"/>
      <c r="BC353" s="65"/>
      <c r="BD353" s="65"/>
      <c r="BE353" s="65"/>
      <c r="BF353" s="65"/>
      <c r="BG353" s="65"/>
      <c r="BH353" s="65"/>
      <c r="BI353" s="65"/>
      <c r="BJ353" s="65"/>
      <c r="BK353" s="65"/>
      <c r="BL353" s="65"/>
      <c r="BM353" s="65"/>
      <c r="BN353" s="65"/>
      <c r="BO353" s="65"/>
      <c r="BP353" s="65"/>
      <c r="BQ353" s="65"/>
      <c r="BR353" s="65"/>
      <c r="BS353" s="65"/>
      <c r="BT353" s="65"/>
      <c r="BU353" s="65"/>
      <c r="BV353" s="65"/>
      <c r="BW353" s="65"/>
      <c r="BX353" s="65"/>
      <c r="BY353" s="65"/>
      <c r="BZ353" s="65"/>
      <c r="CA353" s="65"/>
      <c r="CB353" s="65"/>
      <c r="CC353" s="65"/>
      <c r="CD353" s="65"/>
      <c r="CE353" s="65"/>
      <c r="CF353" s="65"/>
      <c r="CG353" s="65"/>
      <c r="CH353" s="65"/>
      <c r="CI353" s="65"/>
      <c r="CJ353" s="65"/>
      <c r="CK353" s="65"/>
      <c r="CL353" s="65"/>
      <c r="CM353" s="65"/>
      <c r="CN353" s="65"/>
      <c r="CO353" s="65"/>
      <c r="CP353" s="65"/>
      <c r="CQ353" s="65"/>
      <c r="CR353" s="65"/>
      <c r="CS353" s="65"/>
      <c r="CT353" s="65"/>
      <c r="CU353" s="65"/>
      <c r="CV353" s="65"/>
      <c r="CW353" s="65"/>
      <c r="CX353" s="65"/>
      <c r="CY353" s="65"/>
      <c r="CZ353" s="65"/>
      <c r="DA353" s="65"/>
      <c r="DB353" s="65"/>
      <c r="DC353" s="65"/>
      <c r="DD353" s="65"/>
      <c r="DE353" s="65"/>
      <c r="DF353" s="65"/>
      <c r="DG353" s="65"/>
      <c r="DH353" s="65"/>
      <c r="DI353" s="65"/>
      <c r="DJ353" s="65"/>
      <c r="DK353" s="65"/>
      <c r="DL353" s="65"/>
      <c r="DM353" s="65"/>
      <c r="DN353" s="65"/>
      <c r="DO353" s="65"/>
      <c r="DP353" s="65"/>
      <c r="DQ353" s="65"/>
      <c r="DR353" s="65"/>
      <c r="DS353" s="65"/>
      <c r="DT353" s="65"/>
      <c r="DU353" s="65"/>
      <c r="DV353" s="65"/>
      <c r="DW353" s="65"/>
      <c r="DX353" s="65"/>
      <c r="DY353" s="65"/>
      <c r="DZ353" s="65"/>
      <c r="EA353" s="65"/>
      <c r="EB353" s="65"/>
      <c r="EC353" s="65"/>
      <c r="ED353" s="65"/>
      <c r="EE353" s="65"/>
      <c r="EF353" s="65"/>
      <c r="EG353" s="65"/>
      <c r="EH353" s="65"/>
      <c r="EI353" s="65"/>
      <c r="EJ353" s="65"/>
      <c r="EK353" s="65"/>
      <c r="EL353" s="65"/>
      <c r="EM353" s="65"/>
      <c r="EN353" s="65"/>
      <c r="EO353" s="65"/>
    </row>
    <row r="354" spans="1:145" s="62" customFormat="1" x14ac:dyDescent="0.2">
      <c r="A354" s="74">
        <v>12</v>
      </c>
      <c r="B354" s="148" t="s">
        <v>91</v>
      </c>
      <c r="C354" s="125" t="s">
        <v>17</v>
      </c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56">
        <f>SUM(D354:O354)</f>
        <v>0</v>
      </c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  <c r="AW354" s="65"/>
      <c r="AX354" s="65"/>
      <c r="AY354" s="65"/>
      <c r="AZ354" s="65"/>
      <c r="BA354" s="65"/>
      <c r="BB354" s="65"/>
      <c r="BC354" s="65"/>
      <c r="BD354" s="65"/>
      <c r="BE354" s="65"/>
      <c r="BF354" s="65"/>
      <c r="BG354" s="65"/>
      <c r="BH354" s="65"/>
      <c r="BI354" s="65"/>
      <c r="BJ354" s="65"/>
      <c r="BK354" s="65"/>
      <c r="BL354" s="65"/>
      <c r="BM354" s="65"/>
      <c r="BN354" s="65"/>
      <c r="BO354" s="65"/>
      <c r="BP354" s="65"/>
      <c r="BQ354" s="65"/>
      <c r="BR354" s="65"/>
      <c r="BS354" s="65"/>
      <c r="BT354" s="65"/>
      <c r="BU354" s="65"/>
      <c r="BV354" s="65"/>
      <c r="BW354" s="65"/>
      <c r="BX354" s="65"/>
      <c r="BY354" s="65"/>
      <c r="BZ354" s="65"/>
      <c r="CA354" s="65"/>
      <c r="CB354" s="65"/>
      <c r="CC354" s="65"/>
      <c r="CD354" s="65"/>
      <c r="CE354" s="65"/>
      <c r="CF354" s="65"/>
      <c r="CG354" s="65"/>
      <c r="CH354" s="65"/>
      <c r="CI354" s="65"/>
      <c r="CJ354" s="65"/>
      <c r="CK354" s="65"/>
      <c r="CL354" s="65"/>
      <c r="CM354" s="65"/>
      <c r="CN354" s="65"/>
      <c r="CO354" s="65"/>
      <c r="CP354" s="65"/>
      <c r="CQ354" s="65"/>
      <c r="CR354" s="65"/>
      <c r="CS354" s="65"/>
      <c r="CT354" s="65"/>
      <c r="CU354" s="65"/>
      <c r="CV354" s="65"/>
      <c r="CW354" s="65"/>
      <c r="CX354" s="65"/>
      <c r="CY354" s="65"/>
      <c r="CZ354" s="65"/>
      <c r="DA354" s="65"/>
      <c r="DB354" s="65"/>
      <c r="DC354" s="65"/>
      <c r="DD354" s="65"/>
      <c r="DE354" s="65"/>
      <c r="DF354" s="65"/>
      <c r="DG354" s="65"/>
      <c r="DH354" s="65"/>
      <c r="DI354" s="65"/>
      <c r="DJ354" s="65"/>
      <c r="DK354" s="65"/>
      <c r="DL354" s="65"/>
      <c r="DM354" s="65"/>
      <c r="DN354" s="65"/>
      <c r="DO354" s="65"/>
      <c r="DP354" s="65"/>
      <c r="DQ354" s="65"/>
      <c r="DR354" s="65"/>
      <c r="DS354" s="65"/>
      <c r="DT354" s="65"/>
      <c r="DU354" s="65"/>
      <c r="DV354" s="65"/>
      <c r="DW354" s="65"/>
      <c r="DX354" s="65"/>
      <c r="DY354" s="65"/>
      <c r="DZ354" s="65"/>
      <c r="EA354" s="65"/>
      <c r="EB354" s="65"/>
      <c r="EC354" s="65"/>
      <c r="ED354" s="65"/>
      <c r="EE354" s="65"/>
      <c r="EF354" s="65"/>
      <c r="EG354" s="65"/>
      <c r="EH354" s="65"/>
      <c r="EI354" s="65"/>
      <c r="EJ354" s="65"/>
      <c r="EK354" s="65"/>
      <c r="EL354" s="65"/>
      <c r="EM354" s="65"/>
      <c r="EN354" s="65"/>
      <c r="EO354" s="65"/>
    </row>
    <row r="355" spans="1:145" s="62" customFormat="1" x14ac:dyDescent="0.2">
      <c r="A355" s="74">
        <v>13</v>
      </c>
      <c r="B355" s="148" t="s">
        <v>92</v>
      </c>
      <c r="C355" s="125" t="s">
        <v>18</v>
      </c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73">
        <f>SUM(D355:O355)</f>
        <v>0</v>
      </c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  <c r="AW355" s="65"/>
      <c r="AX355" s="65"/>
      <c r="AY355" s="65"/>
      <c r="AZ355" s="65"/>
      <c r="BA355" s="65"/>
      <c r="BB355" s="65"/>
      <c r="BC355" s="65"/>
      <c r="BD355" s="65"/>
      <c r="BE355" s="65"/>
      <c r="BF355" s="65"/>
      <c r="BG355" s="65"/>
      <c r="BH355" s="65"/>
      <c r="BI355" s="65"/>
      <c r="BJ355" s="65"/>
      <c r="BK355" s="65"/>
      <c r="BL355" s="65"/>
      <c r="BM355" s="65"/>
      <c r="BN355" s="65"/>
      <c r="BO355" s="65"/>
      <c r="BP355" s="65"/>
      <c r="BQ355" s="65"/>
      <c r="BR355" s="65"/>
      <c r="BS355" s="65"/>
      <c r="BT355" s="65"/>
      <c r="BU355" s="65"/>
      <c r="BV355" s="65"/>
      <c r="BW355" s="65"/>
      <c r="BX355" s="65"/>
      <c r="BY355" s="65"/>
      <c r="BZ355" s="65"/>
      <c r="CA355" s="65"/>
      <c r="CB355" s="65"/>
      <c r="CC355" s="65"/>
      <c r="CD355" s="65"/>
      <c r="CE355" s="65"/>
      <c r="CF355" s="65"/>
      <c r="CG355" s="65"/>
      <c r="CH355" s="65"/>
      <c r="CI355" s="65"/>
      <c r="CJ355" s="65"/>
      <c r="CK355" s="65"/>
      <c r="CL355" s="65"/>
      <c r="CM355" s="65"/>
      <c r="CN355" s="65"/>
      <c r="CO355" s="65"/>
      <c r="CP355" s="65"/>
      <c r="CQ355" s="65"/>
      <c r="CR355" s="65"/>
      <c r="CS355" s="65"/>
      <c r="CT355" s="65"/>
      <c r="CU355" s="65"/>
      <c r="CV355" s="65"/>
      <c r="CW355" s="65"/>
      <c r="CX355" s="65"/>
      <c r="CY355" s="65"/>
      <c r="CZ355" s="65"/>
      <c r="DA355" s="65"/>
      <c r="DB355" s="65"/>
      <c r="DC355" s="65"/>
      <c r="DD355" s="65"/>
      <c r="DE355" s="65"/>
      <c r="DF355" s="65"/>
      <c r="DG355" s="65"/>
      <c r="DH355" s="65"/>
      <c r="DI355" s="65"/>
      <c r="DJ355" s="65"/>
      <c r="DK355" s="65"/>
      <c r="DL355" s="65"/>
      <c r="DM355" s="65"/>
      <c r="DN355" s="65"/>
      <c r="DO355" s="65"/>
      <c r="DP355" s="65"/>
      <c r="DQ355" s="65"/>
      <c r="DR355" s="65"/>
      <c r="DS355" s="65"/>
      <c r="DT355" s="65"/>
      <c r="DU355" s="65"/>
      <c r="DV355" s="65"/>
      <c r="DW355" s="65"/>
      <c r="DX355" s="65"/>
      <c r="DY355" s="65"/>
      <c r="DZ355" s="65"/>
      <c r="EA355" s="65"/>
      <c r="EB355" s="65"/>
      <c r="EC355" s="65"/>
      <c r="ED355" s="65"/>
      <c r="EE355" s="65"/>
      <c r="EF355" s="65"/>
      <c r="EG355" s="65"/>
      <c r="EH355" s="65"/>
      <c r="EI355" s="65"/>
      <c r="EJ355" s="65"/>
      <c r="EK355" s="65"/>
      <c r="EL355" s="65"/>
      <c r="EM355" s="65"/>
      <c r="EN355" s="65"/>
      <c r="EO355" s="65"/>
    </row>
    <row r="356" spans="1:145" s="62" customFormat="1" x14ac:dyDescent="0.2">
      <c r="A356" s="74">
        <v>14</v>
      </c>
      <c r="B356" s="183" t="s">
        <v>35</v>
      </c>
      <c r="C356" s="238"/>
      <c r="D356" s="169">
        <f t="shared" ref="D356:P356" si="77">SUM(D354:D355)</f>
        <v>0</v>
      </c>
      <c r="E356" s="169">
        <f t="shared" si="77"/>
        <v>0</v>
      </c>
      <c r="F356" s="169">
        <f t="shared" si="77"/>
        <v>0</v>
      </c>
      <c r="G356" s="169">
        <f t="shared" si="77"/>
        <v>0</v>
      </c>
      <c r="H356" s="169">
        <f t="shared" si="77"/>
        <v>0</v>
      </c>
      <c r="I356" s="169">
        <f t="shared" si="77"/>
        <v>0</v>
      </c>
      <c r="J356" s="169">
        <f t="shared" si="77"/>
        <v>0</v>
      </c>
      <c r="K356" s="169">
        <f t="shared" si="77"/>
        <v>0</v>
      </c>
      <c r="L356" s="169">
        <f t="shared" si="77"/>
        <v>0</v>
      </c>
      <c r="M356" s="169">
        <f t="shared" si="77"/>
        <v>0</v>
      </c>
      <c r="N356" s="169">
        <f t="shared" si="77"/>
        <v>0</v>
      </c>
      <c r="O356" s="156">
        <f t="shared" si="77"/>
        <v>0</v>
      </c>
      <c r="P356" s="156">
        <f t="shared" si="77"/>
        <v>0</v>
      </c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  <c r="BD356" s="65"/>
      <c r="BE356" s="65"/>
      <c r="BF356" s="65"/>
      <c r="BG356" s="65"/>
      <c r="BH356" s="65"/>
      <c r="BI356" s="65"/>
      <c r="BJ356" s="65"/>
      <c r="BK356" s="65"/>
      <c r="BL356" s="65"/>
      <c r="BM356" s="65"/>
      <c r="BN356" s="65"/>
      <c r="BO356" s="65"/>
      <c r="BP356" s="65"/>
      <c r="BQ356" s="65"/>
      <c r="BR356" s="65"/>
      <c r="BS356" s="65"/>
      <c r="BT356" s="65"/>
      <c r="BU356" s="65"/>
      <c r="BV356" s="65"/>
      <c r="BW356" s="65"/>
      <c r="BX356" s="65"/>
      <c r="BY356" s="65"/>
      <c r="BZ356" s="65"/>
      <c r="CA356" s="65"/>
      <c r="CB356" s="65"/>
      <c r="CC356" s="65"/>
      <c r="CD356" s="65"/>
      <c r="CE356" s="65"/>
      <c r="CF356" s="65"/>
      <c r="CG356" s="65"/>
      <c r="CH356" s="65"/>
      <c r="CI356" s="65"/>
      <c r="CJ356" s="65"/>
      <c r="CK356" s="65"/>
      <c r="CL356" s="65"/>
      <c r="CM356" s="65"/>
      <c r="CN356" s="65"/>
      <c r="CO356" s="65"/>
      <c r="CP356" s="65"/>
      <c r="CQ356" s="65"/>
      <c r="CR356" s="65"/>
      <c r="CS356" s="65"/>
      <c r="CT356" s="65"/>
      <c r="CU356" s="65"/>
      <c r="CV356" s="65"/>
      <c r="CW356" s="65"/>
      <c r="CX356" s="65"/>
      <c r="CY356" s="65"/>
      <c r="CZ356" s="65"/>
      <c r="DA356" s="65"/>
      <c r="DB356" s="65"/>
      <c r="DC356" s="65"/>
      <c r="DD356" s="65"/>
      <c r="DE356" s="65"/>
      <c r="DF356" s="65"/>
      <c r="DG356" s="65"/>
      <c r="DH356" s="65"/>
      <c r="DI356" s="65"/>
      <c r="DJ356" s="65"/>
      <c r="DK356" s="65"/>
      <c r="DL356" s="65"/>
      <c r="DM356" s="65"/>
      <c r="DN356" s="65"/>
      <c r="DO356" s="65"/>
      <c r="DP356" s="65"/>
      <c r="DQ356" s="65"/>
      <c r="DR356" s="65"/>
      <c r="DS356" s="65"/>
      <c r="DT356" s="65"/>
      <c r="DU356" s="65"/>
      <c r="DV356" s="65"/>
      <c r="DW356" s="65"/>
      <c r="DX356" s="65"/>
      <c r="DY356" s="65"/>
      <c r="DZ356" s="65"/>
      <c r="EA356" s="65"/>
      <c r="EB356" s="65"/>
      <c r="EC356" s="65"/>
      <c r="ED356" s="65"/>
      <c r="EE356" s="65"/>
      <c r="EF356" s="65"/>
      <c r="EG356" s="65"/>
      <c r="EH356" s="65"/>
      <c r="EI356" s="65"/>
      <c r="EJ356" s="65"/>
      <c r="EK356" s="65"/>
      <c r="EL356" s="65"/>
      <c r="EM356" s="65"/>
      <c r="EN356" s="65"/>
      <c r="EO356" s="65"/>
    </row>
    <row r="357" spans="1:145" s="62" customFormat="1" x14ac:dyDescent="0.2">
      <c r="A357" s="74"/>
      <c r="B357" s="129"/>
      <c r="C357" s="185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22"/>
      <c r="P357" s="122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  <c r="AV357" s="65"/>
      <c r="AW357" s="65"/>
      <c r="AX357" s="65"/>
      <c r="AY357" s="65"/>
      <c r="AZ357" s="65"/>
      <c r="BA357" s="65"/>
      <c r="BB357" s="65"/>
      <c r="BC357" s="65"/>
      <c r="BD357" s="65"/>
      <c r="BE357" s="65"/>
      <c r="BF357" s="65"/>
      <c r="BG357" s="65"/>
      <c r="BH357" s="65"/>
      <c r="BI357" s="65"/>
      <c r="BJ357" s="65"/>
      <c r="BK357" s="65"/>
      <c r="BL357" s="65"/>
      <c r="BM357" s="65"/>
      <c r="BN357" s="65"/>
      <c r="BO357" s="65"/>
      <c r="BP357" s="65"/>
      <c r="BQ357" s="65"/>
      <c r="BR357" s="65"/>
      <c r="BS357" s="65"/>
      <c r="BT357" s="65"/>
      <c r="BU357" s="65"/>
      <c r="BV357" s="65"/>
      <c r="BW357" s="65"/>
      <c r="BX357" s="65"/>
      <c r="BY357" s="65"/>
      <c r="BZ357" s="65"/>
      <c r="CA357" s="65"/>
      <c r="CB357" s="65"/>
      <c r="CC357" s="65"/>
      <c r="CD357" s="65"/>
      <c r="CE357" s="65"/>
      <c r="CF357" s="65"/>
      <c r="CG357" s="65"/>
      <c r="CH357" s="65"/>
      <c r="CI357" s="65"/>
      <c r="CJ357" s="65"/>
      <c r="CK357" s="65"/>
      <c r="CL357" s="65"/>
      <c r="CM357" s="65"/>
      <c r="CN357" s="65"/>
      <c r="CO357" s="65"/>
      <c r="CP357" s="65"/>
      <c r="CQ357" s="65"/>
      <c r="CR357" s="65"/>
      <c r="CS357" s="65"/>
      <c r="CT357" s="65"/>
      <c r="CU357" s="65"/>
      <c r="CV357" s="65"/>
      <c r="CW357" s="65"/>
      <c r="CX357" s="65"/>
      <c r="CY357" s="65"/>
      <c r="CZ357" s="65"/>
      <c r="DA357" s="65"/>
      <c r="DB357" s="65"/>
      <c r="DC357" s="65"/>
      <c r="DD357" s="65"/>
      <c r="DE357" s="65"/>
      <c r="DF357" s="65"/>
      <c r="DG357" s="65"/>
      <c r="DH357" s="65"/>
      <c r="DI357" s="65"/>
      <c r="DJ357" s="65"/>
      <c r="DK357" s="65"/>
      <c r="DL357" s="65"/>
      <c r="DM357" s="65"/>
      <c r="DN357" s="65"/>
      <c r="DO357" s="65"/>
      <c r="DP357" s="65"/>
      <c r="DQ357" s="65"/>
      <c r="DR357" s="65"/>
      <c r="DS357" s="65"/>
      <c r="DT357" s="65"/>
      <c r="DU357" s="65"/>
      <c r="DV357" s="65"/>
      <c r="DW357" s="65"/>
      <c r="DX357" s="65"/>
      <c r="DY357" s="65"/>
      <c r="DZ357" s="65"/>
      <c r="EA357" s="65"/>
      <c r="EB357" s="65"/>
      <c r="EC357" s="65"/>
      <c r="ED357" s="65"/>
      <c r="EE357" s="65"/>
      <c r="EF357" s="65"/>
      <c r="EG357" s="65"/>
      <c r="EH357" s="65"/>
      <c r="EI357" s="65"/>
      <c r="EJ357" s="65"/>
      <c r="EK357" s="65"/>
      <c r="EL357" s="65"/>
      <c r="EM357" s="65"/>
      <c r="EN357" s="65"/>
      <c r="EO357" s="65"/>
    </row>
    <row r="358" spans="1:145" s="62" customFormat="1" ht="12" thickBot="1" x14ac:dyDescent="0.25">
      <c r="A358" s="74">
        <v>15</v>
      </c>
      <c r="B358" s="243" t="str">
        <f>B37</f>
        <v>TOTAL AEP TEXAS</v>
      </c>
      <c r="C358" s="238"/>
      <c r="D358" s="186">
        <f t="shared" ref="D358:P358" si="78">+D356+D352</f>
        <v>-7475325.5800000001</v>
      </c>
      <c r="E358" s="186">
        <f t="shared" si="78"/>
        <v>-6293660.0700000003</v>
      </c>
      <c r="F358" s="186">
        <f t="shared" si="78"/>
        <v>-5591066.4699999997</v>
      </c>
      <c r="G358" s="186">
        <f t="shared" si="78"/>
        <v>-5684796</v>
      </c>
      <c r="H358" s="186">
        <f t="shared" si="78"/>
        <v>-6017272.8300000001</v>
      </c>
      <c r="I358" s="186">
        <f t="shared" si="78"/>
        <v>-7683619.8499999996</v>
      </c>
      <c r="J358" s="186">
        <f t="shared" si="78"/>
        <v>-7923578.0700000003</v>
      </c>
      <c r="K358" s="186">
        <f t="shared" si="78"/>
        <v>-8003534.2999999989</v>
      </c>
      <c r="L358" s="186">
        <f t="shared" si="78"/>
        <v>-5954436.4800000004</v>
      </c>
      <c r="M358" s="186">
        <f t="shared" si="78"/>
        <v>-4696107.5999999996</v>
      </c>
      <c r="N358" s="186">
        <f t="shared" si="78"/>
        <v>-4104876.05</v>
      </c>
      <c r="O358" s="186">
        <f t="shared" si="78"/>
        <v>-4381802.46</v>
      </c>
      <c r="P358" s="244">
        <f t="shared" si="78"/>
        <v>-73810075.75999999</v>
      </c>
      <c r="Q358" s="70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  <c r="AW358" s="65"/>
      <c r="AX358" s="65"/>
      <c r="AY358" s="65"/>
      <c r="AZ358" s="65"/>
      <c r="BA358" s="65"/>
      <c r="BB358" s="65"/>
      <c r="BC358" s="65"/>
      <c r="BD358" s="65"/>
      <c r="BE358" s="65"/>
      <c r="BF358" s="65"/>
      <c r="BG358" s="65"/>
      <c r="BH358" s="65"/>
      <c r="BI358" s="65"/>
      <c r="BJ358" s="65"/>
      <c r="BK358" s="65"/>
      <c r="BL358" s="65"/>
      <c r="BM358" s="65"/>
      <c r="BN358" s="65"/>
      <c r="BO358" s="65"/>
      <c r="BP358" s="65"/>
      <c r="BQ358" s="65"/>
      <c r="BR358" s="65"/>
      <c r="BS358" s="65"/>
      <c r="BT358" s="65"/>
      <c r="BU358" s="65"/>
      <c r="BV358" s="65"/>
      <c r="BW358" s="65"/>
      <c r="BX358" s="65"/>
      <c r="BY358" s="65"/>
      <c r="BZ358" s="65"/>
      <c r="CA358" s="65"/>
      <c r="CB358" s="65"/>
      <c r="CC358" s="65"/>
      <c r="CD358" s="65"/>
      <c r="CE358" s="65"/>
      <c r="CF358" s="65"/>
      <c r="CG358" s="65"/>
      <c r="CH358" s="65"/>
      <c r="CI358" s="65"/>
      <c r="CJ358" s="65"/>
      <c r="CK358" s="65"/>
      <c r="CL358" s="65"/>
      <c r="CM358" s="65"/>
      <c r="CN358" s="65"/>
      <c r="CO358" s="65"/>
      <c r="CP358" s="65"/>
      <c r="CQ358" s="65"/>
      <c r="CR358" s="65"/>
      <c r="CS358" s="65"/>
      <c r="CT358" s="65"/>
      <c r="CU358" s="65"/>
      <c r="CV358" s="65"/>
      <c r="CW358" s="65"/>
      <c r="CX358" s="65"/>
      <c r="CY358" s="65"/>
      <c r="CZ358" s="65"/>
      <c r="DA358" s="65"/>
      <c r="DB358" s="65"/>
      <c r="DC358" s="65"/>
      <c r="DD358" s="65"/>
      <c r="DE358" s="65"/>
      <c r="DF358" s="65"/>
      <c r="DG358" s="65"/>
      <c r="DH358" s="65"/>
      <c r="DI358" s="65"/>
      <c r="DJ358" s="65"/>
      <c r="DK358" s="65"/>
      <c r="DL358" s="65"/>
      <c r="DM358" s="65"/>
      <c r="DN358" s="65"/>
      <c r="DO358" s="65"/>
      <c r="DP358" s="65"/>
      <c r="DQ358" s="65"/>
      <c r="DR358" s="65"/>
      <c r="DS358" s="65"/>
      <c r="DT358" s="65"/>
      <c r="DU358" s="65"/>
      <c r="DV358" s="65"/>
      <c r="DW358" s="65"/>
      <c r="DX358" s="65"/>
      <c r="DY358" s="65"/>
      <c r="DZ358" s="65"/>
      <c r="EA358" s="65"/>
      <c r="EB358" s="65"/>
      <c r="EC358" s="65"/>
      <c r="ED358" s="65"/>
      <c r="EE358" s="65"/>
      <c r="EF358" s="65"/>
      <c r="EG358" s="65"/>
      <c r="EH358" s="65"/>
      <c r="EI358" s="65"/>
      <c r="EJ358" s="65"/>
      <c r="EK358" s="65"/>
      <c r="EL358" s="65"/>
      <c r="EM358" s="65"/>
      <c r="EN358" s="65"/>
      <c r="EO358" s="65"/>
    </row>
    <row r="359" spans="1:145" s="62" customFormat="1" ht="12" thickTop="1" x14ac:dyDescent="0.2">
      <c r="A359" s="74"/>
      <c r="B359" s="243"/>
      <c r="C359" s="238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27"/>
      <c r="Q359" s="70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  <c r="BD359" s="65"/>
      <c r="BE359" s="65"/>
      <c r="BF359" s="65"/>
      <c r="BG359" s="65"/>
      <c r="BH359" s="65"/>
      <c r="BI359" s="65"/>
      <c r="BJ359" s="65"/>
      <c r="BK359" s="65"/>
      <c r="BL359" s="65"/>
      <c r="BM359" s="65"/>
      <c r="BN359" s="65"/>
      <c r="BO359" s="65"/>
      <c r="BP359" s="65"/>
      <c r="BQ359" s="65"/>
      <c r="BR359" s="65"/>
      <c r="BS359" s="65"/>
      <c r="BT359" s="65"/>
      <c r="BU359" s="65"/>
      <c r="BV359" s="65"/>
      <c r="BW359" s="65"/>
      <c r="BX359" s="65"/>
      <c r="BY359" s="65"/>
      <c r="BZ359" s="65"/>
      <c r="CA359" s="65"/>
      <c r="CB359" s="65"/>
      <c r="CC359" s="65"/>
      <c r="CD359" s="65"/>
      <c r="CE359" s="65"/>
      <c r="CF359" s="65"/>
      <c r="CG359" s="65"/>
      <c r="CH359" s="65"/>
      <c r="CI359" s="65"/>
      <c r="CJ359" s="65"/>
      <c r="CK359" s="65"/>
      <c r="CL359" s="65"/>
      <c r="CM359" s="65"/>
      <c r="CN359" s="65"/>
      <c r="CO359" s="65"/>
      <c r="CP359" s="65"/>
      <c r="CQ359" s="65"/>
      <c r="CR359" s="65"/>
      <c r="CS359" s="65"/>
      <c r="CT359" s="65"/>
      <c r="CU359" s="65"/>
      <c r="CV359" s="65"/>
      <c r="CW359" s="65"/>
      <c r="CX359" s="65"/>
      <c r="CY359" s="65"/>
      <c r="CZ359" s="65"/>
      <c r="DA359" s="65"/>
      <c r="DB359" s="65"/>
      <c r="DC359" s="65"/>
      <c r="DD359" s="65"/>
      <c r="DE359" s="65"/>
      <c r="DF359" s="65"/>
      <c r="DG359" s="65"/>
      <c r="DH359" s="65"/>
      <c r="DI359" s="65"/>
      <c r="DJ359" s="65"/>
      <c r="DK359" s="65"/>
      <c r="DL359" s="65"/>
      <c r="DM359" s="65"/>
      <c r="DN359" s="65"/>
      <c r="DO359" s="65"/>
      <c r="DP359" s="65"/>
      <c r="DQ359" s="65"/>
      <c r="DR359" s="65"/>
      <c r="DS359" s="65"/>
      <c r="DT359" s="65"/>
      <c r="DU359" s="65"/>
      <c r="DV359" s="65"/>
      <c r="DW359" s="65"/>
      <c r="DX359" s="65"/>
      <c r="DY359" s="65"/>
      <c r="DZ359" s="65"/>
      <c r="EA359" s="65"/>
      <c r="EB359" s="65"/>
      <c r="EC359" s="65"/>
      <c r="ED359" s="65"/>
      <c r="EE359" s="65"/>
      <c r="EF359" s="65"/>
      <c r="EG359" s="65"/>
      <c r="EH359" s="65"/>
      <c r="EI359" s="65"/>
      <c r="EJ359" s="65"/>
      <c r="EK359" s="65"/>
      <c r="EL359" s="65"/>
      <c r="EM359" s="65"/>
      <c r="EN359" s="65"/>
      <c r="EO359" s="65"/>
    </row>
    <row r="360" spans="1:145" s="62" customFormat="1" x14ac:dyDescent="0.2">
      <c r="A360" s="74"/>
      <c r="B360" s="152"/>
      <c r="C360" s="238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  <c r="BD360" s="65"/>
      <c r="BE360" s="65"/>
      <c r="BF360" s="65"/>
      <c r="BG360" s="65"/>
      <c r="BH360" s="65"/>
      <c r="BI360" s="65"/>
      <c r="BJ360" s="65"/>
      <c r="BK360" s="65"/>
      <c r="BL360" s="65"/>
      <c r="BM360" s="65"/>
      <c r="BN360" s="65"/>
      <c r="BO360" s="65"/>
      <c r="BP360" s="65"/>
      <c r="BQ360" s="65"/>
      <c r="BR360" s="65"/>
      <c r="BS360" s="65"/>
      <c r="BT360" s="65"/>
      <c r="BU360" s="65"/>
      <c r="BV360" s="65"/>
      <c r="BW360" s="65"/>
      <c r="BX360" s="65"/>
      <c r="BY360" s="65"/>
      <c r="BZ360" s="65"/>
      <c r="CA360" s="65"/>
      <c r="CB360" s="65"/>
      <c r="CC360" s="65"/>
      <c r="CD360" s="65"/>
      <c r="CE360" s="65"/>
      <c r="CF360" s="65"/>
      <c r="CG360" s="65"/>
      <c r="CH360" s="65"/>
      <c r="CI360" s="65"/>
      <c r="CJ360" s="65"/>
      <c r="CK360" s="65"/>
      <c r="CL360" s="65"/>
      <c r="CM360" s="65"/>
      <c r="CN360" s="65"/>
      <c r="CO360" s="65"/>
      <c r="CP360" s="65"/>
      <c r="CQ360" s="65"/>
      <c r="CR360" s="65"/>
      <c r="CS360" s="65"/>
      <c r="CT360" s="65"/>
      <c r="CU360" s="65"/>
      <c r="CV360" s="65"/>
      <c r="CW360" s="65"/>
      <c r="CX360" s="65"/>
      <c r="CY360" s="65"/>
      <c r="CZ360" s="65"/>
      <c r="DA360" s="65"/>
      <c r="DB360" s="65"/>
      <c r="DC360" s="65"/>
      <c r="DD360" s="65"/>
      <c r="DE360" s="65"/>
      <c r="DF360" s="65"/>
      <c r="DG360" s="65"/>
      <c r="DH360" s="65"/>
      <c r="DI360" s="65"/>
      <c r="DJ360" s="65"/>
      <c r="DK360" s="65"/>
      <c r="DL360" s="65"/>
      <c r="DM360" s="65"/>
      <c r="DN360" s="65"/>
      <c r="DO360" s="65"/>
      <c r="DP360" s="65"/>
      <c r="DQ360" s="65"/>
      <c r="DR360" s="65"/>
      <c r="DS360" s="65"/>
      <c r="DT360" s="65"/>
      <c r="DU360" s="65"/>
      <c r="DV360" s="65"/>
      <c r="DW360" s="65"/>
      <c r="DX360" s="65"/>
      <c r="DY360" s="65"/>
      <c r="DZ360" s="65"/>
      <c r="EA360" s="65"/>
      <c r="EB360" s="65"/>
      <c r="EC360" s="65"/>
      <c r="ED360" s="65"/>
      <c r="EE360" s="65"/>
      <c r="EF360" s="65"/>
      <c r="EG360" s="65"/>
      <c r="EH360" s="65"/>
      <c r="EI360" s="65"/>
      <c r="EJ360" s="65"/>
      <c r="EK360" s="65"/>
      <c r="EL360" s="65"/>
      <c r="EM360" s="65"/>
      <c r="EN360" s="65"/>
      <c r="EO360" s="65"/>
    </row>
    <row r="361" spans="1:145" s="62" customFormat="1" ht="12.75" customHeight="1" x14ac:dyDescent="0.2">
      <c r="B361" s="391" t="str">
        <f>B8</f>
        <v>AEP TEXAS</v>
      </c>
      <c r="C361" s="391"/>
      <c r="D361" s="391"/>
      <c r="E361" s="391"/>
      <c r="F361" s="391"/>
      <c r="G361" s="391"/>
      <c r="H361" s="391"/>
      <c r="I361" s="391"/>
      <c r="J361" s="391"/>
      <c r="K361" s="391"/>
      <c r="L361" s="391"/>
      <c r="M361" s="391"/>
      <c r="N361" s="391"/>
      <c r="O361" s="391"/>
      <c r="P361" s="391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  <c r="AW361" s="65"/>
      <c r="AX361" s="65"/>
      <c r="AY361" s="65"/>
      <c r="AZ361" s="65"/>
      <c r="BA361" s="65"/>
      <c r="BB361" s="65"/>
      <c r="BC361" s="65"/>
      <c r="BD361" s="65"/>
      <c r="BE361" s="65"/>
      <c r="BF361" s="65"/>
      <c r="BG361" s="65"/>
      <c r="BH361" s="65"/>
      <c r="BI361" s="65"/>
      <c r="BJ361" s="65"/>
      <c r="BK361" s="65"/>
      <c r="BL361" s="65"/>
      <c r="BM361" s="65"/>
      <c r="BN361" s="65"/>
      <c r="BO361" s="65"/>
      <c r="BP361" s="65"/>
      <c r="BQ361" s="65"/>
      <c r="BR361" s="65"/>
      <c r="BS361" s="65"/>
      <c r="BT361" s="65"/>
      <c r="BU361" s="65"/>
      <c r="BV361" s="65"/>
      <c r="BW361" s="65"/>
      <c r="BX361" s="65"/>
      <c r="BY361" s="65"/>
      <c r="BZ361" s="65"/>
      <c r="CA361" s="65"/>
      <c r="CB361" s="65"/>
      <c r="CC361" s="65"/>
      <c r="CD361" s="65"/>
      <c r="CE361" s="65"/>
      <c r="CF361" s="65"/>
      <c r="CG361" s="65"/>
      <c r="CH361" s="65"/>
      <c r="CI361" s="65"/>
      <c r="CJ361" s="65"/>
      <c r="CK361" s="65"/>
      <c r="CL361" s="65"/>
      <c r="CM361" s="65"/>
      <c r="CN361" s="65"/>
      <c r="CO361" s="65"/>
      <c r="CP361" s="65"/>
      <c r="CQ361" s="65"/>
      <c r="CR361" s="65"/>
      <c r="CS361" s="65"/>
      <c r="CT361" s="65"/>
      <c r="CU361" s="65"/>
      <c r="CV361" s="65"/>
      <c r="CW361" s="65"/>
      <c r="CX361" s="65"/>
      <c r="CY361" s="65"/>
      <c r="CZ361" s="65"/>
      <c r="DA361" s="65"/>
      <c r="DB361" s="65"/>
      <c r="DC361" s="65"/>
      <c r="DD361" s="65"/>
      <c r="DE361" s="65"/>
      <c r="DF361" s="65"/>
      <c r="DG361" s="65"/>
      <c r="DH361" s="65"/>
      <c r="DI361" s="65"/>
      <c r="DJ361" s="65"/>
      <c r="DK361" s="65"/>
      <c r="DL361" s="65"/>
      <c r="DM361" s="65"/>
      <c r="DN361" s="65"/>
      <c r="DO361" s="65"/>
      <c r="DP361" s="65"/>
      <c r="DQ361" s="65"/>
      <c r="DR361" s="65"/>
      <c r="DS361" s="65"/>
      <c r="DT361" s="65"/>
      <c r="DU361" s="65"/>
      <c r="DV361" s="65"/>
      <c r="DW361" s="65"/>
      <c r="DX361" s="65"/>
      <c r="DY361" s="65"/>
      <c r="DZ361" s="65"/>
      <c r="EA361" s="65"/>
      <c r="EB361" s="65"/>
      <c r="EC361" s="65"/>
      <c r="ED361" s="65"/>
      <c r="EE361" s="65"/>
      <c r="EF361" s="65"/>
      <c r="EG361" s="65"/>
      <c r="EH361" s="65"/>
      <c r="EI361" s="65"/>
      <c r="EJ361" s="65"/>
      <c r="EK361" s="65"/>
      <c r="EL361" s="65"/>
      <c r="EM361" s="65"/>
      <c r="EN361" s="65"/>
      <c r="EO361" s="65"/>
    </row>
    <row r="362" spans="1:145" s="62" customFormat="1" x14ac:dyDescent="0.2">
      <c r="B362" s="390" t="s">
        <v>63</v>
      </c>
      <c r="C362" s="391"/>
      <c r="D362" s="391"/>
      <c r="E362" s="391"/>
      <c r="F362" s="391"/>
      <c r="G362" s="391"/>
      <c r="H362" s="391"/>
      <c r="I362" s="391"/>
      <c r="J362" s="391"/>
      <c r="K362" s="391"/>
      <c r="L362" s="391"/>
      <c r="M362" s="391"/>
      <c r="N362" s="391"/>
      <c r="O362" s="391"/>
      <c r="P362" s="391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  <c r="AT362" s="65"/>
      <c r="AU362" s="65"/>
      <c r="AV362" s="65"/>
      <c r="AW362" s="65"/>
      <c r="AX362" s="65"/>
      <c r="AY362" s="65"/>
      <c r="AZ362" s="65"/>
      <c r="BA362" s="65"/>
      <c r="BB362" s="65"/>
      <c r="BC362" s="65"/>
      <c r="BD362" s="65"/>
      <c r="BE362" s="65"/>
      <c r="BF362" s="65"/>
      <c r="BG362" s="65"/>
      <c r="BH362" s="65"/>
      <c r="BI362" s="65"/>
      <c r="BJ362" s="65"/>
      <c r="BK362" s="65"/>
      <c r="BL362" s="65"/>
      <c r="BM362" s="65"/>
      <c r="BN362" s="65"/>
      <c r="BO362" s="65"/>
      <c r="BP362" s="65"/>
      <c r="BQ362" s="65"/>
      <c r="BR362" s="65"/>
      <c r="BS362" s="65"/>
      <c r="BT362" s="65"/>
      <c r="BU362" s="65"/>
      <c r="BV362" s="65"/>
      <c r="BW362" s="65"/>
      <c r="BX362" s="65"/>
      <c r="BY362" s="65"/>
      <c r="BZ362" s="65"/>
      <c r="CA362" s="65"/>
      <c r="CB362" s="65"/>
      <c r="CC362" s="65"/>
      <c r="CD362" s="65"/>
      <c r="CE362" s="65"/>
      <c r="CF362" s="65"/>
      <c r="CG362" s="65"/>
      <c r="CH362" s="65"/>
      <c r="CI362" s="65"/>
      <c r="CJ362" s="65"/>
      <c r="CK362" s="65"/>
      <c r="CL362" s="65"/>
      <c r="CM362" s="65"/>
      <c r="CN362" s="65"/>
      <c r="CO362" s="65"/>
      <c r="CP362" s="65"/>
      <c r="CQ362" s="65"/>
      <c r="CR362" s="65"/>
      <c r="CS362" s="65"/>
      <c r="CT362" s="65"/>
      <c r="CU362" s="65"/>
      <c r="CV362" s="65"/>
      <c r="CW362" s="65"/>
      <c r="CX362" s="65"/>
      <c r="CY362" s="65"/>
      <c r="CZ362" s="65"/>
      <c r="DA362" s="65"/>
      <c r="DB362" s="65"/>
      <c r="DC362" s="65"/>
      <c r="DD362" s="65"/>
      <c r="DE362" s="65"/>
      <c r="DF362" s="65"/>
      <c r="DG362" s="65"/>
      <c r="DH362" s="65"/>
      <c r="DI362" s="65"/>
      <c r="DJ362" s="65"/>
      <c r="DK362" s="65"/>
      <c r="DL362" s="65"/>
      <c r="DM362" s="65"/>
      <c r="DN362" s="65"/>
      <c r="DO362" s="65"/>
      <c r="DP362" s="65"/>
      <c r="DQ362" s="65"/>
      <c r="DR362" s="65"/>
      <c r="DS362" s="65"/>
      <c r="DT362" s="65"/>
      <c r="DU362" s="65"/>
      <c r="DV362" s="65"/>
      <c r="DW362" s="65"/>
      <c r="DX362" s="65"/>
      <c r="DY362" s="65"/>
      <c r="DZ362" s="65"/>
      <c r="EA362" s="65"/>
      <c r="EB362" s="65"/>
      <c r="EC362" s="65"/>
      <c r="ED362" s="65"/>
      <c r="EE362" s="65"/>
      <c r="EF362" s="65"/>
      <c r="EG362" s="65"/>
      <c r="EH362" s="65"/>
      <c r="EI362" s="65"/>
      <c r="EJ362" s="65"/>
      <c r="EK362" s="65"/>
      <c r="EL362" s="65"/>
      <c r="EM362" s="65"/>
      <c r="EN362" s="65"/>
      <c r="EO362" s="65"/>
    </row>
    <row r="363" spans="1:145" s="62" customFormat="1" x14ac:dyDescent="0.2">
      <c r="B363" s="391" t="str">
        <f>B10</f>
        <v>FOR TEST YEAR ENDED DECEMBER 31, 2018</v>
      </c>
      <c r="C363" s="391"/>
      <c r="D363" s="391"/>
      <c r="E363" s="391"/>
      <c r="F363" s="391"/>
      <c r="G363" s="391"/>
      <c r="H363" s="391"/>
      <c r="I363" s="391"/>
      <c r="J363" s="391"/>
      <c r="K363" s="391"/>
      <c r="L363" s="391"/>
      <c r="M363" s="391"/>
      <c r="N363" s="391"/>
      <c r="O363" s="391"/>
      <c r="P363" s="391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  <c r="BD363" s="65"/>
      <c r="BE363" s="65"/>
      <c r="BF363" s="65"/>
      <c r="BG363" s="65"/>
      <c r="BH363" s="65"/>
      <c r="BI363" s="65"/>
      <c r="BJ363" s="65"/>
      <c r="BK363" s="65"/>
      <c r="BL363" s="65"/>
      <c r="BM363" s="65"/>
      <c r="BN363" s="65"/>
      <c r="BO363" s="65"/>
      <c r="BP363" s="65"/>
      <c r="BQ363" s="65"/>
      <c r="BR363" s="65"/>
      <c r="BS363" s="65"/>
      <c r="BT363" s="65"/>
      <c r="BU363" s="65"/>
      <c r="BV363" s="65"/>
      <c r="BW363" s="65"/>
      <c r="BX363" s="65"/>
      <c r="BY363" s="65"/>
      <c r="BZ363" s="65"/>
      <c r="CA363" s="65"/>
      <c r="CB363" s="65"/>
      <c r="CC363" s="65"/>
      <c r="CD363" s="65"/>
      <c r="CE363" s="65"/>
      <c r="CF363" s="65"/>
      <c r="CG363" s="65"/>
      <c r="CH363" s="65"/>
      <c r="CI363" s="65"/>
      <c r="CJ363" s="65"/>
      <c r="CK363" s="65"/>
      <c r="CL363" s="65"/>
      <c r="CM363" s="65"/>
      <c r="CN363" s="65"/>
      <c r="CO363" s="65"/>
      <c r="CP363" s="65"/>
      <c r="CQ363" s="65"/>
      <c r="CR363" s="65"/>
      <c r="CS363" s="65"/>
      <c r="CT363" s="65"/>
      <c r="CU363" s="65"/>
      <c r="CV363" s="65"/>
      <c r="CW363" s="65"/>
      <c r="CX363" s="65"/>
      <c r="CY363" s="65"/>
      <c r="CZ363" s="65"/>
      <c r="DA363" s="65"/>
      <c r="DB363" s="65"/>
      <c r="DC363" s="65"/>
      <c r="DD363" s="65"/>
      <c r="DE363" s="65"/>
      <c r="DF363" s="65"/>
      <c r="DG363" s="65"/>
      <c r="DH363" s="65"/>
      <c r="DI363" s="65"/>
      <c r="DJ363" s="65"/>
      <c r="DK363" s="65"/>
      <c r="DL363" s="65"/>
      <c r="DM363" s="65"/>
      <c r="DN363" s="65"/>
      <c r="DO363" s="65"/>
      <c r="DP363" s="65"/>
      <c r="DQ363" s="65"/>
      <c r="DR363" s="65"/>
      <c r="DS363" s="65"/>
      <c r="DT363" s="65"/>
      <c r="DU363" s="65"/>
      <c r="DV363" s="65"/>
      <c r="DW363" s="65"/>
      <c r="DX363" s="65"/>
      <c r="DY363" s="65"/>
      <c r="DZ363" s="65"/>
      <c r="EA363" s="65"/>
      <c r="EB363" s="65"/>
      <c r="EC363" s="65"/>
      <c r="ED363" s="65"/>
      <c r="EE363" s="65"/>
      <c r="EF363" s="65"/>
      <c r="EG363" s="65"/>
      <c r="EH363" s="65"/>
      <c r="EI363" s="65"/>
      <c r="EJ363" s="65"/>
      <c r="EK363" s="65"/>
      <c r="EL363" s="65"/>
      <c r="EM363" s="65"/>
      <c r="EN363" s="65"/>
      <c r="EO363" s="65"/>
    </row>
    <row r="364" spans="1:145" x14ac:dyDescent="0.2">
      <c r="B364" s="257"/>
      <c r="C364" s="257"/>
      <c r="D364" s="257"/>
      <c r="E364" s="257"/>
      <c r="F364" s="257"/>
      <c r="G364" s="257"/>
      <c r="H364" s="257"/>
      <c r="I364" s="257"/>
      <c r="J364" s="257"/>
      <c r="K364" s="257"/>
      <c r="L364" s="257"/>
      <c r="M364" s="257"/>
      <c r="N364" s="257"/>
      <c r="O364" s="257"/>
      <c r="P364" s="257"/>
    </row>
    <row r="365" spans="1:145" x14ac:dyDescent="0.2">
      <c r="B365" s="258"/>
      <c r="C365" s="259"/>
      <c r="D365" s="260"/>
      <c r="E365" s="127"/>
      <c r="F365" s="127"/>
      <c r="G365" s="261"/>
      <c r="H365" s="127"/>
      <c r="I365" s="127"/>
      <c r="J365" s="157"/>
      <c r="K365" s="127"/>
      <c r="L365" s="127"/>
      <c r="M365" s="127"/>
      <c r="N365" s="127"/>
      <c r="O365" s="172"/>
      <c r="P365" s="127"/>
    </row>
    <row r="366" spans="1:145" x14ac:dyDescent="0.2">
      <c r="A366" s="38" t="s">
        <v>20</v>
      </c>
      <c r="B366" s="237" t="s">
        <v>0</v>
      </c>
      <c r="C366" s="237" t="s">
        <v>19</v>
      </c>
      <c r="D366" s="262" t="str">
        <f t="shared" ref="D366:J366" si="79">D13</f>
        <v>JANUARY</v>
      </c>
      <c r="E366" s="262" t="str">
        <f t="shared" si="79"/>
        <v>FEBRUARY</v>
      </c>
      <c r="F366" s="262" t="str">
        <f t="shared" si="79"/>
        <v>MARCH</v>
      </c>
      <c r="G366" s="262" t="str">
        <f t="shared" si="79"/>
        <v>APRIL</v>
      </c>
      <c r="H366" s="262" t="str">
        <f t="shared" si="79"/>
        <v>MAY</v>
      </c>
      <c r="I366" s="262" t="str">
        <f t="shared" si="79"/>
        <v>JUNE</v>
      </c>
      <c r="J366" s="262" t="str">
        <f t="shared" si="79"/>
        <v>JULY</v>
      </c>
      <c r="K366" s="262" t="str">
        <f t="shared" ref="K366:P366" si="80">K13</f>
        <v>AUGUST</v>
      </c>
      <c r="L366" s="262" t="str">
        <f t="shared" si="80"/>
        <v>SEPTEMBER</v>
      </c>
      <c r="M366" s="262" t="str">
        <f t="shared" si="80"/>
        <v>OCTOBER</v>
      </c>
      <c r="N366" s="262" t="str">
        <f t="shared" si="80"/>
        <v>NOVEMBER</v>
      </c>
      <c r="O366" s="262" t="str">
        <f t="shared" si="80"/>
        <v>DECEMBER</v>
      </c>
      <c r="P366" s="262" t="str">
        <f t="shared" si="80"/>
        <v>TOTAL</v>
      </c>
    </row>
    <row r="367" spans="1:145" x14ac:dyDescent="0.2">
      <c r="B367" s="148"/>
      <c r="C367" s="263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72"/>
      <c r="P367" s="264"/>
    </row>
    <row r="368" spans="1:145" s="129" customFormat="1" x14ac:dyDescent="0.2">
      <c r="A368" s="141" t="s">
        <v>21</v>
      </c>
      <c r="B368" s="129" t="s">
        <v>29</v>
      </c>
      <c r="C368" s="143" t="s">
        <v>16</v>
      </c>
      <c r="D368" s="149">
        <f>'[4]II-H-4.1 Monthly'!D361+'[5]II-H-4.1 Monthly'!D298</f>
        <v>253034.61375228933</v>
      </c>
      <c r="E368" s="149">
        <f>'[4]II-H-4.1 Monthly'!E361+'[5]II-H-4.1 Monthly'!E298</f>
        <v>204249.6461538414</v>
      </c>
      <c r="F368" s="149">
        <f>'[4]II-H-4.1 Monthly'!F361+'[5]II-H-4.1 Monthly'!F298</f>
        <v>162415.89893361845</v>
      </c>
      <c r="G368" s="149">
        <f>'[4]II-H-4.1 Monthly'!G361+'[5]II-H-4.1 Monthly'!G298</f>
        <v>141299.78759452331</v>
      </c>
      <c r="H368" s="149">
        <f>'[4]II-H-4.1 Monthly'!H361+'[5]II-H-4.1 Monthly'!H298</f>
        <v>129661.91523512838</v>
      </c>
      <c r="I368" s="149">
        <f>'[4]II-H-4.1 Monthly'!I361+'[5]II-H-4.1 Monthly'!I298</f>
        <v>161146.54486378492</v>
      </c>
      <c r="J368" s="149">
        <f>'[4]II-H-4.1 Monthly'!J361+'[5]II-H-4.1 Monthly'!J298</f>
        <v>176523.06180176084</v>
      </c>
      <c r="K368" s="149">
        <f>'[4]II-H-4.1 Monthly'!K361+'[5]II-H-4.1 Monthly'!K298</f>
        <v>33176.443166282566</v>
      </c>
      <c r="L368" s="149">
        <f>'[4]II-H-4.1 Monthly'!L361+'[5]II-H-4.1 Monthly'!L298</f>
        <v>30113.842267496886</v>
      </c>
      <c r="M368" s="149">
        <f>'[4]II-H-4.1 Monthly'!M361+'[5]II-H-4.1 Monthly'!M298</f>
        <v>17642.40700610288</v>
      </c>
      <c r="N368" s="149">
        <f>'[4]II-H-4.1 Monthly'!N361+'[5]II-H-4.1 Monthly'!N298</f>
        <v>7082.9694110296914</v>
      </c>
      <c r="O368" s="149">
        <f>'[4]II-H-4.1 Monthly'!O361+'[5]II-H-4.1 Monthly'!O298</f>
        <v>0</v>
      </c>
      <c r="P368" s="149">
        <f>SUM(D368:O368)</f>
        <v>1316347.1301858588</v>
      </c>
      <c r="Q368" s="198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7"/>
      <c r="AF368" s="117"/>
      <c r="AG368" s="117"/>
      <c r="AH368" s="117"/>
      <c r="AI368" s="117"/>
      <c r="AJ368" s="117"/>
      <c r="AK368" s="117"/>
      <c r="AL368" s="117"/>
      <c r="AM368" s="117"/>
      <c r="AN368" s="117"/>
      <c r="AO368" s="117"/>
      <c r="AP368" s="117"/>
      <c r="AQ368" s="117"/>
      <c r="AR368" s="117"/>
      <c r="AS368" s="117"/>
      <c r="AT368" s="117"/>
      <c r="AU368" s="117"/>
      <c r="AV368" s="117"/>
      <c r="AW368" s="117"/>
      <c r="AX368" s="117"/>
      <c r="AY368" s="117"/>
      <c r="AZ368" s="117"/>
      <c r="BA368" s="117"/>
      <c r="BB368" s="117"/>
      <c r="BC368" s="117"/>
      <c r="BD368" s="117"/>
      <c r="BE368" s="117"/>
      <c r="BF368" s="117"/>
      <c r="BG368" s="117"/>
      <c r="BH368" s="117"/>
      <c r="BI368" s="117"/>
      <c r="BJ368" s="117"/>
      <c r="BK368" s="117"/>
      <c r="BL368" s="117"/>
      <c r="BM368" s="117"/>
      <c r="BN368" s="117"/>
      <c r="BO368" s="117"/>
      <c r="BP368" s="117"/>
      <c r="BQ368" s="117"/>
      <c r="BR368" s="117"/>
      <c r="BS368" s="117"/>
      <c r="BT368" s="117"/>
      <c r="BU368" s="117"/>
      <c r="BV368" s="117"/>
      <c r="BW368" s="117"/>
      <c r="BX368" s="117"/>
      <c r="BY368" s="117"/>
      <c r="BZ368" s="117"/>
      <c r="CA368" s="117"/>
      <c r="CB368" s="117"/>
      <c r="CC368" s="117"/>
      <c r="CD368" s="117"/>
      <c r="CE368" s="117"/>
      <c r="CF368" s="117"/>
      <c r="CG368" s="117"/>
      <c r="CH368" s="117"/>
      <c r="CI368" s="117"/>
      <c r="CJ368" s="117"/>
      <c r="CK368" s="117"/>
      <c r="CL368" s="117"/>
      <c r="CM368" s="117"/>
      <c r="CN368" s="117"/>
      <c r="CO368" s="117"/>
      <c r="CP368" s="117"/>
      <c r="CQ368" s="117"/>
      <c r="CR368" s="117"/>
      <c r="CS368" s="117"/>
      <c r="CT368" s="117"/>
      <c r="CU368" s="117"/>
      <c r="CV368" s="117"/>
      <c r="CW368" s="117"/>
      <c r="CX368" s="117"/>
      <c r="CY368" s="117"/>
      <c r="CZ368" s="117"/>
      <c r="DA368" s="117"/>
      <c r="DB368" s="117"/>
      <c r="DC368" s="117"/>
      <c r="DD368" s="117"/>
      <c r="DE368" s="117"/>
      <c r="DF368" s="117"/>
      <c r="DG368" s="117"/>
      <c r="DH368" s="117"/>
      <c r="DI368" s="117"/>
      <c r="DJ368" s="117"/>
      <c r="DK368" s="117"/>
      <c r="DL368" s="117"/>
      <c r="DM368" s="117"/>
      <c r="DN368" s="117"/>
      <c r="DO368" s="117"/>
      <c r="DP368" s="117"/>
      <c r="DQ368" s="117"/>
      <c r="DR368" s="117"/>
      <c r="DS368" s="117"/>
      <c r="DT368" s="117"/>
      <c r="DU368" s="117"/>
      <c r="DV368" s="117"/>
      <c r="DW368" s="117"/>
      <c r="DX368" s="117"/>
      <c r="DY368" s="117"/>
      <c r="DZ368" s="117"/>
      <c r="EA368" s="117"/>
      <c r="EB368" s="117"/>
      <c r="EC368" s="117"/>
      <c r="ED368" s="117"/>
      <c r="EE368" s="117"/>
      <c r="EF368" s="117"/>
      <c r="EG368" s="117"/>
      <c r="EH368" s="117"/>
      <c r="EI368" s="117"/>
      <c r="EJ368" s="117"/>
      <c r="EK368" s="117"/>
      <c r="EL368" s="117"/>
      <c r="EM368" s="117"/>
      <c r="EN368" s="117"/>
      <c r="EO368" s="117"/>
    </row>
    <row r="369" spans="1:145" s="62" customFormat="1" x14ac:dyDescent="0.2">
      <c r="B369" s="129"/>
      <c r="C369" s="143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56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  <c r="AT369" s="65"/>
      <c r="AU369" s="65"/>
      <c r="AV369" s="65"/>
      <c r="AW369" s="65"/>
      <c r="AX369" s="65"/>
      <c r="AY369" s="65"/>
      <c r="AZ369" s="65"/>
      <c r="BA369" s="65"/>
      <c r="BB369" s="65"/>
      <c r="BC369" s="65"/>
      <c r="BD369" s="65"/>
      <c r="BE369" s="65"/>
      <c r="BF369" s="65"/>
      <c r="BG369" s="65"/>
      <c r="BH369" s="65"/>
      <c r="BI369" s="65"/>
      <c r="BJ369" s="65"/>
      <c r="BK369" s="65"/>
      <c r="BL369" s="65"/>
      <c r="BM369" s="65"/>
      <c r="BN369" s="65"/>
      <c r="BO369" s="65"/>
      <c r="BP369" s="65"/>
      <c r="BQ369" s="65"/>
      <c r="BR369" s="65"/>
      <c r="BS369" s="65"/>
      <c r="BT369" s="65"/>
      <c r="BU369" s="65"/>
      <c r="BV369" s="65"/>
      <c r="BW369" s="65"/>
      <c r="BX369" s="65"/>
      <c r="BY369" s="65"/>
      <c r="BZ369" s="65"/>
      <c r="CA369" s="65"/>
      <c r="CB369" s="65"/>
      <c r="CC369" s="65"/>
      <c r="CD369" s="65"/>
      <c r="CE369" s="65"/>
      <c r="CF369" s="65"/>
      <c r="CG369" s="65"/>
      <c r="CH369" s="65"/>
      <c r="CI369" s="65"/>
      <c r="CJ369" s="65"/>
      <c r="CK369" s="65"/>
      <c r="CL369" s="65"/>
      <c r="CM369" s="65"/>
      <c r="CN369" s="65"/>
      <c r="CO369" s="65"/>
      <c r="CP369" s="65"/>
      <c r="CQ369" s="65"/>
      <c r="CR369" s="65"/>
      <c r="CS369" s="65"/>
      <c r="CT369" s="65"/>
      <c r="CU369" s="65"/>
      <c r="CV369" s="65"/>
      <c r="CW369" s="65"/>
      <c r="CX369" s="65"/>
      <c r="CY369" s="65"/>
      <c r="CZ369" s="65"/>
      <c r="DA369" s="65"/>
      <c r="DB369" s="65"/>
      <c r="DC369" s="65"/>
      <c r="DD369" s="65"/>
      <c r="DE369" s="65"/>
      <c r="DF369" s="65"/>
      <c r="DG369" s="65"/>
      <c r="DH369" s="65"/>
      <c r="DI369" s="65"/>
      <c r="DJ369" s="65"/>
      <c r="DK369" s="65"/>
      <c r="DL369" s="65"/>
      <c r="DM369" s="65"/>
      <c r="DN369" s="65"/>
      <c r="DO369" s="65"/>
      <c r="DP369" s="65"/>
      <c r="DQ369" s="65"/>
      <c r="DR369" s="65"/>
      <c r="DS369" s="65"/>
      <c r="DT369" s="65"/>
      <c r="DU369" s="65"/>
      <c r="DV369" s="65"/>
      <c r="DW369" s="65"/>
      <c r="DX369" s="65"/>
      <c r="DY369" s="65"/>
      <c r="DZ369" s="65"/>
      <c r="EA369" s="65"/>
      <c r="EB369" s="65"/>
      <c r="EC369" s="65"/>
      <c r="ED369" s="65"/>
      <c r="EE369" s="65"/>
      <c r="EF369" s="65"/>
      <c r="EG369" s="65"/>
      <c r="EH369" s="65"/>
      <c r="EI369" s="65"/>
      <c r="EJ369" s="65"/>
      <c r="EK369" s="65"/>
      <c r="EL369" s="65"/>
      <c r="EM369" s="65"/>
      <c r="EN369" s="65"/>
      <c r="EO369" s="65"/>
    </row>
    <row r="370" spans="1:145" s="62" customFormat="1" x14ac:dyDescent="0.2">
      <c r="A370" s="74">
        <v>2</v>
      </c>
      <c r="B370" s="129" t="s">
        <v>32</v>
      </c>
      <c r="C370" s="143" t="s">
        <v>16</v>
      </c>
      <c r="D370" s="122">
        <f>'[4]II-H-4.1 Monthly'!D363+'[5]II-H-4.1 Monthly'!D300</f>
        <v>-18444.3218781051</v>
      </c>
      <c r="E370" s="122">
        <f>'[4]II-H-4.1 Monthly'!E363+'[5]II-H-4.1 Monthly'!E300</f>
        <v>6470.8238389105627</v>
      </c>
      <c r="F370" s="122">
        <f>'[4]II-H-4.1 Monthly'!F363+'[5]II-H-4.1 Monthly'!F300</f>
        <v>9524.541800572968</v>
      </c>
      <c r="G370" s="122">
        <f>'[4]II-H-4.1 Monthly'!G363+'[5]II-H-4.1 Monthly'!G300</f>
        <v>5148.8113486318161</v>
      </c>
      <c r="H370" s="122">
        <f>'[4]II-H-4.1 Monthly'!H363+'[5]II-H-4.1 Monthly'!H300</f>
        <v>1122.6000747132625</v>
      </c>
      <c r="I370" s="122">
        <f>'[4]II-H-4.1 Monthly'!I363+'[5]II-H-4.1 Monthly'!I300</f>
        <v>-1611.3924253968457</v>
      </c>
      <c r="J370" s="122">
        <f>'[4]II-H-4.1 Monthly'!J363+'[5]II-H-4.1 Monthly'!J300</f>
        <v>-3369.0039231363958</v>
      </c>
      <c r="K370" s="122">
        <f>'[4]II-H-4.1 Monthly'!K363+'[5]II-H-4.1 Monthly'!K300</f>
        <v>-8758.4631893007299</v>
      </c>
      <c r="L370" s="122">
        <f>'[4]II-H-4.1 Monthly'!L363+'[5]II-H-4.1 Monthly'!L300</f>
        <v>-3621.5516742484833</v>
      </c>
      <c r="M370" s="122">
        <f>'[4]II-H-4.1 Monthly'!M363+'[5]II-H-4.1 Monthly'!M300</f>
        <v>-4317.3100510680797</v>
      </c>
      <c r="N370" s="122">
        <f>'[4]II-H-4.1 Monthly'!N363+'[5]II-H-4.1 Monthly'!N300</f>
        <v>-1433.8468867307693</v>
      </c>
      <c r="O370" s="122">
        <f>'II-H-3.1-3'!O48*(3.2+3.68+4.17)+'II-H-1.2'!O76*(0.015489+0.00676)*(1-'II-H-4.1 Functions'!$W$17)</f>
        <v>0</v>
      </c>
      <c r="P370" s="122">
        <f>SUM(D370:O370)</f>
        <v>-19289.112965157794</v>
      </c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  <c r="AT370" s="65"/>
      <c r="AU370" s="65"/>
      <c r="AV370" s="65"/>
      <c r="AW370" s="65"/>
      <c r="AX370" s="65"/>
      <c r="AY370" s="65"/>
      <c r="AZ370" s="65"/>
      <c r="BA370" s="65"/>
      <c r="BB370" s="65"/>
      <c r="BC370" s="65"/>
      <c r="BD370" s="65"/>
      <c r="BE370" s="65"/>
      <c r="BF370" s="65"/>
      <c r="BG370" s="65"/>
      <c r="BH370" s="65"/>
      <c r="BI370" s="65"/>
      <c r="BJ370" s="65"/>
      <c r="BK370" s="65"/>
      <c r="BL370" s="65"/>
      <c r="BM370" s="65"/>
      <c r="BN370" s="65"/>
      <c r="BO370" s="65"/>
      <c r="BP370" s="65"/>
      <c r="BQ370" s="65"/>
      <c r="BR370" s="65"/>
      <c r="BS370" s="65"/>
      <c r="BT370" s="65"/>
      <c r="BU370" s="65"/>
      <c r="BV370" s="65"/>
      <c r="BW370" s="65"/>
      <c r="BX370" s="65"/>
      <c r="BY370" s="65"/>
      <c r="BZ370" s="65"/>
      <c r="CA370" s="65"/>
      <c r="CB370" s="65"/>
      <c r="CC370" s="65"/>
      <c r="CD370" s="65"/>
      <c r="CE370" s="65"/>
      <c r="CF370" s="65"/>
      <c r="CG370" s="65"/>
      <c r="CH370" s="65"/>
      <c r="CI370" s="65"/>
      <c r="CJ370" s="65"/>
      <c r="CK370" s="65"/>
      <c r="CL370" s="65"/>
      <c r="CM370" s="65"/>
      <c r="CN370" s="65"/>
      <c r="CO370" s="65"/>
      <c r="CP370" s="65"/>
      <c r="CQ370" s="65"/>
      <c r="CR370" s="65"/>
      <c r="CS370" s="65"/>
      <c r="CT370" s="65"/>
      <c r="CU370" s="65"/>
      <c r="CV370" s="65"/>
      <c r="CW370" s="65"/>
      <c r="CX370" s="65"/>
      <c r="CY370" s="65"/>
      <c r="CZ370" s="65"/>
      <c r="DA370" s="65"/>
      <c r="DB370" s="65"/>
      <c r="DC370" s="65"/>
      <c r="DD370" s="65"/>
      <c r="DE370" s="65"/>
      <c r="DF370" s="65"/>
      <c r="DG370" s="65"/>
      <c r="DH370" s="65"/>
      <c r="DI370" s="65"/>
      <c r="DJ370" s="65"/>
      <c r="DK370" s="65"/>
      <c r="DL370" s="65"/>
      <c r="DM370" s="65"/>
      <c r="DN370" s="65"/>
      <c r="DO370" s="65"/>
      <c r="DP370" s="65"/>
      <c r="DQ370" s="65"/>
      <c r="DR370" s="65"/>
      <c r="DS370" s="65"/>
      <c r="DT370" s="65"/>
      <c r="DU370" s="65"/>
      <c r="DV370" s="65"/>
      <c r="DW370" s="65"/>
      <c r="DX370" s="65"/>
      <c r="DY370" s="65"/>
      <c r="DZ370" s="65"/>
      <c r="EA370" s="65"/>
      <c r="EB370" s="65"/>
      <c r="EC370" s="65"/>
      <c r="ED370" s="65"/>
      <c r="EE370" s="65"/>
      <c r="EF370" s="65"/>
      <c r="EG370" s="65"/>
      <c r="EH370" s="65"/>
      <c r="EI370" s="65"/>
      <c r="EJ370" s="65"/>
      <c r="EK370" s="65"/>
      <c r="EL370" s="65"/>
      <c r="EM370" s="65"/>
      <c r="EN370" s="65"/>
      <c r="EO370" s="65"/>
    </row>
    <row r="371" spans="1:145" s="62" customFormat="1" x14ac:dyDescent="0.2">
      <c r="A371" s="74"/>
      <c r="B371" s="129"/>
      <c r="C371" s="143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  <c r="AT371" s="65"/>
      <c r="AU371" s="65"/>
      <c r="AV371" s="65"/>
      <c r="AW371" s="65"/>
      <c r="AX371" s="65"/>
      <c r="AY371" s="65"/>
      <c r="AZ371" s="65"/>
      <c r="BA371" s="65"/>
      <c r="BB371" s="65"/>
      <c r="BC371" s="65"/>
      <c r="BD371" s="65"/>
      <c r="BE371" s="65"/>
      <c r="BF371" s="65"/>
      <c r="BG371" s="65"/>
      <c r="BH371" s="65"/>
      <c r="BI371" s="65"/>
      <c r="BJ371" s="65"/>
      <c r="BK371" s="65"/>
      <c r="BL371" s="65"/>
      <c r="BM371" s="65"/>
      <c r="BN371" s="65"/>
      <c r="BO371" s="65"/>
      <c r="BP371" s="65"/>
      <c r="BQ371" s="65"/>
      <c r="BR371" s="65"/>
      <c r="BS371" s="65"/>
      <c r="BT371" s="65"/>
      <c r="BU371" s="65"/>
      <c r="BV371" s="65"/>
      <c r="BW371" s="65"/>
      <c r="BX371" s="65"/>
      <c r="BY371" s="65"/>
      <c r="BZ371" s="65"/>
      <c r="CA371" s="65"/>
      <c r="CB371" s="65"/>
      <c r="CC371" s="65"/>
      <c r="CD371" s="65"/>
      <c r="CE371" s="65"/>
      <c r="CF371" s="65"/>
      <c r="CG371" s="65"/>
      <c r="CH371" s="65"/>
      <c r="CI371" s="65"/>
      <c r="CJ371" s="65"/>
      <c r="CK371" s="65"/>
      <c r="CL371" s="65"/>
      <c r="CM371" s="65"/>
      <c r="CN371" s="65"/>
      <c r="CO371" s="65"/>
      <c r="CP371" s="65"/>
      <c r="CQ371" s="65"/>
      <c r="CR371" s="65"/>
      <c r="CS371" s="65"/>
      <c r="CT371" s="65"/>
      <c r="CU371" s="65"/>
      <c r="CV371" s="65"/>
      <c r="CW371" s="65"/>
      <c r="CX371" s="65"/>
      <c r="CY371" s="65"/>
      <c r="CZ371" s="65"/>
      <c r="DA371" s="65"/>
      <c r="DB371" s="65"/>
      <c r="DC371" s="65"/>
      <c r="DD371" s="65"/>
      <c r="DE371" s="65"/>
      <c r="DF371" s="65"/>
      <c r="DG371" s="65"/>
      <c r="DH371" s="65"/>
      <c r="DI371" s="65"/>
      <c r="DJ371" s="65"/>
      <c r="DK371" s="65"/>
      <c r="DL371" s="65"/>
      <c r="DM371" s="65"/>
      <c r="DN371" s="65"/>
      <c r="DO371" s="65"/>
      <c r="DP371" s="65"/>
      <c r="DQ371" s="65"/>
      <c r="DR371" s="65"/>
      <c r="DS371" s="65"/>
      <c r="DT371" s="65"/>
      <c r="DU371" s="65"/>
      <c r="DV371" s="65"/>
      <c r="DW371" s="65"/>
      <c r="DX371" s="65"/>
      <c r="DY371" s="65"/>
      <c r="DZ371" s="65"/>
      <c r="EA371" s="65"/>
      <c r="EB371" s="65"/>
      <c r="EC371" s="65"/>
      <c r="ED371" s="65"/>
      <c r="EE371" s="65"/>
      <c r="EF371" s="65"/>
      <c r="EG371" s="65"/>
      <c r="EH371" s="65"/>
      <c r="EI371" s="65"/>
      <c r="EJ371" s="65"/>
      <c r="EK371" s="65"/>
      <c r="EL371" s="65"/>
      <c r="EM371" s="65"/>
      <c r="EN371" s="65"/>
      <c r="EO371" s="65"/>
    </row>
    <row r="372" spans="1:145" s="62" customFormat="1" x14ac:dyDescent="0.2">
      <c r="A372" s="74">
        <v>3</v>
      </c>
      <c r="B372" s="146" t="s">
        <v>113</v>
      </c>
      <c r="C372" s="125" t="s">
        <v>16</v>
      </c>
      <c r="D372" s="122">
        <f>'[4]II-H-4.1 Monthly'!D365+'[5]II-H-4.1 Monthly'!D302</f>
        <v>389528.79632735898</v>
      </c>
      <c r="E372" s="122">
        <f>'[4]II-H-4.1 Monthly'!E365+'[5]II-H-4.1 Monthly'!E302</f>
        <v>197948.90641663552</v>
      </c>
      <c r="F372" s="122">
        <f>'[4]II-H-4.1 Monthly'!F365+'[5]II-H-4.1 Monthly'!F302</f>
        <v>86431.83860828662</v>
      </c>
      <c r="G372" s="122">
        <f>'[4]II-H-4.1 Monthly'!G365+'[5]II-H-4.1 Monthly'!G302</f>
        <v>76673.01061213293</v>
      </c>
      <c r="H372" s="122">
        <f>'[4]II-H-4.1 Monthly'!H365+'[5]II-H-4.1 Monthly'!H302</f>
        <v>92021.605467427653</v>
      </c>
      <c r="I372" s="122">
        <f>'[4]II-H-4.1 Monthly'!I365+'[5]II-H-4.1 Monthly'!I302</f>
        <v>80856.460695770351</v>
      </c>
      <c r="J372" s="122">
        <f>'[4]II-H-4.1 Monthly'!J365+'[5]II-H-4.1 Monthly'!J302</f>
        <v>62242.730866381658</v>
      </c>
      <c r="K372" s="122">
        <f>'[4]II-H-4.1 Monthly'!K365+'[5]II-H-4.1 Monthly'!K302</f>
        <v>18119.482295499656</v>
      </c>
      <c r="L372" s="122">
        <f>'[4]II-H-4.1 Monthly'!L365+'[5]II-H-4.1 Monthly'!L302</f>
        <v>54534.524729634002</v>
      </c>
      <c r="M372" s="122">
        <f>'[4]II-H-4.1 Monthly'!M365+'[5]II-H-4.1 Monthly'!M302</f>
        <v>51362.161578971645</v>
      </c>
      <c r="N372" s="122">
        <f>'[4]II-H-4.1 Monthly'!N365+'[5]II-H-4.1 Monthly'!N302</f>
        <v>21120.558943987249</v>
      </c>
      <c r="O372" s="122">
        <f>'II-H-3.1-3'!O50*(3.26+15.81)+'II-H-4.1 Dist kW'!O80*(3.314)*(1-'II-H-4.1 Functions'!$W$19)</f>
        <v>0</v>
      </c>
      <c r="P372" s="122">
        <f>SUM(D372:O372)</f>
        <v>1130840.0765420864</v>
      </c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  <c r="AT372" s="65"/>
      <c r="AU372" s="65"/>
      <c r="AV372" s="65"/>
      <c r="AW372" s="65"/>
      <c r="AX372" s="65"/>
      <c r="AY372" s="65"/>
      <c r="AZ372" s="65"/>
      <c r="BA372" s="65"/>
      <c r="BB372" s="65"/>
      <c r="BC372" s="65"/>
      <c r="BD372" s="65"/>
      <c r="BE372" s="65"/>
      <c r="BF372" s="65"/>
      <c r="BG372" s="65"/>
      <c r="BH372" s="65"/>
      <c r="BI372" s="65"/>
      <c r="BJ372" s="65"/>
      <c r="BK372" s="65"/>
      <c r="BL372" s="65"/>
      <c r="BM372" s="65"/>
      <c r="BN372" s="65"/>
      <c r="BO372" s="65"/>
      <c r="BP372" s="65"/>
      <c r="BQ372" s="65"/>
      <c r="BR372" s="65"/>
      <c r="BS372" s="65"/>
      <c r="BT372" s="65"/>
      <c r="BU372" s="65"/>
      <c r="BV372" s="65"/>
      <c r="BW372" s="65"/>
      <c r="BX372" s="65"/>
      <c r="BY372" s="65"/>
      <c r="BZ372" s="65"/>
      <c r="CA372" s="65"/>
      <c r="CB372" s="65"/>
      <c r="CC372" s="65"/>
      <c r="CD372" s="65"/>
      <c r="CE372" s="65"/>
      <c r="CF372" s="65"/>
      <c r="CG372" s="65"/>
      <c r="CH372" s="65"/>
      <c r="CI372" s="65"/>
      <c r="CJ372" s="65"/>
      <c r="CK372" s="65"/>
      <c r="CL372" s="65"/>
      <c r="CM372" s="65"/>
      <c r="CN372" s="65"/>
      <c r="CO372" s="65"/>
      <c r="CP372" s="65"/>
      <c r="CQ372" s="65"/>
      <c r="CR372" s="65"/>
      <c r="CS372" s="65"/>
      <c r="CT372" s="65"/>
      <c r="CU372" s="65"/>
      <c r="CV372" s="65"/>
      <c r="CW372" s="65"/>
      <c r="CX372" s="65"/>
      <c r="CY372" s="65"/>
      <c r="CZ372" s="65"/>
      <c r="DA372" s="65"/>
      <c r="DB372" s="65"/>
      <c r="DC372" s="65"/>
      <c r="DD372" s="65"/>
      <c r="DE372" s="65"/>
      <c r="DF372" s="65"/>
      <c r="DG372" s="65"/>
      <c r="DH372" s="65"/>
      <c r="DI372" s="65"/>
      <c r="DJ372" s="65"/>
      <c r="DK372" s="65"/>
      <c r="DL372" s="65"/>
      <c r="DM372" s="65"/>
      <c r="DN372" s="65"/>
      <c r="DO372" s="65"/>
      <c r="DP372" s="65"/>
      <c r="DQ372" s="65"/>
      <c r="DR372" s="65"/>
      <c r="DS372" s="65"/>
      <c r="DT372" s="65"/>
      <c r="DU372" s="65"/>
      <c r="DV372" s="65"/>
      <c r="DW372" s="65"/>
      <c r="DX372" s="65"/>
      <c r="DY372" s="65"/>
      <c r="DZ372" s="65"/>
      <c r="EA372" s="65"/>
      <c r="EB372" s="65"/>
      <c r="EC372" s="65"/>
      <c r="ED372" s="65"/>
      <c r="EE372" s="65"/>
      <c r="EF372" s="65"/>
      <c r="EG372" s="65"/>
      <c r="EH372" s="65"/>
      <c r="EI372" s="65"/>
      <c r="EJ372" s="65"/>
      <c r="EK372" s="65"/>
      <c r="EL372" s="65"/>
      <c r="EM372" s="65"/>
      <c r="EN372" s="65"/>
      <c r="EO372" s="65"/>
    </row>
    <row r="373" spans="1:145" s="62" customFormat="1" x14ac:dyDescent="0.2">
      <c r="A373" s="74">
        <v>4</v>
      </c>
      <c r="B373" s="146" t="s">
        <v>114</v>
      </c>
      <c r="C373" s="125" t="s">
        <v>16</v>
      </c>
      <c r="D373" s="123">
        <f>'[4]II-H-4.1 Monthly'!D366+'[5]II-H-4.1 Monthly'!D303</f>
        <v>-50212.117028917128</v>
      </c>
      <c r="E373" s="123">
        <f>'[4]II-H-4.1 Monthly'!E366+'[5]II-H-4.1 Monthly'!E303</f>
        <v>-49879.295932241905</v>
      </c>
      <c r="F373" s="123">
        <f>'[4]II-H-4.1 Monthly'!F366+'[5]II-H-4.1 Monthly'!F303</f>
        <v>-47493.936532446722</v>
      </c>
      <c r="G373" s="123">
        <f>'[4]II-H-4.1 Monthly'!G366+'[5]II-H-4.1 Monthly'!G303</f>
        <v>-41155.372870148931</v>
      </c>
      <c r="H373" s="123">
        <f>'[4]II-H-4.1 Monthly'!H366+'[5]II-H-4.1 Monthly'!H303</f>
        <v>-45486.79630341522</v>
      </c>
      <c r="I373" s="123">
        <f>'[4]II-H-4.1 Monthly'!I366+'[5]II-H-4.1 Monthly'!I303</f>
        <v>-29251.470465420065</v>
      </c>
      <c r="J373" s="123">
        <f>'[4]II-H-4.1 Monthly'!J366+'[5]II-H-4.1 Monthly'!J303</f>
        <v>-32195.983647765981</v>
      </c>
      <c r="K373" s="123">
        <f>'[4]II-H-4.1 Monthly'!K366+'[5]II-H-4.1 Monthly'!K303</f>
        <v>-38033.858969271001</v>
      </c>
      <c r="L373" s="123">
        <f>'[4]II-H-4.1 Monthly'!L366+'[5]II-H-4.1 Monthly'!L303</f>
        <v>2219.7849342534223</v>
      </c>
      <c r="M373" s="123">
        <f>'[4]II-H-4.1 Monthly'!M366+'[5]II-H-4.1 Monthly'!M303</f>
        <v>4030.4017881440932</v>
      </c>
      <c r="N373" s="123">
        <f>'[4]II-H-4.1 Monthly'!N366+'[5]II-H-4.1 Monthly'!N303</f>
        <v>0</v>
      </c>
      <c r="O373" s="123">
        <f>'II-H-3.1-3'!O51*(26.52+15.81)+'II-H-4.1 Dist kW'!O81*(3.314)*(1-'II-H-4.1 Functions'!$W$20)</f>
        <v>0</v>
      </c>
      <c r="P373" s="123">
        <f>SUM(D373:O373)</f>
        <v>-327458.64502722945</v>
      </c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  <c r="BD373" s="65"/>
      <c r="BE373" s="65"/>
      <c r="BF373" s="65"/>
      <c r="BG373" s="65"/>
      <c r="BH373" s="65"/>
      <c r="BI373" s="65"/>
      <c r="BJ373" s="65"/>
      <c r="BK373" s="65"/>
      <c r="BL373" s="65"/>
      <c r="BM373" s="65"/>
      <c r="BN373" s="65"/>
      <c r="BO373" s="65"/>
      <c r="BP373" s="65"/>
      <c r="BQ373" s="65"/>
      <c r="BR373" s="65"/>
      <c r="BS373" s="65"/>
      <c r="BT373" s="65"/>
      <c r="BU373" s="65"/>
      <c r="BV373" s="65"/>
      <c r="BW373" s="65"/>
      <c r="BX373" s="65"/>
      <c r="BY373" s="65"/>
      <c r="BZ373" s="65"/>
      <c r="CA373" s="65"/>
      <c r="CB373" s="65"/>
      <c r="CC373" s="65"/>
      <c r="CD373" s="65"/>
      <c r="CE373" s="65"/>
      <c r="CF373" s="65"/>
      <c r="CG373" s="65"/>
      <c r="CH373" s="65"/>
      <c r="CI373" s="65"/>
      <c r="CJ373" s="65"/>
      <c r="CK373" s="65"/>
      <c r="CL373" s="65"/>
      <c r="CM373" s="65"/>
      <c r="CN373" s="65"/>
      <c r="CO373" s="65"/>
      <c r="CP373" s="65"/>
      <c r="CQ373" s="65"/>
      <c r="CR373" s="65"/>
      <c r="CS373" s="65"/>
      <c r="CT373" s="65"/>
      <c r="CU373" s="65"/>
      <c r="CV373" s="65"/>
      <c r="CW373" s="65"/>
      <c r="CX373" s="65"/>
      <c r="CY373" s="65"/>
      <c r="CZ373" s="65"/>
      <c r="DA373" s="65"/>
      <c r="DB373" s="65"/>
      <c r="DC373" s="65"/>
      <c r="DD373" s="65"/>
      <c r="DE373" s="65"/>
      <c r="DF373" s="65"/>
      <c r="DG373" s="65"/>
      <c r="DH373" s="65"/>
      <c r="DI373" s="65"/>
      <c r="DJ373" s="65"/>
      <c r="DK373" s="65"/>
      <c r="DL373" s="65"/>
      <c r="DM373" s="65"/>
      <c r="DN373" s="65"/>
      <c r="DO373" s="65"/>
      <c r="DP373" s="65"/>
      <c r="DQ373" s="65"/>
      <c r="DR373" s="65"/>
      <c r="DS373" s="65"/>
      <c r="DT373" s="65"/>
      <c r="DU373" s="65"/>
      <c r="DV373" s="65"/>
      <c r="DW373" s="65"/>
      <c r="DX373" s="65"/>
      <c r="DY373" s="65"/>
      <c r="DZ373" s="65"/>
      <c r="EA373" s="65"/>
      <c r="EB373" s="65"/>
      <c r="EC373" s="65"/>
      <c r="ED373" s="65"/>
      <c r="EE373" s="65"/>
      <c r="EF373" s="65"/>
      <c r="EG373" s="65"/>
      <c r="EH373" s="65"/>
      <c r="EI373" s="65"/>
      <c r="EJ373" s="65"/>
      <c r="EK373" s="65"/>
      <c r="EL373" s="65"/>
      <c r="EM373" s="65"/>
      <c r="EN373" s="65"/>
      <c r="EO373" s="65"/>
    </row>
    <row r="374" spans="1:145" s="62" customFormat="1" x14ac:dyDescent="0.2">
      <c r="A374" s="74">
        <v>5</v>
      </c>
      <c r="B374" s="162" t="s">
        <v>30</v>
      </c>
      <c r="C374" s="143"/>
      <c r="D374" s="157">
        <f t="shared" ref="D374:P374" si="81">SUM(D372:D373)</f>
        <v>339316.67929844186</v>
      </c>
      <c r="E374" s="157">
        <f t="shared" si="81"/>
        <v>148069.6104843936</v>
      </c>
      <c r="F374" s="157">
        <f t="shared" si="81"/>
        <v>38937.902075839898</v>
      </c>
      <c r="G374" s="157">
        <f t="shared" si="81"/>
        <v>35517.637741983999</v>
      </c>
      <c r="H374" s="157">
        <f t="shared" si="81"/>
        <v>46534.809164012433</v>
      </c>
      <c r="I374" s="157">
        <f t="shared" si="81"/>
        <v>51604.990230350289</v>
      </c>
      <c r="J374" s="157">
        <f t="shared" si="81"/>
        <v>30046.747218615677</v>
      </c>
      <c r="K374" s="157">
        <f>SUM(K372:K373)</f>
        <v>-19914.376673771345</v>
      </c>
      <c r="L374" s="157">
        <f>SUM(L372:L373)</f>
        <v>56754.309663887427</v>
      </c>
      <c r="M374" s="157">
        <f>SUM(M372:M373)</f>
        <v>55392.563367115741</v>
      </c>
      <c r="N374" s="157">
        <f>SUM(N372:N373)</f>
        <v>21120.558943987249</v>
      </c>
      <c r="O374" s="157">
        <f>SUM(O372:O373)</f>
        <v>0</v>
      </c>
      <c r="P374" s="157">
        <f t="shared" si="81"/>
        <v>803381.43151485699</v>
      </c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  <c r="AW374" s="65"/>
      <c r="AX374" s="65"/>
      <c r="AY374" s="65"/>
      <c r="AZ374" s="65"/>
      <c r="BA374" s="65"/>
      <c r="BB374" s="65"/>
      <c r="BC374" s="65"/>
      <c r="BD374" s="65"/>
      <c r="BE374" s="65"/>
      <c r="BF374" s="65"/>
      <c r="BG374" s="65"/>
      <c r="BH374" s="65"/>
      <c r="BI374" s="65"/>
      <c r="BJ374" s="65"/>
      <c r="BK374" s="65"/>
      <c r="BL374" s="65"/>
      <c r="BM374" s="65"/>
      <c r="BN374" s="65"/>
      <c r="BO374" s="65"/>
      <c r="BP374" s="65"/>
      <c r="BQ374" s="65"/>
      <c r="BR374" s="65"/>
      <c r="BS374" s="65"/>
      <c r="BT374" s="65"/>
      <c r="BU374" s="65"/>
      <c r="BV374" s="65"/>
      <c r="BW374" s="65"/>
      <c r="BX374" s="65"/>
      <c r="BY374" s="65"/>
      <c r="BZ374" s="65"/>
      <c r="CA374" s="65"/>
      <c r="CB374" s="65"/>
      <c r="CC374" s="65"/>
      <c r="CD374" s="65"/>
      <c r="CE374" s="65"/>
      <c r="CF374" s="65"/>
      <c r="CG374" s="65"/>
      <c r="CH374" s="65"/>
      <c r="CI374" s="65"/>
      <c r="CJ374" s="65"/>
      <c r="CK374" s="65"/>
      <c r="CL374" s="65"/>
      <c r="CM374" s="65"/>
      <c r="CN374" s="65"/>
      <c r="CO374" s="65"/>
      <c r="CP374" s="65"/>
      <c r="CQ374" s="65"/>
      <c r="CR374" s="65"/>
      <c r="CS374" s="65"/>
      <c r="CT374" s="65"/>
      <c r="CU374" s="65"/>
      <c r="CV374" s="65"/>
      <c r="CW374" s="65"/>
      <c r="CX374" s="65"/>
      <c r="CY374" s="65"/>
      <c r="CZ374" s="65"/>
      <c r="DA374" s="65"/>
      <c r="DB374" s="65"/>
      <c r="DC374" s="65"/>
      <c r="DD374" s="65"/>
      <c r="DE374" s="65"/>
      <c r="DF374" s="65"/>
      <c r="DG374" s="65"/>
      <c r="DH374" s="65"/>
      <c r="DI374" s="65"/>
      <c r="DJ374" s="65"/>
      <c r="DK374" s="65"/>
      <c r="DL374" s="65"/>
      <c r="DM374" s="65"/>
      <c r="DN374" s="65"/>
      <c r="DO374" s="65"/>
      <c r="DP374" s="65"/>
      <c r="DQ374" s="65"/>
      <c r="DR374" s="65"/>
      <c r="DS374" s="65"/>
      <c r="DT374" s="65"/>
      <c r="DU374" s="65"/>
      <c r="DV374" s="65"/>
      <c r="DW374" s="65"/>
      <c r="DX374" s="65"/>
      <c r="DY374" s="65"/>
      <c r="DZ374" s="65"/>
      <c r="EA374" s="65"/>
      <c r="EB374" s="65"/>
      <c r="EC374" s="65"/>
      <c r="ED374" s="65"/>
      <c r="EE374" s="65"/>
      <c r="EF374" s="65"/>
      <c r="EG374" s="65"/>
      <c r="EH374" s="65"/>
      <c r="EI374" s="65"/>
      <c r="EJ374" s="65"/>
      <c r="EK374" s="65"/>
      <c r="EL374" s="65"/>
      <c r="EM374" s="65"/>
      <c r="EN374" s="65"/>
      <c r="EO374" s="65"/>
    </row>
    <row r="375" spans="1:145" s="62" customFormat="1" x14ac:dyDescent="0.2">
      <c r="B375" s="242"/>
      <c r="C375" s="143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22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  <c r="BD375" s="65"/>
      <c r="BE375" s="65"/>
      <c r="BF375" s="65"/>
      <c r="BG375" s="65"/>
      <c r="BH375" s="65"/>
      <c r="BI375" s="65"/>
      <c r="BJ375" s="65"/>
      <c r="BK375" s="65"/>
      <c r="BL375" s="65"/>
      <c r="BM375" s="65"/>
      <c r="BN375" s="65"/>
      <c r="BO375" s="65"/>
      <c r="BP375" s="65"/>
      <c r="BQ375" s="65"/>
      <c r="BR375" s="65"/>
      <c r="BS375" s="65"/>
      <c r="BT375" s="65"/>
      <c r="BU375" s="65"/>
      <c r="BV375" s="65"/>
      <c r="BW375" s="65"/>
      <c r="BX375" s="65"/>
      <c r="BY375" s="65"/>
      <c r="BZ375" s="65"/>
      <c r="CA375" s="65"/>
      <c r="CB375" s="65"/>
      <c r="CC375" s="65"/>
      <c r="CD375" s="65"/>
      <c r="CE375" s="65"/>
      <c r="CF375" s="65"/>
      <c r="CG375" s="65"/>
      <c r="CH375" s="65"/>
      <c r="CI375" s="65"/>
      <c r="CJ375" s="65"/>
      <c r="CK375" s="65"/>
      <c r="CL375" s="65"/>
      <c r="CM375" s="65"/>
      <c r="CN375" s="65"/>
      <c r="CO375" s="65"/>
      <c r="CP375" s="65"/>
      <c r="CQ375" s="65"/>
      <c r="CR375" s="65"/>
      <c r="CS375" s="65"/>
      <c r="CT375" s="65"/>
      <c r="CU375" s="65"/>
      <c r="CV375" s="65"/>
      <c r="CW375" s="65"/>
      <c r="CX375" s="65"/>
      <c r="CY375" s="65"/>
      <c r="CZ375" s="65"/>
      <c r="DA375" s="65"/>
      <c r="DB375" s="65"/>
      <c r="DC375" s="65"/>
      <c r="DD375" s="65"/>
      <c r="DE375" s="65"/>
      <c r="DF375" s="65"/>
      <c r="DG375" s="65"/>
      <c r="DH375" s="65"/>
      <c r="DI375" s="65"/>
      <c r="DJ375" s="65"/>
      <c r="DK375" s="65"/>
      <c r="DL375" s="65"/>
      <c r="DM375" s="65"/>
      <c r="DN375" s="65"/>
      <c r="DO375" s="65"/>
      <c r="DP375" s="65"/>
      <c r="DQ375" s="65"/>
      <c r="DR375" s="65"/>
      <c r="DS375" s="65"/>
      <c r="DT375" s="65"/>
      <c r="DU375" s="65"/>
      <c r="DV375" s="65"/>
      <c r="DW375" s="65"/>
      <c r="DX375" s="65"/>
      <c r="DY375" s="65"/>
      <c r="DZ375" s="65"/>
      <c r="EA375" s="65"/>
      <c r="EB375" s="65"/>
      <c r="EC375" s="65"/>
      <c r="ED375" s="65"/>
      <c r="EE375" s="65"/>
      <c r="EF375" s="65"/>
      <c r="EG375" s="65"/>
      <c r="EH375" s="65"/>
      <c r="EI375" s="65"/>
      <c r="EJ375" s="65"/>
      <c r="EK375" s="65"/>
      <c r="EL375" s="65"/>
      <c r="EM375" s="65"/>
      <c r="EN375" s="65"/>
      <c r="EO375" s="65"/>
    </row>
    <row r="376" spans="1:145" s="62" customFormat="1" x14ac:dyDescent="0.2">
      <c r="A376" s="141">
        <v>6</v>
      </c>
      <c r="B376" s="146" t="s">
        <v>110</v>
      </c>
      <c r="C376" s="125" t="s">
        <v>17</v>
      </c>
      <c r="D376" s="122">
        <f>'[4]II-H-4.1 Monthly'!D369+'[5]II-H-4.1 Monthly'!D306</f>
        <v>2459.5720314769324</v>
      </c>
      <c r="E376" s="122">
        <f>'[4]II-H-4.1 Monthly'!E369+'[5]II-H-4.1 Monthly'!E306</f>
        <v>5358.7798157818443</v>
      </c>
      <c r="F376" s="122">
        <f>'[4]II-H-4.1 Monthly'!F369+'[5]II-H-4.1 Monthly'!F306</f>
        <v>4034.6236930891237</v>
      </c>
      <c r="G376" s="122">
        <f>'[4]II-H-4.1 Monthly'!G369+'[5]II-H-4.1 Monthly'!G306</f>
        <v>6729.4468651267498</v>
      </c>
      <c r="H376" s="122">
        <f>'[4]II-H-4.1 Monthly'!H369+'[5]II-H-4.1 Monthly'!H306</f>
        <v>5673.4383366012526</v>
      </c>
      <c r="I376" s="122">
        <f>'[4]II-H-4.1 Monthly'!I369+'[5]II-H-4.1 Monthly'!I306</f>
        <v>1999.5878928649408</v>
      </c>
      <c r="J376" s="122">
        <f>'[4]II-H-4.1 Monthly'!J369+'[5]II-H-4.1 Monthly'!J306</f>
        <v>3190.4724055326255</v>
      </c>
      <c r="K376" s="122">
        <f>'[4]II-H-4.1 Monthly'!K369+'[5]II-H-4.1 Monthly'!K306</f>
        <v>-2150.3843991270292</v>
      </c>
      <c r="L376" s="122">
        <f>'[4]II-H-4.1 Monthly'!L369+'[5]II-H-4.1 Monthly'!L306</f>
        <v>-2951.2242564318317</v>
      </c>
      <c r="M376" s="122">
        <f>'[4]II-H-4.1 Monthly'!M369+'[5]II-H-4.1 Monthly'!M306</f>
        <v>-1349.5654502621367</v>
      </c>
      <c r="N376" s="122">
        <f>'[4]II-H-4.1 Monthly'!N369+'[5]II-H-4.1 Monthly'!N306</f>
        <v>-1039.5860153334359</v>
      </c>
      <c r="O376" s="122">
        <f>'[4]II-H-4.1 Monthly'!O369+'[5]II-H-4.1 Monthly'!O306</f>
        <v>0</v>
      </c>
      <c r="P376" s="122">
        <f>SUM(D376:O376)</f>
        <v>21955.160919319031</v>
      </c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5"/>
      <c r="BE376" s="65"/>
      <c r="BF376" s="65"/>
      <c r="BG376" s="65"/>
      <c r="BH376" s="65"/>
      <c r="BI376" s="65"/>
      <c r="BJ376" s="65"/>
      <c r="BK376" s="65"/>
      <c r="BL376" s="65"/>
      <c r="BM376" s="65"/>
      <c r="BN376" s="65"/>
      <c r="BO376" s="65"/>
      <c r="BP376" s="65"/>
      <c r="BQ376" s="65"/>
      <c r="BR376" s="65"/>
      <c r="BS376" s="65"/>
      <c r="BT376" s="65"/>
      <c r="BU376" s="65"/>
      <c r="BV376" s="65"/>
      <c r="BW376" s="65"/>
      <c r="BX376" s="65"/>
      <c r="BY376" s="65"/>
      <c r="BZ376" s="65"/>
      <c r="CA376" s="65"/>
      <c r="CB376" s="65"/>
      <c r="CC376" s="65"/>
      <c r="CD376" s="65"/>
      <c r="CE376" s="65"/>
      <c r="CF376" s="65"/>
      <c r="CG376" s="65"/>
      <c r="CH376" s="65"/>
      <c r="CI376" s="65"/>
      <c r="CJ376" s="65"/>
      <c r="CK376" s="65"/>
      <c r="CL376" s="65"/>
      <c r="CM376" s="65"/>
      <c r="CN376" s="65"/>
      <c r="CO376" s="65"/>
      <c r="CP376" s="65"/>
      <c r="CQ376" s="65"/>
      <c r="CR376" s="65"/>
      <c r="CS376" s="65"/>
      <c r="CT376" s="65"/>
      <c r="CU376" s="65"/>
      <c r="CV376" s="65"/>
      <c r="CW376" s="65"/>
      <c r="CX376" s="65"/>
      <c r="CY376" s="65"/>
      <c r="CZ376" s="65"/>
      <c r="DA376" s="65"/>
      <c r="DB376" s="65"/>
      <c r="DC376" s="65"/>
      <c r="DD376" s="65"/>
      <c r="DE376" s="65"/>
      <c r="DF376" s="65"/>
      <c r="DG376" s="65"/>
      <c r="DH376" s="65"/>
      <c r="DI376" s="65"/>
      <c r="DJ376" s="65"/>
      <c r="DK376" s="65"/>
      <c r="DL376" s="65"/>
      <c r="DM376" s="65"/>
      <c r="DN376" s="65"/>
      <c r="DO376" s="65"/>
      <c r="DP376" s="65"/>
      <c r="DQ376" s="65"/>
      <c r="DR376" s="65"/>
      <c r="DS376" s="65"/>
      <c r="DT376" s="65"/>
      <c r="DU376" s="65"/>
      <c r="DV376" s="65"/>
      <c r="DW376" s="65"/>
      <c r="DX376" s="65"/>
      <c r="DY376" s="65"/>
      <c r="DZ376" s="65"/>
      <c r="EA376" s="65"/>
      <c r="EB376" s="65"/>
      <c r="EC376" s="65"/>
      <c r="ED376" s="65"/>
      <c r="EE376" s="65"/>
      <c r="EF376" s="65"/>
      <c r="EG376" s="65"/>
      <c r="EH376" s="65"/>
      <c r="EI376" s="65"/>
      <c r="EJ376" s="65"/>
      <c r="EK376" s="65"/>
      <c r="EL376" s="65"/>
      <c r="EM376" s="65"/>
      <c r="EN376" s="65"/>
      <c r="EO376" s="65"/>
    </row>
    <row r="377" spans="1:145" s="62" customFormat="1" x14ac:dyDescent="0.2">
      <c r="A377" s="141">
        <v>7</v>
      </c>
      <c r="B377" s="146" t="s">
        <v>111</v>
      </c>
      <c r="C377" s="125" t="s">
        <v>17</v>
      </c>
      <c r="D377" s="123">
        <f>'[4]II-H-4.1 Monthly'!D370+'[5]II-H-4.1 Monthly'!D307</f>
        <v>3750.558846468175</v>
      </c>
      <c r="E377" s="123">
        <f>'[4]II-H-4.1 Monthly'!E370+'[5]II-H-4.1 Monthly'!E307</f>
        <v>4388.3201554599782</v>
      </c>
      <c r="F377" s="123">
        <f>'[4]II-H-4.1 Monthly'!F370+'[5]II-H-4.1 Monthly'!F307</f>
        <v>-16495.694108656131</v>
      </c>
      <c r="G377" s="123">
        <f>'[4]II-H-4.1 Monthly'!G370+'[5]II-H-4.1 Monthly'!G307</f>
        <v>29647.19738451287</v>
      </c>
      <c r="H377" s="123">
        <f>'[4]II-H-4.1 Monthly'!H370+'[5]II-H-4.1 Monthly'!H307</f>
        <v>-23131.962815418785</v>
      </c>
      <c r="I377" s="123">
        <f>'[4]II-H-4.1 Monthly'!I370+'[5]II-H-4.1 Monthly'!I307</f>
        <v>-39734.450147842195</v>
      </c>
      <c r="J377" s="123">
        <f>'[4]II-H-4.1 Monthly'!J370+'[5]II-H-4.1 Monthly'!J307</f>
        <v>-4750.521140951746</v>
      </c>
      <c r="K377" s="123">
        <f>'[4]II-H-4.1 Monthly'!K370+'[5]II-H-4.1 Monthly'!K307</f>
        <v>13879.42096869856</v>
      </c>
      <c r="L377" s="123">
        <f>'[4]II-H-4.1 Monthly'!L370+'[5]II-H-4.1 Monthly'!L307</f>
        <v>-4535.398671863727</v>
      </c>
      <c r="M377" s="123">
        <f>'[4]II-H-4.1 Monthly'!M370+'[5]II-H-4.1 Monthly'!M307</f>
        <v>-7547.2451903161054</v>
      </c>
      <c r="N377" s="123">
        <f>'[4]II-H-4.1 Monthly'!N370+'[5]II-H-4.1 Monthly'!N307</f>
        <v>5331.0123819687778</v>
      </c>
      <c r="O377" s="123">
        <f>'[4]II-H-4.1 Monthly'!O370+'[5]II-H-4.1 Monthly'!O307</f>
        <v>0</v>
      </c>
      <c r="P377" s="123">
        <f>SUM(D377:O377)</f>
        <v>-39198.762337940323</v>
      </c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  <c r="BE377" s="65"/>
      <c r="BF377" s="65"/>
      <c r="BG377" s="65"/>
      <c r="BH377" s="65"/>
      <c r="BI377" s="65"/>
      <c r="BJ377" s="65"/>
      <c r="BK377" s="65"/>
      <c r="BL377" s="65"/>
      <c r="BM377" s="65"/>
      <c r="BN377" s="65"/>
      <c r="BO377" s="65"/>
      <c r="BP377" s="65"/>
      <c r="BQ377" s="65"/>
      <c r="BR377" s="65"/>
      <c r="BS377" s="65"/>
      <c r="BT377" s="65"/>
      <c r="BU377" s="65"/>
      <c r="BV377" s="65"/>
      <c r="BW377" s="65"/>
      <c r="BX377" s="65"/>
      <c r="BY377" s="65"/>
      <c r="BZ377" s="65"/>
      <c r="CA377" s="65"/>
      <c r="CB377" s="65"/>
      <c r="CC377" s="65"/>
      <c r="CD377" s="65"/>
      <c r="CE377" s="65"/>
      <c r="CF377" s="65"/>
      <c r="CG377" s="65"/>
      <c r="CH377" s="65"/>
      <c r="CI377" s="65"/>
      <c r="CJ377" s="65"/>
      <c r="CK377" s="65"/>
      <c r="CL377" s="65"/>
      <c r="CM377" s="65"/>
      <c r="CN377" s="65"/>
      <c r="CO377" s="65"/>
      <c r="CP377" s="65"/>
      <c r="CQ377" s="65"/>
      <c r="CR377" s="65"/>
      <c r="CS377" s="65"/>
      <c r="CT377" s="65"/>
      <c r="CU377" s="65"/>
      <c r="CV377" s="65"/>
      <c r="CW377" s="65"/>
      <c r="CX377" s="65"/>
      <c r="CY377" s="65"/>
      <c r="CZ377" s="65"/>
      <c r="DA377" s="65"/>
      <c r="DB377" s="65"/>
      <c r="DC377" s="65"/>
      <c r="DD377" s="65"/>
      <c r="DE377" s="65"/>
      <c r="DF377" s="65"/>
      <c r="DG377" s="65"/>
      <c r="DH377" s="65"/>
      <c r="DI377" s="65"/>
      <c r="DJ377" s="65"/>
      <c r="DK377" s="65"/>
      <c r="DL377" s="65"/>
      <c r="DM377" s="65"/>
      <c r="DN377" s="65"/>
      <c r="DO377" s="65"/>
      <c r="DP377" s="65"/>
      <c r="DQ377" s="65"/>
      <c r="DR377" s="65"/>
      <c r="DS377" s="65"/>
      <c r="DT377" s="65"/>
      <c r="DU377" s="65"/>
      <c r="DV377" s="65"/>
      <c r="DW377" s="65"/>
      <c r="DX377" s="65"/>
      <c r="DY377" s="65"/>
      <c r="DZ377" s="65"/>
      <c r="EA377" s="65"/>
      <c r="EB377" s="65"/>
      <c r="EC377" s="65"/>
      <c r="ED377" s="65"/>
      <c r="EE377" s="65"/>
      <c r="EF377" s="65"/>
      <c r="EG377" s="65"/>
      <c r="EH377" s="65"/>
      <c r="EI377" s="65"/>
      <c r="EJ377" s="65"/>
      <c r="EK377" s="65"/>
      <c r="EL377" s="65"/>
      <c r="EM377" s="65"/>
      <c r="EN377" s="65"/>
      <c r="EO377" s="65"/>
    </row>
    <row r="378" spans="1:145" s="62" customFormat="1" x14ac:dyDescent="0.2">
      <c r="A378" s="141">
        <v>8</v>
      </c>
      <c r="B378" s="129" t="s">
        <v>31</v>
      </c>
      <c r="C378" s="125"/>
      <c r="D378" s="122">
        <f t="shared" ref="D378:P378" si="82">SUM(D376:D377)</f>
        <v>6210.1308779451074</v>
      </c>
      <c r="E378" s="122">
        <f t="shared" si="82"/>
        <v>9747.0999712418234</v>
      </c>
      <c r="F378" s="122">
        <f t="shared" si="82"/>
        <v>-12461.070415567006</v>
      </c>
      <c r="G378" s="122">
        <f t="shared" si="82"/>
        <v>36376.644249639619</v>
      </c>
      <c r="H378" s="122">
        <f t="shared" si="82"/>
        <v>-17458.524478817533</v>
      </c>
      <c r="I378" s="122">
        <f t="shared" si="82"/>
        <v>-37734.862254977255</v>
      </c>
      <c r="J378" s="122">
        <f t="shared" si="82"/>
        <v>-1560.0487354191205</v>
      </c>
      <c r="K378" s="122">
        <f>SUM(K376:K377)</f>
        <v>11729.03656957153</v>
      </c>
      <c r="L378" s="122">
        <f>SUM(L376:L377)</f>
        <v>-7486.6229282955592</v>
      </c>
      <c r="M378" s="122">
        <f>SUM(M376:M377)</f>
        <v>-8896.8106405782419</v>
      </c>
      <c r="N378" s="122">
        <f>SUM(N376:N377)</f>
        <v>4291.4263666353418</v>
      </c>
      <c r="O378" s="122">
        <f>SUM(O376:O377)</f>
        <v>0</v>
      </c>
      <c r="P378" s="122">
        <f t="shared" si="82"/>
        <v>-17243.601418621292</v>
      </c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  <c r="BE378" s="65"/>
      <c r="BF378" s="65"/>
      <c r="BG378" s="65"/>
      <c r="BH378" s="65"/>
      <c r="BI378" s="65"/>
      <c r="BJ378" s="65"/>
      <c r="BK378" s="65"/>
      <c r="BL378" s="65"/>
      <c r="BM378" s="65"/>
      <c r="BN378" s="65"/>
      <c r="BO378" s="65"/>
      <c r="BP378" s="65"/>
      <c r="BQ378" s="65"/>
      <c r="BR378" s="65"/>
      <c r="BS378" s="65"/>
      <c r="BT378" s="65"/>
      <c r="BU378" s="65"/>
      <c r="BV378" s="65"/>
      <c r="BW378" s="65"/>
      <c r="BX378" s="65"/>
      <c r="BY378" s="65"/>
      <c r="BZ378" s="65"/>
      <c r="CA378" s="65"/>
      <c r="CB378" s="65"/>
      <c r="CC378" s="65"/>
      <c r="CD378" s="65"/>
      <c r="CE378" s="65"/>
      <c r="CF378" s="65"/>
      <c r="CG378" s="65"/>
      <c r="CH378" s="65"/>
      <c r="CI378" s="65"/>
      <c r="CJ378" s="65"/>
      <c r="CK378" s="65"/>
      <c r="CL378" s="65"/>
      <c r="CM378" s="65"/>
      <c r="CN378" s="65"/>
      <c r="CO378" s="65"/>
      <c r="CP378" s="65"/>
      <c r="CQ378" s="65"/>
      <c r="CR378" s="65"/>
      <c r="CS378" s="65"/>
      <c r="CT378" s="65"/>
      <c r="CU378" s="65"/>
      <c r="CV378" s="65"/>
      <c r="CW378" s="65"/>
      <c r="CX378" s="65"/>
      <c r="CY378" s="65"/>
      <c r="CZ378" s="65"/>
      <c r="DA378" s="65"/>
      <c r="DB378" s="65"/>
      <c r="DC378" s="65"/>
      <c r="DD378" s="65"/>
      <c r="DE378" s="65"/>
      <c r="DF378" s="65"/>
      <c r="DG378" s="65"/>
      <c r="DH378" s="65"/>
      <c r="DI378" s="65"/>
      <c r="DJ378" s="65"/>
      <c r="DK378" s="65"/>
      <c r="DL378" s="65"/>
      <c r="DM378" s="65"/>
      <c r="DN378" s="65"/>
      <c r="DO378" s="65"/>
      <c r="DP378" s="65"/>
      <c r="DQ378" s="65"/>
      <c r="DR378" s="65"/>
      <c r="DS378" s="65"/>
      <c r="DT378" s="65"/>
      <c r="DU378" s="65"/>
      <c r="DV378" s="65"/>
      <c r="DW378" s="65"/>
      <c r="DX378" s="65"/>
      <c r="DY378" s="65"/>
      <c r="DZ378" s="65"/>
      <c r="EA378" s="65"/>
      <c r="EB378" s="65"/>
      <c r="EC378" s="65"/>
      <c r="ED378" s="65"/>
      <c r="EE378" s="65"/>
      <c r="EF378" s="65"/>
      <c r="EG378" s="65"/>
      <c r="EH378" s="65"/>
      <c r="EI378" s="65"/>
      <c r="EJ378" s="65"/>
      <c r="EK378" s="65"/>
      <c r="EL378" s="65"/>
      <c r="EM378" s="65"/>
      <c r="EN378" s="65"/>
      <c r="EO378" s="65"/>
    </row>
    <row r="379" spans="1:145" s="62" customFormat="1" x14ac:dyDescent="0.2">
      <c r="A379" s="141"/>
      <c r="B379" s="129"/>
      <c r="C379" s="125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  <c r="BE379" s="65"/>
      <c r="BF379" s="65"/>
      <c r="BG379" s="65"/>
      <c r="BH379" s="65"/>
      <c r="BI379" s="65"/>
      <c r="BJ379" s="65"/>
      <c r="BK379" s="65"/>
      <c r="BL379" s="65"/>
      <c r="BM379" s="65"/>
      <c r="BN379" s="65"/>
      <c r="BO379" s="65"/>
      <c r="BP379" s="65"/>
      <c r="BQ379" s="65"/>
      <c r="BR379" s="65"/>
      <c r="BS379" s="65"/>
      <c r="BT379" s="65"/>
      <c r="BU379" s="65"/>
      <c r="BV379" s="65"/>
      <c r="BW379" s="65"/>
      <c r="BX379" s="65"/>
      <c r="BY379" s="65"/>
      <c r="BZ379" s="65"/>
      <c r="CA379" s="65"/>
      <c r="CB379" s="65"/>
      <c r="CC379" s="65"/>
      <c r="CD379" s="65"/>
      <c r="CE379" s="65"/>
      <c r="CF379" s="65"/>
      <c r="CG379" s="65"/>
      <c r="CH379" s="65"/>
      <c r="CI379" s="65"/>
      <c r="CJ379" s="65"/>
      <c r="CK379" s="65"/>
      <c r="CL379" s="65"/>
      <c r="CM379" s="65"/>
      <c r="CN379" s="65"/>
      <c r="CO379" s="65"/>
      <c r="CP379" s="65"/>
      <c r="CQ379" s="65"/>
      <c r="CR379" s="65"/>
      <c r="CS379" s="65"/>
      <c r="CT379" s="65"/>
      <c r="CU379" s="65"/>
      <c r="CV379" s="65"/>
      <c r="CW379" s="65"/>
      <c r="CX379" s="65"/>
      <c r="CY379" s="65"/>
      <c r="CZ379" s="65"/>
      <c r="DA379" s="65"/>
      <c r="DB379" s="65"/>
      <c r="DC379" s="65"/>
      <c r="DD379" s="65"/>
      <c r="DE379" s="65"/>
      <c r="DF379" s="65"/>
      <c r="DG379" s="65"/>
      <c r="DH379" s="65"/>
      <c r="DI379" s="65"/>
      <c r="DJ379" s="65"/>
      <c r="DK379" s="65"/>
      <c r="DL379" s="65"/>
      <c r="DM379" s="65"/>
      <c r="DN379" s="65"/>
      <c r="DO379" s="65"/>
      <c r="DP379" s="65"/>
      <c r="DQ379" s="65"/>
      <c r="DR379" s="65"/>
      <c r="DS379" s="65"/>
      <c r="DT379" s="65"/>
      <c r="DU379" s="65"/>
      <c r="DV379" s="65"/>
      <c r="DW379" s="65"/>
      <c r="DX379" s="65"/>
      <c r="DY379" s="65"/>
      <c r="DZ379" s="65"/>
      <c r="EA379" s="65"/>
      <c r="EB379" s="65"/>
      <c r="EC379" s="65"/>
      <c r="ED379" s="65"/>
      <c r="EE379" s="65"/>
      <c r="EF379" s="65"/>
      <c r="EG379" s="65"/>
      <c r="EH379" s="65"/>
      <c r="EI379" s="65"/>
      <c r="EJ379" s="65"/>
      <c r="EK379" s="65"/>
      <c r="EL379" s="65"/>
      <c r="EM379" s="65"/>
      <c r="EN379" s="65"/>
      <c r="EO379" s="65"/>
    </row>
    <row r="380" spans="1:145" s="62" customFormat="1" x14ac:dyDescent="0.2">
      <c r="A380" s="141">
        <v>9</v>
      </c>
      <c r="B380" s="162" t="s">
        <v>115</v>
      </c>
      <c r="C380" s="125" t="s">
        <v>18</v>
      </c>
      <c r="D380" s="122">
        <f>'[4]II-H-4.1 Monthly'!D373+'[5]II-H-4.1 Monthly'!D310</f>
        <v>-9333.1780202208465</v>
      </c>
      <c r="E380" s="122">
        <f>'[4]II-H-4.1 Monthly'!E373+'[5]II-H-4.1 Monthly'!E310</f>
        <v>18076.077912164474</v>
      </c>
      <c r="F380" s="122">
        <f>'[4]II-H-4.1 Monthly'!F373+'[5]II-H-4.1 Monthly'!F310</f>
        <v>29712.426043990472</v>
      </c>
      <c r="G380" s="122">
        <f>'[4]II-H-4.1 Monthly'!G373+'[5]II-H-4.1 Monthly'!G310</f>
        <v>17575.710726086934</v>
      </c>
      <c r="H380" s="122">
        <f>'[4]II-H-4.1 Monthly'!H373+'[5]II-H-4.1 Monthly'!H310</f>
        <v>10175.601065916115</v>
      </c>
      <c r="I380" s="122">
        <f>'[4]II-H-4.1 Monthly'!I373+'[5]II-H-4.1 Monthly'!I310</f>
        <v>876.41726741599655</v>
      </c>
      <c r="J380" s="122">
        <f>'[4]II-H-4.1 Monthly'!J373+'[5]II-H-4.1 Monthly'!J310</f>
        <v>27908.165361111991</v>
      </c>
      <c r="K380" s="122">
        <f>'[4]II-H-4.1 Monthly'!K373+'[5]II-H-4.1 Monthly'!K310</f>
        <v>16770.096773240686</v>
      </c>
      <c r="L380" s="122">
        <f>'[4]II-H-4.1 Monthly'!L373+'[5]II-H-4.1 Monthly'!L310</f>
        <v>1752.6692833780414</v>
      </c>
      <c r="M380" s="122">
        <f>'[4]II-H-4.1 Monthly'!M373+'[5]II-H-4.1 Monthly'!M310</f>
        <v>89074.605942969676</v>
      </c>
      <c r="N380" s="122">
        <f>'[4]II-H-4.1 Monthly'!N373+'[5]II-H-4.1 Monthly'!N310</f>
        <v>-122371.62634762932</v>
      </c>
      <c r="O380" s="122">
        <f>'[4]II-H-4.1 Monthly'!O373+'[5]II-H-4.1 Monthly'!O310</f>
        <v>122886.00798892378</v>
      </c>
      <c r="P380" s="122">
        <f>SUM(D380:O380)</f>
        <v>203102.97399734799</v>
      </c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  <c r="BE380" s="65"/>
      <c r="BF380" s="65"/>
      <c r="BG380" s="65"/>
      <c r="BH380" s="65"/>
      <c r="BI380" s="65"/>
      <c r="BJ380" s="65"/>
      <c r="BK380" s="65"/>
      <c r="BL380" s="65"/>
      <c r="BM380" s="65"/>
      <c r="BN380" s="65"/>
      <c r="BO380" s="65"/>
      <c r="BP380" s="65"/>
      <c r="BQ380" s="65"/>
      <c r="BR380" s="65"/>
      <c r="BS380" s="65"/>
      <c r="BT380" s="65"/>
      <c r="BU380" s="65"/>
      <c r="BV380" s="65"/>
      <c r="BW380" s="65"/>
      <c r="BX380" s="65"/>
      <c r="BY380" s="65"/>
      <c r="BZ380" s="65"/>
      <c r="CA380" s="65"/>
      <c r="CB380" s="65"/>
      <c r="CC380" s="65"/>
      <c r="CD380" s="65"/>
      <c r="CE380" s="65"/>
      <c r="CF380" s="65"/>
      <c r="CG380" s="65"/>
      <c r="CH380" s="65"/>
      <c r="CI380" s="65"/>
      <c r="CJ380" s="65"/>
      <c r="CK380" s="65"/>
      <c r="CL380" s="65"/>
      <c r="CM380" s="65"/>
      <c r="CN380" s="65"/>
      <c r="CO380" s="65"/>
      <c r="CP380" s="65"/>
      <c r="CQ380" s="65"/>
      <c r="CR380" s="65"/>
      <c r="CS380" s="65"/>
      <c r="CT380" s="65"/>
      <c r="CU380" s="65"/>
      <c r="CV380" s="65"/>
      <c r="CW380" s="65"/>
      <c r="CX380" s="65"/>
      <c r="CY380" s="65"/>
      <c r="CZ380" s="65"/>
      <c r="DA380" s="65"/>
      <c r="DB380" s="65"/>
      <c r="DC380" s="65"/>
      <c r="DD380" s="65"/>
      <c r="DE380" s="65"/>
      <c r="DF380" s="65"/>
      <c r="DG380" s="65"/>
      <c r="DH380" s="65"/>
      <c r="DI380" s="65"/>
      <c r="DJ380" s="65"/>
      <c r="DK380" s="65"/>
      <c r="DL380" s="65"/>
      <c r="DM380" s="65"/>
      <c r="DN380" s="65"/>
      <c r="DO380" s="65"/>
      <c r="DP380" s="65"/>
      <c r="DQ380" s="65"/>
      <c r="DR380" s="65"/>
      <c r="DS380" s="65"/>
      <c r="DT380" s="65"/>
      <c r="DU380" s="65"/>
      <c r="DV380" s="65"/>
      <c r="DW380" s="65"/>
      <c r="DX380" s="65"/>
      <c r="DY380" s="65"/>
      <c r="DZ380" s="65"/>
      <c r="EA380" s="65"/>
      <c r="EB380" s="65"/>
      <c r="EC380" s="65"/>
      <c r="ED380" s="65"/>
      <c r="EE380" s="65"/>
      <c r="EF380" s="65"/>
      <c r="EG380" s="65"/>
      <c r="EH380" s="65"/>
      <c r="EI380" s="65"/>
      <c r="EJ380" s="65"/>
      <c r="EK380" s="65"/>
      <c r="EL380" s="65"/>
      <c r="EM380" s="65"/>
      <c r="EN380" s="65"/>
      <c r="EO380" s="65"/>
    </row>
    <row r="381" spans="1:145" s="62" customFormat="1" x14ac:dyDescent="0.2">
      <c r="A381" s="129"/>
      <c r="B381" s="129"/>
      <c r="C381" s="143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22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  <c r="BD381" s="65"/>
      <c r="BE381" s="65"/>
      <c r="BF381" s="65"/>
      <c r="BG381" s="65"/>
      <c r="BH381" s="65"/>
      <c r="BI381" s="65"/>
      <c r="BJ381" s="65"/>
      <c r="BK381" s="65"/>
      <c r="BL381" s="65"/>
      <c r="BM381" s="65"/>
      <c r="BN381" s="65"/>
      <c r="BO381" s="65"/>
      <c r="BP381" s="65"/>
      <c r="BQ381" s="65"/>
      <c r="BR381" s="65"/>
      <c r="BS381" s="65"/>
      <c r="BT381" s="65"/>
      <c r="BU381" s="65"/>
      <c r="BV381" s="65"/>
      <c r="BW381" s="65"/>
      <c r="BX381" s="65"/>
      <c r="BY381" s="65"/>
      <c r="BZ381" s="65"/>
      <c r="CA381" s="65"/>
      <c r="CB381" s="65"/>
      <c r="CC381" s="65"/>
      <c r="CD381" s="65"/>
      <c r="CE381" s="65"/>
      <c r="CF381" s="65"/>
      <c r="CG381" s="65"/>
      <c r="CH381" s="65"/>
      <c r="CI381" s="65"/>
      <c r="CJ381" s="65"/>
      <c r="CK381" s="65"/>
      <c r="CL381" s="65"/>
      <c r="CM381" s="65"/>
      <c r="CN381" s="65"/>
      <c r="CO381" s="65"/>
      <c r="CP381" s="65"/>
      <c r="CQ381" s="65"/>
      <c r="CR381" s="65"/>
      <c r="CS381" s="65"/>
      <c r="CT381" s="65"/>
      <c r="CU381" s="65"/>
      <c r="CV381" s="65"/>
      <c r="CW381" s="65"/>
      <c r="CX381" s="65"/>
      <c r="CY381" s="65"/>
      <c r="CZ381" s="65"/>
      <c r="DA381" s="65"/>
      <c r="DB381" s="65"/>
      <c r="DC381" s="65"/>
      <c r="DD381" s="65"/>
      <c r="DE381" s="65"/>
      <c r="DF381" s="65"/>
      <c r="DG381" s="65"/>
      <c r="DH381" s="65"/>
      <c r="DI381" s="65"/>
      <c r="DJ381" s="65"/>
      <c r="DK381" s="65"/>
      <c r="DL381" s="65"/>
      <c r="DM381" s="65"/>
      <c r="DN381" s="65"/>
      <c r="DO381" s="65"/>
      <c r="DP381" s="65"/>
      <c r="DQ381" s="65"/>
      <c r="DR381" s="65"/>
      <c r="DS381" s="65"/>
      <c r="DT381" s="65"/>
      <c r="DU381" s="65"/>
      <c r="DV381" s="65"/>
      <c r="DW381" s="65"/>
      <c r="DX381" s="65"/>
      <c r="DY381" s="65"/>
      <c r="DZ381" s="65"/>
      <c r="EA381" s="65"/>
      <c r="EB381" s="65"/>
      <c r="EC381" s="65"/>
      <c r="ED381" s="65"/>
      <c r="EE381" s="65"/>
      <c r="EF381" s="65"/>
      <c r="EG381" s="65"/>
      <c r="EH381" s="65"/>
      <c r="EI381" s="65"/>
      <c r="EJ381" s="65"/>
      <c r="EK381" s="65"/>
      <c r="EL381" s="65"/>
      <c r="EM381" s="65"/>
      <c r="EN381" s="65"/>
      <c r="EO381" s="65"/>
    </row>
    <row r="382" spans="1:145" s="62" customFormat="1" x14ac:dyDescent="0.2">
      <c r="A382" s="141">
        <v>10</v>
      </c>
      <c r="B382" s="117" t="s">
        <v>33</v>
      </c>
      <c r="C382" s="125" t="s">
        <v>16</v>
      </c>
      <c r="D382" s="122">
        <f>'[4]II-H-4.1 Monthly'!D375+'[5]II-H-4.1 Monthly'!D312</f>
        <v>-14819.641452451022</v>
      </c>
      <c r="E382" s="122">
        <f>'[4]II-H-4.1 Monthly'!E375+'[5]II-H-4.1 Monthly'!E312</f>
        <v>1857.8840586859624</v>
      </c>
      <c r="F382" s="122">
        <f>'[4]II-H-4.1 Monthly'!F375+'[5]II-H-4.1 Monthly'!F312</f>
        <v>649.87320244798764</v>
      </c>
      <c r="G382" s="122">
        <f>'[4]II-H-4.1 Monthly'!G375+'[5]II-H-4.1 Monthly'!G312</f>
        <v>479.70995713574587</v>
      </c>
      <c r="H382" s="122">
        <f>'[4]II-H-4.1 Monthly'!H375+'[5]II-H-4.1 Monthly'!H312</f>
        <v>-145.4132412974194</v>
      </c>
      <c r="I382" s="122">
        <f>'[4]II-H-4.1 Monthly'!I375+'[5]II-H-4.1 Monthly'!I312</f>
        <v>39.610487339269582</v>
      </c>
      <c r="J382" s="122">
        <f>'[4]II-H-4.1 Monthly'!J375+'[5]II-H-4.1 Monthly'!J312</f>
        <v>4850.7048071445479</v>
      </c>
      <c r="K382" s="122">
        <f>'[4]II-H-4.1 Monthly'!K375+'[5]II-H-4.1 Monthly'!K312</f>
        <v>-1571.3140615526188</v>
      </c>
      <c r="L382" s="122">
        <f>'[4]II-H-4.1 Monthly'!L375+'[5]II-H-4.1 Monthly'!L312</f>
        <v>-20.159960231460559</v>
      </c>
      <c r="M382" s="122">
        <f>'[4]II-H-4.1 Monthly'!M375+'[5]II-H-4.1 Monthly'!M312</f>
        <v>-168.53999126537883</v>
      </c>
      <c r="N382" s="122">
        <f>'[4]II-H-4.1 Monthly'!N375+'[5]II-H-4.1 Monthly'!N312</f>
        <v>556.42461625957856</v>
      </c>
      <c r="O382" s="122">
        <f>'[4]II-H-4.1 Monthly'!O375+'[5]II-H-4.1 Monthly'!O312</f>
        <v>0</v>
      </c>
      <c r="P382" s="122">
        <f>SUM(D382:O382)</f>
        <v>-8290.8615777848081</v>
      </c>
      <c r="Q382" s="148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  <c r="AT382" s="65"/>
      <c r="AU382" s="65"/>
      <c r="AV382" s="65"/>
      <c r="AW382" s="65"/>
      <c r="AX382" s="65"/>
      <c r="AY382" s="65"/>
      <c r="AZ382" s="65"/>
      <c r="BA382" s="65"/>
      <c r="BB382" s="65"/>
      <c r="BC382" s="65"/>
      <c r="BD382" s="65"/>
      <c r="BE382" s="65"/>
      <c r="BF382" s="65"/>
      <c r="BG382" s="65"/>
      <c r="BH382" s="65"/>
      <c r="BI382" s="65"/>
      <c r="BJ382" s="65"/>
      <c r="BK382" s="65"/>
      <c r="BL382" s="65"/>
      <c r="BM382" s="65"/>
      <c r="BN382" s="65"/>
      <c r="BO382" s="65"/>
      <c r="BP382" s="65"/>
      <c r="BQ382" s="65"/>
      <c r="BR382" s="65"/>
      <c r="BS382" s="65"/>
      <c r="BT382" s="65"/>
      <c r="BU382" s="65"/>
      <c r="BV382" s="65"/>
      <c r="BW382" s="65"/>
      <c r="BX382" s="65"/>
      <c r="BY382" s="65"/>
      <c r="BZ382" s="65"/>
      <c r="CA382" s="65"/>
      <c r="CB382" s="65"/>
      <c r="CC382" s="65"/>
      <c r="CD382" s="65"/>
      <c r="CE382" s="65"/>
      <c r="CF382" s="65"/>
      <c r="CG382" s="65"/>
      <c r="CH382" s="65"/>
      <c r="CI382" s="65"/>
      <c r="CJ382" s="65"/>
      <c r="CK382" s="65"/>
      <c r="CL382" s="65"/>
      <c r="CM382" s="65"/>
      <c r="CN382" s="65"/>
      <c r="CO382" s="65"/>
      <c r="CP382" s="65"/>
      <c r="CQ382" s="65"/>
      <c r="CR382" s="65"/>
      <c r="CS382" s="65"/>
      <c r="CT382" s="65"/>
      <c r="CU382" s="65"/>
      <c r="CV382" s="65"/>
      <c r="CW382" s="65"/>
      <c r="CX382" s="65"/>
      <c r="CY382" s="65"/>
      <c r="CZ382" s="65"/>
      <c r="DA382" s="65"/>
      <c r="DB382" s="65"/>
      <c r="DC382" s="65"/>
      <c r="DD382" s="65"/>
      <c r="DE382" s="65"/>
      <c r="DF382" s="65"/>
      <c r="DG382" s="65"/>
      <c r="DH382" s="65"/>
      <c r="DI382" s="65"/>
      <c r="DJ382" s="65"/>
      <c r="DK382" s="65"/>
      <c r="DL382" s="65"/>
      <c r="DM382" s="65"/>
      <c r="DN382" s="65"/>
      <c r="DO382" s="65"/>
      <c r="DP382" s="65"/>
      <c r="DQ382" s="65"/>
      <c r="DR382" s="65"/>
      <c r="DS382" s="65"/>
      <c r="DT382" s="65"/>
      <c r="DU382" s="65"/>
      <c r="DV382" s="65"/>
      <c r="DW382" s="65"/>
      <c r="DX382" s="65"/>
      <c r="DY382" s="65"/>
      <c r="DZ382" s="65"/>
      <c r="EA382" s="65"/>
      <c r="EB382" s="65"/>
      <c r="EC382" s="65"/>
      <c r="ED382" s="65"/>
      <c r="EE382" s="65"/>
      <c r="EF382" s="65"/>
      <c r="EG382" s="65"/>
      <c r="EH382" s="65"/>
      <c r="EI382" s="65"/>
      <c r="EJ382" s="65"/>
      <c r="EK382" s="65"/>
      <c r="EL382" s="65"/>
      <c r="EM382" s="65"/>
      <c r="EN382" s="65"/>
      <c r="EO382" s="65"/>
    </row>
    <row r="383" spans="1:145" s="62" customFormat="1" x14ac:dyDescent="0.2">
      <c r="A383" s="74"/>
      <c r="B383" s="129"/>
      <c r="C383" s="143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22"/>
      <c r="P383" s="122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/>
      <c r="AU383" s="65"/>
      <c r="AV383" s="65"/>
      <c r="AW383" s="65"/>
      <c r="AX383" s="65"/>
      <c r="AY383" s="65"/>
      <c r="AZ383" s="65"/>
      <c r="BA383" s="65"/>
      <c r="BB383" s="65"/>
      <c r="BC383" s="65"/>
      <c r="BD383" s="65"/>
      <c r="BE383" s="65"/>
      <c r="BF383" s="65"/>
      <c r="BG383" s="65"/>
      <c r="BH383" s="65"/>
      <c r="BI383" s="65"/>
      <c r="BJ383" s="65"/>
      <c r="BK383" s="65"/>
      <c r="BL383" s="65"/>
      <c r="BM383" s="65"/>
      <c r="BN383" s="65"/>
      <c r="BO383" s="65"/>
      <c r="BP383" s="65"/>
      <c r="BQ383" s="65"/>
      <c r="BR383" s="65"/>
      <c r="BS383" s="65"/>
      <c r="BT383" s="65"/>
      <c r="BU383" s="65"/>
      <c r="BV383" s="65"/>
      <c r="BW383" s="65"/>
      <c r="BX383" s="65"/>
      <c r="BY383" s="65"/>
      <c r="BZ383" s="65"/>
      <c r="CA383" s="65"/>
      <c r="CB383" s="65"/>
      <c r="CC383" s="65"/>
      <c r="CD383" s="65"/>
      <c r="CE383" s="65"/>
      <c r="CF383" s="65"/>
      <c r="CG383" s="65"/>
      <c r="CH383" s="65"/>
      <c r="CI383" s="65"/>
      <c r="CJ383" s="65"/>
      <c r="CK383" s="65"/>
      <c r="CL383" s="65"/>
      <c r="CM383" s="65"/>
      <c r="CN383" s="65"/>
      <c r="CO383" s="65"/>
      <c r="CP383" s="65"/>
      <c r="CQ383" s="65"/>
      <c r="CR383" s="65"/>
      <c r="CS383" s="65"/>
      <c r="CT383" s="65"/>
      <c r="CU383" s="65"/>
      <c r="CV383" s="65"/>
      <c r="CW383" s="65"/>
      <c r="CX383" s="65"/>
      <c r="CY383" s="65"/>
      <c r="CZ383" s="65"/>
      <c r="DA383" s="65"/>
      <c r="DB383" s="65"/>
      <c r="DC383" s="65"/>
      <c r="DD383" s="65"/>
      <c r="DE383" s="65"/>
      <c r="DF383" s="65"/>
      <c r="DG383" s="65"/>
      <c r="DH383" s="65"/>
      <c r="DI383" s="65"/>
      <c r="DJ383" s="65"/>
      <c r="DK383" s="65"/>
      <c r="DL383" s="65"/>
      <c r="DM383" s="65"/>
      <c r="DN383" s="65"/>
      <c r="DO383" s="65"/>
      <c r="DP383" s="65"/>
      <c r="DQ383" s="65"/>
      <c r="DR383" s="65"/>
      <c r="DS383" s="65"/>
      <c r="DT383" s="65"/>
      <c r="DU383" s="65"/>
      <c r="DV383" s="65"/>
      <c r="DW383" s="65"/>
      <c r="DX383" s="65"/>
      <c r="DY383" s="65"/>
      <c r="DZ383" s="65"/>
      <c r="EA383" s="65"/>
      <c r="EB383" s="65"/>
      <c r="EC383" s="65"/>
      <c r="ED383" s="65"/>
      <c r="EE383" s="65"/>
      <c r="EF383" s="65"/>
      <c r="EG383" s="65"/>
      <c r="EH383" s="65"/>
      <c r="EI383" s="65"/>
      <c r="EJ383" s="65"/>
      <c r="EK383" s="65"/>
      <c r="EL383" s="65"/>
      <c r="EM383" s="65"/>
      <c r="EN383" s="65"/>
      <c r="EO383" s="65"/>
    </row>
    <row r="384" spans="1:145" s="62" customFormat="1" x14ac:dyDescent="0.2">
      <c r="A384" s="74">
        <v>11</v>
      </c>
      <c r="B384" s="183" t="s">
        <v>34</v>
      </c>
      <c r="C384" s="236"/>
      <c r="D384" s="184">
        <f t="shared" ref="D384:P384" si="83">D382+D380+D378+D374+D370+D368</f>
        <v>555964.28257789928</v>
      </c>
      <c r="E384" s="184">
        <f t="shared" si="83"/>
        <v>388471.14241923782</v>
      </c>
      <c r="F384" s="184">
        <f t="shared" si="83"/>
        <v>228779.57164090278</v>
      </c>
      <c r="G384" s="184">
        <f t="shared" si="83"/>
        <v>236398.30161800142</v>
      </c>
      <c r="H384" s="184">
        <f t="shared" si="83"/>
        <v>169890.98781965525</v>
      </c>
      <c r="I384" s="184">
        <f t="shared" si="83"/>
        <v>174321.30816851638</v>
      </c>
      <c r="J384" s="184">
        <f t="shared" si="83"/>
        <v>234399.62653007754</v>
      </c>
      <c r="K384" s="184">
        <f t="shared" si="83"/>
        <v>31431.422584470085</v>
      </c>
      <c r="L384" s="184">
        <f t="shared" si="83"/>
        <v>77492.486651986852</v>
      </c>
      <c r="M384" s="184">
        <f t="shared" si="83"/>
        <v>148726.9156332766</v>
      </c>
      <c r="N384" s="184">
        <f t="shared" si="83"/>
        <v>-90754.093896448234</v>
      </c>
      <c r="O384" s="184">
        <f t="shared" si="83"/>
        <v>122886.00798892378</v>
      </c>
      <c r="P384" s="184">
        <f t="shared" si="83"/>
        <v>2278007.9597364999</v>
      </c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/>
      <c r="AV384" s="65"/>
      <c r="AW384" s="65"/>
      <c r="AX384" s="65"/>
      <c r="AY384" s="65"/>
      <c r="AZ384" s="65"/>
      <c r="BA384" s="65"/>
      <c r="BB384" s="65"/>
      <c r="BC384" s="65"/>
      <c r="BD384" s="65"/>
      <c r="BE384" s="65"/>
      <c r="BF384" s="65"/>
      <c r="BG384" s="65"/>
      <c r="BH384" s="65"/>
      <c r="BI384" s="65"/>
      <c r="BJ384" s="65"/>
      <c r="BK384" s="65"/>
      <c r="BL384" s="65"/>
      <c r="BM384" s="65"/>
      <c r="BN384" s="65"/>
      <c r="BO384" s="65"/>
      <c r="BP384" s="65"/>
      <c r="BQ384" s="65"/>
      <c r="BR384" s="65"/>
      <c r="BS384" s="65"/>
      <c r="BT384" s="65"/>
      <c r="BU384" s="65"/>
      <c r="BV384" s="65"/>
      <c r="BW384" s="65"/>
      <c r="BX384" s="65"/>
      <c r="BY384" s="65"/>
      <c r="BZ384" s="65"/>
      <c r="CA384" s="65"/>
      <c r="CB384" s="65"/>
      <c r="CC384" s="65"/>
      <c r="CD384" s="65"/>
      <c r="CE384" s="65"/>
      <c r="CF384" s="65"/>
      <c r="CG384" s="65"/>
      <c r="CH384" s="65"/>
      <c r="CI384" s="65"/>
      <c r="CJ384" s="65"/>
      <c r="CK384" s="65"/>
      <c r="CL384" s="65"/>
      <c r="CM384" s="65"/>
      <c r="CN384" s="65"/>
      <c r="CO384" s="65"/>
      <c r="CP384" s="65"/>
      <c r="CQ384" s="65"/>
      <c r="CR384" s="65"/>
      <c r="CS384" s="65"/>
      <c r="CT384" s="65"/>
      <c r="CU384" s="65"/>
      <c r="CV384" s="65"/>
      <c r="CW384" s="65"/>
      <c r="CX384" s="65"/>
      <c r="CY384" s="65"/>
      <c r="CZ384" s="65"/>
      <c r="DA384" s="65"/>
      <c r="DB384" s="65"/>
      <c r="DC384" s="65"/>
      <c r="DD384" s="65"/>
      <c r="DE384" s="65"/>
      <c r="DF384" s="65"/>
      <c r="DG384" s="65"/>
      <c r="DH384" s="65"/>
      <c r="DI384" s="65"/>
      <c r="DJ384" s="65"/>
      <c r="DK384" s="65"/>
      <c r="DL384" s="65"/>
      <c r="DM384" s="65"/>
      <c r="DN384" s="65"/>
      <c r="DO384" s="65"/>
      <c r="DP384" s="65"/>
      <c r="DQ384" s="65"/>
      <c r="DR384" s="65"/>
      <c r="DS384" s="65"/>
      <c r="DT384" s="65"/>
      <c r="DU384" s="65"/>
      <c r="DV384" s="65"/>
      <c r="DW384" s="65"/>
      <c r="DX384" s="65"/>
      <c r="DY384" s="65"/>
      <c r="DZ384" s="65"/>
      <c r="EA384" s="65"/>
      <c r="EB384" s="65"/>
      <c r="EC384" s="65"/>
      <c r="ED384" s="65"/>
      <c r="EE384" s="65"/>
      <c r="EF384" s="65"/>
      <c r="EG384" s="65"/>
      <c r="EH384" s="65"/>
      <c r="EI384" s="65"/>
      <c r="EJ384" s="65"/>
      <c r="EK384" s="65"/>
      <c r="EL384" s="65"/>
      <c r="EM384" s="65"/>
      <c r="EN384" s="65"/>
      <c r="EO384" s="65"/>
    </row>
    <row r="385" spans="1:145" s="62" customFormat="1" x14ac:dyDescent="0.2">
      <c r="B385" s="236"/>
      <c r="C385" s="236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56"/>
      <c r="P385" s="156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/>
      <c r="AV385" s="65"/>
      <c r="AW385" s="65"/>
      <c r="AX385" s="65"/>
      <c r="AY385" s="65"/>
      <c r="AZ385" s="65"/>
      <c r="BA385" s="65"/>
      <c r="BB385" s="65"/>
      <c r="BC385" s="65"/>
      <c r="BD385" s="65"/>
      <c r="BE385" s="65"/>
      <c r="BF385" s="65"/>
      <c r="BG385" s="65"/>
      <c r="BH385" s="65"/>
      <c r="BI385" s="65"/>
      <c r="BJ385" s="65"/>
      <c r="BK385" s="65"/>
      <c r="BL385" s="65"/>
      <c r="BM385" s="65"/>
      <c r="BN385" s="65"/>
      <c r="BO385" s="65"/>
      <c r="BP385" s="65"/>
      <c r="BQ385" s="65"/>
      <c r="BR385" s="65"/>
      <c r="BS385" s="65"/>
      <c r="BT385" s="65"/>
      <c r="BU385" s="65"/>
      <c r="BV385" s="65"/>
      <c r="BW385" s="65"/>
      <c r="BX385" s="65"/>
      <c r="BY385" s="65"/>
      <c r="BZ385" s="65"/>
      <c r="CA385" s="65"/>
      <c r="CB385" s="65"/>
      <c r="CC385" s="65"/>
      <c r="CD385" s="65"/>
      <c r="CE385" s="65"/>
      <c r="CF385" s="65"/>
      <c r="CG385" s="65"/>
      <c r="CH385" s="65"/>
      <c r="CI385" s="65"/>
      <c r="CJ385" s="65"/>
      <c r="CK385" s="65"/>
      <c r="CL385" s="65"/>
      <c r="CM385" s="65"/>
      <c r="CN385" s="65"/>
      <c r="CO385" s="65"/>
      <c r="CP385" s="65"/>
      <c r="CQ385" s="65"/>
      <c r="CR385" s="65"/>
      <c r="CS385" s="65"/>
      <c r="CT385" s="65"/>
      <c r="CU385" s="65"/>
      <c r="CV385" s="65"/>
      <c r="CW385" s="65"/>
      <c r="CX385" s="65"/>
      <c r="CY385" s="65"/>
      <c r="CZ385" s="65"/>
      <c r="DA385" s="65"/>
      <c r="DB385" s="65"/>
      <c r="DC385" s="65"/>
      <c r="DD385" s="65"/>
      <c r="DE385" s="65"/>
      <c r="DF385" s="65"/>
      <c r="DG385" s="65"/>
      <c r="DH385" s="65"/>
      <c r="DI385" s="65"/>
      <c r="DJ385" s="65"/>
      <c r="DK385" s="65"/>
      <c r="DL385" s="65"/>
      <c r="DM385" s="65"/>
      <c r="DN385" s="65"/>
      <c r="DO385" s="65"/>
      <c r="DP385" s="65"/>
      <c r="DQ385" s="65"/>
      <c r="DR385" s="65"/>
      <c r="DS385" s="65"/>
      <c r="DT385" s="65"/>
      <c r="DU385" s="65"/>
      <c r="DV385" s="65"/>
      <c r="DW385" s="65"/>
      <c r="DX385" s="65"/>
      <c r="DY385" s="65"/>
      <c r="DZ385" s="65"/>
      <c r="EA385" s="65"/>
      <c r="EB385" s="65"/>
      <c r="EC385" s="65"/>
      <c r="ED385" s="65"/>
      <c r="EE385" s="65"/>
      <c r="EF385" s="65"/>
      <c r="EG385" s="65"/>
      <c r="EH385" s="65"/>
      <c r="EI385" s="65"/>
      <c r="EJ385" s="65"/>
      <c r="EK385" s="65"/>
      <c r="EL385" s="65"/>
      <c r="EM385" s="65"/>
      <c r="EN385" s="65"/>
      <c r="EO385" s="65"/>
    </row>
    <row r="386" spans="1:145" s="62" customFormat="1" x14ac:dyDescent="0.2">
      <c r="A386" s="74">
        <v>12</v>
      </c>
      <c r="B386" s="148" t="s">
        <v>91</v>
      </c>
      <c r="C386" s="125" t="s">
        <v>17</v>
      </c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56">
        <f>SUM(D386:O386)</f>
        <v>0</v>
      </c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/>
      <c r="AV386" s="65"/>
      <c r="AW386" s="65"/>
      <c r="AX386" s="65"/>
      <c r="AY386" s="65"/>
      <c r="AZ386" s="65"/>
      <c r="BA386" s="65"/>
      <c r="BB386" s="65"/>
      <c r="BC386" s="65"/>
      <c r="BD386" s="65"/>
      <c r="BE386" s="65"/>
      <c r="BF386" s="65"/>
      <c r="BG386" s="65"/>
      <c r="BH386" s="65"/>
      <c r="BI386" s="65"/>
      <c r="BJ386" s="65"/>
      <c r="BK386" s="65"/>
      <c r="BL386" s="65"/>
      <c r="BM386" s="65"/>
      <c r="BN386" s="65"/>
      <c r="BO386" s="65"/>
      <c r="BP386" s="65"/>
      <c r="BQ386" s="65"/>
      <c r="BR386" s="65"/>
      <c r="BS386" s="65"/>
      <c r="BT386" s="65"/>
      <c r="BU386" s="65"/>
      <c r="BV386" s="65"/>
      <c r="BW386" s="65"/>
      <c r="BX386" s="65"/>
      <c r="BY386" s="65"/>
      <c r="BZ386" s="65"/>
      <c r="CA386" s="65"/>
      <c r="CB386" s="65"/>
      <c r="CC386" s="65"/>
      <c r="CD386" s="65"/>
      <c r="CE386" s="65"/>
      <c r="CF386" s="65"/>
      <c r="CG386" s="65"/>
      <c r="CH386" s="65"/>
      <c r="CI386" s="65"/>
      <c r="CJ386" s="65"/>
      <c r="CK386" s="65"/>
      <c r="CL386" s="65"/>
      <c r="CM386" s="65"/>
      <c r="CN386" s="65"/>
      <c r="CO386" s="65"/>
      <c r="CP386" s="65"/>
      <c r="CQ386" s="65"/>
      <c r="CR386" s="65"/>
      <c r="CS386" s="65"/>
      <c r="CT386" s="65"/>
      <c r="CU386" s="65"/>
      <c r="CV386" s="65"/>
      <c r="CW386" s="65"/>
      <c r="CX386" s="65"/>
      <c r="CY386" s="65"/>
      <c r="CZ386" s="65"/>
      <c r="DA386" s="65"/>
      <c r="DB386" s="65"/>
      <c r="DC386" s="65"/>
      <c r="DD386" s="65"/>
      <c r="DE386" s="65"/>
      <c r="DF386" s="65"/>
      <c r="DG386" s="65"/>
      <c r="DH386" s="65"/>
      <c r="DI386" s="65"/>
      <c r="DJ386" s="65"/>
      <c r="DK386" s="65"/>
      <c r="DL386" s="65"/>
      <c r="DM386" s="65"/>
      <c r="DN386" s="65"/>
      <c r="DO386" s="65"/>
      <c r="DP386" s="65"/>
      <c r="DQ386" s="65"/>
      <c r="DR386" s="65"/>
      <c r="DS386" s="65"/>
      <c r="DT386" s="65"/>
      <c r="DU386" s="65"/>
      <c r="DV386" s="65"/>
      <c r="DW386" s="65"/>
      <c r="DX386" s="65"/>
      <c r="DY386" s="65"/>
      <c r="DZ386" s="65"/>
      <c r="EA386" s="65"/>
      <c r="EB386" s="65"/>
      <c r="EC386" s="65"/>
      <c r="ED386" s="65"/>
      <c r="EE386" s="65"/>
      <c r="EF386" s="65"/>
      <c r="EG386" s="65"/>
      <c r="EH386" s="65"/>
      <c r="EI386" s="65"/>
      <c r="EJ386" s="65"/>
      <c r="EK386" s="65"/>
      <c r="EL386" s="65"/>
      <c r="EM386" s="65"/>
      <c r="EN386" s="65"/>
      <c r="EO386" s="65"/>
    </row>
    <row r="387" spans="1:145" s="62" customFormat="1" x14ac:dyDescent="0.2">
      <c r="A387" s="74">
        <v>13</v>
      </c>
      <c r="B387" s="148" t="s">
        <v>92</v>
      </c>
      <c r="C387" s="125" t="s">
        <v>18</v>
      </c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73">
        <f>SUM(D387:O387)</f>
        <v>0</v>
      </c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  <c r="BD387" s="65"/>
      <c r="BE387" s="65"/>
      <c r="BF387" s="65"/>
      <c r="BG387" s="65"/>
      <c r="BH387" s="65"/>
      <c r="BI387" s="65"/>
      <c r="BJ387" s="65"/>
      <c r="BK387" s="65"/>
      <c r="BL387" s="65"/>
      <c r="BM387" s="65"/>
      <c r="BN387" s="65"/>
      <c r="BO387" s="65"/>
      <c r="BP387" s="65"/>
      <c r="BQ387" s="65"/>
      <c r="BR387" s="65"/>
      <c r="BS387" s="65"/>
      <c r="BT387" s="65"/>
      <c r="BU387" s="65"/>
      <c r="BV387" s="65"/>
      <c r="BW387" s="65"/>
      <c r="BX387" s="65"/>
      <c r="BY387" s="65"/>
      <c r="BZ387" s="65"/>
      <c r="CA387" s="65"/>
      <c r="CB387" s="65"/>
      <c r="CC387" s="65"/>
      <c r="CD387" s="65"/>
      <c r="CE387" s="65"/>
      <c r="CF387" s="65"/>
      <c r="CG387" s="65"/>
      <c r="CH387" s="65"/>
      <c r="CI387" s="65"/>
      <c r="CJ387" s="65"/>
      <c r="CK387" s="65"/>
      <c r="CL387" s="65"/>
      <c r="CM387" s="65"/>
      <c r="CN387" s="65"/>
      <c r="CO387" s="65"/>
      <c r="CP387" s="65"/>
      <c r="CQ387" s="65"/>
      <c r="CR387" s="65"/>
      <c r="CS387" s="65"/>
      <c r="CT387" s="65"/>
      <c r="CU387" s="65"/>
      <c r="CV387" s="65"/>
      <c r="CW387" s="65"/>
      <c r="CX387" s="65"/>
      <c r="CY387" s="65"/>
      <c r="CZ387" s="65"/>
      <c r="DA387" s="65"/>
      <c r="DB387" s="65"/>
      <c r="DC387" s="65"/>
      <c r="DD387" s="65"/>
      <c r="DE387" s="65"/>
      <c r="DF387" s="65"/>
      <c r="DG387" s="65"/>
      <c r="DH387" s="65"/>
      <c r="DI387" s="65"/>
      <c r="DJ387" s="65"/>
      <c r="DK387" s="65"/>
      <c r="DL387" s="65"/>
      <c r="DM387" s="65"/>
      <c r="DN387" s="65"/>
      <c r="DO387" s="65"/>
      <c r="DP387" s="65"/>
      <c r="DQ387" s="65"/>
      <c r="DR387" s="65"/>
      <c r="DS387" s="65"/>
      <c r="DT387" s="65"/>
      <c r="DU387" s="65"/>
      <c r="DV387" s="65"/>
      <c r="DW387" s="65"/>
      <c r="DX387" s="65"/>
      <c r="DY387" s="65"/>
      <c r="DZ387" s="65"/>
      <c r="EA387" s="65"/>
      <c r="EB387" s="65"/>
      <c r="EC387" s="65"/>
      <c r="ED387" s="65"/>
      <c r="EE387" s="65"/>
      <c r="EF387" s="65"/>
      <c r="EG387" s="65"/>
      <c r="EH387" s="65"/>
      <c r="EI387" s="65"/>
      <c r="EJ387" s="65"/>
      <c r="EK387" s="65"/>
      <c r="EL387" s="65"/>
      <c r="EM387" s="65"/>
      <c r="EN387" s="65"/>
      <c r="EO387" s="65"/>
    </row>
    <row r="388" spans="1:145" s="62" customFormat="1" x14ac:dyDescent="0.2">
      <c r="A388" s="74">
        <v>14</v>
      </c>
      <c r="B388" s="183" t="s">
        <v>35</v>
      </c>
      <c r="C388" s="238"/>
      <c r="D388" s="169">
        <f t="shared" ref="D388:P388" si="84">SUM(D386:D387)</f>
        <v>0</v>
      </c>
      <c r="E388" s="169">
        <f t="shared" si="84"/>
        <v>0</v>
      </c>
      <c r="F388" s="169">
        <f t="shared" si="84"/>
        <v>0</v>
      </c>
      <c r="G388" s="169">
        <f t="shared" si="84"/>
        <v>0</v>
      </c>
      <c r="H388" s="169">
        <f t="shared" si="84"/>
        <v>0</v>
      </c>
      <c r="I388" s="169">
        <f t="shared" si="84"/>
        <v>0</v>
      </c>
      <c r="J388" s="169">
        <f t="shared" si="84"/>
        <v>0</v>
      </c>
      <c r="K388" s="169">
        <f t="shared" si="84"/>
        <v>0</v>
      </c>
      <c r="L388" s="169">
        <f t="shared" si="84"/>
        <v>0</v>
      </c>
      <c r="M388" s="169">
        <f t="shared" si="84"/>
        <v>0</v>
      </c>
      <c r="N388" s="169">
        <f t="shared" si="84"/>
        <v>0</v>
      </c>
      <c r="O388" s="156">
        <f t="shared" si="84"/>
        <v>0</v>
      </c>
      <c r="P388" s="156">
        <f t="shared" si="84"/>
        <v>0</v>
      </c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  <c r="AW388" s="65"/>
      <c r="AX388" s="65"/>
      <c r="AY388" s="65"/>
      <c r="AZ388" s="65"/>
      <c r="BA388" s="65"/>
      <c r="BB388" s="65"/>
      <c r="BC388" s="65"/>
      <c r="BD388" s="65"/>
      <c r="BE388" s="65"/>
      <c r="BF388" s="65"/>
      <c r="BG388" s="65"/>
      <c r="BH388" s="65"/>
      <c r="BI388" s="65"/>
      <c r="BJ388" s="65"/>
      <c r="BK388" s="65"/>
      <c r="BL388" s="65"/>
      <c r="BM388" s="65"/>
      <c r="BN388" s="65"/>
      <c r="BO388" s="65"/>
      <c r="BP388" s="65"/>
      <c r="BQ388" s="65"/>
      <c r="BR388" s="65"/>
      <c r="BS388" s="65"/>
      <c r="BT388" s="65"/>
      <c r="BU388" s="65"/>
      <c r="BV388" s="65"/>
      <c r="BW388" s="65"/>
      <c r="BX388" s="65"/>
      <c r="BY388" s="65"/>
      <c r="BZ388" s="65"/>
      <c r="CA388" s="65"/>
      <c r="CB388" s="65"/>
      <c r="CC388" s="65"/>
      <c r="CD388" s="65"/>
      <c r="CE388" s="65"/>
      <c r="CF388" s="65"/>
      <c r="CG388" s="65"/>
      <c r="CH388" s="65"/>
      <c r="CI388" s="65"/>
      <c r="CJ388" s="65"/>
      <c r="CK388" s="65"/>
      <c r="CL388" s="65"/>
      <c r="CM388" s="65"/>
      <c r="CN388" s="65"/>
      <c r="CO388" s="65"/>
      <c r="CP388" s="65"/>
      <c r="CQ388" s="65"/>
      <c r="CR388" s="65"/>
      <c r="CS388" s="65"/>
      <c r="CT388" s="65"/>
      <c r="CU388" s="65"/>
      <c r="CV388" s="65"/>
      <c r="CW388" s="65"/>
      <c r="CX388" s="65"/>
      <c r="CY388" s="65"/>
      <c r="CZ388" s="65"/>
      <c r="DA388" s="65"/>
      <c r="DB388" s="65"/>
      <c r="DC388" s="65"/>
      <c r="DD388" s="65"/>
      <c r="DE388" s="65"/>
      <c r="DF388" s="65"/>
      <c r="DG388" s="65"/>
      <c r="DH388" s="65"/>
      <c r="DI388" s="65"/>
      <c r="DJ388" s="65"/>
      <c r="DK388" s="65"/>
      <c r="DL388" s="65"/>
      <c r="DM388" s="65"/>
      <c r="DN388" s="65"/>
      <c r="DO388" s="65"/>
      <c r="DP388" s="65"/>
      <c r="DQ388" s="65"/>
      <c r="DR388" s="65"/>
      <c r="DS388" s="65"/>
      <c r="DT388" s="65"/>
      <c r="DU388" s="65"/>
      <c r="DV388" s="65"/>
      <c r="DW388" s="65"/>
      <c r="DX388" s="65"/>
      <c r="DY388" s="65"/>
      <c r="DZ388" s="65"/>
      <c r="EA388" s="65"/>
      <c r="EB388" s="65"/>
      <c r="EC388" s="65"/>
      <c r="ED388" s="65"/>
      <c r="EE388" s="65"/>
      <c r="EF388" s="65"/>
      <c r="EG388" s="65"/>
      <c r="EH388" s="65"/>
      <c r="EI388" s="65"/>
      <c r="EJ388" s="65"/>
      <c r="EK388" s="65"/>
      <c r="EL388" s="65"/>
      <c r="EM388" s="65"/>
      <c r="EN388" s="65"/>
      <c r="EO388" s="65"/>
    </row>
    <row r="389" spans="1:145" s="62" customFormat="1" x14ac:dyDescent="0.2">
      <c r="A389" s="74"/>
      <c r="B389" s="129"/>
      <c r="C389" s="185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22"/>
      <c r="P389" s="122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  <c r="AV389" s="65"/>
      <c r="AW389" s="65"/>
      <c r="AX389" s="65"/>
      <c r="AY389" s="65"/>
      <c r="AZ389" s="65"/>
      <c r="BA389" s="65"/>
      <c r="BB389" s="65"/>
      <c r="BC389" s="65"/>
      <c r="BD389" s="65"/>
      <c r="BE389" s="65"/>
      <c r="BF389" s="65"/>
      <c r="BG389" s="65"/>
      <c r="BH389" s="65"/>
      <c r="BI389" s="65"/>
      <c r="BJ389" s="65"/>
      <c r="BK389" s="65"/>
      <c r="BL389" s="65"/>
      <c r="BM389" s="65"/>
      <c r="BN389" s="65"/>
      <c r="BO389" s="65"/>
      <c r="BP389" s="65"/>
      <c r="BQ389" s="65"/>
      <c r="BR389" s="65"/>
      <c r="BS389" s="65"/>
      <c r="BT389" s="65"/>
      <c r="BU389" s="65"/>
      <c r="BV389" s="65"/>
      <c r="BW389" s="65"/>
      <c r="BX389" s="65"/>
      <c r="BY389" s="65"/>
      <c r="BZ389" s="65"/>
      <c r="CA389" s="65"/>
      <c r="CB389" s="65"/>
      <c r="CC389" s="65"/>
      <c r="CD389" s="65"/>
      <c r="CE389" s="65"/>
      <c r="CF389" s="65"/>
      <c r="CG389" s="65"/>
      <c r="CH389" s="65"/>
      <c r="CI389" s="65"/>
      <c r="CJ389" s="65"/>
      <c r="CK389" s="65"/>
      <c r="CL389" s="65"/>
      <c r="CM389" s="65"/>
      <c r="CN389" s="65"/>
      <c r="CO389" s="65"/>
      <c r="CP389" s="65"/>
      <c r="CQ389" s="65"/>
      <c r="CR389" s="65"/>
      <c r="CS389" s="65"/>
      <c r="CT389" s="65"/>
      <c r="CU389" s="65"/>
      <c r="CV389" s="65"/>
      <c r="CW389" s="65"/>
      <c r="CX389" s="65"/>
      <c r="CY389" s="65"/>
      <c r="CZ389" s="65"/>
      <c r="DA389" s="65"/>
      <c r="DB389" s="65"/>
      <c r="DC389" s="65"/>
      <c r="DD389" s="65"/>
      <c r="DE389" s="65"/>
      <c r="DF389" s="65"/>
      <c r="DG389" s="65"/>
      <c r="DH389" s="65"/>
      <c r="DI389" s="65"/>
      <c r="DJ389" s="65"/>
      <c r="DK389" s="65"/>
      <c r="DL389" s="65"/>
      <c r="DM389" s="65"/>
      <c r="DN389" s="65"/>
      <c r="DO389" s="65"/>
      <c r="DP389" s="65"/>
      <c r="DQ389" s="65"/>
      <c r="DR389" s="65"/>
      <c r="DS389" s="65"/>
      <c r="DT389" s="65"/>
      <c r="DU389" s="65"/>
      <c r="DV389" s="65"/>
      <c r="DW389" s="65"/>
      <c r="DX389" s="65"/>
      <c r="DY389" s="65"/>
      <c r="DZ389" s="65"/>
      <c r="EA389" s="65"/>
      <c r="EB389" s="65"/>
      <c r="EC389" s="65"/>
      <c r="ED389" s="65"/>
      <c r="EE389" s="65"/>
      <c r="EF389" s="65"/>
      <c r="EG389" s="65"/>
      <c r="EH389" s="65"/>
      <c r="EI389" s="65"/>
      <c r="EJ389" s="65"/>
      <c r="EK389" s="65"/>
      <c r="EL389" s="65"/>
      <c r="EM389" s="65"/>
      <c r="EN389" s="65"/>
      <c r="EO389" s="65"/>
    </row>
    <row r="390" spans="1:145" s="62" customFormat="1" ht="14.25" customHeight="1" thickBot="1" x14ac:dyDescent="0.25">
      <c r="A390" s="74">
        <v>15</v>
      </c>
      <c r="B390" s="243" t="str">
        <f>B37</f>
        <v>TOTAL AEP TEXAS</v>
      </c>
      <c r="C390" s="238"/>
      <c r="D390" s="186">
        <f t="shared" ref="D390:P390" si="85">+D388+D384</f>
        <v>555964.28257789928</v>
      </c>
      <c r="E390" s="186">
        <f t="shared" si="85"/>
        <v>388471.14241923782</v>
      </c>
      <c r="F390" s="186">
        <f t="shared" si="85"/>
        <v>228779.57164090278</v>
      </c>
      <c r="G390" s="186">
        <f t="shared" si="85"/>
        <v>236398.30161800142</v>
      </c>
      <c r="H390" s="186">
        <f t="shared" si="85"/>
        <v>169890.98781965525</v>
      </c>
      <c r="I390" s="186">
        <f t="shared" si="85"/>
        <v>174321.30816851638</v>
      </c>
      <c r="J390" s="186">
        <f t="shared" si="85"/>
        <v>234399.62653007754</v>
      </c>
      <c r="K390" s="186">
        <f t="shared" si="85"/>
        <v>31431.422584470085</v>
      </c>
      <c r="L390" s="186">
        <f t="shared" si="85"/>
        <v>77492.486651986852</v>
      </c>
      <c r="M390" s="186">
        <f t="shared" si="85"/>
        <v>148726.9156332766</v>
      </c>
      <c r="N390" s="186">
        <f t="shared" si="85"/>
        <v>-90754.093896448234</v>
      </c>
      <c r="O390" s="186">
        <f t="shared" si="85"/>
        <v>122886.00798892378</v>
      </c>
      <c r="P390" s="186">
        <f t="shared" si="85"/>
        <v>2278007.9597364999</v>
      </c>
      <c r="Q390" s="227"/>
      <c r="R390" s="117"/>
      <c r="S390" s="117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  <c r="AV390" s="65"/>
      <c r="AW390" s="65"/>
      <c r="AX390" s="65"/>
      <c r="AY390" s="65"/>
      <c r="AZ390" s="65"/>
      <c r="BA390" s="65"/>
      <c r="BB390" s="65"/>
      <c r="BC390" s="65"/>
      <c r="BD390" s="65"/>
      <c r="BE390" s="65"/>
      <c r="BF390" s="65"/>
      <c r="BG390" s="65"/>
      <c r="BH390" s="65"/>
      <c r="BI390" s="65"/>
      <c r="BJ390" s="65"/>
      <c r="BK390" s="65"/>
      <c r="BL390" s="65"/>
      <c r="BM390" s="65"/>
      <c r="BN390" s="65"/>
      <c r="BO390" s="65"/>
      <c r="BP390" s="65"/>
      <c r="BQ390" s="65"/>
      <c r="BR390" s="65"/>
      <c r="BS390" s="65"/>
      <c r="BT390" s="65"/>
      <c r="BU390" s="65"/>
      <c r="BV390" s="65"/>
      <c r="BW390" s="65"/>
      <c r="BX390" s="65"/>
      <c r="BY390" s="65"/>
      <c r="BZ390" s="65"/>
      <c r="CA390" s="65"/>
      <c r="CB390" s="65"/>
      <c r="CC390" s="65"/>
      <c r="CD390" s="65"/>
      <c r="CE390" s="65"/>
      <c r="CF390" s="65"/>
      <c r="CG390" s="65"/>
      <c r="CH390" s="65"/>
      <c r="CI390" s="65"/>
      <c r="CJ390" s="65"/>
      <c r="CK390" s="65"/>
      <c r="CL390" s="65"/>
      <c r="CM390" s="65"/>
      <c r="CN390" s="65"/>
      <c r="CO390" s="65"/>
      <c r="CP390" s="65"/>
      <c r="CQ390" s="65"/>
      <c r="CR390" s="65"/>
      <c r="CS390" s="65"/>
      <c r="CT390" s="65"/>
      <c r="CU390" s="65"/>
      <c r="CV390" s="65"/>
      <c r="CW390" s="65"/>
      <c r="CX390" s="65"/>
      <c r="CY390" s="65"/>
      <c r="CZ390" s="65"/>
      <c r="DA390" s="65"/>
      <c r="DB390" s="65"/>
      <c r="DC390" s="65"/>
      <c r="DD390" s="65"/>
      <c r="DE390" s="65"/>
      <c r="DF390" s="65"/>
      <c r="DG390" s="65"/>
      <c r="DH390" s="65"/>
      <c r="DI390" s="65"/>
      <c r="DJ390" s="65"/>
      <c r="DK390" s="65"/>
      <c r="DL390" s="65"/>
      <c r="DM390" s="65"/>
      <c r="DN390" s="65"/>
      <c r="DO390" s="65"/>
      <c r="DP390" s="65"/>
      <c r="DQ390" s="65"/>
      <c r="DR390" s="65"/>
      <c r="DS390" s="65"/>
      <c r="DT390" s="65"/>
      <c r="DU390" s="65"/>
      <c r="DV390" s="65"/>
      <c r="DW390" s="65"/>
      <c r="DX390" s="65"/>
      <c r="DY390" s="65"/>
      <c r="DZ390" s="65"/>
      <c r="EA390" s="65"/>
      <c r="EB390" s="65"/>
      <c r="EC390" s="65"/>
      <c r="ED390" s="65"/>
      <c r="EE390" s="65"/>
      <c r="EF390" s="65"/>
      <c r="EG390" s="65"/>
      <c r="EH390" s="65"/>
      <c r="EI390" s="65"/>
      <c r="EJ390" s="65"/>
      <c r="EK390" s="65"/>
      <c r="EL390" s="65"/>
      <c r="EM390" s="65"/>
      <c r="EN390" s="65"/>
      <c r="EO390" s="65"/>
    </row>
    <row r="391" spans="1:145" s="62" customFormat="1" ht="23.25" customHeight="1" thickTop="1" x14ac:dyDescent="0.2">
      <c r="B391" s="391" t="str">
        <f>B8</f>
        <v>AEP TEXAS</v>
      </c>
      <c r="C391" s="391"/>
      <c r="D391" s="391"/>
      <c r="E391" s="391"/>
      <c r="F391" s="391"/>
      <c r="G391" s="391"/>
      <c r="H391" s="391"/>
      <c r="I391" s="391"/>
      <c r="J391" s="391"/>
      <c r="K391" s="391"/>
      <c r="L391" s="391"/>
      <c r="M391" s="391"/>
      <c r="N391" s="391"/>
      <c r="O391" s="391"/>
      <c r="P391" s="391"/>
      <c r="Q391" s="227"/>
      <c r="R391" s="117"/>
      <c r="S391" s="117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  <c r="AV391" s="65"/>
      <c r="AW391" s="65"/>
      <c r="AX391" s="65"/>
      <c r="AY391" s="65"/>
      <c r="AZ391" s="65"/>
      <c r="BA391" s="65"/>
      <c r="BB391" s="65"/>
      <c r="BC391" s="65"/>
      <c r="BD391" s="65"/>
      <c r="BE391" s="65"/>
      <c r="BF391" s="65"/>
      <c r="BG391" s="65"/>
      <c r="BH391" s="65"/>
      <c r="BI391" s="65"/>
      <c r="BJ391" s="65"/>
      <c r="BK391" s="65"/>
      <c r="BL391" s="65"/>
      <c r="BM391" s="65"/>
      <c r="BN391" s="65"/>
      <c r="BO391" s="65"/>
      <c r="BP391" s="65"/>
      <c r="BQ391" s="65"/>
      <c r="BR391" s="65"/>
      <c r="BS391" s="65"/>
      <c r="BT391" s="65"/>
      <c r="BU391" s="65"/>
      <c r="BV391" s="65"/>
      <c r="BW391" s="65"/>
      <c r="BX391" s="65"/>
      <c r="BY391" s="65"/>
      <c r="BZ391" s="65"/>
      <c r="CA391" s="65"/>
      <c r="CB391" s="65"/>
      <c r="CC391" s="65"/>
      <c r="CD391" s="65"/>
      <c r="CE391" s="65"/>
      <c r="CF391" s="65"/>
      <c r="CG391" s="65"/>
      <c r="CH391" s="65"/>
      <c r="CI391" s="65"/>
      <c r="CJ391" s="65"/>
      <c r="CK391" s="65"/>
      <c r="CL391" s="65"/>
      <c r="CM391" s="65"/>
      <c r="CN391" s="65"/>
      <c r="CO391" s="65"/>
      <c r="CP391" s="65"/>
      <c r="CQ391" s="65"/>
      <c r="CR391" s="65"/>
      <c r="CS391" s="65"/>
      <c r="CT391" s="65"/>
      <c r="CU391" s="65"/>
      <c r="CV391" s="65"/>
      <c r="CW391" s="65"/>
      <c r="CX391" s="65"/>
      <c r="CY391" s="65"/>
      <c r="CZ391" s="65"/>
      <c r="DA391" s="65"/>
      <c r="DB391" s="65"/>
      <c r="DC391" s="65"/>
      <c r="DD391" s="65"/>
      <c r="DE391" s="65"/>
      <c r="DF391" s="65"/>
      <c r="DG391" s="65"/>
      <c r="DH391" s="65"/>
      <c r="DI391" s="65"/>
      <c r="DJ391" s="65"/>
      <c r="DK391" s="65"/>
      <c r="DL391" s="65"/>
      <c r="DM391" s="65"/>
      <c r="DN391" s="65"/>
      <c r="DO391" s="65"/>
      <c r="DP391" s="65"/>
      <c r="DQ391" s="65"/>
      <c r="DR391" s="65"/>
      <c r="DS391" s="65"/>
      <c r="DT391" s="65"/>
      <c r="DU391" s="65"/>
      <c r="DV391" s="65"/>
      <c r="DW391" s="65"/>
      <c r="DX391" s="65"/>
      <c r="DY391" s="65"/>
      <c r="DZ391" s="65"/>
      <c r="EA391" s="65"/>
      <c r="EB391" s="65"/>
      <c r="EC391" s="65"/>
      <c r="ED391" s="65"/>
      <c r="EE391" s="65"/>
      <c r="EF391" s="65"/>
      <c r="EG391" s="65"/>
      <c r="EH391" s="65"/>
      <c r="EI391" s="65"/>
      <c r="EJ391" s="65"/>
      <c r="EK391" s="65"/>
      <c r="EL391" s="65"/>
      <c r="EM391" s="65"/>
      <c r="EN391" s="65"/>
      <c r="EO391" s="65"/>
    </row>
    <row r="392" spans="1:145" s="62" customFormat="1" x14ac:dyDescent="0.2">
      <c r="B392" s="390" t="s">
        <v>62</v>
      </c>
      <c r="C392" s="391"/>
      <c r="D392" s="391"/>
      <c r="E392" s="391"/>
      <c r="F392" s="391"/>
      <c r="G392" s="391"/>
      <c r="H392" s="391"/>
      <c r="I392" s="391"/>
      <c r="J392" s="391"/>
      <c r="K392" s="391"/>
      <c r="L392" s="391"/>
      <c r="M392" s="391"/>
      <c r="N392" s="391"/>
      <c r="O392" s="391"/>
      <c r="P392" s="391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  <c r="AV392" s="65"/>
      <c r="AW392" s="65"/>
      <c r="AX392" s="65"/>
      <c r="AY392" s="65"/>
      <c r="AZ392" s="65"/>
      <c r="BA392" s="65"/>
      <c r="BB392" s="65"/>
      <c r="BC392" s="65"/>
      <c r="BD392" s="65"/>
      <c r="BE392" s="65"/>
      <c r="BF392" s="65"/>
      <c r="BG392" s="65"/>
      <c r="BH392" s="65"/>
      <c r="BI392" s="65"/>
      <c r="BJ392" s="65"/>
      <c r="BK392" s="65"/>
      <c r="BL392" s="65"/>
      <c r="BM392" s="65"/>
      <c r="BN392" s="65"/>
      <c r="BO392" s="65"/>
      <c r="BP392" s="65"/>
      <c r="BQ392" s="65"/>
      <c r="BR392" s="65"/>
      <c r="BS392" s="65"/>
      <c r="BT392" s="65"/>
      <c r="BU392" s="65"/>
      <c r="BV392" s="65"/>
      <c r="BW392" s="65"/>
      <c r="BX392" s="65"/>
      <c r="BY392" s="65"/>
      <c r="BZ392" s="65"/>
      <c r="CA392" s="65"/>
      <c r="CB392" s="65"/>
      <c r="CC392" s="65"/>
      <c r="CD392" s="65"/>
      <c r="CE392" s="65"/>
      <c r="CF392" s="65"/>
      <c r="CG392" s="65"/>
      <c r="CH392" s="65"/>
      <c r="CI392" s="65"/>
      <c r="CJ392" s="65"/>
      <c r="CK392" s="65"/>
      <c r="CL392" s="65"/>
      <c r="CM392" s="65"/>
      <c r="CN392" s="65"/>
      <c r="CO392" s="65"/>
      <c r="CP392" s="65"/>
      <c r="CQ392" s="65"/>
      <c r="CR392" s="65"/>
      <c r="CS392" s="65"/>
      <c r="CT392" s="65"/>
      <c r="CU392" s="65"/>
      <c r="CV392" s="65"/>
      <c r="CW392" s="65"/>
      <c r="CX392" s="65"/>
      <c r="CY392" s="65"/>
      <c r="CZ392" s="65"/>
      <c r="DA392" s="65"/>
      <c r="DB392" s="65"/>
      <c r="DC392" s="65"/>
      <c r="DD392" s="65"/>
      <c r="DE392" s="65"/>
      <c r="DF392" s="65"/>
      <c r="DG392" s="65"/>
      <c r="DH392" s="65"/>
      <c r="DI392" s="65"/>
      <c r="DJ392" s="65"/>
      <c r="DK392" s="65"/>
      <c r="DL392" s="65"/>
      <c r="DM392" s="65"/>
      <c r="DN392" s="65"/>
      <c r="DO392" s="65"/>
      <c r="DP392" s="65"/>
      <c r="DQ392" s="65"/>
      <c r="DR392" s="65"/>
      <c r="DS392" s="65"/>
      <c r="DT392" s="65"/>
      <c r="DU392" s="65"/>
      <c r="DV392" s="65"/>
      <c r="DW392" s="65"/>
      <c r="DX392" s="65"/>
      <c r="DY392" s="65"/>
      <c r="DZ392" s="65"/>
      <c r="EA392" s="65"/>
      <c r="EB392" s="65"/>
      <c r="EC392" s="65"/>
      <c r="ED392" s="65"/>
      <c r="EE392" s="65"/>
      <c r="EF392" s="65"/>
      <c r="EG392" s="65"/>
      <c r="EH392" s="65"/>
      <c r="EI392" s="65"/>
      <c r="EJ392" s="65"/>
      <c r="EK392" s="65"/>
      <c r="EL392" s="65"/>
      <c r="EM392" s="65"/>
      <c r="EN392" s="65"/>
      <c r="EO392" s="65"/>
    </row>
    <row r="393" spans="1:145" s="62" customFormat="1" x14ac:dyDescent="0.2">
      <c r="B393" s="391" t="str">
        <f>B10</f>
        <v>FOR TEST YEAR ENDED DECEMBER 31, 2018</v>
      </c>
      <c r="C393" s="391"/>
      <c r="D393" s="391"/>
      <c r="E393" s="391"/>
      <c r="F393" s="391"/>
      <c r="G393" s="391"/>
      <c r="H393" s="391"/>
      <c r="I393" s="391"/>
      <c r="J393" s="391"/>
      <c r="K393" s="391"/>
      <c r="L393" s="391"/>
      <c r="M393" s="391"/>
      <c r="N393" s="391"/>
      <c r="O393" s="391"/>
      <c r="P393" s="391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  <c r="AT393" s="65"/>
      <c r="AU393" s="65"/>
      <c r="AV393" s="65"/>
      <c r="AW393" s="65"/>
      <c r="AX393" s="65"/>
      <c r="AY393" s="65"/>
      <c r="AZ393" s="65"/>
      <c r="BA393" s="65"/>
      <c r="BB393" s="65"/>
      <c r="BC393" s="65"/>
      <c r="BD393" s="65"/>
      <c r="BE393" s="65"/>
      <c r="BF393" s="65"/>
      <c r="BG393" s="65"/>
      <c r="BH393" s="65"/>
      <c r="BI393" s="65"/>
      <c r="BJ393" s="65"/>
      <c r="BK393" s="65"/>
      <c r="BL393" s="65"/>
      <c r="BM393" s="65"/>
      <c r="BN393" s="65"/>
      <c r="BO393" s="65"/>
      <c r="BP393" s="65"/>
      <c r="BQ393" s="65"/>
      <c r="BR393" s="65"/>
      <c r="BS393" s="65"/>
      <c r="BT393" s="65"/>
      <c r="BU393" s="65"/>
      <c r="BV393" s="65"/>
      <c r="BW393" s="65"/>
      <c r="BX393" s="65"/>
      <c r="BY393" s="65"/>
      <c r="BZ393" s="65"/>
      <c r="CA393" s="65"/>
      <c r="CB393" s="65"/>
      <c r="CC393" s="65"/>
      <c r="CD393" s="65"/>
      <c r="CE393" s="65"/>
      <c r="CF393" s="65"/>
      <c r="CG393" s="65"/>
      <c r="CH393" s="65"/>
      <c r="CI393" s="65"/>
      <c r="CJ393" s="65"/>
      <c r="CK393" s="65"/>
      <c r="CL393" s="65"/>
      <c r="CM393" s="65"/>
      <c r="CN393" s="65"/>
      <c r="CO393" s="65"/>
      <c r="CP393" s="65"/>
      <c r="CQ393" s="65"/>
      <c r="CR393" s="65"/>
      <c r="CS393" s="65"/>
      <c r="CT393" s="65"/>
      <c r="CU393" s="65"/>
      <c r="CV393" s="65"/>
      <c r="CW393" s="65"/>
      <c r="CX393" s="65"/>
      <c r="CY393" s="65"/>
      <c r="CZ393" s="65"/>
      <c r="DA393" s="65"/>
      <c r="DB393" s="65"/>
      <c r="DC393" s="65"/>
      <c r="DD393" s="65"/>
      <c r="DE393" s="65"/>
      <c r="DF393" s="65"/>
      <c r="DG393" s="65"/>
      <c r="DH393" s="65"/>
      <c r="DI393" s="65"/>
      <c r="DJ393" s="65"/>
      <c r="DK393" s="65"/>
      <c r="DL393" s="65"/>
      <c r="DM393" s="65"/>
      <c r="DN393" s="65"/>
      <c r="DO393" s="65"/>
      <c r="DP393" s="65"/>
      <c r="DQ393" s="65"/>
      <c r="DR393" s="65"/>
      <c r="DS393" s="65"/>
      <c r="DT393" s="65"/>
      <c r="DU393" s="65"/>
      <c r="DV393" s="65"/>
      <c r="DW393" s="65"/>
      <c r="DX393" s="65"/>
      <c r="DY393" s="65"/>
      <c r="DZ393" s="65"/>
      <c r="EA393" s="65"/>
      <c r="EB393" s="65"/>
      <c r="EC393" s="65"/>
      <c r="ED393" s="65"/>
      <c r="EE393" s="65"/>
      <c r="EF393" s="65"/>
      <c r="EG393" s="65"/>
      <c r="EH393" s="65"/>
      <c r="EI393" s="65"/>
      <c r="EJ393" s="65"/>
      <c r="EK393" s="65"/>
      <c r="EL393" s="65"/>
      <c r="EM393" s="65"/>
      <c r="EN393" s="65"/>
      <c r="EO393" s="65"/>
    </row>
    <row r="394" spans="1:145" x14ac:dyDescent="0.2">
      <c r="A394" s="21"/>
      <c r="B394" s="265"/>
      <c r="C394" s="266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</row>
    <row r="395" spans="1:145" x14ac:dyDescent="0.2">
      <c r="B395" s="168"/>
      <c r="C395" s="267"/>
      <c r="D395" s="268"/>
      <c r="E395" s="169"/>
      <c r="F395" s="169"/>
      <c r="G395" s="269"/>
      <c r="H395" s="169"/>
      <c r="I395" s="169"/>
      <c r="J395" s="157"/>
      <c r="K395" s="169"/>
      <c r="L395" s="169"/>
      <c r="M395" s="169"/>
      <c r="N395" s="169"/>
      <c r="O395" s="169"/>
      <c r="P395" s="169"/>
    </row>
    <row r="396" spans="1:145" x14ac:dyDescent="0.2">
      <c r="A396" s="68" t="s">
        <v>20</v>
      </c>
      <c r="B396" s="238" t="s">
        <v>0</v>
      </c>
      <c r="C396" s="238" t="s">
        <v>19</v>
      </c>
      <c r="D396" s="270" t="str">
        <f>D13</f>
        <v>JANUARY</v>
      </c>
      <c r="E396" s="270" t="str">
        <f>E13</f>
        <v>FEBRUARY</v>
      </c>
      <c r="F396" s="270" t="str">
        <f>F13</f>
        <v>MARCH</v>
      </c>
      <c r="G396" s="270" t="str">
        <f>G13</f>
        <v>APRIL</v>
      </c>
      <c r="H396" s="270" t="str">
        <f t="shared" ref="H396:O396" si="86">H13</f>
        <v>MAY</v>
      </c>
      <c r="I396" s="270" t="str">
        <f t="shared" si="86"/>
        <v>JUNE</v>
      </c>
      <c r="J396" s="270" t="str">
        <f t="shared" si="86"/>
        <v>JULY</v>
      </c>
      <c r="K396" s="270" t="str">
        <f t="shared" si="86"/>
        <v>AUGUST</v>
      </c>
      <c r="L396" s="270" t="str">
        <f t="shared" si="86"/>
        <v>SEPTEMBER</v>
      </c>
      <c r="M396" s="270" t="str">
        <f t="shared" si="86"/>
        <v>OCTOBER</v>
      </c>
      <c r="N396" s="270" t="str">
        <f t="shared" si="86"/>
        <v>NOVEMBER</v>
      </c>
      <c r="O396" s="270" t="str">
        <f t="shared" si="86"/>
        <v>DECEMBER</v>
      </c>
      <c r="P396" s="238" t="s">
        <v>14</v>
      </c>
    </row>
    <row r="397" spans="1:145" x14ac:dyDescent="0.2">
      <c r="B397" s="168"/>
      <c r="C397" s="267"/>
      <c r="D397" s="266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</row>
    <row r="398" spans="1:145" s="62" customFormat="1" x14ac:dyDescent="0.2">
      <c r="A398" s="74" t="s">
        <v>21</v>
      </c>
      <c r="B398" s="129" t="s">
        <v>29</v>
      </c>
      <c r="C398" s="143" t="s">
        <v>16</v>
      </c>
      <c r="D398" s="149">
        <f>'[4]II-H-4.1 Monthly'!D391+'[5]II-H-4.1 Monthly'!D329</f>
        <v>-2197584.0683216704</v>
      </c>
      <c r="E398" s="149">
        <f>'[4]II-H-4.1 Monthly'!E391+'[5]II-H-4.1 Monthly'!E329</f>
        <v>-887895.20454192651</v>
      </c>
      <c r="F398" s="149">
        <f>'[4]II-H-4.1 Monthly'!F391+'[5]II-H-4.1 Monthly'!F329</f>
        <v>106538.05128540858</v>
      </c>
      <c r="G398" s="149">
        <f>'[4]II-H-4.1 Monthly'!G391+'[5]II-H-4.1 Monthly'!G329</f>
        <v>-37430.030739688824</v>
      </c>
      <c r="H398" s="149">
        <f>'[4]II-H-4.1 Monthly'!H391+'[5]II-H-4.1 Monthly'!H329</f>
        <v>436833.60033196543</v>
      </c>
      <c r="I398" s="149">
        <f>'[4]II-H-4.1 Monthly'!I391+'[5]II-H-4.1 Monthly'!I329</f>
        <v>-915746.58740826696</v>
      </c>
      <c r="J398" s="149">
        <f>'[4]II-H-4.1 Monthly'!J391+'[5]II-H-4.1 Monthly'!J329</f>
        <v>-2329.9984516642871</v>
      </c>
      <c r="K398" s="149">
        <f>'[4]II-H-4.1 Monthly'!K391+'[5]II-H-4.1 Monthly'!K329</f>
        <v>241654.97283769737</v>
      </c>
      <c r="L398" s="149">
        <f>'[4]II-H-4.1 Monthly'!L391+'[5]II-H-4.1 Monthly'!L329</f>
        <v>60545.004720474302</v>
      </c>
      <c r="M398" s="149">
        <f>'[4]II-H-4.1 Monthly'!M391+'[5]II-H-4.1 Monthly'!M329</f>
        <v>99043.103761130682</v>
      </c>
      <c r="N398" s="149">
        <f>'[4]II-H-4.1 Monthly'!N391+'[5]II-H-4.1 Monthly'!N329</f>
        <v>112407.89088351974</v>
      </c>
      <c r="O398" s="149">
        <f>'[4]II-H-4.1 Monthly'!O391+'[5]II-H-4.1 Monthly'!O329</f>
        <v>419662.68867601419</v>
      </c>
      <c r="P398" s="149">
        <f>SUM(D398:O398)</f>
        <v>-2564300.576967007</v>
      </c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  <c r="BE398" s="65"/>
      <c r="BF398" s="65"/>
      <c r="BG398" s="65"/>
      <c r="BH398" s="65"/>
      <c r="BI398" s="65"/>
      <c r="BJ398" s="65"/>
      <c r="BK398" s="65"/>
      <c r="BL398" s="65"/>
      <c r="BM398" s="65"/>
      <c r="BN398" s="65"/>
      <c r="BO398" s="65"/>
      <c r="BP398" s="65"/>
      <c r="BQ398" s="65"/>
      <c r="BR398" s="65"/>
      <c r="BS398" s="65"/>
      <c r="BT398" s="65"/>
      <c r="BU398" s="65"/>
      <c r="BV398" s="65"/>
      <c r="BW398" s="65"/>
      <c r="BX398" s="65"/>
      <c r="BY398" s="65"/>
      <c r="BZ398" s="65"/>
      <c r="CA398" s="65"/>
      <c r="CB398" s="65"/>
      <c r="CC398" s="65"/>
      <c r="CD398" s="65"/>
      <c r="CE398" s="65"/>
      <c r="CF398" s="65"/>
      <c r="CG398" s="65"/>
      <c r="CH398" s="65"/>
      <c r="CI398" s="65"/>
      <c r="CJ398" s="65"/>
      <c r="CK398" s="65"/>
      <c r="CL398" s="65"/>
      <c r="CM398" s="65"/>
      <c r="CN398" s="65"/>
      <c r="CO398" s="65"/>
      <c r="CP398" s="65"/>
      <c r="CQ398" s="65"/>
      <c r="CR398" s="65"/>
      <c r="CS398" s="65"/>
      <c r="CT398" s="65"/>
      <c r="CU398" s="65"/>
      <c r="CV398" s="65"/>
      <c r="CW398" s="65"/>
      <c r="CX398" s="65"/>
      <c r="CY398" s="65"/>
      <c r="CZ398" s="65"/>
      <c r="DA398" s="65"/>
      <c r="DB398" s="65"/>
      <c r="DC398" s="65"/>
      <c r="DD398" s="65"/>
      <c r="DE398" s="65"/>
      <c r="DF398" s="65"/>
      <c r="DG398" s="65"/>
      <c r="DH398" s="65"/>
      <c r="DI398" s="65"/>
      <c r="DJ398" s="65"/>
      <c r="DK398" s="65"/>
      <c r="DL398" s="65"/>
      <c r="DM398" s="65"/>
      <c r="DN398" s="65"/>
      <c r="DO398" s="65"/>
      <c r="DP398" s="65"/>
      <c r="DQ398" s="65"/>
      <c r="DR398" s="65"/>
      <c r="DS398" s="65"/>
      <c r="DT398" s="65"/>
      <c r="DU398" s="65"/>
      <c r="DV398" s="65"/>
      <c r="DW398" s="65"/>
      <c r="DX398" s="65"/>
      <c r="DY398" s="65"/>
      <c r="DZ398" s="65"/>
      <c r="EA398" s="65"/>
      <c r="EB398" s="65"/>
      <c r="EC398" s="65"/>
      <c r="ED398" s="65"/>
      <c r="EE398" s="65"/>
      <c r="EF398" s="65"/>
      <c r="EG398" s="65"/>
      <c r="EH398" s="65"/>
      <c r="EI398" s="65"/>
      <c r="EJ398" s="65"/>
      <c r="EK398" s="65"/>
      <c r="EL398" s="65"/>
      <c r="EM398" s="65"/>
      <c r="EN398" s="65"/>
      <c r="EO398" s="65"/>
    </row>
    <row r="399" spans="1:145" s="62" customFormat="1" x14ac:dyDescent="0.2">
      <c r="B399" s="129"/>
      <c r="C399" s="143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56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  <c r="BD399" s="65"/>
      <c r="BE399" s="65"/>
      <c r="BF399" s="65"/>
      <c r="BG399" s="65"/>
      <c r="BH399" s="65"/>
      <c r="BI399" s="65"/>
      <c r="BJ399" s="65"/>
      <c r="BK399" s="65"/>
      <c r="BL399" s="65"/>
      <c r="BM399" s="65"/>
      <c r="BN399" s="65"/>
      <c r="BO399" s="65"/>
      <c r="BP399" s="65"/>
      <c r="BQ399" s="65"/>
      <c r="BR399" s="65"/>
      <c r="BS399" s="65"/>
      <c r="BT399" s="65"/>
      <c r="BU399" s="65"/>
      <c r="BV399" s="65"/>
      <c r="BW399" s="65"/>
      <c r="BX399" s="65"/>
      <c r="BY399" s="65"/>
      <c r="BZ399" s="65"/>
      <c r="CA399" s="65"/>
      <c r="CB399" s="65"/>
      <c r="CC399" s="65"/>
      <c r="CD399" s="65"/>
      <c r="CE399" s="65"/>
      <c r="CF399" s="65"/>
      <c r="CG399" s="65"/>
      <c r="CH399" s="65"/>
      <c r="CI399" s="65"/>
      <c r="CJ399" s="65"/>
      <c r="CK399" s="65"/>
      <c r="CL399" s="65"/>
      <c r="CM399" s="65"/>
      <c r="CN399" s="65"/>
      <c r="CO399" s="65"/>
      <c r="CP399" s="65"/>
      <c r="CQ399" s="65"/>
      <c r="CR399" s="65"/>
      <c r="CS399" s="65"/>
      <c r="CT399" s="65"/>
      <c r="CU399" s="65"/>
      <c r="CV399" s="65"/>
      <c r="CW399" s="65"/>
      <c r="CX399" s="65"/>
      <c r="CY399" s="65"/>
      <c r="CZ399" s="65"/>
      <c r="DA399" s="65"/>
      <c r="DB399" s="65"/>
      <c r="DC399" s="65"/>
      <c r="DD399" s="65"/>
      <c r="DE399" s="65"/>
      <c r="DF399" s="65"/>
      <c r="DG399" s="65"/>
      <c r="DH399" s="65"/>
      <c r="DI399" s="65"/>
      <c r="DJ399" s="65"/>
      <c r="DK399" s="65"/>
      <c r="DL399" s="65"/>
      <c r="DM399" s="65"/>
      <c r="DN399" s="65"/>
      <c r="DO399" s="65"/>
      <c r="DP399" s="65"/>
      <c r="DQ399" s="65"/>
      <c r="DR399" s="65"/>
      <c r="DS399" s="65"/>
      <c r="DT399" s="65"/>
      <c r="DU399" s="65"/>
      <c r="DV399" s="65"/>
      <c r="DW399" s="65"/>
      <c r="DX399" s="65"/>
      <c r="DY399" s="65"/>
      <c r="DZ399" s="65"/>
      <c r="EA399" s="65"/>
      <c r="EB399" s="65"/>
      <c r="EC399" s="65"/>
      <c r="ED399" s="65"/>
      <c r="EE399" s="65"/>
      <c r="EF399" s="65"/>
      <c r="EG399" s="65"/>
      <c r="EH399" s="65"/>
      <c r="EI399" s="65"/>
      <c r="EJ399" s="65"/>
      <c r="EK399" s="65"/>
      <c r="EL399" s="65"/>
      <c r="EM399" s="65"/>
      <c r="EN399" s="65"/>
      <c r="EO399" s="65"/>
    </row>
    <row r="400" spans="1:145" s="62" customFormat="1" x14ac:dyDescent="0.2">
      <c r="A400" s="74">
        <v>2</v>
      </c>
      <c r="B400" s="129" t="s">
        <v>32</v>
      </c>
      <c r="C400" s="143" t="s">
        <v>16</v>
      </c>
      <c r="D400" s="122">
        <f>'[4]II-H-4.1 Monthly'!D393+'[5]II-H-4.1 Monthly'!D331</f>
        <v>-12985.825557397049</v>
      </c>
      <c r="E400" s="122">
        <f>'[4]II-H-4.1 Monthly'!E393+'[5]II-H-4.1 Monthly'!E331</f>
        <v>-4516.9936487206523</v>
      </c>
      <c r="F400" s="122">
        <f>'[4]II-H-4.1 Monthly'!F393+'[5]II-H-4.1 Monthly'!F331</f>
        <v>-8975.7425994588739</v>
      </c>
      <c r="G400" s="122">
        <f>'[4]II-H-4.1 Monthly'!G393+'[5]II-H-4.1 Monthly'!G331</f>
        <v>-2954.6255729438712</v>
      </c>
      <c r="H400" s="122">
        <f>'[4]II-H-4.1 Monthly'!H393+'[5]II-H-4.1 Monthly'!H331</f>
        <v>12563.543325485422</v>
      </c>
      <c r="I400" s="122">
        <f>'[4]II-H-4.1 Monthly'!I393+'[5]II-H-4.1 Monthly'!I331</f>
        <v>-33580.057097937126</v>
      </c>
      <c r="J400" s="122">
        <f>'[4]II-H-4.1 Monthly'!J393+'[5]II-H-4.1 Monthly'!J331</f>
        <v>-5156.7682915047108</v>
      </c>
      <c r="K400" s="122">
        <f>'[4]II-H-4.1 Monthly'!K393+'[5]II-H-4.1 Monthly'!K331</f>
        <v>7892.3268415853872</v>
      </c>
      <c r="L400" s="122">
        <f>'[4]II-H-4.1 Monthly'!L393+'[5]II-H-4.1 Monthly'!L331</f>
        <v>4870.5799665781205</v>
      </c>
      <c r="M400" s="122">
        <f>'[4]II-H-4.1 Monthly'!M393+'[5]II-H-4.1 Monthly'!M331</f>
        <v>7663.1424588716991</v>
      </c>
      <c r="N400" s="122">
        <f>'[4]II-H-4.1 Monthly'!N393+'[5]II-H-4.1 Monthly'!N331</f>
        <v>12718.951941676807</v>
      </c>
      <c r="O400" s="122">
        <f>'[4]II-H-4.1 Monthly'!O393+'[5]II-H-4.1 Monthly'!O331</f>
        <v>6582.5357368905434</v>
      </c>
      <c r="P400" s="156">
        <f>SUM(D400:O400)</f>
        <v>-15878.932496874299</v>
      </c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  <c r="AT400" s="65"/>
      <c r="AU400" s="65"/>
      <c r="AV400" s="65"/>
      <c r="AW400" s="65"/>
      <c r="AX400" s="65"/>
      <c r="AY400" s="65"/>
      <c r="AZ400" s="65"/>
      <c r="BA400" s="65"/>
      <c r="BB400" s="65"/>
      <c r="BC400" s="65"/>
      <c r="BD400" s="65"/>
      <c r="BE400" s="65"/>
      <c r="BF400" s="65"/>
      <c r="BG400" s="65"/>
      <c r="BH400" s="65"/>
      <c r="BI400" s="65"/>
      <c r="BJ400" s="65"/>
      <c r="BK400" s="65"/>
      <c r="BL400" s="65"/>
      <c r="BM400" s="65"/>
      <c r="BN400" s="65"/>
      <c r="BO400" s="65"/>
      <c r="BP400" s="65"/>
      <c r="BQ400" s="65"/>
      <c r="BR400" s="65"/>
      <c r="BS400" s="65"/>
      <c r="BT400" s="65"/>
      <c r="BU400" s="65"/>
      <c r="BV400" s="65"/>
      <c r="BW400" s="65"/>
      <c r="BX400" s="65"/>
      <c r="BY400" s="65"/>
      <c r="BZ400" s="65"/>
      <c r="CA400" s="65"/>
      <c r="CB400" s="65"/>
      <c r="CC400" s="65"/>
      <c r="CD400" s="65"/>
      <c r="CE400" s="65"/>
      <c r="CF400" s="65"/>
      <c r="CG400" s="65"/>
      <c r="CH400" s="65"/>
      <c r="CI400" s="65"/>
      <c r="CJ400" s="65"/>
      <c r="CK400" s="65"/>
      <c r="CL400" s="65"/>
      <c r="CM400" s="65"/>
      <c r="CN400" s="65"/>
      <c r="CO400" s="65"/>
      <c r="CP400" s="65"/>
      <c r="CQ400" s="65"/>
      <c r="CR400" s="65"/>
      <c r="CS400" s="65"/>
      <c r="CT400" s="65"/>
      <c r="CU400" s="65"/>
      <c r="CV400" s="65"/>
      <c r="CW400" s="65"/>
      <c r="CX400" s="65"/>
      <c r="CY400" s="65"/>
      <c r="CZ400" s="65"/>
      <c r="DA400" s="65"/>
      <c r="DB400" s="65"/>
      <c r="DC400" s="65"/>
      <c r="DD400" s="65"/>
      <c r="DE400" s="65"/>
      <c r="DF400" s="65"/>
      <c r="DG400" s="65"/>
      <c r="DH400" s="65"/>
      <c r="DI400" s="65"/>
      <c r="DJ400" s="65"/>
      <c r="DK400" s="65"/>
      <c r="DL400" s="65"/>
      <c r="DM400" s="65"/>
      <c r="DN400" s="65"/>
      <c r="DO400" s="65"/>
      <c r="DP400" s="65"/>
      <c r="DQ400" s="65"/>
      <c r="DR400" s="65"/>
      <c r="DS400" s="65"/>
      <c r="DT400" s="65"/>
      <c r="DU400" s="65"/>
      <c r="DV400" s="65"/>
      <c r="DW400" s="65"/>
      <c r="DX400" s="65"/>
      <c r="DY400" s="65"/>
      <c r="DZ400" s="65"/>
      <c r="EA400" s="65"/>
      <c r="EB400" s="65"/>
      <c r="EC400" s="65"/>
      <c r="ED400" s="65"/>
      <c r="EE400" s="65"/>
      <c r="EF400" s="65"/>
      <c r="EG400" s="65"/>
      <c r="EH400" s="65"/>
      <c r="EI400" s="65"/>
      <c r="EJ400" s="65"/>
      <c r="EK400" s="65"/>
      <c r="EL400" s="65"/>
      <c r="EM400" s="65"/>
      <c r="EN400" s="65"/>
      <c r="EO400" s="65"/>
    </row>
    <row r="401" spans="1:145" s="62" customFormat="1" x14ac:dyDescent="0.2">
      <c r="A401" s="74"/>
      <c r="B401" s="129"/>
      <c r="C401" s="143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56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  <c r="AT401" s="65"/>
      <c r="AU401" s="65"/>
      <c r="AV401" s="65"/>
      <c r="AW401" s="65"/>
      <c r="AX401" s="65"/>
      <c r="AY401" s="65"/>
      <c r="AZ401" s="65"/>
      <c r="BA401" s="65"/>
      <c r="BB401" s="65"/>
      <c r="BC401" s="65"/>
      <c r="BD401" s="65"/>
      <c r="BE401" s="65"/>
      <c r="BF401" s="65"/>
      <c r="BG401" s="65"/>
      <c r="BH401" s="65"/>
      <c r="BI401" s="65"/>
      <c r="BJ401" s="65"/>
      <c r="BK401" s="65"/>
      <c r="BL401" s="65"/>
      <c r="BM401" s="65"/>
      <c r="BN401" s="65"/>
      <c r="BO401" s="65"/>
      <c r="BP401" s="65"/>
      <c r="BQ401" s="65"/>
      <c r="BR401" s="65"/>
      <c r="BS401" s="65"/>
      <c r="BT401" s="65"/>
      <c r="BU401" s="65"/>
      <c r="BV401" s="65"/>
      <c r="BW401" s="65"/>
      <c r="BX401" s="65"/>
      <c r="BY401" s="65"/>
      <c r="BZ401" s="65"/>
      <c r="CA401" s="65"/>
      <c r="CB401" s="65"/>
      <c r="CC401" s="65"/>
      <c r="CD401" s="65"/>
      <c r="CE401" s="65"/>
      <c r="CF401" s="65"/>
      <c r="CG401" s="65"/>
      <c r="CH401" s="65"/>
      <c r="CI401" s="65"/>
      <c r="CJ401" s="65"/>
      <c r="CK401" s="65"/>
      <c r="CL401" s="65"/>
      <c r="CM401" s="65"/>
      <c r="CN401" s="65"/>
      <c r="CO401" s="65"/>
      <c r="CP401" s="65"/>
      <c r="CQ401" s="65"/>
      <c r="CR401" s="65"/>
      <c r="CS401" s="65"/>
      <c r="CT401" s="65"/>
      <c r="CU401" s="65"/>
      <c r="CV401" s="65"/>
      <c r="CW401" s="65"/>
      <c r="CX401" s="65"/>
      <c r="CY401" s="65"/>
      <c r="CZ401" s="65"/>
      <c r="DA401" s="65"/>
      <c r="DB401" s="65"/>
      <c r="DC401" s="65"/>
      <c r="DD401" s="65"/>
      <c r="DE401" s="65"/>
      <c r="DF401" s="65"/>
      <c r="DG401" s="65"/>
      <c r="DH401" s="65"/>
      <c r="DI401" s="65"/>
      <c r="DJ401" s="65"/>
      <c r="DK401" s="65"/>
      <c r="DL401" s="65"/>
      <c r="DM401" s="65"/>
      <c r="DN401" s="65"/>
      <c r="DO401" s="65"/>
      <c r="DP401" s="65"/>
      <c r="DQ401" s="65"/>
      <c r="DR401" s="65"/>
      <c r="DS401" s="65"/>
      <c r="DT401" s="65"/>
      <c r="DU401" s="65"/>
      <c r="DV401" s="65"/>
      <c r="DW401" s="65"/>
      <c r="DX401" s="65"/>
      <c r="DY401" s="65"/>
      <c r="DZ401" s="65"/>
      <c r="EA401" s="65"/>
      <c r="EB401" s="65"/>
      <c r="EC401" s="65"/>
      <c r="ED401" s="65"/>
      <c r="EE401" s="65"/>
      <c r="EF401" s="65"/>
      <c r="EG401" s="65"/>
      <c r="EH401" s="65"/>
      <c r="EI401" s="65"/>
      <c r="EJ401" s="65"/>
      <c r="EK401" s="65"/>
      <c r="EL401" s="65"/>
      <c r="EM401" s="65"/>
      <c r="EN401" s="65"/>
      <c r="EO401" s="65"/>
    </row>
    <row r="402" spans="1:145" s="62" customFormat="1" x14ac:dyDescent="0.2">
      <c r="A402" s="74">
        <v>3</v>
      </c>
      <c r="B402" s="146" t="s">
        <v>113</v>
      </c>
      <c r="C402" s="125" t="s">
        <v>16</v>
      </c>
      <c r="D402" s="142">
        <f>'[4]II-H-4.1 Monthly'!D395+'[5]II-H-4.1 Monthly'!D333</f>
        <v>-113335.85607695414</v>
      </c>
      <c r="E402" s="142">
        <f>'[4]II-H-4.1 Monthly'!E395+'[5]II-H-4.1 Monthly'!E333</f>
        <v>-40290.296615730032</v>
      </c>
      <c r="F402" s="142">
        <f>'[4]II-H-4.1 Monthly'!F395+'[5]II-H-4.1 Monthly'!F333</f>
        <v>-143469.66555808851</v>
      </c>
      <c r="G402" s="142">
        <f>'[4]II-H-4.1 Monthly'!G395+'[5]II-H-4.1 Monthly'!G333</f>
        <v>-60882.977126677579</v>
      </c>
      <c r="H402" s="142">
        <f>'[4]II-H-4.1 Monthly'!H395+'[5]II-H-4.1 Monthly'!H333</f>
        <v>171306.04447057014</v>
      </c>
      <c r="I402" s="142">
        <f>'[4]II-H-4.1 Monthly'!I395+'[5]II-H-4.1 Monthly'!I333</f>
        <v>-264282.90113736503</v>
      </c>
      <c r="J402" s="142">
        <f>'[4]II-H-4.1 Monthly'!J395+'[5]II-H-4.1 Monthly'!J333</f>
        <v>23219.578757736941</v>
      </c>
      <c r="K402" s="142">
        <f>'[4]II-H-4.1 Monthly'!K395+'[5]II-H-4.1 Monthly'!K333</f>
        <v>73761.723158304536</v>
      </c>
      <c r="L402" s="142">
        <f>'[4]II-H-4.1 Monthly'!L395+'[5]II-H-4.1 Monthly'!L333</f>
        <v>8687.9605937024244</v>
      </c>
      <c r="M402" s="142">
        <f>'[4]II-H-4.1 Monthly'!M395+'[5]II-H-4.1 Monthly'!M333</f>
        <v>41469.78587352638</v>
      </c>
      <c r="N402" s="142">
        <f>'[4]II-H-4.1 Monthly'!N395+'[5]II-H-4.1 Monthly'!N333</f>
        <v>181901.41831181801</v>
      </c>
      <c r="O402" s="142">
        <f>'[4]II-H-4.1 Monthly'!O395+'[5]II-H-4.1 Monthly'!O333</f>
        <v>115975.5821297403</v>
      </c>
      <c r="P402" s="156">
        <f>SUM(D402:O402)</f>
        <v>-5939.6032194165746</v>
      </c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  <c r="BD402" s="65"/>
      <c r="BE402" s="65"/>
      <c r="BF402" s="65"/>
      <c r="BG402" s="65"/>
      <c r="BH402" s="65"/>
      <c r="BI402" s="65"/>
      <c r="BJ402" s="65"/>
      <c r="BK402" s="65"/>
      <c r="BL402" s="65"/>
      <c r="BM402" s="65"/>
      <c r="BN402" s="65"/>
      <c r="BO402" s="65"/>
      <c r="BP402" s="65"/>
      <c r="BQ402" s="65"/>
      <c r="BR402" s="65"/>
      <c r="BS402" s="65"/>
      <c r="BT402" s="65"/>
      <c r="BU402" s="65"/>
      <c r="BV402" s="65"/>
      <c r="BW402" s="65"/>
      <c r="BX402" s="65"/>
      <c r="BY402" s="65"/>
      <c r="BZ402" s="65"/>
      <c r="CA402" s="65"/>
      <c r="CB402" s="65"/>
      <c r="CC402" s="65"/>
      <c r="CD402" s="65"/>
      <c r="CE402" s="65"/>
      <c r="CF402" s="65"/>
      <c r="CG402" s="65"/>
      <c r="CH402" s="65"/>
      <c r="CI402" s="65"/>
      <c r="CJ402" s="65"/>
      <c r="CK402" s="65"/>
      <c r="CL402" s="65"/>
      <c r="CM402" s="65"/>
      <c r="CN402" s="65"/>
      <c r="CO402" s="65"/>
      <c r="CP402" s="65"/>
      <c r="CQ402" s="65"/>
      <c r="CR402" s="65"/>
      <c r="CS402" s="65"/>
      <c r="CT402" s="65"/>
      <c r="CU402" s="65"/>
      <c r="CV402" s="65"/>
      <c r="CW402" s="65"/>
      <c r="CX402" s="65"/>
      <c r="CY402" s="65"/>
      <c r="CZ402" s="65"/>
      <c r="DA402" s="65"/>
      <c r="DB402" s="65"/>
      <c r="DC402" s="65"/>
      <c r="DD402" s="65"/>
      <c r="DE402" s="65"/>
      <c r="DF402" s="65"/>
      <c r="DG402" s="65"/>
      <c r="DH402" s="65"/>
      <c r="DI402" s="65"/>
      <c r="DJ402" s="65"/>
      <c r="DK402" s="65"/>
      <c r="DL402" s="65"/>
      <c r="DM402" s="65"/>
      <c r="DN402" s="65"/>
      <c r="DO402" s="65"/>
      <c r="DP402" s="65"/>
      <c r="DQ402" s="65"/>
      <c r="DR402" s="65"/>
      <c r="DS402" s="65"/>
      <c r="DT402" s="65"/>
      <c r="DU402" s="65"/>
      <c r="DV402" s="65"/>
      <c r="DW402" s="65"/>
      <c r="DX402" s="65"/>
      <c r="DY402" s="65"/>
      <c r="DZ402" s="65"/>
      <c r="EA402" s="65"/>
      <c r="EB402" s="65"/>
      <c r="EC402" s="65"/>
      <c r="ED402" s="65"/>
      <c r="EE402" s="65"/>
      <c r="EF402" s="65"/>
      <c r="EG402" s="65"/>
      <c r="EH402" s="65"/>
      <c r="EI402" s="65"/>
      <c r="EJ402" s="65"/>
      <c r="EK402" s="65"/>
      <c r="EL402" s="65"/>
      <c r="EM402" s="65"/>
      <c r="EN402" s="65"/>
      <c r="EO402" s="65"/>
    </row>
    <row r="403" spans="1:145" s="62" customFormat="1" x14ac:dyDescent="0.2">
      <c r="A403" s="74">
        <v>4</v>
      </c>
      <c r="B403" s="146" t="s">
        <v>114</v>
      </c>
      <c r="C403" s="125" t="s">
        <v>16</v>
      </c>
      <c r="D403" s="123">
        <f>'[4]II-H-4.1 Monthly'!D396+'[5]II-H-4.1 Monthly'!D334</f>
        <v>-11561.277780089516</v>
      </c>
      <c r="E403" s="123">
        <f>'[4]II-H-4.1 Monthly'!E396+'[5]II-H-4.1 Monthly'!E334</f>
        <v>-4784.2973287649802</v>
      </c>
      <c r="F403" s="123">
        <f>'[4]II-H-4.1 Monthly'!F396+'[5]II-H-4.1 Monthly'!F334</f>
        <v>-11231.75571800099</v>
      </c>
      <c r="G403" s="123">
        <f>'[4]II-H-4.1 Monthly'!G396+'[5]II-H-4.1 Monthly'!G334</f>
        <v>-3974.170612724145</v>
      </c>
      <c r="H403" s="123">
        <f>'[4]II-H-4.1 Monthly'!H396+'[5]II-H-4.1 Monthly'!H334</f>
        <v>14159.065507335075</v>
      </c>
      <c r="I403" s="123">
        <f>'[4]II-H-4.1 Monthly'!I396+'[5]II-H-4.1 Monthly'!I334</f>
        <v>-28882.022734338003</v>
      </c>
      <c r="J403" s="123">
        <f>'[4]II-H-4.1 Monthly'!J396+'[5]II-H-4.1 Monthly'!J334</f>
        <v>-610.25106010201307</v>
      </c>
      <c r="K403" s="123">
        <f>'[4]II-H-4.1 Monthly'!K396+'[5]II-H-4.1 Monthly'!K334</f>
        <v>6898.5904299837148</v>
      </c>
      <c r="L403" s="123">
        <f>'[4]II-H-4.1 Monthly'!L396+'[5]II-H-4.1 Monthly'!L334</f>
        <v>1760.6873612449137</v>
      </c>
      <c r="M403" s="123">
        <f>'[4]II-H-4.1 Monthly'!M396+'[5]II-H-4.1 Monthly'!M334</f>
        <v>4480.2667411391667</v>
      </c>
      <c r="N403" s="123">
        <f>'[4]II-H-4.1 Monthly'!N396+'[5]II-H-4.1 Monthly'!N334</f>
        <v>14301.533069426203</v>
      </c>
      <c r="O403" s="123">
        <f>'[4]II-H-4.1 Monthly'!O396+'[5]II-H-4.1 Monthly'!O334</f>
        <v>7896.7664233147752</v>
      </c>
      <c r="P403" s="123">
        <f>SUM(D403:O403)</f>
        <v>-11546.865701575805</v>
      </c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  <c r="BD403" s="65"/>
      <c r="BE403" s="65"/>
      <c r="BF403" s="65"/>
      <c r="BG403" s="65"/>
      <c r="BH403" s="65"/>
      <c r="BI403" s="65"/>
      <c r="BJ403" s="65"/>
      <c r="BK403" s="65"/>
      <c r="BL403" s="65"/>
      <c r="BM403" s="65"/>
      <c r="BN403" s="65"/>
      <c r="BO403" s="65"/>
      <c r="BP403" s="65"/>
      <c r="BQ403" s="65"/>
      <c r="BR403" s="65"/>
      <c r="BS403" s="65"/>
      <c r="BT403" s="65"/>
      <c r="BU403" s="65"/>
      <c r="BV403" s="65"/>
      <c r="BW403" s="65"/>
      <c r="BX403" s="65"/>
      <c r="BY403" s="65"/>
      <c r="BZ403" s="65"/>
      <c r="CA403" s="65"/>
      <c r="CB403" s="65"/>
      <c r="CC403" s="65"/>
      <c r="CD403" s="65"/>
      <c r="CE403" s="65"/>
      <c r="CF403" s="65"/>
      <c r="CG403" s="65"/>
      <c r="CH403" s="65"/>
      <c r="CI403" s="65"/>
      <c r="CJ403" s="65"/>
      <c r="CK403" s="65"/>
      <c r="CL403" s="65"/>
      <c r="CM403" s="65"/>
      <c r="CN403" s="65"/>
      <c r="CO403" s="65"/>
      <c r="CP403" s="65"/>
      <c r="CQ403" s="65"/>
      <c r="CR403" s="65"/>
      <c r="CS403" s="65"/>
      <c r="CT403" s="65"/>
      <c r="CU403" s="65"/>
      <c r="CV403" s="65"/>
      <c r="CW403" s="65"/>
      <c r="CX403" s="65"/>
      <c r="CY403" s="65"/>
      <c r="CZ403" s="65"/>
      <c r="DA403" s="65"/>
      <c r="DB403" s="65"/>
      <c r="DC403" s="65"/>
      <c r="DD403" s="65"/>
      <c r="DE403" s="65"/>
      <c r="DF403" s="65"/>
      <c r="DG403" s="65"/>
      <c r="DH403" s="65"/>
      <c r="DI403" s="65"/>
      <c r="DJ403" s="65"/>
      <c r="DK403" s="65"/>
      <c r="DL403" s="65"/>
      <c r="DM403" s="65"/>
      <c r="DN403" s="65"/>
      <c r="DO403" s="65"/>
      <c r="DP403" s="65"/>
      <c r="DQ403" s="65"/>
      <c r="DR403" s="65"/>
      <c r="DS403" s="65"/>
      <c r="DT403" s="65"/>
      <c r="DU403" s="65"/>
      <c r="DV403" s="65"/>
      <c r="DW403" s="65"/>
      <c r="DX403" s="65"/>
      <c r="DY403" s="65"/>
      <c r="DZ403" s="65"/>
      <c r="EA403" s="65"/>
      <c r="EB403" s="65"/>
      <c r="EC403" s="65"/>
      <c r="ED403" s="65"/>
      <c r="EE403" s="65"/>
      <c r="EF403" s="65"/>
      <c r="EG403" s="65"/>
      <c r="EH403" s="65"/>
      <c r="EI403" s="65"/>
      <c r="EJ403" s="65"/>
      <c r="EK403" s="65"/>
      <c r="EL403" s="65"/>
      <c r="EM403" s="65"/>
      <c r="EN403" s="65"/>
      <c r="EO403" s="65"/>
    </row>
    <row r="404" spans="1:145" s="62" customFormat="1" x14ac:dyDescent="0.2">
      <c r="A404" s="74">
        <v>5</v>
      </c>
      <c r="B404" s="162" t="s">
        <v>30</v>
      </c>
      <c r="C404" s="143"/>
      <c r="D404" s="157">
        <f>SUM(D402:D403)</f>
        <v>-124897.13385704365</v>
      </c>
      <c r="E404" s="157">
        <f t="shared" ref="E404:O404" si="87">SUM(E402:E403)</f>
        <v>-45074.593944495013</v>
      </c>
      <c r="F404" s="157">
        <f t="shared" si="87"/>
        <v>-154701.4212760895</v>
      </c>
      <c r="G404" s="157">
        <f t="shared" si="87"/>
        <v>-64857.147739401727</v>
      </c>
      <c r="H404" s="157">
        <f t="shared" si="87"/>
        <v>185465.1099779052</v>
      </c>
      <c r="I404" s="157">
        <f t="shared" si="87"/>
        <v>-293164.92387170304</v>
      </c>
      <c r="J404" s="157">
        <f t="shared" si="87"/>
        <v>22609.32769763493</v>
      </c>
      <c r="K404" s="157">
        <f t="shared" si="87"/>
        <v>80660.313588288249</v>
      </c>
      <c r="L404" s="157">
        <f t="shared" si="87"/>
        <v>10448.647954947339</v>
      </c>
      <c r="M404" s="157">
        <f t="shared" si="87"/>
        <v>45950.052614665547</v>
      </c>
      <c r="N404" s="157">
        <f t="shared" si="87"/>
        <v>196202.9513812442</v>
      </c>
      <c r="O404" s="157">
        <f t="shared" si="87"/>
        <v>123872.34855305508</v>
      </c>
      <c r="P404" s="157">
        <f>SUM(P402:P403)</f>
        <v>-17486.468920992382</v>
      </c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  <c r="AW404" s="65"/>
      <c r="AX404" s="65"/>
      <c r="AY404" s="65"/>
      <c r="AZ404" s="65"/>
      <c r="BA404" s="65"/>
      <c r="BB404" s="65"/>
      <c r="BC404" s="65"/>
      <c r="BD404" s="65"/>
      <c r="BE404" s="65"/>
      <c r="BF404" s="65"/>
      <c r="BG404" s="65"/>
      <c r="BH404" s="65"/>
      <c r="BI404" s="65"/>
      <c r="BJ404" s="65"/>
      <c r="BK404" s="65"/>
      <c r="BL404" s="65"/>
      <c r="BM404" s="65"/>
      <c r="BN404" s="65"/>
      <c r="BO404" s="65"/>
      <c r="BP404" s="65"/>
      <c r="BQ404" s="65"/>
      <c r="BR404" s="65"/>
      <c r="BS404" s="65"/>
      <c r="BT404" s="65"/>
      <c r="BU404" s="65"/>
      <c r="BV404" s="65"/>
      <c r="BW404" s="65"/>
      <c r="BX404" s="65"/>
      <c r="BY404" s="65"/>
      <c r="BZ404" s="65"/>
      <c r="CA404" s="65"/>
      <c r="CB404" s="65"/>
      <c r="CC404" s="65"/>
      <c r="CD404" s="65"/>
      <c r="CE404" s="65"/>
      <c r="CF404" s="65"/>
      <c r="CG404" s="65"/>
      <c r="CH404" s="65"/>
      <c r="CI404" s="65"/>
      <c r="CJ404" s="65"/>
      <c r="CK404" s="65"/>
      <c r="CL404" s="65"/>
      <c r="CM404" s="65"/>
      <c r="CN404" s="65"/>
      <c r="CO404" s="65"/>
      <c r="CP404" s="65"/>
      <c r="CQ404" s="65"/>
      <c r="CR404" s="65"/>
      <c r="CS404" s="65"/>
      <c r="CT404" s="65"/>
      <c r="CU404" s="65"/>
      <c r="CV404" s="65"/>
      <c r="CW404" s="65"/>
      <c r="CX404" s="65"/>
      <c r="CY404" s="65"/>
      <c r="CZ404" s="65"/>
      <c r="DA404" s="65"/>
      <c r="DB404" s="65"/>
      <c r="DC404" s="65"/>
      <c r="DD404" s="65"/>
      <c r="DE404" s="65"/>
      <c r="DF404" s="65"/>
      <c r="DG404" s="65"/>
      <c r="DH404" s="65"/>
      <c r="DI404" s="65"/>
      <c r="DJ404" s="65"/>
      <c r="DK404" s="65"/>
      <c r="DL404" s="65"/>
      <c r="DM404" s="65"/>
      <c r="DN404" s="65"/>
      <c r="DO404" s="65"/>
      <c r="DP404" s="65"/>
      <c r="DQ404" s="65"/>
      <c r="DR404" s="65"/>
      <c r="DS404" s="65"/>
      <c r="DT404" s="65"/>
      <c r="DU404" s="65"/>
      <c r="DV404" s="65"/>
      <c r="DW404" s="65"/>
      <c r="DX404" s="65"/>
      <c r="DY404" s="65"/>
      <c r="DZ404" s="65"/>
      <c r="EA404" s="65"/>
      <c r="EB404" s="65"/>
      <c r="EC404" s="65"/>
      <c r="ED404" s="65"/>
      <c r="EE404" s="65"/>
      <c r="EF404" s="65"/>
      <c r="EG404" s="65"/>
      <c r="EH404" s="65"/>
      <c r="EI404" s="65"/>
      <c r="EJ404" s="65"/>
      <c r="EK404" s="65"/>
      <c r="EL404" s="65"/>
      <c r="EM404" s="65"/>
      <c r="EN404" s="65"/>
      <c r="EO404" s="65"/>
    </row>
    <row r="405" spans="1:145" s="62" customFormat="1" x14ac:dyDescent="0.2">
      <c r="B405" s="242"/>
      <c r="C405" s="143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22"/>
      <c r="P405" s="122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  <c r="AT405" s="65"/>
      <c r="AU405" s="65"/>
      <c r="AV405" s="65"/>
      <c r="AW405" s="65"/>
      <c r="AX405" s="65"/>
      <c r="AY405" s="65"/>
      <c r="AZ405" s="65"/>
      <c r="BA405" s="65"/>
      <c r="BB405" s="65"/>
      <c r="BC405" s="65"/>
      <c r="BD405" s="65"/>
      <c r="BE405" s="65"/>
      <c r="BF405" s="65"/>
      <c r="BG405" s="65"/>
      <c r="BH405" s="65"/>
      <c r="BI405" s="65"/>
      <c r="BJ405" s="65"/>
      <c r="BK405" s="65"/>
      <c r="BL405" s="65"/>
      <c r="BM405" s="65"/>
      <c r="BN405" s="65"/>
      <c r="BO405" s="65"/>
      <c r="BP405" s="65"/>
      <c r="BQ405" s="65"/>
      <c r="BR405" s="65"/>
      <c r="BS405" s="65"/>
      <c r="BT405" s="65"/>
      <c r="BU405" s="65"/>
      <c r="BV405" s="65"/>
      <c r="BW405" s="65"/>
      <c r="BX405" s="65"/>
      <c r="BY405" s="65"/>
      <c r="BZ405" s="65"/>
      <c r="CA405" s="65"/>
      <c r="CB405" s="65"/>
      <c r="CC405" s="65"/>
      <c r="CD405" s="65"/>
      <c r="CE405" s="65"/>
      <c r="CF405" s="65"/>
      <c r="CG405" s="65"/>
      <c r="CH405" s="65"/>
      <c r="CI405" s="65"/>
      <c r="CJ405" s="65"/>
      <c r="CK405" s="65"/>
      <c r="CL405" s="65"/>
      <c r="CM405" s="65"/>
      <c r="CN405" s="65"/>
      <c r="CO405" s="65"/>
      <c r="CP405" s="65"/>
      <c r="CQ405" s="65"/>
      <c r="CR405" s="65"/>
      <c r="CS405" s="65"/>
      <c r="CT405" s="65"/>
      <c r="CU405" s="65"/>
      <c r="CV405" s="65"/>
      <c r="CW405" s="65"/>
      <c r="CX405" s="65"/>
      <c r="CY405" s="65"/>
      <c r="CZ405" s="65"/>
      <c r="DA405" s="65"/>
      <c r="DB405" s="65"/>
      <c r="DC405" s="65"/>
      <c r="DD405" s="65"/>
      <c r="DE405" s="65"/>
      <c r="DF405" s="65"/>
      <c r="DG405" s="65"/>
      <c r="DH405" s="65"/>
      <c r="DI405" s="65"/>
      <c r="DJ405" s="65"/>
      <c r="DK405" s="65"/>
      <c r="DL405" s="65"/>
      <c r="DM405" s="65"/>
      <c r="DN405" s="65"/>
      <c r="DO405" s="65"/>
      <c r="DP405" s="65"/>
      <c r="DQ405" s="65"/>
      <c r="DR405" s="65"/>
      <c r="DS405" s="65"/>
      <c r="DT405" s="65"/>
      <c r="DU405" s="65"/>
      <c r="DV405" s="65"/>
      <c r="DW405" s="65"/>
      <c r="DX405" s="65"/>
      <c r="DY405" s="65"/>
      <c r="DZ405" s="65"/>
      <c r="EA405" s="65"/>
      <c r="EB405" s="65"/>
      <c r="EC405" s="65"/>
      <c r="ED405" s="65"/>
      <c r="EE405" s="65"/>
      <c r="EF405" s="65"/>
      <c r="EG405" s="65"/>
      <c r="EH405" s="65"/>
      <c r="EI405" s="65"/>
      <c r="EJ405" s="65"/>
      <c r="EK405" s="65"/>
      <c r="EL405" s="65"/>
      <c r="EM405" s="65"/>
      <c r="EN405" s="65"/>
      <c r="EO405" s="65"/>
    </row>
    <row r="406" spans="1:145" s="62" customFormat="1" x14ac:dyDescent="0.2">
      <c r="A406" s="74">
        <v>6</v>
      </c>
      <c r="B406" s="146" t="s">
        <v>110</v>
      </c>
      <c r="C406" s="125" t="s">
        <v>17</v>
      </c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56">
        <f>SUM(D406:O406)</f>
        <v>0</v>
      </c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  <c r="AT406" s="65"/>
      <c r="AU406" s="65"/>
      <c r="AV406" s="65"/>
      <c r="AW406" s="65"/>
      <c r="AX406" s="65"/>
      <c r="AY406" s="65"/>
      <c r="AZ406" s="65"/>
      <c r="BA406" s="65"/>
      <c r="BB406" s="65"/>
      <c r="BC406" s="65"/>
      <c r="BD406" s="65"/>
      <c r="BE406" s="65"/>
      <c r="BF406" s="65"/>
      <c r="BG406" s="65"/>
      <c r="BH406" s="65"/>
      <c r="BI406" s="65"/>
      <c r="BJ406" s="65"/>
      <c r="BK406" s="65"/>
      <c r="BL406" s="65"/>
      <c r="BM406" s="65"/>
      <c r="BN406" s="65"/>
      <c r="BO406" s="65"/>
      <c r="BP406" s="65"/>
      <c r="BQ406" s="65"/>
      <c r="BR406" s="65"/>
      <c r="BS406" s="65"/>
      <c r="BT406" s="65"/>
      <c r="BU406" s="65"/>
      <c r="BV406" s="65"/>
      <c r="BW406" s="65"/>
      <c r="BX406" s="65"/>
      <c r="BY406" s="65"/>
      <c r="BZ406" s="65"/>
      <c r="CA406" s="65"/>
      <c r="CB406" s="65"/>
      <c r="CC406" s="65"/>
      <c r="CD406" s="65"/>
      <c r="CE406" s="65"/>
      <c r="CF406" s="65"/>
      <c r="CG406" s="65"/>
      <c r="CH406" s="65"/>
      <c r="CI406" s="65"/>
      <c r="CJ406" s="65"/>
      <c r="CK406" s="65"/>
      <c r="CL406" s="65"/>
      <c r="CM406" s="65"/>
      <c r="CN406" s="65"/>
      <c r="CO406" s="65"/>
      <c r="CP406" s="65"/>
      <c r="CQ406" s="65"/>
      <c r="CR406" s="65"/>
      <c r="CS406" s="65"/>
      <c r="CT406" s="65"/>
      <c r="CU406" s="65"/>
      <c r="CV406" s="65"/>
      <c r="CW406" s="65"/>
      <c r="CX406" s="65"/>
      <c r="CY406" s="65"/>
      <c r="CZ406" s="65"/>
      <c r="DA406" s="65"/>
      <c r="DB406" s="65"/>
      <c r="DC406" s="65"/>
      <c r="DD406" s="65"/>
      <c r="DE406" s="65"/>
      <c r="DF406" s="65"/>
      <c r="DG406" s="65"/>
      <c r="DH406" s="65"/>
      <c r="DI406" s="65"/>
      <c r="DJ406" s="65"/>
      <c r="DK406" s="65"/>
      <c r="DL406" s="65"/>
      <c r="DM406" s="65"/>
      <c r="DN406" s="65"/>
      <c r="DO406" s="65"/>
      <c r="DP406" s="65"/>
      <c r="DQ406" s="65"/>
      <c r="DR406" s="65"/>
      <c r="DS406" s="65"/>
      <c r="DT406" s="65"/>
      <c r="DU406" s="65"/>
      <c r="DV406" s="65"/>
      <c r="DW406" s="65"/>
      <c r="DX406" s="65"/>
      <c r="DY406" s="65"/>
      <c r="DZ406" s="65"/>
      <c r="EA406" s="65"/>
      <c r="EB406" s="65"/>
      <c r="EC406" s="65"/>
      <c r="ED406" s="65"/>
      <c r="EE406" s="65"/>
      <c r="EF406" s="65"/>
      <c r="EG406" s="65"/>
      <c r="EH406" s="65"/>
      <c r="EI406" s="65"/>
      <c r="EJ406" s="65"/>
      <c r="EK406" s="65"/>
      <c r="EL406" s="65"/>
      <c r="EM406" s="65"/>
      <c r="EN406" s="65"/>
      <c r="EO406" s="65"/>
    </row>
    <row r="407" spans="1:145" s="62" customFormat="1" x14ac:dyDescent="0.2">
      <c r="A407" s="74">
        <v>7</v>
      </c>
      <c r="B407" s="146" t="s">
        <v>111</v>
      </c>
      <c r="C407" s="125" t="s">
        <v>17</v>
      </c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73">
        <f>SUM(D407:O407)</f>
        <v>0</v>
      </c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  <c r="AT407" s="65"/>
      <c r="AU407" s="65"/>
      <c r="AV407" s="65"/>
      <c r="AW407" s="65"/>
      <c r="AX407" s="65"/>
      <c r="AY407" s="65"/>
      <c r="AZ407" s="65"/>
      <c r="BA407" s="65"/>
      <c r="BB407" s="65"/>
      <c r="BC407" s="65"/>
      <c r="BD407" s="65"/>
      <c r="BE407" s="65"/>
      <c r="BF407" s="65"/>
      <c r="BG407" s="65"/>
      <c r="BH407" s="65"/>
      <c r="BI407" s="65"/>
      <c r="BJ407" s="65"/>
      <c r="BK407" s="65"/>
      <c r="BL407" s="65"/>
      <c r="BM407" s="65"/>
      <c r="BN407" s="65"/>
      <c r="BO407" s="65"/>
      <c r="BP407" s="65"/>
      <c r="BQ407" s="65"/>
      <c r="BR407" s="65"/>
      <c r="BS407" s="65"/>
      <c r="BT407" s="65"/>
      <c r="BU407" s="65"/>
      <c r="BV407" s="65"/>
      <c r="BW407" s="65"/>
      <c r="BX407" s="65"/>
      <c r="BY407" s="65"/>
      <c r="BZ407" s="65"/>
      <c r="CA407" s="65"/>
      <c r="CB407" s="65"/>
      <c r="CC407" s="65"/>
      <c r="CD407" s="65"/>
      <c r="CE407" s="65"/>
      <c r="CF407" s="65"/>
      <c r="CG407" s="65"/>
      <c r="CH407" s="65"/>
      <c r="CI407" s="65"/>
      <c r="CJ407" s="65"/>
      <c r="CK407" s="65"/>
      <c r="CL407" s="65"/>
      <c r="CM407" s="65"/>
      <c r="CN407" s="65"/>
      <c r="CO407" s="65"/>
      <c r="CP407" s="65"/>
      <c r="CQ407" s="65"/>
      <c r="CR407" s="65"/>
      <c r="CS407" s="65"/>
      <c r="CT407" s="65"/>
      <c r="CU407" s="65"/>
      <c r="CV407" s="65"/>
      <c r="CW407" s="65"/>
      <c r="CX407" s="65"/>
      <c r="CY407" s="65"/>
      <c r="CZ407" s="65"/>
      <c r="DA407" s="65"/>
      <c r="DB407" s="65"/>
      <c r="DC407" s="65"/>
      <c r="DD407" s="65"/>
      <c r="DE407" s="65"/>
      <c r="DF407" s="65"/>
      <c r="DG407" s="65"/>
      <c r="DH407" s="65"/>
      <c r="DI407" s="65"/>
      <c r="DJ407" s="65"/>
      <c r="DK407" s="65"/>
      <c r="DL407" s="65"/>
      <c r="DM407" s="65"/>
      <c r="DN407" s="65"/>
      <c r="DO407" s="65"/>
      <c r="DP407" s="65"/>
      <c r="DQ407" s="65"/>
      <c r="DR407" s="65"/>
      <c r="DS407" s="65"/>
      <c r="DT407" s="65"/>
      <c r="DU407" s="65"/>
      <c r="DV407" s="65"/>
      <c r="DW407" s="65"/>
      <c r="DX407" s="65"/>
      <c r="DY407" s="65"/>
      <c r="DZ407" s="65"/>
      <c r="EA407" s="65"/>
      <c r="EB407" s="65"/>
      <c r="EC407" s="65"/>
      <c r="ED407" s="65"/>
      <c r="EE407" s="65"/>
      <c r="EF407" s="65"/>
      <c r="EG407" s="65"/>
      <c r="EH407" s="65"/>
      <c r="EI407" s="65"/>
      <c r="EJ407" s="65"/>
      <c r="EK407" s="65"/>
      <c r="EL407" s="65"/>
      <c r="EM407" s="65"/>
      <c r="EN407" s="65"/>
      <c r="EO407" s="65"/>
    </row>
    <row r="408" spans="1:145" s="62" customFormat="1" x14ac:dyDescent="0.2">
      <c r="A408" s="74">
        <v>8</v>
      </c>
      <c r="B408" s="129" t="s">
        <v>31</v>
      </c>
      <c r="C408" s="125"/>
      <c r="D408" s="122">
        <f>SUM(D406:D407)</f>
        <v>0</v>
      </c>
      <c r="E408" s="122">
        <f t="shared" ref="E408:O408" si="88">SUM(E406:E407)</f>
        <v>0</v>
      </c>
      <c r="F408" s="122">
        <f t="shared" si="88"/>
        <v>0</v>
      </c>
      <c r="G408" s="122">
        <f t="shared" si="88"/>
        <v>0</v>
      </c>
      <c r="H408" s="122">
        <f t="shared" si="88"/>
        <v>0</v>
      </c>
      <c r="I408" s="122">
        <f t="shared" si="88"/>
        <v>0</v>
      </c>
      <c r="J408" s="122">
        <f t="shared" si="88"/>
        <v>0</v>
      </c>
      <c r="K408" s="122">
        <f t="shared" si="88"/>
        <v>0</v>
      </c>
      <c r="L408" s="122">
        <f t="shared" si="88"/>
        <v>0</v>
      </c>
      <c r="M408" s="122">
        <f t="shared" si="88"/>
        <v>0</v>
      </c>
      <c r="N408" s="122">
        <f t="shared" si="88"/>
        <v>0</v>
      </c>
      <c r="O408" s="122">
        <f t="shared" si="88"/>
        <v>0</v>
      </c>
      <c r="P408" s="122">
        <f>SUM(P406:P407)</f>
        <v>0</v>
      </c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  <c r="AT408" s="65"/>
      <c r="AU408" s="65"/>
      <c r="AV408" s="65"/>
      <c r="AW408" s="65"/>
      <c r="AX408" s="65"/>
      <c r="AY408" s="65"/>
      <c r="AZ408" s="65"/>
      <c r="BA408" s="65"/>
      <c r="BB408" s="65"/>
      <c r="BC408" s="65"/>
      <c r="BD408" s="65"/>
      <c r="BE408" s="65"/>
      <c r="BF408" s="65"/>
      <c r="BG408" s="65"/>
      <c r="BH408" s="65"/>
      <c r="BI408" s="65"/>
      <c r="BJ408" s="65"/>
      <c r="BK408" s="65"/>
      <c r="BL408" s="65"/>
      <c r="BM408" s="65"/>
      <c r="BN408" s="65"/>
      <c r="BO408" s="65"/>
      <c r="BP408" s="65"/>
      <c r="BQ408" s="65"/>
      <c r="BR408" s="65"/>
      <c r="BS408" s="65"/>
      <c r="BT408" s="65"/>
      <c r="BU408" s="65"/>
      <c r="BV408" s="65"/>
      <c r="BW408" s="65"/>
      <c r="BX408" s="65"/>
      <c r="BY408" s="65"/>
      <c r="BZ408" s="65"/>
      <c r="CA408" s="65"/>
      <c r="CB408" s="65"/>
      <c r="CC408" s="65"/>
      <c r="CD408" s="65"/>
      <c r="CE408" s="65"/>
      <c r="CF408" s="65"/>
      <c r="CG408" s="65"/>
      <c r="CH408" s="65"/>
      <c r="CI408" s="65"/>
      <c r="CJ408" s="65"/>
      <c r="CK408" s="65"/>
      <c r="CL408" s="65"/>
      <c r="CM408" s="65"/>
      <c r="CN408" s="65"/>
      <c r="CO408" s="65"/>
      <c r="CP408" s="65"/>
      <c r="CQ408" s="65"/>
      <c r="CR408" s="65"/>
      <c r="CS408" s="65"/>
      <c r="CT408" s="65"/>
      <c r="CU408" s="65"/>
      <c r="CV408" s="65"/>
      <c r="CW408" s="65"/>
      <c r="CX408" s="65"/>
      <c r="CY408" s="65"/>
      <c r="CZ408" s="65"/>
      <c r="DA408" s="65"/>
      <c r="DB408" s="65"/>
      <c r="DC408" s="65"/>
      <c r="DD408" s="65"/>
      <c r="DE408" s="65"/>
      <c r="DF408" s="65"/>
      <c r="DG408" s="65"/>
      <c r="DH408" s="65"/>
      <c r="DI408" s="65"/>
      <c r="DJ408" s="65"/>
      <c r="DK408" s="65"/>
      <c r="DL408" s="65"/>
      <c r="DM408" s="65"/>
      <c r="DN408" s="65"/>
      <c r="DO408" s="65"/>
      <c r="DP408" s="65"/>
      <c r="DQ408" s="65"/>
      <c r="DR408" s="65"/>
      <c r="DS408" s="65"/>
      <c r="DT408" s="65"/>
      <c r="DU408" s="65"/>
      <c r="DV408" s="65"/>
      <c r="DW408" s="65"/>
      <c r="DX408" s="65"/>
      <c r="DY408" s="65"/>
      <c r="DZ408" s="65"/>
      <c r="EA408" s="65"/>
      <c r="EB408" s="65"/>
      <c r="EC408" s="65"/>
      <c r="ED408" s="65"/>
      <c r="EE408" s="65"/>
      <c r="EF408" s="65"/>
      <c r="EG408" s="65"/>
      <c r="EH408" s="65"/>
      <c r="EI408" s="65"/>
      <c r="EJ408" s="65"/>
      <c r="EK408" s="65"/>
      <c r="EL408" s="65"/>
      <c r="EM408" s="65"/>
      <c r="EN408" s="65"/>
      <c r="EO408" s="65"/>
    </row>
    <row r="409" spans="1:145" s="62" customFormat="1" x14ac:dyDescent="0.2">
      <c r="A409" s="74"/>
      <c r="B409" s="129"/>
      <c r="C409" s="125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56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  <c r="BD409" s="65"/>
      <c r="BE409" s="65"/>
      <c r="BF409" s="65"/>
      <c r="BG409" s="65"/>
      <c r="BH409" s="65"/>
      <c r="BI409" s="65"/>
      <c r="BJ409" s="65"/>
      <c r="BK409" s="65"/>
      <c r="BL409" s="65"/>
      <c r="BM409" s="65"/>
      <c r="BN409" s="65"/>
      <c r="BO409" s="65"/>
      <c r="BP409" s="65"/>
      <c r="BQ409" s="65"/>
      <c r="BR409" s="65"/>
      <c r="BS409" s="65"/>
      <c r="BT409" s="65"/>
      <c r="BU409" s="65"/>
      <c r="BV409" s="65"/>
      <c r="BW409" s="65"/>
      <c r="BX409" s="65"/>
      <c r="BY409" s="65"/>
      <c r="BZ409" s="65"/>
      <c r="CA409" s="65"/>
      <c r="CB409" s="65"/>
      <c r="CC409" s="65"/>
      <c r="CD409" s="65"/>
      <c r="CE409" s="65"/>
      <c r="CF409" s="65"/>
      <c r="CG409" s="65"/>
      <c r="CH409" s="65"/>
      <c r="CI409" s="65"/>
      <c r="CJ409" s="65"/>
      <c r="CK409" s="65"/>
      <c r="CL409" s="65"/>
      <c r="CM409" s="65"/>
      <c r="CN409" s="65"/>
      <c r="CO409" s="65"/>
      <c r="CP409" s="65"/>
      <c r="CQ409" s="65"/>
      <c r="CR409" s="65"/>
      <c r="CS409" s="65"/>
      <c r="CT409" s="65"/>
      <c r="CU409" s="65"/>
      <c r="CV409" s="65"/>
      <c r="CW409" s="65"/>
      <c r="CX409" s="65"/>
      <c r="CY409" s="65"/>
      <c r="CZ409" s="65"/>
      <c r="DA409" s="65"/>
      <c r="DB409" s="65"/>
      <c r="DC409" s="65"/>
      <c r="DD409" s="65"/>
      <c r="DE409" s="65"/>
      <c r="DF409" s="65"/>
      <c r="DG409" s="65"/>
      <c r="DH409" s="65"/>
      <c r="DI409" s="65"/>
      <c r="DJ409" s="65"/>
      <c r="DK409" s="65"/>
      <c r="DL409" s="65"/>
      <c r="DM409" s="65"/>
      <c r="DN409" s="65"/>
      <c r="DO409" s="65"/>
      <c r="DP409" s="65"/>
      <c r="DQ409" s="65"/>
      <c r="DR409" s="65"/>
      <c r="DS409" s="65"/>
      <c r="DT409" s="65"/>
      <c r="DU409" s="65"/>
      <c r="DV409" s="65"/>
      <c r="DW409" s="65"/>
      <c r="DX409" s="65"/>
      <c r="DY409" s="65"/>
      <c r="DZ409" s="65"/>
      <c r="EA409" s="65"/>
      <c r="EB409" s="65"/>
      <c r="EC409" s="65"/>
      <c r="ED409" s="65"/>
      <c r="EE409" s="65"/>
      <c r="EF409" s="65"/>
      <c r="EG409" s="65"/>
      <c r="EH409" s="65"/>
      <c r="EI409" s="65"/>
      <c r="EJ409" s="65"/>
      <c r="EK409" s="65"/>
      <c r="EL409" s="65"/>
      <c r="EM409" s="65"/>
      <c r="EN409" s="65"/>
      <c r="EO409" s="65"/>
    </row>
    <row r="410" spans="1:145" s="62" customFormat="1" x14ac:dyDescent="0.2">
      <c r="A410" s="74">
        <v>9</v>
      </c>
      <c r="B410" s="162" t="s">
        <v>115</v>
      </c>
      <c r="C410" s="125" t="s">
        <v>18</v>
      </c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56">
        <f>SUM(D410:O410)</f>
        <v>0</v>
      </c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  <c r="BD410" s="65"/>
      <c r="BE410" s="65"/>
      <c r="BF410" s="65"/>
      <c r="BG410" s="65"/>
      <c r="BH410" s="65"/>
      <c r="BI410" s="65"/>
      <c r="BJ410" s="65"/>
      <c r="BK410" s="65"/>
      <c r="BL410" s="65"/>
      <c r="BM410" s="65"/>
      <c r="BN410" s="65"/>
      <c r="BO410" s="65"/>
      <c r="BP410" s="65"/>
      <c r="BQ410" s="65"/>
      <c r="BR410" s="65"/>
      <c r="BS410" s="65"/>
      <c r="BT410" s="65"/>
      <c r="BU410" s="65"/>
      <c r="BV410" s="65"/>
      <c r="BW410" s="65"/>
      <c r="BX410" s="65"/>
      <c r="BY410" s="65"/>
      <c r="BZ410" s="65"/>
      <c r="CA410" s="65"/>
      <c r="CB410" s="65"/>
      <c r="CC410" s="65"/>
      <c r="CD410" s="65"/>
      <c r="CE410" s="65"/>
      <c r="CF410" s="65"/>
      <c r="CG410" s="65"/>
      <c r="CH410" s="65"/>
      <c r="CI410" s="65"/>
      <c r="CJ410" s="65"/>
      <c r="CK410" s="65"/>
      <c r="CL410" s="65"/>
      <c r="CM410" s="65"/>
      <c r="CN410" s="65"/>
      <c r="CO410" s="65"/>
      <c r="CP410" s="65"/>
      <c r="CQ410" s="65"/>
      <c r="CR410" s="65"/>
      <c r="CS410" s="65"/>
      <c r="CT410" s="65"/>
      <c r="CU410" s="65"/>
      <c r="CV410" s="65"/>
      <c r="CW410" s="65"/>
      <c r="CX410" s="65"/>
      <c r="CY410" s="65"/>
      <c r="CZ410" s="65"/>
      <c r="DA410" s="65"/>
      <c r="DB410" s="65"/>
      <c r="DC410" s="65"/>
      <c r="DD410" s="65"/>
      <c r="DE410" s="65"/>
      <c r="DF410" s="65"/>
      <c r="DG410" s="65"/>
      <c r="DH410" s="65"/>
      <c r="DI410" s="65"/>
      <c r="DJ410" s="65"/>
      <c r="DK410" s="65"/>
      <c r="DL410" s="65"/>
      <c r="DM410" s="65"/>
      <c r="DN410" s="65"/>
      <c r="DO410" s="65"/>
      <c r="DP410" s="65"/>
      <c r="DQ410" s="65"/>
      <c r="DR410" s="65"/>
      <c r="DS410" s="65"/>
      <c r="DT410" s="65"/>
      <c r="DU410" s="65"/>
      <c r="DV410" s="65"/>
      <c r="DW410" s="65"/>
      <c r="DX410" s="65"/>
      <c r="DY410" s="65"/>
      <c r="DZ410" s="65"/>
      <c r="EA410" s="65"/>
      <c r="EB410" s="65"/>
      <c r="EC410" s="65"/>
      <c r="ED410" s="65"/>
      <c r="EE410" s="65"/>
      <c r="EF410" s="65"/>
      <c r="EG410" s="65"/>
      <c r="EH410" s="65"/>
      <c r="EI410" s="65"/>
      <c r="EJ410" s="65"/>
      <c r="EK410" s="65"/>
      <c r="EL410" s="65"/>
      <c r="EM410" s="65"/>
      <c r="EN410" s="65"/>
      <c r="EO410" s="65"/>
    </row>
    <row r="411" spans="1:145" s="62" customFormat="1" x14ac:dyDescent="0.2">
      <c r="B411" s="129"/>
      <c r="C411" s="143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22"/>
      <c r="P411" s="122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  <c r="BD411" s="65"/>
      <c r="BE411" s="65"/>
      <c r="BF411" s="65"/>
      <c r="BG411" s="65"/>
      <c r="BH411" s="65"/>
      <c r="BI411" s="65"/>
      <c r="BJ411" s="65"/>
      <c r="BK411" s="65"/>
      <c r="BL411" s="65"/>
      <c r="BM411" s="65"/>
      <c r="BN411" s="65"/>
      <c r="BO411" s="65"/>
      <c r="BP411" s="65"/>
      <c r="BQ411" s="65"/>
      <c r="BR411" s="65"/>
      <c r="BS411" s="65"/>
      <c r="BT411" s="65"/>
      <c r="BU411" s="65"/>
      <c r="BV411" s="65"/>
      <c r="BW411" s="65"/>
      <c r="BX411" s="65"/>
      <c r="BY411" s="65"/>
      <c r="BZ411" s="65"/>
      <c r="CA411" s="65"/>
      <c r="CB411" s="65"/>
      <c r="CC411" s="65"/>
      <c r="CD411" s="65"/>
      <c r="CE411" s="65"/>
      <c r="CF411" s="65"/>
      <c r="CG411" s="65"/>
      <c r="CH411" s="65"/>
      <c r="CI411" s="65"/>
      <c r="CJ411" s="65"/>
      <c r="CK411" s="65"/>
      <c r="CL411" s="65"/>
      <c r="CM411" s="65"/>
      <c r="CN411" s="65"/>
      <c r="CO411" s="65"/>
      <c r="CP411" s="65"/>
      <c r="CQ411" s="65"/>
      <c r="CR411" s="65"/>
      <c r="CS411" s="65"/>
      <c r="CT411" s="65"/>
      <c r="CU411" s="65"/>
      <c r="CV411" s="65"/>
      <c r="CW411" s="65"/>
      <c r="CX411" s="65"/>
      <c r="CY411" s="65"/>
      <c r="CZ411" s="65"/>
      <c r="DA411" s="65"/>
      <c r="DB411" s="65"/>
      <c r="DC411" s="65"/>
      <c r="DD411" s="65"/>
      <c r="DE411" s="65"/>
      <c r="DF411" s="65"/>
      <c r="DG411" s="65"/>
      <c r="DH411" s="65"/>
      <c r="DI411" s="65"/>
      <c r="DJ411" s="65"/>
      <c r="DK411" s="65"/>
      <c r="DL411" s="65"/>
      <c r="DM411" s="65"/>
      <c r="DN411" s="65"/>
      <c r="DO411" s="65"/>
      <c r="DP411" s="65"/>
      <c r="DQ411" s="65"/>
      <c r="DR411" s="65"/>
      <c r="DS411" s="65"/>
      <c r="DT411" s="65"/>
      <c r="DU411" s="65"/>
      <c r="DV411" s="65"/>
      <c r="DW411" s="65"/>
      <c r="DX411" s="65"/>
      <c r="DY411" s="65"/>
      <c r="DZ411" s="65"/>
      <c r="EA411" s="65"/>
      <c r="EB411" s="65"/>
      <c r="EC411" s="65"/>
      <c r="ED411" s="65"/>
      <c r="EE411" s="65"/>
      <c r="EF411" s="65"/>
      <c r="EG411" s="65"/>
      <c r="EH411" s="65"/>
      <c r="EI411" s="65"/>
      <c r="EJ411" s="65"/>
      <c r="EK411" s="65"/>
      <c r="EL411" s="65"/>
      <c r="EM411" s="65"/>
      <c r="EN411" s="65"/>
      <c r="EO411" s="65"/>
    </row>
    <row r="412" spans="1:145" s="62" customFormat="1" x14ac:dyDescent="0.2">
      <c r="A412" s="74">
        <v>10</v>
      </c>
      <c r="B412" s="117" t="s">
        <v>33</v>
      </c>
      <c r="C412" s="125" t="s">
        <v>16</v>
      </c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56">
        <f>SUM(D412:O412)</f>
        <v>0</v>
      </c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65"/>
      <c r="BA412" s="65"/>
      <c r="BB412" s="65"/>
      <c r="BC412" s="65"/>
      <c r="BD412" s="65"/>
      <c r="BE412" s="65"/>
      <c r="BF412" s="65"/>
      <c r="BG412" s="65"/>
      <c r="BH412" s="65"/>
      <c r="BI412" s="65"/>
      <c r="BJ412" s="65"/>
      <c r="BK412" s="65"/>
      <c r="BL412" s="65"/>
      <c r="BM412" s="65"/>
      <c r="BN412" s="65"/>
      <c r="BO412" s="65"/>
      <c r="BP412" s="65"/>
      <c r="BQ412" s="65"/>
      <c r="BR412" s="65"/>
      <c r="BS412" s="65"/>
      <c r="BT412" s="65"/>
      <c r="BU412" s="65"/>
      <c r="BV412" s="65"/>
      <c r="BW412" s="65"/>
      <c r="BX412" s="65"/>
      <c r="BY412" s="65"/>
      <c r="BZ412" s="65"/>
      <c r="CA412" s="65"/>
      <c r="CB412" s="65"/>
      <c r="CC412" s="65"/>
      <c r="CD412" s="65"/>
      <c r="CE412" s="65"/>
      <c r="CF412" s="65"/>
      <c r="CG412" s="65"/>
      <c r="CH412" s="65"/>
      <c r="CI412" s="65"/>
      <c r="CJ412" s="65"/>
      <c r="CK412" s="65"/>
      <c r="CL412" s="65"/>
      <c r="CM412" s="65"/>
      <c r="CN412" s="65"/>
      <c r="CO412" s="65"/>
      <c r="CP412" s="65"/>
      <c r="CQ412" s="65"/>
      <c r="CR412" s="65"/>
      <c r="CS412" s="65"/>
      <c r="CT412" s="65"/>
      <c r="CU412" s="65"/>
      <c r="CV412" s="65"/>
      <c r="CW412" s="65"/>
      <c r="CX412" s="65"/>
      <c r="CY412" s="65"/>
      <c r="CZ412" s="65"/>
      <c r="DA412" s="65"/>
      <c r="DB412" s="65"/>
      <c r="DC412" s="65"/>
      <c r="DD412" s="65"/>
      <c r="DE412" s="65"/>
      <c r="DF412" s="65"/>
      <c r="DG412" s="65"/>
      <c r="DH412" s="65"/>
      <c r="DI412" s="65"/>
      <c r="DJ412" s="65"/>
      <c r="DK412" s="65"/>
      <c r="DL412" s="65"/>
      <c r="DM412" s="65"/>
      <c r="DN412" s="65"/>
      <c r="DO412" s="65"/>
      <c r="DP412" s="65"/>
      <c r="DQ412" s="65"/>
      <c r="DR412" s="65"/>
      <c r="DS412" s="65"/>
      <c r="DT412" s="65"/>
      <c r="DU412" s="65"/>
      <c r="DV412" s="65"/>
      <c r="DW412" s="65"/>
      <c r="DX412" s="65"/>
      <c r="DY412" s="65"/>
      <c r="DZ412" s="65"/>
      <c r="EA412" s="65"/>
      <c r="EB412" s="65"/>
      <c r="EC412" s="65"/>
      <c r="ED412" s="65"/>
      <c r="EE412" s="65"/>
      <c r="EF412" s="65"/>
      <c r="EG412" s="65"/>
      <c r="EH412" s="65"/>
      <c r="EI412" s="65"/>
      <c r="EJ412" s="65"/>
      <c r="EK412" s="65"/>
      <c r="EL412" s="65"/>
      <c r="EM412" s="65"/>
      <c r="EN412" s="65"/>
      <c r="EO412" s="65"/>
    </row>
    <row r="413" spans="1:145" s="62" customFormat="1" x14ac:dyDescent="0.2">
      <c r="A413" s="74"/>
      <c r="B413" s="129"/>
      <c r="C413" s="143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22"/>
      <c r="P413" s="122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  <c r="BD413" s="65"/>
      <c r="BE413" s="65"/>
      <c r="BF413" s="65"/>
      <c r="BG413" s="65"/>
      <c r="BH413" s="65"/>
      <c r="BI413" s="65"/>
      <c r="BJ413" s="65"/>
      <c r="BK413" s="65"/>
      <c r="BL413" s="65"/>
      <c r="BM413" s="65"/>
      <c r="BN413" s="65"/>
      <c r="BO413" s="65"/>
      <c r="BP413" s="65"/>
      <c r="BQ413" s="65"/>
      <c r="BR413" s="65"/>
      <c r="BS413" s="65"/>
      <c r="BT413" s="65"/>
      <c r="BU413" s="65"/>
      <c r="BV413" s="65"/>
      <c r="BW413" s="65"/>
      <c r="BX413" s="65"/>
      <c r="BY413" s="65"/>
      <c r="BZ413" s="65"/>
      <c r="CA413" s="65"/>
      <c r="CB413" s="65"/>
      <c r="CC413" s="65"/>
      <c r="CD413" s="65"/>
      <c r="CE413" s="65"/>
      <c r="CF413" s="65"/>
      <c r="CG413" s="65"/>
      <c r="CH413" s="65"/>
      <c r="CI413" s="65"/>
      <c r="CJ413" s="65"/>
      <c r="CK413" s="65"/>
      <c r="CL413" s="65"/>
      <c r="CM413" s="65"/>
      <c r="CN413" s="65"/>
      <c r="CO413" s="65"/>
      <c r="CP413" s="65"/>
      <c r="CQ413" s="65"/>
      <c r="CR413" s="65"/>
      <c r="CS413" s="65"/>
      <c r="CT413" s="65"/>
      <c r="CU413" s="65"/>
      <c r="CV413" s="65"/>
      <c r="CW413" s="65"/>
      <c r="CX413" s="65"/>
      <c r="CY413" s="65"/>
      <c r="CZ413" s="65"/>
      <c r="DA413" s="65"/>
      <c r="DB413" s="65"/>
      <c r="DC413" s="65"/>
      <c r="DD413" s="65"/>
      <c r="DE413" s="65"/>
      <c r="DF413" s="65"/>
      <c r="DG413" s="65"/>
      <c r="DH413" s="65"/>
      <c r="DI413" s="65"/>
      <c r="DJ413" s="65"/>
      <c r="DK413" s="65"/>
      <c r="DL413" s="65"/>
      <c r="DM413" s="65"/>
      <c r="DN413" s="65"/>
      <c r="DO413" s="65"/>
      <c r="DP413" s="65"/>
      <c r="DQ413" s="65"/>
      <c r="DR413" s="65"/>
      <c r="DS413" s="65"/>
      <c r="DT413" s="65"/>
      <c r="DU413" s="65"/>
      <c r="DV413" s="65"/>
      <c r="DW413" s="65"/>
      <c r="DX413" s="65"/>
      <c r="DY413" s="65"/>
      <c r="DZ413" s="65"/>
      <c r="EA413" s="65"/>
      <c r="EB413" s="65"/>
      <c r="EC413" s="65"/>
      <c r="ED413" s="65"/>
      <c r="EE413" s="65"/>
      <c r="EF413" s="65"/>
      <c r="EG413" s="65"/>
      <c r="EH413" s="65"/>
      <c r="EI413" s="65"/>
      <c r="EJ413" s="65"/>
      <c r="EK413" s="65"/>
      <c r="EL413" s="65"/>
      <c r="EM413" s="65"/>
      <c r="EN413" s="65"/>
      <c r="EO413" s="65"/>
    </row>
    <row r="414" spans="1:145" s="62" customFormat="1" x14ac:dyDescent="0.2">
      <c r="A414" s="74">
        <v>11</v>
      </c>
      <c r="B414" s="183" t="s">
        <v>34</v>
      </c>
      <c r="C414" s="236"/>
      <c r="D414" s="184">
        <f t="shared" ref="D414:P414" si="89">D412+D410+D408+D404+D400+D398</f>
        <v>-2335467.0277361111</v>
      </c>
      <c r="E414" s="184">
        <f t="shared" si="89"/>
        <v>-937486.79213514214</v>
      </c>
      <c r="F414" s="184">
        <f t="shared" si="89"/>
        <v>-57139.11259013979</v>
      </c>
      <c r="G414" s="184">
        <f t="shared" si="89"/>
        <v>-105241.80405203442</v>
      </c>
      <c r="H414" s="184">
        <f t="shared" si="89"/>
        <v>634862.25363535609</v>
      </c>
      <c r="I414" s="184">
        <f t="shared" si="89"/>
        <v>-1242491.5683779072</v>
      </c>
      <c r="J414" s="184">
        <f t="shared" si="89"/>
        <v>15122.560954465931</v>
      </c>
      <c r="K414" s="184">
        <f t="shared" si="89"/>
        <v>330207.61326757097</v>
      </c>
      <c r="L414" s="184">
        <f t="shared" si="89"/>
        <v>75864.232641999755</v>
      </c>
      <c r="M414" s="184">
        <f t="shared" si="89"/>
        <v>152656.29883466792</v>
      </c>
      <c r="N414" s="184">
        <f t="shared" si="89"/>
        <v>321329.79420644074</v>
      </c>
      <c r="O414" s="184">
        <f t="shared" si="89"/>
        <v>550117.57296595979</v>
      </c>
      <c r="P414" s="184">
        <f t="shared" si="89"/>
        <v>-2597665.9783848738</v>
      </c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  <c r="AT414" s="65"/>
      <c r="AU414" s="65"/>
      <c r="AV414" s="65"/>
      <c r="AW414" s="65"/>
      <c r="AX414" s="65"/>
      <c r="AY414" s="65"/>
      <c r="AZ414" s="65"/>
      <c r="BA414" s="65"/>
      <c r="BB414" s="65"/>
      <c r="BC414" s="65"/>
      <c r="BD414" s="65"/>
      <c r="BE414" s="65"/>
      <c r="BF414" s="65"/>
      <c r="BG414" s="65"/>
      <c r="BH414" s="65"/>
      <c r="BI414" s="65"/>
      <c r="BJ414" s="65"/>
      <c r="BK414" s="65"/>
      <c r="BL414" s="65"/>
      <c r="BM414" s="65"/>
      <c r="BN414" s="65"/>
      <c r="BO414" s="65"/>
      <c r="BP414" s="65"/>
      <c r="BQ414" s="65"/>
      <c r="BR414" s="65"/>
      <c r="BS414" s="65"/>
      <c r="BT414" s="65"/>
      <c r="BU414" s="65"/>
      <c r="BV414" s="65"/>
      <c r="BW414" s="65"/>
      <c r="BX414" s="65"/>
      <c r="BY414" s="65"/>
      <c r="BZ414" s="65"/>
      <c r="CA414" s="65"/>
      <c r="CB414" s="65"/>
      <c r="CC414" s="65"/>
      <c r="CD414" s="65"/>
      <c r="CE414" s="65"/>
      <c r="CF414" s="65"/>
      <c r="CG414" s="65"/>
      <c r="CH414" s="65"/>
      <c r="CI414" s="65"/>
      <c r="CJ414" s="65"/>
      <c r="CK414" s="65"/>
      <c r="CL414" s="65"/>
      <c r="CM414" s="65"/>
      <c r="CN414" s="65"/>
      <c r="CO414" s="65"/>
      <c r="CP414" s="65"/>
      <c r="CQ414" s="65"/>
      <c r="CR414" s="65"/>
      <c r="CS414" s="65"/>
      <c r="CT414" s="65"/>
      <c r="CU414" s="65"/>
      <c r="CV414" s="65"/>
      <c r="CW414" s="65"/>
      <c r="CX414" s="65"/>
      <c r="CY414" s="65"/>
      <c r="CZ414" s="65"/>
      <c r="DA414" s="65"/>
      <c r="DB414" s="65"/>
      <c r="DC414" s="65"/>
      <c r="DD414" s="65"/>
      <c r="DE414" s="65"/>
      <c r="DF414" s="65"/>
      <c r="DG414" s="65"/>
      <c r="DH414" s="65"/>
      <c r="DI414" s="65"/>
      <c r="DJ414" s="65"/>
      <c r="DK414" s="65"/>
      <c r="DL414" s="65"/>
      <c r="DM414" s="65"/>
      <c r="DN414" s="65"/>
      <c r="DO414" s="65"/>
      <c r="DP414" s="65"/>
      <c r="DQ414" s="65"/>
      <c r="DR414" s="65"/>
      <c r="DS414" s="65"/>
      <c r="DT414" s="65"/>
      <c r="DU414" s="65"/>
      <c r="DV414" s="65"/>
      <c r="DW414" s="65"/>
      <c r="DX414" s="65"/>
      <c r="DY414" s="65"/>
      <c r="DZ414" s="65"/>
      <c r="EA414" s="65"/>
      <c r="EB414" s="65"/>
      <c r="EC414" s="65"/>
      <c r="ED414" s="65"/>
      <c r="EE414" s="65"/>
      <c r="EF414" s="65"/>
      <c r="EG414" s="65"/>
      <c r="EH414" s="65"/>
      <c r="EI414" s="65"/>
      <c r="EJ414" s="65"/>
      <c r="EK414" s="65"/>
      <c r="EL414" s="65"/>
      <c r="EM414" s="65"/>
      <c r="EN414" s="65"/>
      <c r="EO414" s="65"/>
    </row>
    <row r="415" spans="1:145" s="62" customFormat="1" x14ac:dyDescent="0.2">
      <c r="B415" s="236"/>
      <c r="C415" s="236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56"/>
      <c r="P415" s="156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  <c r="AV415" s="65"/>
      <c r="AW415" s="65"/>
      <c r="AX415" s="65"/>
      <c r="AY415" s="65"/>
      <c r="AZ415" s="65"/>
      <c r="BA415" s="65"/>
      <c r="BB415" s="65"/>
      <c r="BC415" s="65"/>
      <c r="BD415" s="65"/>
      <c r="BE415" s="65"/>
      <c r="BF415" s="65"/>
      <c r="BG415" s="65"/>
      <c r="BH415" s="65"/>
      <c r="BI415" s="65"/>
      <c r="BJ415" s="65"/>
      <c r="BK415" s="65"/>
      <c r="BL415" s="65"/>
      <c r="BM415" s="65"/>
      <c r="BN415" s="65"/>
      <c r="BO415" s="65"/>
      <c r="BP415" s="65"/>
      <c r="BQ415" s="65"/>
      <c r="BR415" s="65"/>
      <c r="BS415" s="65"/>
      <c r="BT415" s="65"/>
      <c r="BU415" s="65"/>
      <c r="BV415" s="65"/>
      <c r="BW415" s="65"/>
      <c r="BX415" s="65"/>
      <c r="BY415" s="65"/>
      <c r="BZ415" s="65"/>
      <c r="CA415" s="65"/>
      <c r="CB415" s="65"/>
      <c r="CC415" s="65"/>
      <c r="CD415" s="65"/>
      <c r="CE415" s="65"/>
      <c r="CF415" s="65"/>
      <c r="CG415" s="65"/>
      <c r="CH415" s="65"/>
      <c r="CI415" s="65"/>
      <c r="CJ415" s="65"/>
      <c r="CK415" s="65"/>
      <c r="CL415" s="65"/>
      <c r="CM415" s="65"/>
      <c r="CN415" s="65"/>
      <c r="CO415" s="65"/>
      <c r="CP415" s="65"/>
      <c r="CQ415" s="65"/>
      <c r="CR415" s="65"/>
      <c r="CS415" s="65"/>
      <c r="CT415" s="65"/>
      <c r="CU415" s="65"/>
      <c r="CV415" s="65"/>
      <c r="CW415" s="65"/>
      <c r="CX415" s="65"/>
      <c r="CY415" s="65"/>
      <c r="CZ415" s="65"/>
      <c r="DA415" s="65"/>
      <c r="DB415" s="65"/>
      <c r="DC415" s="65"/>
      <c r="DD415" s="65"/>
      <c r="DE415" s="65"/>
      <c r="DF415" s="65"/>
      <c r="DG415" s="65"/>
      <c r="DH415" s="65"/>
      <c r="DI415" s="65"/>
      <c r="DJ415" s="65"/>
      <c r="DK415" s="65"/>
      <c r="DL415" s="65"/>
      <c r="DM415" s="65"/>
      <c r="DN415" s="65"/>
      <c r="DO415" s="65"/>
      <c r="DP415" s="65"/>
      <c r="DQ415" s="65"/>
      <c r="DR415" s="65"/>
      <c r="DS415" s="65"/>
      <c r="DT415" s="65"/>
      <c r="DU415" s="65"/>
      <c r="DV415" s="65"/>
      <c r="DW415" s="65"/>
      <c r="DX415" s="65"/>
      <c r="DY415" s="65"/>
      <c r="DZ415" s="65"/>
      <c r="EA415" s="65"/>
      <c r="EB415" s="65"/>
      <c r="EC415" s="65"/>
      <c r="ED415" s="65"/>
      <c r="EE415" s="65"/>
      <c r="EF415" s="65"/>
      <c r="EG415" s="65"/>
      <c r="EH415" s="65"/>
      <c r="EI415" s="65"/>
      <c r="EJ415" s="65"/>
      <c r="EK415" s="65"/>
      <c r="EL415" s="65"/>
      <c r="EM415" s="65"/>
      <c r="EN415" s="65"/>
      <c r="EO415" s="65"/>
    </row>
    <row r="416" spans="1:145" s="62" customFormat="1" x14ac:dyDescent="0.2">
      <c r="A416" s="74">
        <v>12</v>
      </c>
      <c r="B416" s="148" t="s">
        <v>91</v>
      </c>
      <c r="C416" s="125" t="s">
        <v>17</v>
      </c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56">
        <f>SUM(D416:O416)</f>
        <v>0</v>
      </c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  <c r="AV416" s="65"/>
      <c r="AW416" s="65"/>
      <c r="AX416" s="65"/>
      <c r="AY416" s="65"/>
      <c r="AZ416" s="65"/>
      <c r="BA416" s="65"/>
      <c r="BB416" s="65"/>
      <c r="BC416" s="65"/>
      <c r="BD416" s="65"/>
      <c r="BE416" s="65"/>
      <c r="BF416" s="65"/>
      <c r="BG416" s="65"/>
      <c r="BH416" s="65"/>
      <c r="BI416" s="65"/>
      <c r="BJ416" s="65"/>
      <c r="BK416" s="65"/>
      <c r="BL416" s="65"/>
      <c r="BM416" s="65"/>
      <c r="BN416" s="65"/>
      <c r="BO416" s="65"/>
      <c r="BP416" s="65"/>
      <c r="BQ416" s="65"/>
      <c r="BR416" s="65"/>
      <c r="BS416" s="65"/>
      <c r="BT416" s="65"/>
      <c r="BU416" s="65"/>
      <c r="BV416" s="65"/>
      <c r="BW416" s="65"/>
      <c r="BX416" s="65"/>
      <c r="BY416" s="65"/>
      <c r="BZ416" s="65"/>
      <c r="CA416" s="65"/>
      <c r="CB416" s="65"/>
      <c r="CC416" s="65"/>
      <c r="CD416" s="65"/>
      <c r="CE416" s="65"/>
      <c r="CF416" s="65"/>
      <c r="CG416" s="65"/>
      <c r="CH416" s="65"/>
      <c r="CI416" s="65"/>
      <c r="CJ416" s="65"/>
      <c r="CK416" s="65"/>
      <c r="CL416" s="65"/>
      <c r="CM416" s="65"/>
      <c r="CN416" s="65"/>
      <c r="CO416" s="65"/>
      <c r="CP416" s="65"/>
      <c r="CQ416" s="65"/>
      <c r="CR416" s="65"/>
      <c r="CS416" s="65"/>
      <c r="CT416" s="65"/>
      <c r="CU416" s="65"/>
      <c r="CV416" s="65"/>
      <c r="CW416" s="65"/>
      <c r="CX416" s="65"/>
      <c r="CY416" s="65"/>
      <c r="CZ416" s="65"/>
      <c r="DA416" s="65"/>
      <c r="DB416" s="65"/>
      <c r="DC416" s="65"/>
      <c r="DD416" s="65"/>
      <c r="DE416" s="65"/>
      <c r="DF416" s="65"/>
      <c r="DG416" s="65"/>
      <c r="DH416" s="65"/>
      <c r="DI416" s="65"/>
      <c r="DJ416" s="65"/>
      <c r="DK416" s="65"/>
      <c r="DL416" s="65"/>
      <c r="DM416" s="65"/>
      <c r="DN416" s="65"/>
      <c r="DO416" s="65"/>
      <c r="DP416" s="65"/>
      <c r="DQ416" s="65"/>
      <c r="DR416" s="65"/>
      <c r="DS416" s="65"/>
      <c r="DT416" s="65"/>
      <c r="DU416" s="65"/>
      <c r="DV416" s="65"/>
      <c r="DW416" s="65"/>
      <c r="DX416" s="65"/>
      <c r="DY416" s="65"/>
      <c r="DZ416" s="65"/>
      <c r="EA416" s="65"/>
      <c r="EB416" s="65"/>
      <c r="EC416" s="65"/>
      <c r="ED416" s="65"/>
      <c r="EE416" s="65"/>
      <c r="EF416" s="65"/>
      <c r="EG416" s="65"/>
      <c r="EH416" s="65"/>
      <c r="EI416" s="65"/>
      <c r="EJ416" s="65"/>
      <c r="EK416" s="65"/>
      <c r="EL416" s="65"/>
      <c r="EM416" s="65"/>
      <c r="EN416" s="65"/>
      <c r="EO416" s="65"/>
    </row>
    <row r="417" spans="1:145" s="62" customFormat="1" x14ac:dyDescent="0.2">
      <c r="A417" s="74">
        <v>13</v>
      </c>
      <c r="B417" s="148" t="s">
        <v>92</v>
      </c>
      <c r="C417" s="125" t="s">
        <v>18</v>
      </c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73">
        <f>SUM(D417:O417)</f>
        <v>0</v>
      </c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  <c r="AV417" s="65"/>
      <c r="AW417" s="65"/>
      <c r="AX417" s="65"/>
      <c r="AY417" s="65"/>
      <c r="AZ417" s="65"/>
      <c r="BA417" s="65"/>
      <c r="BB417" s="65"/>
      <c r="BC417" s="65"/>
      <c r="BD417" s="65"/>
      <c r="BE417" s="65"/>
      <c r="BF417" s="65"/>
      <c r="BG417" s="65"/>
      <c r="BH417" s="65"/>
      <c r="BI417" s="65"/>
      <c r="BJ417" s="65"/>
      <c r="BK417" s="65"/>
      <c r="BL417" s="65"/>
      <c r="BM417" s="65"/>
      <c r="BN417" s="65"/>
      <c r="BO417" s="65"/>
      <c r="BP417" s="65"/>
      <c r="BQ417" s="65"/>
      <c r="BR417" s="65"/>
      <c r="BS417" s="65"/>
      <c r="BT417" s="65"/>
      <c r="BU417" s="65"/>
      <c r="BV417" s="65"/>
      <c r="BW417" s="65"/>
      <c r="BX417" s="65"/>
      <c r="BY417" s="65"/>
      <c r="BZ417" s="65"/>
      <c r="CA417" s="65"/>
      <c r="CB417" s="65"/>
      <c r="CC417" s="65"/>
      <c r="CD417" s="65"/>
      <c r="CE417" s="65"/>
      <c r="CF417" s="65"/>
      <c r="CG417" s="65"/>
      <c r="CH417" s="65"/>
      <c r="CI417" s="65"/>
      <c r="CJ417" s="65"/>
      <c r="CK417" s="65"/>
      <c r="CL417" s="65"/>
      <c r="CM417" s="65"/>
      <c r="CN417" s="65"/>
      <c r="CO417" s="65"/>
      <c r="CP417" s="65"/>
      <c r="CQ417" s="65"/>
      <c r="CR417" s="65"/>
      <c r="CS417" s="65"/>
      <c r="CT417" s="65"/>
      <c r="CU417" s="65"/>
      <c r="CV417" s="65"/>
      <c r="CW417" s="65"/>
      <c r="CX417" s="65"/>
      <c r="CY417" s="65"/>
      <c r="CZ417" s="65"/>
      <c r="DA417" s="65"/>
      <c r="DB417" s="65"/>
      <c r="DC417" s="65"/>
      <c r="DD417" s="65"/>
      <c r="DE417" s="65"/>
      <c r="DF417" s="65"/>
      <c r="DG417" s="65"/>
      <c r="DH417" s="65"/>
      <c r="DI417" s="65"/>
      <c r="DJ417" s="65"/>
      <c r="DK417" s="65"/>
      <c r="DL417" s="65"/>
      <c r="DM417" s="65"/>
      <c r="DN417" s="65"/>
      <c r="DO417" s="65"/>
      <c r="DP417" s="65"/>
      <c r="DQ417" s="65"/>
      <c r="DR417" s="65"/>
      <c r="DS417" s="65"/>
      <c r="DT417" s="65"/>
      <c r="DU417" s="65"/>
      <c r="DV417" s="65"/>
      <c r="DW417" s="65"/>
      <c r="DX417" s="65"/>
      <c r="DY417" s="65"/>
      <c r="DZ417" s="65"/>
      <c r="EA417" s="65"/>
      <c r="EB417" s="65"/>
      <c r="EC417" s="65"/>
      <c r="ED417" s="65"/>
      <c r="EE417" s="65"/>
      <c r="EF417" s="65"/>
      <c r="EG417" s="65"/>
      <c r="EH417" s="65"/>
      <c r="EI417" s="65"/>
      <c r="EJ417" s="65"/>
      <c r="EK417" s="65"/>
      <c r="EL417" s="65"/>
      <c r="EM417" s="65"/>
      <c r="EN417" s="65"/>
      <c r="EO417" s="65"/>
    </row>
    <row r="418" spans="1:145" s="62" customFormat="1" x14ac:dyDescent="0.2">
      <c r="A418" s="74">
        <v>14</v>
      </c>
      <c r="B418" s="183" t="s">
        <v>35</v>
      </c>
      <c r="C418" s="238"/>
      <c r="D418" s="169">
        <f t="shared" ref="D418:P418" si="90">SUM(D416:D417)</f>
        <v>0</v>
      </c>
      <c r="E418" s="169">
        <f t="shared" si="90"/>
        <v>0</v>
      </c>
      <c r="F418" s="169">
        <f t="shared" si="90"/>
        <v>0</v>
      </c>
      <c r="G418" s="169">
        <f t="shared" si="90"/>
        <v>0</v>
      </c>
      <c r="H418" s="169">
        <f t="shared" si="90"/>
        <v>0</v>
      </c>
      <c r="I418" s="169">
        <f t="shared" si="90"/>
        <v>0</v>
      </c>
      <c r="J418" s="169">
        <f t="shared" si="90"/>
        <v>0</v>
      </c>
      <c r="K418" s="169">
        <f t="shared" si="90"/>
        <v>0</v>
      </c>
      <c r="L418" s="169">
        <f t="shared" si="90"/>
        <v>0</v>
      </c>
      <c r="M418" s="169">
        <f t="shared" si="90"/>
        <v>0</v>
      </c>
      <c r="N418" s="169">
        <f t="shared" si="90"/>
        <v>0</v>
      </c>
      <c r="O418" s="156">
        <f t="shared" si="90"/>
        <v>0</v>
      </c>
      <c r="P418" s="156">
        <f t="shared" si="90"/>
        <v>0</v>
      </c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  <c r="AT418" s="65"/>
      <c r="AU418" s="65"/>
      <c r="AV418" s="65"/>
      <c r="AW418" s="65"/>
      <c r="AX418" s="65"/>
      <c r="AY418" s="65"/>
      <c r="AZ418" s="65"/>
      <c r="BA418" s="65"/>
      <c r="BB418" s="65"/>
      <c r="BC418" s="65"/>
      <c r="BD418" s="65"/>
      <c r="BE418" s="65"/>
      <c r="BF418" s="65"/>
      <c r="BG418" s="65"/>
      <c r="BH418" s="65"/>
      <c r="BI418" s="65"/>
      <c r="BJ418" s="65"/>
      <c r="BK418" s="65"/>
      <c r="BL418" s="65"/>
      <c r="BM418" s="65"/>
      <c r="BN418" s="65"/>
      <c r="BO418" s="65"/>
      <c r="BP418" s="65"/>
      <c r="BQ418" s="65"/>
      <c r="BR418" s="65"/>
      <c r="BS418" s="65"/>
      <c r="BT418" s="65"/>
      <c r="BU418" s="65"/>
      <c r="BV418" s="65"/>
      <c r="BW418" s="65"/>
      <c r="BX418" s="65"/>
      <c r="BY418" s="65"/>
      <c r="BZ418" s="65"/>
      <c r="CA418" s="65"/>
      <c r="CB418" s="65"/>
      <c r="CC418" s="65"/>
      <c r="CD418" s="65"/>
      <c r="CE418" s="65"/>
      <c r="CF418" s="65"/>
      <c r="CG418" s="65"/>
      <c r="CH418" s="65"/>
      <c r="CI418" s="65"/>
      <c r="CJ418" s="65"/>
      <c r="CK418" s="65"/>
      <c r="CL418" s="65"/>
      <c r="CM418" s="65"/>
      <c r="CN418" s="65"/>
      <c r="CO418" s="65"/>
      <c r="CP418" s="65"/>
      <c r="CQ418" s="65"/>
      <c r="CR418" s="65"/>
      <c r="CS418" s="65"/>
      <c r="CT418" s="65"/>
      <c r="CU418" s="65"/>
      <c r="CV418" s="65"/>
      <c r="CW418" s="65"/>
      <c r="CX418" s="65"/>
      <c r="CY418" s="65"/>
      <c r="CZ418" s="65"/>
      <c r="DA418" s="65"/>
      <c r="DB418" s="65"/>
      <c r="DC418" s="65"/>
      <c r="DD418" s="65"/>
      <c r="DE418" s="65"/>
      <c r="DF418" s="65"/>
      <c r="DG418" s="65"/>
      <c r="DH418" s="65"/>
      <c r="DI418" s="65"/>
      <c r="DJ418" s="65"/>
      <c r="DK418" s="65"/>
      <c r="DL418" s="65"/>
      <c r="DM418" s="65"/>
      <c r="DN418" s="65"/>
      <c r="DO418" s="65"/>
      <c r="DP418" s="65"/>
      <c r="DQ418" s="65"/>
      <c r="DR418" s="65"/>
      <c r="DS418" s="65"/>
      <c r="DT418" s="65"/>
      <c r="DU418" s="65"/>
      <c r="DV418" s="65"/>
      <c r="DW418" s="65"/>
      <c r="DX418" s="65"/>
      <c r="DY418" s="65"/>
      <c r="DZ418" s="65"/>
      <c r="EA418" s="65"/>
      <c r="EB418" s="65"/>
      <c r="EC418" s="65"/>
      <c r="ED418" s="65"/>
      <c r="EE418" s="65"/>
      <c r="EF418" s="65"/>
      <c r="EG418" s="65"/>
      <c r="EH418" s="65"/>
      <c r="EI418" s="65"/>
      <c r="EJ418" s="65"/>
      <c r="EK418" s="65"/>
      <c r="EL418" s="65"/>
      <c r="EM418" s="65"/>
      <c r="EN418" s="65"/>
      <c r="EO418" s="65"/>
    </row>
    <row r="419" spans="1:145" s="62" customFormat="1" x14ac:dyDescent="0.2">
      <c r="A419" s="74"/>
      <c r="B419" s="129"/>
      <c r="C419" s="185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22"/>
      <c r="P419" s="122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  <c r="AU419" s="65"/>
      <c r="AV419" s="65"/>
      <c r="AW419" s="65"/>
      <c r="AX419" s="65"/>
      <c r="AY419" s="65"/>
      <c r="AZ419" s="65"/>
      <c r="BA419" s="65"/>
      <c r="BB419" s="65"/>
      <c r="BC419" s="65"/>
      <c r="BD419" s="65"/>
      <c r="BE419" s="65"/>
      <c r="BF419" s="65"/>
      <c r="BG419" s="65"/>
      <c r="BH419" s="65"/>
      <c r="BI419" s="65"/>
      <c r="BJ419" s="65"/>
      <c r="BK419" s="65"/>
      <c r="BL419" s="65"/>
      <c r="BM419" s="65"/>
      <c r="BN419" s="65"/>
      <c r="BO419" s="65"/>
      <c r="BP419" s="65"/>
      <c r="BQ419" s="65"/>
      <c r="BR419" s="65"/>
      <c r="BS419" s="65"/>
      <c r="BT419" s="65"/>
      <c r="BU419" s="65"/>
      <c r="BV419" s="65"/>
      <c r="BW419" s="65"/>
      <c r="BX419" s="65"/>
      <c r="BY419" s="65"/>
      <c r="BZ419" s="65"/>
      <c r="CA419" s="65"/>
      <c r="CB419" s="65"/>
      <c r="CC419" s="65"/>
      <c r="CD419" s="65"/>
      <c r="CE419" s="65"/>
      <c r="CF419" s="65"/>
      <c r="CG419" s="65"/>
      <c r="CH419" s="65"/>
      <c r="CI419" s="65"/>
      <c r="CJ419" s="65"/>
      <c r="CK419" s="65"/>
      <c r="CL419" s="65"/>
      <c r="CM419" s="65"/>
      <c r="CN419" s="65"/>
      <c r="CO419" s="65"/>
      <c r="CP419" s="65"/>
      <c r="CQ419" s="65"/>
      <c r="CR419" s="65"/>
      <c r="CS419" s="65"/>
      <c r="CT419" s="65"/>
      <c r="CU419" s="65"/>
      <c r="CV419" s="65"/>
      <c r="CW419" s="65"/>
      <c r="CX419" s="65"/>
      <c r="CY419" s="65"/>
      <c r="CZ419" s="65"/>
      <c r="DA419" s="65"/>
      <c r="DB419" s="65"/>
      <c r="DC419" s="65"/>
      <c r="DD419" s="65"/>
      <c r="DE419" s="65"/>
      <c r="DF419" s="65"/>
      <c r="DG419" s="65"/>
      <c r="DH419" s="65"/>
      <c r="DI419" s="65"/>
      <c r="DJ419" s="65"/>
      <c r="DK419" s="65"/>
      <c r="DL419" s="65"/>
      <c r="DM419" s="65"/>
      <c r="DN419" s="65"/>
      <c r="DO419" s="65"/>
      <c r="DP419" s="65"/>
      <c r="DQ419" s="65"/>
      <c r="DR419" s="65"/>
      <c r="DS419" s="65"/>
      <c r="DT419" s="65"/>
      <c r="DU419" s="65"/>
      <c r="DV419" s="65"/>
      <c r="DW419" s="65"/>
      <c r="DX419" s="65"/>
      <c r="DY419" s="65"/>
      <c r="DZ419" s="65"/>
      <c r="EA419" s="65"/>
      <c r="EB419" s="65"/>
      <c r="EC419" s="65"/>
      <c r="ED419" s="65"/>
      <c r="EE419" s="65"/>
      <c r="EF419" s="65"/>
      <c r="EG419" s="65"/>
      <c r="EH419" s="65"/>
      <c r="EI419" s="65"/>
      <c r="EJ419" s="65"/>
      <c r="EK419" s="65"/>
      <c r="EL419" s="65"/>
      <c r="EM419" s="65"/>
      <c r="EN419" s="65"/>
      <c r="EO419" s="65"/>
    </row>
    <row r="420" spans="1:145" s="62" customFormat="1" ht="12" thickBot="1" x14ac:dyDescent="0.25">
      <c r="A420" s="74">
        <v>15</v>
      </c>
      <c r="B420" s="243" t="str">
        <f>B37</f>
        <v>TOTAL AEP TEXAS</v>
      </c>
      <c r="C420" s="238"/>
      <c r="D420" s="186">
        <f t="shared" ref="D420:P420" si="91">+D418+D414</f>
        <v>-2335467.0277361111</v>
      </c>
      <c r="E420" s="186">
        <f t="shared" si="91"/>
        <v>-937486.79213514214</v>
      </c>
      <c r="F420" s="186">
        <f t="shared" si="91"/>
        <v>-57139.11259013979</v>
      </c>
      <c r="G420" s="186">
        <f t="shared" si="91"/>
        <v>-105241.80405203442</v>
      </c>
      <c r="H420" s="186">
        <f t="shared" si="91"/>
        <v>634862.25363535609</v>
      </c>
      <c r="I420" s="186">
        <f t="shared" si="91"/>
        <v>-1242491.5683779072</v>
      </c>
      <c r="J420" s="186">
        <f t="shared" si="91"/>
        <v>15122.560954465931</v>
      </c>
      <c r="K420" s="186">
        <f t="shared" si="91"/>
        <v>330207.61326757097</v>
      </c>
      <c r="L420" s="186">
        <f t="shared" si="91"/>
        <v>75864.232641999755</v>
      </c>
      <c r="M420" s="186">
        <f t="shared" si="91"/>
        <v>152656.29883466792</v>
      </c>
      <c r="N420" s="186">
        <f t="shared" si="91"/>
        <v>321329.79420644074</v>
      </c>
      <c r="O420" s="186">
        <f t="shared" si="91"/>
        <v>550117.57296595979</v>
      </c>
      <c r="P420" s="186">
        <f t="shared" si="91"/>
        <v>-2597665.9783848738</v>
      </c>
      <c r="Q420" s="148"/>
      <c r="R420" s="117"/>
      <c r="S420" s="117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  <c r="AT420" s="65"/>
      <c r="AU420" s="65"/>
      <c r="AV420" s="65"/>
      <c r="AW420" s="65"/>
      <c r="AX420" s="65"/>
      <c r="AY420" s="65"/>
      <c r="AZ420" s="65"/>
      <c r="BA420" s="65"/>
      <c r="BB420" s="65"/>
      <c r="BC420" s="65"/>
      <c r="BD420" s="65"/>
      <c r="BE420" s="65"/>
      <c r="BF420" s="65"/>
      <c r="BG420" s="65"/>
      <c r="BH420" s="65"/>
      <c r="BI420" s="65"/>
      <c r="BJ420" s="65"/>
      <c r="BK420" s="65"/>
      <c r="BL420" s="65"/>
      <c r="BM420" s="65"/>
      <c r="BN420" s="65"/>
      <c r="BO420" s="65"/>
      <c r="BP420" s="65"/>
      <c r="BQ420" s="65"/>
      <c r="BR420" s="65"/>
      <c r="BS420" s="65"/>
      <c r="BT420" s="65"/>
      <c r="BU420" s="65"/>
      <c r="BV420" s="65"/>
      <c r="BW420" s="65"/>
      <c r="BX420" s="65"/>
      <c r="BY420" s="65"/>
      <c r="BZ420" s="65"/>
      <c r="CA420" s="65"/>
      <c r="CB420" s="65"/>
      <c r="CC420" s="65"/>
      <c r="CD420" s="65"/>
      <c r="CE420" s="65"/>
      <c r="CF420" s="65"/>
      <c r="CG420" s="65"/>
      <c r="CH420" s="65"/>
      <c r="CI420" s="65"/>
      <c r="CJ420" s="65"/>
      <c r="CK420" s="65"/>
      <c r="CL420" s="65"/>
      <c r="CM420" s="65"/>
      <c r="CN420" s="65"/>
      <c r="CO420" s="65"/>
      <c r="CP420" s="65"/>
      <c r="CQ420" s="65"/>
      <c r="CR420" s="65"/>
      <c r="CS420" s="65"/>
      <c r="CT420" s="65"/>
      <c r="CU420" s="65"/>
      <c r="CV420" s="65"/>
      <c r="CW420" s="65"/>
      <c r="CX420" s="65"/>
      <c r="CY420" s="65"/>
      <c r="CZ420" s="65"/>
      <c r="DA420" s="65"/>
      <c r="DB420" s="65"/>
      <c r="DC420" s="65"/>
      <c r="DD420" s="65"/>
      <c r="DE420" s="65"/>
      <c r="DF420" s="65"/>
      <c r="DG420" s="65"/>
      <c r="DH420" s="65"/>
      <c r="DI420" s="65"/>
      <c r="DJ420" s="65"/>
      <c r="DK420" s="65"/>
      <c r="DL420" s="65"/>
      <c r="DM420" s="65"/>
      <c r="DN420" s="65"/>
      <c r="DO420" s="65"/>
      <c r="DP420" s="65"/>
      <c r="DQ420" s="65"/>
      <c r="DR420" s="65"/>
      <c r="DS420" s="65"/>
      <c r="DT420" s="65"/>
      <c r="DU420" s="65"/>
      <c r="DV420" s="65"/>
      <c r="DW420" s="65"/>
      <c r="DX420" s="65"/>
      <c r="DY420" s="65"/>
      <c r="DZ420" s="65"/>
      <c r="EA420" s="65"/>
      <c r="EB420" s="65"/>
      <c r="EC420" s="65"/>
      <c r="ED420" s="65"/>
      <c r="EE420" s="65"/>
      <c r="EF420" s="65"/>
      <c r="EG420" s="65"/>
      <c r="EH420" s="65"/>
      <c r="EI420" s="65"/>
      <c r="EJ420" s="65"/>
      <c r="EK420" s="65"/>
      <c r="EL420" s="65"/>
      <c r="EM420" s="65"/>
      <c r="EN420" s="65"/>
      <c r="EO420" s="65"/>
    </row>
    <row r="421" spans="1:145" ht="12" thickTop="1" x14ac:dyDescent="0.2">
      <c r="A421" s="64"/>
      <c r="B421" s="271"/>
      <c r="C421" s="143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56"/>
      <c r="Q421" s="148"/>
      <c r="R421" s="148"/>
      <c r="S421" s="148"/>
    </row>
    <row r="422" spans="1:145" customFormat="1" ht="12.75" x14ac:dyDescent="0.2">
      <c r="A422" s="205"/>
      <c r="B422" s="393" t="str">
        <f>B8</f>
        <v>AEP TEXAS</v>
      </c>
      <c r="C422" s="393"/>
      <c r="D422" s="393"/>
      <c r="E422" s="393"/>
      <c r="F422" s="393"/>
      <c r="G422" s="393"/>
      <c r="H422" s="393"/>
      <c r="I422" s="393"/>
      <c r="J422" s="393"/>
      <c r="K422" s="393"/>
      <c r="L422" s="393"/>
      <c r="M422" s="393"/>
      <c r="N422" s="393"/>
      <c r="O422" s="393"/>
      <c r="P422" s="393"/>
    </row>
    <row r="423" spans="1:145" s="62" customFormat="1" x14ac:dyDescent="0.2">
      <c r="B423" s="394" t="s">
        <v>93</v>
      </c>
      <c r="C423" s="391"/>
      <c r="D423" s="391"/>
      <c r="E423" s="391"/>
      <c r="F423" s="391"/>
      <c r="G423" s="391"/>
      <c r="H423" s="391"/>
      <c r="I423" s="391"/>
      <c r="J423" s="391"/>
      <c r="K423" s="391"/>
      <c r="L423" s="391"/>
      <c r="M423" s="391"/>
      <c r="N423" s="391"/>
      <c r="O423" s="391"/>
      <c r="P423" s="391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  <c r="BD423" s="65"/>
      <c r="BE423" s="65"/>
      <c r="BF423" s="65"/>
      <c r="BG423" s="65"/>
      <c r="BH423" s="65"/>
      <c r="BI423" s="65"/>
      <c r="BJ423" s="65"/>
      <c r="BK423" s="65"/>
      <c r="BL423" s="65"/>
      <c r="BM423" s="65"/>
      <c r="BN423" s="65"/>
      <c r="BO423" s="65"/>
      <c r="BP423" s="65"/>
      <c r="BQ423" s="65"/>
      <c r="BR423" s="65"/>
      <c r="BS423" s="65"/>
      <c r="BT423" s="65"/>
      <c r="BU423" s="65"/>
      <c r="BV423" s="65"/>
      <c r="BW423" s="65"/>
      <c r="BX423" s="65"/>
      <c r="BY423" s="65"/>
      <c r="BZ423" s="65"/>
      <c r="CA423" s="65"/>
      <c r="CB423" s="65"/>
      <c r="CC423" s="65"/>
      <c r="CD423" s="65"/>
      <c r="CE423" s="65"/>
      <c r="CF423" s="65"/>
      <c r="CG423" s="65"/>
      <c r="CH423" s="65"/>
      <c r="CI423" s="65"/>
      <c r="CJ423" s="65"/>
      <c r="CK423" s="65"/>
      <c r="CL423" s="65"/>
      <c r="CM423" s="65"/>
      <c r="CN423" s="65"/>
      <c r="CO423" s="65"/>
      <c r="CP423" s="65"/>
      <c r="CQ423" s="65"/>
      <c r="CR423" s="65"/>
      <c r="CS423" s="65"/>
      <c r="CT423" s="65"/>
      <c r="CU423" s="65"/>
      <c r="CV423" s="65"/>
      <c r="CW423" s="65"/>
      <c r="CX423" s="65"/>
      <c r="CY423" s="65"/>
      <c r="CZ423" s="65"/>
      <c r="DA423" s="65"/>
      <c r="DB423" s="65"/>
      <c r="DC423" s="65"/>
      <c r="DD423" s="65"/>
      <c r="DE423" s="65"/>
      <c r="DF423" s="65"/>
      <c r="DG423" s="65"/>
      <c r="DH423" s="65"/>
      <c r="DI423" s="65"/>
      <c r="DJ423" s="65"/>
      <c r="DK423" s="65"/>
      <c r="DL423" s="65"/>
      <c r="DM423" s="65"/>
      <c r="DN423" s="65"/>
      <c r="DO423" s="65"/>
      <c r="DP423" s="65"/>
      <c r="DQ423" s="65"/>
      <c r="DR423" s="65"/>
      <c r="DS423" s="65"/>
      <c r="DT423" s="65"/>
      <c r="DU423" s="65"/>
      <c r="DV423" s="65"/>
      <c r="DW423" s="65"/>
      <c r="DX423" s="65"/>
      <c r="DY423" s="65"/>
      <c r="DZ423" s="65"/>
      <c r="EA423" s="65"/>
      <c r="EB423" s="65"/>
      <c r="EC423" s="65"/>
      <c r="ED423" s="65"/>
      <c r="EE423" s="65"/>
      <c r="EF423" s="65"/>
      <c r="EG423" s="65"/>
      <c r="EH423" s="65"/>
      <c r="EI423" s="65"/>
      <c r="EJ423" s="65"/>
      <c r="EK423" s="65"/>
      <c r="EL423" s="65"/>
      <c r="EM423" s="65"/>
      <c r="EN423" s="65"/>
      <c r="EO423" s="65"/>
    </row>
    <row r="424" spans="1:145" s="62" customFormat="1" x14ac:dyDescent="0.2">
      <c r="B424" s="391" t="str">
        <f>B10</f>
        <v>FOR TEST YEAR ENDED DECEMBER 31, 2018</v>
      </c>
      <c r="C424" s="391"/>
      <c r="D424" s="391"/>
      <c r="E424" s="391"/>
      <c r="F424" s="391"/>
      <c r="G424" s="391"/>
      <c r="H424" s="391"/>
      <c r="I424" s="391"/>
      <c r="J424" s="391"/>
      <c r="K424" s="391"/>
      <c r="L424" s="391"/>
      <c r="M424" s="391"/>
      <c r="N424" s="391"/>
      <c r="O424" s="391"/>
      <c r="P424" s="391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  <c r="AV424" s="65"/>
      <c r="AW424" s="65"/>
      <c r="AX424" s="65"/>
      <c r="AY424" s="65"/>
      <c r="AZ424" s="65"/>
      <c r="BA424" s="65"/>
      <c r="BB424" s="65"/>
      <c r="BC424" s="65"/>
      <c r="BD424" s="65"/>
      <c r="BE424" s="65"/>
      <c r="BF424" s="65"/>
      <c r="BG424" s="65"/>
      <c r="BH424" s="65"/>
      <c r="BI424" s="65"/>
      <c r="BJ424" s="65"/>
      <c r="BK424" s="65"/>
      <c r="BL424" s="65"/>
      <c r="BM424" s="65"/>
      <c r="BN424" s="65"/>
      <c r="BO424" s="65"/>
      <c r="BP424" s="65"/>
      <c r="BQ424" s="65"/>
      <c r="BR424" s="65"/>
      <c r="BS424" s="65"/>
      <c r="BT424" s="65"/>
      <c r="BU424" s="65"/>
      <c r="BV424" s="65"/>
      <c r="BW424" s="65"/>
      <c r="BX424" s="65"/>
      <c r="BY424" s="65"/>
      <c r="BZ424" s="65"/>
      <c r="CA424" s="65"/>
      <c r="CB424" s="65"/>
      <c r="CC424" s="65"/>
      <c r="CD424" s="65"/>
      <c r="CE424" s="65"/>
      <c r="CF424" s="65"/>
      <c r="CG424" s="65"/>
      <c r="CH424" s="65"/>
      <c r="CI424" s="65"/>
      <c r="CJ424" s="65"/>
      <c r="CK424" s="65"/>
      <c r="CL424" s="65"/>
      <c r="CM424" s="65"/>
      <c r="CN424" s="65"/>
      <c r="CO424" s="65"/>
      <c r="CP424" s="65"/>
      <c r="CQ424" s="65"/>
      <c r="CR424" s="65"/>
      <c r="CS424" s="65"/>
      <c r="CT424" s="65"/>
      <c r="CU424" s="65"/>
      <c r="CV424" s="65"/>
      <c r="CW424" s="65"/>
      <c r="CX424" s="65"/>
      <c r="CY424" s="65"/>
      <c r="CZ424" s="65"/>
      <c r="DA424" s="65"/>
      <c r="DB424" s="65"/>
      <c r="DC424" s="65"/>
      <c r="DD424" s="65"/>
      <c r="DE424" s="65"/>
      <c r="DF424" s="65"/>
      <c r="DG424" s="65"/>
      <c r="DH424" s="65"/>
      <c r="DI424" s="65"/>
      <c r="DJ424" s="65"/>
      <c r="DK424" s="65"/>
      <c r="DL424" s="65"/>
      <c r="DM424" s="65"/>
      <c r="DN424" s="65"/>
      <c r="DO424" s="65"/>
      <c r="DP424" s="65"/>
      <c r="DQ424" s="65"/>
      <c r="DR424" s="65"/>
      <c r="DS424" s="65"/>
      <c r="DT424" s="65"/>
      <c r="DU424" s="65"/>
      <c r="DV424" s="65"/>
      <c r="DW424" s="65"/>
      <c r="DX424" s="65"/>
      <c r="DY424" s="65"/>
      <c r="DZ424" s="65"/>
      <c r="EA424" s="65"/>
      <c r="EB424" s="65"/>
      <c r="EC424" s="65"/>
      <c r="ED424" s="65"/>
      <c r="EE424" s="65"/>
      <c r="EF424" s="65"/>
      <c r="EG424" s="65"/>
      <c r="EH424" s="65"/>
      <c r="EI424" s="65"/>
      <c r="EJ424" s="65"/>
      <c r="EK424" s="65"/>
      <c r="EL424" s="65"/>
      <c r="EM424" s="65"/>
      <c r="EN424" s="65"/>
      <c r="EO424" s="65"/>
    </row>
    <row r="425" spans="1:145" x14ac:dyDescent="0.2">
      <c r="A425" s="21"/>
      <c r="B425" s="265"/>
      <c r="C425" s="266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</row>
    <row r="426" spans="1:145" x14ac:dyDescent="0.2">
      <c r="B426" s="168"/>
      <c r="C426" s="267"/>
      <c r="D426" s="268"/>
      <c r="E426" s="169"/>
      <c r="F426" s="169"/>
      <c r="G426" s="268"/>
      <c r="H426" s="169"/>
      <c r="I426" s="169"/>
      <c r="J426" s="157"/>
      <c r="K426" s="169"/>
      <c r="L426" s="169"/>
      <c r="M426" s="169"/>
      <c r="N426" s="169"/>
      <c r="O426" s="169"/>
      <c r="P426" s="169"/>
    </row>
    <row r="427" spans="1:145" x14ac:dyDescent="0.2">
      <c r="A427" s="68" t="s">
        <v>20</v>
      </c>
      <c r="B427" s="238" t="s">
        <v>0</v>
      </c>
      <c r="C427" s="238" t="s">
        <v>19</v>
      </c>
      <c r="D427" s="268" t="str">
        <f>D13</f>
        <v>JANUARY</v>
      </c>
      <c r="E427" s="268" t="str">
        <f>E13</f>
        <v>FEBRUARY</v>
      </c>
      <c r="F427" s="268" t="str">
        <f>F13</f>
        <v>MARCH</v>
      </c>
      <c r="G427" s="268" t="str">
        <f>G13</f>
        <v>APRIL</v>
      </c>
      <c r="H427" s="268" t="str">
        <f t="shared" ref="H427:O427" si="92">H13</f>
        <v>MAY</v>
      </c>
      <c r="I427" s="268" t="str">
        <f t="shared" si="92"/>
        <v>JUNE</v>
      </c>
      <c r="J427" s="268" t="str">
        <f t="shared" si="92"/>
        <v>JULY</v>
      </c>
      <c r="K427" s="268" t="str">
        <f t="shared" si="92"/>
        <v>AUGUST</v>
      </c>
      <c r="L427" s="268" t="str">
        <f t="shared" si="92"/>
        <v>SEPTEMBER</v>
      </c>
      <c r="M427" s="268" t="str">
        <f t="shared" si="92"/>
        <v>OCTOBER</v>
      </c>
      <c r="N427" s="268" t="str">
        <f t="shared" si="92"/>
        <v>NOVEMBER</v>
      </c>
      <c r="O427" s="268" t="str">
        <f t="shared" si="92"/>
        <v>DECEMBER</v>
      </c>
      <c r="P427" s="238" t="s">
        <v>14</v>
      </c>
    </row>
    <row r="428" spans="1:145" x14ac:dyDescent="0.2">
      <c r="B428" s="168"/>
      <c r="C428" s="267"/>
      <c r="D428" s="266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</row>
    <row r="429" spans="1:145" s="62" customFormat="1" x14ac:dyDescent="0.2">
      <c r="A429" s="74" t="s">
        <v>21</v>
      </c>
      <c r="B429" s="129" t="s">
        <v>29</v>
      </c>
      <c r="C429" s="143" t="s">
        <v>16</v>
      </c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>
        <f>SUM(D429:O429)</f>
        <v>0</v>
      </c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5"/>
      <c r="AT429" s="65"/>
      <c r="AU429" s="65"/>
      <c r="AV429" s="65"/>
      <c r="AW429" s="65"/>
      <c r="AX429" s="65"/>
      <c r="AY429" s="65"/>
      <c r="AZ429" s="65"/>
      <c r="BA429" s="65"/>
      <c r="BB429" s="65"/>
      <c r="BC429" s="65"/>
      <c r="BD429" s="65"/>
      <c r="BE429" s="65"/>
      <c r="BF429" s="65"/>
      <c r="BG429" s="65"/>
      <c r="BH429" s="65"/>
      <c r="BI429" s="65"/>
      <c r="BJ429" s="65"/>
      <c r="BK429" s="65"/>
      <c r="BL429" s="65"/>
      <c r="BM429" s="65"/>
      <c r="BN429" s="65"/>
      <c r="BO429" s="65"/>
      <c r="BP429" s="65"/>
      <c r="BQ429" s="65"/>
      <c r="BR429" s="65"/>
      <c r="BS429" s="65"/>
      <c r="BT429" s="65"/>
      <c r="BU429" s="65"/>
      <c r="BV429" s="65"/>
      <c r="BW429" s="65"/>
      <c r="BX429" s="65"/>
      <c r="BY429" s="65"/>
      <c r="BZ429" s="65"/>
      <c r="CA429" s="65"/>
      <c r="CB429" s="65"/>
      <c r="CC429" s="65"/>
      <c r="CD429" s="65"/>
      <c r="CE429" s="65"/>
      <c r="CF429" s="65"/>
      <c r="CG429" s="65"/>
      <c r="CH429" s="65"/>
      <c r="CI429" s="65"/>
      <c r="CJ429" s="65"/>
      <c r="CK429" s="65"/>
      <c r="CL429" s="65"/>
      <c r="CM429" s="65"/>
      <c r="CN429" s="65"/>
      <c r="CO429" s="65"/>
      <c r="CP429" s="65"/>
      <c r="CQ429" s="65"/>
      <c r="CR429" s="65"/>
      <c r="CS429" s="65"/>
      <c r="CT429" s="65"/>
      <c r="CU429" s="65"/>
      <c r="CV429" s="65"/>
      <c r="CW429" s="65"/>
      <c r="CX429" s="65"/>
      <c r="CY429" s="65"/>
      <c r="CZ429" s="65"/>
      <c r="DA429" s="65"/>
      <c r="DB429" s="65"/>
      <c r="DC429" s="65"/>
      <c r="DD429" s="65"/>
      <c r="DE429" s="65"/>
      <c r="DF429" s="65"/>
      <c r="DG429" s="65"/>
      <c r="DH429" s="65"/>
      <c r="DI429" s="65"/>
      <c r="DJ429" s="65"/>
      <c r="DK429" s="65"/>
      <c r="DL429" s="65"/>
      <c r="DM429" s="65"/>
      <c r="DN429" s="65"/>
      <c r="DO429" s="65"/>
      <c r="DP429" s="65"/>
      <c r="DQ429" s="65"/>
      <c r="DR429" s="65"/>
      <c r="DS429" s="65"/>
      <c r="DT429" s="65"/>
      <c r="DU429" s="65"/>
      <c r="DV429" s="65"/>
      <c r="DW429" s="65"/>
      <c r="DX429" s="65"/>
      <c r="DY429" s="65"/>
      <c r="DZ429" s="65"/>
      <c r="EA429" s="65"/>
      <c r="EB429" s="65"/>
      <c r="EC429" s="65"/>
      <c r="ED429" s="65"/>
      <c r="EE429" s="65"/>
      <c r="EF429" s="65"/>
      <c r="EG429" s="65"/>
      <c r="EH429" s="65"/>
      <c r="EI429" s="65"/>
      <c r="EJ429" s="65"/>
      <c r="EK429" s="65"/>
      <c r="EL429" s="65"/>
      <c r="EM429" s="65"/>
      <c r="EN429" s="65"/>
      <c r="EO429" s="65"/>
    </row>
    <row r="430" spans="1:145" s="62" customFormat="1" x14ac:dyDescent="0.2">
      <c r="B430" s="129"/>
      <c r="C430" s="143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56"/>
      <c r="P430" s="156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5"/>
      <c r="AT430" s="65"/>
      <c r="AU430" s="65"/>
      <c r="AV430" s="65"/>
      <c r="AW430" s="65"/>
      <c r="AX430" s="65"/>
      <c r="AY430" s="65"/>
      <c r="AZ430" s="65"/>
      <c r="BA430" s="65"/>
      <c r="BB430" s="65"/>
      <c r="BC430" s="65"/>
      <c r="BD430" s="65"/>
      <c r="BE430" s="65"/>
      <c r="BF430" s="65"/>
      <c r="BG430" s="65"/>
      <c r="BH430" s="65"/>
      <c r="BI430" s="65"/>
      <c r="BJ430" s="65"/>
      <c r="BK430" s="65"/>
      <c r="BL430" s="65"/>
      <c r="BM430" s="65"/>
      <c r="BN430" s="65"/>
      <c r="BO430" s="65"/>
      <c r="BP430" s="65"/>
      <c r="BQ430" s="65"/>
      <c r="BR430" s="65"/>
      <c r="BS430" s="65"/>
      <c r="BT430" s="65"/>
      <c r="BU430" s="65"/>
      <c r="BV430" s="65"/>
      <c r="BW430" s="65"/>
      <c r="BX430" s="65"/>
      <c r="BY430" s="65"/>
      <c r="BZ430" s="65"/>
      <c r="CA430" s="65"/>
      <c r="CB430" s="65"/>
      <c r="CC430" s="65"/>
      <c r="CD430" s="65"/>
      <c r="CE430" s="65"/>
      <c r="CF430" s="65"/>
      <c r="CG430" s="65"/>
      <c r="CH430" s="65"/>
      <c r="CI430" s="65"/>
      <c r="CJ430" s="65"/>
      <c r="CK430" s="65"/>
      <c r="CL430" s="65"/>
      <c r="CM430" s="65"/>
      <c r="CN430" s="65"/>
      <c r="CO430" s="65"/>
      <c r="CP430" s="65"/>
      <c r="CQ430" s="65"/>
      <c r="CR430" s="65"/>
      <c r="CS430" s="65"/>
      <c r="CT430" s="65"/>
      <c r="CU430" s="65"/>
      <c r="CV430" s="65"/>
      <c r="CW430" s="65"/>
      <c r="CX430" s="65"/>
      <c r="CY430" s="65"/>
      <c r="CZ430" s="65"/>
      <c r="DA430" s="65"/>
      <c r="DB430" s="65"/>
      <c r="DC430" s="65"/>
      <c r="DD430" s="65"/>
      <c r="DE430" s="65"/>
      <c r="DF430" s="65"/>
      <c r="DG430" s="65"/>
      <c r="DH430" s="65"/>
      <c r="DI430" s="65"/>
      <c r="DJ430" s="65"/>
      <c r="DK430" s="65"/>
      <c r="DL430" s="65"/>
      <c r="DM430" s="65"/>
      <c r="DN430" s="65"/>
      <c r="DO430" s="65"/>
      <c r="DP430" s="65"/>
      <c r="DQ430" s="65"/>
      <c r="DR430" s="65"/>
      <c r="DS430" s="65"/>
      <c r="DT430" s="65"/>
      <c r="DU430" s="65"/>
      <c r="DV430" s="65"/>
      <c r="DW430" s="65"/>
      <c r="DX430" s="65"/>
      <c r="DY430" s="65"/>
      <c r="DZ430" s="65"/>
      <c r="EA430" s="65"/>
      <c r="EB430" s="65"/>
      <c r="EC430" s="65"/>
      <c r="ED430" s="65"/>
      <c r="EE430" s="65"/>
      <c r="EF430" s="65"/>
      <c r="EG430" s="65"/>
      <c r="EH430" s="65"/>
      <c r="EI430" s="65"/>
      <c r="EJ430" s="65"/>
      <c r="EK430" s="65"/>
      <c r="EL430" s="65"/>
      <c r="EM430" s="65"/>
      <c r="EN430" s="65"/>
      <c r="EO430" s="65"/>
    </row>
    <row r="431" spans="1:145" s="62" customFormat="1" x14ac:dyDescent="0.2">
      <c r="A431" s="74">
        <v>2</v>
      </c>
      <c r="B431" s="129" t="s">
        <v>32</v>
      </c>
      <c r="C431" s="143" t="s">
        <v>16</v>
      </c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56">
        <f>SUM(D431:O431)</f>
        <v>0</v>
      </c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5"/>
      <c r="AT431" s="65"/>
      <c r="AU431" s="65"/>
      <c r="AV431" s="65"/>
      <c r="AW431" s="65"/>
      <c r="AX431" s="65"/>
      <c r="AY431" s="65"/>
      <c r="AZ431" s="65"/>
      <c r="BA431" s="65"/>
      <c r="BB431" s="65"/>
      <c r="BC431" s="65"/>
      <c r="BD431" s="65"/>
      <c r="BE431" s="65"/>
      <c r="BF431" s="65"/>
      <c r="BG431" s="65"/>
      <c r="BH431" s="65"/>
      <c r="BI431" s="65"/>
      <c r="BJ431" s="65"/>
      <c r="BK431" s="65"/>
      <c r="BL431" s="65"/>
      <c r="BM431" s="65"/>
      <c r="BN431" s="65"/>
      <c r="BO431" s="65"/>
      <c r="BP431" s="65"/>
      <c r="BQ431" s="65"/>
      <c r="BR431" s="65"/>
      <c r="BS431" s="65"/>
      <c r="BT431" s="65"/>
      <c r="BU431" s="65"/>
      <c r="BV431" s="65"/>
      <c r="BW431" s="65"/>
      <c r="BX431" s="65"/>
      <c r="BY431" s="65"/>
      <c r="BZ431" s="65"/>
      <c r="CA431" s="65"/>
      <c r="CB431" s="65"/>
      <c r="CC431" s="65"/>
      <c r="CD431" s="65"/>
      <c r="CE431" s="65"/>
      <c r="CF431" s="65"/>
      <c r="CG431" s="65"/>
      <c r="CH431" s="65"/>
      <c r="CI431" s="65"/>
      <c r="CJ431" s="65"/>
      <c r="CK431" s="65"/>
      <c r="CL431" s="65"/>
      <c r="CM431" s="65"/>
      <c r="CN431" s="65"/>
      <c r="CO431" s="65"/>
      <c r="CP431" s="65"/>
      <c r="CQ431" s="65"/>
      <c r="CR431" s="65"/>
      <c r="CS431" s="65"/>
      <c r="CT431" s="65"/>
      <c r="CU431" s="65"/>
      <c r="CV431" s="65"/>
      <c r="CW431" s="65"/>
      <c r="CX431" s="65"/>
      <c r="CY431" s="65"/>
      <c r="CZ431" s="65"/>
      <c r="DA431" s="65"/>
      <c r="DB431" s="65"/>
      <c r="DC431" s="65"/>
      <c r="DD431" s="65"/>
      <c r="DE431" s="65"/>
      <c r="DF431" s="65"/>
      <c r="DG431" s="65"/>
      <c r="DH431" s="65"/>
      <c r="DI431" s="65"/>
      <c r="DJ431" s="65"/>
      <c r="DK431" s="65"/>
      <c r="DL431" s="65"/>
      <c r="DM431" s="65"/>
      <c r="DN431" s="65"/>
      <c r="DO431" s="65"/>
      <c r="DP431" s="65"/>
      <c r="DQ431" s="65"/>
      <c r="DR431" s="65"/>
      <c r="DS431" s="65"/>
      <c r="DT431" s="65"/>
      <c r="DU431" s="65"/>
      <c r="DV431" s="65"/>
      <c r="DW431" s="65"/>
      <c r="DX431" s="65"/>
      <c r="DY431" s="65"/>
      <c r="DZ431" s="65"/>
      <c r="EA431" s="65"/>
      <c r="EB431" s="65"/>
      <c r="EC431" s="65"/>
      <c r="ED431" s="65"/>
      <c r="EE431" s="65"/>
      <c r="EF431" s="65"/>
      <c r="EG431" s="65"/>
      <c r="EH431" s="65"/>
      <c r="EI431" s="65"/>
      <c r="EJ431" s="65"/>
      <c r="EK431" s="65"/>
      <c r="EL431" s="65"/>
      <c r="EM431" s="65"/>
      <c r="EN431" s="65"/>
      <c r="EO431" s="65"/>
    </row>
    <row r="432" spans="1:145" s="62" customFormat="1" x14ac:dyDescent="0.2">
      <c r="A432" s="74"/>
      <c r="B432" s="129"/>
      <c r="C432" s="143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56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5"/>
      <c r="AT432" s="65"/>
      <c r="AU432" s="65"/>
      <c r="AV432" s="65"/>
      <c r="AW432" s="65"/>
      <c r="AX432" s="65"/>
      <c r="AY432" s="65"/>
      <c r="AZ432" s="65"/>
      <c r="BA432" s="65"/>
      <c r="BB432" s="65"/>
      <c r="BC432" s="65"/>
      <c r="BD432" s="65"/>
      <c r="BE432" s="65"/>
      <c r="BF432" s="65"/>
      <c r="BG432" s="65"/>
      <c r="BH432" s="65"/>
      <c r="BI432" s="65"/>
      <c r="BJ432" s="65"/>
      <c r="BK432" s="65"/>
      <c r="BL432" s="65"/>
      <c r="BM432" s="65"/>
      <c r="BN432" s="65"/>
      <c r="BO432" s="65"/>
      <c r="BP432" s="65"/>
      <c r="BQ432" s="65"/>
      <c r="BR432" s="65"/>
      <c r="BS432" s="65"/>
      <c r="BT432" s="65"/>
      <c r="BU432" s="65"/>
      <c r="BV432" s="65"/>
      <c r="BW432" s="65"/>
      <c r="BX432" s="65"/>
      <c r="BY432" s="65"/>
      <c r="BZ432" s="65"/>
      <c r="CA432" s="65"/>
      <c r="CB432" s="65"/>
      <c r="CC432" s="65"/>
      <c r="CD432" s="65"/>
      <c r="CE432" s="65"/>
      <c r="CF432" s="65"/>
      <c r="CG432" s="65"/>
      <c r="CH432" s="65"/>
      <c r="CI432" s="65"/>
      <c r="CJ432" s="65"/>
      <c r="CK432" s="65"/>
      <c r="CL432" s="65"/>
      <c r="CM432" s="65"/>
      <c r="CN432" s="65"/>
      <c r="CO432" s="65"/>
      <c r="CP432" s="65"/>
      <c r="CQ432" s="65"/>
      <c r="CR432" s="65"/>
      <c r="CS432" s="65"/>
      <c r="CT432" s="65"/>
      <c r="CU432" s="65"/>
      <c r="CV432" s="65"/>
      <c r="CW432" s="65"/>
      <c r="CX432" s="65"/>
      <c r="CY432" s="65"/>
      <c r="CZ432" s="65"/>
      <c r="DA432" s="65"/>
      <c r="DB432" s="65"/>
      <c r="DC432" s="65"/>
      <c r="DD432" s="65"/>
      <c r="DE432" s="65"/>
      <c r="DF432" s="65"/>
      <c r="DG432" s="65"/>
      <c r="DH432" s="65"/>
      <c r="DI432" s="65"/>
      <c r="DJ432" s="65"/>
      <c r="DK432" s="65"/>
      <c r="DL432" s="65"/>
      <c r="DM432" s="65"/>
      <c r="DN432" s="65"/>
      <c r="DO432" s="65"/>
      <c r="DP432" s="65"/>
      <c r="DQ432" s="65"/>
      <c r="DR432" s="65"/>
      <c r="DS432" s="65"/>
      <c r="DT432" s="65"/>
      <c r="DU432" s="65"/>
      <c r="DV432" s="65"/>
      <c r="DW432" s="65"/>
      <c r="DX432" s="65"/>
      <c r="DY432" s="65"/>
      <c r="DZ432" s="65"/>
      <c r="EA432" s="65"/>
      <c r="EB432" s="65"/>
      <c r="EC432" s="65"/>
      <c r="ED432" s="65"/>
      <c r="EE432" s="65"/>
      <c r="EF432" s="65"/>
      <c r="EG432" s="65"/>
      <c r="EH432" s="65"/>
      <c r="EI432" s="65"/>
      <c r="EJ432" s="65"/>
      <c r="EK432" s="65"/>
      <c r="EL432" s="65"/>
      <c r="EM432" s="65"/>
      <c r="EN432" s="65"/>
      <c r="EO432" s="65"/>
    </row>
    <row r="433" spans="1:145" s="62" customFormat="1" x14ac:dyDescent="0.2">
      <c r="A433" s="74">
        <v>3</v>
      </c>
      <c r="B433" s="146" t="s">
        <v>113</v>
      </c>
      <c r="C433" s="125" t="s">
        <v>16</v>
      </c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56">
        <f>SUM(D433:O433)</f>
        <v>0</v>
      </c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5"/>
      <c r="AT433" s="65"/>
      <c r="AU433" s="65"/>
      <c r="AV433" s="65"/>
      <c r="AW433" s="65"/>
      <c r="AX433" s="65"/>
      <c r="AY433" s="65"/>
      <c r="AZ433" s="65"/>
      <c r="BA433" s="65"/>
      <c r="BB433" s="65"/>
      <c r="BC433" s="65"/>
      <c r="BD433" s="65"/>
      <c r="BE433" s="65"/>
      <c r="BF433" s="65"/>
      <c r="BG433" s="65"/>
      <c r="BH433" s="65"/>
      <c r="BI433" s="65"/>
      <c r="BJ433" s="65"/>
      <c r="BK433" s="65"/>
      <c r="BL433" s="65"/>
      <c r="BM433" s="65"/>
      <c r="BN433" s="65"/>
      <c r="BO433" s="65"/>
      <c r="BP433" s="65"/>
      <c r="BQ433" s="65"/>
      <c r="BR433" s="65"/>
      <c r="BS433" s="65"/>
      <c r="BT433" s="65"/>
      <c r="BU433" s="65"/>
      <c r="BV433" s="65"/>
      <c r="BW433" s="65"/>
      <c r="BX433" s="65"/>
      <c r="BY433" s="65"/>
      <c r="BZ433" s="65"/>
      <c r="CA433" s="65"/>
      <c r="CB433" s="65"/>
      <c r="CC433" s="65"/>
      <c r="CD433" s="65"/>
      <c r="CE433" s="65"/>
      <c r="CF433" s="65"/>
      <c r="CG433" s="65"/>
      <c r="CH433" s="65"/>
      <c r="CI433" s="65"/>
      <c r="CJ433" s="65"/>
      <c r="CK433" s="65"/>
      <c r="CL433" s="65"/>
      <c r="CM433" s="65"/>
      <c r="CN433" s="65"/>
      <c r="CO433" s="65"/>
      <c r="CP433" s="65"/>
      <c r="CQ433" s="65"/>
      <c r="CR433" s="65"/>
      <c r="CS433" s="65"/>
      <c r="CT433" s="65"/>
      <c r="CU433" s="65"/>
      <c r="CV433" s="65"/>
      <c r="CW433" s="65"/>
      <c r="CX433" s="65"/>
      <c r="CY433" s="65"/>
      <c r="CZ433" s="65"/>
      <c r="DA433" s="65"/>
      <c r="DB433" s="65"/>
      <c r="DC433" s="65"/>
      <c r="DD433" s="65"/>
      <c r="DE433" s="65"/>
      <c r="DF433" s="65"/>
      <c r="DG433" s="65"/>
      <c r="DH433" s="65"/>
      <c r="DI433" s="65"/>
      <c r="DJ433" s="65"/>
      <c r="DK433" s="65"/>
      <c r="DL433" s="65"/>
      <c r="DM433" s="65"/>
      <c r="DN433" s="65"/>
      <c r="DO433" s="65"/>
      <c r="DP433" s="65"/>
      <c r="DQ433" s="65"/>
      <c r="DR433" s="65"/>
      <c r="DS433" s="65"/>
      <c r="DT433" s="65"/>
      <c r="DU433" s="65"/>
      <c r="DV433" s="65"/>
      <c r="DW433" s="65"/>
      <c r="DX433" s="65"/>
      <c r="DY433" s="65"/>
      <c r="DZ433" s="65"/>
      <c r="EA433" s="65"/>
      <c r="EB433" s="65"/>
      <c r="EC433" s="65"/>
      <c r="ED433" s="65"/>
      <c r="EE433" s="65"/>
      <c r="EF433" s="65"/>
      <c r="EG433" s="65"/>
      <c r="EH433" s="65"/>
      <c r="EI433" s="65"/>
      <c r="EJ433" s="65"/>
      <c r="EK433" s="65"/>
      <c r="EL433" s="65"/>
      <c r="EM433" s="65"/>
      <c r="EN433" s="65"/>
      <c r="EO433" s="65"/>
    </row>
    <row r="434" spans="1:145" s="62" customFormat="1" x14ac:dyDescent="0.2">
      <c r="A434" s="74">
        <v>4</v>
      </c>
      <c r="B434" s="146" t="s">
        <v>114</v>
      </c>
      <c r="C434" s="125" t="s">
        <v>16</v>
      </c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>
        <f>SUM(D434:O434)</f>
        <v>0</v>
      </c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5"/>
      <c r="AT434" s="65"/>
      <c r="AU434" s="65"/>
      <c r="AV434" s="65"/>
      <c r="AW434" s="65"/>
      <c r="AX434" s="65"/>
      <c r="AY434" s="65"/>
      <c r="AZ434" s="65"/>
      <c r="BA434" s="65"/>
      <c r="BB434" s="65"/>
      <c r="BC434" s="65"/>
      <c r="BD434" s="65"/>
      <c r="BE434" s="65"/>
      <c r="BF434" s="65"/>
      <c r="BG434" s="65"/>
      <c r="BH434" s="65"/>
      <c r="BI434" s="65"/>
      <c r="BJ434" s="65"/>
      <c r="BK434" s="65"/>
      <c r="BL434" s="65"/>
      <c r="BM434" s="65"/>
      <c r="BN434" s="65"/>
      <c r="BO434" s="65"/>
      <c r="BP434" s="65"/>
      <c r="BQ434" s="65"/>
      <c r="BR434" s="65"/>
      <c r="BS434" s="65"/>
      <c r="BT434" s="65"/>
      <c r="BU434" s="65"/>
      <c r="BV434" s="65"/>
      <c r="BW434" s="65"/>
      <c r="BX434" s="65"/>
      <c r="BY434" s="65"/>
      <c r="BZ434" s="65"/>
      <c r="CA434" s="65"/>
      <c r="CB434" s="65"/>
      <c r="CC434" s="65"/>
      <c r="CD434" s="65"/>
      <c r="CE434" s="65"/>
      <c r="CF434" s="65"/>
      <c r="CG434" s="65"/>
      <c r="CH434" s="65"/>
      <c r="CI434" s="65"/>
      <c r="CJ434" s="65"/>
      <c r="CK434" s="65"/>
      <c r="CL434" s="65"/>
      <c r="CM434" s="65"/>
      <c r="CN434" s="65"/>
      <c r="CO434" s="65"/>
      <c r="CP434" s="65"/>
      <c r="CQ434" s="65"/>
      <c r="CR434" s="65"/>
      <c r="CS434" s="65"/>
      <c r="CT434" s="65"/>
      <c r="CU434" s="65"/>
      <c r="CV434" s="65"/>
      <c r="CW434" s="65"/>
      <c r="CX434" s="65"/>
      <c r="CY434" s="65"/>
      <c r="CZ434" s="65"/>
      <c r="DA434" s="65"/>
      <c r="DB434" s="65"/>
      <c r="DC434" s="65"/>
      <c r="DD434" s="65"/>
      <c r="DE434" s="65"/>
      <c r="DF434" s="65"/>
      <c r="DG434" s="65"/>
      <c r="DH434" s="65"/>
      <c r="DI434" s="65"/>
      <c r="DJ434" s="65"/>
      <c r="DK434" s="65"/>
      <c r="DL434" s="65"/>
      <c r="DM434" s="65"/>
      <c r="DN434" s="65"/>
      <c r="DO434" s="65"/>
      <c r="DP434" s="65"/>
      <c r="DQ434" s="65"/>
      <c r="DR434" s="65"/>
      <c r="DS434" s="65"/>
      <c r="DT434" s="65"/>
      <c r="DU434" s="65"/>
      <c r="DV434" s="65"/>
      <c r="DW434" s="65"/>
      <c r="DX434" s="65"/>
      <c r="DY434" s="65"/>
      <c r="DZ434" s="65"/>
      <c r="EA434" s="65"/>
      <c r="EB434" s="65"/>
      <c r="EC434" s="65"/>
      <c r="ED434" s="65"/>
      <c r="EE434" s="65"/>
      <c r="EF434" s="65"/>
      <c r="EG434" s="65"/>
      <c r="EH434" s="65"/>
      <c r="EI434" s="65"/>
      <c r="EJ434" s="65"/>
      <c r="EK434" s="65"/>
      <c r="EL434" s="65"/>
      <c r="EM434" s="65"/>
      <c r="EN434" s="65"/>
      <c r="EO434" s="65"/>
    </row>
    <row r="435" spans="1:145" s="62" customFormat="1" x14ac:dyDescent="0.2">
      <c r="A435" s="74">
        <v>5</v>
      </c>
      <c r="B435" s="162" t="s">
        <v>30</v>
      </c>
      <c r="C435" s="143"/>
      <c r="D435" s="157">
        <f>SUM(D433:D434)</f>
        <v>0</v>
      </c>
      <c r="E435" s="157">
        <f t="shared" ref="E435:O435" si="93">SUM(E433:E434)</f>
        <v>0</v>
      </c>
      <c r="F435" s="157">
        <f t="shared" si="93"/>
        <v>0</v>
      </c>
      <c r="G435" s="157">
        <f t="shared" si="93"/>
        <v>0</v>
      </c>
      <c r="H435" s="157">
        <f t="shared" si="93"/>
        <v>0</v>
      </c>
      <c r="I435" s="157">
        <f t="shared" si="93"/>
        <v>0</v>
      </c>
      <c r="J435" s="157">
        <f t="shared" si="93"/>
        <v>0</v>
      </c>
      <c r="K435" s="157">
        <f t="shared" si="93"/>
        <v>0</v>
      </c>
      <c r="L435" s="157">
        <f t="shared" si="93"/>
        <v>0</v>
      </c>
      <c r="M435" s="157">
        <f t="shared" si="93"/>
        <v>0</v>
      </c>
      <c r="N435" s="157">
        <f t="shared" si="93"/>
        <v>0</v>
      </c>
      <c r="O435" s="157">
        <f t="shared" si="93"/>
        <v>0</v>
      </c>
      <c r="P435" s="157">
        <f>SUM(P433:P434)</f>
        <v>0</v>
      </c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5"/>
      <c r="AT435" s="65"/>
      <c r="AU435" s="65"/>
      <c r="AV435" s="65"/>
      <c r="AW435" s="65"/>
      <c r="AX435" s="65"/>
      <c r="AY435" s="65"/>
      <c r="AZ435" s="65"/>
      <c r="BA435" s="65"/>
      <c r="BB435" s="65"/>
      <c r="BC435" s="65"/>
      <c r="BD435" s="65"/>
      <c r="BE435" s="65"/>
      <c r="BF435" s="65"/>
      <c r="BG435" s="65"/>
      <c r="BH435" s="65"/>
      <c r="BI435" s="65"/>
      <c r="BJ435" s="65"/>
      <c r="BK435" s="65"/>
      <c r="BL435" s="65"/>
      <c r="BM435" s="65"/>
      <c r="BN435" s="65"/>
      <c r="BO435" s="65"/>
      <c r="BP435" s="65"/>
      <c r="BQ435" s="65"/>
      <c r="BR435" s="65"/>
      <c r="BS435" s="65"/>
      <c r="BT435" s="65"/>
      <c r="BU435" s="65"/>
      <c r="BV435" s="65"/>
      <c r="BW435" s="65"/>
      <c r="BX435" s="65"/>
      <c r="BY435" s="65"/>
      <c r="BZ435" s="65"/>
      <c r="CA435" s="65"/>
      <c r="CB435" s="65"/>
      <c r="CC435" s="65"/>
      <c r="CD435" s="65"/>
      <c r="CE435" s="65"/>
      <c r="CF435" s="65"/>
      <c r="CG435" s="65"/>
      <c r="CH435" s="65"/>
      <c r="CI435" s="65"/>
      <c r="CJ435" s="65"/>
      <c r="CK435" s="65"/>
      <c r="CL435" s="65"/>
      <c r="CM435" s="65"/>
      <c r="CN435" s="65"/>
      <c r="CO435" s="65"/>
      <c r="CP435" s="65"/>
      <c r="CQ435" s="65"/>
      <c r="CR435" s="65"/>
      <c r="CS435" s="65"/>
      <c r="CT435" s="65"/>
      <c r="CU435" s="65"/>
      <c r="CV435" s="65"/>
      <c r="CW435" s="65"/>
      <c r="CX435" s="65"/>
      <c r="CY435" s="65"/>
      <c r="CZ435" s="65"/>
      <c r="DA435" s="65"/>
      <c r="DB435" s="65"/>
      <c r="DC435" s="65"/>
      <c r="DD435" s="65"/>
      <c r="DE435" s="65"/>
      <c r="DF435" s="65"/>
      <c r="DG435" s="65"/>
      <c r="DH435" s="65"/>
      <c r="DI435" s="65"/>
      <c r="DJ435" s="65"/>
      <c r="DK435" s="65"/>
      <c r="DL435" s="65"/>
      <c r="DM435" s="65"/>
      <c r="DN435" s="65"/>
      <c r="DO435" s="65"/>
      <c r="DP435" s="65"/>
      <c r="DQ435" s="65"/>
      <c r="DR435" s="65"/>
      <c r="DS435" s="65"/>
      <c r="DT435" s="65"/>
      <c r="DU435" s="65"/>
      <c r="DV435" s="65"/>
      <c r="DW435" s="65"/>
      <c r="DX435" s="65"/>
      <c r="DY435" s="65"/>
      <c r="DZ435" s="65"/>
      <c r="EA435" s="65"/>
      <c r="EB435" s="65"/>
      <c r="EC435" s="65"/>
      <c r="ED435" s="65"/>
      <c r="EE435" s="65"/>
      <c r="EF435" s="65"/>
      <c r="EG435" s="65"/>
      <c r="EH435" s="65"/>
      <c r="EI435" s="65"/>
      <c r="EJ435" s="65"/>
      <c r="EK435" s="65"/>
      <c r="EL435" s="65"/>
      <c r="EM435" s="65"/>
      <c r="EN435" s="65"/>
      <c r="EO435" s="65"/>
    </row>
    <row r="436" spans="1:145" s="62" customFormat="1" x14ac:dyDescent="0.2">
      <c r="B436" s="242"/>
      <c r="C436" s="143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22"/>
      <c r="P436" s="122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5"/>
      <c r="AT436" s="65"/>
      <c r="AU436" s="65"/>
      <c r="AV436" s="65"/>
      <c r="AW436" s="65"/>
      <c r="AX436" s="65"/>
      <c r="AY436" s="65"/>
      <c r="AZ436" s="65"/>
      <c r="BA436" s="65"/>
      <c r="BB436" s="65"/>
      <c r="BC436" s="65"/>
      <c r="BD436" s="65"/>
      <c r="BE436" s="65"/>
      <c r="BF436" s="65"/>
      <c r="BG436" s="65"/>
      <c r="BH436" s="65"/>
      <c r="BI436" s="65"/>
      <c r="BJ436" s="65"/>
      <c r="BK436" s="65"/>
      <c r="BL436" s="65"/>
      <c r="BM436" s="65"/>
      <c r="BN436" s="65"/>
      <c r="BO436" s="65"/>
      <c r="BP436" s="65"/>
      <c r="BQ436" s="65"/>
      <c r="BR436" s="65"/>
      <c r="BS436" s="65"/>
      <c r="BT436" s="65"/>
      <c r="BU436" s="65"/>
      <c r="BV436" s="65"/>
      <c r="BW436" s="65"/>
      <c r="BX436" s="65"/>
      <c r="BY436" s="65"/>
      <c r="BZ436" s="65"/>
      <c r="CA436" s="65"/>
      <c r="CB436" s="65"/>
      <c r="CC436" s="65"/>
      <c r="CD436" s="65"/>
      <c r="CE436" s="65"/>
      <c r="CF436" s="65"/>
      <c r="CG436" s="65"/>
      <c r="CH436" s="65"/>
      <c r="CI436" s="65"/>
      <c r="CJ436" s="65"/>
      <c r="CK436" s="65"/>
      <c r="CL436" s="65"/>
      <c r="CM436" s="65"/>
      <c r="CN436" s="65"/>
      <c r="CO436" s="65"/>
      <c r="CP436" s="65"/>
      <c r="CQ436" s="65"/>
      <c r="CR436" s="65"/>
      <c r="CS436" s="65"/>
      <c r="CT436" s="65"/>
      <c r="CU436" s="65"/>
      <c r="CV436" s="65"/>
      <c r="CW436" s="65"/>
      <c r="CX436" s="65"/>
      <c r="CY436" s="65"/>
      <c r="CZ436" s="65"/>
      <c r="DA436" s="65"/>
      <c r="DB436" s="65"/>
      <c r="DC436" s="65"/>
      <c r="DD436" s="65"/>
      <c r="DE436" s="65"/>
      <c r="DF436" s="65"/>
      <c r="DG436" s="65"/>
      <c r="DH436" s="65"/>
      <c r="DI436" s="65"/>
      <c r="DJ436" s="65"/>
      <c r="DK436" s="65"/>
      <c r="DL436" s="65"/>
      <c r="DM436" s="65"/>
      <c r="DN436" s="65"/>
      <c r="DO436" s="65"/>
      <c r="DP436" s="65"/>
      <c r="DQ436" s="65"/>
      <c r="DR436" s="65"/>
      <c r="DS436" s="65"/>
      <c r="DT436" s="65"/>
      <c r="DU436" s="65"/>
      <c r="DV436" s="65"/>
      <c r="DW436" s="65"/>
      <c r="DX436" s="65"/>
      <c r="DY436" s="65"/>
      <c r="DZ436" s="65"/>
      <c r="EA436" s="65"/>
      <c r="EB436" s="65"/>
      <c r="EC436" s="65"/>
      <c r="ED436" s="65"/>
      <c r="EE436" s="65"/>
      <c r="EF436" s="65"/>
      <c r="EG436" s="65"/>
      <c r="EH436" s="65"/>
      <c r="EI436" s="65"/>
      <c r="EJ436" s="65"/>
      <c r="EK436" s="65"/>
      <c r="EL436" s="65"/>
      <c r="EM436" s="65"/>
      <c r="EN436" s="65"/>
      <c r="EO436" s="65"/>
    </row>
    <row r="437" spans="1:145" s="62" customFormat="1" x14ac:dyDescent="0.2">
      <c r="A437" s="74">
        <v>6</v>
      </c>
      <c r="B437" s="146" t="s">
        <v>110</v>
      </c>
      <c r="C437" s="125" t="s">
        <v>17</v>
      </c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56">
        <f>SUM(D437:O437)</f>
        <v>0</v>
      </c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5"/>
      <c r="AT437" s="65"/>
      <c r="AU437" s="65"/>
      <c r="AV437" s="65"/>
      <c r="AW437" s="65"/>
      <c r="AX437" s="65"/>
      <c r="AY437" s="65"/>
      <c r="AZ437" s="65"/>
      <c r="BA437" s="65"/>
      <c r="BB437" s="65"/>
      <c r="BC437" s="65"/>
      <c r="BD437" s="65"/>
      <c r="BE437" s="65"/>
      <c r="BF437" s="65"/>
      <c r="BG437" s="65"/>
      <c r="BH437" s="65"/>
      <c r="BI437" s="65"/>
      <c r="BJ437" s="65"/>
      <c r="BK437" s="65"/>
      <c r="BL437" s="65"/>
      <c r="BM437" s="65"/>
      <c r="BN437" s="65"/>
      <c r="BO437" s="65"/>
      <c r="BP437" s="65"/>
      <c r="BQ437" s="65"/>
      <c r="BR437" s="65"/>
      <c r="BS437" s="65"/>
      <c r="BT437" s="65"/>
      <c r="BU437" s="65"/>
      <c r="BV437" s="65"/>
      <c r="BW437" s="65"/>
      <c r="BX437" s="65"/>
      <c r="BY437" s="65"/>
      <c r="BZ437" s="65"/>
      <c r="CA437" s="65"/>
      <c r="CB437" s="65"/>
      <c r="CC437" s="65"/>
      <c r="CD437" s="65"/>
      <c r="CE437" s="65"/>
      <c r="CF437" s="65"/>
      <c r="CG437" s="65"/>
      <c r="CH437" s="65"/>
      <c r="CI437" s="65"/>
      <c r="CJ437" s="65"/>
      <c r="CK437" s="65"/>
      <c r="CL437" s="65"/>
      <c r="CM437" s="65"/>
      <c r="CN437" s="65"/>
      <c r="CO437" s="65"/>
      <c r="CP437" s="65"/>
      <c r="CQ437" s="65"/>
      <c r="CR437" s="65"/>
      <c r="CS437" s="65"/>
      <c r="CT437" s="65"/>
      <c r="CU437" s="65"/>
      <c r="CV437" s="65"/>
      <c r="CW437" s="65"/>
      <c r="CX437" s="65"/>
      <c r="CY437" s="65"/>
      <c r="CZ437" s="65"/>
      <c r="DA437" s="65"/>
      <c r="DB437" s="65"/>
      <c r="DC437" s="65"/>
      <c r="DD437" s="65"/>
      <c r="DE437" s="65"/>
      <c r="DF437" s="65"/>
      <c r="DG437" s="65"/>
      <c r="DH437" s="65"/>
      <c r="DI437" s="65"/>
      <c r="DJ437" s="65"/>
      <c r="DK437" s="65"/>
      <c r="DL437" s="65"/>
      <c r="DM437" s="65"/>
      <c r="DN437" s="65"/>
      <c r="DO437" s="65"/>
      <c r="DP437" s="65"/>
      <c r="DQ437" s="65"/>
      <c r="DR437" s="65"/>
      <c r="DS437" s="65"/>
      <c r="DT437" s="65"/>
      <c r="DU437" s="65"/>
      <c r="DV437" s="65"/>
      <c r="DW437" s="65"/>
      <c r="DX437" s="65"/>
      <c r="DY437" s="65"/>
      <c r="DZ437" s="65"/>
      <c r="EA437" s="65"/>
      <c r="EB437" s="65"/>
      <c r="EC437" s="65"/>
      <c r="ED437" s="65"/>
      <c r="EE437" s="65"/>
      <c r="EF437" s="65"/>
      <c r="EG437" s="65"/>
      <c r="EH437" s="65"/>
      <c r="EI437" s="65"/>
      <c r="EJ437" s="65"/>
      <c r="EK437" s="65"/>
      <c r="EL437" s="65"/>
      <c r="EM437" s="65"/>
      <c r="EN437" s="65"/>
      <c r="EO437" s="65"/>
    </row>
    <row r="438" spans="1:145" s="62" customFormat="1" x14ac:dyDescent="0.2">
      <c r="A438" s="74">
        <v>7</v>
      </c>
      <c r="B438" s="146" t="s">
        <v>111</v>
      </c>
      <c r="C438" s="125" t="s">
        <v>17</v>
      </c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73">
        <f>SUM(D438:O438)</f>
        <v>0</v>
      </c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5"/>
      <c r="AT438" s="65"/>
      <c r="AU438" s="65"/>
      <c r="AV438" s="65"/>
      <c r="AW438" s="65"/>
      <c r="AX438" s="65"/>
      <c r="AY438" s="65"/>
      <c r="AZ438" s="65"/>
      <c r="BA438" s="65"/>
      <c r="BB438" s="65"/>
      <c r="BC438" s="65"/>
      <c r="BD438" s="65"/>
      <c r="BE438" s="65"/>
      <c r="BF438" s="65"/>
      <c r="BG438" s="65"/>
      <c r="BH438" s="65"/>
      <c r="BI438" s="65"/>
      <c r="BJ438" s="65"/>
      <c r="BK438" s="65"/>
      <c r="BL438" s="65"/>
      <c r="BM438" s="65"/>
      <c r="BN438" s="65"/>
      <c r="BO438" s="65"/>
      <c r="BP438" s="65"/>
      <c r="BQ438" s="65"/>
      <c r="BR438" s="65"/>
      <c r="BS438" s="65"/>
      <c r="BT438" s="65"/>
      <c r="BU438" s="65"/>
      <c r="BV438" s="65"/>
      <c r="BW438" s="65"/>
      <c r="BX438" s="65"/>
      <c r="BY438" s="65"/>
      <c r="BZ438" s="65"/>
      <c r="CA438" s="65"/>
      <c r="CB438" s="65"/>
      <c r="CC438" s="65"/>
      <c r="CD438" s="65"/>
      <c r="CE438" s="65"/>
      <c r="CF438" s="65"/>
      <c r="CG438" s="65"/>
      <c r="CH438" s="65"/>
      <c r="CI438" s="65"/>
      <c r="CJ438" s="65"/>
      <c r="CK438" s="65"/>
      <c r="CL438" s="65"/>
      <c r="CM438" s="65"/>
      <c r="CN438" s="65"/>
      <c r="CO438" s="65"/>
      <c r="CP438" s="65"/>
      <c r="CQ438" s="65"/>
      <c r="CR438" s="65"/>
      <c r="CS438" s="65"/>
      <c r="CT438" s="65"/>
      <c r="CU438" s="65"/>
      <c r="CV438" s="65"/>
      <c r="CW438" s="65"/>
      <c r="CX438" s="65"/>
      <c r="CY438" s="65"/>
      <c r="CZ438" s="65"/>
      <c r="DA438" s="65"/>
      <c r="DB438" s="65"/>
      <c r="DC438" s="65"/>
      <c r="DD438" s="65"/>
      <c r="DE438" s="65"/>
      <c r="DF438" s="65"/>
      <c r="DG438" s="65"/>
      <c r="DH438" s="65"/>
      <c r="DI438" s="65"/>
      <c r="DJ438" s="65"/>
      <c r="DK438" s="65"/>
      <c r="DL438" s="65"/>
      <c r="DM438" s="65"/>
      <c r="DN438" s="65"/>
      <c r="DO438" s="65"/>
      <c r="DP438" s="65"/>
      <c r="DQ438" s="65"/>
      <c r="DR438" s="65"/>
      <c r="DS438" s="65"/>
      <c r="DT438" s="65"/>
      <c r="DU438" s="65"/>
      <c r="DV438" s="65"/>
      <c r="DW438" s="65"/>
      <c r="DX438" s="65"/>
      <c r="DY438" s="65"/>
      <c r="DZ438" s="65"/>
      <c r="EA438" s="65"/>
      <c r="EB438" s="65"/>
      <c r="EC438" s="65"/>
      <c r="ED438" s="65"/>
      <c r="EE438" s="65"/>
      <c r="EF438" s="65"/>
      <c r="EG438" s="65"/>
      <c r="EH438" s="65"/>
      <c r="EI438" s="65"/>
      <c r="EJ438" s="65"/>
      <c r="EK438" s="65"/>
      <c r="EL438" s="65"/>
      <c r="EM438" s="65"/>
      <c r="EN438" s="65"/>
      <c r="EO438" s="65"/>
    </row>
    <row r="439" spans="1:145" s="62" customFormat="1" x14ac:dyDescent="0.2">
      <c r="A439" s="74">
        <v>8</v>
      </c>
      <c r="B439" s="129" t="s">
        <v>31</v>
      </c>
      <c r="C439" s="125"/>
      <c r="D439" s="122">
        <f>SUM(D437:D438)</f>
        <v>0</v>
      </c>
      <c r="E439" s="122">
        <f t="shared" ref="E439:O439" si="94">SUM(E437:E438)</f>
        <v>0</v>
      </c>
      <c r="F439" s="122">
        <f t="shared" si="94"/>
        <v>0</v>
      </c>
      <c r="G439" s="122">
        <f t="shared" si="94"/>
        <v>0</v>
      </c>
      <c r="H439" s="122">
        <f t="shared" si="94"/>
        <v>0</v>
      </c>
      <c r="I439" s="122">
        <f t="shared" si="94"/>
        <v>0</v>
      </c>
      <c r="J439" s="122">
        <f t="shared" si="94"/>
        <v>0</v>
      </c>
      <c r="K439" s="122">
        <f t="shared" si="94"/>
        <v>0</v>
      </c>
      <c r="L439" s="122">
        <f t="shared" si="94"/>
        <v>0</v>
      </c>
      <c r="M439" s="122">
        <f t="shared" si="94"/>
        <v>0</v>
      </c>
      <c r="N439" s="122">
        <f t="shared" si="94"/>
        <v>0</v>
      </c>
      <c r="O439" s="122">
        <f t="shared" si="94"/>
        <v>0</v>
      </c>
      <c r="P439" s="122">
        <f>SUM(P437:P438)</f>
        <v>0</v>
      </c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5"/>
      <c r="AT439" s="65"/>
      <c r="AU439" s="65"/>
      <c r="AV439" s="65"/>
      <c r="AW439" s="65"/>
      <c r="AX439" s="65"/>
      <c r="AY439" s="65"/>
      <c r="AZ439" s="65"/>
      <c r="BA439" s="65"/>
      <c r="BB439" s="65"/>
      <c r="BC439" s="65"/>
      <c r="BD439" s="65"/>
      <c r="BE439" s="65"/>
      <c r="BF439" s="65"/>
      <c r="BG439" s="65"/>
      <c r="BH439" s="65"/>
      <c r="BI439" s="65"/>
      <c r="BJ439" s="65"/>
      <c r="BK439" s="65"/>
      <c r="BL439" s="65"/>
      <c r="BM439" s="65"/>
      <c r="BN439" s="65"/>
      <c r="BO439" s="65"/>
      <c r="BP439" s="65"/>
      <c r="BQ439" s="65"/>
      <c r="BR439" s="65"/>
      <c r="BS439" s="65"/>
      <c r="BT439" s="65"/>
      <c r="BU439" s="65"/>
      <c r="BV439" s="65"/>
      <c r="BW439" s="65"/>
      <c r="BX439" s="65"/>
      <c r="BY439" s="65"/>
      <c r="BZ439" s="65"/>
      <c r="CA439" s="65"/>
      <c r="CB439" s="65"/>
      <c r="CC439" s="65"/>
      <c r="CD439" s="65"/>
      <c r="CE439" s="65"/>
      <c r="CF439" s="65"/>
      <c r="CG439" s="65"/>
      <c r="CH439" s="65"/>
      <c r="CI439" s="65"/>
      <c r="CJ439" s="65"/>
      <c r="CK439" s="65"/>
      <c r="CL439" s="65"/>
      <c r="CM439" s="65"/>
      <c r="CN439" s="65"/>
      <c r="CO439" s="65"/>
      <c r="CP439" s="65"/>
      <c r="CQ439" s="65"/>
      <c r="CR439" s="65"/>
      <c r="CS439" s="65"/>
      <c r="CT439" s="65"/>
      <c r="CU439" s="65"/>
      <c r="CV439" s="65"/>
      <c r="CW439" s="65"/>
      <c r="CX439" s="65"/>
      <c r="CY439" s="65"/>
      <c r="CZ439" s="65"/>
      <c r="DA439" s="65"/>
      <c r="DB439" s="65"/>
      <c r="DC439" s="65"/>
      <c r="DD439" s="65"/>
      <c r="DE439" s="65"/>
      <c r="DF439" s="65"/>
      <c r="DG439" s="65"/>
      <c r="DH439" s="65"/>
      <c r="DI439" s="65"/>
      <c r="DJ439" s="65"/>
      <c r="DK439" s="65"/>
      <c r="DL439" s="65"/>
      <c r="DM439" s="65"/>
      <c r="DN439" s="65"/>
      <c r="DO439" s="65"/>
      <c r="DP439" s="65"/>
      <c r="DQ439" s="65"/>
      <c r="DR439" s="65"/>
      <c r="DS439" s="65"/>
      <c r="DT439" s="65"/>
      <c r="DU439" s="65"/>
      <c r="DV439" s="65"/>
      <c r="DW439" s="65"/>
      <c r="DX439" s="65"/>
      <c r="DY439" s="65"/>
      <c r="DZ439" s="65"/>
      <c r="EA439" s="65"/>
      <c r="EB439" s="65"/>
      <c r="EC439" s="65"/>
      <c r="ED439" s="65"/>
      <c r="EE439" s="65"/>
      <c r="EF439" s="65"/>
      <c r="EG439" s="65"/>
      <c r="EH439" s="65"/>
      <c r="EI439" s="65"/>
      <c r="EJ439" s="65"/>
      <c r="EK439" s="65"/>
      <c r="EL439" s="65"/>
      <c r="EM439" s="65"/>
      <c r="EN439" s="65"/>
      <c r="EO439" s="65"/>
    </row>
    <row r="440" spans="1:145" s="62" customFormat="1" x14ac:dyDescent="0.2">
      <c r="A440" s="74"/>
      <c r="B440" s="129"/>
      <c r="C440" s="125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56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5"/>
      <c r="AT440" s="65"/>
      <c r="AU440" s="65"/>
      <c r="AV440" s="65"/>
      <c r="AW440" s="65"/>
      <c r="AX440" s="65"/>
      <c r="AY440" s="65"/>
      <c r="AZ440" s="65"/>
      <c r="BA440" s="65"/>
      <c r="BB440" s="65"/>
      <c r="BC440" s="65"/>
      <c r="BD440" s="65"/>
      <c r="BE440" s="65"/>
      <c r="BF440" s="65"/>
      <c r="BG440" s="65"/>
      <c r="BH440" s="65"/>
      <c r="BI440" s="65"/>
      <c r="BJ440" s="65"/>
      <c r="BK440" s="65"/>
      <c r="BL440" s="65"/>
      <c r="BM440" s="65"/>
      <c r="BN440" s="65"/>
      <c r="BO440" s="65"/>
      <c r="BP440" s="65"/>
      <c r="BQ440" s="65"/>
      <c r="BR440" s="65"/>
      <c r="BS440" s="65"/>
      <c r="BT440" s="65"/>
      <c r="BU440" s="65"/>
      <c r="BV440" s="65"/>
      <c r="BW440" s="65"/>
      <c r="BX440" s="65"/>
      <c r="BY440" s="65"/>
      <c r="BZ440" s="65"/>
      <c r="CA440" s="65"/>
      <c r="CB440" s="65"/>
      <c r="CC440" s="65"/>
      <c r="CD440" s="65"/>
      <c r="CE440" s="65"/>
      <c r="CF440" s="65"/>
      <c r="CG440" s="65"/>
      <c r="CH440" s="65"/>
      <c r="CI440" s="65"/>
      <c r="CJ440" s="65"/>
      <c r="CK440" s="65"/>
      <c r="CL440" s="65"/>
      <c r="CM440" s="65"/>
      <c r="CN440" s="65"/>
      <c r="CO440" s="65"/>
      <c r="CP440" s="65"/>
      <c r="CQ440" s="65"/>
      <c r="CR440" s="65"/>
      <c r="CS440" s="65"/>
      <c r="CT440" s="65"/>
      <c r="CU440" s="65"/>
      <c r="CV440" s="65"/>
      <c r="CW440" s="65"/>
      <c r="CX440" s="65"/>
      <c r="CY440" s="65"/>
      <c r="CZ440" s="65"/>
      <c r="DA440" s="65"/>
      <c r="DB440" s="65"/>
      <c r="DC440" s="65"/>
      <c r="DD440" s="65"/>
      <c r="DE440" s="65"/>
      <c r="DF440" s="65"/>
      <c r="DG440" s="65"/>
      <c r="DH440" s="65"/>
      <c r="DI440" s="65"/>
      <c r="DJ440" s="65"/>
      <c r="DK440" s="65"/>
      <c r="DL440" s="65"/>
      <c r="DM440" s="65"/>
      <c r="DN440" s="65"/>
      <c r="DO440" s="65"/>
      <c r="DP440" s="65"/>
      <c r="DQ440" s="65"/>
      <c r="DR440" s="65"/>
      <c r="DS440" s="65"/>
      <c r="DT440" s="65"/>
      <c r="DU440" s="65"/>
      <c r="DV440" s="65"/>
      <c r="DW440" s="65"/>
      <c r="DX440" s="65"/>
      <c r="DY440" s="65"/>
      <c r="DZ440" s="65"/>
      <c r="EA440" s="65"/>
      <c r="EB440" s="65"/>
      <c r="EC440" s="65"/>
      <c r="ED440" s="65"/>
      <c r="EE440" s="65"/>
      <c r="EF440" s="65"/>
      <c r="EG440" s="65"/>
      <c r="EH440" s="65"/>
      <c r="EI440" s="65"/>
      <c r="EJ440" s="65"/>
      <c r="EK440" s="65"/>
      <c r="EL440" s="65"/>
      <c r="EM440" s="65"/>
      <c r="EN440" s="65"/>
      <c r="EO440" s="65"/>
    </row>
    <row r="441" spans="1:145" s="62" customFormat="1" x14ac:dyDescent="0.2">
      <c r="A441" s="74">
        <v>9</v>
      </c>
      <c r="B441" s="162" t="s">
        <v>115</v>
      </c>
      <c r="C441" s="125" t="s">
        <v>18</v>
      </c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56">
        <f>SUM(D441:O441)</f>
        <v>0</v>
      </c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5"/>
      <c r="AT441" s="65"/>
      <c r="AU441" s="65"/>
      <c r="AV441" s="65"/>
      <c r="AW441" s="65"/>
      <c r="AX441" s="65"/>
      <c r="AY441" s="65"/>
      <c r="AZ441" s="65"/>
      <c r="BA441" s="65"/>
      <c r="BB441" s="65"/>
      <c r="BC441" s="65"/>
      <c r="BD441" s="65"/>
      <c r="BE441" s="65"/>
      <c r="BF441" s="65"/>
      <c r="BG441" s="65"/>
      <c r="BH441" s="65"/>
      <c r="BI441" s="65"/>
      <c r="BJ441" s="65"/>
      <c r="BK441" s="65"/>
      <c r="BL441" s="65"/>
      <c r="BM441" s="65"/>
      <c r="BN441" s="65"/>
      <c r="BO441" s="65"/>
      <c r="BP441" s="65"/>
      <c r="BQ441" s="65"/>
      <c r="BR441" s="65"/>
      <c r="BS441" s="65"/>
      <c r="BT441" s="65"/>
      <c r="BU441" s="65"/>
      <c r="BV441" s="65"/>
      <c r="BW441" s="65"/>
      <c r="BX441" s="65"/>
      <c r="BY441" s="65"/>
      <c r="BZ441" s="65"/>
      <c r="CA441" s="65"/>
      <c r="CB441" s="65"/>
      <c r="CC441" s="65"/>
      <c r="CD441" s="65"/>
      <c r="CE441" s="65"/>
      <c r="CF441" s="65"/>
      <c r="CG441" s="65"/>
      <c r="CH441" s="65"/>
      <c r="CI441" s="65"/>
      <c r="CJ441" s="65"/>
      <c r="CK441" s="65"/>
      <c r="CL441" s="65"/>
      <c r="CM441" s="65"/>
      <c r="CN441" s="65"/>
      <c r="CO441" s="65"/>
      <c r="CP441" s="65"/>
      <c r="CQ441" s="65"/>
      <c r="CR441" s="65"/>
      <c r="CS441" s="65"/>
      <c r="CT441" s="65"/>
      <c r="CU441" s="65"/>
      <c r="CV441" s="65"/>
      <c r="CW441" s="65"/>
      <c r="CX441" s="65"/>
      <c r="CY441" s="65"/>
      <c r="CZ441" s="65"/>
      <c r="DA441" s="65"/>
      <c r="DB441" s="65"/>
      <c r="DC441" s="65"/>
      <c r="DD441" s="65"/>
      <c r="DE441" s="65"/>
      <c r="DF441" s="65"/>
      <c r="DG441" s="65"/>
      <c r="DH441" s="65"/>
      <c r="DI441" s="65"/>
      <c r="DJ441" s="65"/>
      <c r="DK441" s="65"/>
      <c r="DL441" s="65"/>
      <c r="DM441" s="65"/>
      <c r="DN441" s="65"/>
      <c r="DO441" s="65"/>
      <c r="DP441" s="65"/>
      <c r="DQ441" s="65"/>
      <c r="DR441" s="65"/>
      <c r="DS441" s="65"/>
      <c r="DT441" s="65"/>
      <c r="DU441" s="65"/>
      <c r="DV441" s="65"/>
      <c r="DW441" s="65"/>
      <c r="DX441" s="65"/>
      <c r="DY441" s="65"/>
      <c r="DZ441" s="65"/>
      <c r="EA441" s="65"/>
      <c r="EB441" s="65"/>
      <c r="EC441" s="65"/>
      <c r="ED441" s="65"/>
      <c r="EE441" s="65"/>
      <c r="EF441" s="65"/>
      <c r="EG441" s="65"/>
      <c r="EH441" s="65"/>
      <c r="EI441" s="65"/>
      <c r="EJ441" s="65"/>
      <c r="EK441" s="65"/>
      <c r="EL441" s="65"/>
      <c r="EM441" s="65"/>
      <c r="EN441" s="65"/>
      <c r="EO441" s="65"/>
    </row>
    <row r="442" spans="1:145" s="62" customFormat="1" x14ac:dyDescent="0.2">
      <c r="B442" s="129"/>
      <c r="C442" s="143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22"/>
      <c r="P442" s="122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5"/>
      <c r="AT442" s="65"/>
      <c r="AU442" s="65"/>
      <c r="AV442" s="65"/>
      <c r="AW442" s="65"/>
      <c r="AX442" s="65"/>
      <c r="AY442" s="65"/>
      <c r="AZ442" s="65"/>
      <c r="BA442" s="65"/>
      <c r="BB442" s="65"/>
      <c r="BC442" s="65"/>
      <c r="BD442" s="65"/>
      <c r="BE442" s="65"/>
      <c r="BF442" s="65"/>
      <c r="BG442" s="65"/>
      <c r="BH442" s="65"/>
      <c r="BI442" s="65"/>
      <c r="BJ442" s="65"/>
      <c r="BK442" s="65"/>
      <c r="BL442" s="65"/>
      <c r="BM442" s="65"/>
      <c r="BN442" s="65"/>
      <c r="BO442" s="65"/>
      <c r="BP442" s="65"/>
      <c r="BQ442" s="65"/>
      <c r="BR442" s="65"/>
      <c r="BS442" s="65"/>
      <c r="BT442" s="65"/>
      <c r="BU442" s="65"/>
      <c r="BV442" s="65"/>
      <c r="BW442" s="65"/>
      <c r="BX442" s="65"/>
      <c r="BY442" s="65"/>
      <c r="BZ442" s="65"/>
      <c r="CA442" s="65"/>
      <c r="CB442" s="65"/>
      <c r="CC442" s="65"/>
      <c r="CD442" s="65"/>
      <c r="CE442" s="65"/>
      <c r="CF442" s="65"/>
      <c r="CG442" s="65"/>
      <c r="CH442" s="65"/>
      <c r="CI442" s="65"/>
      <c r="CJ442" s="65"/>
      <c r="CK442" s="65"/>
      <c r="CL442" s="65"/>
      <c r="CM442" s="65"/>
      <c r="CN442" s="65"/>
      <c r="CO442" s="65"/>
      <c r="CP442" s="65"/>
      <c r="CQ442" s="65"/>
      <c r="CR442" s="65"/>
      <c r="CS442" s="65"/>
      <c r="CT442" s="65"/>
      <c r="CU442" s="65"/>
      <c r="CV442" s="65"/>
      <c r="CW442" s="65"/>
      <c r="CX442" s="65"/>
      <c r="CY442" s="65"/>
      <c r="CZ442" s="65"/>
      <c r="DA442" s="65"/>
      <c r="DB442" s="65"/>
      <c r="DC442" s="65"/>
      <c r="DD442" s="65"/>
      <c r="DE442" s="65"/>
      <c r="DF442" s="65"/>
      <c r="DG442" s="65"/>
      <c r="DH442" s="65"/>
      <c r="DI442" s="65"/>
      <c r="DJ442" s="65"/>
      <c r="DK442" s="65"/>
      <c r="DL442" s="65"/>
      <c r="DM442" s="65"/>
      <c r="DN442" s="65"/>
      <c r="DO442" s="65"/>
      <c r="DP442" s="65"/>
      <c r="DQ442" s="65"/>
      <c r="DR442" s="65"/>
      <c r="DS442" s="65"/>
      <c r="DT442" s="65"/>
      <c r="DU442" s="65"/>
      <c r="DV442" s="65"/>
      <c r="DW442" s="65"/>
      <c r="DX442" s="65"/>
      <c r="DY442" s="65"/>
      <c r="DZ442" s="65"/>
      <c r="EA442" s="65"/>
      <c r="EB442" s="65"/>
      <c r="EC442" s="65"/>
      <c r="ED442" s="65"/>
      <c r="EE442" s="65"/>
      <c r="EF442" s="65"/>
      <c r="EG442" s="65"/>
      <c r="EH442" s="65"/>
      <c r="EI442" s="65"/>
      <c r="EJ442" s="65"/>
      <c r="EK442" s="65"/>
      <c r="EL442" s="65"/>
      <c r="EM442" s="65"/>
      <c r="EN442" s="65"/>
      <c r="EO442" s="65"/>
    </row>
    <row r="443" spans="1:145" s="62" customFormat="1" x14ac:dyDescent="0.2">
      <c r="A443" s="74">
        <v>10</v>
      </c>
      <c r="B443" s="117" t="s">
        <v>33</v>
      </c>
      <c r="C443" s="125" t="s">
        <v>16</v>
      </c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56">
        <f>SUM(D443:O443)</f>
        <v>0</v>
      </c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5"/>
      <c r="AT443" s="65"/>
      <c r="AU443" s="65"/>
      <c r="AV443" s="65"/>
      <c r="AW443" s="65"/>
      <c r="AX443" s="65"/>
      <c r="AY443" s="65"/>
      <c r="AZ443" s="65"/>
      <c r="BA443" s="65"/>
      <c r="BB443" s="65"/>
      <c r="BC443" s="65"/>
      <c r="BD443" s="65"/>
      <c r="BE443" s="65"/>
      <c r="BF443" s="65"/>
      <c r="BG443" s="65"/>
      <c r="BH443" s="65"/>
      <c r="BI443" s="65"/>
      <c r="BJ443" s="65"/>
      <c r="BK443" s="65"/>
      <c r="BL443" s="65"/>
      <c r="BM443" s="65"/>
      <c r="BN443" s="65"/>
      <c r="BO443" s="65"/>
      <c r="BP443" s="65"/>
      <c r="BQ443" s="65"/>
      <c r="BR443" s="65"/>
      <c r="BS443" s="65"/>
      <c r="BT443" s="65"/>
      <c r="BU443" s="65"/>
      <c r="BV443" s="65"/>
      <c r="BW443" s="65"/>
      <c r="BX443" s="65"/>
      <c r="BY443" s="65"/>
      <c r="BZ443" s="65"/>
      <c r="CA443" s="65"/>
      <c r="CB443" s="65"/>
      <c r="CC443" s="65"/>
      <c r="CD443" s="65"/>
      <c r="CE443" s="65"/>
      <c r="CF443" s="65"/>
      <c r="CG443" s="65"/>
      <c r="CH443" s="65"/>
      <c r="CI443" s="65"/>
      <c r="CJ443" s="65"/>
      <c r="CK443" s="65"/>
      <c r="CL443" s="65"/>
      <c r="CM443" s="65"/>
      <c r="CN443" s="65"/>
      <c r="CO443" s="65"/>
      <c r="CP443" s="65"/>
      <c r="CQ443" s="65"/>
      <c r="CR443" s="65"/>
      <c r="CS443" s="65"/>
      <c r="CT443" s="65"/>
      <c r="CU443" s="65"/>
      <c r="CV443" s="65"/>
      <c r="CW443" s="65"/>
      <c r="CX443" s="65"/>
      <c r="CY443" s="65"/>
      <c r="CZ443" s="65"/>
      <c r="DA443" s="65"/>
      <c r="DB443" s="65"/>
      <c r="DC443" s="65"/>
      <c r="DD443" s="65"/>
      <c r="DE443" s="65"/>
      <c r="DF443" s="65"/>
      <c r="DG443" s="65"/>
      <c r="DH443" s="65"/>
      <c r="DI443" s="65"/>
      <c r="DJ443" s="65"/>
      <c r="DK443" s="65"/>
      <c r="DL443" s="65"/>
      <c r="DM443" s="65"/>
      <c r="DN443" s="65"/>
      <c r="DO443" s="65"/>
      <c r="DP443" s="65"/>
      <c r="DQ443" s="65"/>
      <c r="DR443" s="65"/>
      <c r="DS443" s="65"/>
      <c r="DT443" s="65"/>
      <c r="DU443" s="65"/>
      <c r="DV443" s="65"/>
      <c r="DW443" s="65"/>
      <c r="DX443" s="65"/>
      <c r="DY443" s="65"/>
      <c r="DZ443" s="65"/>
      <c r="EA443" s="65"/>
      <c r="EB443" s="65"/>
      <c r="EC443" s="65"/>
      <c r="ED443" s="65"/>
      <c r="EE443" s="65"/>
      <c r="EF443" s="65"/>
      <c r="EG443" s="65"/>
      <c r="EH443" s="65"/>
      <c r="EI443" s="65"/>
      <c r="EJ443" s="65"/>
      <c r="EK443" s="65"/>
      <c r="EL443" s="65"/>
      <c r="EM443" s="65"/>
      <c r="EN443" s="65"/>
      <c r="EO443" s="65"/>
    </row>
    <row r="444" spans="1:145" s="62" customFormat="1" x14ac:dyDescent="0.2">
      <c r="A444" s="74"/>
      <c r="B444" s="129"/>
      <c r="C444" s="143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22"/>
      <c r="P444" s="122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  <c r="AT444" s="65"/>
      <c r="AU444" s="65"/>
      <c r="AV444" s="65"/>
      <c r="AW444" s="65"/>
      <c r="AX444" s="65"/>
      <c r="AY444" s="65"/>
      <c r="AZ444" s="65"/>
      <c r="BA444" s="65"/>
      <c r="BB444" s="65"/>
      <c r="BC444" s="65"/>
      <c r="BD444" s="65"/>
      <c r="BE444" s="65"/>
      <c r="BF444" s="65"/>
      <c r="BG444" s="65"/>
      <c r="BH444" s="65"/>
      <c r="BI444" s="65"/>
      <c r="BJ444" s="65"/>
      <c r="BK444" s="65"/>
      <c r="BL444" s="65"/>
      <c r="BM444" s="65"/>
      <c r="BN444" s="65"/>
      <c r="BO444" s="65"/>
      <c r="BP444" s="65"/>
      <c r="BQ444" s="65"/>
      <c r="BR444" s="65"/>
      <c r="BS444" s="65"/>
      <c r="BT444" s="65"/>
      <c r="BU444" s="65"/>
      <c r="BV444" s="65"/>
      <c r="BW444" s="65"/>
      <c r="BX444" s="65"/>
      <c r="BY444" s="65"/>
      <c r="BZ444" s="65"/>
      <c r="CA444" s="65"/>
      <c r="CB444" s="65"/>
      <c r="CC444" s="65"/>
      <c r="CD444" s="65"/>
      <c r="CE444" s="65"/>
      <c r="CF444" s="65"/>
      <c r="CG444" s="65"/>
      <c r="CH444" s="65"/>
      <c r="CI444" s="65"/>
      <c r="CJ444" s="65"/>
      <c r="CK444" s="65"/>
      <c r="CL444" s="65"/>
      <c r="CM444" s="65"/>
      <c r="CN444" s="65"/>
      <c r="CO444" s="65"/>
      <c r="CP444" s="65"/>
      <c r="CQ444" s="65"/>
      <c r="CR444" s="65"/>
      <c r="CS444" s="65"/>
      <c r="CT444" s="65"/>
      <c r="CU444" s="65"/>
      <c r="CV444" s="65"/>
      <c r="CW444" s="65"/>
      <c r="CX444" s="65"/>
      <c r="CY444" s="65"/>
      <c r="CZ444" s="65"/>
      <c r="DA444" s="65"/>
      <c r="DB444" s="65"/>
      <c r="DC444" s="65"/>
      <c r="DD444" s="65"/>
      <c r="DE444" s="65"/>
      <c r="DF444" s="65"/>
      <c r="DG444" s="65"/>
      <c r="DH444" s="65"/>
      <c r="DI444" s="65"/>
      <c r="DJ444" s="65"/>
      <c r="DK444" s="65"/>
      <c r="DL444" s="65"/>
      <c r="DM444" s="65"/>
      <c r="DN444" s="65"/>
      <c r="DO444" s="65"/>
      <c r="DP444" s="65"/>
      <c r="DQ444" s="65"/>
      <c r="DR444" s="65"/>
      <c r="DS444" s="65"/>
      <c r="DT444" s="65"/>
      <c r="DU444" s="65"/>
      <c r="DV444" s="65"/>
      <c r="DW444" s="65"/>
      <c r="DX444" s="65"/>
      <c r="DY444" s="65"/>
      <c r="DZ444" s="65"/>
      <c r="EA444" s="65"/>
      <c r="EB444" s="65"/>
      <c r="EC444" s="65"/>
      <c r="ED444" s="65"/>
      <c r="EE444" s="65"/>
      <c r="EF444" s="65"/>
      <c r="EG444" s="65"/>
      <c r="EH444" s="65"/>
      <c r="EI444" s="65"/>
      <c r="EJ444" s="65"/>
      <c r="EK444" s="65"/>
      <c r="EL444" s="65"/>
      <c r="EM444" s="65"/>
      <c r="EN444" s="65"/>
      <c r="EO444" s="65"/>
    </row>
    <row r="445" spans="1:145" s="62" customFormat="1" x14ac:dyDescent="0.2">
      <c r="A445" s="74">
        <v>11</v>
      </c>
      <c r="B445" s="183" t="s">
        <v>34</v>
      </c>
      <c r="C445" s="236"/>
      <c r="D445" s="184">
        <f t="shared" ref="D445:P445" si="95">D443+D441+D439+D435+D431+D429</f>
        <v>0</v>
      </c>
      <c r="E445" s="184">
        <f t="shared" si="95"/>
        <v>0</v>
      </c>
      <c r="F445" s="184">
        <f t="shared" si="95"/>
        <v>0</v>
      </c>
      <c r="G445" s="184">
        <f t="shared" si="95"/>
        <v>0</v>
      </c>
      <c r="H445" s="184">
        <f t="shared" si="95"/>
        <v>0</v>
      </c>
      <c r="I445" s="184">
        <f t="shared" si="95"/>
        <v>0</v>
      </c>
      <c r="J445" s="184">
        <f t="shared" si="95"/>
        <v>0</v>
      </c>
      <c r="K445" s="184">
        <f t="shared" si="95"/>
        <v>0</v>
      </c>
      <c r="L445" s="184">
        <f t="shared" si="95"/>
        <v>0</v>
      </c>
      <c r="M445" s="184">
        <f t="shared" si="95"/>
        <v>0</v>
      </c>
      <c r="N445" s="184">
        <f t="shared" si="95"/>
        <v>0</v>
      </c>
      <c r="O445" s="184">
        <f t="shared" si="95"/>
        <v>0</v>
      </c>
      <c r="P445" s="184">
        <f t="shared" si="95"/>
        <v>0</v>
      </c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  <c r="AV445" s="65"/>
      <c r="AW445" s="65"/>
      <c r="AX445" s="65"/>
      <c r="AY445" s="65"/>
      <c r="AZ445" s="65"/>
      <c r="BA445" s="65"/>
      <c r="BB445" s="65"/>
      <c r="BC445" s="65"/>
      <c r="BD445" s="65"/>
      <c r="BE445" s="65"/>
      <c r="BF445" s="65"/>
      <c r="BG445" s="65"/>
      <c r="BH445" s="65"/>
      <c r="BI445" s="65"/>
      <c r="BJ445" s="65"/>
      <c r="BK445" s="65"/>
      <c r="BL445" s="65"/>
      <c r="BM445" s="65"/>
      <c r="BN445" s="65"/>
      <c r="BO445" s="65"/>
      <c r="BP445" s="65"/>
      <c r="BQ445" s="65"/>
      <c r="BR445" s="65"/>
      <c r="BS445" s="65"/>
      <c r="BT445" s="65"/>
      <c r="BU445" s="65"/>
      <c r="BV445" s="65"/>
      <c r="BW445" s="65"/>
      <c r="BX445" s="65"/>
      <c r="BY445" s="65"/>
      <c r="BZ445" s="65"/>
      <c r="CA445" s="65"/>
      <c r="CB445" s="65"/>
      <c r="CC445" s="65"/>
      <c r="CD445" s="65"/>
      <c r="CE445" s="65"/>
      <c r="CF445" s="65"/>
      <c r="CG445" s="65"/>
      <c r="CH445" s="65"/>
      <c r="CI445" s="65"/>
      <c r="CJ445" s="65"/>
      <c r="CK445" s="65"/>
      <c r="CL445" s="65"/>
      <c r="CM445" s="65"/>
      <c r="CN445" s="65"/>
      <c r="CO445" s="65"/>
      <c r="CP445" s="65"/>
      <c r="CQ445" s="65"/>
      <c r="CR445" s="65"/>
      <c r="CS445" s="65"/>
      <c r="CT445" s="65"/>
      <c r="CU445" s="65"/>
      <c r="CV445" s="65"/>
      <c r="CW445" s="65"/>
      <c r="CX445" s="65"/>
      <c r="CY445" s="65"/>
      <c r="CZ445" s="65"/>
      <c r="DA445" s="65"/>
      <c r="DB445" s="65"/>
      <c r="DC445" s="65"/>
      <c r="DD445" s="65"/>
      <c r="DE445" s="65"/>
      <c r="DF445" s="65"/>
      <c r="DG445" s="65"/>
      <c r="DH445" s="65"/>
      <c r="DI445" s="65"/>
      <c r="DJ445" s="65"/>
      <c r="DK445" s="65"/>
      <c r="DL445" s="65"/>
      <c r="DM445" s="65"/>
      <c r="DN445" s="65"/>
      <c r="DO445" s="65"/>
      <c r="DP445" s="65"/>
      <c r="DQ445" s="65"/>
      <c r="DR445" s="65"/>
      <c r="DS445" s="65"/>
      <c r="DT445" s="65"/>
      <c r="DU445" s="65"/>
      <c r="DV445" s="65"/>
      <c r="DW445" s="65"/>
      <c r="DX445" s="65"/>
      <c r="DY445" s="65"/>
      <c r="DZ445" s="65"/>
      <c r="EA445" s="65"/>
      <c r="EB445" s="65"/>
      <c r="EC445" s="65"/>
      <c r="ED445" s="65"/>
      <c r="EE445" s="65"/>
      <c r="EF445" s="65"/>
      <c r="EG445" s="65"/>
      <c r="EH445" s="65"/>
      <c r="EI445" s="65"/>
      <c r="EJ445" s="65"/>
      <c r="EK445" s="65"/>
      <c r="EL445" s="65"/>
      <c r="EM445" s="65"/>
      <c r="EN445" s="65"/>
      <c r="EO445" s="65"/>
    </row>
    <row r="446" spans="1:145" s="62" customFormat="1" x14ac:dyDescent="0.2">
      <c r="B446" s="236"/>
      <c r="C446" s="236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56"/>
      <c r="P446" s="156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  <c r="AW446" s="65"/>
      <c r="AX446" s="65"/>
      <c r="AY446" s="65"/>
      <c r="AZ446" s="65"/>
      <c r="BA446" s="65"/>
      <c r="BB446" s="65"/>
      <c r="BC446" s="65"/>
      <c r="BD446" s="65"/>
      <c r="BE446" s="65"/>
      <c r="BF446" s="65"/>
      <c r="BG446" s="65"/>
      <c r="BH446" s="65"/>
      <c r="BI446" s="65"/>
      <c r="BJ446" s="65"/>
      <c r="BK446" s="65"/>
      <c r="BL446" s="65"/>
      <c r="BM446" s="65"/>
      <c r="BN446" s="65"/>
      <c r="BO446" s="65"/>
      <c r="BP446" s="65"/>
      <c r="BQ446" s="65"/>
      <c r="BR446" s="65"/>
      <c r="BS446" s="65"/>
      <c r="BT446" s="65"/>
      <c r="BU446" s="65"/>
      <c r="BV446" s="65"/>
      <c r="BW446" s="65"/>
      <c r="BX446" s="65"/>
      <c r="BY446" s="65"/>
      <c r="BZ446" s="65"/>
      <c r="CA446" s="65"/>
      <c r="CB446" s="65"/>
      <c r="CC446" s="65"/>
      <c r="CD446" s="65"/>
      <c r="CE446" s="65"/>
      <c r="CF446" s="65"/>
      <c r="CG446" s="65"/>
      <c r="CH446" s="65"/>
      <c r="CI446" s="65"/>
      <c r="CJ446" s="65"/>
      <c r="CK446" s="65"/>
      <c r="CL446" s="65"/>
      <c r="CM446" s="65"/>
      <c r="CN446" s="65"/>
      <c r="CO446" s="65"/>
      <c r="CP446" s="65"/>
      <c r="CQ446" s="65"/>
      <c r="CR446" s="65"/>
      <c r="CS446" s="65"/>
      <c r="CT446" s="65"/>
      <c r="CU446" s="65"/>
      <c r="CV446" s="65"/>
      <c r="CW446" s="65"/>
      <c r="CX446" s="65"/>
      <c r="CY446" s="65"/>
      <c r="CZ446" s="65"/>
      <c r="DA446" s="65"/>
      <c r="DB446" s="65"/>
      <c r="DC446" s="65"/>
      <c r="DD446" s="65"/>
      <c r="DE446" s="65"/>
      <c r="DF446" s="65"/>
      <c r="DG446" s="65"/>
      <c r="DH446" s="65"/>
      <c r="DI446" s="65"/>
      <c r="DJ446" s="65"/>
      <c r="DK446" s="65"/>
      <c r="DL446" s="65"/>
      <c r="DM446" s="65"/>
      <c r="DN446" s="65"/>
      <c r="DO446" s="65"/>
      <c r="DP446" s="65"/>
      <c r="DQ446" s="65"/>
      <c r="DR446" s="65"/>
      <c r="DS446" s="65"/>
      <c r="DT446" s="65"/>
      <c r="DU446" s="65"/>
      <c r="DV446" s="65"/>
      <c r="DW446" s="65"/>
      <c r="DX446" s="65"/>
      <c r="DY446" s="65"/>
      <c r="DZ446" s="65"/>
      <c r="EA446" s="65"/>
      <c r="EB446" s="65"/>
      <c r="EC446" s="65"/>
      <c r="ED446" s="65"/>
      <c r="EE446" s="65"/>
      <c r="EF446" s="65"/>
      <c r="EG446" s="65"/>
      <c r="EH446" s="65"/>
      <c r="EI446" s="65"/>
      <c r="EJ446" s="65"/>
      <c r="EK446" s="65"/>
      <c r="EL446" s="65"/>
      <c r="EM446" s="65"/>
      <c r="EN446" s="65"/>
      <c r="EO446" s="65"/>
    </row>
    <row r="447" spans="1:145" s="62" customFormat="1" x14ac:dyDescent="0.2">
      <c r="A447" s="74">
        <v>12</v>
      </c>
      <c r="B447" s="148" t="s">
        <v>91</v>
      </c>
      <c r="C447" s="125" t="s">
        <v>17</v>
      </c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56">
        <f>SUM(D447:O447)</f>
        <v>0</v>
      </c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  <c r="AV447" s="65"/>
      <c r="AW447" s="65"/>
      <c r="AX447" s="65"/>
      <c r="AY447" s="65"/>
      <c r="AZ447" s="65"/>
      <c r="BA447" s="65"/>
      <c r="BB447" s="65"/>
      <c r="BC447" s="65"/>
      <c r="BD447" s="65"/>
      <c r="BE447" s="65"/>
      <c r="BF447" s="65"/>
      <c r="BG447" s="65"/>
      <c r="BH447" s="65"/>
      <c r="BI447" s="65"/>
      <c r="BJ447" s="65"/>
      <c r="BK447" s="65"/>
      <c r="BL447" s="65"/>
      <c r="BM447" s="65"/>
      <c r="BN447" s="65"/>
      <c r="BO447" s="65"/>
      <c r="BP447" s="65"/>
      <c r="BQ447" s="65"/>
      <c r="BR447" s="65"/>
      <c r="BS447" s="65"/>
      <c r="BT447" s="65"/>
      <c r="BU447" s="65"/>
      <c r="BV447" s="65"/>
      <c r="BW447" s="65"/>
      <c r="BX447" s="65"/>
      <c r="BY447" s="65"/>
      <c r="BZ447" s="65"/>
      <c r="CA447" s="65"/>
      <c r="CB447" s="65"/>
      <c r="CC447" s="65"/>
      <c r="CD447" s="65"/>
      <c r="CE447" s="65"/>
      <c r="CF447" s="65"/>
      <c r="CG447" s="65"/>
      <c r="CH447" s="65"/>
      <c r="CI447" s="65"/>
      <c r="CJ447" s="65"/>
      <c r="CK447" s="65"/>
      <c r="CL447" s="65"/>
      <c r="CM447" s="65"/>
      <c r="CN447" s="65"/>
      <c r="CO447" s="65"/>
      <c r="CP447" s="65"/>
      <c r="CQ447" s="65"/>
      <c r="CR447" s="65"/>
      <c r="CS447" s="65"/>
      <c r="CT447" s="65"/>
      <c r="CU447" s="65"/>
      <c r="CV447" s="65"/>
      <c r="CW447" s="65"/>
      <c r="CX447" s="65"/>
      <c r="CY447" s="65"/>
      <c r="CZ447" s="65"/>
      <c r="DA447" s="65"/>
      <c r="DB447" s="65"/>
      <c r="DC447" s="65"/>
      <c r="DD447" s="65"/>
      <c r="DE447" s="65"/>
      <c r="DF447" s="65"/>
      <c r="DG447" s="65"/>
      <c r="DH447" s="65"/>
      <c r="DI447" s="65"/>
      <c r="DJ447" s="65"/>
      <c r="DK447" s="65"/>
      <c r="DL447" s="65"/>
      <c r="DM447" s="65"/>
      <c r="DN447" s="65"/>
      <c r="DO447" s="65"/>
      <c r="DP447" s="65"/>
      <c r="DQ447" s="65"/>
      <c r="DR447" s="65"/>
      <c r="DS447" s="65"/>
      <c r="DT447" s="65"/>
      <c r="DU447" s="65"/>
      <c r="DV447" s="65"/>
      <c r="DW447" s="65"/>
      <c r="DX447" s="65"/>
      <c r="DY447" s="65"/>
      <c r="DZ447" s="65"/>
      <c r="EA447" s="65"/>
      <c r="EB447" s="65"/>
      <c r="EC447" s="65"/>
      <c r="ED447" s="65"/>
      <c r="EE447" s="65"/>
      <c r="EF447" s="65"/>
      <c r="EG447" s="65"/>
      <c r="EH447" s="65"/>
      <c r="EI447" s="65"/>
      <c r="EJ447" s="65"/>
      <c r="EK447" s="65"/>
      <c r="EL447" s="65"/>
      <c r="EM447" s="65"/>
      <c r="EN447" s="65"/>
      <c r="EO447" s="65"/>
    </row>
    <row r="448" spans="1:145" s="62" customFormat="1" x14ac:dyDescent="0.2">
      <c r="A448" s="74">
        <v>13</v>
      </c>
      <c r="B448" s="148" t="s">
        <v>92</v>
      </c>
      <c r="C448" s="125" t="s">
        <v>18</v>
      </c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73">
        <f>SUM(D448:O448)</f>
        <v>0</v>
      </c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  <c r="AW448" s="65"/>
      <c r="AX448" s="65"/>
      <c r="AY448" s="65"/>
      <c r="AZ448" s="65"/>
      <c r="BA448" s="65"/>
      <c r="BB448" s="65"/>
      <c r="BC448" s="65"/>
      <c r="BD448" s="65"/>
      <c r="BE448" s="65"/>
      <c r="BF448" s="65"/>
      <c r="BG448" s="65"/>
      <c r="BH448" s="65"/>
      <c r="BI448" s="65"/>
      <c r="BJ448" s="65"/>
      <c r="BK448" s="65"/>
      <c r="BL448" s="65"/>
      <c r="BM448" s="65"/>
      <c r="BN448" s="65"/>
      <c r="BO448" s="65"/>
      <c r="BP448" s="65"/>
      <c r="BQ448" s="65"/>
      <c r="BR448" s="65"/>
      <c r="BS448" s="65"/>
      <c r="BT448" s="65"/>
      <c r="BU448" s="65"/>
      <c r="BV448" s="65"/>
      <c r="BW448" s="65"/>
      <c r="BX448" s="65"/>
      <c r="BY448" s="65"/>
      <c r="BZ448" s="65"/>
      <c r="CA448" s="65"/>
      <c r="CB448" s="65"/>
      <c r="CC448" s="65"/>
      <c r="CD448" s="65"/>
      <c r="CE448" s="65"/>
      <c r="CF448" s="65"/>
      <c r="CG448" s="65"/>
      <c r="CH448" s="65"/>
      <c r="CI448" s="65"/>
      <c r="CJ448" s="65"/>
      <c r="CK448" s="65"/>
      <c r="CL448" s="65"/>
      <c r="CM448" s="65"/>
      <c r="CN448" s="65"/>
      <c r="CO448" s="65"/>
      <c r="CP448" s="65"/>
      <c r="CQ448" s="65"/>
      <c r="CR448" s="65"/>
      <c r="CS448" s="65"/>
      <c r="CT448" s="65"/>
      <c r="CU448" s="65"/>
      <c r="CV448" s="65"/>
      <c r="CW448" s="65"/>
      <c r="CX448" s="65"/>
      <c r="CY448" s="65"/>
      <c r="CZ448" s="65"/>
      <c r="DA448" s="65"/>
      <c r="DB448" s="65"/>
      <c r="DC448" s="65"/>
      <c r="DD448" s="65"/>
      <c r="DE448" s="65"/>
      <c r="DF448" s="65"/>
      <c r="DG448" s="65"/>
      <c r="DH448" s="65"/>
      <c r="DI448" s="65"/>
      <c r="DJ448" s="65"/>
      <c r="DK448" s="65"/>
      <c r="DL448" s="65"/>
      <c r="DM448" s="65"/>
      <c r="DN448" s="65"/>
      <c r="DO448" s="65"/>
      <c r="DP448" s="65"/>
      <c r="DQ448" s="65"/>
      <c r="DR448" s="65"/>
      <c r="DS448" s="65"/>
      <c r="DT448" s="65"/>
      <c r="DU448" s="65"/>
      <c r="DV448" s="65"/>
      <c r="DW448" s="65"/>
      <c r="DX448" s="65"/>
      <c r="DY448" s="65"/>
      <c r="DZ448" s="65"/>
      <c r="EA448" s="65"/>
      <c r="EB448" s="65"/>
      <c r="EC448" s="65"/>
      <c r="ED448" s="65"/>
      <c r="EE448" s="65"/>
      <c r="EF448" s="65"/>
      <c r="EG448" s="65"/>
      <c r="EH448" s="65"/>
      <c r="EI448" s="65"/>
      <c r="EJ448" s="65"/>
      <c r="EK448" s="65"/>
      <c r="EL448" s="65"/>
      <c r="EM448" s="65"/>
      <c r="EN448" s="65"/>
      <c r="EO448" s="65"/>
    </row>
    <row r="449" spans="1:145" s="62" customFormat="1" x14ac:dyDescent="0.2">
      <c r="A449" s="74">
        <v>14</v>
      </c>
      <c r="B449" s="183" t="s">
        <v>35</v>
      </c>
      <c r="C449" s="238"/>
      <c r="D449" s="169">
        <f t="shared" ref="D449:P449" si="96">SUM(D447:D448)</f>
        <v>0</v>
      </c>
      <c r="E449" s="169">
        <f t="shared" si="96"/>
        <v>0</v>
      </c>
      <c r="F449" s="169">
        <f t="shared" si="96"/>
        <v>0</v>
      </c>
      <c r="G449" s="169">
        <f t="shared" si="96"/>
        <v>0</v>
      </c>
      <c r="H449" s="169">
        <f t="shared" si="96"/>
        <v>0</v>
      </c>
      <c r="I449" s="169">
        <f t="shared" si="96"/>
        <v>0</v>
      </c>
      <c r="J449" s="169">
        <f t="shared" si="96"/>
        <v>0</v>
      </c>
      <c r="K449" s="169">
        <f t="shared" si="96"/>
        <v>0</v>
      </c>
      <c r="L449" s="169">
        <f t="shared" si="96"/>
        <v>0</v>
      </c>
      <c r="M449" s="169">
        <f t="shared" si="96"/>
        <v>0</v>
      </c>
      <c r="N449" s="169">
        <f t="shared" si="96"/>
        <v>0</v>
      </c>
      <c r="O449" s="156">
        <f t="shared" si="96"/>
        <v>0</v>
      </c>
      <c r="P449" s="156">
        <f t="shared" si="96"/>
        <v>0</v>
      </c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  <c r="AW449" s="65"/>
      <c r="AX449" s="65"/>
      <c r="AY449" s="65"/>
      <c r="AZ449" s="65"/>
      <c r="BA449" s="65"/>
      <c r="BB449" s="65"/>
      <c r="BC449" s="65"/>
      <c r="BD449" s="65"/>
      <c r="BE449" s="65"/>
      <c r="BF449" s="65"/>
      <c r="BG449" s="65"/>
      <c r="BH449" s="65"/>
      <c r="BI449" s="65"/>
      <c r="BJ449" s="65"/>
      <c r="BK449" s="65"/>
      <c r="BL449" s="65"/>
      <c r="BM449" s="65"/>
      <c r="BN449" s="65"/>
      <c r="BO449" s="65"/>
      <c r="BP449" s="65"/>
      <c r="BQ449" s="65"/>
      <c r="BR449" s="65"/>
      <c r="BS449" s="65"/>
      <c r="BT449" s="65"/>
      <c r="BU449" s="65"/>
      <c r="BV449" s="65"/>
      <c r="BW449" s="65"/>
      <c r="BX449" s="65"/>
      <c r="BY449" s="65"/>
      <c r="BZ449" s="65"/>
      <c r="CA449" s="65"/>
      <c r="CB449" s="65"/>
      <c r="CC449" s="65"/>
      <c r="CD449" s="65"/>
      <c r="CE449" s="65"/>
      <c r="CF449" s="65"/>
      <c r="CG449" s="65"/>
      <c r="CH449" s="65"/>
      <c r="CI449" s="65"/>
      <c r="CJ449" s="65"/>
      <c r="CK449" s="65"/>
      <c r="CL449" s="65"/>
      <c r="CM449" s="65"/>
      <c r="CN449" s="65"/>
      <c r="CO449" s="65"/>
      <c r="CP449" s="65"/>
      <c r="CQ449" s="65"/>
      <c r="CR449" s="65"/>
      <c r="CS449" s="65"/>
      <c r="CT449" s="65"/>
      <c r="CU449" s="65"/>
      <c r="CV449" s="65"/>
      <c r="CW449" s="65"/>
      <c r="CX449" s="65"/>
      <c r="CY449" s="65"/>
      <c r="CZ449" s="65"/>
      <c r="DA449" s="65"/>
      <c r="DB449" s="65"/>
      <c r="DC449" s="65"/>
      <c r="DD449" s="65"/>
      <c r="DE449" s="65"/>
      <c r="DF449" s="65"/>
      <c r="DG449" s="65"/>
      <c r="DH449" s="65"/>
      <c r="DI449" s="65"/>
      <c r="DJ449" s="65"/>
      <c r="DK449" s="65"/>
      <c r="DL449" s="65"/>
      <c r="DM449" s="65"/>
      <c r="DN449" s="65"/>
      <c r="DO449" s="65"/>
      <c r="DP449" s="65"/>
      <c r="DQ449" s="65"/>
      <c r="DR449" s="65"/>
      <c r="DS449" s="65"/>
      <c r="DT449" s="65"/>
      <c r="DU449" s="65"/>
      <c r="DV449" s="65"/>
      <c r="DW449" s="65"/>
      <c r="DX449" s="65"/>
      <c r="DY449" s="65"/>
      <c r="DZ449" s="65"/>
      <c r="EA449" s="65"/>
      <c r="EB449" s="65"/>
      <c r="EC449" s="65"/>
      <c r="ED449" s="65"/>
      <c r="EE449" s="65"/>
      <c r="EF449" s="65"/>
      <c r="EG449" s="65"/>
      <c r="EH449" s="65"/>
      <c r="EI449" s="65"/>
      <c r="EJ449" s="65"/>
      <c r="EK449" s="65"/>
      <c r="EL449" s="65"/>
      <c r="EM449" s="65"/>
      <c r="EN449" s="65"/>
      <c r="EO449" s="65"/>
    </row>
    <row r="450" spans="1:145" s="62" customFormat="1" x14ac:dyDescent="0.2">
      <c r="A450" s="74"/>
      <c r="B450" s="129"/>
      <c r="C450" s="185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22"/>
      <c r="P450" s="122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  <c r="AW450" s="65"/>
      <c r="AX450" s="65"/>
      <c r="AY450" s="65"/>
      <c r="AZ450" s="65"/>
      <c r="BA450" s="65"/>
      <c r="BB450" s="65"/>
      <c r="BC450" s="65"/>
      <c r="BD450" s="65"/>
      <c r="BE450" s="65"/>
      <c r="BF450" s="65"/>
      <c r="BG450" s="65"/>
      <c r="BH450" s="65"/>
      <c r="BI450" s="65"/>
      <c r="BJ450" s="65"/>
      <c r="BK450" s="65"/>
      <c r="BL450" s="65"/>
      <c r="BM450" s="65"/>
      <c r="BN450" s="65"/>
      <c r="BO450" s="65"/>
      <c r="BP450" s="65"/>
      <c r="BQ450" s="65"/>
      <c r="BR450" s="65"/>
      <c r="BS450" s="65"/>
      <c r="BT450" s="65"/>
      <c r="BU450" s="65"/>
      <c r="BV450" s="65"/>
      <c r="BW450" s="65"/>
      <c r="BX450" s="65"/>
      <c r="BY450" s="65"/>
      <c r="BZ450" s="65"/>
      <c r="CA450" s="65"/>
      <c r="CB450" s="65"/>
      <c r="CC450" s="65"/>
      <c r="CD450" s="65"/>
      <c r="CE450" s="65"/>
      <c r="CF450" s="65"/>
      <c r="CG450" s="65"/>
      <c r="CH450" s="65"/>
      <c r="CI450" s="65"/>
      <c r="CJ450" s="65"/>
      <c r="CK450" s="65"/>
      <c r="CL450" s="65"/>
      <c r="CM450" s="65"/>
      <c r="CN450" s="65"/>
      <c r="CO450" s="65"/>
      <c r="CP450" s="65"/>
      <c r="CQ450" s="65"/>
      <c r="CR450" s="65"/>
      <c r="CS450" s="65"/>
      <c r="CT450" s="65"/>
      <c r="CU450" s="65"/>
      <c r="CV450" s="65"/>
      <c r="CW450" s="65"/>
      <c r="CX450" s="65"/>
      <c r="CY450" s="65"/>
      <c r="CZ450" s="65"/>
      <c r="DA450" s="65"/>
      <c r="DB450" s="65"/>
      <c r="DC450" s="65"/>
      <c r="DD450" s="65"/>
      <c r="DE450" s="65"/>
      <c r="DF450" s="65"/>
      <c r="DG450" s="65"/>
      <c r="DH450" s="65"/>
      <c r="DI450" s="65"/>
      <c r="DJ450" s="65"/>
      <c r="DK450" s="65"/>
      <c r="DL450" s="65"/>
      <c r="DM450" s="65"/>
      <c r="DN450" s="65"/>
      <c r="DO450" s="65"/>
      <c r="DP450" s="65"/>
      <c r="DQ450" s="65"/>
      <c r="DR450" s="65"/>
      <c r="DS450" s="65"/>
      <c r="DT450" s="65"/>
      <c r="DU450" s="65"/>
      <c r="DV450" s="65"/>
      <c r="DW450" s="65"/>
      <c r="DX450" s="65"/>
      <c r="DY450" s="65"/>
      <c r="DZ450" s="65"/>
      <c r="EA450" s="65"/>
      <c r="EB450" s="65"/>
      <c r="EC450" s="65"/>
      <c r="ED450" s="65"/>
      <c r="EE450" s="65"/>
      <c r="EF450" s="65"/>
      <c r="EG450" s="65"/>
      <c r="EH450" s="65"/>
      <c r="EI450" s="65"/>
      <c r="EJ450" s="65"/>
      <c r="EK450" s="65"/>
      <c r="EL450" s="65"/>
      <c r="EM450" s="65"/>
      <c r="EN450" s="65"/>
      <c r="EO450" s="65"/>
    </row>
    <row r="451" spans="1:145" s="62" customFormat="1" ht="12" thickBot="1" x14ac:dyDescent="0.25">
      <c r="A451" s="74">
        <v>15</v>
      </c>
      <c r="B451" s="243" t="str">
        <f>B37</f>
        <v>TOTAL AEP TEXAS</v>
      </c>
      <c r="C451" s="238"/>
      <c r="D451" s="186">
        <f t="shared" ref="D451:P451" si="97">+D449+D445</f>
        <v>0</v>
      </c>
      <c r="E451" s="186">
        <f t="shared" si="97"/>
        <v>0</v>
      </c>
      <c r="F451" s="186">
        <f t="shared" si="97"/>
        <v>0</v>
      </c>
      <c r="G451" s="186">
        <f t="shared" si="97"/>
        <v>0</v>
      </c>
      <c r="H451" s="186">
        <f t="shared" si="97"/>
        <v>0</v>
      </c>
      <c r="I451" s="186">
        <f t="shared" si="97"/>
        <v>0</v>
      </c>
      <c r="J451" s="186">
        <f t="shared" si="97"/>
        <v>0</v>
      </c>
      <c r="K451" s="186">
        <f t="shared" si="97"/>
        <v>0</v>
      </c>
      <c r="L451" s="186">
        <f t="shared" si="97"/>
        <v>0</v>
      </c>
      <c r="M451" s="186">
        <f t="shared" si="97"/>
        <v>0</v>
      </c>
      <c r="N451" s="186">
        <f t="shared" si="97"/>
        <v>0</v>
      </c>
      <c r="O451" s="186">
        <f t="shared" si="97"/>
        <v>0</v>
      </c>
      <c r="P451" s="186">
        <f t="shared" si="97"/>
        <v>0</v>
      </c>
      <c r="Q451" s="148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  <c r="BD451" s="65"/>
      <c r="BE451" s="65"/>
      <c r="BF451" s="65"/>
      <c r="BG451" s="65"/>
      <c r="BH451" s="65"/>
      <c r="BI451" s="65"/>
      <c r="BJ451" s="65"/>
      <c r="BK451" s="65"/>
      <c r="BL451" s="65"/>
      <c r="BM451" s="65"/>
      <c r="BN451" s="65"/>
      <c r="BO451" s="65"/>
      <c r="BP451" s="65"/>
      <c r="BQ451" s="65"/>
      <c r="BR451" s="65"/>
      <c r="BS451" s="65"/>
      <c r="BT451" s="65"/>
      <c r="BU451" s="65"/>
      <c r="BV451" s="65"/>
      <c r="BW451" s="65"/>
      <c r="BX451" s="65"/>
      <c r="BY451" s="65"/>
      <c r="BZ451" s="65"/>
      <c r="CA451" s="65"/>
      <c r="CB451" s="65"/>
      <c r="CC451" s="65"/>
      <c r="CD451" s="65"/>
      <c r="CE451" s="65"/>
      <c r="CF451" s="65"/>
      <c r="CG451" s="65"/>
      <c r="CH451" s="65"/>
      <c r="CI451" s="65"/>
      <c r="CJ451" s="65"/>
      <c r="CK451" s="65"/>
      <c r="CL451" s="65"/>
      <c r="CM451" s="65"/>
      <c r="CN451" s="65"/>
      <c r="CO451" s="65"/>
      <c r="CP451" s="65"/>
      <c r="CQ451" s="65"/>
      <c r="CR451" s="65"/>
      <c r="CS451" s="65"/>
      <c r="CT451" s="65"/>
      <c r="CU451" s="65"/>
      <c r="CV451" s="65"/>
      <c r="CW451" s="65"/>
      <c r="CX451" s="65"/>
      <c r="CY451" s="65"/>
      <c r="CZ451" s="65"/>
      <c r="DA451" s="65"/>
      <c r="DB451" s="65"/>
      <c r="DC451" s="65"/>
      <c r="DD451" s="65"/>
      <c r="DE451" s="65"/>
      <c r="DF451" s="65"/>
      <c r="DG451" s="65"/>
      <c r="DH451" s="65"/>
      <c r="DI451" s="65"/>
      <c r="DJ451" s="65"/>
      <c r="DK451" s="65"/>
      <c r="DL451" s="65"/>
      <c r="DM451" s="65"/>
      <c r="DN451" s="65"/>
      <c r="DO451" s="65"/>
      <c r="DP451" s="65"/>
      <c r="DQ451" s="65"/>
      <c r="DR451" s="65"/>
      <c r="DS451" s="65"/>
      <c r="DT451" s="65"/>
      <c r="DU451" s="65"/>
      <c r="DV451" s="65"/>
      <c r="DW451" s="65"/>
      <c r="DX451" s="65"/>
      <c r="DY451" s="65"/>
      <c r="DZ451" s="65"/>
      <c r="EA451" s="65"/>
      <c r="EB451" s="65"/>
      <c r="EC451" s="65"/>
      <c r="ED451" s="65"/>
      <c r="EE451" s="65"/>
      <c r="EF451" s="65"/>
      <c r="EG451" s="65"/>
      <c r="EH451" s="65"/>
      <c r="EI451" s="65"/>
      <c r="EJ451" s="65"/>
      <c r="EK451" s="65"/>
      <c r="EL451" s="65"/>
      <c r="EM451" s="65"/>
      <c r="EN451" s="65"/>
      <c r="EO451" s="65"/>
    </row>
    <row r="452" spans="1:145" ht="12" thickTop="1" x14ac:dyDescent="0.2">
      <c r="A452" s="64"/>
      <c r="B452" s="271"/>
      <c r="C452" s="143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56"/>
      <c r="Q452" s="148"/>
    </row>
    <row r="453" spans="1:145" customFormat="1" ht="12.75" x14ac:dyDescent="0.2"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</row>
    <row r="454" spans="1:145" customFormat="1" ht="12.75" x14ac:dyDescent="0.2"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</row>
    <row r="455" spans="1:145" customFormat="1" ht="12.75" x14ac:dyDescent="0.2"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</row>
    <row r="456" spans="1:145" s="146" customFormat="1" ht="12" customHeight="1" x14ac:dyDescent="0.2">
      <c r="B456" s="388" t="str">
        <f>B8</f>
        <v>AEP TEXAS</v>
      </c>
      <c r="C456" s="388"/>
      <c r="D456" s="388"/>
      <c r="E456" s="388"/>
      <c r="F456" s="388"/>
      <c r="G456" s="388"/>
      <c r="H456" s="388"/>
      <c r="I456" s="388"/>
      <c r="J456" s="388"/>
      <c r="K456" s="388"/>
      <c r="L456" s="388"/>
      <c r="M456" s="388"/>
      <c r="N456" s="388"/>
      <c r="O456" s="388"/>
      <c r="P456" s="174"/>
      <c r="Q456" s="148"/>
    </row>
    <row r="457" spans="1:145" s="146" customFormat="1" x14ac:dyDescent="0.2">
      <c r="B457" s="393" t="s">
        <v>90</v>
      </c>
      <c r="C457" s="388"/>
      <c r="D457" s="388"/>
      <c r="E457" s="388"/>
      <c r="F457" s="388"/>
      <c r="G457" s="388"/>
      <c r="H457" s="388"/>
      <c r="I457" s="388"/>
      <c r="J457" s="388"/>
      <c r="K457" s="388"/>
      <c r="L457" s="388"/>
      <c r="M457" s="388"/>
      <c r="N457" s="388"/>
      <c r="O457" s="388"/>
      <c r="P457" s="147" t="s">
        <v>1</v>
      </c>
      <c r="Q457" s="148"/>
    </row>
    <row r="458" spans="1:145" s="146" customFormat="1" x14ac:dyDescent="0.2">
      <c r="B458" s="388" t="str">
        <f>B10</f>
        <v>FOR TEST YEAR ENDED DECEMBER 31, 2018</v>
      </c>
      <c r="C458" s="388"/>
      <c r="D458" s="388"/>
      <c r="E458" s="388"/>
      <c r="F458" s="388"/>
      <c r="G458" s="388"/>
      <c r="H458" s="388"/>
      <c r="I458" s="388"/>
      <c r="J458" s="388"/>
      <c r="K458" s="388"/>
      <c r="L458" s="388"/>
      <c r="M458" s="388"/>
      <c r="N458" s="388"/>
      <c r="O458" s="388"/>
      <c r="P458" s="146" t="s">
        <v>1</v>
      </c>
      <c r="Q458" s="148"/>
    </row>
    <row r="459" spans="1:145" s="126" customFormat="1" ht="12.75" x14ac:dyDescent="0.2"/>
    <row r="460" spans="1:145" s="146" customFormat="1" x14ac:dyDescent="0.2">
      <c r="B460" s="175"/>
      <c r="C460" s="174"/>
      <c r="D460" s="176"/>
      <c r="E460" s="177"/>
      <c r="F460" s="177"/>
      <c r="G460" s="176"/>
      <c r="H460" s="157"/>
      <c r="I460" s="157"/>
      <c r="K460" s="157"/>
      <c r="L460" s="157"/>
      <c r="M460" s="157"/>
      <c r="N460" s="157"/>
      <c r="O460" s="122"/>
      <c r="P460" s="178"/>
      <c r="Q460" s="148"/>
    </row>
    <row r="461" spans="1:145" s="146" customFormat="1" x14ac:dyDescent="0.2">
      <c r="A461" s="118" t="s">
        <v>20</v>
      </c>
      <c r="B461" s="237" t="s">
        <v>0</v>
      </c>
      <c r="C461" s="237" t="s">
        <v>19</v>
      </c>
      <c r="D461" s="164" t="str">
        <f>+D13</f>
        <v>JANUARY</v>
      </c>
      <c r="E461" s="164" t="str">
        <f t="shared" ref="E461:O461" si="98">+E13</f>
        <v>FEBRUARY</v>
      </c>
      <c r="F461" s="164" t="str">
        <f t="shared" si="98"/>
        <v>MARCH</v>
      </c>
      <c r="G461" s="164" t="str">
        <f t="shared" si="98"/>
        <v>APRIL</v>
      </c>
      <c r="H461" s="164" t="str">
        <f t="shared" si="98"/>
        <v>MAY</v>
      </c>
      <c r="I461" s="164" t="str">
        <f t="shared" si="98"/>
        <v>JUNE</v>
      </c>
      <c r="J461" s="164" t="str">
        <f t="shared" si="98"/>
        <v>JULY</v>
      </c>
      <c r="K461" s="164" t="str">
        <f t="shared" si="98"/>
        <v>AUGUST</v>
      </c>
      <c r="L461" s="164" t="str">
        <f t="shared" si="98"/>
        <v>SEPTEMBER</v>
      </c>
      <c r="M461" s="164" t="str">
        <f t="shared" si="98"/>
        <v>OCTOBER</v>
      </c>
      <c r="N461" s="164" t="str">
        <f t="shared" si="98"/>
        <v>NOVEMBER</v>
      </c>
      <c r="O461" s="164" t="str">
        <f t="shared" si="98"/>
        <v>DECEMBER</v>
      </c>
      <c r="P461" s="179" t="s">
        <v>14</v>
      </c>
      <c r="Q461" s="148"/>
    </row>
    <row r="462" spans="1:145" s="129" customFormat="1" x14ac:dyDescent="0.2">
      <c r="A462" s="141"/>
      <c r="B462" s="180"/>
      <c r="C462" s="181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17"/>
    </row>
    <row r="463" spans="1:145" s="129" customFormat="1" x14ac:dyDescent="0.2">
      <c r="A463" s="141" t="s">
        <v>21</v>
      </c>
      <c r="B463" s="129" t="s">
        <v>29</v>
      </c>
      <c r="C463" s="143" t="s">
        <v>16</v>
      </c>
      <c r="D463" s="149">
        <f t="shared" ref="D463:O463" si="99">+D398+D368+D336+D305+D274+D243+D212+D179+D146+D113+D15+D429+D48+D80</f>
        <v>21255911.175430615</v>
      </c>
      <c r="E463" s="149">
        <f t="shared" si="99"/>
        <v>18103158.191611916</v>
      </c>
      <c r="F463" s="149">
        <f t="shared" si="99"/>
        <v>16480531.760219028</v>
      </c>
      <c r="G463" s="149">
        <f t="shared" si="99"/>
        <v>16707380.18685483</v>
      </c>
      <c r="H463" s="149">
        <f t="shared" si="99"/>
        <v>18346194.565567091</v>
      </c>
      <c r="I463" s="149">
        <f t="shared" si="99"/>
        <v>23260964.257455513</v>
      </c>
      <c r="J463" s="149">
        <f t="shared" si="99"/>
        <v>25127661.973350093</v>
      </c>
      <c r="K463" s="149">
        <f t="shared" si="99"/>
        <v>25430532.876003977</v>
      </c>
      <c r="L463" s="149">
        <f t="shared" si="99"/>
        <v>24509259.176987976</v>
      </c>
      <c r="M463" s="149">
        <f t="shared" si="99"/>
        <v>20437391.070767231</v>
      </c>
      <c r="N463" s="149">
        <f t="shared" si="99"/>
        <v>17085597.470294554</v>
      </c>
      <c r="O463" s="149">
        <f t="shared" si="99"/>
        <v>18908559.988676012</v>
      </c>
      <c r="P463" s="182">
        <f>SUM(D463:O463)</f>
        <v>245653142.69321883</v>
      </c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/>
      <c r="AD463" s="117"/>
      <c r="AE463" s="117"/>
      <c r="AF463" s="117"/>
      <c r="AG463" s="117"/>
      <c r="AH463" s="117"/>
      <c r="AI463" s="117"/>
      <c r="AJ463" s="117"/>
      <c r="AK463" s="117"/>
      <c r="AL463" s="117"/>
      <c r="AM463" s="117"/>
      <c r="AN463" s="117"/>
      <c r="AO463" s="117"/>
      <c r="AP463" s="117"/>
      <c r="AQ463" s="117"/>
      <c r="AR463" s="117"/>
      <c r="AS463" s="117"/>
      <c r="AT463" s="117"/>
      <c r="AU463" s="117"/>
      <c r="AV463" s="117"/>
      <c r="AW463" s="117"/>
      <c r="AX463" s="117"/>
      <c r="AY463" s="117"/>
      <c r="AZ463" s="117"/>
      <c r="BA463" s="117"/>
      <c r="BB463" s="117"/>
      <c r="BC463" s="117"/>
      <c r="BD463" s="117"/>
      <c r="BE463" s="117"/>
      <c r="BF463" s="117"/>
      <c r="BG463" s="117"/>
      <c r="BH463" s="117"/>
      <c r="BI463" s="117"/>
      <c r="BJ463" s="117"/>
      <c r="BK463" s="117"/>
      <c r="BL463" s="117"/>
      <c r="BM463" s="117"/>
      <c r="BN463" s="117"/>
      <c r="BO463" s="117"/>
      <c r="BP463" s="117"/>
      <c r="BQ463" s="117"/>
      <c r="BR463" s="117"/>
      <c r="BS463" s="117"/>
      <c r="BT463" s="117"/>
      <c r="BU463" s="117"/>
      <c r="BV463" s="117"/>
      <c r="BW463" s="117"/>
      <c r="BX463" s="117"/>
      <c r="BY463" s="117"/>
      <c r="BZ463" s="117"/>
      <c r="CA463" s="117"/>
      <c r="CB463" s="117"/>
      <c r="CC463" s="117"/>
      <c r="CD463" s="117"/>
      <c r="CE463" s="117"/>
      <c r="CF463" s="117"/>
      <c r="CG463" s="117"/>
      <c r="CH463" s="117"/>
      <c r="CI463" s="117"/>
      <c r="CJ463" s="117"/>
      <c r="CK463" s="117"/>
      <c r="CL463" s="117"/>
      <c r="CM463" s="117"/>
      <c r="CN463" s="117"/>
      <c r="CO463" s="117"/>
      <c r="CP463" s="117"/>
      <c r="CQ463" s="117"/>
      <c r="CR463" s="117"/>
      <c r="CS463" s="117"/>
      <c r="CT463" s="117"/>
      <c r="CU463" s="117"/>
      <c r="CV463" s="117"/>
      <c r="CW463" s="117"/>
      <c r="CX463" s="117"/>
      <c r="CY463" s="117"/>
      <c r="CZ463" s="117"/>
      <c r="DA463" s="117"/>
      <c r="DB463" s="117"/>
      <c r="DC463" s="117"/>
      <c r="DD463" s="117"/>
      <c r="DE463" s="117"/>
      <c r="DF463" s="117"/>
      <c r="DG463" s="117"/>
      <c r="DH463" s="117"/>
      <c r="DI463" s="117"/>
      <c r="DJ463" s="117"/>
      <c r="DK463" s="117"/>
      <c r="DL463" s="117"/>
      <c r="DM463" s="117"/>
      <c r="DN463" s="117"/>
      <c r="DO463" s="117"/>
      <c r="DP463" s="117"/>
      <c r="DQ463" s="117"/>
      <c r="DR463" s="117"/>
      <c r="DS463" s="117"/>
      <c r="DT463" s="117"/>
      <c r="DU463" s="117"/>
      <c r="DV463" s="117"/>
      <c r="DW463" s="117"/>
      <c r="DX463" s="117"/>
      <c r="DY463" s="117"/>
      <c r="DZ463" s="117"/>
      <c r="EA463" s="117"/>
      <c r="EB463" s="117"/>
      <c r="EC463" s="117"/>
      <c r="ED463" s="117"/>
      <c r="EE463" s="117"/>
      <c r="EF463" s="117"/>
      <c r="EG463" s="117"/>
      <c r="EH463" s="117"/>
      <c r="EI463" s="117"/>
      <c r="EJ463" s="117"/>
      <c r="EK463" s="117"/>
      <c r="EL463" s="117"/>
      <c r="EM463" s="117"/>
      <c r="EN463" s="117"/>
    </row>
    <row r="464" spans="1:145" s="129" customFormat="1" x14ac:dyDescent="0.2">
      <c r="C464" s="143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/>
      <c r="AD464" s="117"/>
      <c r="AE464" s="117"/>
      <c r="AF464" s="117"/>
      <c r="AG464" s="117"/>
      <c r="AH464" s="117"/>
      <c r="AI464" s="117"/>
      <c r="AJ464" s="117"/>
      <c r="AK464" s="117"/>
      <c r="AL464" s="117"/>
      <c r="AM464" s="117"/>
      <c r="AN464" s="117"/>
      <c r="AO464" s="117"/>
      <c r="AP464" s="117"/>
      <c r="AQ464" s="117"/>
      <c r="AR464" s="117"/>
      <c r="AS464" s="117"/>
      <c r="AT464" s="117"/>
      <c r="AU464" s="117"/>
      <c r="AV464" s="117"/>
      <c r="AW464" s="117"/>
      <c r="AX464" s="117"/>
      <c r="AY464" s="117"/>
      <c r="AZ464" s="117"/>
      <c r="BA464" s="117"/>
      <c r="BB464" s="117"/>
      <c r="BC464" s="117"/>
      <c r="BD464" s="117"/>
      <c r="BE464" s="117"/>
      <c r="BF464" s="117"/>
      <c r="BG464" s="117"/>
      <c r="BH464" s="117"/>
      <c r="BI464" s="117"/>
      <c r="BJ464" s="117"/>
      <c r="BK464" s="117"/>
      <c r="BL464" s="117"/>
      <c r="BM464" s="117"/>
      <c r="BN464" s="117"/>
      <c r="BO464" s="117"/>
      <c r="BP464" s="117"/>
      <c r="BQ464" s="117"/>
      <c r="BR464" s="117"/>
      <c r="BS464" s="117"/>
      <c r="BT464" s="117"/>
      <c r="BU464" s="117"/>
      <c r="BV464" s="117"/>
      <c r="BW464" s="117"/>
      <c r="BX464" s="117"/>
      <c r="BY464" s="117"/>
      <c r="BZ464" s="117"/>
      <c r="CA464" s="117"/>
      <c r="CB464" s="117"/>
      <c r="CC464" s="117"/>
      <c r="CD464" s="117"/>
      <c r="CE464" s="117"/>
      <c r="CF464" s="117"/>
      <c r="CG464" s="117"/>
      <c r="CH464" s="117"/>
      <c r="CI464" s="117"/>
      <c r="CJ464" s="117"/>
      <c r="CK464" s="117"/>
      <c r="CL464" s="117"/>
      <c r="CM464" s="117"/>
      <c r="CN464" s="117"/>
      <c r="CO464" s="117"/>
      <c r="CP464" s="117"/>
      <c r="CQ464" s="117"/>
      <c r="CR464" s="117"/>
      <c r="CS464" s="117"/>
      <c r="CT464" s="117"/>
      <c r="CU464" s="117"/>
      <c r="CV464" s="117"/>
      <c r="CW464" s="117"/>
      <c r="CX464" s="117"/>
      <c r="CY464" s="117"/>
      <c r="CZ464" s="117"/>
      <c r="DA464" s="117"/>
      <c r="DB464" s="117"/>
      <c r="DC464" s="117"/>
      <c r="DD464" s="117"/>
      <c r="DE464" s="117"/>
      <c r="DF464" s="117"/>
      <c r="DG464" s="117"/>
      <c r="DH464" s="117"/>
      <c r="DI464" s="117"/>
      <c r="DJ464" s="117"/>
      <c r="DK464" s="117"/>
      <c r="DL464" s="117"/>
      <c r="DM464" s="117"/>
      <c r="DN464" s="117"/>
      <c r="DO464" s="117"/>
      <c r="DP464" s="117"/>
      <c r="DQ464" s="117"/>
      <c r="DR464" s="117"/>
      <c r="DS464" s="117"/>
      <c r="DT464" s="117"/>
      <c r="DU464" s="117"/>
      <c r="DV464" s="117"/>
      <c r="DW464" s="117"/>
      <c r="DX464" s="117"/>
      <c r="DY464" s="117"/>
      <c r="DZ464" s="117"/>
      <c r="EA464" s="117"/>
      <c r="EB464" s="117"/>
      <c r="EC464" s="117"/>
      <c r="ED464" s="117"/>
      <c r="EE464" s="117"/>
      <c r="EF464" s="117"/>
      <c r="EG464" s="117"/>
      <c r="EH464" s="117"/>
      <c r="EI464" s="117"/>
      <c r="EJ464" s="117"/>
      <c r="EK464" s="117"/>
      <c r="EL464" s="117"/>
      <c r="EM464" s="117"/>
      <c r="EN464" s="117"/>
    </row>
    <row r="465" spans="1:144" s="129" customFormat="1" x14ac:dyDescent="0.2">
      <c r="A465" s="141">
        <v>2</v>
      </c>
      <c r="B465" s="129" t="s">
        <v>32</v>
      </c>
      <c r="C465" s="143" t="s">
        <v>16</v>
      </c>
      <c r="D465" s="122">
        <f t="shared" ref="D465:O465" si="100">+D400+D370+D338+D307+D276+D245+D214+D181+D148+D115+D17+D431+D50+D82</f>
        <v>1726232.4225644977</v>
      </c>
      <c r="E465" s="122">
        <f t="shared" si="100"/>
        <v>1589122.0901901901</v>
      </c>
      <c r="F465" s="122">
        <f t="shared" si="100"/>
        <v>1525497.8392011141</v>
      </c>
      <c r="G465" s="122">
        <f t="shared" si="100"/>
        <v>1554421.5357756875</v>
      </c>
      <c r="H465" s="122">
        <f t="shared" si="100"/>
        <v>1582631.3134001985</v>
      </c>
      <c r="I465" s="122">
        <f t="shared" si="100"/>
        <v>1727520.4504766657</v>
      </c>
      <c r="J465" s="122">
        <f t="shared" si="100"/>
        <v>1790217.3177853588</v>
      </c>
      <c r="K465" s="122">
        <f t="shared" si="100"/>
        <v>1800718.6136522847</v>
      </c>
      <c r="L465" s="122">
        <f t="shared" si="100"/>
        <v>1789626.2682923302</v>
      </c>
      <c r="M465" s="122">
        <f t="shared" si="100"/>
        <v>1654056.5124078039</v>
      </c>
      <c r="N465" s="122">
        <f t="shared" si="100"/>
        <v>1556021.0250549461</v>
      </c>
      <c r="O465" s="122">
        <f t="shared" si="100"/>
        <v>1612897.8757368901</v>
      </c>
      <c r="P465" s="127">
        <f>SUM(D465:O465)</f>
        <v>19908963.264537964</v>
      </c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  <c r="AI465" s="117"/>
      <c r="AJ465" s="117"/>
      <c r="AK465" s="117"/>
      <c r="AL465" s="117"/>
      <c r="AM465" s="117"/>
      <c r="AN465" s="117"/>
      <c r="AO465" s="117"/>
      <c r="AP465" s="117"/>
      <c r="AQ465" s="117"/>
      <c r="AR465" s="117"/>
      <c r="AS465" s="117"/>
      <c r="AT465" s="117"/>
      <c r="AU465" s="117"/>
      <c r="AV465" s="117"/>
      <c r="AW465" s="117"/>
      <c r="AX465" s="117"/>
      <c r="AY465" s="117"/>
      <c r="AZ465" s="117"/>
      <c r="BA465" s="117"/>
      <c r="BB465" s="117"/>
      <c r="BC465" s="117"/>
      <c r="BD465" s="117"/>
      <c r="BE465" s="117"/>
      <c r="BF465" s="117"/>
      <c r="BG465" s="117"/>
      <c r="BH465" s="117"/>
      <c r="BI465" s="117"/>
      <c r="BJ465" s="117"/>
      <c r="BK465" s="117"/>
      <c r="BL465" s="117"/>
      <c r="BM465" s="117"/>
      <c r="BN465" s="117"/>
      <c r="BO465" s="117"/>
      <c r="BP465" s="117"/>
      <c r="BQ465" s="117"/>
      <c r="BR465" s="117"/>
      <c r="BS465" s="117"/>
      <c r="BT465" s="117"/>
      <c r="BU465" s="117"/>
      <c r="BV465" s="117"/>
      <c r="BW465" s="117"/>
      <c r="BX465" s="117"/>
      <c r="BY465" s="117"/>
      <c r="BZ465" s="117"/>
      <c r="CA465" s="117"/>
      <c r="CB465" s="117"/>
      <c r="CC465" s="117"/>
      <c r="CD465" s="117"/>
      <c r="CE465" s="117"/>
      <c r="CF465" s="117"/>
      <c r="CG465" s="117"/>
      <c r="CH465" s="117"/>
      <c r="CI465" s="117"/>
      <c r="CJ465" s="117"/>
      <c r="CK465" s="117"/>
      <c r="CL465" s="117"/>
      <c r="CM465" s="117"/>
      <c r="CN465" s="117"/>
      <c r="CO465" s="117"/>
      <c r="CP465" s="117"/>
      <c r="CQ465" s="117"/>
      <c r="CR465" s="117"/>
      <c r="CS465" s="117"/>
      <c r="CT465" s="117"/>
      <c r="CU465" s="117"/>
      <c r="CV465" s="117"/>
      <c r="CW465" s="117"/>
      <c r="CX465" s="117"/>
      <c r="CY465" s="117"/>
      <c r="CZ465" s="117"/>
      <c r="DA465" s="117"/>
      <c r="DB465" s="117"/>
      <c r="DC465" s="117"/>
      <c r="DD465" s="117"/>
      <c r="DE465" s="117"/>
      <c r="DF465" s="117"/>
      <c r="DG465" s="117"/>
      <c r="DH465" s="117"/>
      <c r="DI465" s="117"/>
      <c r="DJ465" s="117"/>
      <c r="DK465" s="117"/>
      <c r="DL465" s="117"/>
      <c r="DM465" s="117"/>
      <c r="DN465" s="117"/>
      <c r="DO465" s="117"/>
      <c r="DP465" s="117"/>
      <c r="DQ465" s="117"/>
      <c r="DR465" s="117"/>
      <c r="DS465" s="117"/>
      <c r="DT465" s="117"/>
      <c r="DU465" s="117"/>
      <c r="DV465" s="117"/>
      <c r="DW465" s="117"/>
      <c r="DX465" s="117"/>
      <c r="DY465" s="117"/>
      <c r="DZ465" s="117"/>
      <c r="EA465" s="117"/>
      <c r="EB465" s="117"/>
      <c r="EC465" s="117"/>
      <c r="ED465" s="117"/>
      <c r="EE465" s="117"/>
      <c r="EF465" s="117"/>
      <c r="EG465" s="117"/>
      <c r="EH465" s="117"/>
      <c r="EI465" s="117"/>
      <c r="EJ465" s="117"/>
      <c r="EK465" s="117"/>
      <c r="EL465" s="117"/>
      <c r="EM465" s="117"/>
      <c r="EN465" s="117"/>
    </row>
    <row r="466" spans="1:144" s="129" customFormat="1" x14ac:dyDescent="0.2">
      <c r="A466" s="141"/>
      <c r="C466" s="143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7"/>
      <c r="AH466" s="117"/>
      <c r="AI466" s="117"/>
      <c r="AJ466" s="117"/>
      <c r="AK466" s="117"/>
      <c r="AL466" s="117"/>
      <c r="AM466" s="117"/>
      <c r="AN466" s="117"/>
      <c r="AO466" s="117"/>
      <c r="AP466" s="117"/>
      <c r="AQ466" s="117"/>
      <c r="AR466" s="117"/>
      <c r="AS466" s="117"/>
      <c r="AT466" s="117"/>
      <c r="AU466" s="117"/>
      <c r="AV466" s="117"/>
      <c r="AW466" s="117"/>
      <c r="AX466" s="117"/>
      <c r="AY466" s="117"/>
      <c r="AZ466" s="117"/>
      <c r="BA466" s="117"/>
      <c r="BB466" s="117"/>
      <c r="BC466" s="117"/>
      <c r="BD466" s="117"/>
      <c r="BE466" s="117"/>
      <c r="BF466" s="117"/>
      <c r="BG466" s="117"/>
      <c r="BH466" s="117"/>
      <c r="BI466" s="117"/>
      <c r="BJ466" s="117"/>
      <c r="BK466" s="117"/>
      <c r="BL466" s="117"/>
      <c r="BM466" s="117"/>
      <c r="BN466" s="117"/>
      <c r="BO466" s="117"/>
      <c r="BP466" s="117"/>
      <c r="BQ466" s="117"/>
      <c r="BR466" s="117"/>
      <c r="BS466" s="117"/>
      <c r="BT466" s="117"/>
      <c r="BU466" s="117"/>
      <c r="BV466" s="117"/>
      <c r="BW466" s="117"/>
      <c r="BX466" s="117"/>
      <c r="BY466" s="117"/>
      <c r="BZ466" s="117"/>
      <c r="CA466" s="117"/>
      <c r="CB466" s="117"/>
      <c r="CC466" s="117"/>
      <c r="CD466" s="117"/>
      <c r="CE466" s="117"/>
      <c r="CF466" s="117"/>
      <c r="CG466" s="117"/>
      <c r="CH466" s="117"/>
      <c r="CI466" s="117"/>
      <c r="CJ466" s="117"/>
      <c r="CK466" s="117"/>
      <c r="CL466" s="117"/>
      <c r="CM466" s="117"/>
      <c r="CN466" s="117"/>
      <c r="CO466" s="117"/>
      <c r="CP466" s="117"/>
      <c r="CQ466" s="117"/>
      <c r="CR466" s="117"/>
      <c r="CS466" s="117"/>
      <c r="CT466" s="117"/>
      <c r="CU466" s="117"/>
      <c r="CV466" s="117"/>
      <c r="CW466" s="117"/>
      <c r="CX466" s="117"/>
      <c r="CY466" s="117"/>
      <c r="CZ466" s="117"/>
      <c r="DA466" s="117"/>
      <c r="DB466" s="117"/>
      <c r="DC466" s="117"/>
      <c r="DD466" s="117"/>
      <c r="DE466" s="117"/>
      <c r="DF466" s="117"/>
      <c r="DG466" s="117"/>
      <c r="DH466" s="117"/>
      <c r="DI466" s="117"/>
      <c r="DJ466" s="117"/>
      <c r="DK466" s="117"/>
      <c r="DL466" s="117"/>
      <c r="DM466" s="117"/>
      <c r="DN466" s="117"/>
      <c r="DO466" s="117"/>
      <c r="DP466" s="117"/>
      <c r="DQ466" s="117"/>
      <c r="DR466" s="117"/>
      <c r="DS466" s="117"/>
      <c r="DT466" s="117"/>
      <c r="DU466" s="117"/>
      <c r="DV466" s="117"/>
      <c r="DW466" s="117"/>
      <c r="DX466" s="117"/>
      <c r="DY466" s="117"/>
      <c r="DZ466" s="117"/>
      <c r="EA466" s="117"/>
      <c r="EB466" s="117"/>
      <c r="EC466" s="117"/>
      <c r="ED466" s="117"/>
      <c r="EE466" s="117"/>
      <c r="EF466" s="117"/>
      <c r="EG466" s="117"/>
      <c r="EH466" s="117"/>
      <c r="EI466" s="117"/>
      <c r="EJ466" s="117"/>
      <c r="EK466" s="117"/>
      <c r="EL466" s="117"/>
      <c r="EM466" s="117"/>
      <c r="EN466" s="117"/>
    </row>
    <row r="467" spans="1:144" s="129" customFormat="1" x14ac:dyDescent="0.2">
      <c r="A467" s="141">
        <v>3</v>
      </c>
      <c r="B467" s="146" t="s">
        <v>113</v>
      </c>
      <c r="C467" s="125" t="s">
        <v>16</v>
      </c>
      <c r="D467" s="122">
        <f t="shared" ref="D467:O467" si="101">+D402+D372+D340+D309+D278+D247+D216+D183+D150+D117+D19+D433+D52+D84</f>
        <v>10630005.740250405</v>
      </c>
      <c r="E467" s="122">
        <f t="shared" si="101"/>
        <v>10468994.119800908</v>
      </c>
      <c r="F467" s="122">
        <f t="shared" si="101"/>
        <v>10031788.483050197</v>
      </c>
      <c r="G467" s="122">
        <f t="shared" si="101"/>
        <v>10069975.603485452</v>
      </c>
      <c r="H467" s="122">
        <f t="shared" si="101"/>
        <v>10408600.869937999</v>
      </c>
      <c r="I467" s="122">
        <f t="shared" si="101"/>
        <v>10256317.659558404</v>
      </c>
      <c r="J467" s="122">
        <f t="shared" si="101"/>
        <v>10526258.449624116</v>
      </c>
      <c r="K467" s="122">
        <f t="shared" si="101"/>
        <v>10606723.215453804</v>
      </c>
      <c r="L467" s="122">
        <f t="shared" si="101"/>
        <v>10569898.665323334</v>
      </c>
      <c r="M467" s="122">
        <f t="shared" si="101"/>
        <v>10360045.687452493</v>
      </c>
      <c r="N467" s="122">
        <f t="shared" si="101"/>
        <v>10370449.937255802</v>
      </c>
      <c r="O467" s="122">
        <f t="shared" si="101"/>
        <v>10309405.012129743</v>
      </c>
      <c r="P467" s="127">
        <f>SUM(D467:O467)</f>
        <v>124608463.44332266</v>
      </c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  <c r="AI467" s="117"/>
      <c r="AJ467" s="117"/>
      <c r="AK467" s="117"/>
      <c r="AL467" s="117"/>
      <c r="AM467" s="117"/>
      <c r="AN467" s="117"/>
      <c r="AO467" s="117"/>
      <c r="AP467" s="117"/>
      <c r="AQ467" s="117"/>
      <c r="AR467" s="117"/>
      <c r="AS467" s="117"/>
      <c r="AT467" s="117"/>
      <c r="AU467" s="117"/>
      <c r="AV467" s="117"/>
      <c r="AW467" s="117"/>
      <c r="AX467" s="117"/>
      <c r="AY467" s="117"/>
      <c r="AZ467" s="117"/>
      <c r="BA467" s="117"/>
      <c r="BB467" s="117"/>
      <c r="BC467" s="117"/>
      <c r="BD467" s="117"/>
      <c r="BE467" s="117"/>
      <c r="BF467" s="117"/>
      <c r="BG467" s="117"/>
      <c r="BH467" s="117"/>
      <c r="BI467" s="117"/>
      <c r="BJ467" s="117"/>
      <c r="BK467" s="117"/>
      <c r="BL467" s="117"/>
      <c r="BM467" s="117"/>
      <c r="BN467" s="117"/>
      <c r="BO467" s="117"/>
      <c r="BP467" s="117"/>
      <c r="BQ467" s="117"/>
      <c r="BR467" s="117"/>
      <c r="BS467" s="117"/>
      <c r="BT467" s="117"/>
      <c r="BU467" s="117"/>
      <c r="BV467" s="117"/>
      <c r="BW467" s="117"/>
      <c r="BX467" s="117"/>
      <c r="BY467" s="117"/>
      <c r="BZ467" s="117"/>
      <c r="CA467" s="117"/>
      <c r="CB467" s="117"/>
      <c r="CC467" s="117"/>
      <c r="CD467" s="117"/>
      <c r="CE467" s="117"/>
      <c r="CF467" s="117"/>
      <c r="CG467" s="117"/>
      <c r="CH467" s="117"/>
      <c r="CI467" s="117"/>
      <c r="CJ467" s="117"/>
      <c r="CK467" s="117"/>
      <c r="CL467" s="117"/>
      <c r="CM467" s="117"/>
      <c r="CN467" s="117"/>
      <c r="CO467" s="117"/>
      <c r="CP467" s="117"/>
      <c r="CQ467" s="117"/>
      <c r="CR467" s="117"/>
      <c r="CS467" s="117"/>
      <c r="CT467" s="117"/>
      <c r="CU467" s="117"/>
      <c r="CV467" s="117"/>
      <c r="CW467" s="117"/>
      <c r="CX467" s="117"/>
      <c r="CY467" s="117"/>
      <c r="CZ467" s="117"/>
      <c r="DA467" s="117"/>
      <c r="DB467" s="117"/>
      <c r="DC467" s="117"/>
      <c r="DD467" s="117"/>
      <c r="DE467" s="117"/>
      <c r="DF467" s="117"/>
      <c r="DG467" s="117"/>
      <c r="DH467" s="117"/>
      <c r="DI467" s="117"/>
      <c r="DJ467" s="117"/>
      <c r="DK467" s="117"/>
      <c r="DL467" s="117"/>
      <c r="DM467" s="117"/>
      <c r="DN467" s="117"/>
      <c r="DO467" s="117"/>
      <c r="DP467" s="117"/>
      <c r="DQ467" s="117"/>
      <c r="DR467" s="117"/>
      <c r="DS467" s="117"/>
      <c r="DT467" s="117"/>
      <c r="DU467" s="117"/>
      <c r="DV467" s="117"/>
      <c r="DW467" s="117"/>
      <c r="DX467" s="117"/>
      <c r="DY467" s="117"/>
      <c r="DZ467" s="117"/>
      <c r="EA467" s="117"/>
      <c r="EB467" s="117"/>
      <c r="EC467" s="117"/>
      <c r="ED467" s="117"/>
      <c r="EE467" s="117"/>
      <c r="EF467" s="117"/>
      <c r="EG467" s="117"/>
      <c r="EH467" s="117"/>
      <c r="EI467" s="117"/>
      <c r="EJ467" s="117"/>
      <c r="EK467" s="117"/>
      <c r="EL467" s="117"/>
      <c r="EM467" s="117"/>
      <c r="EN467" s="117"/>
    </row>
    <row r="468" spans="1:144" s="129" customFormat="1" x14ac:dyDescent="0.2">
      <c r="A468" s="141">
        <v>4</v>
      </c>
      <c r="B468" s="146" t="s">
        <v>114</v>
      </c>
      <c r="C468" s="125" t="s">
        <v>16</v>
      </c>
      <c r="D468" s="123">
        <f t="shared" ref="D468:O468" si="102">+D403+D373+D341+D310+D279+D248+D217+D184+D151+D118+D20+D434+D53+D85</f>
        <v>917247.86519099353</v>
      </c>
      <c r="E468" s="123">
        <f t="shared" si="102"/>
        <v>891649.30673899304</v>
      </c>
      <c r="F468" s="123">
        <f t="shared" si="102"/>
        <v>862947.73774955235</v>
      </c>
      <c r="G468" s="123">
        <f t="shared" si="102"/>
        <v>848332.12651712704</v>
      </c>
      <c r="H468" s="123">
        <f t="shared" si="102"/>
        <v>858994.33920391952</v>
      </c>
      <c r="I468" s="123">
        <f t="shared" si="102"/>
        <v>815421.60680024175</v>
      </c>
      <c r="J468" s="123">
        <f t="shared" si="102"/>
        <v>898675.47529213177</v>
      </c>
      <c r="K468" s="123">
        <f t="shared" si="102"/>
        <v>926689.9614607126</v>
      </c>
      <c r="L468" s="123">
        <f t="shared" si="102"/>
        <v>1005157.4422954989</v>
      </c>
      <c r="M468" s="123">
        <f t="shared" si="102"/>
        <v>981818.4485292834</v>
      </c>
      <c r="N468" s="123">
        <f t="shared" si="102"/>
        <v>979616.83306942612</v>
      </c>
      <c r="O468" s="123">
        <f t="shared" si="102"/>
        <v>951254.99642331491</v>
      </c>
      <c r="P468" s="167">
        <f>SUM(D468:O468)</f>
        <v>10937806.139271196</v>
      </c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7"/>
      <c r="AH468" s="117"/>
      <c r="AI468" s="117"/>
      <c r="AJ468" s="117"/>
      <c r="AK468" s="117"/>
      <c r="AL468" s="117"/>
      <c r="AM468" s="117"/>
      <c r="AN468" s="117"/>
      <c r="AO468" s="117"/>
      <c r="AP468" s="117"/>
      <c r="AQ468" s="117"/>
      <c r="AR468" s="117"/>
      <c r="AS468" s="117"/>
      <c r="AT468" s="117"/>
      <c r="AU468" s="117"/>
      <c r="AV468" s="117"/>
      <c r="AW468" s="117"/>
      <c r="AX468" s="117"/>
      <c r="AY468" s="117"/>
      <c r="AZ468" s="117"/>
      <c r="BA468" s="117"/>
      <c r="BB468" s="117"/>
      <c r="BC468" s="117"/>
      <c r="BD468" s="117"/>
      <c r="BE468" s="117"/>
      <c r="BF468" s="117"/>
      <c r="BG468" s="117"/>
      <c r="BH468" s="117"/>
      <c r="BI468" s="117"/>
      <c r="BJ468" s="117"/>
      <c r="BK468" s="117"/>
      <c r="BL468" s="117"/>
      <c r="BM468" s="117"/>
      <c r="BN468" s="117"/>
      <c r="BO468" s="117"/>
      <c r="BP468" s="117"/>
      <c r="BQ468" s="117"/>
      <c r="BR468" s="117"/>
      <c r="BS468" s="117"/>
      <c r="BT468" s="117"/>
      <c r="BU468" s="117"/>
      <c r="BV468" s="117"/>
      <c r="BW468" s="117"/>
      <c r="BX468" s="117"/>
      <c r="BY468" s="117"/>
      <c r="BZ468" s="117"/>
      <c r="CA468" s="117"/>
      <c r="CB468" s="117"/>
      <c r="CC468" s="117"/>
      <c r="CD468" s="117"/>
      <c r="CE468" s="117"/>
      <c r="CF468" s="117"/>
      <c r="CG468" s="117"/>
      <c r="CH468" s="117"/>
      <c r="CI468" s="117"/>
      <c r="CJ468" s="117"/>
      <c r="CK468" s="117"/>
      <c r="CL468" s="117"/>
      <c r="CM468" s="117"/>
      <c r="CN468" s="117"/>
      <c r="CO468" s="117"/>
      <c r="CP468" s="117"/>
      <c r="CQ468" s="117"/>
      <c r="CR468" s="117"/>
      <c r="CS468" s="117"/>
      <c r="CT468" s="117"/>
      <c r="CU468" s="117"/>
      <c r="CV468" s="117"/>
      <c r="CW468" s="117"/>
      <c r="CX468" s="117"/>
      <c r="CY468" s="117"/>
      <c r="CZ468" s="117"/>
      <c r="DA468" s="117"/>
      <c r="DB468" s="117"/>
      <c r="DC468" s="117"/>
      <c r="DD468" s="117"/>
      <c r="DE468" s="117"/>
      <c r="DF468" s="117"/>
      <c r="DG468" s="117"/>
      <c r="DH468" s="117"/>
      <c r="DI468" s="117"/>
      <c r="DJ468" s="117"/>
      <c r="DK468" s="117"/>
      <c r="DL468" s="117"/>
      <c r="DM468" s="117"/>
      <c r="DN468" s="117"/>
      <c r="DO468" s="117"/>
      <c r="DP468" s="117"/>
      <c r="DQ468" s="117"/>
      <c r="DR468" s="117"/>
      <c r="DS468" s="117"/>
      <c r="DT468" s="117"/>
      <c r="DU468" s="117"/>
      <c r="DV468" s="117"/>
      <c r="DW468" s="117"/>
      <c r="DX468" s="117"/>
      <c r="DY468" s="117"/>
      <c r="DZ468" s="117"/>
      <c r="EA468" s="117"/>
      <c r="EB468" s="117"/>
      <c r="EC468" s="117"/>
      <c r="ED468" s="117"/>
      <c r="EE468" s="117"/>
      <c r="EF468" s="117"/>
      <c r="EG468" s="117"/>
      <c r="EH468" s="117"/>
      <c r="EI468" s="117"/>
      <c r="EJ468" s="117"/>
      <c r="EK468" s="117"/>
      <c r="EL468" s="117"/>
      <c r="EM468" s="117"/>
      <c r="EN468" s="117"/>
    </row>
    <row r="469" spans="1:144" s="129" customFormat="1" x14ac:dyDescent="0.2">
      <c r="A469" s="141">
        <v>5</v>
      </c>
      <c r="B469" s="162" t="s">
        <v>30</v>
      </c>
      <c r="C469" s="143"/>
      <c r="D469" s="122">
        <f t="shared" ref="D469:P469" si="103">SUM(D467:D468)</f>
        <v>11547253.605441399</v>
      </c>
      <c r="E469" s="122">
        <f t="shared" si="103"/>
        <v>11360643.426539902</v>
      </c>
      <c r="F469" s="122">
        <f t="shared" si="103"/>
        <v>10894736.22079975</v>
      </c>
      <c r="G469" s="122">
        <f t="shared" si="103"/>
        <v>10918307.730002578</v>
      </c>
      <c r="H469" s="122">
        <f t="shared" si="103"/>
        <v>11267595.209141919</v>
      </c>
      <c r="I469" s="122">
        <f t="shared" si="103"/>
        <v>11071739.266358646</v>
      </c>
      <c r="J469" s="122">
        <f t="shared" si="103"/>
        <v>11424933.924916247</v>
      </c>
      <c r="K469" s="122">
        <f t="shared" si="103"/>
        <v>11533413.176914517</v>
      </c>
      <c r="L469" s="122">
        <f t="shared" si="103"/>
        <v>11575056.107618833</v>
      </c>
      <c r="M469" s="122">
        <f t="shared" si="103"/>
        <v>11341864.135981776</v>
      </c>
      <c r="N469" s="122">
        <f t="shared" si="103"/>
        <v>11350066.770325229</v>
      </c>
      <c r="O469" s="122">
        <f t="shared" si="103"/>
        <v>11260660.008553058</v>
      </c>
      <c r="P469" s="157">
        <f t="shared" si="103"/>
        <v>135546269.58259386</v>
      </c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7"/>
      <c r="AH469" s="117"/>
      <c r="AI469" s="117"/>
      <c r="AJ469" s="117"/>
      <c r="AK469" s="117"/>
      <c r="AL469" s="117"/>
      <c r="AM469" s="117"/>
      <c r="AN469" s="117"/>
      <c r="AO469" s="117"/>
      <c r="AP469" s="117"/>
      <c r="AQ469" s="117"/>
      <c r="AR469" s="117"/>
      <c r="AS469" s="117"/>
      <c r="AT469" s="117"/>
      <c r="AU469" s="117"/>
      <c r="AV469" s="117"/>
      <c r="AW469" s="117"/>
      <c r="AX469" s="117"/>
      <c r="AY469" s="117"/>
      <c r="AZ469" s="117"/>
      <c r="BA469" s="117"/>
      <c r="BB469" s="117"/>
      <c r="BC469" s="117"/>
      <c r="BD469" s="117"/>
      <c r="BE469" s="117"/>
      <c r="BF469" s="117"/>
      <c r="BG469" s="117"/>
      <c r="BH469" s="117"/>
      <c r="BI469" s="117"/>
      <c r="BJ469" s="117"/>
      <c r="BK469" s="117"/>
      <c r="BL469" s="117"/>
      <c r="BM469" s="117"/>
      <c r="BN469" s="117"/>
      <c r="BO469" s="117"/>
      <c r="BP469" s="117"/>
      <c r="BQ469" s="117"/>
      <c r="BR469" s="117"/>
      <c r="BS469" s="117"/>
      <c r="BT469" s="117"/>
      <c r="BU469" s="117"/>
      <c r="BV469" s="117"/>
      <c r="BW469" s="117"/>
      <c r="BX469" s="117"/>
      <c r="BY469" s="117"/>
      <c r="BZ469" s="117"/>
      <c r="CA469" s="117"/>
      <c r="CB469" s="117"/>
      <c r="CC469" s="117"/>
      <c r="CD469" s="117"/>
      <c r="CE469" s="117"/>
      <c r="CF469" s="117"/>
      <c r="CG469" s="117"/>
      <c r="CH469" s="117"/>
      <c r="CI469" s="117"/>
      <c r="CJ469" s="117"/>
      <c r="CK469" s="117"/>
      <c r="CL469" s="117"/>
      <c r="CM469" s="117"/>
      <c r="CN469" s="117"/>
      <c r="CO469" s="117"/>
      <c r="CP469" s="117"/>
      <c r="CQ469" s="117"/>
      <c r="CR469" s="117"/>
      <c r="CS469" s="117"/>
      <c r="CT469" s="117"/>
      <c r="CU469" s="117"/>
      <c r="CV469" s="117"/>
      <c r="CW469" s="117"/>
      <c r="CX469" s="117"/>
      <c r="CY469" s="117"/>
      <c r="CZ469" s="117"/>
      <c r="DA469" s="117"/>
      <c r="DB469" s="117"/>
      <c r="DC469" s="117"/>
      <c r="DD469" s="117"/>
      <c r="DE469" s="117"/>
      <c r="DF469" s="117"/>
      <c r="DG469" s="117"/>
      <c r="DH469" s="117"/>
      <c r="DI469" s="117"/>
      <c r="DJ469" s="117"/>
      <c r="DK469" s="117"/>
      <c r="DL469" s="117"/>
      <c r="DM469" s="117"/>
      <c r="DN469" s="117"/>
      <c r="DO469" s="117"/>
      <c r="DP469" s="117"/>
      <c r="DQ469" s="117"/>
      <c r="DR469" s="117"/>
      <c r="DS469" s="117"/>
      <c r="DT469" s="117"/>
      <c r="DU469" s="117"/>
      <c r="DV469" s="117"/>
      <c r="DW469" s="117"/>
      <c r="DX469" s="117"/>
      <c r="DY469" s="117"/>
      <c r="DZ469" s="117"/>
      <c r="EA469" s="117"/>
      <c r="EB469" s="117"/>
      <c r="EC469" s="117"/>
      <c r="ED469" s="117"/>
      <c r="EE469" s="117"/>
      <c r="EF469" s="117"/>
      <c r="EG469" s="117"/>
      <c r="EH469" s="117"/>
      <c r="EI469" s="117"/>
      <c r="EJ469" s="117"/>
      <c r="EK469" s="117"/>
      <c r="EL469" s="117"/>
      <c r="EM469" s="117"/>
      <c r="EN469" s="117"/>
    </row>
    <row r="470" spans="1:144" s="129" customFormat="1" x14ac:dyDescent="0.2">
      <c r="B470" s="242"/>
      <c r="C470" s="143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  <c r="AI470" s="117"/>
      <c r="AJ470" s="117"/>
      <c r="AK470" s="117"/>
      <c r="AL470" s="117"/>
      <c r="AM470" s="117"/>
      <c r="AN470" s="117"/>
      <c r="AO470" s="117"/>
      <c r="AP470" s="117"/>
      <c r="AQ470" s="117"/>
      <c r="AR470" s="117"/>
      <c r="AS470" s="117"/>
      <c r="AT470" s="117"/>
      <c r="AU470" s="117"/>
      <c r="AV470" s="117"/>
      <c r="AW470" s="117"/>
      <c r="AX470" s="117"/>
      <c r="AY470" s="117"/>
      <c r="AZ470" s="117"/>
      <c r="BA470" s="117"/>
      <c r="BB470" s="117"/>
      <c r="BC470" s="117"/>
      <c r="BD470" s="117"/>
      <c r="BE470" s="117"/>
      <c r="BF470" s="117"/>
      <c r="BG470" s="117"/>
      <c r="BH470" s="117"/>
      <c r="BI470" s="117"/>
      <c r="BJ470" s="117"/>
      <c r="BK470" s="117"/>
      <c r="BL470" s="117"/>
      <c r="BM470" s="117"/>
      <c r="BN470" s="117"/>
      <c r="BO470" s="117"/>
      <c r="BP470" s="117"/>
      <c r="BQ470" s="117"/>
      <c r="BR470" s="117"/>
      <c r="BS470" s="117"/>
      <c r="BT470" s="117"/>
      <c r="BU470" s="117"/>
      <c r="BV470" s="117"/>
      <c r="BW470" s="117"/>
      <c r="BX470" s="117"/>
      <c r="BY470" s="117"/>
      <c r="BZ470" s="117"/>
      <c r="CA470" s="117"/>
      <c r="CB470" s="117"/>
      <c r="CC470" s="117"/>
      <c r="CD470" s="117"/>
      <c r="CE470" s="117"/>
      <c r="CF470" s="117"/>
      <c r="CG470" s="117"/>
      <c r="CH470" s="117"/>
      <c r="CI470" s="117"/>
      <c r="CJ470" s="117"/>
      <c r="CK470" s="117"/>
      <c r="CL470" s="117"/>
      <c r="CM470" s="117"/>
      <c r="CN470" s="117"/>
      <c r="CO470" s="117"/>
      <c r="CP470" s="117"/>
      <c r="CQ470" s="117"/>
      <c r="CR470" s="117"/>
      <c r="CS470" s="117"/>
      <c r="CT470" s="117"/>
      <c r="CU470" s="117"/>
      <c r="CV470" s="117"/>
      <c r="CW470" s="117"/>
      <c r="CX470" s="117"/>
      <c r="CY470" s="117"/>
      <c r="CZ470" s="117"/>
      <c r="DA470" s="117"/>
      <c r="DB470" s="117"/>
      <c r="DC470" s="117"/>
      <c r="DD470" s="117"/>
      <c r="DE470" s="117"/>
      <c r="DF470" s="117"/>
      <c r="DG470" s="117"/>
      <c r="DH470" s="117"/>
      <c r="DI470" s="117"/>
      <c r="DJ470" s="117"/>
      <c r="DK470" s="117"/>
      <c r="DL470" s="117"/>
      <c r="DM470" s="117"/>
      <c r="DN470" s="117"/>
      <c r="DO470" s="117"/>
      <c r="DP470" s="117"/>
      <c r="DQ470" s="117"/>
      <c r="DR470" s="117"/>
      <c r="DS470" s="117"/>
      <c r="DT470" s="117"/>
      <c r="DU470" s="117"/>
      <c r="DV470" s="117"/>
      <c r="DW470" s="117"/>
      <c r="DX470" s="117"/>
      <c r="DY470" s="117"/>
      <c r="DZ470" s="117"/>
      <c r="EA470" s="117"/>
      <c r="EB470" s="117"/>
      <c r="EC470" s="117"/>
      <c r="ED470" s="117"/>
      <c r="EE470" s="117"/>
      <c r="EF470" s="117"/>
      <c r="EG470" s="117"/>
      <c r="EH470" s="117"/>
      <c r="EI470" s="117"/>
      <c r="EJ470" s="117"/>
      <c r="EK470" s="117"/>
      <c r="EL470" s="117"/>
      <c r="EM470" s="117"/>
      <c r="EN470" s="117"/>
    </row>
    <row r="471" spans="1:144" s="129" customFormat="1" x14ac:dyDescent="0.2">
      <c r="A471" s="141">
        <v>6</v>
      </c>
      <c r="B471" s="146" t="s">
        <v>110</v>
      </c>
      <c r="C471" s="125" t="s">
        <v>17</v>
      </c>
      <c r="D471" s="122">
        <f t="shared" ref="D471:O471" si="104">+D406+D376+D344+D313+D282+D251+D220+D187+D154+D121+D23+D437+D56+D88</f>
        <v>265264.05203147704</v>
      </c>
      <c r="E471" s="122">
        <f t="shared" si="104"/>
        <v>270592.33981578198</v>
      </c>
      <c r="F471" s="122">
        <f t="shared" si="104"/>
        <v>264299.44369308918</v>
      </c>
      <c r="G471" s="122">
        <f t="shared" si="104"/>
        <v>270539.96686512674</v>
      </c>
      <c r="H471" s="122">
        <f t="shared" si="104"/>
        <v>275188.07833660126</v>
      </c>
      <c r="I471" s="122">
        <f t="shared" si="104"/>
        <v>277240.327892865</v>
      </c>
      <c r="J471" s="122">
        <f t="shared" si="104"/>
        <v>272203.33240553259</v>
      </c>
      <c r="K471" s="122">
        <f t="shared" si="104"/>
        <v>291552.72560087295</v>
      </c>
      <c r="L471" s="122">
        <f t="shared" si="104"/>
        <v>273404.76574356802</v>
      </c>
      <c r="M471" s="122">
        <f t="shared" si="104"/>
        <v>289495.21454973792</v>
      </c>
      <c r="N471" s="122">
        <f t="shared" si="104"/>
        <v>303080.17398466653</v>
      </c>
      <c r="O471" s="122">
        <f t="shared" si="104"/>
        <v>273056.78999999998</v>
      </c>
      <c r="P471" s="127">
        <f>SUM(D471:O471)</f>
        <v>3325917.2109193197</v>
      </c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7"/>
      <c r="AH471" s="117"/>
      <c r="AI471" s="117"/>
      <c r="AJ471" s="117"/>
      <c r="AK471" s="117"/>
      <c r="AL471" s="117"/>
      <c r="AM471" s="117"/>
      <c r="AN471" s="117"/>
      <c r="AO471" s="117"/>
      <c r="AP471" s="117"/>
      <c r="AQ471" s="117"/>
      <c r="AR471" s="117"/>
      <c r="AS471" s="117"/>
      <c r="AT471" s="117"/>
      <c r="AU471" s="117"/>
      <c r="AV471" s="117"/>
      <c r="AW471" s="117"/>
      <c r="AX471" s="117"/>
      <c r="AY471" s="117"/>
      <c r="AZ471" s="117"/>
      <c r="BA471" s="117"/>
      <c r="BB471" s="117"/>
      <c r="BC471" s="117"/>
      <c r="BD471" s="117"/>
      <c r="BE471" s="117"/>
      <c r="BF471" s="117"/>
      <c r="BG471" s="117"/>
      <c r="BH471" s="117"/>
      <c r="BI471" s="117"/>
      <c r="BJ471" s="117"/>
      <c r="BK471" s="117"/>
      <c r="BL471" s="117"/>
      <c r="BM471" s="117"/>
      <c r="BN471" s="117"/>
      <c r="BO471" s="117"/>
      <c r="BP471" s="117"/>
      <c r="BQ471" s="117"/>
      <c r="BR471" s="117"/>
      <c r="BS471" s="117"/>
      <c r="BT471" s="117"/>
      <c r="BU471" s="117"/>
      <c r="BV471" s="117"/>
      <c r="BW471" s="117"/>
      <c r="BX471" s="117"/>
      <c r="BY471" s="117"/>
      <c r="BZ471" s="117"/>
      <c r="CA471" s="117"/>
      <c r="CB471" s="117"/>
      <c r="CC471" s="117"/>
      <c r="CD471" s="117"/>
      <c r="CE471" s="117"/>
      <c r="CF471" s="117"/>
      <c r="CG471" s="117"/>
      <c r="CH471" s="117"/>
      <c r="CI471" s="117"/>
      <c r="CJ471" s="117"/>
      <c r="CK471" s="117"/>
      <c r="CL471" s="117"/>
      <c r="CM471" s="117"/>
      <c r="CN471" s="117"/>
      <c r="CO471" s="117"/>
      <c r="CP471" s="117"/>
      <c r="CQ471" s="117"/>
      <c r="CR471" s="117"/>
      <c r="CS471" s="117"/>
      <c r="CT471" s="117"/>
      <c r="CU471" s="117"/>
      <c r="CV471" s="117"/>
      <c r="CW471" s="117"/>
      <c r="CX471" s="117"/>
      <c r="CY471" s="117"/>
      <c r="CZ471" s="117"/>
      <c r="DA471" s="117"/>
      <c r="DB471" s="117"/>
      <c r="DC471" s="117"/>
      <c r="DD471" s="117"/>
      <c r="DE471" s="117"/>
      <c r="DF471" s="117"/>
      <c r="DG471" s="117"/>
      <c r="DH471" s="117"/>
      <c r="DI471" s="117"/>
      <c r="DJ471" s="117"/>
      <c r="DK471" s="117"/>
      <c r="DL471" s="117"/>
      <c r="DM471" s="117"/>
      <c r="DN471" s="117"/>
      <c r="DO471" s="117"/>
      <c r="DP471" s="117"/>
      <c r="DQ471" s="117"/>
      <c r="DR471" s="117"/>
      <c r="DS471" s="117"/>
      <c r="DT471" s="117"/>
      <c r="DU471" s="117"/>
      <c r="DV471" s="117"/>
      <c r="DW471" s="117"/>
      <c r="DX471" s="117"/>
      <c r="DY471" s="117"/>
      <c r="DZ471" s="117"/>
      <c r="EA471" s="117"/>
      <c r="EB471" s="117"/>
      <c r="EC471" s="117"/>
      <c r="ED471" s="117"/>
      <c r="EE471" s="117"/>
      <c r="EF471" s="117"/>
      <c r="EG471" s="117"/>
      <c r="EH471" s="117"/>
      <c r="EI471" s="117"/>
      <c r="EJ471" s="117"/>
      <c r="EK471" s="117"/>
      <c r="EL471" s="117"/>
      <c r="EM471" s="117"/>
      <c r="EN471" s="117"/>
    </row>
    <row r="472" spans="1:144" s="129" customFormat="1" x14ac:dyDescent="0.2">
      <c r="A472" s="141">
        <v>7</v>
      </c>
      <c r="B472" s="146" t="s">
        <v>111</v>
      </c>
      <c r="C472" s="125" t="s">
        <v>17</v>
      </c>
      <c r="D472" s="123">
        <f t="shared" ref="D472:O472" si="105">+D407+D377+D345+D314+D283+D252+D221+D188+D155+D122+D24+D438+D57+D89</f>
        <v>2049172.2788464678</v>
      </c>
      <c r="E472" s="123">
        <f t="shared" si="105"/>
        <v>1974831.9801554605</v>
      </c>
      <c r="F472" s="123">
        <f t="shared" si="105"/>
        <v>1967877.425891343</v>
      </c>
      <c r="G472" s="123">
        <f t="shared" si="105"/>
        <v>1985904.257384513</v>
      </c>
      <c r="H472" s="123">
        <f t="shared" si="105"/>
        <v>2050040.6971845811</v>
      </c>
      <c r="I472" s="123">
        <f t="shared" si="105"/>
        <v>2082497.3998521583</v>
      </c>
      <c r="J472" s="123">
        <f t="shared" si="105"/>
        <v>2088444.7388590486</v>
      </c>
      <c r="K472" s="123">
        <f t="shared" si="105"/>
        <v>2112909.1109686983</v>
      </c>
      <c r="L472" s="123">
        <f t="shared" si="105"/>
        <v>2114007.6613281365</v>
      </c>
      <c r="M472" s="123">
        <f t="shared" si="105"/>
        <v>2024167.074809684</v>
      </c>
      <c r="N472" s="123">
        <f t="shared" si="105"/>
        <v>2086683.0523819691</v>
      </c>
      <c r="O472" s="123">
        <f t="shared" si="105"/>
        <v>1960075.0700000003</v>
      </c>
      <c r="P472" s="167">
        <f>SUM(D472:O472)</f>
        <v>24496610.74766206</v>
      </c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7"/>
      <c r="AH472" s="117"/>
      <c r="AI472" s="117"/>
      <c r="AJ472" s="117"/>
      <c r="AK472" s="117"/>
      <c r="AL472" s="117"/>
      <c r="AM472" s="117"/>
      <c r="AN472" s="117"/>
      <c r="AO472" s="117"/>
      <c r="AP472" s="117"/>
      <c r="AQ472" s="117"/>
      <c r="AR472" s="117"/>
      <c r="AS472" s="117"/>
      <c r="AT472" s="117"/>
      <c r="AU472" s="117"/>
      <c r="AV472" s="117"/>
      <c r="AW472" s="117"/>
      <c r="AX472" s="117"/>
      <c r="AY472" s="117"/>
      <c r="AZ472" s="117"/>
      <c r="BA472" s="117"/>
      <c r="BB472" s="117"/>
      <c r="BC472" s="117"/>
      <c r="BD472" s="117"/>
      <c r="BE472" s="117"/>
      <c r="BF472" s="117"/>
      <c r="BG472" s="117"/>
      <c r="BH472" s="117"/>
      <c r="BI472" s="117"/>
      <c r="BJ472" s="117"/>
      <c r="BK472" s="117"/>
      <c r="BL472" s="117"/>
      <c r="BM472" s="117"/>
      <c r="BN472" s="117"/>
      <c r="BO472" s="117"/>
      <c r="BP472" s="117"/>
      <c r="BQ472" s="117"/>
      <c r="BR472" s="117"/>
      <c r="BS472" s="117"/>
      <c r="BT472" s="117"/>
      <c r="BU472" s="117"/>
      <c r="BV472" s="117"/>
      <c r="BW472" s="117"/>
      <c r="BX472" s="117"/>
      <c r="BY472" s="117"/>
      <c r="BZ472" s="117"/>
      <c r="CA472" s="117"/>
      <c r="CB472" s="117"/>
      <c r="CC472" s="117"/>
      <c r="CD472" s="117"/>
      <c r="CE472" s="117"/>
      <c r="CF472" s="117"/>
      <c r="CG472" s="117"/>
      <c r="CH472" s="117"/>
      <c r="CI472" s="117"/>
      <c r="CJ472" s="117"/>
      <c r="CK472" s="117"/>
      <c r="CL472" s="117"/>
      <c r="CM472" s="117"/>
      <c r="CN472" s="117"/>
      <c r="CO472" s="117"/>
      <c r="CP472" s="117"/>
      <c r="CQ472" s="117"/>
      <c r="CR472" s="117"/>
      <c r="CS472" s="117"/>
      <c r="CT472" s="117"/>
      <c r="CU472" s="117"/>
      <c r="CV472" s="117"/>
      <c r="CW472" s="117"/>
      <c r="CX472" s="117"/>
      <c r="CY472" s="117"/>
      <c r="CZ472" s="117"/>
      <c r="DA472" s="117"/>
      <c r="DB472" s="117"/>
      <c r="DC472" s="117"/>
      <c r="DD472" s="117"/>
      <c r="DE472" s="117"/>
      <c r="DF472" s="117"/>
      <c r="DG472" s="117"/>
      <c r="DH472" s="117"/>
      <c r="DI472" s="117"/>
      <c r="DJ472" s="117"/>
      <c r="DK472" s="117"/>
      <c r="DL472" s="117"/>
      <c r="DM472" s="117"/>
      <c r="DN472" s="117"/>
      <c r="DO472" s="117"/>
      <c r="DP472" s="117"/>
      <c r="DQ472" s="117"/>
      <c r="DR472" s="117"/>
      <c r="DS472" s="117"/>
      <c r="DT472" s="117"/>
      <c r="DU472" s="117"/>
      <c r="DV472" s="117"/>
      <c r="DW472" s="117"/>
      <c r="DX472" s="117"/>
      <c r="DY472" s="117"/>
      <c r="DZ472" s="117"/>
      <c r="EA472" s="117"/>
      <c r="EB472" s="117"/>
      <c r="EC472" s="117"/>
      <c r="ED472" s="117"/>
      <c r="EE472" s="117"/>
      <c r="EF472" s="117"/>
      <c r="EG472" s="117"/>
      <c r="EH472" s="117"/>
      <c r="EI472" s="117"/>
      <c r="EJ472" s="117"/>
      <c r="EK472" s="117"/>
      <c r="EL472" s="117"/>
      <c r="EM472" s="117"/>
      <c r="EN472" s="117"/>
    </row>
    <row r="473" spans="1:144" s="129" customFormat="1" x14ac:dyDescent="0.2">
      <c r="A473" s="141">
        <v>8</v>
      </c>
      <c r="B473" s="129" t="s">
        <v>31</v>
      </c>
      <c r="C473" s="125"/>
      <c r="D473" s="122">
        <f t="shared" ref="D473:P473" si="106">SUM(D471:D472)</f>
        <v>2314436.3308779448</v>
      </c>
      <c r="E473" s="122">
        <f t="shared" si="106"/>
        <v>2245424.3199712425</v>
      </c>
      <c r="F473" s="122">
        <f t="shared" si="106"/>
        <v>2232176.8695844323</v>
      </c>
      <c r="G473" s="122">
        <f t="shared" si="106"/>
        <v>2256444.2242496395</v>
      </c>
      <c r="H473" s="122">
        <f t="shared" si="106"/>
        <v>2325228.7755211825</v>
      </c>
      <c r="I473" s="122">
        <f t="shared" si="106"/>
        <v>2359737.7277450231</v>
      </c>
      <c r="J473" s="122">
        <f t="shared" si="106"/>
        <v>2360648.0712645813</v>
      </c>
      <c r="K473" s="122">
        <f t="shared" si="106"/>
        <v>2404461.8365695714</v>
      </c>
      <c r="L473" s="122">
        <f t="shared" si="106"/>
        <v>2387412.4270717045</v>
      </c>
      <c r="M473" s="122">
        <f t="shared" si="106"/>
        <v>2313662.2893594219</v>
      </c>
      <c r="N473" s="122">
        <f t="shared" si="106"/>
        <v>2389763.2263666354</v>
      </c>
      <c r="O473" s="122">
        <f t="shared" si="106"/>
        <v>2233131.8600000003</v>
      </c>
      <c r="P473" s="122">
        <f t="shared" si="106"/>
        <v>27822527.958581381</v>
      </c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7"/>
      <c r="AH473" s="117"/>
      <c r="AI473" s="117"/>
      <c r="AJ473" s="117"/>
      <c r="AK473" s="117"/>
      <c r="AL473" s="117"/>
      <c r="AM473" s="117"/>
      <c r="AN473" s="117"/>
      <c r="AO473" s="117"/>
      <c r="AP473" s="117"/>
      <c r="AQ473" s="117"/>
      <c r="AR473" s="117"/>
      <c r="AS473" s="117"/>
      <c r="AT473" s="117"/>
      <c r="AU473" s="117"/>
      <c r="AV473" s="117"/>
      <c r="AW473" s="117"/>
      <c r="AX473" s="117"/>
      <c r="AY473" s="117"/>
      <c r="AZ473" s="117"/>
      <c r="BA473" s="117"/>
      <c r="BB473" s="117"/>
      <c r="BC473" s="117"/>
      <c r="BD473" s="117"/>
      <c r="BE473" s="117"/>
      <c r="BF473" s="117"/>
      <c r="BG473" s="117"/>
      <c r="BH473" s="117"/>
      <c r="BI473" s="117"/>
      <c r="BJ473" s="117"/>
      <c r="BK473" s="117"/>
      <c r="BL473" s="117"/>
      <c r="BM473" s="117"/>
      <c r="BN473" s="117"/>
      <c r="BO473" s="117"/>
      <c r="BP473" s="117"/>
      <c r="BQ473" s="117"/>
      <c r="BR473" s="117"/>
      <c r="BS473" s="117"/>
      <c r="BT473" s="117"/>
      <c r="BU473" s="117"/>
      <c r="BV473" s="117"/>
      <c r="BW473" s="117"/>
      <c r="BX473" s="117"/>
      <c r="BY473" s="117"/>
      <c r="BZ473" s="117"/>
      <c r="CA473" s="117"/>
      <c r="CB473" s="117"/>
      <c r="CC473" s="117"/>
      <c r="CD473" s="117"/>
      <c r="CE473" s="117"/>
      <c r="CF473" s="117"/>
      <c r="CG473" s="117"/>
      <c r="CH473" s="117"/>
      <c r="CI473" s="117"/>
      <c r="CJ473" s="117"/>
      <c r="CK473" s="117"/>
      <c r="CL473" s="117"/>
      <c r="CM473" s="117"/>
      <c r="CN473" s="117"/>
      <c r="CO473" s="117"/>
      <c r="CP473" s="117"/>
      <c r="CQ473" s="117"/>
      <c r="CR473" s="117"/>
      <c r="CS473" s="117"/>
      <c r="CT473" s="117"/>
      <c r="CU473" s="117"/>
      <c r="CV473" s="117"/>
      <c r="CW473" s="117"/>
      <c r="CX473" s="117"/>
      <c r="CY473" s="117"/>
      <c r="CZ473" s="117"/>
      <c r="DA473" s="117"/>
      <c r="DB473" s="117"/>
      <c r="DC473" s="117"/>
      <c r="DD473" s="117"/>
      <c r="DE473" s="117"/>
      <c r="DF473" s="117"/>
      <c r="DG473" s="117"/>
      <c r="DH473" s="117"/>
      <c r="DI473" s="117"/>
      <c r="DJ473" s="117"/>
      <c r="DK473" s="117"/>
      <c r="DL473" s="117"/>
      <c r="DM473" s="117"/>
      <c r="DN473" s="117"/>
      <c r="DO473" s="117"/>
      <c r="DP473" s="117"/>
      <c r="DQ473" s="117"/>
      <c r="DR473" s="117"/>
      <c r="DS473" s="117"/>
      <c r="DT473" s="117"/>
      <c r="DU473" s="117"/>
      <c r="DV473" s="117"/>
      <c r="DW473" s="117"/>
      <c r="DX473" s="117"/>
      <c r="DY473" s="117"/>
      <c r="DZ473" s="117"/>
      <c r="EA473" s="117"/>
      <c r="EB473" s="117"/>
      <c r="EC473" s="117"/>
      <c r="ED473" s="117"/>
      <c r="EE473" s="117"/>
      <c r="EF473" s="117"/>
      <c r="EG473" s="117"/>
      <c r="EH473" s="117"/>
      <c r="EI473" s="117"/>
      <c r="EJ473" s="117"/>
      <c r="EK473" s="117"/>
      <c r="EL473" s="117"/>
      <c r="EM473" s="117"/>
      <c r="EN473" s="117"/>
    </row>
    <row r="474" spans="1:144" s="129" customFormat="1" x14ac:dyDescent="0.2">
      <c r="A474" s="141"/>
      <c r="C474" s="125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7"/>
      <c r="AH474" s="117"/>
      <c r="AI474" s="117"/>
      <c r="AJ474" s="117"/>
      <c r="AK474" s="117"/>
      <c r="AL474" s="117"/>
      <c r="AM474" s="117"/>
      <c r="AN474" s="117"/>
      <c r="AO474" s="117"/>
      <c r="AP474" s="117"/>
      <c r="AQ474" s="117"/>
      <c r="AR474" s="117"/>
      <c r="AS474" s="117"/>
      <c r="AT474" s="117"/>
      <c r="AU474" s="117"/>
      <c r="AV474" s="117"/>
      <c r="AW474" s="117"/>
      <c r="AX474" s="117"/>
      <c r="AY474" s="117"/>
      <c r="AZ474" s="117"/>
      <c r="BA474" s="117"/>
      <c r="BB474" s="117"/>
      <c r="BC474" s="117"/>
      <c r="BD474" s="117"/>
      <c r="BE474" s="117"/>
      <c r="BF474" s="117"/>
      <c r="BG474" s="117"/>
      <c r="BH474" s="117"/>
      <c r="BI474" s="117"/>
      <c r="BJ474" s="117"/>
      <c r="BK474" s="117"/>
      <c r="BL474" s="117"/>
      <c r="BM474" s="117"/>
      <c r="BN474" s="117"/>
      <c r="BO474" s="117"/>
      <c r="BP474" s="117"/>
      <c r="BQ474" s="117"/>
      <c r="BR474" s="117"/>
      <c r="BS474" s="117"/>
      <c r="BT474" s="117"/>
      <c r="BU474" s="117"/>
      <c r="BV474" s="117"/>
      <c r="BW474" s="117"/>
      <c r="BX474" s="117"/>
      <c r="BY474" s="117"/>
      <c r="BZ474" s="117"/>
      <c r="CA474" s="117"/>
      <c r="CB474" s="117"/>
      <c r="CC474" s="117"/>
      <c r="CD474" s="117"/>
      <c r="CE474" s="117"/>
      <c r="CF474" s="117"/>
      <c r="CG474" s="117"/>
      <c r="CH474" s="117"/>
      <c r="CI474" s="117"/>
      <c r="CJ474" s="117"/>
      <c r="CK474" s="117"/>
      <c r="CL474" s="117"/>
      <c r="CM474" s="117"/>
      <c r="CN474" s="117"/>
      <c r="CO474" s="117"/>
      <c r="CP474" s="117"/>
      <c r="CQ474" s="117"/>
      <c r="CR474" s="117"/>
      <c r="CS474" s="117"/>
      <c r="CT474" s="117"/>
      <c r="CU474" s="117"/>
      <c r="CV474" s="117"/>
      <c r="CW474" s="117"/>
      <c r="CX474" s="117"/>
      <c r="CY474" s="117"/>
      <c r="CZ474" s="117"/>
      <c r="DA474" s="117"/>
      <c r="DB474" s="117"/>
      <c r="DC474" s="117"/>
      <c r="DD474" s="117"/>
      <c r="DE474" s="117"/>
      <c r="DF474" s="117"/>
      <c r="DG474" s="117"/>
      <c r="DH474" s="117"/>
      <c r="DI474" s="117"/>
      <c r="DJ474" s="117"/>
      <c r="DK474" s="117"/>
      <c r="DL474" s="117"/>
      <c r="DM474" s="117"/>
      <c r="DN474" s="117"/>
      <c r="DO474" s="117"/>
      <c r="DP474" s="117"/>
      <c r="DQ474" s="117"/>
      <c r="DR474" s="117"/>
      <c r="DS474" s="117"/>
      <c r="DT474" s="117"/>
      <c r="DU474" s="117"/>
      <c r="DV474" s="117"/>
      <c r="DW474" s="117"/>
      <c r="DX474" s="117"/>
      <c r="DY474" s="117"/>
      <c r="DZ474" s="117"/>
      <c r="EA474" s="117"/>
      <c r="EB474" s="117"/>
      <c r="EC474" s="117"/>
      <c r="ED474" s="117"/>
      <c r="EE474" s="117"/>
      <c r="EF474" s="117"/>
      <c r="EG474" s="117"/>
      <c r="EH474" s="117"/>
      <c r="EI474" s="117"/>
      <c r="EJ474" s="117"/>
      <c r="EK474" s="117"/>
      <c r="EL474" s="117"/>
      <c r="EM474" s="117"/>
      <c r="EN474" s="117"/>
    </row>
    <row r="475" spans="1:144" s="129" customFormat="1" x14ac:dyDescent="0.2">
      <c r="A475" s="141">
        <v>9</v>
      </c>
      <c r="B475" s="162" t="s">
        <v>115</v>
      </c>
      <c r="C475" s="125" t="s">
        <v>18</v>
      </c>
      <c r="D475" s="122">
        <f t="shared" ref="D475:O475" si="107">+D410+D380+D348+D317+D286+D255+D224+D191+D158+D125+D27+D441+D60+D92</f>
        <v>352581.3319797797</v>
      </c>
      <c r="E475" s="122">
        <f t="shared" si="107"/>
        <v>328887.07791216404</v>
      </c>
      <c r="F475" s="122">
        <f t="shared" si="107"/>
        <v>367465.14604399039</v>
      </c>
      <c r="G475" s="122">
        <f t="shared" si="107"/>
        <v>352678.52072608756</v>
      </c>
      <c r="H475" s="122">
        <f t="shared" si="107"/>
        <v>349470.5710659161</v>
      </c>
      <c r="I475" s="122">
        <f t="shared" si="107"/>
        <v>353322.56726741628</v>
      </c>
      <c r="J475" s="122">
        <f t="shared" si="107"/>
        <v>344315.9553611119</v>
      </c>
      <c r="K475" s="122">
        <f t="shared" si="107"/>
        <v>337808.25677324063</v>
      </c>
      <c r="L475" s="122">
        <f t="shared" si="107"/>
        <v>352711.9192833773</v>
      </c>
      <c r="M475" s="122">
        <f t="shared" si="107"/>
        <v>295244.82594296942</v>
      </c>
      <c r="N475" s="122">
        <f t="shared" si="107"/>
        <v>346329.54365237051</v>
      </c>
      <c r="O475" s="122">
        <f t="shared" si="107"/>
        <v>360353.29798892327</v>
      </c>
      <c r="P475" s="127">
        <f>SUM(D475:O475)</f>
        <v>4141169.013997348</v>
      </c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  <c r="AC475" s="117"/>
      <c r="AD475" s="117"/>
      <c r="AE475" s="117"/>
      <c r="AF475" s="117"/>
      <c r="AG475" s="117"/>
      <c r="AH475" s="117"/>
      <c r="AI475" s="117"/>
      <c r="AJ475" s="117"/>
      <c r="AK475" s="117"/>
      <c r="AL475" s="117"/>
      <c r="AM475" s="117"/>
      <c r="AN475" s="117"/>
      <c r="AO475" s="117"/>
      <c r="AP475" s="117"/>
      <c r="AQ475" s="117"/>
      <c r="AR475" s="117"/>
      <c r="AS475" s="117"/>
      <c r="AT475" s="117"/>
      <c r="AU475" s="117"/>
      <c r="AV475" s="117"/>
      <c r="AW475" s="117"/>
      <c r="AX475" s="117"/>
      <c r="AY475" s="117"/>
      <c r="AZ475" s="117"/>
      <c r="BA475" s="117"/>
      <c r="BB475" s="117"/>
      <c r="BC475" s="117"/>
      <c r="BD475" s="117"/>
      <c r="BE475" s="117"/>
      <c r="BF475" s="117"/>
      <c r="BG475" s="117"/>
      <c r="BH475" s="117"/>
      <c r="BI475" s="117"/>
      <c r="BJ475" s="117"/>
      <c r="BK475" s="117"/>
      <c r="BL475" s="117"/>
      <c r="BM475" s="117"/>
      <c r="BN475" s="117"/>
      <c r="BO475" s="117"/>
      <c r="BP475" s="117"/>
      <c r="BQ475" s="117"/>
      <c r="BR475" s="117"/>
      <c r="BS475" s="117"/>
      <c r="BT475" s="117"/>
      <c r="BU475" s="117"/>
      <c r="BV475" s="117"/>
      <c r="BW475" s="117"/>
      <c r="BX475" s="117"/>
      <c r="BY475" s="117"/>
      <c r="BZ475" s="117"/>
      <c r="CA475" s="117"/>
      <c r="CB475" s="117"/>
      <c r="CC475" s="117"/>
      <c r="CD475" s="117"/>
      <c r="CE475" s="117"/>
      <c r="CF475" s="117"/>
      <c r="CG475" s="117"/>
      <c r="CH475" s="117"/>
      <c r="CI475" s="117"/>
      <c r="CJ475" s="117"/>
      <c r="CK475" s="117"/>
      <c r="CL475" s="117"/>
      <c r="CM475" s="117"/>
      <c r="CN475" s="117"/>
      <c r="CO475" s="117"/>
      <c r="CP475" s="117"/>
      <c r="CQ475" s="117"/>
      <c r="CR475" s="117"/>
      <c r="CS475" s="117"/>
      <c r="CT475" s="117"/>
      <c r="CU475" s="117"/>
      <c r="CV475" s="117"/>
      <c r="CW475" s="117"/>
      <c r="CX475" s="117"/>
      <c r="CY475" s="117"/>
      <c r="CZ475" s="117"/>
      <c r="DA475" s="117"/>
      <c r="DB475" s="117"/>
      <c r="DC475" s="117"/>
      <c r="DD475" s="117"/>
      <c r="DE475" s="117"/>
      <c r="DF475" s="117"/>
      <c r="DG475" s="117"/>
      <c r="DH475" s="117"/>
      <c r="DI475" s="117"/>
      <c r="DJ475" s="117"/>
      <c r="DK475" s="117"/>
      <c r="DL475" s="117"/>
      <c r="DM475" s="117"/>
      <c r="DN475" s="117"/>
      <c r="DO475" s="117"/>
      <c r="DP475" s="117"/>
      <c r="DQ475" s="117"/>
      <c r="DR475" s="117"/>
      <c r="DS475" s="117"/>
      <c r="DT475" s="117"/>
      <c r="DU475" s="117"/>
      <c r="DV475" s="117"/>
      <c r="DW475" s="117"/>
      <c r="DX475" s="117"/>
      <c r="DY475" s="117"/>
      <c r="DZ475" s="117"/>
      <c r="EA475" s="117"/>
      <c r="EB475" s="117"/>
      <c r="EC475" s="117"/>
      <c r="ED475" s="117"/>
      <c r="EE475" s="117"/>
      <c r="EF475" s="117"/>
      <c r="EG475" s="117"/>
      <c r="EH475" s="117"/>
      <c r="EI475" s="117"/>
      <c r="EJ475" s="117"/>
      <c r="EK475" s="117"/>
      <c r="EL475" s="117"/>
      <c r="EM475" s="117"/>
      <c r="EN475" s="117"/>
    </row>
    <row r="476" spans="1:144" s="129" customFormat="1" x14ac:dyDescent="0.2">
      <c r="C476" s="143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  <c r="AC476" s="117"/>
      <c r="AD476" s="117"/>
      <c r="AE476" s="117"/>
      <c r="AF476" s="117"/>
      <c r="AG476" s="117"/>
      <c r="AH476" s="117"/>
      <c r="AI476" s="117"/>
      <c r="AJ476" s="117"/>
      <c r="AK476" s="117"/>
      <c r="AL476" s="117"/>
      <c r="AM476" s="117"/>
      <c r="AN476" s="117"/>
      <c r="AO476" s="117"/>
      <c r="AP476" s="117"/>
      <c r="AQ476" s="117"/>
      <c r="AR476" s="117"/>
      <c r="AS476" s="117"/>
      <c r="AT476" s="117"/>
      <c r="AU476" s="117"/>
      <c r="AV476" s="117"/>
      <c r="AW476" s="117"/>
      <c r="AX476" s="117"/>
      <c r="AY476" s="117"/>
      <c r="AZ476" s="117"/>
      <c r="BA476" s="117"/>
      <c r="BB476" s="117"/>
      <c r="BC476" s="117"/>
      <c r="BD476" s="117"/>
      <c r="BE476" s="117"/>
      <c r="BF476" s="117"/>
      <c r="BG476" s="117"/>
      <c r="BH476" s="117"/>
      <c r="BI476" s="117"/>
      <c r="BJ476" s="117"/>
      <c r="BK476" s="117"/>
      <c r="BL476" s="117"/>
      <c r="BM476" s="117"/>
      <c r="BN476" s="117"/>
      <c r="BO476" s="117"/>
      <c r="BP476" s="117"/>
      <c r="BQ476" s="117"/>
      <c r="BR476" s="117"/>
      <c r="BS476" s="117"/>
      <c r="BT476" s="117"/>
      <c r="BU476" s="117"/>
      <c r="BV476" s="117"/>
      <c r="BW476" s="117"/>
      <c r="BX476" s="117"/>
      <c r="BY476" s="117"/>
      <c r="BZ476" s="117"/>
      <c r="CA476" s="117"/>
      <c r="CB476" s="117"/>
      <c r="CC476" s="117"/>
      <c r="CD476" s="117"/>
      <c r="CE476" s="117"/>
      <c r="CF476" s="117"/>
      <c r="CG476" s="117"/>
      <c r="CH476" s="117"/>
      <c r="CI476" s="117"/>
      <c r="CJ476" s="117"/>
      <c r="CK476" s="117"/>
      <c r="CL476" s="117"/>
      <c r="CM476" s="117"/>
      <c r="CN476" s="117"/>
      <c r="CO476" s="117"/>
      <c r="CP476" s="117"/>
      <c r="CQ476" s="117"/>
      <c r="CR476" s="117"/>
      <c r="CS476" s="117"/>
      <c r="CT476" s="117"/>
      <c r="CU476" s="117"/>
      <c r="CV476" s="117"/>
      <c r="CW476" s="117"/>
      <c r="CX476" s="117"/>
      <c r="CY476" s="117"/>
      <c r="CZ476" s="117"/>
      <c r="DA476" s="117"/>
      <c r="DB476" s="117"/>
      <c r="DC476" s="117"/>
      <c r="DD476" s="117"/>
      <c r="DE476" s="117"/>
      <c r="DF476" s="117"/>
      <c r="DG476" s="117"/>
      <c r="DH476" s="117"/>
      <c r="DI476" s="117"/>
      <c r="DJ476" s="117"/>
      <c r="DK476" s="117"/>
      <c r="DL476" s="117"/>
      <c r="DM476" s="117"/>
      <c r="DN476" s="117"/>
      <c r="DO476" s="117"/>
      <c r="DP476" s="117"/>
      <c r="DQ476" s="117"/>
      <c r="DR476" s="117"/>
      <c r="DS476" s="117"/>
      <c r="DT476" s="117"/>
      <c r="DU476" s="117"/>
      <c r="DV476" s="117"/>
      <c r="DW476" s="117"/>
      <c r="DX476" s="117"/>
      <c r="DY476" s="117"/>
      <c r="DZ476" s="117"/>
      <c r="EA476" s="117"/>
      <c r="EB476" s="117"/>
      <c r="EC476" s="117"/>
      <c r="ED476" s="117"/>
      <c r="EE476" s="117"/>
      <c r="EF476" s="117"/>
      <c r="EG476" s="117"/>
      <c r="EH476" s="117"/>
      <c r="EI476" s="117"/>
      <c r="EJ476" s="117"/>
      <c r="EK476" s="117"/>
      <c r="EL476" s="117"/>
      <c r="EM476" s="117"/>
      <c r="EN476" s="117"/>
    </row>
    <row r="477" spans="1:144" s="129" customFormat="1" x14ac:dyDescent="0.2">
      <c r="A477" s="141">
        <v>10</v>
      </c>
      <c r="B477" s="117" t="s">
        <v>33</v>
      </c>
      <c r="C477" s="125" t="s">
        <v>16</v>
      </c>
      <c r="D477" s="122">
        <f t="shared" ref="D477:O477" si="108">+D412+D382+D350+D319+D288+D257+D226+D193+D160+D127+D29+D443+D62+D94</f>
        <v>1463166.0585475489</v>
      </c>
      <c r="E477" s="122">
        <f t="shared" si="108"/>
        <v>1475328.0940586857</v>
      </c>
      <c r="F477" s="122">
        <f t="shared" si="108"/>
        <v>1476855.9332024478</v>
      </c>
      <c r="G477" s="122">
        <f t="shared" si="108"/>
        <v>1478489.0199571357</v>
      </c>
      <c r="H477" s="122">
        <f t="shared" si="108"/>
        <v>1477863.5767587025</v>
      </c>
      <c r="I477" s="122">
        <f t="shared" si="108"/>
        <v>1478741.5404873393</v>
      </c>
      <c r="J477" s="122">
        <f t="shared" si="108"/>
        <v>1483518.4548071446</v>
      </c>
      <c r="K477" s="122">
        <f t="shared" si="108"/>
        <v>1476483.2059384477</v>
      </c>
      <c r="L477" s="122">
        <f t="shared" si="108"/>
        <v>1478829.7200397681</v>
      </c>
      <c r="M477" s="122">
        <f t="shared" si="108"/>
        <v>1473340.1600087346</v>
      </c>
      <c r="N477" s="122">
        <f t="shared" si="108"/>
        <v>1482988.7846162596</v>
      </c>
      <c r="O477" s="122">
        <f t="shared" si="108"/>
        <v>1478506.2199999997</v>
      </c>
      <c r="P477" s="127">
        <f>SUM(D477:O477)</f>
        <v>17724110.768422216</v>
      </c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7"/>
      <c r="AH477" s="117"/>
      <c r="AI477" s="117"/>
      <c r="AJ477" s="117"/>
      <c r="AK477" s="117"/>
      <c r="AL477" s="117"/>
      <c r="AM477" s="117"/>
      <c r="AN477" s="117"/>
      <c r="AO477" s="117"/>
      <c r="AP477" s="117"/>
      <c r="AQ477" s="117"/>
      <c r="AR477" s="117"/>
      <c r="AS477" s="117"/>
      <c r="AT477" s="117"/>
      <c r="AU477" s="117"/>
      <c r="AV477" s="117"/>
      <c r="AW477" s="117"/>
      <c r="AX477" s="117"/>
      <c r="AY477" s="117"/>
      <c r="AZ477" s="117"/>
      <c r="BA477" s="117"/>
      <c r="BB477" s="117"/>
      <c r="BC477" s="117"/>
      <c r="BD477" s="117"/>
      <c r="BE477" s="117"/>
      <c r="BF477" s="117"/>
      <c r="BG477" s="117"/>
      <c r="BH477" s="117"/>
      <c r="BI477" s="117"/>
      <c r="BJ477" s="117"/>
      <c r="BK477" s="117"/>
      <c r="BL477" s="117"/>
      <c r="BM477" s="117"/>
      <c r="BN477" s="117"/>
      <c r="BO477" s="117"/>
      <c r="BP477" s="117"/>
      <c r="BQ477" s="117"/>
      <c r="BR477" s="117"/>
      <c r="BS477" s="117"/>
      <c r="BT477" s="117"/>
      <c r="BU477" s="117"/>
      <c r="BV477" s="117"/>
      <c r="BW477" s="117"/>
      <c r="BX477" s="117"/>
      <c r="BY477" s="117"/>
      <c r="BZ477" s="117"/>
      <c r="CA477" s="117"/>
      <c r="CB477" s="117"/>
      <c r="CC477" s="117"/>
      <c r="CD477" s="117"/>
      <c r="CE477" s="117"/>
      <c r="CF477" s="117"/>
      <c r="CG477" s="117"/>
      <c r="CH477" s="117"/>
      <c r="CI477" s="117"/>
      <c r="CJ477" s="117"/>
      <c r="CK477" s="117"/>
      <c r="CL477" s="117"/>
      <c r="CM477" s="117"/>
      <c r="CN477" s="117"/>
      <c r="CO477" s="117"/>
      <c r="CP477" s="117"/>
      <c r="CQ477" s="117"/>
      <c r="CR477" s="117"/>
      <c r="CS477" s="117"/>
      <c r="CT477" s="117"/>
      <c r="CU477" s="117"/>
      <c r="CV477" s="117"/>
      <c r="CW477" s="117"/>
      <c r="CX477" s="117"/>
      <c r="CY477" s="117"/>
      <c r="CZ477" s="117"/>
      <c r="DA477" s="117"/>
      <c r="DB477" s="117"/>
      <c r="DC477" s="117"/>
      <c r="DD477" s="117"/>
      <c r="DE477" s="117"/>
      <c r="DF477" s="117"/>
      <c r="DG477" s="117"/>
      <c r="DH477" s="117"/>
      <c r="DI477" s="117"/>
      <c r="DJ477" s="117"/>
      <c r="DK477" s="117"/>
      <c r="DL477" s="117"/>
      <c r="DM477" s="117"/>
      <c r="DN477" s="117"/>
      <c r="DO477" s="117"/>
      <c r="DP477" s="117"/>
      <c r="DQ477" s="117"/>
      <c r="DR477" s="117"/>
      <c r="DS477" s="117"/>
      <c r="DT477" s="117"/>
      <c r="DU477" s="117"/>
      <c r="DV477" s="117"/>
      <c r="DW477" s="117"/>
      <c r="DX477" s="117"/>
      <c r="DY477" s="117"/>
      <c r="DZ477" s="117"/>
      <c r="EA477" s="117"/>
      <c r="EB477" s="117"/>
      <c r="EC477" s="117"/>
      <c r="ED477" s="117"/>
      <c r="EE477" s="117"/>
      <c r="EF477" s="117"/>
      <c r="EG477" s="117"/>
      <c r="EH477" s="117"/>
      <c r="EI477" s="117"/>
      <c r="EJ477" s="117"/>
      <c r="EK477" s="117"/>
      <c r="EL477" s="117"/>
      <c r="EM477" s="117"/>
      <c r="EN477" s="117"/>
    </row>
    <row r="478" spans="1:144" s="129" customFormat="1" x14ac:dyDescent="0.2">
      <c r="A478" s="141"/>
      <c r="C478" s="143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2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  <c r="AD478" s="117"/>
      <c r="AE478" s="117"/>
      <c r="AF478" s="117"/>
      <c r="AG478" s="117"/>
      <c r="AH478" s="117"/>
      <c r="AI478" s="117"/>
      <c r="AJ478" s="117"/>
      <c r="AK478" s="117"/>
      <c r="AL478" s="117"/>
      <c r="AM478" s="117"/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/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/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7"/>
      <c r="CA478" s="117"/>
      <c r="CB478" s="117"/>
      <c r="CC478" s="117"/>
      <c r="CD478" s="117"/>
      <c r="CE478" s="117"/>
      <c r="CF478" s="117"/>
      <c r="CG478" s="117"/>
      <c r="CH478" s="117"/>
      <c r="CI478" s="117"/>
      <c r="CJ478" s="117"/>
      <c r="CK478" s="117"/>
      <c r="CL478" s="117"/>
      <c r="CM478" s="117"/>
      <c r="CN478" s="117"/>
      <c r="CO478" s="117"/>
      <c r="CP478" s="117"/>
      <c r="CQ478" s="117"/>
      <c r="CR478" s="117"/>
      <c r="CS478" s="117"/>
      <c r="CT478" s="117"/>
      <c r="CU478" s="117"/>
      <c r="CV478" s="117"/>
      <c r="CW478" s="117"/>
      <c r="CX478" s="117"/>
      <c r="CY478" s="117"/>
      <c r="CZ478" s="117"/>
      <c r="DA478" s="117"/>
      <c r="DB478" s="117"/>
      <c r="DC478" s="117"/>
      <c r="DD478" s="117"/>
      <c r="DE478" s="117"/>
      <c r="DF478" s="117"/>
      <c r="DG478" s="117"/>
      <c r="DH478" s="117"/>
      <c r="DI478" s="117"/>
      <c r="DJ478" s="117"/>
      <c r="DK478" s="117"/>
      <c r="DL478" s="117"/>
      <c r="DM478" s="117"/>
      <c r="DN478" s="117"/>
      <c r="DO478" s="117"/>
      <c r="DP478" s="117"/>
      <c r="DQ478" s="117"/>
      <c r="DR478" s="117"/>
      <c r="DS478" s="117"/>
      <c r="DT478" s="117"/>
      <c r="DU478" s="117"/>
      <c r="DV478" s="117"/>
      <c r="DW478" s="117"/>
      <c r="DX478" s="117"/>
      <c r="DY478" s="117"/>
      <c r="DZ478" s="117"/>
      <c r="EA478" s="117"/>
      <c r="EB478" s="117"/>
      <c r="EC478" s="117"/>
      <c r="ED478" s="117"/>
      <c r="EE478" s="117"/>
      <c r="EF478" s="117"/>
      <c r="EG478" s="117"/>
      <c r="EH478" s="117"/>
      <c r="EI478" s="117"/>
      <c r="EJ478" s="117"/>
      <c r="EK478" s="117"/>
      <c r="EL478" s="117"/>
      <c r="EM478" s="117"/>
      <c r="EN478" s="117"/>
    </row>
    <row r="479" spans="1:144" s="129" customFormat="1" x14ac:dyDescent="0.2">
      <c r="A479" s="141">
        <v>11</v>
      </c>
      <c r="B479" s="183" t="s">
        <v>34</v>
      </c>
      <c r="C479" s="236"/>
      <c r="D479" s="184">
        <f>D477+D475+D473+D469+D465+D463</f>
        <v>38659580.924841784</v>
      </c>
      <c r="E479" s="184">
        <f t="shared" ref="E479:O479" si="109">E477+E475+E473+E469+E465+E463</f>
        <v>35102563.200284101</v>
      </c>
      <c r="F479" s="184">
        <f t="shared" si="109"/>
        <v>32977263.769050762</v>
      </c>
      <c r="G479" s="184">
        <f t="shared" si="109"/>
        <v>33267721.217565961</v>
      </c>
      <c r="H479" s="184">
        <f t="shared" si="109"/>
        <v>35348984.011455014</v>
      </c>
      <c r="I479" s="184">
        <f t="shared" si="109"/>
        <v>40252025.809790604</v>
      </c>
      <c r="J479" s="184">
        <f t="shared" si="109"/>
        <v>42531295.697484538</v>
      </c>
      <c r="K479" s="184">
        <f t="shared" si="109"/>
        <v>42983417.965852037</v>
      </c>
      <c r="L479" s="184">
        <f t="shared" si="109"/>
        <v>42092895.619293988</v>
      </c>
      <c r="M479" s="184">
        <f t="shared" si="109"/>
        <v>37515558.994467936</v>
      </c>
      <c r="N479" s="184">
        <f t="shared" si="109"/>
        <v>34210766.820309997</v>
      </c>
      <c r="O479" s="184">
        <f t="shared" si="109"/>
        <v>35854109.250954881</v>
      </c>
      <c r="P479" s="184">
        <f>P477+P475+P473+P469+P465+P463</f>
        <v>450796183.28135157</v>
      </c>
      <c r="Q479" s="20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  <c r="AI479" s="117"/>
      <c r="AJ479" s="117"/>
      <c r="AK479" s="117"/>
      <c r="AL479" s="117"/>
      <c r="AM479" s="117"/>
      <c r="AN479" s="117"/>
      <c r="AO479" s="117"/>
      <c r="AP479" s="117"/>
      <c r="AQ479" s="117"/>
      <c r="AR479" s="117"/>
      <c r="AS479" s="117"/>
      <c r="AT479" s="117"/>
      <c r="AU479" s="117"/>
      <c r="AV479" s="117"/>
      <c r="AW479" s="117"/>
      <c r="AX479" s="117"/>
      <c r="AY479" s="117"/>
      <c r="AZ479" s="117"/>
      <c r="BA479" s="117"/>
      <c r="BB479" s="117"/>
      <c r="BC479" s="117"/>
      <c r="BD479" s="117"/>
      <c r="BE479" s="117"/>
      <c r="BF479" s="117"/>
      <c r="BG479" s="117"/>
      <c r="BH479" s="117"/>
      <c r="BI479" s="117"/>
      <c r="BJ479" s="117"/>
      <c r="BK479" s="117"/>
      <c r="BL479" s="117"/>
      <c r="BM479" s="117"/>
      <c r="BN479" s="117"/>
      <c r="BO479" s="117"/>
      <c r="BP479" s="117"/>
      <c r="BQ479" s="117"/>
      <c r="BR479" s="117"/>
      <c r="BS479" s="117"/>
      <c r="BT479" s="117"/>
      <c r="BU479" s="117"/>
      <c r="BV479" s="117"/>
      <c r="BW479" s="117"/>
      <c r="BX479" s="117"/>
      <c r="BY479" s="117"/>
      <c r="BZ479" s="117"/>
      <c r="CA479" s="117"/>
      <c r="CB479" s="117"/>
      <c r="CC479" s="117"/>
      <c r="CD479" s="117"/>
      <c r="CE479" s="117"/>
      <c r="CF479" s="117"/>
      <c r="CG479" s="117"/>
      <c r="CH479" s="117"/>
      <c r="CI479" s="117"/>
      <c r="CJ479" s="117"/>
      <c r="CK479" s="117"/>
      <c r="CL479" s="117"/>
      <c r="CM479" s="117"/>
      <c r="CN479" s="117"/>
      <c r="CO479" s="117"/>
      <c r="CP479" s="117"/>
      <c r="CQ479" s="117"/>
      <c r="CR479" s="117"/>
      <c r="CS479" s="117"/>
      <c r="CT479" s="117"/>
      <c r="CU479" s="117"/>
      <c r="CV479" s="117"/>
      <c r="CW479" s="117"/>
      <c r="CX479" s="117"/>
      <c r="CY479" s="117"/>
      <c r="CZ479" s="117"/>
      <c r="DA479" s="117"/>
      <c r="DB479" s="117"/>
      <c r="DC479" s="117"/>
      <c r="DD479" s="117"/>
      <c r="DE479" s="117"/>
      <c r="DF479" s="117"/>
      <c r="DG479" s="117"/>
      <c r="DH479" s="117"/>
      <c r="DI479" s="117"/>
      <c r="DJ479" s="117"/>
      <c r="DK479" s="117"/>
      <c r="DL479" s="117"/>
      <c r="DM479" s="117"/>
      <c r="DN479" s="117"/>
      <c r="DO479" s="117"/>
      <c r="DP479" s="117"/>
      <c r="DQ479" s="117"/>
      <c r="DR479" s="117"/>
      <c r="DS479" s="117"/>
      <c r="DT479" s="117"/>
      <c r="DU479" s="117"/>
      <c r="DV479" s="117"/>
      <c r="DW479" s="117"/>
      <c r="DX479" s="117"/>
      <c r="DY479" s="117"/>
      <c r="DZ479" s="117"/>
      <c r="EA479" s="117"/>
      <c r="EB479" s="117"/>
      <c r="EC479" s="117"/>
      <c r="ED479" s="117"/>
      <c r="EE479" s="117"/>
      <c r="EF479" s="117"/>
      <c r="EG479" s="117"/>
      <c r="EH479" s="117"/>
      <c r="EI479" s="117"/>
      <c r="EJ479" s="117"/>
      <c r="EK479" s="117"/>
      <c r="EL479" s="117"/>
      <c r="EM479" s="117"/>
      <c r="EN479" s="117"/>
    </row>
    <row r="480" spans="1:144" s="129" customFormat="1" x14ac:dyDescent="0.2">
      <c r="B480" s="236"/>
      <c r="C480" s="236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2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  <c r="AI480" s="117"/>
      <c r="AJ480" s="117"/>
      <c r="AK480" s="117"/>
      <c r="AL480" s="117"/>
      <c r="AM480" s="117"/>
      <c r="AN480" s="117"/>
      <c r="AO480" s="117"/>
      <c r="AP480" s="117"/>
      <c r="AQ480" s="117"/>
      <c r="AR480" s="117"/>
      <c r="AS480" s="117"/>
      <c r="AT480" s="117"/>
      <c r="AU480" s="117"/>
      <c r="AV480" s="117"/>
      <c r="AW480" s="117"/>
      <c r="AX480" s="117"/>
      <c r="AY480" s="117"/>
      <c r="AZ480" s="117"/>
      <c r="BA480" s="117"/>
      <c r="BB480" s="117"/>
      <c r="BC480" s="117"/>
      <c r="BD480" s="117"/>
      <c r="BE480" s="117"/>
      <c r="BF480" s="117"/>
      <c r="BG480" s="117"/>
      <c r="BH480" s="117"/>
      <c r="BI480" s="117"/>
      <c r="BJ480" s="117"/>
      <c r="BK480" s="117"/>
      <c r="BL480" s="117"/>
      <c r="BM480" s="117"/>
      <c r="BN480" s="117"/>
      <c r="BO480" s="117"/>
      <c r="BP480" s="117"/>
      <c r="BQ480" s="117"/>
      <c r="BR480" s="117"/>
      <c r="BS480" s="117"/>
      <c r="BT480" s="117"/>
      <c r="BU480" s="117"/>
      <c r="BV480" s="117"/>
      <c r="BW480" s="117"/>
      <c r="BX480" s="117"/>
      <c r="BY480" s="117"/>
      <c r="BZ480" s="117"/>
      <c r="CA480" s="117"/>
      <c r="CB480" s="117"/>
      <c r="CC480" s="117"/>
      <c r="CD480" s="117"/>
      <c r="CE480" s="117"/>
      <c r="CF480" s="117"/>
      <c r="CG480" s="117"/>
      <c r="CH480" s="117"/>
      <c r="CI480" s="117"/>
      <c r="CJ480" s="117"/>
      <c r="CK480" s="117"/>
      <c r="CL480" s="117"/>
      <c r="CM480" s="117"/>
      <c r="CN480" s="117"/>
      <c r="CO480" s="117"/>
      <c r="CP480" s="117"/>
      <c r="CQ480" s="117"/>
      <c r="CR480" s="117"/>
      <c r="CS480" s="117"/>
      <c r="CT480" s="117"/>
      <c r="CU480" s="117"/>
      <c r="CV480" s="117"/>
      <c r="CW480" s="117"/>
      <c r="CX480" s="117"/>
      <c r="CY480" s="117"/>
      <c r="CZ480" s="117"/>
      <c r="DA480" s="117"/>
      <c r="DB480" s="117"/>
      <c r="DC480" s="117"/>
      <c r="DD480" s="117"/>
      <c r="DE480" s="117"/>
      <c r="DF480" s="117"/>
      <c r="DG480" s="117"/>
      <c r="DH480" s="117"/>
      <c r="DI480" s="117"/>
      <c r="DJ480" s="117"/>
      <c r="DK480" s="117"/>
      <c r="DL480" s="117"/>
      <c r="DM480" s="117"/>
      <c r="DN480" s="117"/>
      <c r="DO480" s="117"/>
      <c r="DP480" s="117"/>
      <c r="DQ480" s="117"/>
      <c r="DR480" s="117"/>
      <c r="DS480" s="117"/>
      <c r="DT480" s="117"/>
      <c r="DU480" s="117"/>
      <c r="DV480" s="117"/>
      <c r="DW480" s="117"/>
      <c r="DX480" s="117"/>
      <c r="DY480" s="117"/>
      <c r="DZ480" s="117"/>
      <c r="EA480" s="117"/>
      <c r="EB480" s="117"/>
      <c r="EC480" s="117"/>
      <c r="ED480" s="117"/>
      <c r="EE480" s="117"/>
      <c r="EF480" s="117"/>
      <c r="EG480" s="117"/>
      <c r="EH480" s="117"/>
      <c r="EI480" s="117"/>
      <c r="EJ480" s="117"/>
      <c r="EK480" s="117"/>
      <c r="EL480" s="117"/>
      <c r="EM480" s="117"/>
      <c r="EN480" s="117"/>
    </row>
    <row r="481" spans="1:144" s="129" customFormat="1" x14ac:dyDescent="0.2">
      <c r="A481" s="74">
        <v>12</v>
      </c>
      <c r="B481" s="148" t="s">
        <v>91</v>
      </c>
      <c r="C481" s="125" t="s">
        <v>17</v>
      </c>
      <c r="D481" s="122">
        <f>D447+D416+D386+D323+D230+D197+D164+D131+D33+D66+D98</f>
        <v>0</v>
      </c>
      <c r="E481" s="122">
        <f t="shared" ref="E481:O481" si="110">E447+E416+E386+E323+E230+E197+E164+E131+E33+E66+E98</f>
        <v>0</v>
      </c>
      <c r="F481" s="122">
        <f t="shared" si="110"/>
        <v>0</v>
      </c>
      <c r="G481" s="122">
        <f t="shared" si="110"/>
        <v>0</v>
      </c>
      <c r="H481" s="122">
        <f t="shared" si="110"/>
        <v>0</v>
      </c>
      <c r="I481" s="122">
        <f t="shared" si="110"/>
        <v>0</v>
      </c>
      <c r="J481" s="122">
        <f t="shared" si="110"/>
        <v>0</v>
      </c>
      <c r="K481" s="122">
        <f t="shared" si="110"/>
        <v>0</v>
      </c>
      <c r="L481" s="122">
        <f t="shared" si="110"/>
        <v>0</v>
      </c>
      <c r="M481" s="122">
        <f t="shared" si="110"/>
        <v>0</v>
      </c>
      <c r="N481" s="122">
        <f t="shared" si="110"/>
        <v>0</v>
      </c>
      <c r="O481" s="122">
        <f t="shared" si="110"/>
        <v>0</v>
      </c>
      <c r="P481" s="127">
        <f>SUM(D481:O481)</f>
        <v>0</v>
      </c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  <c r="AI481" s="117"/>
      <c r="AJ481" s="117"/>
      <c r="AK481" s="117"/>
      <c r="AL481" s="117"/>
      <c r="AM481" s="117"/>
      <c r="AN481" s="117"/>
      <c r="AO481" s="117"/>
      <c r="AP481" s="117"/>
      <c r="AQ481" s="117"/>
      <c r="AR481" s="117"/>
      <c r="AS481" s="117"/>
      <c r="AT481" s="117"/>
      <c r="AU481" s="117"/>
      <c r="AV481" s="117"/>
      <c r="AW481" s="117"/>
      <c r="AX481" s="117"/>
      <c r="AY481" s="117"/>
      <c r="AZ481" s="117"/>
      <c r="BA481" s="117"/>
      <c r="BB481" s="117"/>
      <c r="BC481" s="117"/>
      <c r="BD481" s="117"/>
      <c r="BE481" s="117"/>
      <c r="BF481" s="117"/>
      <c r="BG481" s="117"/>
      <c r="BH481" s="117"/>
      <c r="BI481" s="117"/>
      <c r="BJ481" s="117"/>
      <c r="BK481" s="117"/>
      <c r="BL481" s="117"/>
      <c r="BM481" s="117"/>
      <c r="BN481" s="117"/>
      <c r="BO481" s="117"/>
      <c r="BP481" s="117"/>
      <c r="BQ481" s="117"/>
      <c r="BR481" s="117"/>
      <c r="BS481" s="117"/>
      <c r="BT481" s="117"/>
      <c r="BU481" s="117"/>
      <c r="BV481" s="117"/>
      <c r="BW481" s="117"/>
      <c r="BX481" s="117"/>
      <c r="BY481" s="117"/>
      <c r="BZ481" s="117"/>
      <c r="CA481" s="117"/>
      <c r="CB481" s="117"/>
      <c r="CC481" s="117"/>
      <c r="CD481" s="117"/>
      <c r="CE481" s="117"/>
      <c r="CF481" s="117"/>
      <c r="CG481" s="117"/>
      <c r="CH481" s="117"/>
      <c r="CI481" s="117"/>
      <c r="CJ481" s="117"/>
      <c r="CK481" s="117"/>
      <c r="CL481" s="117"/>
      <c r="CM481" s="117"/>
      <c r="CN481" s="117"/>
      <c r="CO481" s="117"/>
      <c r="CP481" s="117"/>
      <c r="CQ481" s="117"/>
      <c r="CR481" s="117"/>
      <c r="CS481" s="117"/>
      <c r="CT481" s="117"/>
      <c r="CU481" s="117"/>
      <c r="CV481" s="117"/>
      <c r="CW481" s="117"/>
      <c r="CX481" s="117"/>
      <c r="CY481" s="117"/>
      <c r="CZ481" s="117"/>
      <c r="DA481" s="117"/>
      <c r="DB481" s="117"/>
      <c r="DC481" s="117"/>
      <c r="DD481" s="117"/>
      <c r="DE481" s="117"/>
      <c r="DF481" s="117"/>
      <c r="DG481" s="117"/>
      <c r="DH481" s="117"/>
      <c r="DI481" s="117"/>
      <c r="DJ481" s="117"/>
      <c r="DK481" s="117"/>
      <c r="DL481" s="117"/>
      <c r="DM481" s="117"/>
      <c r="DN481" s="117"/>
      <c r="DO481" s="117"/>
      <c r="DP481" s="117"/>
      <c r="DQ481" s="117"/>
      <c r="DR481" s="117"/>
      <c r="DS481" s="117"/>
      <c r="DT481" s="117"/>
      <c r="DU481" s="117"/>
      <c r="DV481" s="117"/>
      <c r="DW481" s="117"/>
      <c r="DX481" s="117"/>
      <c r="DY481" s="117"/>
      <c r="DZ481" s="117"/>
      <c r="EA481" s="117"/>
      <c r="EB481" s="117"/>
      <c r="EC481" s="117"/>
      <c r="ED481" s="117"/>
      <c r="EE481" s="117"/>
      <c r="EF481" s="117"/>
      <c r="EG481" s="117"/>
      <c r="EH481" s="117"/>
      <c r="EI481" s="117"/>
      <c r="EJ481" s="117"/>
      <c r="EK481" s="117"/>
      <c r="EL481" s="117"/>
      <c r="EM481" s="117"/>
      <c r="EN481" s="117"/>
    </row>
    <row r="482" spans="1:144" s="129" customFormat="1" x14ac:dyDescent="0.2">
      <c r="A482" s="74">
        <v>13</v>
      </c>
      <c r="B482" s="148" t="s">
        <v>92</v>
      </c>
      <c r="C482" s="125" t="s">
        <v>18</v>
      </c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67">
        <f>SUM(D482:O482)</f>
        <v>0</v>
      </c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  <c r="AI482" s="117"/>
      <c r="AJ482" s="117"/>
      <c r="AK482" s="117"/>
      <c r="AL482" s="117"/>
      <c r="AM482" s="117"/>
      <c r="AN482" s="117"/>
      <c r="AO482" s="117"/>
      <c r="AP482" s="117"/>
      <c r="AQ482" s="117"/>
      <c r="AR482" s="117"/>
      <c r="AS482" s="117"/>
      <c r="AT482" s="117"/>
      <c r="AU482" s="117"/>
      <c r="AV482" s="117"/>
      <c r="AW482" s="117"/>
      <c r="AX482" s="117"/>
      <c r="AY482" s="117"/>
      <c r="AZ482" s="117"/>
      <c r="BA482" s="117"/>
      <c r="BB482" s="117"/>
      <c r="BC482" s="117"/>
      <c r="BD482" s="117"/>
      <c r="BE482" s="117"/>
      <c r="BF482" s="117"/>
      <c r="BG482" s="117"/>
      <c r="BH482" s="117"/>
      <c r="BI482" s="117"/>
      <c r="BJ482" s="117"/>
      <c r="BK482" s="117"/>
      <c r="BL482" s="117"/>
      <c r="BM482" s="117"/>
      <c r="BN482" s="117"/>
      <c r="BO482" s="117"/>
      <c r="BP482" s="117"/>
      <c r="BQ482" s="117"/>
      <c r="BR482" s="117"/>
      <c r="BS482" s="117"/>
      <c r="BT482" s="117"/>
      <c r="BU482" s="117"/>
      <c r="BV482" s="117"/>
      <c r="BW482" s="117"/>
      <c r="BX482" s="117"/>
      <c r="BY482" s="117"/>
      <c r="BZ482" s="117"/>
      <c r="CA482" s="117"/>
      <c r="CB482" s="117"/>
      <c r="CC482" s="117"/>
      <c r="CD482" s="117"/>
      <c r="CE482" s="117"/>
      <c r="CF482" s="117"/>
      <c r="CG482" s="117"/>
      <c r="CH482" s="117"/>
      <c r="CI482" s="117"/>
      <c r="CJ482" s="117"/>
      <c r="CK482" s="117"/>
      <c r="CL482" s="117"/>
      <c r="CM482" s="117"/>
      <c r="CN482" s="117"/>
      <c r="CO482" s="117"/>
      <c r="CP482" s="117"/>
      <c r="CQ482" s="117"/>
      <c r="CR482" s="117"/>
      <c r="CS482" s="117"/>
      <c r="CT482" s="117"/>
      <c r="CU482" s="117"/>
      <c r="CV482" s="117"/>
      <c r="CW482" s="117"/>
      <c r="CX482" s="117"/>
      <c r="CY482" s="117"/>
      <c r="CZ482" s="117"/>
      <c r="DA482" s="117"/>
      <c r="DB482" s="117"/>
      <c r="DC482" s="117"/>
      <c r="DD482" s="117"/>
      <c r="DE482" s="117"/>
      <c r="DF482" s="117"/>
      <c r="DG482" s="117"/>
      <c r="DH482" s="117"/>
      <c r="DI482" s="117"/>
      <c r="DJ482" s="117"/>
      <c r="DK482" s="117"/>
      <c r="DL482" s="117"/>
      <c r="DM482" s="117"/>
      <c r="DN482" s="117"/>
      <c r="DO482" s="117"/>
      <c r="DP482" s="117"/>
      <c r="DQ482" s="117"/>
      <c r="DR482" s="117"/>
      <c r="DS482" s="117"/>
      <c r="DT482" s="117"/>
      <c r="DU482" s="117"/>
      <c r="DV482" s="117"/>
      <c r="DW482" s="117"/>
      <c r="DX482" s="117"/>
      <c r="DY482" s="117"/>
      <c r="DZ482" s="117"/>
      <c r="EA482" s="117"/>
      <c r="EB482" s="117"/>
      <c r="EC482" s="117"/>
      <c r="ED482" s="117"/>
      <c r="EE482" s="117"/>
      <c r="EF482" s="117"/>
      <c r="EG482" s="117"/>
      <c r="EH482" s="117"/>
      <c r="EI482" s="117"/>
      <c r="EJ482" s="117"/>
      <c r="EK482" s="117"/>
      <c r="EL482" s="117"/>
      <c r="EM482" s="117"/>
      <c r="EN482" s="117"/>
    </row>
    <row r="483" spans="1:144" s="129" customFormat="1" x14ac:dyDescent="0.2">
      <c r="A483" s="74">
        <v>14</v>
      </c>
      <c r="B483" s="183" t="s">
        <v>35</v>
      </c>
      <c r="C483" s="238"/>
      <c r="D483" s="169">
        <f>SUM(D481:D482)</f>
        <v>0</v>
      </c>
      <c r="E483" s="169">
        <f t="shared" ref="E483:O483" si="111">SUM(E481:E482)</f>
        <v>0</v>
      </c>
      <c r="F483" s="169">
        <f t="shared" si="111"/>
        <v>0</v>
      </c>
      <c r="G483" s="169">
        <f t="shared" si="111"/>
        <v>0</v>
      </c>
      <c r="H483" s="169">
        <f t="shared" si="111"/>
        <v>0</v>
      </c>
      <c r="I483" s="169">
        <f t="shared" si="111"/>
        <v>0</v>
      </c>
      <c r="J483" s="169">
        <f t="shared" si="111"/>
        <v>0</v>
      </c>
      <c r="K483" s="169">
        <f t="shared" si="111"/>
        <v>0</v>
      </c>
      <c r="L483" s="169">
        <f t="shared" si="111"/>
        <v>0</v>
      </c>
      <c r="M483" s="169">
        <f t="shared" si="111"/>
        <v>0</v>
      </c>
      <c r="N483" s="169">
        <f t="shared" si="111"/>
        <v>0</v>
      </c>
      <c r="O483" s="169">
        <f t="shared" si="111"/>
        <v>0</v>
      </c>
      <c r="P483" s="156">
        <f>SUM(P481:P482)</f>
        <v>0</v>
      </c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7"/>
      <c r="AH483" s="117"/>
      <c r="AI483" s="117"/>
      <c r="AJ483" s="117"/>
      <c r="AK483" s="117"/>
      <c r="AL483" s="117"/>
      <c r="AM483" s="117"/>
      <c r="AN483" s="117"/>
      <c r="AO483" s="117"/>
      <c r="AP483" s="117"/>
      <c r="AQ483" s="117"/>
      <c r="AR483" s="117"/>
      <c r="AS483" s="117"/>
      <c r="AT483" s="117"/>
      <c r="AU483" s="117"/>
      <c r="AV483" s="117"/>
      <c r="AW483" s="117"/>
      <c r="AX483" s="117"/>
      <c r="AY483" s="117"/>
      <c r="AZ483" s="117"/>
      <c r="BA483" s="117"/>
      <c r="BB483" s="117"/>
      <c r="BC483" s="117"/>
      <c r="BD483" s="117"/>
      <c r="BE483" s="117"/>
      <c r="BF483" s="117"/>
      <c r="BG483" s="117"/>
      <c r="BH483" s="117"/>
      <c r="BI483" s="117"/>
      <c r="BJ483" s="117"/>
      <c r="BK483" s="117"/>
      <c r="BL483" s="117"/>
      <c r="BM483" s="117"/>
      <c r="BN483" s="117"/>
      <c r="BO483" s="117"/>
      <c r="BP483" s="117"/>
      <c r="BQ483" s="117"/>
      <c r="BR483" s="117"/>
      <c r="BS483" s="117"/>
      <c r="BT483" s="117"/>
      <c r="BU483" s="117"/>
      <c r="BV483" s="117"/>
      <c r="BW483" s="117"/>
      <c r="BX483" s="117"/>
      <c r="BY483" s="117"/>
      <c r="BZ483" s="117"/>
      <c r="CA483" s="117"/>
      <c r="CB483" s="117"/>
      <c r="CC483" s="117"/>
      <c r="CD483" s="117"/>
      <c r="CE483" s="117"/>
      <c r="CF483" s="117"/>
      <c r="CG483" s="117"/>
      <c r="CH483" s="117"/>
      <c r="CI483" s="117"/>
      <c r="CJ483" s="117"/>
      <c r="CK483" s="117"/>
      <c r="CL483" s="117"/>
      <c r="CM483" s="117"/>
      <c r="CN483" s="117"/>
      <c r="CO483" s="117"/>
      <c r="CP483" s="117"/>
      <c r="CQ483" s="117"/>
      <c r="CR483" s="117"/>
      <c r="CS483" s="117"/>
      <c r="CT483" s="117"/>
      <c r="CU483" s="117"/>
      <c r="CV483" s="117"/>
      <c r="CW483" s="117"/>
      <c r="CX483" s="117"/>
      <c r="CY483" s="117"/>
      <c r="CZ483" s="117"/>
      <c r="DA483" s="117"/>
      <c r="DB483" s="117"/>
      <c r="DC483" s="117"/>
      <c r="DD483" s="117"/>
      <c r="DE483" s="117"/>
      <c r="DF483" s="117"/>
      <c r="DG483" s="117"/>
      <c r="DH483" s="117"/>
      <c r="DI483" s="117"/>
      <c r="DJ483" s="117"/>
      <c r="DK483" s="117"/>
      <c r="DL483" s="117"/>
      <c r="DM483" s="117"/>
      <c r="DN483" s="117"/>
      <c r="DO483" s="117"/>
      <c r="DP483" s="117"/>
      <c r="DQ483" s="117"/>
      <c r="DR483" s="117"/>
      <c r="DS483" s="117"/>
      <c r="DT483" s="117"/>
      <c r="DU483" s="117"/>
      <c r="DV483" s="117"/>
      <c r="DW483" s="117"/>
      <c r="DX483" s="117"/>
      <c r="DY483" s="117"/>
      <c r="DZ483" s="117"/>
      <c r="EA483" s="117"/>
      <c r="EB483" s="117"/>
      <c r="EC483" s="117"/>
      <c r="ED483" s="117"/>
      <c r="EE483" s="117"/>
      <c r="EF483" s="117"/>
      <c r="EG483" s="117"/>
      <c r="EH483" s="117"/>
      <c r="EI483" s="117"/>
      <c r="EJ483" s="117"/>
      <c r="EK483" s="117"/>
      <c r="EL483" s="117"/>
      <c r="EM483" s="117"/>
      <c r="EN483" s="117"/>
    </row>
    <row r="484" spans="1:144" s="129" customFormat="1" x14ac:dyDescent="0.2">
      <c r="A484" s="74"/>
      <c r="C484" s="185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2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7"/>
      <c r="AH484" s="117"/>
      <c r="AI484" s="117"/>
      <c r="AJ484" s="117"/>
      <c r="AK484" s="117"/>
      <c r="AL484" s="117"/>
      <c r="AM484" s="117"/>
      <c r="AN484" s="117"/>
      <c r="AO484" s="117"/>
      <c r="AP484" s="117"/>
      <c r="AQ484" s="117"/>
      <c r="AR484" s="117"/>
      <c r="AS484" s="117"/>
      <c r="AT484" s="117"/>
      <c r="AU484" s="117"/>
      <c r="AV484" s="117"/>
      <c r="AW484" s="117"/>
      <c r="AX484" s="117"/>
      <c r="AY484" s="117"/>
      <c r="AZ484" s="117"/>
      <c r="BA484" s="117"/>
      <c r="BB484" s="117"/>
      <c r="BC484" s="117"/>
      <c r="BD484" s="117"/>
      <c r="BE484" s="117"/>
      <c r="BF484" s="117"/>
      <c r="BG484" s="117"/>
      <c r="BH484" s="117"/>
      <c r="BI484" s="117"/>
      <c r="BJ484" s="117"/>
      <c r="BK484" s="117"/>
      <c r="BL484" s="117"/>
      <c r="BM484" s="117"/>
      <c r="BN484" s="117"/>
      <c r="BO484" s="117"/>
      <c r="BP484" s="117"/>
      <c r="BQ484" s="117"/>
      <c r="BR484" s="117"/>
      <c r="BS484" s="117"/>
      <c r="BT484" s="117"/>
      <c r="BU484" s="117"/>
      <c r="BV484" s="117"/>
      <c r="BW484" s="117"/>
      <c r="BX484" s="117"/>
      <c r="BY484" s="117"/>
      <c r="BZ484" s="117"/>
      <c r="CA484" s="117"/>
      <c r="CB484" s="117"/>
      <c r="CC484" s="117"/>
      <c r="CD484" s="117"/>
      <c r="CE484" s="117"/>
      <c r="CF484" s="117"/>
      <c r="CG484" s="117"/>
      <c r="CH484" s="117"/>
      <c r="CI484" s="117"/>
      <c r="CJ484" s="117"/>
      <c r="CK484" s="117"/>
      <c r="CL484" s="117"/>
      <c r="CM484" s="117"/>
      <c r="CN484" s="117"/>
      <c r="CO484" s="117"/>
      <c r="CP484" s="117"/>
      <c r="CQ484" s="117"/>
      <c r="CR484" s="117"/>
      <c r="CS484" s="117"/>
      <c r="CT484" s="117"/>
      <c r="CU484" s="117"/>
      <c r="CV484" s="117"/>
      <c r="CW484" s="117"/>
      <c r="CX484" s="117"/>
      <c r="CY484" s="117"/>
      <c r="CZ484" s="117"/>
      <c r="DA484" s="117"/>
      <c r="DB484" s="117"/>
      <c r="DC484" s="117"/>
      <c r="DD484" s="117"/>
      <c r="DE484" s="117"/>
      <c r="DF484" s="117"/>
      <c r="DG484" s="117"/>
      <c r="DH484" s="117"/>
      <c r="DI484" s="117"/>
      <c r="DJ484" s="117"/>
      <c r="DK484" s="117"/>
      <c r="DL484" s="117"/>
      <c r="DM484" s="117"/>
      <c r="DN484" s="117"/>
      <c r="DO484" s="117"/>
      <c r="DP484" s="117"/>
      <c r="DQ484" s="117"/>
      <c r="DR484" s="117"/>
      <c r="DS484" s="117"/>
      <c r="DT484" s="117"/>
      <c r="DU484" s="117"/>
      <c r="DV484" s="117"/>
      <c r="DW484" s="117"/>
      <c r="DX484" s="117"/>
      <c r="DY484" s="117"/>
      <c r="DZ484" s="117"/>
      <c r="EA484" s="117"/>
      <c r="EB484" s="117"/>
      <c r="EC484" s="117"/>
      <c r="ED484" s="117"/>
      <c r="EE484" s="117"/>
      <c r="EF484" s="117"/>
      <c r="EG484" s="117"/>
      <c r="EH484" s="117"/>
      <c r="EI484" s="117"/>
      <c r="EJ484" s="117"/>
      <c r="EK484" s="117"/>
      <c r="EL484" s="117"/>
      <c r="EM484" s="117"/>
      <c r="EN484" s="117"/>
    </row>
    <row r="485" spans="1:144" s="129" customFormat="1" ht="13.5" customHeight="1" thickBot="1" x14ac:dyDescent="0.25">
      <c r="A485" s="74">
        <v>15</v>
      </c>
      <c r="B485" s="243" t="str">
        <f>B37</f>
        <v>TOTAL AEP TEXAS</v>
      </c>
      <c r="C485" s="238"/>
      <c r="D485" s="186">
        <f>+D483+D479</f>
        <v>38659580.924841784</v>
      </c>
      <c r="E485" s="186">
        <f t="shared" ref="E485:O485" si="112">+E483+E479</f>
        <v>35102563.200284101</v>
      </c>
      <c r="F485" s="186">
        <f t="shared" si="112"/>
        <v>32977263.769050762</v>
      </c>
      <c r="G485" s="186">
        <f t="shared" si="112"/>
        <v>33267721.217565961</v>
      </c>
      <c r="H485" s="186">
        <f t="shared" si="112"/>
        <v>35348984.011455014</v>
      </c>
      <c r="I485" s="186">
        <f t="shared" si="112"/>
        <v>40252025.809790604</v>
      </c>
      <c r="J485" s="186">
        <f t="shared" si="112"/>
        <v>42531295.697484538</v>
      </c>
      <c r="K485" s="186">
        <f t="shared" si="112"/>
        <v>42983417.965852037</v>
      </c>
      <c r="L485" s="186">
        <f t="shared" si="112"/>
        <v>42092895.619293988</v>
      </c>
      <c r="M485" s="186">
        <f t="shared" si="112"/>
        <v>37515558.994467936</v>
      </c>
      <c r="N485" s="186">
        <f t="shared" si="112"/>
        <v>34210766.820309997</v>
      </c>
      <c r="O485" s="186">
        <f t="shared" si="112"/>
        <v>35854109.250954881</v>
      </c>
      <c r="P485" s="186">
        <f>+P483+P479</f>
        <v>450796183.28135157</v>
      </c>
      <c r="Q485" s="18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  <c r="AI485" s="117"/>
      <c r="AJ485" s="117"/>
      <c r="AK485" s="117"/>
      <c r="AL485" s="117"/>
      <c r="AM485" s="117"/>
      <c r="AN485" s="117"/>
      <c r="AO485" s="117"/>
      <c r="AP485" s="117"/>
      <c r="AQ485" s="117"/>
      <c r="AR485" s="117"/>
      <c r="AS485" s="117"/>
      <c r="AT485" s="117"/>
      <c r="AU485" s="117"/>
      <c r="AV485" s="117"/>
      <c r="AW485" s="117"/>
      <c r="AX485" s="117"/>
      <c r="AY485" s="117"/>
      <c r="AZ485" s="117"/>
      <c r="BA485" s="117"/>
      <c r="BB485" s="117"/>
      <c r="BC485" s="117"/>
      <c r="BD485" s="117"/>
      <c r="BE485" s="117"/>
      <c r="BF485" s="117"/>
      <c r="BG485" s="117"/>
      <c r="BH485" s="117"/>
      <c r="BI485" s="117"/>
      <c r="BJ485" s="117"/>
      <c r="BK485" s="117"/>
      <c r="BL485" s="117"/>
      <c r="BM485" s="117"/>
      <c r="BN485" s="117"/>
      <c r="BO485" s="117"/>
      <c r="BP485" s="117"/>
      <c r="BQ485" s="117"/>
      <c r="BR485" s="117"/>
      <c r="BS485" s="117"/>
      <c r="BT485" s="117"/>
      <c r="BU485" s="117"/>
      <c r="BV485" s="117"/>
      <c r="BW485" s="117"/>
      <c r="BX485" s="117"/>
      <c r="BY485" s="117"/>
      <c r="BZ485" s="117"/>
      <c r="CA485" s="117"/>
      <c r="CB485" s="117"/>
      <c r="CC485" s="117"/>
      <c r="CD485" s="117"/>
      <c r="CE485" s="117"/>
      <c r="CF485" s="117"/>
      <c r="CG485" s="117"/>
      <c r="CH485" s="117"/>
      <c r="CI485" s="117"/>
      <c r="CJ485" s="117"/>
      <c r="CK485" s="117"/>
      <c r="CL485" s="117"/>
      <c r="CM485" s="117"/>
      <c r="CN485" s="117"/>
      <c r="CO485" s="117"/>
      <c r="CP485" s="117"/>
      <c r="CQ485" s="117"/>
      <c r="CR485" s="117"/>
      <c r="CS485" s="117"/>
      <c r="CT485" s="117"/>
      <c r="CU485" s="117"/>
      <c r="CV485" s="117"/>
      <c r="CW485" s="117"/>
      <c r="CX485" s="117"/>
      <c r="CY485" s="117"/>
      <c r="CZ485" s="117"/>
      <c r="DA485" s="117"/>
      <c r="DB485" s="117"/>
      <c r="DC485" s="117"/>
      <c r="DD485" s="117"/>
      <c r="DE485" s="117"/>
      <c r="DF485" s="117"/>
      <c r="DG485" s="117"/>
      <c r="DH485" s="117"/>
      <c r="DI485" s="117"/>
      <c r="DJ485" s="117"/>
      <c r="DK485" s="117"/>
      <c r="DL485" s="117"/>
      <c r="DM485" s="117"/>
      <c r="DN485" s="117"/>
      <c r="DO485" s="117"/>
      <c r="DP485" s="117"/>
      <c r="DQ485" s="117"/>
      <c r="DR485" s="117"/>
      <c r="DS485" s="117"/>
      <c r="DT485" s="117"/>
      <c r="DU485" s="117"/>
      <c r="DV485" s="117"/>
      <c r="DW485" s="117"/>
      <c r="DX485" s="117"/>
      <c r="DY485" s="117"/>
      <c r="DZ485" s="117"/>
      <c r="EA485" s="117"/>
      <c r="EB485" s="117"/>
      <c r="EC485" s="117"/>
      <c r="ED485" s="117"/>
      <c r="EE485" s="117"/>
      <c r="EF485" s="117"/>
      <c r="EG485" s="117"/>
      <c r="EH485" s="117"/>
      <c r="EI485" s="117"/>
      <c r="EJ485" s="117"/>
      <c r="EK485" s="117"/>
      <c r="EL485" s="117"/>
      <c r="EM485" s="117"/>
      <c r="EN485" s="117"/>
    </row>
    <row r="486" spans="1:144" s="126" customFormat="1" ht="13.5" thickTop="1" x14ac:dyDescent="0.2">
      <c r="P486" s="191"/>
    </row>
    <row r="487" spans="1:144" s="126" customFormat="1" ht="15" customHeight="1" x14ac:dyDescent="0.2">
      <c r="P487" s="130">
        <f>+'II-H-4.1 Functions'!I201</f>
        <v>450797010.21135163</v>
      </c>
    </row>
    <row r="488" spans="1:144" s="126" customFormat="1" ht="12.75" x14ac:dyDescent="0.2">
      <c r="P488" s="188">
        <f>+P485-P487</f>
        <v>-826.9300000667572</v>
      </c>
    </row>
    <row r="489" spans="1:144" customFormat="1" ht="12.75" x14ac:dyDescent="0.2">
      <c r="P489" s="160"/>
    </row>
    <row r="490" spans="1:144" customFormat="1" ht="12.75" x14ac:dyDescent="0.2">
      <c r="P490" s="160"/>
    </row>
    <row r="491" spans="1:144" customFormat="1" ht="12.75" x14ac:dyDescent="0.2"/>
    <row r="492" spans="1:144" customFormat="1" ht="12.75" x14ac:dyDescent="0.2"/>
    <row r="493" spans="1:144" customFormat="1" ht="12.75" x14ac:dyDescent="0.2"/>
    <row r="494" spans="1:144" customFormat="1" ht="12.75" x14ac:dyDescent="0.2"/>
    <row r="495" spans="1:144" customFormat="1" ht="12.75" x14ac:dyDescent="0.2"/>
    <row r="496" spans="1:144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3.5" customHeight="1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  <row r="609" customFormat="1" ht="12.75" x14ac:dyDescent="0.2"/>
    <row r="610" customFormat="1" ht="12.75" x14ac:dyDescent="0.2"/>
    <row r="611" customFormat="1" ht="12.75" x14ac:dyDescent="0.2"/>
    <row r="612" customFormat="1" ht="12.75" x14ac:dyDescent="0.2"/>
    <row r="613" customFormat="1" ht="12.75" x14ac:dyDescent="0.2"/>
    <row r="614" customFormat="1" ht="12.75" x14ac:dyDescent="0.2"/>
    <row r="615" customFormat="1" ht="12.75" x14ac:dyDescent="0.2"/>
    <row r="616" customFormat="1" ht="12.75" x14ac:dyDescent="0.2"/>
    <row r="617" customFormat="1" ht="12.75" x14ac:dyDescent="0.2"/>
    <row r="618" customFormat="1" ht="12.75" x14ac:dyDescent="0.2"/>
    <row r="619" customFormat="1" ht="12.75" x14ac:dyDescent="0.2"/>
    <row r="620" customFormat="1" ht="12.75" x14ac:dyDescent="0.2"/>
    <row r="621" customFormat="1" ht="12.75" x14ac:dyDescent="0.2"/>
    <row r="622" customFormat="1" ht="12.75" x14ac:dyDescent="0.2"/>
    <row r="623" customFormat="1" ht="12.75" x14ac:dyDescent="0.2"/>
    <row r="624" customFormat="1" ht="12.75" x14ac:dyDescent="0.2"/>
    <row r="625" customFormat="1" ht="12.75" x14ac:dyDescent="0.2"/>
    <row r="626" customFormat="1" ht="12.75" x14ac:dyDescent="0.2"/>
    <row r="627" customFormat="1" ht="12.75" x14ac:dyDescent="0.2"/>
    <row r="628" customFormat="1" ht="12.75" x14ac:dyDescent="0.2"/>
    <row r="629" customFormat="1" ht="12.75" x14ac:dyDescent="0.2"/>
    <row r="630" customFormat="1" ht="12.75" x14ac:dyDescent="0.2"/>
    <row r="631" customFormat="1" ht="12.75" x14ac:dyDescent="0.2"/>
    <row r="632" customFormat="1" ht="12.75" x14ac:dyDescent="0.2"/>
    <row r="633" customFormat="1" ht="12.75" x14ac:dyDescent="0.2"/>
    <row r="634" customFormat="1" ht="12.75" x14ac:dyDescent="0.2"/>
    <row r="635" customFormat="1" ht="12.75" x14ac:dyDescent="0.2"/>
    <row r="636" customFormat="1" ht="12.75" x14ac:dyDescent="0.2"/>
    <row r="637" customFormat="1" ht="12.75" x14ac:dyDescent="0.2"/>
    <row r="638" customFormat="1" ht="12.75" x14ac:dyDescent="0.2"/>
    <row r="639" customFormat="1" ht="12.75" x14ac:dyDescent="0.2"/>
    <row r="640" customFormat="1" ht="12.75" x14ac:dyDescent="0.2"/>
    <row r="641" customFormat="1" ht="12.75" x14ac:dyDescent="0.2"/>
    <row r="642" customFormat="1" ht="12.75" x14ac:dyDescent="0.2"/>
    <row r="643" customFormat="1" ht="12.75" x14ac:dyDescent="0.2"/>
    <row r="644" customFormat="1" ht="12.75" x14ac:dyDescent="0.2"/>
    <row r="645" customFormat="1" ht="12.75" x14ac:dyDescent="0.2"/>
    <row r="646" customFormat="1" ht="12.75" x14ac:dyDescent="0.2"/>
    <row r="647" customFormat="1" ht="12.75" x14ac:dyDescent="0.2"/>
    <row r="648" customFormat="1" ht="12.75" x14ac:dyDescent="0.2"/>
    <row r="649" customFormat="1" ht="12.75" x14ac:dyDescent="0.2"/>
    <row r="650" customFormat="1" ht="12.75" x14ac:dyDescent="0.2"/>
    <row r="651" customFormat="1" ht="12.75" x14ac:dyDescent="0.2"/>
    <row r="652" customFormat="1" ht="12.75" x14ac:dyDescent="0.2"/>
    <row r="653" customFormat="1" ht="12.75" x14ac:dyDescent="0.2"/>
    <row r="654" customFormat="1" ht="12.75" x14ac:dyDescent="0.2"/>
    <row r="655" customFormat="1" ht="12.75" x14ac:dyDescent="0.2"/>
    <row r="656" customFormat="1" ht="12.75" x14ac:dyDescent="0.2"/>
    <row r="657" customFormat="1" ht="12.75" x14ac:dyDescent="0.2"/>
    <row r="658" customFormat="1" ht="12.75" x14ac:dyDescent="0.2"/>
    <row r="659" customFormat="1" ht="12.75" x14ac:dyDescent="0.2"/>
    <row r="660" customFormat="1" ht="12.75" x14ac:dyDescent="0.2"/>
    <row r="661" customFormat="1" ht="12.75" x14ac:dyDescent="0.2"/>
    <row r="662" customFormat="1" ht="12.75" x14ac:dyDescent="0.2"/>
    <row r="663" customFormat="1" ht="12.75" x14ac:dyDescent="0.2"/>
    <row r="664" customFormat="1" ht="12.75" x14ac:dyDescent="0.2"/>
    <row r="665" customFormat="1" ht="12.75" x14ac:dyDescent="0.2"/>
    <row r="666" customFormat="1" ht="12.75" x14ac:dyDescent="0.2"/>
    <row r="667" customFormat="1" ht="12.75" x14ac:dyDescent="0.2"/>
    <row r="668" customFormat="1" ht="12.75" x14ac:dyDescent="0.2"/>
    <row r="669" customFormat="1" ht="12.75" x14ac:dyDescent="0.2"/>
    <row r="670" customFormat="1" ht="12.75" x14ac:dyDescent="0.2"/>
    <row r="671" customFormat="1" ht="12.75" x14ac:dyDescent="0.2"/>
    <row r="672" customFormat="1" ht="12.75" x14ac:dyDescent="0.2"/>
    <row r="673" customFormat="1" ht="12.75" x14ac:dyDescent="0.2"/>
    <row r="674" customFormat="1" ht="12.75" x14ac:dyDescent="0.2"/>
    <row r="675" customFormat="1" ht="12.75" x14ac:dyDescent="0.2"/>
    <row r="676" customFormat="1" ht="12.75" x14ac:dyDescent="0.2"/>
    <row r="677" customFormat="1" ht="12.75" x14ac:dyDescent="0.2"/>
    <row r="678" customFormat="1" ht="12.75" x14ac:dyDescent="0.2"/>
    <row r="679" customFormat="1" ht="12.75" x14ac:dyDescent="0.2"/>
    <row r="680" customFormat="1" ht="12.75" x14ac:dyDescent="0.2"/>
    <row r="681" customFormat="1" ht="12.75" x14ac:dyDescent="0.2"/>
    <row r="682" customFormat="1" ht="12.75" x14ac:dyDescent="0.2"/>
    <row r="683" customFormat="1" ht="12.75" x14ac:dyDescent="0.2"/>
    <row r="684" customFormat="1" ht="12.75" x14ac:dyDescent="0.2"/>
    <row r="685" customFormat="1" ht="12.75" x14ac:dyDescent="0.2"/>
    <row r="686" customFormat="1" ht="12.75" x14ac:dyDescent="0.2"/>
    <row r="687" customFormat="1" ht="12.75" x14ac:dyDescent="0.2"/>
    <row r="688" customFormat="1" ht="12.75" x14ac:dyDescent="0.2"/>
    <row r="689" customFormat="1" ht="12.75" x14ac:dyDescent="0.2"/>
    <row r="690" customFormat="1" ht="12.75" x14ac:dyDescent="0.2"/>
    <row r="691" customFormat="1" ht="12.75" x14ac:dyDescent="0.2"/>
    <row r="692" customFormat="1" ht="12.75" x14ac:dyDescent="0.2"/>
    <row r="693" customFormat="1" ht="12.75" x14ac:dyDescent="0.2"/>
    <row r="694" customFormat="1" ht="12.75" x14ac:dyDescent="0.2"/>
    <row r="695" customFormat="1" ht="12.75" x14ac:dyDescent="0.2"/>
    <row r="696" customFormat="1" ht="12.75" x14ac:dyDescent="0.2"/>
    <row r="697" customFormat="1" ht="12.75" x14ac:dyDescent="0.2"/>
    <row r="698" customFormat="1" ht="12.75" x14ac:dyDescent="0.2"/>
    <row r="699" customFormat="1" ht="12.75" x14ac:dyDescent="0.2"/>
    <row r="700" customFormat="1" ht="12.75" x14ac:dyDescent="0.2"/>
    <row r="701" customFormat="1" ht="12.75" x14ac:dyDescent="0.2"/>
    <row r="702" customFormat="1" ht="12.75" x14ac:dyDescent="0.2"/>
    <row r="703" customFormat="1" ht="12.75" x14ac:dyDescent="0.2"/>
    <row r="704" customFormat="1" ht="12.75" x14ac:dyDescent="0.2"/>
    <row r="705" customFormat="1" ht="12.75" x14ac:dyDescent="0.2"/>
    <row r="706" customFormat="1" ht="12.75" x14ac:dyDescent="0.2"/>
    <row r="707" customFormat="1" ht="12.75" x14ac:dyDescent="0.2"/>
    <row r="708" customFormat="1" ht="12.75" x14ac:dyDescent="0.2"/>
    <row r="709" customFormat="1" ht="12.75" x14ac:dyDescent="0.2"/>
    <row r="710" customFormat="1" ht="12.75" x14ac:dyDescent="0.2"/>
    <row r="711" customFormat="1" ht="12.75" x14ac:dyDescent="0.2"/>
    <row r="712" customFormat="1" ht="12.75" x14ac:dyDescent="0.2"/>
    <row r="713" customFormat="1" ht="12.75" x14ac:dyDescent="0.2"/>
    <row r="714" customFormat="1" ht="12.75" x14ac:dyDescent="0.2"/>
    <row r="715" customFormat="1" ht="12.75" x14ac:dyDescent="0.2"/>
    <row r="716" customFormat="1" ht="12.75" x14ac:dyDescent="0.2"/>
    <row r="717" customFormat="1" ht="12.75" x14ac:dyDescent="0.2"/>
    <row r="718" customFormat="1" ht="12.75" x14ac:dyDescent="0.2"/>
    <row r="719" customFormat="1" ht="12.75" x14ac:dyDescent="0.2"/>
    <row r="720" customFormat="1" ht="12.75" x14ac:dyDescent="0.2"/>
    <row r="721" customFormat="1" ht="12.75" x14ac:dyDescent="0.2"/>
    <row r="722" customFormat="1" ht="12.75" x14ac:dyDescent="0.2"/>
    <row r="723" customFormat="1" ht="12.75" x14ac:dyDescent="0.2"/>
    <row r="724" customFormat="1" ht="12.75" x14ac:dyDescent="0.2"/>
    <row r="725" customFormat="1" ht="12.75" x14ac:dyDescent="0.2"/>
    <row r="726" customFormat="1" ht="12.75" x14ac:dyDescent="0.2"/>
    <row r="727" customFormat="1" ht="12.75" x14ac:dyDescent="0.2"/>
    <row r="728" customFormat="1" ht="12.75" x14ac:dyDescent="0.2"/>
    <row r="729" customFormat="1" ht="12.75" x14ac:dyDescent="0.2"/>
    <row r="730" customFormat="1" ht="12.75" x14ac:dyDescent="0.2"/>
    <row r="731" customFormat="1" ht="12.75" x14ac:dyDescent="0.2"/>
    <row r="732" customFormat="1" ht="12.75" x14ac:dyDescent="0.2"/>
    <row r="733" customFormat="1" ht="12.75" x14ac:dyDescent="0.2"/>
    <row r="734" customFormat="1" ht="12.75" x14ac:dyDescent="0.2"/>
    <row r="735" customFormat="1" ht="12.75" x14ac:dyDescent="0.2"/>
    <row r="736" customFormat="1" ht="12.75" x14ac:dyDescent="0.2"/>
    <row r="737" customFormat="1" ht="12.75" x14ac:dyDescent="0.2"/>
    <row r="738" customFormat="1" ht="12.75" x14ac:dyDescent="0.2"/>
    <row r="739" customFormat="1" ht="12.75" x14ac:dyDescent="0.2"/>
    <row r="740" customFormat="1" ht="12.75" x14ac:dyDescent="0.2"/>
    <row r="741" customFormat="1" ht="12.75" x14ac:dyDescent="0.2"/>
    <row r="742" customFormat="1" ht="12.75" x14ac:dyDescent="0.2"/>
    <row r="743" customFormat="1" ht="12.75" x14ac:dyDescent="0.2"/>
    <row r="744" customFormat="1" ht="12.75" x14ac:dyDescent="0.2"/>
    <row r="745" customFormat="1" ht="12.75" x14ac:dyDescent="0.2"/>
    <row r="746" customFormat="1" ht="12.75" x14ac:dyDescent="0.2"/>
    <row r="747" customFormat="1" ht="12.75" x14ac:dyDescent="0.2"/>
    <row r="748" customFormat="1" ht="12.75" x14ac:dyDescent="0.2"/>
    <row r="749" customFormat="1" ht="12.75" x14ac:dyDescent="0.2"/>
    <row r="750" customFormat="1" ht="12.75" x14ac:dyDescent="0.2"/>
    <row r="751" customFormat="1" ht="12.75" x14ac:dyDescent="0.2"/>
    <row r="752" customFormat="1" ht="12.75" x14ac:dyDescent="0.2"/>
    <row r="753" customFormat="1" ht="12.75" x14ac:dyDescent="0.2"/>
    <row r="754" customFormat="1" ht="12.75" x14ac:dyDescent="0.2"/>
    <row r="755" customFormat="1" ht="12.75" x14ac:dyDescent="0.2"/>
    <row r="756" customFormat="1" ht="12.75" x14ac:dyDescent="0.2"/>
    <row r="757" customFormat="1" ht="12.75" x14ac:dyDescent="0.2"/>
    <row r="758" customFormat="1" ht="12.75" x14ac:dyDescent="0.2"/>
    <row r="759" customFormat="1" ht="12.75" x14ac:dyDescent="0.2"/>
    <row r="760" customFormat="1" ht="12.75" x14ac:dyDescent="0.2"/>
    <row r="761" customFormat="1" ht="12.75" x14ac:dyDescent="0.2"/>
    <row r="762" customFormat="1" ht="12.75" x14ac:dyDescent="0.2"/>
    <row r="763" customFormat="1" ht="12.75" x14ac:dyDescent="0.2"/>
    <row r="764" customFormat="1" ht="12.75" x14ac:dyDescent="0.2"/>
    <row r="765" customFormat="1" ht="12.75" x14ac:dyDescent="0.2"/>
    <row r="766" customFormat="1" ht="12.75" x14ac:dyDescent="0.2"/>
    <row r="767" customFormat="1" ht="12.75" x14ac:dyDescent="0.2"/>
    <row r="768" customFormat="1" ht="12.75" x14ac:dyDescent="0.2"/>
    <row r="769" customFormat="1" ht="12.75" x14ac:dyDescent="0.2"/>
    <row r="770" customFormat="1" ht="12.75" x14ac:dyDescent="0.2"/>
    <row r="771" customFormat="1" ht="12.75" x14ac:dyDescent="0.2"/>
    <row r="772" customFormat="1" ht="12.75" x14ac:dyDescent="0.2"/>
    <row r="773" customFormat="1" ht="12.75" x14ac:dyDescent="0.2"/>
    <row r="774" customFormat="1" ht="12.75" x14ac:dyDescent="0.2"/>
    <row r="775" customFormat="1" ht="12.75" x14ac:dyDescent="0.2"/>
    <row r="776" customFormat="1" ht="12.75" x14ac:dyDescent="0.2"/>
    <row r="777" customFormat="1" ht="12.75" x14ac:dyDescent="0.2"/>
    <row r="778" customFormat="1" ht="12.75" x14ac:dyDescent="0.2"/>
    <row r="779" customFormat="1" ht="12.75" x14ac:dyDescent="0.2"/>
    <row r="780" customFormat="1" ht="12.75" x14ac:dyDescent="0.2"/>
    <row r="781" customFormat="1" ht="12.75" x14ac:dyDescent="0.2"/>
    <row r="782" customFormat="1" ht="12.75" x14ac:dyDescent="0.2"/>
    <row r="783" customFormat="1" ht="12.75" x14ac:dyDescent="0.2"/>
    <row r="784" customFormat="1" ht="12.75" x14ac:dyDescent="0.2"/>
    <row r="785" customFormat="1" ht="12.75" x14ac:dyDescent="0.2"/>
    <row r="786" customFormat="1" ht="12.75" x14ac:dyDescent="0.2"/>
    <row r="787" customFormat="1" ht="12.75" x14ac:dyDescent="0.2"/>
    <row r="788" customFormat="1" ht="12.75" x14ac:dyDescent="0.2"/>
    <row r="789" customFormat="1" ht="12.75" x14ac:dyDescent="0.2"/>
    <row r="790" customFormat="1" ht="12.75" x14ac:dyDescent="0.2"/>
    <row r="791" customFormat="1" ht="12.75" x14ac:dyDescent="0.2"/>
    <row r="792" customFormat="1" ht="12.75" x14ac:dyDescent="0.2"/>
    <row r="793" customFormat="1" ht="12.75" x14ac:dyDescent="0.2"/>
    <row r="794" customFormat="1" ht="12.75" x14ac:dyDescent="0.2"/>
    <row r="795" customFormat="1" ht="12.75" x14ac:dyDescent="0.2"/>
    <row r="796" customFormat="1" ht="12.75" x14ac:dyDescent="0.2"/>
    <row r="797" customFormat="1" ht="12.75" x14ac:dyDescent="0.2"/>
    <row r="798" customFormat="1" ht="12.75" x14ac:dyDescent="0.2"/>
    <row r="799" customFormat="1" ht="12.75" x14ac:dyDescent="0.2"/>
    <row r="800" customFormat="1" ht="12.75" x14ac:dyDescent="0.2"/>
    <row r="801" customFormat="1" ht="12.75" x14ac:dyDescent="0.2"/>
    <row r="802" customFormat="1" ht="12.75" x14ac:dyDescent="0.2"/>
    <row r="803" customFormat="1" ht="12.75" x14ac:dyDescent="0.2"/>
    <row r="804" customFormat="1" ht="12.75" x14ac:dyDescent="0.2"/>
    <row r="805" customFormat="1" ht="12.75" x14ac:dyDescent="0.2"/>
    <row r="806" customFormat="1" ht="12.75" x14ac:dyDescent="0.2"/>
    <row r="807" customFormat="1" ht="12.75" x14ac:dyDescent="0.2"/>
    <row r="808" customFormat="1" ht="12.75" x14ac:dyDescent="0.2"/>
    <row r="809" customFormat="1" ht="12.75" x14ac:dyDescent="0.2"/>
    <row r="810" customFormat="1" ht="12.75" x14ac:dyDescent="0.2"/>
    <row r="811" customFormat="1" ht="12.75" x14ac:dyDescent="0.2"/>
    <row r="812" customFormat="1" ht="12.75" x14ac:dyDescent="0.2"/>
    <row r="813" customFormat="1" ht="12.75" x14ac:dyDescent="0.2"/>
    <row r="814" customFormat="1" ht="12.75" x14ac:dyDescent="0.2"/>
    <row r="815" customFormat="1" ht="12.75" x14ac:dyDescent="0.2"/>
    <row r="816" customFormat="1" ht="12.75" x14ac:dyDescent="0.2"/>
    <row r="817" customFormat="1" ht="12.75" x14ac:dyDescent="0.2"/>
    <row r="818" customFormat="1" ht="12.75" x14ac:dyDescent="0.2"/>
    <row r="819" customFormat="1" ht="12.75" x14ac:dyDescent="0.2"/>
    <row r="820" customFormat="1" ht="12.75" x14ac:dyDescent="0.2"/>
    <row r="821" customFormat="1" ht="12.75" x14ac:dyDescent="0.2"/>
    <row r="822" customFormat="1" ht="12.75" x14ac:dyDescent="0.2"/>
    <row r="823" customFormat="1" ht="12.75" x14ac:dyDescent="0.2"/>
    <row r="824" customFormat="1" ht="12.75" x14ac:dyDescent="0.2"/>
    <row r="825" customFormat="1" ht="12.75" x14ac:dyDescent="0.2"/>
    <row r="826" customFormat="1" ht="12.75" x14ac:dyDescent="0.2"/>
    <row r="827" customFormat="1" ht="12.75" x14ac:dyDescent="0.2"/>
    <row r="828" customFormat="1" ht="12.75" x14ac:dyDescent="0.2"/>
    <row r="829" customFormat="1" ht="12.75" x14ac:dyDescent="0.2"/>
    <row r="830" customFormat="1" ht="12.75" x14ac:dyDescent="0.2"/>
    <row r="831" customFormat="1" ht="12.75" x14ac:dyDescent="0.2"/>
    <row r="832" customFormat="1" ht="12.75" x14ac:dyDescent="0.2"/>
    <row r="833" customFormat="1" ht="12.75" x14ac:dyDescent="0.2"/>
    <row r="834" customFormat="1" ht="12.75" x14ac:dyDescent="0.2"/>
    <row r="835" customFormat="1" ht="12.75" x14ac:dyDescent="0.2"/>
    <row r="836" customFormat="1" ht="12.75" x14ac:dyDescent="0.2"/>
    <row r="837" customFormat="1" ht="12.75" x14ac:dyDescent="0.2"/>
    <row r="838" customFormat="1" ht="12.75" x14ac:dyDescent="0.2"/>
    <row r="839" customFormat="1" ht="12.75" x14ac:dyDescent="0.2"/>
    <row r="840" customFormat="1" ht="12.75" x14ac:dyDescent="0.2"/>
    <row r="841" customFormat="1" ht="12.75" x14ac:dyDescent="0.2"/>
    <row r="842" customFormat="1" ht="12.75" x14ac:dyDescent="0.2"/>
    <row r="843" customFormat="1" ht="12.75" x14ac:dyDescent="0.2"/>
    <row r="844" customFormat="1" ht="12.75" x14ac:dyDescent="0.2"/>
    <row r="845" customFormat="1" ht="12.75" x14ac:dyDescent="0.2"/>
    <row r="846" customFormat="1" ht="12.75" x14ac:dyDescent="0.2"/>
    <row r="847" customFormat="1" ht="12.75" x14ac:dyDescent="0.2"/>
    <row r="848" customFormat="1" ht="12.75" x14ac:dyDescent="0.2"/>
    <row r="849" customFormat="1" ht="12.75" x14ac:dyDescent="0.2"/>
    <row r="850" customFormat="1" ht="12.75" x14ac:dyDescent="0.2"/>
    <row r="851" customFormat="1" ht="12.75" x14ac:dyDescent="0.2"/>
    <row r="852" customFormat="1" ht="12.75" x14ac:dyDescent="0.2"/>
    <row r="853" customFormat="1" ht="12.75" x14ac:dyDescent="0.2"/>
    <row r="854" customFormat="1" ht="12.75" x14ac:dyDescent="0.2"/>
    <row r="855" customFormat="1" ht="12.75" x14ac:dyDescent="0.2"/>
    <row r="856" customFormat="1" ht="12.75" x14ac:dyDescent="0.2"/>
    <row r="857" customFormat="1" ht="12.75" x14ac:dyDescent="0.2"/>
    <row r="858" customFormat="1" ht="12.75" x14ac:dyDescent="0.2"/>
    <row r="859" customFormat="1" ht="12.75" x14ac:dyDescent="0.2"/>
    <row r="860" customFormat="1" ht="12.75" x14ac:dyDescent="0.2"/>
    <row r="861" customFormat="1" ht="12.75" x14ac:dyDescent="0.2"/>
    <row r="862" customFormat="1" ht="12.75" x14ac:dyDescent="0.2"/>
    <row r="863" customFormat="1" ht="12.75" x14ac:dyDescent="0.2"/>
    <row r="864" customFormat="1" ht="12.75" x14ac:dyDescent="0.2"/>
    <row r="865" customFormat="1" ht="12.75" x14ac:dyDescent="0.2"/>
    <row r="866" customFormat="1" ht="12.75" x14ac:dyDescent="0.2"/>
    <row r="867" customFormat="1" ht="12.75" x14ac:dyDescent="0.2"/>
    <row r="868" customFormat="1" ht="12.75" x14ac:dyDescent="0.2"/>
    <row r="869" customFormat="1" ht="12.75" x14ac:dyDescent="0.2"/>
    <row r="870" customFormat="1" ht="12.75" x14ac:dyDescent="0.2"/>
    <row r="871" customFormat="1" ht="12.75" x14ac:dyDescent="0.2"/>
    <row r="872" customFormat="1" ht="12.75" x14ac:dyDescent="0.2"/>
    <row r="873" customFormat="1" ht="12.75" x14ac:dyDescent="0.2"/>
    <row r="874" customFormat="1" ht="12.75" x14ac:dyDescent="0.2"/>
    <row r="875" customFormat="1" ht="12.75" x14ac:dyDescent="0.2"/>
    <row r="876" customFormat="1" ht="12.75" x14ac:dyDescent="0.2"/>
    <row r="877" customFormat="1" ht="12.75" x14ac:dyDescent="0.2"/>
    <row r="878" customFormat="1" ht="12.75" x14ac:dyDescent="0.2"/>
    <row r="879" customFormat="1" ht="12.75" x14ac:dyDescent="0.2"/>
    <row r="880" customFormat="1" ht="12.75" x14ac:dyDescent="0.2"/>
    <row r="881" customFormat="1" ht="12.75" x14ac:dyDescent="0.2"/>
    <row r="882" customFormat="1" ht="12.75" x14ac:dyDescent="0.2"/>
    <row r="883" customFormat="1" ht="12.75" x14ac:dyDescent="0.2"/>
    <row r="884" customFormat="1" ht="12.75" x14ac:dyDescent="0.2"/>
    <row r="885" customFormat="1" ht="12.75" x14ac:dyDescent="0.2"/>
    <row r="886" customFormat="1" ht="12.75" x14ac:dyDescent="0.2"/>
    <row r="887" customFormat="1" ht="12.75" x14ac:dyDescent="0.2"/>
    <row r="888" customFormat="1" ht="12.75" x14ac:dyDescent="0.2"/>
    <row r="889" customFormat="1" ht="12.75" x14ac:dyDescent="0.2"/>
    <row r="890" customFormat="1" ht="12.75" x14ac:dyDescent="0.2"/>
    <row r="891" customFormat="1" ht="12.75" x14ac:dyDescent="0.2"/>
    <row r="892" customFormat="1" ht="12.75" x14ac:dyDescent="0.2"/>
    <row r="893" customFormat="1" ht="12.75" x14ac:dyDescent="0.2"/>
    <row r="894" customFormat="1" ht="12.75" x14ac:dyDescent="0.2"/>
    <row r="895" customFormat="1" ht="12.75" x14ac:dyDescent="0.2"/>
    <row r="896" customFormat="1" ht="12.75" x14ac:dyDescent="0.2"/>
    <row r="897" customFormat="1" ht="12.75" x14ac:dyDescent="0.2"/>
    <row r="898" customFormat="1" ht="12.75" x14ac:dyDescent="0.2"/>
    <row r="899" customFormat="1" ht="12.75" x14ac:dyDescent="0.2"/>
    <row r="900" customFormat="1" ht="12.75" x14ac:dyDescent="0.2"/>
    <row r="901" customFormat="1" ht="12.75" x14ac:dyDescent="0.2"/>
    <row r="902" customFormat="1" ht="12.75" x14ac:dyDescent="0.2"/>
    <row r="903" customFormat="1" ht="12.75" x14ac:dyDescent="0.2"/>
    <row r="904" customFormat="1" ht="12.75" x14ac:dyDescent="0.2"/>
    <row r="905" customFormat="1" ht="12.75" x14ac:dyDescent="0.2"/>
    <row r="906" customFormat="1" ht="12.75" x14ac:dyDescent="0.2"/>
    <row r="907" customFormat="1" ht="12.75" x14ac:dyDescent="0.2"/>
    <row r="908" customFormat="1" ht="12.75" x14ac:dyDescent="0.2"/>
    <row r="909" customFormat="1" ht="12.75" x14ac:dyDescent="0.2"/>
    <row r="910" customFormat="1" ht="12.75" x14ac:dyDescent="0.2"/>
    <row r="911" customFormat="1" ht="12.75" x14ac:dyDescent="0.2"/>
    <row r="912" customFormat="1" ht="12.75" x14ac:dyDescent="0.2"/>
    <row r="913" customFormat="1" ht="12.75" x14ac:dyDescent="0.2"/>
    <row r="914" customFormat="1" ht="12.75" x14ac:dyDescent="0.2"/>
    <row r="915" customFormat="1" ht="12.75" x14ac:dyDescent="0.2"/>
    <row r="916" customFormat="1" ht="12.75" x14ac:dyDescent="0.2"/>
    <row r="917" customFormat="1" ht="12.75" x14ac:dyDescent="0.2"/>
    <row r="918" customFormat="1" ht="12.75" x14ac:dyDescent="0.2"/>
    <row r="919" customFormat="1" ht="12.75" x14ac:dyDescent="0.2"/>
    <row r="920" customFormat="1" ht="12.75" x14ac:dyDescent="0.2"/>
    <row r="921" customFormat="1" ht="12.75" x14ac:dyDescent="0.2"/>
    <row r="922" customFormat="1" ht="12.75" x14ac:dyDescent="0.2"/>
    <row r="923" customFormat="1" ht="12.75" x14ac:dyDescent="0.2"/>
    <row r="924" customFormat="1" ht="12.75" x14ac:dyDescent="0.2"/>
    <row r="925" customFormat="1" ht="12.75" x14ac:dyDescent="0.2"/>
    <row r="926" customFormat="1" ht="12.75" x14ac:dyDescent="0.2"/>
    <row r="927" customFormat="1" ht="12.75" x14ac:dyDescent="0.2"/>
    <row r="928" customFormat="1" ht="12.75" x14ac:dyDescent="0.2"/>
    <row r="929" customFormat="1" ht="12.75" x14ac:dyDescent="0.2"/>
    <row r="930" customFormat="1" ht="12.75" x14ac:dyDescent="0.2"/>
    <row r="931" customFormat="1" ht="12.75" x14ac:dyDescent="0.2"/>
    <row r="932" customFormat="1" ht="12.75" x14ac:dyDescent="0.2"/>
    <row r="933" customFormat="1" ht="12.75" x14ac:dyDescent="0.2"/>
    <row r="934" customFormat="1" ht="12.75" x14ac:dyDescent="0.2"/>
    <row r="935" customFormat="1" ht="12.75" x14ac:dyDescent="0.2"/>
    <row r="936" customFormat="1" ht="12.75" x14ac:dyDescent="0.2"/>
    <row r="937" customFormat="1" ht="12.75" x14ac:dyDescent="0.2"/>
    <row r="938" customFormat="1" ht="12.75" x14ac:dyDescent="0.2"/>
    <row r="939" customFormat="1" ht="12.75" x14ac:dyDescent="0.2"/>
    <row r="940" customFormat="1" ht="12.75" x14ac:dyDescent="0.2"/>
    <row r="941" customFormat="1" ht="12.75" x14ac:dyDescent="0.2"/>
    <row r="942" customFormat="1" ht="12.75" x14ac:dyDescent="0.2"/>
    <row r="943" customFormat="1" ht="12.75" x14ac:dyDescent="0.2"/>
    <row r="944" customFormat="1" ht="12.75" x14ac:dyDescent="0.2"/>
    <row r="945" customFormat="1" ht="12.75" x14ac:dyDescent="0.2"/>
    <row r="946" customFormat="1" ht="12.75" x14ac:dyDescent="0.2"/>
    <row r="947" customFormat="1" ht="12.75" x14ac:dyDescent="0.2"/>
    <row r="948" customFormat="1" ht="12.75" x14ac:dyDescent="0.2"/>
    <row r="949" customFormat="1" ht="12.75" x14ac:dyDescent="0.2"/>
    <row r="950" customFormat="1" ht="12.75" x14ac:dyDescent="0.2"/>
    <row r="951" customFormat="1" ht="12.75" x14ac:dyDescent="0.2"/>
    <row r="952" customFormat="1" ht="12.75" x14ac:dyDescent="0.2"/>
    <row r="953" customFormat="1" ht="12.75" x14ac:dyDescent="0.2"/>
    <row r="954" customFormat="1" ht="12.75" x14ac:dyDescent="0.2"/>
    <row r="955" customFormat="1" ht="12.75" x14ac:dyDescent="0.2"/>
    <row r="956" customFormat="1" ht="12.75" x14ac:dyDescent="0.2"/>
    <row r="957" customFormat="1" ht="12.75" x14ac:dyDescent="0.2"/>
    <row r="958" customFormat="1" ht="12.75" x14ac:dyDescent="0.2"/>
    <row r="959" customFormat="1" ht="12.75" x14ac:dyDescent="0.2"/>
    <row r="960" customFormat="1" ht="12.75" x14ac:dyDescent="0.2"/>
    <row r="961" customFormat="1" ht="12.75" x14ac:dyDescent="0.2"/>
    <row r="962" customFormat="1" ht="12.75" x14ac:dyDescent="0.2"/>
    <row r="963" customFormat="1" ht="12.75" x14ac:dyDescent="0.2"/>
    <row r="964" customFormat="1" ht="12.75" x14ac:dyDescent="0.2"/>
    <row r="965" customFormat="1" ht="12.75" x14ac:dyDescent="0.2"/>
    <row r="966" customFormat="1" ht="12.75" x14ac:dyDescent="0.2"/>
    <row r="967" customFormat="1" ht="12.75" x14ac:dyDescent="0.2"/>
    <row r="968" customFormat="1" ht="12.75" x14ac:dyDescent="0.2"/>
    <row r="969" customFormat="1" ht="12.75" x14ac:dyDescent="0.2"/>
    <row r="970" customFormat="1" ht="12.75" x14ac:dyDescent="0.2"/>
    <row r="971" customFormat="1" ht="12.75" x14ac:dyDescent="0.2"/>
    <row r="972" customFormat="1" ht="12.75" x14ac:dyDescent="0.2"/>
    <row r="973" customFormat="1" ht="12.75" x14ac:dyDescent="0.2"/>
    <row r="974" customFormat="1" ht="12.75" x14ac:dyDescent="0.2"/>
    <row r="975" customFormat="1" ht="12.75" x14ac:dyDescent="0.2"/>
    <row r="976" customFormat="1" ht="12.75" x14ac:dyDescent="0.2"/>
    <row r="977" customFormat="1" ht="12.75" x14ac:dyDescent="0.2"/>
    <row r="978" customFormat="1" ht="12.75" x14ac:dyDescent="0.2"/>
    <row r="979" customFormat="1" ht="12.75" x14ac:dyDescent="0.2"/>
    <row r="980" customFormat="1" ht="12.75" x14ac:dyDescent="0.2"/>
    <row r="981" customFormat="1" ht="12.75" x14ac:dyDescent="0.2"/>
    <row r="982" customFormat="1" ht="12.75" x14ac:dyDescent="0.2"/>
    <row r="983" customFormat="1" ht="12.75" x14ac:dyDescent="0.2"/>
    <row r="984" customFormat="1" ht="12.75" x14ac:dyDescent="0.2"/>
    <row r="985" customFormat="1" ht="12.75" x14ac:dyDescent="0.2"/>
    <row r="986" customFormat="1" ht="12.75" x14ac:dyDescent="0.2"/>
    <row r="987" customFormat="1" ht="12.75" x14ac:dyDescent="0.2"/>
    <row r="988" customFormat="1" ht="12.75" x14ac:dyDescent="0.2"/>
    <row r="989" customFormat="1" ht="12.75" x14ac:dyDescent="0.2"/>
    <row r="990" customFormat="1" ht="12.75" x14ac:dyDescent="0.2"/>
    <row r="991" customFormat="1" ht="12.75" x14ac:dyDescent="0.2"/>
    <row r="992" customFormat="1" ht="12.75" x14ac:dyDescent="0.2"/>
    <row r="993" customFormat="1" ht="12.75" x14ac:dyDescent="0.2"/>
    <row r="994" customFormat="1" ht="12.75" x14ac:dyDescent="0.2"/>
    <row r="995" customFormat="1" ht="12.75" x14ac:dyDescent="0.2"/>
    <row r="996" customFormat="1" ht="12.75" x14ac:dyDescent="0.2"/>
    <row r="997" customFormat="1" ht="12.75" x14ac:dyDescent="0.2"/>
    <row r="998" customFormat="1" ht="12.75" x14ac:dyDescent="0.2"/>
    <row r="999" customFormat="1" ht="12.75" x14ac:dyDescent="0.2"/>
    <row r="1000" customFormat="1" ht="12.75" x14ac:dyDescent="0.2"/>
    <row r="1001" customFormat="1" ht="12.75" x14ac:dyDescent="0.2"/>
    <row r="1002" customFormat="1" ht="12.75" x14ac:dyDescent="0.2"/>
    <row r="1003" customFormat="1" ht="12.75" x14ac:dyDescent="0.2"/>
    <row r="1004" customFormat="1" ht="12.75" x14ac:dyDescent="0.2"/>
    <row r="1005" customFormat="1" ht="12.75" x14ac:dyDescent="0.2"/>
    <row r="1006" customFormat="1" ht="12.75" x14ac:dyDescent="0.2"/>
    <row r="1007" customFormat="1" ht="12.75" x14ac:dyDescent="0.2"/>
    <row r="1008" customFormat="1" ht="12.75" x14ac:dyDescent="0.2"/>
    <row r="1009" customFormat="1" ht="12.75" x14ac:dyDescent="0.2"/>
    <row r="1010" customFormat="1" ht="12.75" x14ac:dyDescent="0.2"/>
    <row r="1011" customFormat="1" ht="12.75" x14ac:dyDescent="0.2"/>
    <row r="1012" customFormat="1" ht="12.75" x14ac:dyDescent="0.2"/>
    <row r="1013" customFormat="1" ht="12.75" x14ac:dyDescent="0.2"/>
    <row r="1014" customFormat="1" ht="12.75" x14ac:dyDescent="0.2"/>
    <row r="1015" customFormat="1" ht="12.75" x14ac:dyDescent="0.2"/>
    <row r="1016" customFormat="1" ht="12.75" x14ac:dyDescent="0.2"/>
    <row r="1017" customFormat="1" ht="12.75" x14ac:dyDescent="0.2"/>
    <row r="1018" customFormat="1" ht="12.75" x14ac:dyDescent="0.2"/>
    <row r="1019" customFormat="1" ht="12.75" x14ac:dyDescent="0.2"/>
    <row r="1020" customFormat="1" ht="12.75" x14ac:dyDescent="0.2"/>
    <row r="1021" customFormat="1" ht="12.75" x14ac:dyDescent="0.2"/>
    <row r="1022" customFormat="1" ht="12.75" x14ac:dyDescent="0.2"/>
    <row r="1023" customFormat="1" ht="12.75" x14ac:dyDescent="0.2"/>
    <row r="1024" customFormat="1" ht="12.75" x14ac:dyDescent="0.2"/>
    <row r="1025" customFormat="1" ht="12.75" x14ac:dyDescent="0.2"/>
    <row r="1026" customFormat="1" ht="12.75" x14ac:dyDescent="0.2"/>
    <row r="1027" customFormat="1" ht="12.75" x14ac:dyDescent="0.2"/>
    <row r="1028" customFormat="1" ht="12.75" x14ac:dyDescent="0.2"/>
    <row r="1029" customFormat="1" ht="12.75" x14ac:dyDescent="0.2"/>
    <row r="1030" customFormat="1" ht="12.75" x14ac:dyDescent="0.2"/>
    <row r="1031" customFormat="1" ht="12.75" x14ac:dyDescent="0.2"/>
    <row r="1032" customFormat="1" ht="12.75" x14ac:dyDescent="0.2"/>
    <row r="1033" customFormat="1" ht="12.75" x14ac:dyDescent="0.2"/>
    <row r="1034" customFormat="1" ht="12.75" x14ac:dyDescent="0.2"/>
    <row r="1035" customFormat="1" ht="12.75" x14ac:dyDescent="0.2"/>
    <row r="1036" customFormat="1" ht="12.75" x14ac:dyDescent="0.2"/>
    <row r="1037" customFormat="1" ht="12.75" x14ac:dyDescent="0.2"/>
    <row r="1038" customFormat="1" ht="12.75" x14ac:dyDescent="0.2"/>
    <row r="1039" customFormat="1" ht="12.75" x14ac:dyDescent="0.2"/>
    <row r="1040" customFormat="1" ht="12.75" x14ac:dyDescent="0.2"/>
    <row r="1041" customFormat="1" ht="12.75" x14ac:dyDescent="0.2"/>
    <row r="1042" customFormat="1" ht="12.75" x14ac:dyDescent="0.2"/>
    <row r="1043" customFormat="1" ht="12.75" x14ac:dyDescent="0.2"/>
    <row r="1044" customFormat="1" ht="12.75" x14ac:dyDescent="0.2"/>
    <row r="1045" customFormat="1" ht="12.75" x14ac:dyDescent="0.2"/>
    <row r="1046" customFormat="1" ht="12.75" x14ac:dyDescent="0.2"/>
    <row r="1047" customFormat="1" ht="12.75" x14ac:dyDescent="0.2"/>
    <row r="1048" customFormat="1" ht="12.75" x14ac:dyDescent="0.2"/>
    <row r="1049" customFormat="1" ht="12.75" x14ac:dyDescent="0.2"/>
    <row r="1050" customFormat="1" ht="12.75" x14ac:dyDescent="0.2"/>
    <row r="1051" customFormat="1" ht="12.75" x14ac:dyDescent="0.2"/>
    <row r="1052" customFormat="1" ht="12.75" x14ac:dyDescent="0.2"/>
    <row r="1053" customFormat="1" ht="12.75" x14ac:dyDescent="0.2"/>
    <row r="1054" customFormat="1" ht="12.75" x14ac:dyDescent="0.2"/>
    <row r="1055" customFormat="1" ht="12.75" x14ac:dyDescent="0.2"/>
    <row r="1056" customFormat="1" ht="12.75" x14ac:dyDescent="0.2"/>
    <row r="1057" customFormat="1" ht="12.75" x14ac:dyDescent="0.2"/>
    <row r="1058" customFormat="1" ht="12.75" x14ac:dyDescent="0.2"/>
    <row r="1059" customFormat="1" ht="12.75" x14ac:dyDescent="0.2"/>
    <row r="1060" customFormat="1" ht="12.75" x14ac:dyDescent="0.2"/>
    <row r="1061" customFormat="1" ht="12.75" x14ac:dyDescent="0.2"/>
    <row r="1062" customFormat="1" ht="12.75" x14ac:dyDescent="0.2"/>
    <row r="1063" customFormat="1" ht="12.75" x14ac:dyDescent="0.2"/>
    <row r="1064" customFormat="1" ht="12.75" x14ac:dyDescent="0.2"/>
    <row r="1065" customFormat="1" ht="12.75" x14ac:dyDescent="0.2"/>
    <row r="1066" customFormat="1" ht="12.75" x14ac:dyDescent="0.2"/>
    <row r="1067" customFormat="1" ht="12.75" x14ac:dyDescent="0.2"/>
    <row r="1068" customFormat="1" ht="12.75" x14ac:dyDescent="0.2"/>
    <row r="1069" customFormat="1" ht="12.75" x14ac:dyDescent="0.2"/>
    <row r="1070" customFormat="1" ht="12.75" x14ac:dyDescent="0.2"/>
    <row r="1071" customFormat="1" ht="12.75" x14ac:dyDescent="0.2"/>
    <row r="1072" customFormat="1" ht="12.75" x14ac:dyDescent="0.2"/>
    <row r="1073" customFormat="1" ht="12.75" x14ac:dyDescent="0.2"/>
    <row r="1074" customFormat="1" ht="12.75" x14ac:dyDescent="0.2"/>
    <row r="1075" customFormat="1" ht="12.75" x14ac:dyDescent="0.2"/>
    <row r="1076" customFormat="1" ht="12.75" x14ac:dyDescent="0.2"/>
    <row r="1077" customFormat="1" ht="12.75" x14ac:dyDescent="0.2"/>
    <row r="1078" customFormat="1" ht="12.75" x14ac:dyDescent="0.2"/>
    <row r="1079" customFormat="1" ht="12.75" x14ac:dyDescent="0.2"/>
    <row r="1080" customFormat="1" ht="12.75" x14ac:dyDescent="0.2"/>
    <row r="1081" customFormat="1" ht="12.75" x14ac:dyDescent="0.2"/>
    <row r="1082" customFormat="1" ht="12.75" x14ac:dyDescent="0.2"/>
    <row r="1083" customFormat="1" ht="12.75" x14ac:dyDescent="0.2"/>
    <row r="1084" customFormat="1" ht="12.75" x14ac:dyDescent="0.2"/>
    <row r="1085" customFormat="1" ht="12.75" x14ac:dyDescent="0.2"/>
    <row r="1086" customFormat="1" ht="12.75" x14ac:dyDescent="0.2"/>
    <row r="1087" customFormat="1" ht="12.75" x14ac:dyDescent="0.2"/>
    <row r="1088" customFormat="1" ht="12.75" x14ac:dyDescent="0.2"/>
    <row r="1089" customFormat="1" ht="12.75" x14ac:dyDescent="0.2"/>
    <row r="1090" customFormat="1" ht="12.75" x14ac:dyDescent="0.2"/>
    <row r="1091" customFormat="1" ht="12.75" x14ac:dyDescent="0.2"/>
    <row r="1092" customFormat="1" ht="12.75" x14ac:dyDescent="0.2"/>
    <row r="1093" customFormat="1" ht="12.75" x14ac:dyDescent="0.2"/>
    <row r="1094" customFormat="1" ht="12.75" x14ac:dyDescent="0.2"/>
    <row r="1095" customFormat="1" ht="12.75" x14ac:dyDescent="0.2"/>
    <row r="1096" customFormat="1" ht="12.75" x14ac:dyDescent="0.2"/>
    <row r="1097" customFormat="1" ht="12.75" x14ac:dyDescent="0.2"/>
    <row r="1098" customFormat="1" ht="12.75" x14ac:dyDescent="0.2"/>
    <row r="1099" customFormat="1" ht="12.75" x14ac:dyDescent="0.2"/>
    <row r="1100" customFormat="1" ht="12.75" x14ac:dyDescent="0.2"/>
    <row r="1101" customFormat="1" ht="12.75" x14ac:dyDescent="0.2"/>
    <row r="1102" customFormat="1" ht="12.75" x14ac:dyDescent="0.2"/>
    <row r="1103" customFormat="1" ht="12.75" x14ac:dyDescent="0.2"/>
    <row r="1104" customFormat="1" ht="12.75" x14ac:dyDescent="0.2"/>
    <row r="1105" customFormat="1" ht="12.75" x14ac:dyDescent="0.2"/>
    <row r="1106" customFormat="1" ht="12.75" x14ac:dyDescent="0.2"/>
    <row r="1107" customFormat="1" ht="12.75" x14ac:dyDescent="0.2"/>
    <row r="1108" customFormat="1" ht="12.75" x14ac:dyDescent="0.2"/>
    <row r="1109" customFormat="1" ht="12.75" x14ac:dyDescent="0.2"/>
    <row r="1110" customFormat="1" ht="12.75" x14ac:dyDescent="0.2"/>
    <row r="1111" customFormat="1" ht="12.75" x14ac:dyDescent="0.2"/>
    <row r="1112" customFormat="1" ht="12.75" x14ac:dyDescent="0.2"/>
    <row r="1113" customFormat="1" ht="12.75" x14ac:dyDescent="0.2"/>
    <row r="1114" customFormat="1" ht="12.75" x14ac:dyDescent="0.2"/>
    <row r="1115" customFormat="1" ht="12.75" x14ac:dyDescent="0.2"/>
    <row r="1116" customFormat="1" ht="12.75" x14ac:dyDescent="0.2"/>
    <row r="1117" customFormat="1" ht="12.75" x14ac:dyDescent="0.2"/>
    <row r="1118" customFormat="1" ht="12.75" x14ac:dyDescent="0.2"/>
    <row r="1119" customFormat="1" ht="12.75" x14ac:dyDescent="0.2"/>
    <row r="1120" customFormat="1" ht="12.75" x14ac:dyDescent="0.2"/>
    <row r="1121" customFormat="1" ht="12.75" x14ac:dyDescent="0.2"/>
    <row r="1122" customFormat="1" ht="12.75" x14ac:dyDescent="0.2"/>
    <row r="1123" customFormat="1" ht="12.75" x14ac:dyDescent="0.2"/>
    <row r="1124" customFormat="1" ht="12.75" x14ac:dyDescent="0.2"/>
    <row r="1125" customFormat="1" ht="12.75" x14ac:dyDescent="0.2"/>
    <row r="1126" customFormat="1" ht="12.75" x14ac:dyDescent="0.2"/>
    <row r="1127" customFormat="1" ht="12.75" x14ac:dyDescent="0.2"/>
    <row r="1128" customFormat="1" ht="12.75" x14ac:dyDescent="0.2"/>
    <row r="1129" customFormat="1" ht="12.75" x14ac:dyDescent="0.2"/>
    <row r="1130" customFormat="1" ht="12.75" x14ac:dyDescent="0.2"/>
    <row r="1131" customFormat="1" ht="12.75" x14ac:dyDescent="0.2"/>
    <row r="1132" customFormat="1" ht="12.75" x14ac:dyDescent="0.2"/>
    <row r="1133" customFormat="1" ht="12.75" x14ac:dyDescent="0.2"/>
    <row r="1134" customFormat="1" ht="12.75" x14ac:dyDescent="0.2"/>
    <row r="1135" customFormat="1" ht="12.75" x14ac:dyDescent="0.2"/>
    <row r="1136" customFormat="1" ht="12.75" x14ac:dyDescent="0.2"/>
    <row r="1137" customFormat="1" ht="12.75" x14ac:dyDescent="0.2"/>
    <row r="1138" customFormat="1" ht="12.75" x14ac:dyDescent="0.2"/>
    <row r="1139" customFormat="1" ht="12.75" x14ac:dyDescent="0.2"/>
    <row r="1140" customFormat="1" ht="12.75" x14ac:dyDescent="0.2"/>
    <row r="1141" customFormat="1" ht="12.75" x14ac:dyDescent="0.2"/>
    <row r="1142" customFormat="1" ht="12.75" x14ac:dyDescent="0.2"/>
    <row r="1143" customFormat="1" ht="12.75" x14ac:dyDescent="0.2"/>
    <row r="1144" customFormat="1" ht="12.75" x14ac:dyDescent="0.2"/>
    <row r="1145" customFormat="1" ht="12.75" x14ac:dyDescent="0.2"/>
    <row r="1146" customFormat="1" ht="12.75" x14ac:dyDescent="0.2"/>
    <row r="1147" customFormat="1" ht="12.75" x14ac:dyDescent="0.2"/>
    <row r="1148" customFormat="1" ht="12.75" x14ac:dyDescent="0.2"/>
    <row r="1149" customFormat="1" ht="12.75" x14ac:dyDescent="0.2"/>
    <row r="1150" customFormat="1" ht="12.75" x14ac:dyDescent="0.2"/>
    <row r="1151" customFormat="1" ht="12.75" x14ac:dyDescent="0.2"/>
    <row r="1152" customFormat="1" ht="12.75" x14ac:dyDescent="0.2"/>
    <row r="1153" customFormat="1" ht="12.75" x14ac:dyDescent="0.2"/>
    <row r="1154" customFormat="1" ht="12.75" x14ac:dyDescent="0.2"/>
    <row r="1155" customFormat="1" ht="12.75" x14ac:dyDescent="0.2"/>
    <row r="1156" customFormat="1" ht="12.75" x14ac:dyDescent="0.2"/>
    <row r="1157" customFormat="1" ht="12.75" x14ac:dyDescent="0.2"/>
    <row r="1158" customFormat="1" ht="12.75" x14ac:dyDescent="0.2"/>
    <row r="1159" customFormat="1" ht="12.75" x14ac:dyDescent="0.2"/>
    <row r="1160" customFormat="1" ht="12.75" x14ac:dyDescent="0.2"/>
    <row r="1161" customFormat="1" ht="12.75" x14ac:dyDescent="0.2"/>
    <row r="1162" customFormat="1" ht="12.75" x14ac:dyDescent="0.2"/>
    <row r="1163" customFormat="1" ht="12.75" x14ac:dyDescent="0.2"/>
    <row r="1164" customFormat="1" ht="12.75" x14ac:dyDescent="0.2"/>
    <row r="1165" customFormat="1" ht="12.75" x14ac:dyDescent="0.2"/>
    <row r="1166" customFormat="1" ht="12.75" x14ac:dyDescent="0.2"/>
    <row r="1167" customFormat="1" ht="12.75" x14ac:dyDescent="0.2"/>
    <row r="1168" customFormat="1" ht="12.75" x14ac:dyDescent="0.2"/>
    <row r="1169" customFormat="1" ht="12.75" x14ac:dyDescent="0.2"/>
    <row r="1170" customFormat="1" ht="12.75" x14ac:dyDescent="0.2"/>
    <row r="1171" customFormat="1" ht="12.75" x14ac:dyDescent="0.2"/>
    <row r="1172" customFormat="1" ht="12.75" x14ac:dyDescent="0.2"/>
    <row r="1173" customFormat="1" ht="12.75" x14ac:dyDescent="0.2"/>
    <row r="1174" customFormat="1" ht="12.75" x14ac:dyDescent="0.2"/>
    <row r="1175" customFormat="1" ht="12.75" x14ac:dyDescent="0.2"/>
    <row r="1176" customFormat="1" ht="12.75" x14ac:dyDescent="0.2"/>
    <row r="1177" customFormat="1" ht="12.75" x14ac:dyDescent="0.2"/>
    <row r="1178" customFormat="1" ht="12.75" x14ac:dyDescent="0.2"/>
    <row r="1179" customFormat="1" ht="12.75" x14ac:dyDescent="0.2"/>
    <row r="1180" customFormat="1" ht="12.75" x14ac:dyDescent="0.2"/>
    <row r="1181" customFormat="1" ht="12.75" x14ac:dyDescent="0.2"/>
    <row r="1182" customFormat="1" ht="12.75" x14ac:dyDescent="0.2"/>
    <row r="1183" customFormat="1" ht="12.75" x14ac:dyDescent="0.2"/>
    <row r="1184" customFormat="1" ht="12.75" x14ac:dyDescent="0.2"/>
    <row r="1185" customFormat="1" ht="12.75" x14ac:dyDescent="0.2"/>
    <row r="1186" customFormat="1" ht="12.75" x14ac:dyDescent="0.2"/>
    <row r="1187" customFormat="1" ht="12.75" x14ac:dyDescent="0.2"/>
    <row r="1188" customFormat="1" ht="12.75" x14ac:dyDescent="0.2"/>
    <row r="1189" customFormat="1" ht="12.75" x14ac:dyDescent="0.2"/>
    <row r="1190" customFormat="1" ht="12.75" x14ac:dyDescent="0.2"/>
    <row r="1191" customFormat="1" ht="12.75" x14ac:dyDescent="0.2"/>
    <row r="1192" customFormat="1" ht="12.75" x14ac:dyDescent="0.2"/>
    <row r="1193" customFormat="1" ht="12.75" x14ac:dyDescent="0.2"/>
    <row r="1194" customFormat="1" ht="12.75" x14ac:dyDescent="0.2"/>
    <row r="1195" customFormat="1" ht="12.75" x14ac:dyDescent="0.2"/>
    <row r="1196" customFormat="1" ht="12.75" x14ac:dyDescent="0.2"/>
    <row r="1197" customFormat="1" ht="12.75" x14ac:dyDescent="0.2"/>
    <row r="1198" customFormat="1" ht="12.75" x14ac:dyDescent="0.2"/>
    <row r="1199" customFormat="1" ht="12.75" x14ac:dyDescent="0.2"/>
    <row r="1200" customFormat="1" ht="12.75" x14ac:dyDescent="0.2"/>
    <row r="1201" customFormat="1" ht="12.75" x14ac:dyDescent="0.2"/>
    <row r="1202" customFormat="1" ht="12.75" x14ac:dyDescent="0.2"/>
    <row r="1203" customFormat="1" ht="12.75" x14ac:dyDescent="0.2"/>
    <row r="1204" customFormat="1" ht="12.75" x14ac:dyDescent="0.2"/>
    <row r="1205" customFormat="1" ht="12.75" x14ac:dyDescent="0.2"/>
    <row r="1206" customFormat="1" ht="12.75" x14ac:dyDescent="0.2"/>
    <row r="1207" customFormat="1" ht="12.75" x14ac:dyDescent="0.2"/>
    <row r="1208" customFormat="1" ht="12.75" x14ac:dyDescent="0.2"/>
    <row r="1209" customFormat="1" ht="12.75" x14ac:dyDescent="0.2"/>
    <row r="1210" customFormat="1" ht="12.75" x14ac:dyDescent="0.2"/>
    <row r="1211" customFormat="1" ht="12.75" x14ac:dyDescent="0.2"/>
    <row r="1212" customFormat="1" ht="12.75" x14ac:dyDescent="0.2"/>
    <row r="1213" customFormat="1" ht="12.75" x14ac:dyDescent="0.2"/>
    <row r="1214" customFormat="1" ht="12.75" x14ac:dyDescent="0.2"/>
    <row r="1215" customFormat="1" ht="12.75" x14ac:dyDescent="0.2"/>
    <row r="1216" customFormat="1" ht="12.75" x14ac:dyDescent="0.2"/>
    <row r="1217" customFormat="1" ht="12.75" x14ac:dyDescent="0.2"/>
    <row r="1218" customFormat="1" ht="12.75" x14ac:dyDescent="0.2"/>
    <row r="1219" customFormat="1" ht="12.75" x14ac:dyDescent="0.2"/>
    <row r="1220" customFormat="1" ht="12.75" x14ac:dyDescent="0.2"/>
    <row r="1221" customFormat="1" ht="12.75" x14ac:dyDescent="0.2"/>
    <row r="1222" customFormat="1" ht="12.75" x14ac:dyDescent="0.2"/>
    <row r="1223" customFormat="1" ht="12.75" x14ac:dyDescent="0.2"/>
    <row r="1224" customFormat="1" ht="12.75" x14ac:dyDescent="0.2"/>
    <row r="1225" customFormat="1" ht="12.75" x14ac:dyDescent="0.2"/>
    <row r="1226" customFormat="1" ht="12.75" x14ac:dyDescent="0.2"/>
    <row r="1227" customFormat="1" ht="12.75" x14ac:dyDescent="0.2"/>
    <row r="1228" customFormat="1" ht="12.75" x14ac:dyDescent="0.2"/>
    <row r="1229" customFormat="1" ht="12.75" x14ac:dyDescent="0.2"/>
    <row r="1230" customFormat="1" ht="12.75" x14ac:dyDescent="0.2"/>
    <row r="1231" customFormat="1" ht="12.75" x14ac:dyDescent="0.2"/>
    <row r="1232" customFormat="1" ht="12.75" x14ac:dyDescent="0.2"/>
    <row r="1233" customFormat="1" ht="12.75" x14ac:dyDescent="0.2"/>
    <row r="1234" customFormat="1" ht="12.75" x14ac:dyDescent="0.2"/>
    <row r="1235" customFormat="1" ht="12.75" x14ac:dyDescent="0.2"/>
    <row r="1236" customFormat="1" ht="12.75" x14ac:dyDescent="0.2"/>
    <row r="1237" customFormat="1" ht="12.75" x14ac:dyDescent="0.2"/>
    <row r="1238" customFormat="1" ht="12.75" x14ac:dyDescent="0.2"/>
    <row r="1239" customFormat="1" ht="12.75" x14ac:dyDescent="0.2"/>
    <row r="1240" customFormat="1" ht="12.75" x14ac:dyDescent="0.2"/>
    <row r="1241" customFormat="1" ht="12.75" x14ac:dyDescent="0.2"/>
    <row r="1242" customFormat="1" ht="12.75" x14ac:dyDescent="0.2"/>
    <row r="1243" customFormat="1" ht="12.75" x14ac:dyDescent="0.2"/>
    <row r="1244" customFormat="1" ht="12.75" x14ac:dyDescent="0.2"/>
    <row r="1245" customFormat="1" ht="12.75" x14ac:dyDescent="0.2"/>
    <row r="1246" customFormat="1" ht="12.75" x14ac:dyDescent="0.2"/>
    <row r="1247" customFormat="1" ht="12.75" x14ac:dyDescent="0.2"/>
    <row r="1248" customFormat="1" ht="12.75" x14ac:dyDescent="0.2"/>
    <row r="1249" customFormat="1" ht="12.75" x14ac:dyDescent="0.2"/>
    <row r="1250" customFormat="1" ht="12.75" x14ac:dyDescent="0.2"/>
    <row r="1251" customFormat="1" ht="12.75" x14ac:dyDescent="0.2"/>
    <row r="1252" customFormat="1" ht="12.75" x14ac:dyDescent="0.2"/>
    <row r="1253" customFormat="1" ht="12.75" x14ac:dyDescent="0.2"/>
    <row r="1254" customFormat="1" ht="12.75" x14ac:dyDescent="0.2"/>
    <row r="1255" customFormat="1" ht="12.75" x14ac:dyDescent="0.2"/>
    <row r="1256" customFormat="1" ht="12.75" x14ac:dyDescent="0.2"/>
    <row r="1257" customFormat="1" ht="12.75" x14ac:dyDescent="0.2"/>
    <row r="1258" customFormat="1" ht="12.75" x14ac:dyDescent="0.2"/>
    <row r="1259" customFormat="1" ht="12.75" x14ac:dyDescent="0.2"/>
    <row r="1260" customFormat="1" ht="12.75" x14ac:dyDescent="0.2"/>
    <row r="1261" customFormat="1" ht="12.75" x14ac:dyDescent="0.2"/>
    <row r="1262" customFormat="1" ht="12.75" x14ac:dyDescent="0.2"/>
    <row r="1263" customFormat="1" ht="12.75" x14ac:dyDescent="0.2"/>
    <row r="1264" customFormat="1" ht="12.75" x14ac:dyDescent="0.2"/>
    <row r="1265" customFormat="1" ht="12.75" x14ac:dyDescent="0.2"/>
    <row r="1266" customFormat="1" ht="12.75" x14ac:dyDescent="0.2"/>
    <row r="1267" customFormat="1" ht="12.75" x14ac:dyDescent="0.2"/>
    <row r="1268" customFormat="1" ht="12.75" x14ac:dyDescent="0.2"/>
    <row r="1269" customFormat="1" ht="12.75" x14ac:dyDescent="0.2"/>
    <row r="1270" customFormat="1" ht="12.75" x14ac:dyDescent="0.2"/>
    <row r="1271" customFormat="1" ht="12.75" x14ac:dyDescent="0.2"/>
    <row r="1272" customFormat="1" ht="12.75" x14ac:dyDescent="0.2"/>
    <row r="1273" customFormat="1" ht="12.75" x14ac:dyDescent="0.2"/>
    <row r="1274" customFormat="1" ht="12.75" x14ac:dyDescent="0.2"/>
    <row r="1275" customFormat="1" ht="12.75" x14ac:dyDescent="0.2"/>
    <row r="1276" customFormat="1" ht="12.75" x14ac:dyDescent="0.2"/>
    <row r="1277" customFormat="1" ht="12.75" x14ac:dyDescent="0.2"/>
    <row r="1278" customFormat="1" ht="12.75" x14ac:dyDescent="0.2"/>
    <row r="1279" customFormat="1" ht="12.75" x14ac:dyDescent="0.2"/>
    <row r="1280" customFormat="1" ht="12.75" x14ac:dyDescent="0.2"/>
    <row r="1281" customFormat="1" ht="12.75" x14ac:dyDescent="0.2"/>
    <row r="1282" customFormat="1" ht="12.75" x14ac:dyDescent="0.2"/>
    <row r="1283" customFormat="1" ht="12.75" x14ac:dyDescent="0.2"/>
    <row r="1284" customFormat="1" ht="12.75" x14ac:dyDescent="0.2"/>
    <row r="1285" customFormat="1" ht="12.75" x14ac:dyDescent="0.2"/>
    <row r="1286" customFormat="1" ht="12.75" x14ac:dyDescent="0.2"/>
    <row r="1287" customFormat="1" ht="12.75" x14ac:dyDescent="0.2"/>
    <row r="1288" customFormat="1" ht="12.75" x14ac:dyDescent="0.2"/>
    <row r="1289" customFormat="1" ht="12.75" x14ac:dyDescent="0.2"/>
    <row r="1290" customFormat="1" ht="12.75" x14ac:dyDescent="0.2"/>
    <row r="1291" customFormat="1" ht="12.75" x14ac:dyDescent="0.2"/>
    <row r="1292" customFormat="1" ht="12.75" x14ac:dyDescent="0.2"/>
    <row r="1293" customFormat="1" ht="12.75" x14ac:dyDescent="0.2"/>
    <row r="1294" customFormat="1" ht="12.75" x14ac:dyDescent="0.2"/>
    <row r="1295" customFormat="1" ht="12.75" x14ac:dyDescent="0.2"/>
    <row r="1296" customFormat="1" ht="12.75" x14ac:dyDescent="0.2"/>
    <row r="1297" customFormat="1" ht="12.75" x14ac:dyDescent="0.2"/>
    <row r="1298" customFormat="1" ht="12.75" x14ac:dyDescent="0.2"/>
    <row r="1299" customFormat="1" ht="12.75" x14ac:dyDescent="0.2"/>
    <row r="1300" customFormat="1" ht="12.75" x14ac:dyDescent="0.2"/>
    <row r="1301" customFormat="1" ht="12.75" x14ac:dyDescent="0.2"/>
    <row r="1302" customFormat="1" ht="12.75" x14ac:dyDescent="0.2"/>
    <row r="1303" customFormat="1" ht="12.75" x14ac:dyDescent="0.2"/>
    <row r="1304" customFormat="1" ht="12.75" x14ac:dyDescent="0.2"/>
    <row r="1305" customFormat="1" ht="12.75" x14ac:dyDescent="0.2"/>
    <row r="1306" customFormat="1" ht="12.75" x14ac:dyDescent="0.2"/>
    <row r="1307" customFormat="1" ht="12.75" x14ac:dyDescent="0.2"/>
    <row r="1308" customFormat="1" ht="12.75" x14ac:dyDescent="0.2"/>
    <row r="1309" customFormat="1" ht="12.75" x14ac:dyDescent="0.2"/>
    <row r="1310" customFormat="1" ht="12.75" x14ac:dyDescent="0.2"/>
    <row r="1311" customFormat="1" ht="12.75" x14ac:dyDescent="0.2"/>
    <row r="1312" customFormat="1" ht="12.75" x14ac:dyDescent="0.2"/>
    <row r="1313" customFormat="1" ht="12.75" x14ac:dyDescent="0.2"/>
    <row r="1314" customFormat="1" ht="12.75" x14ac:dyDescent="0.2"/>
    <row r="1315" customFormat="1" ht="12.75" x14ac:dyDescent="0.2"/>
    <row r="1316" customFormat="1" ht="12.75" x14ac:dyDescent="0.2"/>
    <row r="1317" customFormat="1" ht="12.75" x14ac:dyDescent="0.2"/>
    <row r="1318" customFormat="1" ht="12.75" x14ac:dyDescent="0.2"/>
    <row r="1319" customFormat="1" ht="12.75" x14ac:dyDescent="0.2"/>
    <row r="1320" customFormat="1" ht="12.75" x14ac:dyDescent="0.2"/>
    <row r="1321" customFormat="1" ht="12.75" x14ac:dyDescent="0.2"/>
    <row r="1322" customFormat="1" ht="12.75" x14ac:dyDescent="0.2"/>
    <row r="1323" customFormat="1" ht="12.75" x14ac:dyDescent="0.2"/>
    <row r="1324" customFormat="1" ht="12.75" x14ac:dyDescent="0.2"/>
    <row r="1325" customFormat="1" ht="12.75" x14ac:dyDescent="0.2"/>
    <row r="1326" customFormat="1" ht="12.75" x14ac:dyDescent="0.2"/>
    <row r="1327" customFormat="1" ht="12.75" x14ac:dyDescent="0.2"/>
    <row r="1328" customFormat="1" ht="12.75" x14ac:dyDescent="0.2"/>
    <row r="1329" customFormat="1" ht="12.75" x14ac:dyDescent="0.2"/>
    <row r="1330" customFormat="1" ht="12.75" x14ac:dyDescent="0.2"/>
    <row r="1331" customFormat="1" ht="12.75" x14ac:dyDescent="0.2"/>
    <row r="1332" customFormat="1" ht="12.75" x14ac:dyDescent="0.2"/>
    <row r="1333" customFormat="1" ht="12.75" x14ac:dyDescent="0.2"/>
    <row r="1334" customFormat="1" ht="12.75" x14ac:dyDescent="0.2"/>
    <row r="1335" customFormat="1" ht="12.75" x14ac:dyDescent="0.2"/>
    <row r="1336" customFormat="1" ht="12.75" x14ac:dyDescent="0.2"/>
    <row r="1337" customFormat="1" ht="12.75" x14ac:dyDescent="0.2"/>
    <row r="1338" customFormat="1" ht="12.75" x14ac:dyDescent="0.2"/>
    <row r="1339" customFormat="1" ht="12.75" x14ac:dyDescent="0.2"/>
    <row r="1340" customFormat="1" ht="12.75" x14ac:dyDescent="0.2"/>
    <row r="1341" customFormat="1" ht="12.75" x14ac:dyDescent="0.2"/>
    <row r="1342" customFormat="1" ht="12.75" x14ac:dyDescent="0.2"/>
    <row r="1343" customFormat="1" ht="12.75" x14ac:dyDescent="0.2"/>
    <row r="1344" customFormat="1" ht="12.75" x14ac:dyDescent="0.2"/>
    <row r="1345" customFormat="1" ht="12.75" x14ac:dyDescent="0.2"/>
    <row r="1346" customFormat="1" ht="12.75" x14ac:dyDescent="0.2"/>
    <row r="1347" customFormat="1" ht="12.75" x14ac:dyDescent="0.2"/>
    <row r="1348" customFormat="1" ht="12.75" x14ac:dyDescent="0.2"/>
    <row r="1349" customFormat="1" ht="12.75" x14ac:dyDescent="0.2"/>
    <row r="1350" customFormat="1" ht="12.75" x14ac:dyDescent="0.2"/>
    <row r="1351" customFormat="1" ht="12.75" x14ac:dyDescent="0.2"/>
    <row r="1352" customFormat="1" ht="12.75" x14ac:dyDescent="0.2"/>
    <row r="1353" customFormat="1" ht="12.75" x14ac:dyDescent="0.2"/>
    <row r="1354" customFormat="1" ht="12.75" x14ac:dyDescent="0.2"/>
    <row r="1355" customFormat="1" ht="12.75" x14ac:dyDescent="0.2"/>
    <row r="1356" customFormat="1" ht="12.75" x14ac:dyDescent="0.2"/>
    <row r="1357" customFormat="1" ht="12.75" x14ac:dyDescent="0.2"/>
    <row r="1358" customFormat="1" ht="12.75" x14ac:dyDescent="0.2"/>
    <row r="1359" customFormat="1" ht="12.75" x14ac:dyDescent="0.2"/>
    <row r="1360" customFormat="1" ht="12.75" x14ac:dyDescent="0.2"/>
    <row r="1361" customFormat="1" ht="12.75" x14ac:dyDescent="0.2"/>
    <row r="1362" customFormat="1" ht="12.75" x14ac:dyDescent="0.2"/>
    <row r="1363" customFormat="1" ht="12.75" x14ac:dyDescent="0.2"/>
    <row r="1364" customFormat="1" ht="12.75" x14ac:dyDescent="0.2"/>
    <row r="1365" customFormat="1" ht="12.75" x14ac:dyDescent="0.2"/>
    <row r="1366" customFormat="1" ht="12.75" x14ac:dyDescent="0.2"/>
    <row r="1367" customFormat="1" ht="12.75" x14ac:dyDescent="0.2"/>
    <row r="1368" customFormat="1" ht="12.75" x14ac:dyDescent="0.2"/>
    <row r="1369" customFormat="1" ht="12.75" x14ac:dyDescent="0.2"/>
    <row r="1370" customFormat="1" ht="12.75" x14ac:dyDescent="0.2"/>
    <row r="1371" customFormat="1" ht="12.75" x14ac:dyDescent="0.2"/>
    <row r="1372" customFormat="1" ht="12.75" x14ac:dyDescent="0.2"/>
    <row r="1373" customFormat="1" ht="12.75" x14ac:dyDescent="0.2"/>
    <row r="1374" customFormat="1" ht="12.75" x14ac:dyDescent="0.2"/>
    <row r="1375" customFormat="1" ht="12.75" x14ac:dyDescent="0.2"/>
    <row r="1376" customFormat="1" ht="12.75" x14ac:dyDescent="0.2"/>
    <row r="1377" customFormat="1" ht="12.75" x14ac:dyDescent="0.2"/>
    <row r="1378" customFormat="1" ht="12.75" x14ac:dyDescent="0.2"/>
    <row r="1379" customFormat="1" ht="12.75" x14ac:dyDescent="0.2"/>
    <row r="1380" customFormat="1" ht="12.75" x14ac:dyDescent="0.2"/>
    <row r="1381" customFormat="1" ht="12.75" x14ac:dyDescent="0.2"/>
    <row r="1382" customFormat="1" ht="12.75" x14ac:dyDescent="0.2"/>
    <row r="1383" customFormat="1" ht="12.75" x14ac:dyDescent="0.2"/>
    <row r="1384" customFormat="1" ht="12.75" x14ac:dyDescent="0.2"/>
    <row r="1385" customFormat="1" ht="12.75" x14ac:dyDescent="0.2"/>
    <row r="1386" customFormat="1" ht="12.75" x14ac:dyDescent="0.2"/>
    <row r="1387" customFormat="1" ht="12.75" x14ac:dyDescent="0.2"/>
    <row r="1388" customFormat="1" ht="12.75" x14ac:dyDescent="0.2"/>
    <row r="1389" customFormat="1" ht="12.75" x14ac:dyDescent="0.2"/>
    <row r="1390" customFormat="1" ht="12.75" x14ac:dyDescent="0.2"/>
    <row r="1391" customFormat="1" ht="12.75" x14ac:dyDescent="0.2"/>
    <row r="1392" customFormat="1" ht="12.75" x14ac:dyDescent="0.2"/>
    <row r="1393" customFormat="1" ht="12.75" x14ac:dyDescent="0.2"/>
    <row r="1394" customFormat="1" ht="12.75" x14ac:dyDescent="0.2"/>
    <row r="1395" customFormat="1" ht="12.75" x14ac:dyDescent="0.2"/>
    <row r="1396" customFormat="1" ht="12.75" x14ac:dyDescent="0.2"/>
    <row r="1397" customFormat="1" ht="12.75" x14ac:dyDescent="0.2"/>
    <row r="1398" customFormat="1" ht="12.75" x14ac:dyDescent="0.2"/>
    <row r="1399" customFormat="1" ht="12.75" x14ac:dyDescent="0.2"/>
    <row r="1400" customFormat="1" ht="12.75" x14ac:dyDescent="0.2"/>
    <row r="1401" customFormat="1" ht="12.75" x14ac:dyDescent="0.2"/>
    <row r="1402" customFormat="1" ht="12.75" x14ac:dyDescent="0.2"/>
    <row r="1403" customFormat="1" ht="12.75" x14ac:dyDescent="0.2"/>
    <row r="1404" customFormat="1" ht="12.75" x14ac:dyDescent="0.2"/>
    <row r="1405" customFormat="1" ht="12.75" x14ac:dyDescent="0.2"/>
    <row r="1406" customFormat="1" ht="12.75" x14ac:dyDescent="0.2"/>
    <row r="1407" customFormat="1" ht="12.75" x14ac:dyDescent="0.2"/>
    <row r="1408" customFormat="1" ht="12.75" x14ac:dyDescent="0.2"/>
    <row r="1409" customFormat="1" ht="12.75" x14ac:dyDescent="0.2"/>
    <row r="1410" customFormat="1" ht="12.75" x14ac:dyDescent="0.2"/>
    <row r="1411" customFormat="1" ht="12.75" x14ac:dyDescent="0.2"/>
    <row r="1412" customFormat="1" ht="12.75" x14ac:dyDescent="0.2"/>
    <row r="1413" customFormat="1" ht="12.75" x14ac:dyDescent="0.2"/>
    <row r="1414" customFormat="1" ht="12.75" x14ac:dyDescent="0.2"/>
    <row r="1415" customFormat="1" ht="12.75" x14ac:dyDescent="0.2"/>
    <row r="1416" customFormat="1" ht="12.75" x14ac:dyDescent="0.2"/>
    <row r="1417" customFormat="1" ht="12.75" x14ac:dyDescent="0.2"/>
    <row r="1418" customFormat="1" ht="12.75" x14ac:dyDescent="0.2"/>
    <row r="1419" customFormat="1" ht="12.75" x14ac:dyDescent="0.2"/>
    <row r="1420" customFormat="1" ht="12.75" x14ac:dyDescent="0.2"/>
    <row r="1421" customFormat="1" ht="12.75" x14ac:dyDescent="0.2"/>
    <row r="1422" customFormat="1" ht="12.75" x14ac:dyDescent="0.2"/>
    <row r="1423" customFormat="1" ht="12.75" x14ac:dyDescent="0.2"/>
    <row r="1424" customFormat="1" ht="12.75" x14ac:dyDescent="0.2"/>
    <row r="1425" customFormat="1" ht="12.75" x14ac:dyDescent="0.2"/>
    <row r="1426" customFormat="1" ht="12.75" x14ac:dyDescent="0.2"/>
    <row r="1427" customFormat="1" ht="12.75" x14ac:dyDescent="0.2"/>
    <row r="1428" customFormat="1" ht="12.75" x14ac:dyDescent="0.2"/>
    <row r="1429" customFormat="1" ht="12.75" x14ac:dyDescent="0.2"/>
    <row r="1430" customFormat="1" ht="12.75" x14ac:dyDescent="0.2"/>
    <row r="1431" customFormat="1" ht="12.75" x14ac:dyDescent="0.2"/>
    <row r="1432" customFormat="1" ht="12.75" x14ac:dyDescent="0.2"/>
    <row r="1433" customFormat="1" ht="12.75" x14ac:dyDescent="0.2"/>
    <row r="1434" customFormat="1" ht="12.75" x14ac:dyDescent="0.2"/>
    <row r="1435" customFormat="1" ht="12.75" x14ac:dyDescent="0.2"/>
    <row r="1436" customFormat="1" ht="12.75" x14ac:dyDescent="0.2"/>
    <row r="1437" customFormat="1" ht="12.75" x14ac:dyDescent="0.2"/>
    <row r="1438" customFormat="1" ht="12.75" x14ac:dyDescent="0.2"/>
    <row r="1439" customFormat="1" ht="12.75" x14ac:dyDescent="0.2"/>
    <row r="1440" customFormat="1" ht="12.75" x14ac:dyDescent="0.2"/>
    <row r="1441" customFormat="1" ht="12.75" x14ac:dyDescent="0.2"/>
    <row r="1442" customFormat="1" ht="12.75" x14ac:dyDescent="0.2"/>
    <row r="1443" customFormat="1" ht="12.75" x14ac:dyDescent="0.2"/>
    <row r="1444" customFormat="1" ht="12.75" x14ac:dyDescent="0.2"/>
    <row r="1445" customFormat="1" ht="12.75" x14ac:dyDescent="0.2"/>
    <row r="1446" customFormat="1" ht="12.75" x14ac:dyDescent="0.2"/>
    <row r="1447" customFormat="1" ht="12.75" x14ac:dyDescent="0.2"/>
    <row r="1448" customFormat="1" ht="12.75" x14ac:dyDescent="0.2"/>
    <row r="1449" customFormat="1" ht="12.75" x14ac:dyDescent="0.2"/>
    <row r="1450" customFormat="1" ht="12.75" x14ac:dyDescent="0.2"/>
    <row r="1451" customFormat="1" ht="12.75" x14ac:dyDescent="0.2"/>
    <row r="1452" customFormat="1" ht="12.75" x14ac:dyDescent="0.2"/>
    <row r="1453" customFormat="1" ht="12.75" x14ac:dyDescent="0.2"/>
    <row r="1454" customFormat="1" ht="12.75" x14ac:dyDescent="0.2"/>
    <row r="1455" customFormat="1" ht="12.75" x14ac:dyDescent="0.2"/>
    <row r="1456" customFormat="1" ht="12.75" x14ac:dyDescent="0.2"/>
    <row r="1457" customFormat="1" ht="12.75" x14ac:dyDescent="0.2"/>
    <row r="1458" customFormat="1" ht="12.75" x14ac:dyDescent="0.2"/>
    <row r="1459" customFormat="1" ht="12.75" x14ac:dyDescent="0.2"/>
    <row r="1460" customFormat="1" ht="12.75" x14ac:dyDescent="0.2"/>
    <row r="1461" customFormat="1" ht="12.75" x14ac:dyDescent="0.2"/>
    <row r="1462" customFormat="1" ht="12.75" x14ac:dyDescent="0.2"/>
    <row r="1463" customFormat="1" ht="12.75" x14ac:dyDescent="0.2"/>
    <row r="1464" customFormat="1" ht="12.75" x14ac:dyDescent="0.2"/>
    <row r="1465" customFormat="1" ht="12.75" x14ac:dyDescent="0.2"/>
    <row r="1466" customFormat="1" ht="12.75" x14ac:dyDescent="0.2"/>
    <row r="1467" customFormat="1" ht="12.75" x14ac:dyDescent="0.2"/>
    <row r="1468" customFormat="1" ht="12.75" x14ac:dyDescent="0.2"/>
    <row r="1469" customFormat="1" ht="12.75" x14ac:dyDescent="0.2"/>
    <row r="1470" customFormat="1" ht="12.75" x14ac:dyDescent="0.2"/>
    <row r="1471" customFormat="1" ht="12.75" x14ac:dyDescent="0.2"/>
    <row r="1472" customFormat="1" ht="12.75" x14ac:dyDescent="0.2"/>
    <row r="1473" customFormat="1" ht="12.75" x14ac:dyDescent="0.2"/>
    <row r="1474" customFormat="1" ht="12.75" x14ac:dyDescent="0.2"/>
    <row r="1475" customFormat="1" ht="12.75" x14ac:dyDescent="0.2"/>
    <row r="1476" customFormat="1" ht="12.75" x14ac:dyDescent="0.2"/>
    <row r="1477" customFormat="1" ht="12.75" x14ac:dyDescent="0.2"/>
    <row r="1478" customFormat="1" ht="12.75" x14ac:dyDescent="0.2"/>
    <row r="1479" customFormat="1" ht="12.75" x14ac:dyDescent="0.2"/>
    <row r="1480" customFormat="1" ht="12.75" x14ac:dyDescent="0.2"/>
    <row r="1481" customFormat="1" ht="12.75" x14ac:dyDescent="0.2"/>
    <row r="1482" customFormat="1" ht="12.75" x14ac:dyDescent="0.2"/>
    <row r="1483" customFormat="1" ht="12.75" x14ac:dyDescent="0.2"/>
    <row r="1484" customFormat="1" ht="12.75" x14ac:dyDescent="0.2"/>
    <row r="1485" customFormat="1" ht="12.75" x14ac:dyDescent="0.2"/>
    <row r="1486" customFormat="1" ht="12.75" x14ac:dyDescent="0.2"/>
    <row r="1487" customFormat="1" ht="12.75" x14ac:dyDescent="0.2"/>
    <row r="1488" customFormat="1" ht="12.75" x14ac:dyDescent="0.2"/>
    <row r="1489" customFormat="1" ht="12.75" x14ac:dyDescent="0.2"/>
    <row r="1490" customFormat="1" ht="12.75" x14ac:dyDescent="0.2"/>
    <row r="1491" customFormat="1" ht="12.75" x14ac:dyDescent="0.2"/>
    <row r="1492" customFormat="1" ht="12.75" x14ac:dyDescent="0.2"/>
    <row r="1493" customFormat="1" ht="12.75" x14ac:dyDescent="0.2"/>
    <row r="1494" customFormat="1" ht="12.75" x14ac:dyDescent="0.2"/>
  </sheetData>
  <mergeCells count="45">
    <mergeCell ref="B458:O458"/>
    <mergeCell ref="B300:O300"/>
    <mergeCell ref="B456:O456"/>
    <mergeCell ref="B362:P362"/>
    <mergeCell ref="B392:P392"/>
    <mergeCell ref="B393:P393"/>
    <mergeCell ref="B361:P361"/>
    <mergeCell ref="B457:O457"/>
    <mergeCell ref="B423:P423"/>
    <mergeCell ref="B424:P424"/>
    <mergeCell ref="B422:P422"/>
    <mergeCell ref="B391:P391"/>
    <mergeCell ref="B363:P363"/>
    <mergeCell ref="B329:O329"/>
    <mergeCell ref="B330:O330"/>
    <mergeCell ref="B331:O331"/>
    <mergeCell ref="B8:O8"/>
    <mergeCell ref="B9:O9"/>
    <mergeCell ref="B10:O10"/>
    <mergeCell ref="B173:O173"/>
    <mergeCell ref="B141:O141"/>
    <mergeCell ref="B41:O41"/>
    <mergeCell ref="B42:O42"/>
    <mergeCell ref="B43:O43"/>
    <mergeCell ref="B73:O73"/>
    <mergeCell ref="B74:O74"/>
    <mergeCell ref="B106:O106"/>
    <mergeCell ref="B107:O107"/>
    <mergeCell ref="B108:O108"/>
    <mergeCell ref="B140:O140"/>
    <mergeCell ref="B139:O139"/>
    <mergeCell ref="B172:O172"/>
    <mergeCell ref="B75:O75"/>
    <mergeCell ref="B236:O236"/>
    <mergeCell ref="B237:O237"/>
    <mergeCell ref="B238:O238"/>
    <mergeCell ref="B298:O298"/>
    <mergeCell ref="B299:O299"/>
    <mergeCell ref="B267:O267"/>
    <mergeCell ref="B268:O268"/>
    <mergeCell ref="B269:O269"/>
    <mergeCell ref="B174:O174"/>
    <mergeCell ref="B205:O205"/>
    <mergeCell ref="B206:O206"/>
    <mergeCell ref="B207:O207"/>
  </mergeCells>
  <phoneticPr fontId="10" type="noConversion"/>
  <printOptions horizontalCentered="1"/>
  <pageMargins left="0.4" right="0.28999999999999998" top="1.02" bottom="0.21" header="0.92" footer="0.21"/>
  <pageSetup scale="65" orientation="landscape" horizontalDpi="4294967292" r:id="rId1"/>
  <headerFooter alignWithMargins="0">
    <oddHeader>&amp;RSchedule II-H-4.1
Page &amp;P of &amp;N</oddHeader>
    <oddFooter xml:space="preserve">&amp;LSponsored by: John O. Aaron
</oddFooter>
  </headerFooter>
  <rowBreaks count="14" manualBreakCount="14">
    <brk id="39" max="16383" man="1"/>
    <brk id="72" max="16383" man="1"/>
    <brk id="104" max="16383" man="1"/>
    <brk id="136" max="16383" man="1"/>
    <brk id="170" max="16383" man="1"/>
    <brk id="203" max="16383" man="1"/>
    <brk id="235" max="15" man="1"/>
    <brk id="266" max="15" man="1"/>
    <brk id="297" max="15" man="1"/>
    <brk id="328" max="15" man="1"/>
    <brk id="360" max="16383" man="1"/>
    <brk id="390" max="16383" man="1"/>
    <brk id="421" max="16383" man="1"/>
    <brk id="45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K1210"/>
  <sheetViews>
    <sheetView zoomScale="110" zoomScaleNormal="110" workbookViewId="0">
      <selection activeCell="B7" sqref="B7"/>
    </sheetView>
  </sheetViews>
  <sheetFormatPr defaultColWidth="9.140625" defaultRowHeight="11.25" x14ac:dyDescent="0.2"/>
  <cols>
    <col min="1" max="1" width="4.5703125" style="146" customWidth="1"/>
    <col min="2" max="2" width="31.85546875" style="146" customWidth="1"/>
    <col min="3" max="3" width="5.7109375" style="168" customWidth="1"/>
    <col min="4" max="4" width="16.5703125" style="157" customWidth="1"/>
    <col min="5" max="5" width="15" style="157" customWidth="1"/>
    <col min="6" max="6" width="17.42578125" style="157" customWidth="1"/>
    <col min="7" max="7" width="11.42578125" style="157" customWidth="1"/>
    <col min="8" max="8" width="14.42578125" style="157" customWidth="1"/>
    <col min="9" max="9" width="13.7109375" style="157" bestFit="1" customWidth="1"/>
    <col min="10" max="10" width="3.42578125" style="128" customWidth="1"/>
    <col min="11" max="11" width="12.28515625" style="148" bestFit="1" customWidth="1"/>
    <col min="12" max="12" width="14.5703125" style="148" bestFit="1" customWidth="1"/>
    <col min="13" max="13" width="12.28515625" style="148" bestFit="1" customWidth="1"/>
    <col min="14" max="14" width="11.28515625" style="148" customWidth="1"/>
    <col min="15" max="15" width="13.28515625" style="148" customWidth="1"/>
    <col min="16" max="16" width="15.28515625" style="148" customWidth="1"/>
    <col min="17" max="18" width="13.28515625" style="148" customWidth="1"/>
    <col min="19" max="19" width="12.28515625" style="148" bestFit="1" customWidth="1"/>
    <col min="20" max="20" width="2.7109375" style="148" customWidth="1"/>
    <col min="21" max="21" width="14.42578125" style="148" bestFit="1" customWidth="1"/>
    <col min="22" max="141" width="9.140625" style="148"/>
    <col min="142" max="16384" width="9.140625" style="146"/>
  </cols>
  <sheetData>
    <row r="1" spans="1:141" ht="12" thickBot="1" x14ac:dyDescent="0.25"/>
    <row r="2" spans="1:141" x14ac:dyDescent="0.2">
      <c r="B2" s="376" t="s">
        <v>142</v>
      </c>
    </row>
    <row r="3" spans="1:141" x14ac:dyDescent="0.2">
      <c r="B3" s="377" t="s">
        <v>143</v>
      </c>
    </row>
    <row r="4" spans="1:141" x14ac:dyDescent="0.2">
      <c r="B4" s="378" t="s">
        <v>183</v>
      </c>
    </row>
    <row r="5" spans="1:141" x14ac:dyDescent="0.2">
      <c r="B5" s="378" t="s">
        <v>145</v>
      </c>
    </row>
    <row r="6" spans="1:141" ht="12" thickBot="1" x14ac:dyDescent="0.25">
      <c r="B6" s="379" t="s">
        <v>188</v>
      </c>
    </row>
    <row r="7" spans="1:141" x14ac:dyDescent="0.2">
      <c r="B7" s="383"/>
    </row>
    <row r="8" spans="1:141" ht="12.75" customHeight="1" x14ac:dyDescent="0.2">
      <c r="A8" s="393" t="s">
        <v>131</v>
      </c>
      <c r="B8" s="388"/>
      <c r="C8" s="388"/>
      <c r="D8" s="388"/>
      <c r="E8" s="388"/>
      <c r="F8" s="388"/>
      <c r="G8" s="388"/>
      <c r="H8" s="388"/>
      <c r="I8" s="388"/>
      <c r="J8" s="388"/>
      <c r="K8" s="388"/>
      <c r="L8" s="388"/>
      <c r="M8" s="388"/>
      <c r="N8" s="388"/>
      <c r="O8" s="388"/>
      <c r="P8" s="388"/>
      <c r="Q8" s="388"/>
      <c r="R8" s="388"/>
      <c r="S8" s="388"/>
      <c r="T8" s="388"/>
      <c r="U8" s="388"/>
    </row>
    <row r="9" spans="1:141" ht="12.75" customHeight="1" x14ac:dyDescent="0.2">
      <c r="A9" s="393" t="s">
        <v>76</v>
      </c>
      <c r="B9" s="393"/>
      <c r="C9" s="393"/>
      <c r="D9" s="393"/>
      <c r="E9" s="393"/>
      <c r="F9" s="393"/>
      <c r="G9" s="393"/>
      <c r="H9" s="393"/>
      <c r="I9" s="393"/>
      <c r="J9" s="393"/>
      <c r="K9" s="393"/>
      <c r="L9" s="393"/>
      <c r="M9" s="393"/>
      <c r="N9" s="393"/>
      <c r="O9" s="393"/>
      <c r="P9" s="393"/>
      <c r="Q9" s="393"/>
      <c r="R9" s="393"/>
      <c r="S9" s="393"/>
      <c r="T9" s="393"/>
      <c r="U9" s="393"/>
    </row>
    <row r="10" spans="1:141" ht="12.75" customHeight="1" x14ac:dyDescent="0.2">
      <c r="A10" s="393" t="s">
        <v>107</v>
      </c>
      <c r="B10" s="393"/>
      <c r="C10" s="393"/>
      <c r="D10" s="393"/>
      <c r="E10" s="393"/>
      <c r="F10" s="393"/>
      <c r="G10" s="393"/>
      <c r="H10" s="393"/>
      <c r="I10" s="393"/>
      <c r="J10" s="393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</row>
    <row r="11" spans="1:141" x14ac:dyDescent="0.2">
      <c r="B11" s="124"/>
      <c r="C11" s="373"/>
      <c r="D11" s="373"/>
      <c r="E11" s="373"/>
      <c r="F11" s="231"/>
      <c r="G11" s="231"/>
      <c r="H11" s="373"/>
      <c r="I11" s="373"/>
      <c r="J11" s="374"/>
    </row>
    <row r="12" spans="1:141" x14ac:dyDescent="0.2">
      <c r="B12" s="124"/>
      <c r="D12" s="345"/>
      <c r="E12" s="177"/>
      <c r="F12" s="177"/>
      <c r="G12" s="177"/>
    </row>
    <row r="13" spans="1:141" ht="33.75" x14ac:dyDescent="0.2">
      <c r="A13" s="373" t="s">
        <v>20</v>
      </c>
      <c r="B13" s="375" t="s">
        <v>0</v>
      </c>
      <c r="C13" s="375" t="s">
        <v>19</v>
      </c>
      <c r="D13" s="233" t="s">
        <v>83</v>
      </c>
      <c r="E13" s="233" t="s">
        <v>82</v>
      </c>
      <c r="F13" s="232" t="s">
        <v>81</v>
      </c>
      <c r="G13" s="232" t="s">
        <v>99</v>
      </c>
      <c r="H13" s="233" t="s">
        <v>84</v>
      </c>
      <c r="I13" s="233" t="s">
        <v>78</v>
      </c>
      <c r="J13" s="346"/>
      <c r="K13" s="347" t="s">
        <v>77</v>
      </c>
      <c r="L13" s="347" t="s">
        <v>85</v>
      </c>
      <c r="M13" s="347" t="s">
        <v>121</v>
      </c>
      <c r="N13" s="347" t="s">
        <v>79</v>
      </c>
      <c r="O13" s="347" t="s">
        <v>80</v>
      </c>
      <c r="P13" s="347" t="s">
        <v>89</v>
      </c>
      <c r="Q13" s="347" t="s">
        <v>86</v>
      </c>
      <c r="R13" s="347" t="s">
        <v>137</v>
      </c>
      <c r="S13" s="348" t="s">
        <v>88</v>
      </c>
      <c r="T13" s="348"/>
      <c r="U13" s="349" t="s">
        <v>94</v>
      </c>
    </row>
    <row r="14" spans="1:141" x14ac:dyDescent="0.2">
      <c r="B14" s="375"/>
      <c r="C14" s="375"/>
      <c r="D14" s="164"/>
      <c r="E14" s="164"/>
      <c r="F14" s="164"/>
      <c r="G14" s="164"/>
      <c r="H14" s="164"/>
      <c r="I14" s="164"/>
      <c r="J14" s="193"/>
      <c r="W14" s="148" t="s">
        <v>106</v>
      </c>
    </row>
    <row r="15" spans="1:141" s="129" customFormat="1" x14ac:dyDescent="0.2">
      <c r="A15" s="141" t="s">
        <v>21</v>
      </c>
      <c r="B15" s="129" t="s">
        <v>29</v>
      </c>
      <c r="C15" s="143" t="s">
        <v>16</v>
      </c>
      <c r="D15" s="149">
        <f>'[6]TCC Sales Elec Base Rate Custom'!$T$71+'[5]II-H-4.1 Functions'!$D$8</f>
        <v>32912478.960000001</v>
      </c>
      <c r="E15" s="149">
        <f>'[6]TCC Sales Elec Base Rate Meter '!$T$40+'[5]II-H-4.1 Functions'!$E$8</f>
        <v>40180076.960000001</v>
      </c>
      <c r="F15" s="149">
        <f>SUM('[6]TCC Sales Elec Base Rate Dist T'!$H$166:$S$166)+'[5]II-H-4.1 Functions'!$F$8</f>
        <v>178170704.65999997</v>
      </c>
      <c r="G15" s="149"/>
      <c r="H15" s="149">
        <f>SUM('[6]TCC Sales Elec Base Rate Dist T'!$T$166:$AE$166)+'[5]II-H-4.1 Functions'!$H$8</f>
        <v>63989338.81000001</v>
      </c>
      <c r="I15" s="149">
        <f>H15+F15+E15+D15+G15</f>
        <v>315252599.38999993</v>
      </c>
      <c r="J15" s="194"/>
      <c r="K15" s="194">
        <f>-'II-H-4.1 Monthly'!P113</f>
        <v>6852076.4600000009</v>
      </c>
      <c r="L15" s="194">
        <f>-'II-H-4.1 Monthly'!P146</f>
        <v>114747206.58999999</v>
      </c>
      <c r="M15" s="194">
        <f>-'II-H-4.1 Monthly'!P336</f>
        <v>38120918.289999992</v>
      </c>
      <c r="N15" s="194">
        <f>-'II-H-4.1 Monthly'!P179</f>
        <v>0</v>
      </c>
      <c r="O15" s="194">
        <f>-'II-H-4.1 Monthly'!P305</f>
        <v>95799428.370000005</v>
      </c>
      <c r="P15" s="194">
        <f>-'II-H-4.1 Monthly'!P212</f>
        <v>-8840.33</v>
      </c>
      <c r="Q15" s="194">
        <f>-'II-H-4.1 Monthly'!P243</f>
        <v>23799601.610000003</v>
      </c>
      <c r="R15" s="194">
        <f>-'II-H-4.1 Monthly'!P274</f>
        <v>-524890.6</v>
      </c>
      <c r="S15" s="194">
        <f>SUM(K15:R15)</f>
        <v>278785500.38999993</v>
      </c>
      <c r="T15" s="194"/>
      <c r="U15" s="194">
        <f>S15+I15</f>
        <v>594038099.77999985</v>
      </c>
      <c r="W15" s="350">
        <f>-F49/F15</f>
        <v>2.4483062175256261E-2</v>
      </c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7"/>
      <c r="BR15" s="117"/>
      <c r="BS15" s="117"/>
      <c r="BT15" s="117"/>
      <c r="BU15" s="117"/>
      <c r="BV15" s="117"/>
      <c r="BW15" s="117"/>
      <c r="BX15" s="117"/>
      <c r="BY15" s="117"/>
      <c r="BZ15" s="117"/>
      <c r="CA15" s="117"/>
      <c r="CB15" s="117"/>
      <c r="CC15" s="117"/>
      <c r="CD15" s="117"/>
      <c r="CE15" s="117"/>
      <c r="CF15" s="117"/>
      <c r="CG15" s="117"/>
      <c r="CH15" s="117"/>
      <c r="CI15" s="117"/>
      <c r="CJ15" s="117"/>
      <c r="CK15" s="117"/>
      <c r="CL15" s="117"/>
      <c r="CM15" s="117"/>
      <c r="CN15" s="117"/>
      <c r="CO15" s="117"/>
      <c r="CP15" s="117"/>
      <c r="CQ15" s="117"/>
      <c r="CR15" s="117"/>
      <c r="CS15" s="117"/>
      <c r="CT15" s="117"/>
      <c r="CU15" s="117"/>
      <c r="CV15" s="117"/>
      <c r="CW15" s="117"/>
      <c r="CX15" s="117"/>
      <c r="CY15" s="117"/>
      <c r="CZ15" s="117"/>
      <c r="DA15" s="117"/>
      <c r="DB15" s="117"/>
      <c r="DC15" s="117"/>
      <c r="DD15" s="117"/>
      <c r="DE15" s="117"/>
      <c r="DF15" s="117"/>
      <c r="DG15" s="117"/>
      <c r="DH15" s="117"/>
      <c r="DI15" s="117"/>
      <c r="DJ15" s="117"/>
      <c r="DK15" s="117"/>
      <c r="DL15" s="117"/>
      <c r="DM15" s="117"/>
      <c r="DN15" s="117"/>
      <c r="DO15" s="117"/>
      <c r="DP15" s="117"/>
      <c r="DQ15" s="117"/>
      <c r="DR15" s="117"/>
      <c r="DS15" s="117"/>
      <c r="DT15" s="117"/>
      <c r="DU15" s="117"/>
      <c r="DV15" s="117"/>
      <c r="DW15" s="117"/>
      <c r="DX15" s="117"/>
      <c r="DY15" s="117"/>
      <c r="DZ15" s="117"/>
      <c r="EA15" s="117"/>
      <c r="EB15" s="117"/>
      <c r="EC15" s="117"/>
      <c r="ED15" s="117"/>
      <c r="EE15" s="117"/>
      <c r="EF15" s="117"/>
      <c r="EG15" s="117"/>
      <c r="EH15" s="117"/>
      <c r="EI15" s="117"/>
      <c r="EJ15" s="117"/>
      <c r="EK15" s="117"/>
    </row>
    <row r="16" spans="1:141" s="129" customFormat="1" x14ac:dyDescent="0.2">
      <c r="C16" s="143"/>
      <c r="D16" s="171"/>
      <c r="E16" s="171"/>
      <c r="F16" s="171"/>
      <c r="G16" s="171"/>
      <c r="H16" s="171"/>
      <c r="I16" s="171"/>
      <c r="J16" s="197"/>
      <c r="K16" s="117"/>
      <c r="L16" s="117"/>
      <c r="M16" s="117"/>
      <c r="N16" s="195"/>
      <c r="O16" s="117"/>
      <c r="P16" s="117"/>
      <c r="Q16" s="117"/>
      <c r="R16" s="117"/>
      <c r="S16" s="117"/>
      <c r="T16" s="117"/>
      <c r="U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  <c r="BY16" s="117"/>
      <c r="BZ16" s="117"/>
      <c r="CA16" s="117"/>
      <c r="CB16" s="117"/>
      <c r="CC16" s="117"/>
      <c r="CD16" s="117"/>
      <c r="CE16" s="117"/>
      <c r="CF16" s="117"/>
      <c r="CG16" s="117"/>
      <c r="CH16" s="117"/>
      <c r="CI16" s="117"/>
      <c r="CJ16" s="117"/>
      <c r="CK16" s="117"/>
      <c r="CL16" s="117"/>
      <c r="CM16" s="117"/>
      <c r="CN16" s="117"/>
      <c r="CO16" s="117"/>
      <c r="CP16" s="117"/>
      <c r="CQ16" s="117"/>
      <c r="CR16" s="117"/>
      <c r="CS16" s="117"/>
      <c r="CT16" s="117"/>
      <c r="CU16" s="117"/>
      <c r="CV16" s="117"/>
      <c r="CW16" s="117"/>
      <c r="CX16" s="117"/>
      <c r="CY16" s="117"/>
      <c r="CZ16" s="117"/>
      <c r="DA16" s="117"/>
      <c r="DB16" s="117"/>
      <c r="DC16" s="117"/>
      <c r="DD16" s="117"/>
      <c r="DE16" s="117"/>
      <c r="DF16" s="117"/>
      <c r="DG16" s="117"/>
      <c r="DH16" s="117"/>
      <c r="DI16" s="117"/>
      <c r="DJ16" s="117"/>
      <c r="DK16" s="117"/>
      <c r="DL16" s="117"/>
      <c r="DM16" s="117"/>
      <c r="DN16" s="117"/>
      <c r="DO16" s="117"/>
      <c r="DP16" s="117"/>
      <c r="DQ16" s="117"/>
      <c r="DR16" s="117"/>
      <c r="DS16" s="117"/>
      <c r="DT16" s="117"/>
      <c r="DU16" s="117"/>
      <c r="DV16" s="117"/>
      <c r="DW16" s="117"/>
      <c r="DX16" s="117"/>
      <c r="DY16" s="117"/>
      <c r="DZ16" s="117"/>
      <c r="EA16" s="117"/>
      <c r="EB16" s="117"/>
      <c r="EC16" s="117"/>
      <c r="ED16" s="117"/>
      <c r="EE16" s="117"/>
      <c r="EF16" s="117"/>
      <c r="EG16" s="117"/>
      <c r="EH16" s="117"/>
      <c r="EI16" s="117"/>
      <c r="EJ16" s="117"/>
      <c r="EK16" s="117"/>
    </row>
    <row r="17" spans="1:141" s="129" customFormat="1" x14ac:dyDescent="0.2">
      <c r="A17" s="141">
        <v>2</v>
      </c>
      <c r="B17" s="129" t="s">
        <v>32</v>
      </c>
      <c r="C17" s="143" t="s">
        <v>16</v>
      </c>
      <c r="D17" s="122">
        <f>'[6]TCC Sales Elec Base Rate Custom'!$T$11+'[5]II-H-4.1 Functions'!$D$10</f>
        <v>3738616.8600000003</v>
      </c>
      <c r="E17" s="122">
        <f>'[6]TCC Sales Elec Base Rate Meter '!$T$8+'[5]II-H-4.1 Functions'!$E$10</f>
        <v>5038057.16</v>
      </c>
      <c r="F17" s="122">
        <f>SUM('[6]TCC Sales Elec Base Rate Dist T'!$H$19:$S$19)+'[5]II-H-4.1 Functions'!$F$10</f>
        <v>11328181.140000001</v>
      </c>
      <c r="G17" s="122"/>
      <c r="H17" s="122">
        <f>SUM('[6]TCC Sales Elec Base Rate Dist T'!$T$19:$AE$19)+'[5]II-H-4.1 Functions'!$H$10</f>
        <v>1548795.42</v>
      </c>
      <c r="I17" s="122">
        <f t="shared" ref="I17:I20" si="0">H17+F17+E17+D17+G17</f>
        <v>21653650.579999998</v>
      </c>
      <c r="J17" s="142"/>
      <c r="K17" s="195">
        <f>-'II-H-4.1 Monthly'!P115</f>
        <v>139559</v>
      </c>
      <c r="L17" s="195">
        <f>-'II-H-4.1 Monthly'!P148</f>
        <v>10869601.220000003</v>
      </c>
      <c r="M17" s="195">
        <f>-'II-H-4.1 Monthly'!P338</f>
        <v>5077510.0100000007</v>
      </c>
      <c r="N17" s="195">
        <f>-'II-H-4.1 Monthly'!P181</f>
        <v>0</v>
      </c>
      <c r="O17" s="142">
        <f>-'II-H-4.1 Monthly'!P307</f>
        <v>2695806.9899999998</v>
      </c>
      <c r="P17" s="195">
        <f>-'II-H-4.1 Monthly'!P214</f>
        <v>-7355.89</v>
      </c>
      <c r="Q17" s="194">
        <f>-'II-H-4.1 Monthly'!P245</f>
        <v>4429023.3100000005</v>
      </c>
      <c r="R17" s="194">
        <f>-'II-H-4.1 Monthly'!P276</f>
        <v>-36322.54</v>
      </c>
      <c r="S17" s="142">
        <f>SUM(K17:R17)</f>
        <v>23167822.100000001</v>
      </c>
      <c r="T17" s="142"/>
      <c r="U17" s="142">
        <f>S17+I17</f>
        <v>44821472.68</v>
      </c>
      <c r="W17" s="350">
        <f>-F51/F17</f>
        <v>1.4187966100972851E-2</v>
      </c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A17" s="117"/>
      <c r="CB17" s="117"/>
      <c r="CC17" s="117"/>
      <c r="CD17" s="117"/>
      <c r="CE17" s="117"/>
      <c r="CF17" s="117"/>
      <c r="CG17" s="117"/>
      <c r="CH17" s="117"/>
      <c r="CI17" s="117"/>
      <c r="CJ17" s="117"/>
      <c r="CK17" s="117"/>
      <c r="CL17" s="117"/>
      <c r="CM17" s="117"/>
      <c r="CN17" s="117"/>
      <c r="CO17" s="117"/>
      <c r="CP17" s="117"/>
      <c r="CQ17" s="117"/>
      <c r="CR17" s="117"/>
      <c r="CS17" s="117"/>
      <c r="CT17" s="117"/>
      <c r="CU17" s="117"/>
      <c r="CV17" s="117"/>
      <c r="CW17" s="117"/>
      <c r="CX17" s="117"/>
      <c r="CY17" s="117"/>
      <c r="CZ17" s="117"/>
      <c r="DA17" s="117"/>
      <c r="DB17" s="117"/>
      <c r="DC17" s="117"/>
      <c r="DD17" s="117"/>
      <c r="DE17" s="117"/>
      <c r="DF17" s="117"/>
      <c r="DG17" s="117"/>
      <c r="DH17" s="117"/>
      <c r="DI17" s="117"/>
      <c r="DJ17" s="117"/>
      <c r="DK17" s="117"/>
      <c r="DL17" s="117"/>
      <c r="DM17" s="117"/>
      <c r="DN17" s="117"/>
      <c r="DO17" s="117"/>
      <c r="DP17" s="117"/>
      <c r="DQ17" s="117"/>
      <c r="DR17" s="117"/>
      <c r="DS17" s="117"/>
      <c r="DT17" s="117"/>
      <c r="DU17" s="117"/>
      <c r="DV17" s="117"/>
      <c r="DW17" s="117"/>
      <c r="DX17" s="117"/>
      <c r="DY17" s="117"/>
      <c r="DZ17" s="117"/>
      <c r="EA17" s="117"/>
      <c r="EB17" s="117"/>
      <c r="EC17" s="117"/>
      <c r="ED17" s="117"/>
      <c r="EE17" s="117"/>
      <c r="EF17" s="117"/>
      <c r="EG17" s="117"/>
      <c r="EH17" s="117"/>
      <c r="EI17" s="117"/>
      <c r="EJ17" s="117"/>
      <c r="EK17" s="117"/>
    </row>
    <row r="18" spans="1:141" s="129" customFormat="1" x14ac:dyDescent="0.2">
      <c r="A18" s="141"/>
      <c r="C18" s="143"/>
      <c r="D18" s="122"/>
      <c r="E18" s="122"/>
      <c r="F18" s="122"/>
      <c r="G18" s="122"/>
      <c r="H18" s="122"/>
      <c r="I18" s="122">
        <f t="shared" si="0"/>
        <v>0</v>
      </c>
      <c r="J18" s="142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42"/>
      <c r="W18" s="350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117"/>
      <c r="BT18" s="117"/>
      <c r="BU18" s="117"/>
      <c r="BV18" s="117"/>
      <c r="BW18" s="117"/>
      <c r="BX18" s="117"/>
      <c r="BY18" s="117"/>
      <c r="BZ18" s="117"/>
      <c r="CA18" s="117"/>
      <c r="CB18" s="117"/>
      <c r="CC18" s="117"/>
      <c r="CD18" s="117"/>
      <c r="CE18" s="117"/>
      <c r="CF18" s="117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/>
      <c r="CS18" s="117"/>
      <c r="CT18" s="117"/>
      <c r="CU18" s="117"/>
      <c r="CV18" s="117"/>
      <c r="CW18" s="117"/>
      <c r="CX18" s="117"/>
      <c r="CY18" s="117"/>
      <c r="CZ18" s="117"/>
      <c r="DA18" s="117"/>
      <c r="DB18" s="117"/>
      <c r="DC18" s="117"/>
      <c r="DD18" s="117"/>
      <c r="DE18" s="117"/>
      <c r="DF18" s="117"/>
      <c r="DG18" s="117"/>
      <c r="DH18" s="117"/>
      <c r="DI18" s="117"/>
      <c r="DJ18" s="117"/>
      <c r="DK18" s="117"/>
      <c r="DL18" s="117"/>
      <c r="DM18" s="117"/>
      <c r="DN18" s="117"/>
      <c r="DO18" s="117"/>
      <c r="DP18" s="117"/>
      <c r="DQ18" s="117"/>
      <c r="DR18" s="117"/>
      <c r="DS18" s="117"/>
      <c r="DT18" s="117"/>
      <c r="DU18" s="117"/>
      <c r="DV18" s="117"/>
      <c r="DW18" s="117"/>
      <c r="DX18" s="117"/>
      <c r="DY18" s="117"/>
      <c r="DZ18" s="117"/>
      <c r="EA18" s="117"/>
      <c r="EB18" s="117"/>
      <c r="EC18" s="117"/>
      <c r="ED18" s="117"/>
      <c r="EE18" s="117"/>
      <c r="EF18" s="117"/>
      <c r="EG18" s="117"/>
      <c r="EH18" s="117"/>
      <c r="EI18" s="117"/>
      <c r="EJ18" s="117"/>
      <c r="EK18" s="117"/>
    </row>
    <row r="19" spans="1:141" s="129" customFormat="1" x14ac:dyDescent="0.2">
      <c r="A19" s="141">
        <v>3</v>
      </c>
      <c r="B19" s="146" t="s">
        <v>113</v>
      </c>
      <c r="C19" s="125" t="s">
        <v>16</v>
      </c>
      <c r="D19" s="142">
        <f>'[6]TCC Sales Elec Base Rate Custom'!$T$29+'[5]II-H-4.1 Functions'!$D$12</f>
        <v>2974475.07</v>
      </c>
      <c r="E19" s="142">
        <f>'[6]TCC Sales Elec Base Rate Meter '!$T$26+'[5]II-H-4.1 Functions'!$E$12</f>
        <v>14108041</v>
      </c>
      <c r="F19" s="142">
        <f>SUM('[6]TCC Sales Elec Base Rate Dist T'!$H$55:$S$55)+'[5]II-H-4.1 Functions'!$F$12</f>
        <v>108955679.2</v>
      </c>
      <c r="G19" s="142">
        <v>0</v>
      </c>
      <c r="H19" s="142">
        <f>SUM('[6]TCC Sales Elec Base Rate Dist T'!$T$55:$AE$55)+'[5]II-H-4.1 Functions'!$H$12</f>
        <v>36701168.18</v>
      </c>
      <c r="I19" s="122">
        <f t="shared" si="0"/>
        <v>162739363.44999999</v>
      </c>
      <c r="J19" s="142"/>
      <c r="K19" s="195">
        <f>-'II-H-4.1 Monthly'!P117</f>
        <v>3502203.93</v>
      </c>
      <c r="L19" s="195">
        <f>-'II-H-4.1 Monthly'!P150</f>
        <v>97782093.670000002</v>
      </c>
      <c r="M19" s="195">
        <f>-'II-H-4.1 Monthly'!P340</f>
        <v>21514315.939999998</v>
      </c>
      <c r="N19" s="195">
        <f>-'II-H-4.1 Monthly'!P183</f>
        <v>0</v>
      </c>
      <c r="O19" s="142">
        <f>-'II-H-4.1 Monthly'!P309</f>
        <v>59877724.68</v>
      </c>
      <c r="P19" s="195">
        <f>-'II-H-4.1 Monthly'!P216</f>
        <v>-162767.70000000001</v>
      </c>
      <c r="Q19" s="194">
        <f>-'II-H-4.1 Monthly'!P247</f>
        <v>1671203.2399999998</v>
      </c>
      <c r="R19" s="194">
        <f>-'II-H-4.1 Monthly'!P278</f>
        <v>-272150.19</v>
      </c>
      <c r="S19" s="142">
        <f>SUM(K19:R19)</f>
        <v>183912623.57000002</v>
      </c>
      <c r="T19" s="142"/>
      <c r="U19" s="142">
        <f>S19+I19</f>
        <v>346651987.01999998</v>
      </c>
      <c r="W19" s="350">
        <f>-F53/F19</f>
        <v>2.3489827412319048E-2</v>
      </c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117"/>
      <c r="BT19" s="117"/>
      <c r="BU19" s="117"/>
      <c r="BV19" s="117"/>
      <c r="BW19" s="117"/>
      <c r="BX19" s="117"/>
      <c r="BY19" s="117"/>
      <c r="BZ19" s="117"/>
      <c r="CA19" s="117"/>
      <c r="CB19" s="117"/>
      <c r="CC19" s="117"/>
      <c r="CD19" s="117"/>
      <c r="CE19" s="117"/>
      <c r="CF19" s="117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/>
      <c r="CR19" s="117"/>
      <c r="CS19" s="117"/>
      <c r="CT19" s="117"/>
      <c r="CU19" s="117"/>
      <c r="CV19" s="117"/>
      <c r="CW19" s="117"/>
      <c r="CX19" s="117"/>
      <c r="CY19" s="117"/>
      <c r="CZ19" s="117"/>
      <c r="DA19" s="117"/>
      <c r="DB19" s="117"/>
      <c r="DC19" s="117"/>
      <c r="DD19" s="117"/>
      <c r="DE19" s="117"/>
      <c r="DF19" s="117"/>
      <c r="DG19" s="117"/>
      <c r="DH19" s="117"/>
      <c r="DI19" s="117"/>
      <c r="DJ19" s="117"/>
      <c r="DK19" s="117"/>
      <c r="DL19" s="117"/>
      <c r="DM19" s="117"/>
      <c r="DN19" s="117"/>
      <c r="DO19" s="117"/>
      <c r="DP19" s="117"/>
      <c r="DQ19" s="117"/>
      <c r="DR19" s="117"/>
      <c r="DS19" s="117"/>
      <c r="DT19" s="117"/>
      <c r="DU19" s="117"/>
      <c r="DV19" s="117"/>
      <c r="DW19" s="117"/>
      <c r="DX19" s="117"/>
      <c r="DY19" s="117"/>
      <c r="DZ19" s="117"/>
      <c r="EA19" s="117"/>
      <c r="EB19" s="117"/>
      <c r="EC19" s="117"/>
      <c r="ED19" s="117"/>
      <c r="EE19" s="117"/>
      <c r="EF19" s="117"/>
      <c r="EG19" s="117"/>
      <c r="EH19" s="117"/>
      <c r="EI19" s="117"/>
      <c r="EJ19" s="117"/>
      <c r="EK19" s="117"/>
    </row>
    <row r="20" spans="1:141" s="129" customFormat="1" x14ac:dyDescent="0.2">
      <c r="A20" s="141">
        <v>4</v>
      </c>
      <c r="B20" s="146" t="s">
        <v>114</v>
      </c>
      <c r="C20" s="125" t="s">
        <v>16</v>
      </c>
      <c r="D20" s="123">
        <f>'[6]TCC Sales Elec Base Rate Custom'!$T$20+'[5]II-H-4.1 Functions'!$D$13</f>
        <v>157765.39000000001</v>
      </c>
      <c r="E20" s="123">
        <f>'[6]TCC Sales Elec Base Rate Meter '!$T$17+'[5]II-H-4.1 Functions'!$E$13</f>
        <v>131323.72</v>
      </c>
      <c r="F20" s="123">
        <f>SUM('[6]TCC Sales Elec Base Rate Dist T'!$H$37:$S$37)+'[5]II-H-4.1 Functions'!$F$13</f>
        <v>11243079.140000001</v>
      </c>
      <c r="G20" s="123"/>
      <c r="H20" s="123">
        <f>SUM('[6]TCC Sales Elec Base Rate Dist T'!$T$37:$AE$37)+'[5]II-H-4.1 Functions'!$H$13</f>
        <v>4133847.0599999996</v>
      </c>
      <c r="I20" s="123">
        <f t="shared" si="0"/>
        <v>15666015.310000001</v>
      </c>
      <c r="J20" s="142"/>
      <c r="K20" s="196">
        <f>-'II-H-4.1 Monthly'!P118</f>
        <v>556575.63</v>
      </c>
      <c r="L20" s="196">
        <f>-'II-H-4.1 Monthly'!P151</f>
        <v>8300549.8599999994</v>
      </c>
      <c r="M20" s="196">
        <f>-'II-H-4.1 Monthly'!P341</f>
        <v>2276327.1599999997</v>
      </c>
      <c r="N20" s="196">
        <f>-'II-H-4.1 Monthly'!P184</f>
        <v>0</v>
      </c>
      <c r="O20" s="123">
        <f>-'II-H-4.1 Monthly'!P310</f>
        <v>5232799.9700000007</v>
      </c>
      <c r="P20" s="196">
        <f>-'II-H-4.1 Monthly'!P217</f>
        <v>-46593.72</v>
      </c>
      <c r="Q20" s="196">
        <f>'II-H-4.1 Monthly'!P248</f>
        <v>0</v>
      </c>
      <c r="R20" s="247">
        <f>-'II-H-4.1 Monthly'!P279</f>
        <v>-25654.91</v>
      </c>
      <c r="S20" s="123">
        <f>SUM(K20:R20)</f>
        <v>16294003.99</v>
      </c>
      <c r="T20" s="142"/>
      <c r="U20" s="123">
        <f>S20+I20</f>
        <v>31960019.300000001</v>
      </c>
      <c r="W20" s="350">
        <f>-F54/F20</f>
        <v>2.2712336791396101E-2</v>
      </c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17"/>
      <c r="BS20" s="117"/>
      <c r="BT20" s="117"/>
      <c r="BU20" s="117"/>
      <c r="BV20" s="117"/>
      <c r="BW20" s="117"/>
      <c r="BX20" s="117"/>
      <c r="BY20" s="117"/>
      <c r="BZ20" s="117"/>
      <c r="CA20" s="117"/>
      <c r="CB20" s="117"/>
      <c r="CC20" s="117"/>
      <c r="CD20" s="117"/>
      <c r="CE20" s="117"/>
      <c r="CF20" s="117"/>
      <c r="CG20" s="117"/>
      <c r="CH20" s="117"/>
      <c r="CI20" s="117"/>
      <c r="CJ20" s="117"/>
      <c r="CK20" s="117"/>
      <c r="CL20" s="117"/>
      <c r="CM20" s="117"/>
      <c r="CN20" s="117"/>
      <c r="CO20" s="117"/>
      <c r="CP20" s="117"/>
      <c r="CQ20" s="117"/>
      <c r="CR20" s="117"/>
      <c r="CS20" s="117"/>
      <c r="CT20" s="117"/>
      <c r="CU20" s="117"/>
      <c r="CV20" s="117"/>
      <c r="CW20" s="117"/>
      <c r="CX20" s="117"/>
      <c r="CY20" s="117"/>
      <c r="CZ20" s="117"/>
      <c r="DA20" s="117"/>
      <c r="DB20" s="117"/>
      <c r="DC20" s="117"/>
      <c r="DD20" s="117"/>
      <c r="DE20" s="117"/>
      <c r="DF20" s="117"/>
      <c r="DG20" s="117"/>
      <c r="DH20" s="117"/>
      <c r="DI20" s="117"/>
      <c r="DJ20" s="117"/>
      <c r="DK20" s="117"/>
      <c r="DL20" s="117"/>
      <c r="DM20" s="117"/>
      <c r="DN20" s="117"/>
      <c r="DO20" s="117"/>
      <c r="DP20" s="117"/>
      <c r="DQ20" s="117"/>
      <c r="DR20" s="117"/>
      <c r="DS20" s="117"/>
      <c r="DT20" s="117"/>
      <c r="DU20" s="117"/>
      <c r="DV20" s="117"/>
      <c r="DW20" s="117"/>
      <c r="DX20" s="117"/>
      <c r="DY20" s="117"/>
      <c r="DZ20" s="117"/>
      <c r="EA20" s="117"/>
      <c r="EB20" s="117"/>
      <c r="EC20" s="117"/>
      <c r="ED20" s="117"/>
      <c r="EE20" s="117"/>
      <c r="EF20" s="117"/>
      <c r="EG20" s="117"/>
      <c r="EH20" s="117"/>
      <c r="EI20" s="117"/>
      <c r="EJ20" s="117"/>
      <c r="EK20" s="117"/>
    </row>
    <row r="21" spans="1:141" s="129" customFormat="1" x14ac:dyDescent="0.2">
      <c r="A21" s="141">
        <v>5</v>
      </c>
      <c r="B21" s="162" t="s">
        <v>30</v>
      </c>
      <c r="C21" s="143"/>
      <c r="D21" s="157">
        <f>SUM(D19:D20)</f>
        <v>3132240.46</v>
      </c>
      <c r="E21" s="157">
        <f>SUM(E19:E20)</f>
        <v>14239364.720000001</v>
      </c>
      <c r="F21" s="157">
        <f>SUM(F19:F20)</f>
        <v>120198758.34</v>
      </c>
      <c r="G21" s="157"/>
      <c r="H21" s="157">
        <f>SUM(H19:H20)</f>
        <v>40835015.240000002</v>
      </c>
      <c r="I21" s="157">
        <f>SUM(I19:I20)</f>
        <v>178405378.75999999</v>
      </c>
      <c r="J21" s="128"/>
      <c r="K21" s="157">
        <f t="shared" ref="K21:R21" si="1">SUM(K19:K20)</f>
        <v>4058779.56</v>
      </c>
      <c r="L21" s="157">
        <f t="shared" si="1"/>
        <v>106082643.53</v>
      </c>
      <c r="M21" s="157">
        <f>SUM(M19:M20)</f>
        <v>23790643.099999998</v>
      </c>
      <c r="N21" s="157">
        <f t="shared" si="1"/>
        <v>0</v>
      </c>
      <c r="O21" s="157">
        <f t="shared" si="1"/>
        <v>65110524.649999999</v>
      </c>
      <c r="P21" s="157">
        <f t="shared" si="1"/>
        <v>-209361.42</v>
      </c>
      <c r="Q21" s="157">
        <f t="shared" si="1"/>
        <v>1671203.2399999998</v>
      </c>
      <c r="R21" s="157">
        <f t="shared" si="1"/>
        <v>-297805.09999999998</v>
      </c>
      <c r="S21" s="144">
        <f>SUM(S19:S20)</f>
        <v>200206627.56000003</v>
      </c>
      <c r="T21" s="144"/>
      <c r="U21" s="142">
        <f>S21+I21</f>
        <v>378612006.32000005</v>
      </c>
      <c r="W21" s="350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117"/>
      <c r="BS21" s="117"/>
      <c r="BT21" s="117"/>
      <c r="BU21" s="117"/>
      <c r="BV21" s="117"/>
      <c r="BW21" s="117"/>
      <c r="BX21" s="117"/>
      <c r="BY21" s="117"/>
      <c r="BZ21" s="117"/>
      <c r="CA21" s="117"/>
      <c r="CB21" s="117"/>
      <c r="CC21" s="117"/>
      <c r="CD21" s="117"/>
      <c r="CE21" s="117"/>
      <c r="CF21" s="117"/>
      <c r="CG21" s="117"/>
      <c r="CH21" s="117"/>
      <c r="CI21" s="117"/>
      <c r="CJ21" s="117"/>
      <c r="CK21" s="117"/>
      <c r="CL21" s="117"/>
      <c r="CM21" s="117"/>
      <c r="CN21" s="117"/>
      <c r="CO21" s="117"/>
      <c r="CP21" s="117"/>
      <c r="CQ21" s="117"/>
      <c r="CR21" s="117"/>
      <c r="CS21" s="117"/>
      <c r="CT21" s="117"/>
      <c r="CU21" s="117"/>
      <c r="CV21" s="117"/>
      <c r="CW21" s="117"/>
      <c r="CX21" s="117"/>
      <c r="CY21" s="117"/>
      <c r="CZ21" s="117"/>
      <c r="DA21" s="117"/>
      <c r="DB21" s="117"/>
      <c r="DC21" s="117"/>
      <c r="DD21" s="117"/>
      <c r="DE21" s="117"/>
      <c r="DF21" s="117"/>
      <c r="DG21" s="117"/>
      <c r="DH21" s="117"/>
      <c r="DI21" s="117"/>
      <c r="DJ21" s="117"/>
      <c r="DK21" s="117"/>
      <c r="DL21" s="117"/>
      <c r="DM21" s="117"/>
      <c r="DN21" s="117"/>
      <c r="DO21" s="117"/>
      <c r="DP21" s="117"/>
      <c r="DQ21" s="117"/>
      <c r="DR21" s="117"/>
      <c r="DS21" s="117"/>
      <c r="DT21" s="117"/>
      <c r="DU21" s="117"/>
      <c r="DV21" s="117"/>
      <c r="DW21" s="117"/>
      <c r="DX21" s="117"/>
      <c r="DY21" s="117"/>
      <c r="DZ21" s="117"/>
      <c r="EA21" s="117"/>
      <c r="EB21" s="117"/>
      <c r="EC21" s="117"/>
      <c r="ED21" s="117"/>
      <c r="EE21" s="117"/>
      <c r="EF21" s="117"/>
      <c r="EG21" s="117"/>
      <c r="EH21" s="117"/>
      <c r="EI21" s="117"/>
      <c r="EJ21" s="117"/>
      <c r="EK21" s="117"/>
    </row>
    <row r="22" spans="1:141" s="129" customFormat="1" x14ac:dyDescent="0.2">
      <c r="B22" s="242"/>
      <c r="C22" s="143"/>
      <c r="D22" s="157"/>
      <c r="E22" s="157"/>
      <c r="F22" s="157"/>
      <c r="G22" s="157"/>
      <c r="H22" s="157"/>
      <c r="I22" s="157"/>
      <c r="J22" s="128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42"/>
      <c r="W22" s="350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/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7"/>
      <c r="CA22" s="117"/>
      <c r="CB22" s="117"/>
      <c r="CC22" s="117"/>
      <c r="CD22" s="117"/>
      <c r="CE22" s="117"/>
      <c r="CF22" s="117"/>
      <c r="CG22" s="117"/>
      <c r="CH22" s="117"/>
      <c r="CI22" s="117"/>
      <c r="CJ22" s="117"/>
      <c r="CK22" s="117"/>
      <c r="CL22" s="117"/>
      <c r="CM22" s="117"/>
      <c r="CN22" s="117"/>
      <c r="CO22" s="117"/>
      <c r="CP22" s="117"/>
      <c r="CQ22" s="117"/>
      <c r="CR22" s="117"/>
      <c r="CS22" s="117"/>
      <c r="CT22" s="117"/>
      <c r="CU22" s="117"/>
      <c r="CV22" s="117"/>
      <c r="CW22" s="117"/>
      <c r="CX22" s="117"/>
      <c r="CY22" s="117"/>
      <c r="CZ22" s="117"/>
      <c r="DA22" s="117"/>
      <c r="DB22" s="117"/>
      <c r="DC22" s="117"/>
      <c r="DD22" s="117"/>
      <c r="DE22" s="117"/>
      <c r="DF22" s="117"/>
      <c r="DG22" s="117"/>
      <c r="DH22" s="117"/>
      <c r="DI22" s="117"/>
      <c r="DJ22" s="117"/>
      <c r="DK22" s="117"/>
      <c r="DL22" s="117"/>
      <c r="DM22" s="117"/>
      <c r="DN22" s="117"/>
      <c r="DO22" s="117"/>
      <c r="DP22" s="117"/>
      <c r="DQ22" s="117"/>
      <c r="DR22" s="117"/>
      <c r="DS22" s="117"/>
      <c r="DT22" s="117"/>
      <c r="DU22" s="117"/>
      <c r="DV22" s="117"/>
      <c r="DW22" s="117"/>
      <c r="DX22" s="117"/>
      <c r="DY22" s="117"/>
      <c r="DZ22" s="117"/>
      <c r="EA22" s="117"/>
      <c r="EB22" s="117"/>
      <c r="EC22" s="117"/>
      <c r="ED22" s="117"/>
      <c r="EE22" s="117"/>
      <c r="EF22" s="117"/>
      <c r="EG22" s="117"/>
      <c r="EH22" s="117"/>
      <c r="EI22" s="117"/>
      <c r="EJ22" s="117"/>
      <c r="EK22" s="117"/>
    </row>
    <row r="23" spans="1:141" s="129" customFormat="1" x14ac:dyDescent="0.2">
      <c r="A23" s="141">
        <v>6</v>
      </c>
      <c r="B23" s="146" t="s">
        <v>110</v>
      </c>
      <c r="C23" s="125" t="s">
        <v>17</v>
      </c>
      <c r="D23" s="122">
        <f>'[6]TCC Sales Elec Base Rate Custom'!$T$68+'[5]II-H-4.1 Functions'!$D$16</f>
        <v>27922.929999999989</v>
      </c>
      <c r="E23" s="122">
        <f>'[6]TCC Sales Elec Base Rate Meter '!$T$37+'[5]II-H-4.1 Functions'!$E$16</f>
        <v>1043237.1100000001</v>
      </c>
      <c r="F23" s="122">
        <f>SUM('[6]TCC Sales Elec Base Rate Dist T'!$H$160:$S$160)+'[5]II-H-4.1 Functions'!$F$16</f>
        <v>2316816.4799999995</v>
      </c>
      <c r="G23" s="122"/>
      <c r="H23" s="122">
        <f>SUM('[6]TCC Sales Elec Base Rate Dist T'!$T$160:$AE$160)+'[5]II-H-4.1 Functions'!$H$16</f>
        <v>1127710.5900000001</v>
      </c>
      <c r="I23" s="122">
        <f t="shared" ref="I23:I24" si="2">H23+F23+E23+D23+G23</f>
        <v>4515687.1099999994</v>
      </c>
      <c r="J23" s="142"/>
      <c r="K23" s="195">
        <f>-'II-H-4.1 Monthly'!P121</f>
        <v>66719.89</v>
      </c>
      <c r="L23" s="195">
        <f>-'II-H-4.1 Monthly'!P154</f>
        <v>1755313.71</v>
      </c>
      <c r="M23" s="195">
        <f>-'II-H-4.1 Monthly'!P344</f>
        <v>385027.51999999996</v>
      </c>
      <c r="N23" s="195">
        <f>-'II-H-4.1 Monthly'!P187</f>
        <v>0</v>
      </c>
      <c r="O23" s="142">
        <f>-'II-H-4.1 Monthly'!P313</f>
        <v>2051920.4400000002</v>
      </c>
      <c r="P23" s="195">
        <f>-'II-H-4.1 Monthly'!P220</f>
        <v>-24669.7</v>
      </c>
      <c r="Q23" s="194">
        <f>-'II-H-4.1 Monthly'!P251</f>
        <v>-16292.980000000001</v>
      </c>
      <c r="R23" s="194">
        <f>-'II-H-4.1 Monthly'!P282</f>
        <v>-8620.99</v>
      </c>
      <c r="S23" s="142">
        <f>SUM(K23:R23)</f>
        <v>4209397.8899999987</v>
      </c>
      <c r="T23" s="142"/>
      <c r="U23" s="142">
        <f>S23+I23</f>
        <v>8725084.9999999981</v>
      </c>
      <c r="W23" s="350">
        <f>-F57/F23</f>
        <v>3.6262893813669705E-2</v>
      </c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117"/>
      <c r="BS23" s="117"/>
      <c r="BT23" s="117"/>
      <c r="BU23" s="117"/>
      <c r="BV23" s="117"/>
      <c r="BW23" s="117"/>
      <c r="BX23" s="117"/>
      <c r="BY23" s="117"/>
      <c r="BZ23" s="117"/>
      <c r="CA23" s="117"/>
      <c r="CB23" s="117"/>
      <c r="CC23" s="117"/>
      <c r="CD23" s="117"/>
      <c r="CE23" s="117"/>
      <c r="CF23" s="117"/>
      <c r="CG23" s="117"/>
      <c r="CH23" s="117"/>
      <c r="CI23" s="117"/>
      <c r="CJ23" s="117"/>
      <c r="CK23" s="117"/>
      <c r="CL23" s="117"/>
      <c r="CM23" s="117"/>
      <c r="CN23" s="117"/>
      <c r="CO23" s="117"/>
      <c r="CP23" s="117"/>
      <c r="CQ23" s="117"/>
      <c r="CR23" s="117"/>
      <c r="CS23" s="117"/>
      <c r="CT23" s="117"/>
      <c r="CU23" s="117"/>
      <c r="CV23" s="117"/>
      <c r="CW23" s="117"/>
      <c r="CX23" s="117"/>
      <c r="CY23" s="117"/>
      <c r="CZ23" s="117"/>
      <c r="DA23" s="117"/>
      <c r="DB23" s="117"/>
      <c r="DC23" s="117"/>
      <c r="DD23" s="117"/>
      <c r="DE23" s="117"/>
      <c r="DF23" s="117"/>
      <c r="DG23" s="117"/>
      <c r="DH23" s="117"/>
      <c r="DI23" s="117"/>
      <c r="DJ23" s="117"/>
      <c r="DK23" s="117"/>
      <c r="DL23" s="117"/>
      <c r="DM23" s="117"/>
      <c r="DN23" s="117"/>
      <c r="DO23" s="117"/>
      <c r="DP23" s="117"/>
      <c r="DQ23" s="117"/>
      <c r="DR23" s="117"/>
      <c r="DS23" s="117"/>
      <c r="DT23" s="117"/>
      <c r="DU23" s="117"/>
      <c r="DV23" s="117"/>
      <c r="DW23" s="117"/>
      <c r="DX23" s="117"/>
      <c r="DY23" s="117"/>
      <c r="DZ23" s="117"/>
      <c r="EA23" s="117"/>
      <c r="EB23" s="117"/>
      <c r="EC23" s="117"/>
      <c r="ED23" s="117"/>
      <c r="EE23" s="117"/>
      <c r="EF23" s="117"/>
      <c r="EG23" s="117"/>
      <c r="EH23" s="117"/>
      <c r="EI23" s="117"/>
      <c r="EJ23" s="117"/>
      <c r="EK23" s="117"/>
    </row>
    <row r="24" spans="1:141" s="129" customFormat="1" x14ac:dyDescent="0.2">
      <c r="A24" s="141">
        <v>7</v>
      </c>
      <c r="B24" s="146" t="s">
        <v>111</v>
      </c>
      <c r="C24" s="125" t="s">
        <v>17</v>
      </c>
      <c r="D24" s="123">
        <f>'[6]TCC Sales Elec Base Rate Custom'!$T$63+'[5]II-H-4.1 Functions'!$D$17</f>
        <v>157030.23000000001</v>
      </c>
      <c r="E24" s="123">
        <f>'[6]TCC Sales Elec Base Rate Meter '!$T$32+'[5]II-H-4.1 Functions'!$E$17</f>
        <v>895389.54999999993</v>
      </c>
      <c r="F24" s="123">
        <f>SUM('[6]TCC Sales Elec Base Rate Dist T'!$H$150:$S$150)+'[5]II-H-4.1 Functions'!$F$17</f>
        <v>24332428.299999997</v>
      </c>
      <c r="G24" s="123"/>
      <c r="H24" s="123">
        <f>SUM('[6]TCC Sales Elec Base Rate Dist T'!$T$150:$AE$150)+'[5]II-H-4.1 Functions'!$H$17</f>
        <v>12989906.629999999</v>
      </c>
      <c r="I24" s="123">
        <f t="shared" si="2"/>
        <v>38374754.709999986</v>
      </c>
      <c r="J24" s="142"/>
      <c r="K24" s="196">
        <f>-'II-H-4.1 Monthly'!P122</f>
        <v>863766.99000000011</v>
      </c>
      <c r="L24" s="196">
        <f>-'II-H-4.1 Monthly'!P155</f>
        <v>20410669.57</v>
      </c>
      <c r="M24" s="196">
        <f>-'II-H-4.1 Monthly'!P345</f>
        <v>4054830.18</v>
      </c>
      <c r="N24" s="196">
        <f>-'II-H-4.1 Monthly'!P188</f>
        <v>0</v>
      </c>
      <c r="O24" s="123">
        <f>-'II-H-4.1 Monthly'!P314</f>
        <v>19826061.349999998</v>
      </c>
      <c r="P24" s="196">
        <f>-'II-H-4.1 Monthly'!P221</f>
        <v>-307466.16999999993</v>
      </c>
      <c r="Q24" s="247">
        <f>'II-H-4.1 Monthly'!P252</f>
        <v>0</v>
      </c>
      <c r="R24" s="247">
        <f>-'II-H-4.1 Monthly'!P283</f>
        <v>-68625.560000000012</v>
      </c>
      <c r="S24" s="123">
        <f>SUM(K24:R24)</f>
        <v>44779236.359999992</v>
      </c>
      <c r="T24" s="142"/>
      <c r="U24" s="123">
        <f>S24+I24</f>
        <v>83153991.069999978</v>
      </c>
      <c r="W24" s="350">
        <f>-F58/F24</f>
        <v>3.4893293818932164E-2</v>
      </c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  <c r="BU24" s="117"/>
      <c r="BV24" s="117"/>
      <c r="BW24" s="117"/>
      <c r="BX24" s="117"/>
      <c r="BY24" s="117"/>
      <c r="BZ24" s="117"/>
      <c r="CA24" s="117"/>
      <c r="CB24" s="117"/>
      <c r="CC24" s="117"/>
      <c r="CD24" s="117"/>
      <c r="CE24" s="117"/>
      <c r="CF24" s="117"/>
      <c r="CG24" s="117"/>
      <c r="CH24" s="117"/>
      <c r="CI24" s="117"/>
      <c r="CJ24" s="117"/>
      <c r="CK24" s="117"/>
      <c r="CL24" s="117"/>
      <c r="CM24" s="117"/>
      <c r="CN24" s="117"/>
      <c r="CO24" s="117"/>
      <c r="CP24" s="117"/>
      <c r="CQ24" s="117"/>
      <c r="CR24" s="117"/>
      <c r="CS24" s="117"/>
      <c r="CT24" s="117"/>
      <c r="CU24" s="117"/>
      <c r="CV24" s="117"/>
      <c r="CW24" s="117"/>
      <c r="CX24" s="117"/>
      <c r="CY24" s="117"/>
      <c r="CZ24" s="117"/>
      <c r="DA24" s="117"/>
      <c r="DB24" s="117"/>
      <c r="DC24" s="117"/>
      <c r="DD24" s="117"/>
      <c r="DE24" s="117"/>
      <c r="DF24" s="117"/>
      <c r="DG24" s="117"/>
      <c r="DH24" s="117"/>
      <c r="DI24" s="117"/>
      <c r="DJ24" s="117"/>
      <c r="DK24" s="117"/>
      <c r="DL24" s="117"/>
      <c r="DM24" s="117"/>
      <c r="DN24" s="117"/>
      <c r="DO24" s="117"/>
      <c r="DP24" s="117"/>
      <c r="DQ24" s="117"/>
      <c r="DR24" s="117"/>
      <c r="DS24" s="117"/>
      <c r="DT24" s="117"/>
      <c r="DU24" s="117"/>
      <c r="DV24" s="117"/>
      <c r="DW24" s="117"/>
      <c r="DX24" s="117"/>
      <c r="DY24" s="117"/>
      <c r="DZ24" s="117"/>
      <c r="EA24" s="117"/>
      <c r="EB24" s="117"/>
      <c r="EC24" s="117"/>
      <c r="ED24" s="117"/>
      <c r="EE24" s="117"/>
      <c r="EF24" s="117"/>
      <c r="EG24" s="117"/>
      <c r="EH24" s="117"/>
      <c r="EI24" s="117"/>
      <c r="EJ24" s="117"/>
      <c r="EK24" s="117"/>
    </row>
    <row r="25" spans="1:141" s="129" customFormat="1" x14ac:dyDescent="0.2">
      <c r="A25" s="141">
        <v>8</v>
      </c>
      <c r="B25" s="129" t="s">
        <v>31</v>
      </c>
      <c r="C25" s="125"/>
      <c r="D25" s="122">
        <f>SUM(D23:D24)</f>
        <v>184953.16</v>
      </c>
      <c r="E25" s="122">
        <f>SUM(E23:E24)</f>
        <v>1938626.6600000001</v>
      </c>
      <c r="F25" s="122">
        <f>SUM(F23:F24)</f>
        <v>26649244.779999997</v>
      </c>
      <c r="G25" s="122"/>
      <c r="H25" s="122">
        <f>SUM(H23:H24)</f>
        <v>14117617.219999999</v>
      </c>
      <c r="I25" s="122">
        <f>SUM(I23:I24)</f>
        <v>42890441.819999985</v>
      </c>
      <c r="J25" s="142"/>
      <c r="K25" s="122">
        <f t="shared" ref="K25:R25" si="3">SUM(K23:K24)</f>
        <v>930486.88000000012</v>
      </c>
      <c r="L25" s="122">
        <f t="shared" si="3"/>
        <v>22165983.280000001</v>
      </c>
      <c r="M25" s="122">
        <f>SUM(M23:M24)</f>
        <v>4439857.7</v>
      </c>
      <c r="N25" s="122">
        <f t="shared" si="3"/>
        <v>0</v>
      </c>
      <c r="O25" s="122">
        <f t="shared" si="3"/>
        <v>21877981.789999999</v>
      </c>
      <c r="P25" s="122">
        <f t="shared" si="3"/>
        <v>-332135.86999999994</v>
      </c>
      <c r="Q25" s="122">
        <f t="shared" si="3"/>
        <v>-16292.980000000001</v>
      </c>
      <c r="R25" s="122">
        <f t="shared" si="3"/>
        <v>-77246.550000000017</v>
      </c>
      <c r="S25" s="144">
        <f>SUM(S23:S24)</f>
        <v>48988634.249999993</v>
      </c>
      <c r="T25" s="144"/>
      <c r="U25" s="142">
        <f>S25+I25</f>
        <v>91879076.069999978</v>
      </c>
      <c r="W25" s="350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17"/>
      <c r="BS25" s="117"/>
      <c r="BT25" s="117"/>
      <c r="BU25" s="117"/>
      <c r="BV25" s="117"/>
      <c r="BW25" s="117"/>
      <c r="BX25" s="117"/>
      <c r="BY25" s="117"/>
      <c r="BZ25" s="117"/>
      <c r="CA25" s="117"/>
      <c r="CB25" s="117"/>
      <c r="CC25" s="117"/>
      <c r="CD25" s="117"/>
      <c r="CE25" s="117"/>
      <c r="CF25" s="117"/>
      <c r="CG25" s="117"/>
      <c r="CH25" s="117"/>
      <c r="CI25" s="117"/>
      <c r="CJ25" s="117"/>
      <c r="CK25" s="117"/>
      <c r="CL25" s="117"/>
      <c r="CM25" s="117"/>
      <c r="CN25" s="117"/>
      <c r="CO25" s="117"/>
      <c r="CP25" s="117"/>
      <c r="CQ25" s="117"/>
      <c r="CR25" s="117"/>
      <c r="CS25" s="117"/>
      <c r="CT25" s="117"/>
      <c r="CU25" s="117"/>
      <c r="CV25" s="117"/>
      <c r="CW25" s="117"/>
      <c r="CX25" s="117"/>
      <c r="CY25" s="117"/>
      <c r="CZ25" s="117"/>
      <c r="DA25" s="117"/>
      <c r="DB25" s="117"/>
      <c r="DC25" s="117"/>
      <c r="DD25" s="117"/>
      <c r="DE25" s="117"/>
      <c r="DF25" s="117"/>
      <c r="DG25" s="117"/>
      <c r="DH25" s="117"/>
      <c r="DI25" s="117"/>
      <c r="DJ25" s="117"/>
      <c r="DK25" s="117"/>
      <c r="DL25" s="117"/>
      <c r="DM25" s="117"/>
      <c r="DN25" s="117"/>
      <c r="DO25" s="117"/>
      <c r="DP25" s="117"/>
      <c r="DQ25" s="117"/>
      <c r="DR25" s="117"/>
      <c r="DS25" s="117"/>
      <c r="DT25" s="117"/>
      <c r="DU25" s="117"/>
      <c r="DV25" s="117"/>
      <c r="DW25" s="117"/>
      <c r="DX25" s="117"/>
      <c r="DY25" s="117"/>
      <c r="DZ25" s="117"/>
      <c r="EA25" s="117"/>
      <c r="EB25" s="117"/>
      <c r="EC25" s="117"/>
      <c r="ED25" s="117"/>
      <c r="EE25" s="117"/>
      <c r="EF25" s="117"/>
      <c r="EG25" s="117"/>
      <c r="EH25" s="117"/>
      <c r="EI25" s="117"/>
      <c r="EJ25" s="117"/>
      <c r="EK25" s="117"/>
    </row>
    <row r="26" spans="1:141" s="129" customFormat="1" x14ac:dyDescent="0.2">
      <c r="A26" s="141"/>
      <c r="C26" s="125"/>
      <c r="D26" s="122"/>
      <c r="E26" s="122"/>
      <c r="F26" s="122"/>
      <c r="G26" s="122"/>
      <c r="H26" s="122"/>
      <c r="I26" s="122"/>
      <c r="J26" s="142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42"/>
      <c r="W26" s="350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  <c r="BH26" s="117"/>
      <c r="BI26" s="117"/>
      <c r="BJ26" s="117"/>
      <c r="BK26" s="117"/>
      <c r="BL26" s="117"/>
      <c r="BM26" s="117"/>
      <c r="BN26" s="117"/>
      <c r="BO26" s="117"/>
      <c r="BP26" s="117"/>
      <c r="BQ26" s="117"/>
      <c r="BR26" s="117"/>
      <c r="BS26" s="117"/>
      <c r="BT26" s="117"/>
      <c r="BU26" s="117"/>
      <c r="BV26" s="117"/>
      <c r="BW26" s="117"/>
      <c r="BX26" s="117"/>
      <c r="BY26" s="117"/>
      <c r="BZ26" s="117"/>
      <c r="CA26" s="117"/>
      <c r="CB26" s="117"/>
      <c r="CC26" s="117"/>
      <c r="CD26" s="117"/>
      <c r="CE26" s="117"/>
      <c r="CF26" s="117"/>
      <c r="CG26" s="117"/>
      <c r="CH26" s="117"/>
      <c r="CI26" s="117"/>
      <c r="CJ26" s="117"/>
      <c r="CK26" s="117"/>
      <c r="CL26" s="117"/>
      <c r="CM26" s="117"/>
      <c r="CN26" s="117"/>
      <c r="CO26" s="117"/>
      <c r="CP26" s="117"/>
      <c r="CQ26" s="117"/>
      <c r="CR26" s="117"/>
      <c r="CS26" s="117"/>
      <c r="CT26" s="117"/>
      <c r="CU26" s="117"/>
      <c r="CV26" s="117"/>
      <c r="CW26" s="117"/>
      <c r="CX26" s="117"/>
      <c r="CY26" s="117"/>
      <c r="CZ26" s="117"/>
      <c r="DA26" s="117"/>
      <c r="DB26" s="117"/>
      <c r="DC26" s="117"/>
      <c r="DD26" s="117"/>
      <c r="DE26" s="117"/>
      <c r="DF26" s="117"/>
      <c r="DG26" s="117"/>
      <c r="DH26" s="117"/>
      <c r="DI26" s="117"/>
      <c r="DJ26" s="117"/>
      <c r="DK26" s="117"/>
      <c r="DL26" s="117"/>
      <c r="DM26" s="117"/>
      <c r="DN26" s="117"/>
      <c r="DO26" s="117"/>
      <c r="DP26" s="117"/>
      <c r="DQ26" s="117"/>
      <c r="DR26" s="117"/>
      <c r="DS26" s="117"/>
      <c r="DT26" s="117"/>
      <c r="DU26" s="117"/>
      <c r="DV26" s="117"/>
      <c r="DW26" s="117"/>
      <c r="DX26" s="117"/>
      <c r="DY26" s="117"/>
      <c r="DZ26" s="117"/>
      <c r="EA26" s="117"/>
      <c r="EB26" s="117"/>
      <c r="EC26" s="117"/>
      <c r="ED26" s="117"/>
      <c r="EE26" s="117"/>
      <c r="EF26" s="117"/>
      <c r="EG26" s="117"/>
      <c r="EH26" s="117"/>
      <c r="EI26" s="117"/>
      <c r="EJ26" s="117"/>
      <c r="EK26" s="117"/>
    </row>
    <row r="27" spans="1:141" s="129" customFormat="1" x14ac:dyDescent="0.2">
      <c r="A27" s="141">
        <v>9</v>
      </c>
      <c r="B27" s="162" t="s">
        <v>115</v>
      </c>
      <c r="C27" s="125" t="s">
        <v>18</v>
      </c>
      <c r="D27" s="122">
        <f>'[6]TCC Sales Elec Base Rate Custom'!$T$83+'[5]II-H-4.1 Functions'!$D$20</f>
        <v>33594.559999999998</v>
      </c>
      <c r="E27" s="122">
        <f>'[6]TCC Sales Elec Base Rate Meter '!$T$52+'[5]II-H-4.1 Functions'!$E$20</f>
        <v>1494853.92</v>
      </c>
      <c r="F27" s="122">
        <f>SUM('[6]TCC Sales Elec Base Rate Dist T'!$H$190:$S$190)+'[5]II-H-4.1 Functions'!$F$20</f>
        <v>3044920.27</v>
      </c>
      <c r="G27" s="122"/>
      <c r="H27" s="122">
        <f>SUM('[6]TCC Sales Elec Base Rate Dist T'!$T$190:$AE$190)+'[5]II-H-4.1 Functions'!$H$20</f>
        <v>10529707.360000001</v>
      </c>
      <c r="I27" s="122">
        <f t="shared" ref="I27:I29" si="4">H27+F27+E27+D27+G27</f>
        <v>15103076.110000001</v>
      </c>
      <c r="J27" s="142"/>
      <c r="K27" s="195">
        <f>-'II-H-4.1 Monthly'!P125</f>
        <v>-630945.09</v>
      </c>
      <c r="L27" s="195">
        <f>-'II-H-4.1 Monthly'!P158</f>
        <v>18934634.75</v>
      </c>
      <c r="M27" s="195">
        <f>-'II-H-4.1 Monthly'!P348</f>
        <v>163233.46</v>
      </c>
      <c r="N27" s="195">
        <f>-'II-H-4.1 Monthly'!P191</f>
        <v>2774.48</v>
      </c>
      <c r="O27" s="142">
        <f>-'II-H-4.1 Monthly'!P317</f>
        <v>15604822.720000001</v>
      </c>
      <c r="P27" s="195">
        <f>-'II-H-4.1 Monthly'!P224</f>
        <v>0</v>
      </c>
      <c r="Q27" s="195">
        <f>'II-H-4.1 Monthly'!P255</f>
        <v>0</v>
      </c>
      <c r="R27" s="194">
        <f>-'II-H-4.1 Monthly'!P286</f>
        <v>-22995.210000000003</v>
      </c>
      <c r="S27" s="142">
        <f>SUM(K27:R27)</f>
        <v>34051525.109999999</v>
      </c>
      <c r="T27" s="142"/>
      <c r="U27" s="142">
        <f>S27+I27</f>
        <v>49154601.219999999</v>
      </c>
      <c r="W27" s="350">
        <f>-F61/F27</f>
        <v>0.20682109682957314</v>
      </c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117"/>
      <c r="BS27" s="117"/>
      <c r="BT27" s="117"/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7"/>
      <c r="CF27" s="117"/>
      <c r="CG27" s="117"/>
      <c r="CH27" s="117"/>
      <c r="CI27" s="117"/>
      <c r="CJ27" s="117"/>
      <c r="CK27" s="117"/>
      <c r="CL27" s="117"/>
      <c r="CM27" s="117"/>
      <c r="CN27" s="117"/>
      <c r="CO27" s="117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7"/>
      <c r="DA27" s="117"/>
      <c r="DB27" s="117"/>
      <c r="DC27" s="117"/>
      <c r="DD27" s="117"/>
      <c r="DE27" s="117"/>
      <c r="DF27" s="117"/>
      <c r="DG27" s="117"/>
      <c r="DH27" s="117"/>
      <c r="DI27" s="117"/>
      <c r="DJ27" s="117"/>
      <c r="DK27" s="117"/>
      <c r="DL27" s="117"/>
      <c r="DM27" s="117"/>
      <c r="DN27" s="117"/>
      <c r="DO27" s="117"/>
      <c r="DP27" s="117"/>
      <c r="DQ27" s="117"/>
      <c r="DR27" s="117"/>
      <c r="DS27" s="117"/>
      <c r="DT27" s="117"/>
      <c r="DU27" s="117"/>
      <c r="DV27" s="117"/>
      <c r="DW27" s="117"/>
      <c r="DX27" s="117"/>
      <c r="DY27" s="117"/>
      <c r="DZ27" s="117"/>
      <c r="EA27" s="117"/>
      <c r="EB27" s="117"/>
      <c r="EC27" s="117"/>
      <c r="ED27" s="117"/>
      <c r="EE27" s="117"/>
      <c r="EF27" s="117"/>
      <c r="EG27" s="117"/>
      <c r="EH27" s="117"/>
      <c r="EI27" s="117"/>
      <c r="EJ27" s="117"/>
      <c r="EK27" s="117"/>
    </row>
    <row r="28" spans="1:141" s="129" customFormat="1" x14ac:dyDescent="0.2">
      <c r="C28" s="143"/>
      <c r="D28" s="157"/>
      <c r="E28" s="157"/>
      <c r="F28" s="157"/>
      <c r="G28" s="157"/>
      <c r="H28" s="157"/>
      <c r="I28" s="157"/>
      <c r="J28" s="128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42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17"/>
      <c r="BF28" s="117"/>
      <c r="BG28" s="117"/>
      <c r="BH28" s="117"/>
      <c r="BI28" s="117"/>
      <c r="BJ28" s="117"/>
      <c r="BK28" s="117"/>
      <c r="BL28" s="117"/>
      <c r="BM28" s="117"/>
      <c r="BN28" s="117"/>
      <c r="BO28" s="117"/>
      <c r="BP28" s="117"/>
      <c r="BQ28" s="117"/>
      <c r="BR28" s="117"/>
      <c r="BS28" s="117"/>
      <c r="BT28" s="117"/>
      <c r="BU28" s="117"/>
      <c r="BV28" s="117"/>
      <c r="BW28" s="117"/>
      <c r="BX28" s="117"/>
      <c r="BY28" s="117"/>
      <c r="BZ28" s="117"/>
      <c r="CA28" s="117"/>
      <c r="CB28" s="117"/>
      <c r="CC28" s="117"/>
      <c r="CD28" s="117"/>
      <c r="CE28" s="117"/>
      <c r="CF28" s="117"/>
      <c r="CG28" s="117"/>
      <c r="CH28" s="117"/>
      <c r="CI28" s="117"/>
      <c r="CJ28" s="117"/>
      <c r="CK28" s="117"/>
      <c r="CL28" s="117"/>
      <c r="CM28" s="117"/>
      <c r="CN28" s="117"/>
      <c r="CO28" s="117"/>
      <c r="CP28" s="117"/>
      <c r="CQ28" s="117"/>
      <c r="CR28" s="117"/>
      <c r="CS28" s="117"/>
      <c r="CT28" s="117"/>
      <c r="CU28" s="117"/>
      <c r="CV28" s="117"/>
      <c r="CW28" s="117"/>
      <c r="CX28" s="117"/>
      <c r="CY28" s="117"/>
      <c r="CZ28" s="117"/>
      <c r="DA28" s="117"/>
      <c r="DB28" s="117"/>
      <c r="DC28" s="117"/>
      <c r="DD28" s="117"/>
      <c r="DE28" s="117"/>
      <c r="DF28" s="117"/>
      <c r="DG28" s="117"/>
      <c r="DH28" s="117"/>
      <c r="DI28" s="117"/>
      <c r="DJ28" s="117"/>
      <c r="DK28" s="117"/>
      <c r="DL28" s="117"/>
      <c r="DM28" s="117"/>
      <c r="DN28" s="117"/>
      <c r="DO28" s="117"/>
      <c r="DP28" s="117"/>
      <c r="DQ28" s="117"/>
      <c r="DR28" s="117"/>
      <c r="DS28" s="117"/>
      <c r="DT28" s="117"/>
      <c r="DU28" s="117"/>
      <c r="DV28" s="117"/>
      <c r="DW28" s="117"/>
      <c r="DX28" s="117"/>
      <c r="DY28" s="117"/>
      <c r="DZ28" s="117"/>
      <c r="EA28" s="117"/>
      <c r="EB28" s="117"/>
      <c r="EC28" s="117"/>
      <c r="ED28" s="117"/>
      <c r="EE28" s="117"/>
      <c r="EF28" s="117"/>
      <c r="EG28" s="117"/>
      <c r="EH28" s="117"/>
      <c r="EI28" s="117"/>
      <c r="EJ28" s="117"/>
      <c r="EK28" s="117"/>
    </row>
    <row r="29" spans="1:141" s="129" customFormat="1" x14ac:dyDescent="0.2">
      <c r="A29" s="141">
        <v>10</v>
      </c>
      <c r="B29" s="117" t="s">
        <v>33</v>
      </c>
      <c r="C29" s="125" t="s">
        <v>16</v>
      </c>
      <c r="D29" s="122">
        <f>'[6]TCC Sales Elec Base Rate Custom'!$T$57+'[5]II-H-4.1 Functions'!$D$22</f>
        <v>95482.319999999905</v>
      </c>
      <c r="E29" s="122">
        <v>0</v>
      </c>
      <c r="F29" s="122">
        <f>SUM('[6]TCC Sales Elec Base Rate Dist T'!$H$138:$S$138)+'[5]II-H-4.1 Functions'!$F$22</f>
        <v>17636919.260000002</v>
      </c>
      <c r="G29" s="122">
        <v>0</v>
      </c>
      <c r="H29" s="122">
        <f>SUM('[6]TCC Sales Elec Base Rate Dist T'!$T$138:$AE$138)+'[5]II-H-4.1 Functions'!$H$22</f>
        <v>684721.79</v>
      </c>
      <c r="I29" s="122">
        <f t="shared" si="4"/>
        <v>18417123.370000001</v>
      </c>
      <c r="J29" s="142"/>
      <c r="K29" s="195">
        <f>-'II-H-4.1 Monthly'!P127</f>
        <v>0</v>
      </c>
      <c r="L29" s="195">
        <f>-'II-H-4.1 Monthly'!P160</f>
        <v>4404631.3099999996</v>
      </c>
      <c r="M29" s="195">
        <f>-'II-H-4.1 Monthly'!P350</f>
        <v>2217913.2000000002</v>
      </c>
      <c r="N29" s="195">
        <f>--'II-H-4.1 Monthly'!P193</f>
        <v>0</v>
      </c>
      <c r="O29" s="142">
        <f>-'II-H-4.1 Monthly'!P319</f>
        <v>1173609.0899999999</v>
      </c>
      <c r="P29" s="195">
        <f>-'II-H-4.1 Monthly'!P226</f>
        <v>-6445.579999999999</v>
      </c>
      <c r="Q29" s="195">
        <f>'II-H-4.1 Monthly'!P257</f>
        <v>0</v>
      </c>
      <c r="R29" s="194">
        <f>-'II-H-4.1 Monthly'!P288</f>
        <v>-30689.230000000003</v>
      </c>
      <c r="S29" s="142">
        <f>SUM(K29:R29)</f>
        <v>7759018.7899999991</v>
      </c>
      <c r="T29" s="142"/>
      <c r="U29" s="142">
        <f>S29+I29</f>
        <v>26176142.16</v>
      </c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17"/>
      <c r="BF29" s="117"/>
      <c r="BG29" s="117"/>
      <c r="BH29" s="117"/>
      <c r="BI29" s="117"/>
      <c r="BJ29" s="117"/>
      <c r="BK29" s="117"/>
      <c r="BL29" s="117"/>
      <c r="BM29" s="117"/>
      <c r="BN29" s="117"/>
      <c r="BO29" s="117"/>
      <c r="BP29" s="117"/>
      <c r="BQ29" s="117"/>
      <c r="BR29" s="117"/>
      <c r="BS29" s="117"/>
      <c r="BT29" s="117"/>
      <c r="BU29" s="117"/>
      <c r="BV29" s="117"/>
      <c r="BW29" s="117"/>
      <c r="BX29" s="117"/>
      <c r="BY29" s="117"/>
      <c r="BZ29" s="117"/>
      <c r="CA29" s="117"/>
      <c r="CB29" s="117"/>
      <c r="CC29" s="117"/>
      <c r="CD29" s="117"/>
      <c r="CE29" s="117"/>
      <c r="CF29" s="117"/>
      <c r="CG29" s="117"/>
      <c r="CH29" s="117"/>
      <c r="CI29" s="117"/>
      <c r="CJ29" s="117"/>
      <c r="CK29" s="117"/>
      <c r="CL29" s="117"/>
      <c r="CM29" s="117"/>
      <c r="CN29" s="117"/>
      <c r="CO29" s="117"/>
      <c r="CP29" s="117"/>
      <c r="CQ29" s="117"/>
      <c r="CR29" s="117"/>
      <c r="CS29" s="117"/>
      <c r="CT29" s="117"/>
      <c r="CU29" s="117"/>
      <c r="CV29" s="117"/>
      <c r="CW29" s="117"/>
      <c r="CX29" s="117"/>
      <c r="CY29" s="117"/>
      <c r="CZ29" s="117"/>
      <c r="DA29" s="117"/>
      <c r="DB29" s="117"/>
      <c r="DC29" s="117"/>
      <c r="DD29" s="117"/>
      <c r="DE29" s="117"/>
      <c r="DF29" s="117"/>
      <c r="DG29" s="117"/>
      <c r="DH29" s="117"/>
      <c r="DI29" s="117"/>
      <c r="DJ29" s="117"/>
      <c r="DK29" s="117"/>
      <c r="DL29" s="117"/>
      <c r="DM29" s="117"/>
      <c r="DN29" s="117"/>
      <c r="DO29" s="117"/>
      <c r="DP29" s="117"/>
      <c r="DQ29" s="117"/>
      <c r="DR29" s="117"/>
      <c r="DS29" s="117"/>
      <c r="DT29" s="117"/>
      <c r="DU29" s="117"/>
      <c r="DV29" s="117"/>
      <c r="DW29" s="117"/>
      <c r="DX29" s="117"/>
      <c r="DY29" s="117"/>
      <c r="DZ29" s="117"/>
      <c r="EA29" s="117"/>
      <c r="EB29" s="117"/>
      <c r="EC29" s="117"/>
      <c r="ED29" s="117"/>
      <c r="EE29" s="117"/>
      <c r="EF29" s="117"/>
      <c r="EG29" s="117"/>
      <c r="EH29" s="117"/>
      <c r="EI29" s="117"/>
      <c r="EJ29" s="117"/>
      <c r="EK29" s="117"/>
    </row>
    <row r="30" spans="1:141" s="129" customFormat="1" x14ac:dyDescent="0.2">
      <c r="A30" s="141"/>
      <c r="C30" s="143"/>
      <c r="D30" s="157"/>
      <c r="E30" s="157"/>
      <c r="F30" s="157"/>
      <c r="G30" s="157"/>
      <c r="H30" s="157"/>
      <c r="I30" s="157"/>
      <c r="J30" s="128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42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BW30" s="117"/>
      <c r="BX30" s="117"/>
      <c r="BY30" s="117"/>
      <c r="BZ30" s="117"/>
      <c r="CA30" s="117"/>
      <c r="CB30" s="117"/>
      <c r="CC30" s="117"/>
      <c r="CD30" s="117"/>
      <c r="CE30" s="117"/>
      <c r="CF30" s="117"/>
      <c r="CG30" s="117"/>
      <c r="CH30" s="117"/>
      <c r="CI30" s="117"/>
      <c r="CJ30" s="117"/>
      <c r="CK30" s="117"/>
      <c r="CL30" s="117"/>
      <c r="CM30" s="117"/>
      <c r="CN30" s="117"/>
      <c r="CO30" s="117"/>
      <c r="CP30" s="117"/>
      <c r="CQ30" s="117"/>
      <c r="CR30" s="117"/>
      <c r="CS30" s="117"/>
      <c r="CT30" s="117"/>
      <c r="CU30" s="117"/>
      <c r="CV30" s="117"/>
      <c r="CW30" s="117"/>
      <c r="CX30" s="117"/>
      <c r="CY30" s="117"/>
      <c r="CZ30" s="117"/>
      <c r="DA30" s="117"/>
      <c r="DB30" s="117"/>
      <c r="DC30" s="117"/>
      <c r="DD30" s="117"/>
      <c r="DE30" s="117"/>
      <c r="DF30" s="117"/>
      <c r="DG30" s="117"/>
      <c r="DH30" s="117"/>
      <c r="DI30" s="117"/>
      <c r="DJ30" s="117"/>
      <c r="DK30" s="117"/>
      <c r="DL30" s="117"/>
      <c r="DM30" s="117"/>
      <c r="DN30" s="117"/>
      <c r="DO30" s="117"/>
      <c r="DP30" s="117"/>
      <c r="DQ30" s="117"/>
      <c r="DR30" s="117"/>
      <c r="DS30" s="117"/>
      <c r="DT30" s="117"/>
      <c r="DU30" s="117"/>
      <c r="DV30" s="117"/>
      <c r="DW30" s="117"/>
      <c r="DX30" s="117"/>
      <c r="DY30" s="117"/>
      <c r="DZ30" s="117"/>
      <c r="EA30" s="117"/>
      <c r="EB30" s="117"/>
      <c r="EC30" s="117"/>
      <c r="ED30" s="117"/>
      <c r="EE30" s="117"/>
      <c r="EF30" s="117"/>
      <c r="EG30" s="117"/>
      <c r="EH30" s="117"/>
      <c r="EI30" s="117"/>
      <c r="EJ30" s="117"/>
      <c r="EK30" s="117"/>
    </row>
    <row r="31" spans="1:141" s="129" customFormat="1" x14ac:dyDescent="0.2">
      <c r="A31" s="141">
        <v>11</v>
      </c>
      <c r="B31" s="183" t="s">
        <v>34</v>
      </c>
      <c r="C31" s="374"/>
      <c r="D31" s="184">
        <f>D29+D27+D25+D21+D17+D15</f>
        <v>40097366.32</v>
      </c>
      <c r="E31" s="184">
        <f t="shared" ref="E31:Q31" si="5">E29+E27+E25+E21+E17+E15</f>
        <v>62890979.420000002</v>
      </c>
      <c r="F31" s="184">
        <f t="shared" si="5"/>
        <v>357028728.44999999</v>
      </c>
      <c r="G31" s="184">
        <f t="shared" si="5"/>
        <v>0</v>
      </c>
      <c r="H31" s="184">
        <f t="shared" si="5"/>
        <v>131705195.84</v>
      </c>
      <c r="I31" s="184">
        <f t="shared" si="5"/>
        <v>591722270.02999997</v>
      </c>
      <c r="J31" s="127"/>
      <c r="K31" s="184">
        <f t="shared" si="5"/>
        <v>11349956.810000002</v>
      </c>
      <c r="L31" s="184">
        <f t="shared" si="5"/>
        <v>277204700.68000001</v>
      </c>
      <c r="M31" s="184">
        <f>M29+M27+M25+M21+M17+M15</f>
        <v>73810075.75999999</v>
      </c>
      <c r="N31" s="184">
        <f t="shared" si="5"/>
        <v>2774.48</v>
      </c>
      <c r="O31" s="184">
        <f t="shared" si="5"/>
        <v>202262173.61000001</v>
      </c>
      <c r="P31" s="184">
        <f t="shared" si="5"/>
        <v>-564139.09</v>
      </c>
      <c r="Q31" s="184">
        <f t="shared" si="5"/>
        <v>29883535.180000003</v>
      </c>
      <c r="R31" s="184">
        <f>R29+R27+R25+R21+R17+R15</f>
        <v>-989949.23</v>
      </c>
      <c r="S31" s="184">
        <f>S29+S27+S25+S21+S17+S15</f>
        <v>592959128.20000005</v>
      </c>
      <c r="T31" s="144"/>
      <c r="U31" s="199">
        <f>S31+I31</f>
        <v>1184681398.23</v>
      </c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17"/>
      <c r="BF31" s="117"/>
      <c r="BG31" s="117"/>
      <c r="BH31" s="117"/>
      <c r="BI31" s="117"/>
      <c r="BJ31" s="117"/>
      <c r="BK31" s="117"/>
      <c r="BL31" s="117"/>
      <c r="BM31" s="117"/>
      <c r="BN31" s="117"/>
      <c r="BO31" s="117"/>
      <c r="BP31" s="117"/>
      <c r="BQ31" s="117"/>
      <c r="BR31" s="117"/>
      <c r="BS31" s="117"/>
      <c r="BT31" s="117"/>
      <c r="BU31" s="117"/>
      <c r="BV31" s="117"/>
      <c r="BW31" s="117"/>
      <c r="BX31" s="117"/>
      <c r="BY31" s="117"/>
      <c r="BZ31" s="117"/>
      <c r="CA31" s="117"/>
      <c r="CB31" s="117"/>
      <c r="CC31" s="117"/>
      <c r="CD31" s="117"/>
      <c r="CE31" s="117"/>
      <c r="CF31" s="117"/>
      <c r="CG31" s="117"/>
      <c r="CH31" s="117"/>
      <c r="CI31" s="117"/>
      <c r="CJ31" s="117"/>
      <c r="CK31" s="117"/>
      <c r="CL31" s="117"/>
      <c r="CM31" s="117"/>
      <c r="CN31" s="117"/>
      <c r="CO31" s="117"/>
      <c r="CP31" s="117"/>
      <c r="CQ31" s="117"/>
      <c r="CR31" s="117"/>
      <c r="CS31" s="117"/>
      <c r="CT31" s="117"/>
      <c r="CU31" s="117"/>
      <c r="CV31" s="117"/>
      <c r="CW31" s="117"/>
      <c r="CX31" s="117"/>
      <c r="CY31" s="117"/>
      <c r="CZ31" s="117"/>
      <c r="DA31" s="117"/>
      <c r="DB31" s="117"/>
      <c r="DC31" s="117"/>
      <c r="DD31" s="117"/>
      <c r="DE31" s="117"/>
      <c r="DF31" s="117"/>
      <c r="DG31" s="117"/>
      <c r="DH31" s="117"/>
      <c r="DI31" s="117"/>
      <c r="DJ31" s="117"/>
      <c r="DK31" s="117"/>
      <c r="DL31" s="117"/>
      <c r="DM31" s="117"/>
      <c r="DN31" s="117"/>
      <c r="DO31" s="117"/>
      <c r="DP31" s="117"/>
      <c r="DQ31" s="117"/>
      <c r="DR31" s="117"/>
      <c r="DS31" s="117"/>
      <c r="DT31" s="117"/>
      <c r="DU31" s="117"/>
      <c r="DV31" s="117"/>
      <c r="DW31" s="117"/>
      <c r="DX31" s="117"/>
      <c r="DY31" s="117"/>
      <c r="DZ31" s="117"/>
      <c r="EA31" s="117"/>
      <c r="EB31" s="117"/>
      <c r="EC31" s="117"/>
      <c r="ED31" s="117"/>
      <c r="EE31" s="117"/>
      <c r="EF31" s="117"/>
      <c r="EG31" s="117"/>
      <c r="EH31" s="117"/>
      <c r="EI31" s="117"/>
      <c r="EJ31" s="117"/>
      <c r="EK31" s="117"/>
    </row>
    <row r="32" spans="1:141" s="129" customFormat="1" x14ac:dyDescent="0.2">
      <c r="B32" s="374"/>
      <c r="C32" s="374"/>
      <c r="D32" s="169"/>
      <c r="E32" s="169"/>
      <c r="F32" s="169"/>
      <c r="G32" s="169"/>
      <c r="H32" s="169"/>
      <c r="I32" s="169"/>
      <c r="J32" s="127"/>
      <c r="K32" s="117"/>
      <c r="L32" s="117"/>
      <c r="M32" s="117"/>
      <c r="N32" s="117"/>
      <c r="O32" s="117"/>
      <c r="P32" s="117"/>
      <c r="Q32" s="117"/>
      <c r="R32" s="117"/>
      <c r="S32" s="144"/>
      <c r="T32" s="144"/>
      <c r="U32" s="142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7"/>
      <c r="DD32" s="117"/>
      <c r="DE32" s="117"/>
      <c r="DF32" s="117"/>
      <c r="DG32" s="117"/>
      <c r="DH32" s="117"/>
      <c r="DI32" s="117"/>
      <c r="DJ32" s="117"/>
      <c r="DK32" s="117"/>
      <c r="DL32" s="117"/>
      <c r="DM32" s="117"/>
      <c r="DN32" s="117"/>
      <c r="DO32" s="117"/>
      <c r="DP32" s="117"/>
      <c r="DQ32" s="117"/>
      <c r="DR32" s="117"/>
      <c r="DS32" s="117"/>
      <c r="DT32" s="117"/>
      <c r="DU32" s="117"/>
      <c r="DV32" s="117"/>
      <c r="DW32" s="117"/>
      <c r="DX32" s="117"/>
      <c r="DY32" s="117"/>
      <c r="DZ32" s="117"/>
      <c r="EA32" s="117"/>
      <c r="EB32" s="117"/>
      <c r="EC32" s="117"/>
      <c r="ED32" s="117"/>
      <c r="EE32" s="117"/>
      <c r="EF32" s="117"/>
      <c r="EG32" s="117"/>
      <c r="EH32" s="117"/>
      <c r="EI32" s="117"/>
      <c r="EJ32" s="117"/>
      <c r="EK32" s="117"/>
    </row>
    <row r="33" spans="1:141" s="129" customFormat="1" x14ac:dyDescent="0.2">
      <c r="A33" s="141">
        <v>12</v>
      </c>
      <c r="B33" s="148" t="s">
        <v>91</v>
      </c>
      <c r="C33" s="125" t="s">
        <v>17</v>
      </c>
      <c r="D33" s="122"/>
      <c r="E33" s="122"/>
      <c r="F33" s="122"/>
      <c r="G33" s="122"/>
      <c r="H33" s="122"/>
      <c r="I33" s="122">
        <f>SUM(D33:H33)</f>
        <v>0</v>
      </c>
      <c r="J33" s="142"/>
      <c r="K33" s="195"/>
      <c r="L33" s="195"/>
      <c r="M33" s="195"/>
      <c r="N33" s="195"/>
      <c r="O33" s="195"/>
      <c r="P33" s="195"/>
      <c r="Q33" s="195"/>
      <c r="R33" s="195"/>
      <c r="S33" s="142">
        <f>SUM(K33:Q33)</f>
        <v>0</v>
      </c>
      <c r="T33" s="142"/>
      <c r="U33" s="142">
        <f>S33+I33</f>
        <v>0</v>
      </c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  <c r="DC33" s="117"/>
      <c r="DD33" s="117"/>
      <c r="DE33" s="117"/>
      <c r="DF33" s="117"/>
      <c r="DG33" s="117"/>
      <c r="DH33" s="117"/>
      <c r="DI33" s="117"/>
      <c r="DJ33" s="117"/>
      <c r="DK33" s="117"/>
      <c r="DL33" s="117"/>
      <c r="DM33" s="117"/>
      <c r="DN33" s="117"/>
      <c r="DO33" s="117"/>
      <c r="DP33" s="117"/>
      <c r="DQ33" s="117"/>
      <c r="DR33" s="117"/>
      <c r="DS33" s="117"/>
      <c r="DT33" s="117"/>
      <c r="DU33" s="117"/>
      <c r="DV33" s="117"/>
      <c r="DW33" s="117"/>
      <c r="DX33" s="117"/>
      <c r="DY33" s="117"/>
      <c r="DZ33" s="117"/>
      <c r="EA33" s="117"/>
      <c r="EB33" s="117"/>
      <c r="EC33" s="117"/>
      <c r="ED33" s="117"/>
      <c r="EE33" s="117"/>
      <c r="EF33" s="117"/>
      <c r="EG33" s="117"/>
      <c r="EH33" s="117"/>
      <c r="EI33" s="117"/>
      <c r="EJ33" s="117"/>
      <c r="EK33" s="117"/>
    </row>
    <row r="34" spans="1:141" s="129" customFormat="1" x14ac:dyDescent="0.2">
      <c r="A34" s="141">
        <v>13</v>
      </c>
      <c r="B34" s="148" t="s">
        <v>92</v>
      </c>
      <c r="C34" s="125" t="s">
        <v>18</v>
      </c>
      <c r="D34" s="123"/>
      <c r="E34" s="123"/>
      <c r="F34" s="123"/>
      <c r="G34" s="123"/>
      <c r="H34" s="123"/>
      <c r="I34" s="123"/>
      <c r="J34" s="142"/>
      <c r="K34" s="123"/>
      <c r="L34" s="123"/>
      <c r="M34" s="123"/>
      <c r="N34" s="123"/>
      <c r="O34" s="123"/>
      <c r="P34" s="123"/>
      <c r="Q34" s="123"/>
      <c r="R34" s="123"/>
      <c r="S34" s="249"/>
      <c r="T34" s="117"/>
      <c r="U34" s="123">
        <f>S34+I34</f>
        <v>0</v>
      </c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  <c r="DC34" s="117"/>
      <c r="DD34" s="117"/>
      <c r="DE34" s="117"/>
      <c r="DF34" s="117"/>
      <c r="DG34" s="117"/>
      <c r="DH34" s="117"/>
      <c r="DI34" s="117"/>
      <c r="DJ34" s="117"/>
      <c r="DK34" s="117"/>
      <c r="DL34" s="117"/>
      <c r="DM34" s="117"/>
      <c r="DN34" s="117"/>
      <c r="DO34" s="117"/>
      <c r="DP34" s="117"/>
      <c r="DQ34" s="117"/>
      <c r="DR34" s="117"/>
      <c r="DS34" s="117"/>
      <c r="DT34" s="117"/>
      <c r="DU34" s="117"/>
      <c r="DV34" s="117"/>
      <c r="DW34" s="117"/>
      <c r="DX34" s="117"/>
      <c r="DY34" s="117"/>
      <c r="DZ34" s="117"/>
      <c r="EA34" s="117"/>
      <c r="EB34" s="117"/>
      <c r="EC34" s="117"/>
      <c r="ED34" s="117"/>
      <c r="EE34" s="117"/>
      <c r="EF34" s="117"/>
      <c r="EG34" s="117"/>
      <c r="EH34" s="117"/>
      <c r="EI34" s="117"/>
      <c r="EJ34" s="117"/>
      <c r="EK34" s="117"/>
    </row>
    <row r="35" spans="1:141" s="129" customFormat="1" x14ac:dyDescent="0.2">
      <c r="A35" s="141">
        <v>14</v>
      </c>
      <c r="B35" s="183" t="s">
        <v>35</v>
      </c>
      <c r="C35" s="373"/>
      <c r="D35" s="169">
        <f t="shared" ref="D35:S35" si="6">SUM(D33:D34)</f>
        <v>0</v>
      </c>
      <c r="E35" s="169">
        <f t="shared" si="6"/>
        <v>0</v>
      </c>
      <c r="F35" s="169">
        <f t="shared" si="6"/>
        <v>0</v>
      </c>
      <c r="G35" s="169">
        <f t="shared" si="6"/>
        <v>0</v>
      </c>
      <c r="H35" s="169">
        <f t="shared" si="6"/>
        <v>0</v>
      </c>
      <c r="I35" s="169">
        <f t="shared" si="6"/>
        <v>0</v>
      </c>
      <c r="J35" s="127"/>
      <c r="K35" s="169">
        <f t="shared" si="6"/>
        <v>0</v>
      </c>
      <c r="L35" s="169">
        <f t="shared" si="6"/>
        <v>0</v>
      </c>
      <c r="M35" s="169">
        <v>0</v>
      </c>
      <c r="N35" s="169">
        <f t="shared" si="6"/>
        <v>0</v>
      </c>
      <c r="O35" s="169">
        <f t="shared" si="6"/>
        <v>0</v>
      </c>
      <c r="P35" s="169">
        <f t="shared" si="6"/>
        <v>0</v>
      </c>
      <c r="Q35" s="169">
        <f t="shared" si="6"/>
        <v>0</v>
      </c>
      <c r="R35" s="169">
        <f t="shared" si="6"/>
        <v>0</v>
      </c>
      <c r="S35" s="169">
        <f t="shared" si="6"/>
        <v>0</v>
      </c>
      <c r="T35" s="144"/>
      <c r="U35" s="142">
        <f>S35+I35</f>
        <v>0</v>
      </c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17"/>
      <c r="BF35" s="117"/>
      <c r="BG35" s="117"/>
      <c r="BH35" s="117"/>
      <c r="BI35" s="117"/>
      <c r="BJ35" s="117"/>
      <c r="BK35" s="117"/>
      <c r="BL35" s="117"/>
      <c r="BM35" s="117"/>
      <c r="BN35" s="117"/>
      <c r="BO35" s="117"/>
      <c r="BP35" s="117"/>
      <c r="BQ35" s="117"/>
      <c r="BR35" s="117"/>
      <c r="BS35" s="117"/>
      <c r="BT35" s="117"/>
      <c r="BU35" s="117"/>
      <c r="BV35" s="117"/>
      <c r="BW35" s="117"/>
      <c r="BX35" s="117"/>
      <c r="BY35" s="117"/>
      <c r="BZ35" s="117"/>
      <c r="CA35" s="117"/>
      <c r="CB35" s="117"/>
      <c r="CC35" s="117"/>
      <c r="CD35" s="117"/>
      <c r="CE35" s="117"/>
      <c r="CF35" s="117"/>
      <c r="CG35" s="117"/>
      <c r="CH35" s="117"/>
      <c r="CI35" s="117"/>
      <c r="CJ35" s="117"/>
      <c r="CK35" s="117"/>
      <c r="CL35" s="117"/>
      <c r="CM35" s="117"/>
      <c r="CN35" s="117"/>
      <c r="CO35" s="117"/>
      <c r="CP35" s="117"/>
      <c r="CQ35" s="117"/>
      <c r="CR35" s="117"/>
      <c r="CS35" s="117"/>
      <c r="CT35" s="117"/>
      <c r="CU35" s="117"/>
      <c r="CV35" s="117"/>
      <c r="CW35" s="117"/>
      <c r="CX35" s="117"/>
      <c r="CY35" s="117"/>
      <c r="CZ35" s="117"/>
      <c r="DA35" s="117"/>
      <c r="DB35" s="117"/>
      <c r="DC35" s="117"/>
      <c r="DD35" s="117"/>
      <c r="DE35" s="117"/>
      <c r="DF35" s="117"/>
      <c r="DG35" s="117"/>
      <c r="DH35" s="117"/>
      <c r="DI35" s="117"/>
      <c r="DJ35" s="117"/>
      <c r="DK35" s="117"/>
      <c r="DL35" s="117"/>
      <c r="DM35" s="117"/>
      <c r="DN35" s="117"/>
      <c r="DO35" s="117"/>
      <c r="DP35" s="117"/>
      <c r="DQ35" s="117"/>
      <c r="DR35" s="117"/>
      <c r="DS35" s="117"/>
      <c r="DT35" s="117"/>
      <c r="DU35" s="117"/>
      <c r="DV35" s="117"/>
      <c r="DW35" s="117"/>
      <c r="DX35" s="117"/>
      <c r="DY35" s="117"/>
      <c r="DZ35" s="117"/>
      <c r="EA35" s="117"/>
      <c r="EB35" s="117"/>
      <c r="EC35" s="117"/>
      <c r="ED35" s="117"/>
      <c r="EE35" s="117"/>
      <c r="EF35" s="117"/>
      <c r="EG35" s="117"/>
      <c r="EH35" s="117"/>
      <c r="EI35" s="117"/>
      <c r="EJ35" s="117"/>
      <c r="EK35" s="117"/>
    </row>
    <row r="36" spans="1:141" s="129" customFormat="1" x14ac:dyDescent="0.2">
      <c r="A36" s="141"/>
      <c r="C36" s="185"/>
      <c r="D36" s="157"/>
      <c r="E36" s="157"/>
      <c r="F36" s="157"/>
      <c r="G36" s="157"/>
      <c r="H36" s="157"/>
      <c r="I36" s="157"/>
      <c r="J36" s="128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42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7"/>
      <c r="BD36" s="117"/>
      <c r="BE36" s="117"/>
      <c r="BF36" s="117"/>
      <c r="BG36" s="117"/>
      <c r="BH36" s="117"/>
      <c r="BI36" s="117"/>
      <c r="BJ36" s="117"/>
      <c r="BK36" s="117"/>
      <c r="BL36" s="117"/>
      <c r="BM36" s="117"/>
      <c r="BN36" s="117"/>
      <c r="BO36" s="117"/>
      <c r="BP36" s="117"/>
      <c r="BQ36" s="117"/>
      <c r="BR36" s="117"/>
      <c r="BS36" s="117"/>
      <c r="BT36" s="117"/>
      <c r="BU36" s="117"/>
      <c r="BV36" s="117"/>
      <c r="BW36" s="117"/>
      <c r="BX36" s="117"/>
      <c r="BY36" s="117"/>
      <c r="BZ36" s="117"/>
      <c r="CA36" s="117"/>
      <c r="CB36" s="117"/>
      <c r="CC36" s="117"/>
      <c r="CD36" s="117"/>
      <c r="CE36" s="117"/>
      <c r="CF36" s="117"/>
      <c r="CG36" s="117"/>
      <c r="CH36" s="117"/>
      <c r="CI36" s="117"/>
      <c r="CJ36" s="117"/>
      <c r="CK36" s="117"/>
      <c r="CL36" s="117"/>
      <c r="CM36" s="117"/>
      <c r="CN36" s="117"/>
      <c r="CO36" s="117"/>
      <c r="CP36" s="117"/>
      <c r="CQ36" s="117"/>
      <c r="CR36" s="117"/>
      <c r="CS36" s="117"/>
      <c r="CT36" s="117"/>
      <c r="CU36" s="117"/>
      <c r="CV36" s="117"/>
      <c r="CW36" s="117"/>
      <c r="CX36" s="117"/>
      <c r="CY36" s="117"/>
      <c r="CZ36" s="117"/>
      <c r="DA36" s="117"/>
      <c r="DB36" s="117"/>
      <c r="DC36" s="117"/>
      <c r="DD36" s="117"/>
      <c r="DE36" s="117"/>
      <c r="DF36" s="117"/>
      <c r="DG36" s="117"/>
      <c r="DH36" s="117"/>
      <c r="DI36" s="117"/>
      <c r="DJ36" s="117"/>
      <c r="DK36" s="117"/>
      <c r="DL36" s="117"/>
      <c r="DM36" s="117"/>
      <c r="DN36" s="117"/>
      <c r="DO36" s="117"/>
      <c r="DP36" s="117"/>
      <c r="DQ36" s="117"/>
      <c r="DR36" s="117"/>
      <c r="DS36" s="117"/>
      <c r="DT36" s="117"/>
      <c r="DU36" s="117"/>
      <c r="DV36" s="117"/>
      <c r="DW36" s="117"/>
      <c r="DX36" s="117"/>
      <c r="DY36" s="117"/>
      <c r="DZ36" s="117"/>
      <c r="EA36" s="117"/>
      <c r="EB36" s="117"/>
      <c r="EC36" s="117"/>
      <c r="ED36" s="117"/>
      <c r="EE36" s="117"/>
      <c r="EF36" s="117"/>
      <c r="EG36" s="117"/>
      <c r="EH36" s="117"/>
      <c r="EI36" s="117"/>
      <c r="EJ36" s="117"/>
      <c r="EK36" s="117"/>
    </row>
    <row r="37" spans="1:141" s="129" customFormat="1" ht="12" thickBot="1" x14ac:dyDescent="0.25">
      <c r="A37" s="141">
        <v>15</v>
      </c>
      <c r="B37" s="243" t="s">
        <v>132</v>
      </c>
      <c r="C37" s="373"/>
      <c r="D37" s="186">
        <f t="shared" ref="D37:S37" si="7">+D35+D31</f>
        <v>40097366.32</v>
      </c>
      <c r="E37" s="186">
        <f t="shared" si="7"/>
        <v>62890979.420000002</v>
      </c>
      <c r="F37" s="186">
        <f t="shared" si="7"/>
        <v>357028728.44999999</v>
      </c>
      <c r="G37" s="186">
        <f t="shared" si="7"/>
        <v>0</v>
      </c>
      <c r="H37" s="186">
        <f t="shared" si="7"/>
        <v>131705195.84</v>
      </c>
      <c r="I37" s="186">
        <f t="shared" si="7"/>
        <v>591722270.02999997</v>
      </c>
      <c r="J37" s="182"/>
      <c r="K37" s="186">
        <f t="shared" si="7"/>
        <v>11349956.810000002</v>
      </c>
      <c r="L37" s="186">
        <f t="shared" si="7"/>
        <v>277204700.68000001</v>
      </c>
      <c r="M37" s="186">
        <f t="shared" si="7"/>
        <v>73810075.75999999</v>
      </c>
      <c r="N37" s="186">
        <f t="shared" si="7"/>
        <v>2774.48</v>
      </c>
      <c r="O37" s="186">
        <f t="shared" si="7"/>
        <v>202262173.61000001</v>
      </c>
      <c r="P37" s="186">
        <f t="shared" si="7"/>
        <v>-564139.09</v>
      </c>
      <c r="Q37" s="186">
        <f t="shared" si="7"/>
        <v>29883535.180000003</v>
      </c>
      <c r="R37" s="186">
        <f t="shared" si="7"/>
        <v>-989949.23</v>
      </c>
      <c r="S37" s="186">
        <f t="shared" si="7"/>
        <v>592959128.20000005</v>
      </c>
      <c r="T37" s="194"/>
      <c r="U37" s="201">
        <f>S37+I37</f>
        <v>1184681398.23</v>
      </c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  <c r="BY37" s="117"/>
      <c r="BZ37" s="117"/>
      <c r="CA37" s="117"/>
      <c r="CB37" s="117"/>
      <c r="CC37" s="117"/>
      <c r="CD37" s="117"/>
      <c r="CE37" s="117"/>
      <c r="CF37" s="117"/>
      <c r="CG37" s="117"/>
      <c r="CH37" s="117"/>
      <c r="CI37" s="117"/>
      <c r="CJ37" s="117"/>
      <c r="CK37" s="117"/>
      <c r="CL37" s="117"/>
      <c r="CM37" s="117"/>
      <c r="CN37" s="117"/>
      <c r="CO37" s="117"/>
      <c r="CP37" s="117"/>
      <c r="CQ37" s="117"/>
      <c r="CR37" s="117"/>
      <c r="CS37" s="117"/>
      <c r="CT37" s="117"/>
      <c r="CU37" s="117"/>
      <c r="CV37" s="117"/>
      <c r="CW37" s="117"/>
      <c r="CX37" s="117"/>
      <c r="CY37" s="117"/>
      <c r="CZ37" s="117"/>
      <c r="DA37" s="117"/>
      <c r="DB37" s="117"/>
      <c r="DC37" s="117"/>
      <c r="DD37" s="117"/>
      <c r="DE37" s="117"/>
      <c r="DF37" s="117"/>
      <c r="DG37" s="117"/>
      <c r="DH37" s="117"/>
      <c r="DI37" s="117"/>
      <c r="DJ37" s="117"/>
      <c r="DK37" s="117"/>
      <c r="DL37" s="117"/>
      <c r="DM37" s="117"/>
      <c r="DN37" s="117"/>
      <c r="DO37" s="117"/>
      <c r="DP37" s="117"/>
      <c r="DQ37" s="117"/>
      <c r="DR37" s="117"/>
      <c r="DS37" s="117"/>
      <c r="DT37" s="117"/>
      <c r="DU37" s="117"/>
      <c r="DV37" s="117"/>
      <c r="DW37" s="117"/>
      <c r="DX37" s="117"/>
      <c r="DY37" s="117"/>
      <c r="DZ37" s="117"/>
      <c r="EA37" s="117"/>
      <c r="EB37" s="117"/>
      <c r="EC37" s="117"/>
      <c r="ED37" s="117"/>
      <c r="EE37" s="117"/>
      <c r="EF37" s="117"/>
      <c r="EG37" s="117"/>
      <c r="EH37" s="117"/>
      <c r="EI37" s="117"/>
      <c r="EJ37" s="117"/>
      <c r="EK37" s="117"/>
    </row>
    <row r="38" spans="1:141" s="129" customFormat="1" ht="12" thickTop="1" x14ac:dyDescent="0.2">
      <c r="A38" s="141"/>
      <c r="B38" s="152"/>
      <c r="C38" s="373"/>
      <c r="D38" s="127"/>
      <c r="E38" s="127"/>
      <c r="F38" s="127"/>
      <c r="G38" s="127"/>
      <c r="H38" s="127"/>
      <c r="I38" s="127"/>
      <c r="J38" s="12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117"/>
      <c r="BS38" s="117"/>
      <c r="BT38" s="117"/>
      <c r="BU38" s="117"/>
      <c r="BV38" s="117"/>
      <c r="BW38" s="117"/>
      <c r="BX38" s="117"/>
      <c r="BY38" s="117"/>
      <c r="BZ38" s="117"/>
      <c r="CA38" s="117"/>
      <c r="CB38" s="117"/>
      <c r="CC38" s="117"/>
      <c r="CD38" s="117"/>
      <c r="CE38" s="117"/>
      <c r="CF38" s="117"/>
      <c r="CG38" s="117"/>
      <c r="CH38" s="117"/>
      <c r="CI38" s="117"/>
      <c r="CJ38" s="117"/>
      <c r="CK38" s="117"/>
      <c r="CL38" s="117"/>
      <c r="CM38" s="117"/>
      <c r="CN38" s="117"/>
      <c r="CO38" s="117"/>
      <c r="CP38" s="117"/>
      <c r="CQ38" s="117"/>
      <c r="CR38" s="117"/>
      <c r="CS38" s="117"/>
      <c r="CT38" s="117"/>
      <c r="CU38" s="117"/>
      <c r="CV38" s="117"/>
      <c r="CW38" s="117"/>
      <c r="CX38" s="117"/>
      <c r="CY38" s="117"/>
      <c r="CZ38" s="117"/>
      <c r="DA38" s="117"/>
      <c r="DB38" s="117"/>
      <c r="DC38" s="117"/>
      <c r="DD38" s="117"/>
      <c r="DE38" s="117"/>
      <c r="DF38" s="117"/>
      <c r="DG38" s="117"/>
      <c r="DH38" s="117"/>
      <c r="DI38" s="117"/>
      <c r="DJ38" s="117"/>
      <c r="DK38" s="117"/>
      <c r="DL38" s="117"/>
      <c r="DM38" s="117"/>
      <c r="DN38" s="117"/>
      <c r="DO38" s="117"/>
      <c r="DP38" s="117"/>
      <c r="DQ38" s="117"/>
      <c r="DR38" s="117"/>
      <c r="DS38" s="117"/>
      <c r="DT38" s="117"/>
      <c r="DU38" s="117"/>
      <c r="DV38" s="117"/>
      <c r="DW38" s="117"/>
      <c r="DX38" s="117"/>
      <c r="DY38" s="117"/>
      <c r="DZ38" s="117"/>
      <c r="EA38" s="117"/>
      <c r="EB38" s="117"/>
      <c r="EC38" s="117"/>
      <c r="ED38" s="117"/>
      <c r="EE38" s="117"/>
      <c r="EF38" s="117"/>
      <c r="EG38" s="117"/>
      <c r="EH38" s="117"/>
      <c r="EI38" s="117"/>
      <c r="EJ38" s="117"/>
      <c r="EK38" s="117"/>
    </row>
    <row r="39" spans="1:141" s="129" customFormat="1" x14ac:dyDescent="0.2">
      <c r="A39" s="141"/>
      <c r="B39" s="202"/>
      <c r="C39" s="373"/>
      <c r="D39" s="127"/>
      <c r="E39" s="127"/>
      <c r="F39" s="127"/>
      <c r="G39" s="127"/>
      <c r="H39" s="127"/>
      <c r="I39" s="127"/>
      <c r="J39" s="12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98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7"/>
      <c r="AX39" s="117"/>
      <c r="AY39" s="117"/>
      <c r="AZ39" s="117"/>
      <c r="BA39" s="117"/>
      <c r="BB39" s="117"/>
      <c r="BC39" s="117"/>
      <c r="BD39" s="117"/>
      <c r="BE39" s="117"/>
      <c r="BF39" s="117"/>
      <c r="BG39" s="117"/>
      <c r="BH39" s="117"/>
      <c r="BI39" s="117"/>
      <c r="BJ39" s="117"/>
      <c r="BK39" s="117"/>
      <c r="BL39" s="117"/>
      <c r="BM39" s="117"/>
      <c r="BN39" s="117"/>
      <c r="BO39" s="117"/>
      <c r="BP39" s="117"/>
      <c r="BQ39" s="117"/>
      <c r="BR39" s="117"/>
      <c r="BS39" s="117"/>
      <c r="BT39" s="117"/>
      <c r="BU39" s="117"/>
      <c r="BV39" s="117"/>
      <c r="BW39" s="117"/>
      <c r="BX39" s="117"/>
      <c r="BY39" s="117"/>
      <c r="BZ39" s="117"/>
      <c r="CA39" s="117"/>
      <c r="CB39" s="117"/>
      <c r="CC39" s="117"/>
      <c r="CD39" s="117"/>
      <c r="CE39" s="117"/>
      <c r="CF39" s="117"/>
      <c r="CG39" s="117"/>
      <c r="CH39" s="117"/>
      <c r="CI39" s="117"/>
      <c r="CJ39" s="117"/>
      <c r="CK39" s="117"/>
      <c r="CL39" s="117"/>
      <c r="CM39" s="117"/>
      <c r="CN39" s="117"/>
      <c r="CO39" s="117"/>
      <c r="CP39" s="117"/>
      <c r="CQ39" s="117"/>
      <c r="CR39" s="117"/>
      <c r="CS39" s="117"/>
      <c r="CT39" s="117"/>
      <c r="CU39" s="117"/>
      <c r="CV39" s="117"/>
      <c r="CW39" s="117"/>
      <c r="CX39" s="117"/>
      <c r="CY39" s="117"/>
      <c r="CZ39" s="117"/>
      <c r="DA39" s="117"/>
      <c r="DB39" s="117"/>
      <c r="DC39" s="117"/>
      <c r="DD39" s="117"/>
      <c r="DE39" s="117"/>
      <c r="DF39" s="117"/>
      <c r="DG39" s="117"/>
      <c r="DH39" s="117"/>
      <c r="DI39" s="117"/>
      <c r="DJ39" s="117"/>
      <c r="DK39" s="117"/>
      <c r="DL39" s="117"/>
      <c r="DM39" s="117"/>
      <c r="DN39" s="117"/>
      <c r="DO39" s="117"/>
      <c r="DP39" s="117"/>
      <c r="DQ39" s="117"/>
      <c r="DR39" s="117"/>
      <c r="DS39" s="117"/>
      <c r="DT39" s="117"/>
      <c r="DU39" s="117"/>
      <c r="DV39" s="117"/>
      <c r="DW39" s="117"/>
      <c r="DX39" s="117"/>
      <c r="DY39" s="117"/>
      <c r="DZ39" s="117"/>
      <c r="EA39" s="117"/>
      <c r="EB39" s="117"/>
      <c r="EC39" s="117"/>
      <c r="ED39" s="117"/>
      <c r="EE39" s="117"/>
      <c r="EF39" s="117"/>
      <c r="EG39" s="117"/>
      <c r="EH39" s="117"/>
      <c r="EI39" s="117"/>
      <c r="EJ39" s="117"/>
      <c r="EK39" s="117"/>
    </row>
    <row r="40" spans="1:141" s="129" customFormat="1" x14ac:dyDescent="0.2">
      <c r="A40" s="141"/>
      <c r="B40" s="202"/>
      <c r="C40" s="373"/>
      <c r="D40" s="127"/>
      <c r="E40" s="127"/>
      <c r="F40" s="127"/>
      <c r="G40" s="127"/>
      <c r="H40" s="127"/>
      <c r="I40" s="127"/>
      <c r="J40" s="12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98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7"/>
      <c r="BC40" s="117"/>
      <c r="BD40" s="117"/>
      <c r="BE40" s="117"/>
      <c r="BF40" s="117"/>
      <c r="BG40" s="117"/>
      <c r="BH40" s="117"/>
      <c r="BI40" s="117"/>
      <c r="BJ40" s="117"/>
      <c r="BK40" s="117"/>
      <c r="BL40" s="117"/>
      <c r="BM40" s="117"/>
      <c r="BN40" s="117"/>
      <c r="BO40" s="117"/>
      <c r="BP40" s="117"/>
      <c r="BQ40" s="117"/>
      <c r="BR40" s="117"/>
      <c r="BS40" s="117"/>
      <c r="BT40" s="117"/>
      <c r="BU40" s="117"/>
      <c r="BV40" s="117"/>
      <c r="BW40" s="117"/>
      <c r="BX40" s="117"/>
      <c r="BY40" s="117"/>
      <c r="BZ40" s="117"/>
      <c r="CA40" s="117"/>
      <c r="CB40" s="117"/>
      <c r="CC40" s="117"/>
      <c r="CD40" s="117"/>
      <c r="CE40" s="117"/>
      <c r="CF40" s="117"/>
      <c r="CG40" s="117"/>
      <c r="CH40" s="117"/>
      <c r="CI40" s="117"/>
      <c r="CJ40" s="117"/>
      <c r="CK40" s="117"/>
      <c r="CL40" s="117"/>
      <c r="CM40" s="117"/>
      <c r="CN40" s="117"/>
      <c r="CO40" s="117"/>
      <c r="CP40" s="117"/>
      <c r="CQ40" s="117"/>
      <c r="CR40" s="117"/>
      <c r="CS40" s="117"/>
      <c r="CT40" s="117"/>
      <c r="CU40" s="117"/>
      <c r="CV40" s="117"/>
      <c r="CW40" s="117"/>
      <c r="CX40" s="117"/>
      <c r="CY40" s="117"/>
      <c r="CZ40" s="117"/>
      <c r="DA40" s="117"/>
      <c r="DB40" s="117"/>
      <c r="DC40" s="117"/>
      <c r="DD40" s="117"/>
      <c r="DE40" s="117"/>
      <c r="DF40" s="117"/>
      <c r="DG40" s="117"/>
      <c r="DH40" s="117"/>
      <c r="DI40" s="117"/>
      <c r="DJ40" s="117"/>
      <c r="DK40" s="117"/>
      <c r="DL40" s="117"/>
      <c r="DM40" s="117"/>
      <c r="DN40" s="117"/>
      <c r="DO40" s="117"/>
      <c r="DP40" s="117"/>
      <c r="DQ40" s="117"/>
      <c r="DR40" s="117"/>
      <c r="DS40" s="117"/>
      <c r="DT40" s="117"/>
      <c r="DU40" s="117"/>
      <c r="DV40" s="117"/>
      <c r="DW40" s="117"/>
      <c r="DX40" s="117"/>
      <c r="DY40" s="117"/>
      <c r="DZ40" s="117"/>
      <c r="EA40" s="117"/>
      <c r="EB40" s="117"/>
      <c r="EC40" s="117"/>
      <c r="ED40" s="117"/>
      <c r="EE40" s="117"/>
      <c r="EF40" s="117"/>
      <c r="EG40" s="117"/>
      <c r="EH40" s="117"/>
      <c r="EI40" s="117"/>
      <c r="EJ40" s="117"/>
      <c r="EK40" s="117"/>
    </row>
    <row r="41" spans="1:141" s="129" customFormat="1" x14ac:dyDescent="0.2">
      <c r="A41" s="141"/>
      <c r="B41" s="152"/>
      <c r="C41" s="373"/>
      <c r="D41" s="127"/>
      <c r="E41" s="351"/>
      <c r="F41" s="127"/>
      <c r="G41" s="127"/>
      <c r="H41" s="127"/>
      <c r="I41" s="127"/>
      <c r="J41" s="12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98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7"/>
      <c r="AX41" s="117"/>
      <c r="AY41" s="117"/>
      <c r="AZ41" s="117"/>
      <c r="BA41" s="117"/>
      <c r="BB41" s="117"/>
      <c r="BC41" s="117"/>
      <c r="BD41" s="117"/>
      <c r="BE41" s="117"/>
      <c r="BF41" s="117"/>
      <c r="BG41" s="117"/>
      <c r="BH41" s="117"/>
      <c r="BI41" s="117"/>
      <c r="BJ41" s="117"/>
      <c r="BK41" s="117"/>
      <c r="BL41" s="117"/>
      <c r="BM41" s="117"/>
      <c r="BN41" s="117"/>
      <c r="BO41" s="117"/>
      <c r="BP41" s="117"/>
      <c r="BQ41" s="117"/>
      <c r="BR41" s="117"/>
      <c r="BS41" s="117"/>
      <c r="BT41" s="117"/>
      <c r="BU41" s="117"/>
      <c r="BV41" s="117"/>
      <c r="BW41" s="117"/>
      <c r="BX41" s="117"/>
      <c r="BY41" s="117"/>
      <c r="BZ41" s="117"/>
      <c r="CA41" s="117"/>
      <c r="CB41" s="117"/>
      <c r="CC41" s="117"/>
      <c r="CD41" s="117"/>
      <c r="CE41" s="117"/>
      <c r="CF41" s="117"/>
      <c r="CG41" s="117"/>
      <c r="CH41" s="117"/>
      <c r="CI41" s="117"/>
      <c r="CJ41" s="117"/>
      <c r="CK41" s="117"/>
      <c r="CL41" s="117"/>
      <c r="CM41" s="117"/>
      <c r="CN41" s="117"/>
      <c r="CO41" s="117"/>
      <c r="CP41" s="117"/>
      <c r="CQ41" s="117"/>
      <c r="CR41" s="117"/>
      <c r="CS41" s="117"/>
      <c r="CT41" s="117"/>
      <c r="CU41" s="117"/>
      <c r="CV41" s="117"/>
      <c r="CW41" s="117"/>
      <c r="CX41" s="117"/>
      <c r="CY41" s="117"/>
      <c r="CZ41" s="117"/>
      <c r="DA41" s="117"/>
      <c r="DB41" s="117"/>
      <c r="DC41" s="117"/>
      <c r="DD41" s="117"/>
      <c r="DE41" s="117"/>
      <c r="DF41" s="117"/>
      <c r="DG41" s="117"/>
      <c r="DH41" s="117"/>
      <c r="DI41" s="117"/>
      <c r="DJ41" s="117"/>
      <c r="DK41" s="117"/>
      <c r="DL41" s="117"/>
      <c r="DM41" s="117"/>
      <c r="DN41" s="117"/>
      <c r="DO41" s="117"/>
      <c r="DP41" s="117"/>
      <c r="DQ41" s="117"/>
      <c r="DR41" s="117"/>
      <c r="DS41" s="117"/>
      <c r="DT41" s="117"/>
      <c r="DU41" s="117"/>
      <c r="DV41" s="117"/>
      <c r="DW41" s="117"/>
      <c r="DX41" s="117"/>
      <c r="DY41" s="117"/>
      <c r="DZ41" s="117"/>
      <c r="EA41" s="117"/>
      <c r="EB41" s="117"/>
      <c r="EC41" s="117"/>
      <c r="ED41" s="117"/>
      <c r="EE41" s="117"/>
      <c r="EF41" s="117"/>
      <c r="EG41" s="117"/>
      <c r="EH41" s="117"/>
      <c r="EI41" s="117"/>
      <c r="EJ41" s="117"/>
      <c r="EK41" s="117"/>
    </row>
    <row r="42" spans="1:141" ht="11.25" customHeight="1" x14ac:dyDescent="0.2">
      <c r="A42" s="388" t="str">
        <f>+A8</f>
        <v xml:space="preserve">AEP TEXAS </v>
      </c>
      <c r="B42" s="388"/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227"/>
    </row>
    <row r="43" spans="1:141" ht="12.75" customHeight="1" x14ac:dyDescent="0.2">
      <c r="A43" s="393" t="s">
        <v>104</v>
      </c>
      <c r="B43" s="393"/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</row>
    <row r="44" spans="1:141" ht="12.75" customHeight="1" x14ac:dyDescent="0.2">
      <c r="A44" s="393" t="str">
        <f>+A10</f>
        <v>FOR TEST YEAR ENDED DECEMBER 31, 2018</v>
      </c>
      <c r="B44" s="393"/>
      <c r="C44" s="393"/>
      <c r="D44" s="393"/>
      <c r="E44" s="393"/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</row>
    <row r="45" spans="1:141" x14ac:dyDescent="0.2">
      <c r="B45" s="124"/>
      <c r="C45" s="373"/>
      <c r="D45" s="373"/>
      <c r="E45" s="373"/>
      <c r="F45" s="231"/>
      <c r="G45" s="231"/>
      <c r="H45" s="373"/>
      <c r="I45" s="373"/>
      <c r="J45" s="374"/>
    </row>
    <row r="46" spans="1:141" x14ac:dyDescent="0.2">
      <c r="B46" s="124"/>
      <c r="D46" s="345"/>
      <c r="E46" s="177"/>
      <c r="F46" s="177"/>
      <c r="G46" s="177"/>
    </row>
    <row r="47" spans="1:141" ht="45" x14ac:dyDescent="0.2">
      <c r="A47" s="373" t="s">
        <v>20</v>
      </c>
      <c r="B47" s="375" t="s">
        <v>0</v>
      </c>
      <c r="C47" s="375" t="s">
        <v>19</v>
      </c>
      <c r="D47" s="352" t="str">
        <f>$D$13</f>
        <v>Customer Revenue - Base Tariff</v>
      </c>
      <c r="E47" s="352" t="str">
        <f>$E$13</f>
        <v xml:space="preserve">Meter Revenue - Base Tariff </v>
      </c>
      <c r="F47" s="232" t="s">
        <v>105</v>
      </c>
      <c r="G47" s="352" t="str">
        <f>$G$13</f>
        <v>Facilities Charge</v>
      </c>
      <c r="H47" s="352" t="str">
        <f>$H$13</f>
        <v>Transmission Service Revenue - Base Tariff</v>
      </c>
      <c r="I47" s="352" t="str">
        <f>$I$13</f>
        <v>Total Base Tariff Revenue</v>
      </c>
      <c r="J47" s="353"/>
      <c r="K47" s="352" t="str">
        <f>$K$13</f>
        <v>Energy Efficiency Rider</v>
      </c>
      <c r="L47" s="352" t="str">
        <f>$L$13</f>
        <v>Transition Charge Riders (TC)</v>
      </c>
      <c r="M47" s="347" t="s">
        <v>121</v>
      </c>
      <c r="N47" s="352" t="str">
        <f>$N$13</f>
        <v xml:space="preserve">Competitive Metering Rider </v>
      </c>
      <c r="O47" s="352" t="str">
        <f>$O$13</f>
        <v>Transmission Cost Recovery Rider (TCRF)</v>
      </c>
      <c r="P47" s="352" t="str">
        <f>$P$13</f>
        <v>State Colleges and Universities Discount Rider</v>
      </c>
      <c r="Q47" s="352" t="str">
        <f>$Q$13</f>
        <v>Advanced Metering Recovery Rider</v>
      </c>
      <c r="R47" s="352" t="str">
        <f>+R13</f>
        <v>Misc Riders</v>
      </c>
      <c r="S47" s="352" t="str">
        <f>$S$13</f>
        <v>Total Riders</v>
      </c>
      <c r="T47" s="348"/>
      <c r="U47" s="352" t="str">
        <f>$U$13</f>
        <v>Total Revenue</v>
      </c>
    </row>
    <row r="48" spans="1:141" x14ac:dyDescent="0.2">
      <c r="B48" s="375"/>
      <c r="C48" s="375"/>
      <c r="D48" s="164"/>
      <c r="E48" s="164"/>
      <c r="F48" s="164"/>
      <c r="G48" s="164"/>
      <c r="H48" s="164"/>
      <c r="I48" s="164"/>
      <c r="J48" s="193"/>
    </row>
    <row r="49" spans="1:141" s="129" customFormat="1" x14ac:dyDescent="0.2">
      <c r="A49" s="141" t="s">
        <v>21</v>
      </c>
      <c r="B49" s="129" t="s">
        <v>29</v>
      </c>
      <c r="C49" s="143" t="s">
        <v>16</v>
      </c>
      <c r="D49" s="149"/>
      <c r="E49" s="149"/>
      <c r="F49" s="149">
        <f>'II-H-4.1 Monthly'!P80</f>
        <v>-4362164.4399999995</v>
      </c>
      <c r="G49" s="149"/>
      <c r="H49" s="149">
        <f>-H15</f>
        <v>-63989338.81000001</v>
      </c>
      <c r="I49" s="149">
        <f>H49+F49+E49+D49</f>
        <v>-68351503.250000015</v>
      </c>
      <c r="J49" s="194"/>
      <c r="K49" s="194">
        <f t="shared" ref="K49:P49" si="8">-K15</f>
        <v>-6852076.4600000009</v>
      </c>
      <c r="L49" s="194">
        <f t="shared" si="8"/>
        <v>-114747206.58999999</v>
      </c>
      <c r="M49" s="194">
        <f t="shared" si="8"/>
        <v>-38120918.289999992</v>
      </c>
      <c r="N49" s="194">
        <f t="shared" si="8"/>
        <v>0</v>
      </c>
      <c r="O49" s="194">
        <f t="shared" si="8"/>
        <v>-95799428.370000005</v>
      </c>
      <c r="P49" s="194">
        <f t="shared" si="8"/>
        <v>8840.33</v>
      </c>
      <c r="Q49" s="194">
        <f t="shared" ref="Q49:R49" si="9">-Q15</f>
        <v>-23799601.610000003</v>
      </c>
      <c r="R49" s="194">
        <f t="shared" si="9"/>
        <v>524890.6</v>
      </c>
      <c r="S49" s="194">
        <f>SUM(K49:R49)</f>
        <v>-278785500.38999993</v>
      </c>
      <c r="T49" s="194"/>
      <c r="U49" s="194">
        <f>S49+I49</f>
        <v>-347137003.63999993</v>
      </c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17"/>
      <c r="BG49" s="117"/>
      <c r="BH49" s="117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117"/>
      <c r="BT49" s="117"/>
      <c r="BU49" s="117"/>
      <c r="BV49" s="117"/>
      <c r="BW49" s="117"/>
      <c r="BX49" s="117"/>
      <c r="BY49" s="117"/>
      <c r="BZ49" s="117"/>
      <c r="CA49" s="117"/>
      <c r="CB49" s="117"/>
      <c r="CC49" s="117"/>
      <c r="CD49" s="117"/>
      <c r="CE49" s="117"/>
      <c r="CF49" s="117"/>
      <c r="CG49" s="117"/>
      <c r="CH49" s="117"/>
      <c r="CI49" s="117"/>
      <c r="CJ49" s="117"/>
      <c r="CK49" s="117"/>
      <c r="CL49" s="117"/>
      <c r="CM49" s="117"/>
      <c r="CN49" s="117"/>
      <c r="CO49" s="117"/>
      <c r="CP49" s="117"/>
      <c r="CQ49" s="117"/>
      <c r="CR49" s="117"/>
      <c r="CS49" s="117"/>
      <c r="CT49" s="117"/>
      <c r="CU49" s="117"/>
      <c r="CV49" s="117"/>
      <c r="CW49" s="117"/>
      <c r="CX49" s="117"/>
      <c r="CY49" s="117"/>
      <c r="CZ49" s="117"/>
      <c r="DA49" s="117"/>
      <c r="DB49" s="117"/>
      <c r="DC49" s="117"/>
      <c r="DD49" s="117"/>
      <c r="DE49" s="117"/>
      <c r="DF49" s="117"/>
      <c r="DG49" s="117"/>
      <c r="DH49" s="117"/>
      <c r="DI49" s="117"/>
      <c r="DJ49" s="117"/>
      <c r="DK49" s="117"/>
      <c r="DL49" s="117"/>
      <c r="DM49" s="117"/>
      <c r="DN49" s="117"/>
      <c r="DO49" s="117"/>
      <c r="DP49" s="117"/>
      <c r="DQ49" s="117"/>
      <c r="DR49" s="117"/>
      <c r="DS49" s="117"/>
      <c r="DT49" s="117"/>
      <c r="DU49" s="117"/>
      <c r="DV49" s="117"/>
      <c r="DW49" s="117"/>
      <c r="DX49" s="117"/>
      <c r="DY49" s="117"/>
      <c r="DZ49" s="117"/>
      <c r="EA49" s="117"/>
      <c r="EB49" s="117"/>
      <c r="EC49" s="117"/>
      <c r="ED49" s="117"/>
      <c r="EE49" s="117"/>
      <c r="EF49" s="117"/>
      <c r="EG49" s="117"/>
      <c r="EH49" s="117"/>
      <c r="EI49" s="117"/>
      <c r="EJ49" s="117"/>
      <c r="EK49" s="117"/>
    </row>
    <row r="50" spans="1:141" s="129" customFormat="1" x14ac:dyDescent="0.2">
      <c r="C50" s="143"/>
      <c r="D50" s="171"/>
      <c r="E50" s="171"/>
      <c r="F50" s="171"/>
      <c r="G50" s="171"/>
      <c r="H50" s="171"/>
      <c r="I50" s="171"/>
      <c r="J50" s="197"/>
      <c r="K50" s="117"/>
      <c r="L50" s="117"/>
      <c r="M50" s="117"/>
      <c r="N50" s="195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7"/>
      <c r="BQ50" s="117"/>
      <c r="BR50" s="117"/>
      <c r="BS50" s="117"/>
      <c r="BT50" s="117"/>
      <c r="BU50" s="117"/>
      <c r="BV50" s="117"/>
      <c r="BW50" s="117"/>
      <c r="BX50" s="117"/>
      <c r="BY50" s="117"/>
      <c r="BZ50" s="117"/>
      <c r="CA50" s="117"/>
      <c r="CB50" s="117"/>
      <c r="CC50" s="117"/>
      <c r="CD50" s="117"/>
      <c r="CE50" s="117"/>
      <c r="CF50" s="117"/>
      <c r="CG50" s="117"/>
      <c r="CH50" s="117"/>
      <c r="CI50" s="117"/>
      <c r="CJ50" s="117"/>
      <c r="CK50" s="117"/>
      <c r="CL50" s="117"/>
      <c r="CM50" s="117"/>
      <c r="CN50" s="117"/>
      <c r="CO50" s="117"/>
      <c r="CP50" s="117"/>
      <c r="CQ50" s="117"/>
      <c r="CR50" s="117"/>
      <c r="CS50" s="117"/>
      <c r="CT50" s="117"/>
      <c r="CU50" s="117"/>
      <c r="CV50" s="117"/>
      <c r="CW50" s="117"/>
      <c r="CX50" s="117"/>
      <c r="CY50" s="117"/>
      <c r="CZ50" s="117"/>
      <c r="DA50" s="117"/>
      <c r="DB50" s="117"/>
      <c r="DC50" s="117"/>
      <c r="DD50" s="117"/>
      <c r="DE50" s="117"/>
      <c r="DF50" s="117"/>
      <c r="DG50" s="117"/>
      <c r="DH50" s="117"/>
      <c r="DI50" s="117"/>
      <c r="DJ50" s="117"/>
      <c r="DK50" s="117"/>
      <c r="DL50" s="117"/>
      <c r="DM50" s="117"/>
      <c r="DN50" s="117"/>
      <c r="DO50" s="117"/>
      <c r="DP50" s="117"/>
      <c r="DQ50" s="117"/>
      <c r="DR50" s="117"/>
      <c r="DS50" s="117"/>
      <c r="DT50" s="117"/>
      <c r="DU50" s="117"/>
      <c r="DV50" s="117"/>
      <c r="DW50" s="117"/>
      <c r="DX50" s="117"/>
      <c r="DY50" s="117"/>
      <c r="DZ50" s="117"/>
      <c r="EA50" s="117"/>
      <c r="EB50" s="117"/>
      <c r="EC50" s="117"/>
      <c r="ED50" s="117"/>
      <c r="EE50" s="117"/>
      <c r="EF50" s="117"/>
      <c r="EG50" s="117"/>
      <c r="EH50" s="117"/>
      <c r="EI50" s="117"/>
      <c r="EJ50" s="117"/>
      <c r="EK50" s="117"/>
    </row>
    <row r="51" spans="1:141" s="129" customFormat="1" x14ac:dyDescent="0.2">
      <c r="A51" s="141">
        <v>2</v>
      </c>
      <c r="B51" s="129" t="s">
        <v>32</v>
      </c>
      <c r="C51" s="143" t="s">
        <v>16</v>
      </c>
      <c r="D51" s="122"/>
      <c r="E51" s="122"/>
      <c r="F51" s="122">
        <f>'II-H-4.1 Monthly'!P82</f>
        <v>-160723.85</v>
      </c>
      <c r="G51" s="122"/>
      <c r="H51" s="122">
        <f>-H17</f>
        <v>-1548795.42</v>
      </c>
      <c r="I51" s="122">
        <f>H51+F51+E51+D51</f>
        <v>-1709519.27</v>
      </c>
      <c r="J51" s="142"/>
      <c r="K51" s="194">
        <f>-K17</f>
        <v>-139559</v>
      </c>
      <c r="L51" s="195">
        <f t="shared" ref="K51:P63" si="10">-L17</f>
        <v>-10869601.220000003</v>
      </c>
      <c r="M51" s="194">
        <f>-M17</f>
        <v>-5077510.0100000007</v>
      </c>
      <c r="N51" s="195">
        <f t="shared" si="10"/>
        <v>0</v>
      </c>
      <c r="O51" s="142">
        <f t="shared" si="10"/>
        <v>-2695806.9899999998</v>
      </c>
      <c r="P51" s="195">
        <f t="shared" si="10"/>
        <v>7355.89</v>
      </c>
      <c r="Q51" s="195">
        <f t="shared" ref="Q51:R51" si="11">-Q17</f>
        <v>-4429023.3100000005</v>
      </c>
      <c r="R51" s="195">
        <f t="shared" si="11"/>
        <v>36322.54</v>
      </c>
      <c r="S51" s="194">
        <f>SUM(K51:R51)</f>
        <v>-23167822.100000001</v>
      </c>
      <c r="T51" s="142"/>
      <c r="U51" s="142">
        <f>S51+I51</f>
        <v>-24877341.370000001</v>
      </c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7"/>
      <c r="BQ51" s="117"/>
      <c r="BR51" s="117"/>
      <c r="BS51" s="117"/>
      <c r="BT51" s="117"/>
      <c r="BU51" s="117"/>
      <c r="BV51" s="117"/>
      <c r="BW51" s="117"/>
      <c r="BX51" s="117"/>
      <c r="BY51" s="117"/>
      <c r="BZ51" s="117"/>
      <c r="CA51" s="117"/>
      <c r="CB51" s="117"/>
      <c r="CC51" s="117"/>
      <c r="CD51" s="117"/>
      <c r="CE51" s="117"/>
      <c r="CF51" s="117"/>
      <c r="CG51" s="117"/>
      <c r="CH51" s="117"/>
      <c r="CI51" s="117"/>
      <c r="CJ51" s="117"/>
      <c r="CK51" s="117"/>
      <c r="CL51" s="117"/>
      <c r="CM51" s="117"/>
      <c r="CN51" s="117"/>
      <c r="CO51" s="117"/>
      <c r="CP51" s="117"/>
      <c r="CQ51" s="117"/>
      <c r="CR51" s="117"/>
      <c r="CS51" s="117"/>
      <c r="CT51" s="117"/>
      <c r="CU51" s="117"/>
      <c r="CV51" s="117"/>
      <c r="CW51" s="117"/>
      <c r="CX51" s="117"/>
      <c r="CY51" s="117"/>
      <c r="CZ51" s="117"/>
      <c r="DA51" s="117"/>
      <c r="DB51" s="117"/>
      <c r="DC51" s="117"/>
      <c r="DD51" s="117"/>
      <c r="DE51" s="117"/>
      <c r="DF51" s="117"/>
      <c r="DG51" s="117"/>
      <c r="DH51" s="117"/>
      <c r="DI51" s="117"/>
      <c r="DJ51" s="117"/>
      <c r="DK51" s="117"/>
      <c r="DL51" s="117"/>
      <c r="DM51" s="117"/>
      <c r="DN51" s="117"/>
      <c r="DO51" s="117"/>
      <c r="DP51" s="117"/>
      <c r="DQ51" s="117"/>
      <c r="DR51" s="117"/>
      <c r="DS51" s="117"/>
      <c r="DT51" s="117"/>
      <c r="DU51" s="117"/>
      <c r="DV51" s="117"/>
      <c r="DW51" s="117"/>
      <c r="DX51" s="117"/>
      <c r="DY51" s="117"/>
      <c r="DZ51" s="117"/>
      <c r="EA51" s="117"/>
      <c r="EB51" s="117"/>
      <c r="EC51" s="117"/>
      <c r="ED51" s="117"/>
      <c r="EE51" s="117"/>
      <c r="EF51" s="117"/>
      <c r="EG51" s="117"/>
      <c r="EH51" s="117"/>
      <c r="EI51" s="117"/>
      <c r="EJ51" s="117"/>
      <c r="EK51" s="117"/>
    </row>
    <row r="52" spans="1:141" s="129" customFormat="1" x14ac:dyDescent="0.2">
      <c r="A52" s="141"/>
      <c r="C52" s="143"/>
      <c r="D52" s="122"/>
      <c r="E52" s="122"/>
      <c r="F52" s="122"/>
      <c r="G52" s="122"/>
      <c r="H52" s="122"/>
      <c r="I52" s="122"/>
      <c r="J52" s="142"/>
      <c r="K52" s="117"/>
      <c r="L52" s="117"/>
      <c r="M52" s="117"/>
      <c r="N52" s="117"/>
      <c r="O52" s="142"/>
      <c r="P52" s="117"/>
      <c r="Q52" s="117"/>
      <c r="R52" s="117"/>
      <c r="S52" s="117"/>
      <c r="T52" s="117"/>
      <c r="U52" s="142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C52" s="117"/>
      <c r="BD52" s="117"/>
      <c r="BE52" s="117"/>
      <c r="BF52" s="117"/>
      <c r="BG52" s="117"/>
      <c r="BH52" s="117"/>
      <c r="BI52" s="117"/>
      <c r="BJ52" s="117"/>
      <c r="BK52" s="117"/>
      <c r="BL52" s="117"/>
      <c r="BM52" s="117"/>
      <c r="BN52" s="117"/>
      <c r="BO52" s="117"/>
      <c r="BP52" s="117"/>
      <c r="BQ52" s="117"/>
      <c r="BR52" s="117"/>
      <c r="BS52" s="117"/>
      <c r="BT52" s="117"/>
      <c r="BU52" s="117"/>
      <c r="BV52" s="117"/>
      <c r="BW52" s="117"/>
      <c r="BX52" s="117"/>
      <c r="BY52" s="117"/>
      <c r="BZ52" s="117"/>
      <c r="CA52" s="117"/>
      <c r="CB52" s="117"/>
      <c r="CC52" s="117"/>
      <c r="CD52" s="117"/>
      <c r="CE52" s="117"/>
      <c r="CF52" s="117"/>
      <c r="CG52" s="117"/>
      <c r="CH52" s="117"/>
      <c r="CI52" s="117"/>
      <c r="CJ52" s="117"/>
      <c r="CK52" s="117"/>
      <c r="CL52" s="117"/>
      <c r="CM52" s="117"/>
      <c r="CN52" s="117"/>
      <c r="CO52" s="117"/>
      <c r="CP52" s="117"/>
      <c r="CQ52" s="117"/>
      <c r="CR52" s="117"/>
      <c r="CS52" s="117"/>
      <c r="CT52" s="117"/>
      <c r="CU52" s="117"/>
      <c r="CV52" s="117"/>
      <c r="CW52" s="117"/>
      <c r="CX52" s="117"/>
      <c r="CY52" s="117"/>
      <c r="CZ52" s="117"/>
      <c r="DA52" s="117"/>
      <c r="DB52" s="117"/>
      <c r="DC52" s="117"/>
      <c r="DD52" s="117"/>
      <c r="DE52" s="117"/>
      <c r="DF52" s="117"/>
      <c r="DG52" s="117"/>
      <c r="DH52" s="117"/>
      <c r="DI52" s="117"/>
      <c r="DJ52" s="117"/>
      <c r="DK52" s="117"/>
      <c r="DL52" s="117"/>
      <c r="DM52" s="117"/>
      <c r="DN52" s="117"/>
      <c r="DO52" s="117"/>
      <c r="DP52" s="117"/>
      <c r="DQ52" s="117"/>
      <c r="DR52" s="117"/>
      <c r="DS52" s="117"/>
      <c r="DT52" s="117"/>
      <c r="DU52" s="117"/>
      <c r="DV52" s="117"/>
      <c r="DW52" s="117"/>
      <c r="DX52" s="117"/>
      <c r="DY52" s="117"/>
      <c r="DZ52" s="117"/>
      <c r="EA52" s="117"/>
      <c r="EB52" s="117"/>
      <c r="EC52" s="117"/>
      <c r="ED52" s="117"/>
      <c r="EE52" s="117"/>
      <c r="EF52" s="117"/>
      <c r="EG52" s="117"/>
      <c r="EH52" s="117"/>
      <c r="EI52" s="117"/>
      <c r="EJ52" s="117"/>
      <c r="EK52" s="117"/>
    </row>
    <row r="53" spans="1:141" s="129" customFormat="1" x14ac:dyDescent="0.2">
      <c r="A53" s="141">
        <v>3</v>
      </c>
      <c r="B53" s="146" t="s">
        <v>113</v>
      </c>
      <c r="C53" s="125" t="s">
        <v>16</v>
      </c>
      <c r="D53" s="142"/>
      <c r="E53" s="142"/>
      <c r="F53" s="122">
        <f>'II-H-4.1 Monthly'!P84</f>
        <v>-2559350.1000000006</v>
      </c>
      <c r="G53" s="142"/>
      <c r="H53" s="122">
        <f>-H19</f>
        <v>-36701168.18</v>
      </c>
      <c r="I53" s="122">
        <f>H53+F53+E53+D53</f>
        <v>-39260518.280000001</v>
      </c>
      <c r="J53" s="142"/>
      <c r="K53" s="194">
        <f t="shared" ref="K53:K54" si="12">-K19</f>
        <v>-3502203.93</v>
      </c>
      <c r="L53" s="195">
        <f t="shared" si="10"/>
        <v>-97782093.670000002</v>
      </c>
      <c r="M53" s="194">
        <f t="shared" si="10"/>
        <v>-21514315.939999998</v>
      </c>
      <c r="N53" s="195">
        <f t="shared" si="10"/>
        <v>0</v>
      </c>
      <c r="O53" s="142">
        <f>-O19</f>
        <v>-59877724.68</v>
      </c>
      <c r="P53" s="195">
        <f t="shared" si="10"/>
        <v>162767.70000000001</v>
      </c>
      <c r="Q53" s="195">
        <f t="shared" ref="Q53:R53" si="13">-Q19</f>
        <v>-1671203.2399999998</v>
      </c>
      <c r="R53" s="195">
        <f t="shared" si="13"/>
        <v>272150.19</v>
      </c>
      <c r="S53" s="194">
        <f t="shared" ref="S53:S54" si="14">SUM(K53:R53)</f>
        <v>-183912623.57000002</v>
      </c>
      <c r="T53" s="142"/>
      <c r="U53" s="142">
        <f>S53+I53</f>
        <v>-223173141.85000002</v>
      </c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17"/>
      <c r="BF53" s="117"/>
      <c r="BG53" s="117"/>
      <c r="BH53" s="117"/>
      <c r="BI53" s="117"/>
      <c r="BJ53" s="117"/>
      <c r="BK53" s="117"/>
      <c r="BL53" s="117"/>
      <c r="BM53" s="117"/>
      <c r="BN53" s="117"/>
      <c r="BO53" s="117"/>
      <c r="BP53" s="117"/>
      <c r="BQ53" s="117"/>
      <c r="BR53" s="117"/>
      <c r="BS53" s="117"/>
      <c r="BT53" s="117"/>
      <c r="BU53" s="117"/>
      <c r="BV53" s="117"/>
      <c r="BW53" s="117"/>
      <c r="BX53" s="117"/>
      <c r="BY53" s="117"/>
      <c r="BZ53" s="117"/>
      <c r="CA53" s="117"/>
      <c r="CB53" s="117"/>
      <c r="CC53" s="117"/>
      <c r="CD53" s="117"/>
      <c r="CE53" s="117"/>
      <c r="CF53" s="117"/>
      <c r="CG53" s="117"/>
      <c r="CH53" s="117"/>
      <c r="CI53" s="117"/>
      <c r="CJ53" s="117"/>
      <c r="CK53" s="117"/>
      <c r="CL53" s="117"/>
      <c r="CM53" s="117"/>
      <c r="CN53" s="117"/>
      <c r="CO53" s="117"/>
      <c r="CP53" s="117"/>
      <c r="CQ53" s="117"/>
      <c r="CR53" s="117"/>
      <c r="CS53" s="117"/>
      <c r="CT53" s="117"/>
      <c r="CU53" s="117"/>
      <c r="CV53" s="117"/>
      <c r="CW53" s="117"/>
      <c r="CX53" s="117"/>
      <c r="CY53" s="117"/>
      <c r="CZ53" s="117"/>
      <c r="DA53" s="117"/>
      <c r="DB53" s="117"/>
      <c r="DC53" s="117"/>
      <c r="DD53" s="117"/>
      <c r="DE53" s="117"/>
      <c r="DF53" s="117"/>
      <c r="DG53" s="117"/>
      <c r="DH53" s="117"/>
      <c r="DI53" s="117"/>
      <c r="DJ53" s="117"/>
      <c r="DK53" s="117"/>
      <c r="DL53" s="117"/>
      <c r="DM53" s="117"/>
      <c r="DN53" s="117"/>
      <c r="DO53" s="117"/>
      <c r="DP53" s="117"/>
      <c r="DQ53" s="117"/>
      <c r="DR53" s="117"/>
      <c r="DS53" s="117"/>
      <c r="DT53" s="117"/>
      <c r="DU53" s="117"/>
      <c r="DV53" s="117"/>
      <c r="DW53" s="117"/>
      <c r="DX53" s="117"/>
      <c r="DY53" s="117"/>
      <c r="DZ53" s="117"/>
      <c r="EA53" s="117"/>
      <c r="EB53" s="117"/>
      <c r="EC53" s="117"/>
      <c r="ED53" s="117"/>
      <c r="EE53" s="117"/>
      <c r="EF53" s="117"/>
      <c r="EG53" s="117"/>
      <c r="EH53" s="117"/>
      <c r="EI53" s="117"/>
      <c r="EJ53" s="117"/>
      <c r="EK53" s="117"/>
    </row>
    <row r="54" spans="1:141" s="129" customFormat="1" x14ac:dyDescent="0.2">
      <c r="A54" s="141">
        <v>4</v>
      </c>
      <c r="B54" s="146" t="s">
        <v>114</v>
      </c>
      <c r="C54" s="125" t="s">
        <v>16</v>
      </c>
      <c r="D54" s="123"/>
      <c r="E54" s="123"/>
      <c r="F54" s="123">
        <f>'II-H-4.1 Monthly'!P85</f>
        <v>-255356.60000000003</v>
      </c>
      <c r="G54" s="123"/>
      <c r="H54" s="123">
        <f>-H20</f>
        <v>-4133847.0599999996</v>
      </c>
      <c r="I54" s="123">
        <f>H54+F54+E54+D54</f>
        <v>-4389203.6599999992</v>
      </c>
      <c r="J54" s="142"/>
      <c r="K54" s="247">
        <f t="shared" si="12"/>
        <v>-556575.63</v>
      </c>
      <c r="L54" s="196">
        <f t="shared" si="10"/>
        <v>-8300549.8599999994</v>
      </c>
      <c r="M54" s="247">
        <f t="shared" si="10"/>
        <v>-2276327.1599999997</v>
      </c>
      <c r="N54" s="196">
        <f t="shared" si="10"/>
        <v>0</v>
      </c>
      <c r="O54" s="123">
        <f>-O20</f>
        <v>-5232799.9700000007</v>
      </c>
      <c r="P54" s="196">
        <f t="shared" si="10"/>
        <v>46593.72</v>
      </c>
      <c r="Q54" s="196">
        <f t="shared" ref="Q54:R54" si="15">-Q20</f>
        <v>0</v>
      </c>
      <c r="R54" s="196">
        <f t="shared" si="15"/>
        <v>25654.91</v>
      </c>
      <c r="S54" s="247">
        <f t="shared" si="14"/>
        <v>-16294003.99</v>
      </c>
      <c r="T54" s="142"/>
      <c r="U54" s="123">
        <f>S54+I54</f>
        <v>-20683207.649999999</v>
      </c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7"/>
      <c r="BH54" s="117"/>
      <c r="BI54" s="117"/>
      <c r="BJ54" s="117"/>
      <c r="BK54" s="117"/>
      <c r="BL54" s="117"/>
      <c r="BM54" s="117"/>
      <c r="BN54" s="117"/>
      <c r="BO54" s="117"/>
      <c r="BP54" s="117"/>
      <c r="BQ54" s="117"/>
      <c r="BR54" s="117"/>
      <c r="BS54" s="117"/>
      <c r="BT54" s="117"/>
      <c r="BU54" s="117"/>
      <c r="BV54" s="117"/>
      <c r="BW54" s="117"/>
      <c r="BX54" s="117"/>
      <c r="BY54" s="117"/>
      <c r="BZ54" s="117"/>
      <c r="CA54" s="117"/>
      <c r="CB54" s="117"/>
      <c r="CC54" s="117"/>
      <c r="CD54" s="117"/>
      <c r="CE54" s="117"/>
      <c r="CF54" s="117"/>
      <c r="CG54" s="117"/>
      <c r="CH54" s="117"/>
      <c r="CI54" s="117"/>
      <c r="CJ54" s="117"/>
      <c r="CK54" s="117"/>
      <c r="CL54" s="117"/>
      <c r="CM54" s="117"/>
      <c r="CN54" s="117"/>
      <c r="CO54" s="117"/>
      <c r="CP54" s="117"/>
      <c r="CQ54" s="117"/>
      <c r="CR54" s="117"/>
      <c r="CS54" s="117"/>
      <c r="CT54" s="117"/>
      <c r="CU54" s="117"/>
      <c r="CV54" s="117"/>
      <c r="CW54" s="117"/>
      <c r="CX54" s="117"/>
      <c r="CY54" s="117"/>
      <c r="CZ54" s="117"/>
      <c r="DA54" s="117"/>
      <c r="DB54" s="117"/>
      <c r="DC54" s="117"/>
      <c r="DD54" s="117"/>
      <c r="DE54" s="117"/>
      <c r="DF54" s="117"/>
      <c r="DG54" s="117"/>
      <c r="DH54" s="117"/>
      <c r="DI54" s="117"/>
      <c r="DJ54" s="117"/>
      <c r="DK54" s="117"/>
      <c r="DL54" s="117"/>
      <c r="DM54" s="117"/>
      <c r="DN54" s="117"/>
      <c r="DO54" s="117"/>
      <c r="DP54" s="117"/>
      <c r="DQ54" s="117"/>
      <c r="DR54" s="117"/>
      <c r="DS54" s="117"/>
      <c r="DT54" s="117"/>
      <c r="DU54" s="117"/>
      <c r="DV54" s="117"/>
      <c r="DW54" s="117"/>
      <c r="DX54" s="117"/>
      <c r="DY54" s="117"/>
      <c r="DZ54" s="117"/>
      <c r="EA54" s="117"/>
      <c r="EB54" s="117"/>
      <c r="EC54" s="117"/>
      <c r="ED54" s="117"/>
      <c r="EE54" s="117"/>
      <c r="EF54" s="117"/>
      <c r="EG54" s="117"/>
      <c r="EH54" s="117"/>
      <c r="EI54" s="117"/>
      <c r="EJ54" s="117"/>
      <c r="EK54" s="117"/>
    </row>
    <row r="55" spans="1:141" s="129" customFormat="1" x14ac:dyDescent="0.2">
      <c r="A55" s="141">
        <v>5</v>
      </c>
      <c r="B55" s="162" t="s">
        <v>30</v>
      </c>
      <c r="C55" s="143"/>
      <c r="D55" s="157">
        <f t="shared" ref="D55:I55" si="16">SUM(D53:D54)</f>
        <v>0</v>
      </c>
      <c r="E55" s="157">
        <f t="shared" si="16"/>
        <v>0</v>
      </c>
      <c r="F55" s="157">
        <f t="shared" si="16"/>
        <v>-2814706.7000000007</v>
      </c>
      <c r="G55" s="157">
        <f t="shared" si="16"/>
        <v>0</v>
      </c>
      <c r="H55" s="157">
        <f t="shared" si="16"/>
        <v>-40835015.240000002</v>
      </c>
      <c r="I55" s="157">
        <f t="shared" si="16"/>
        <v>-43649721.939999998</v>
      </c>
      <c r="J55" s="128"/>
      <c r="K55" s="195">
        <f t="shared" si="10"/>
        <v>-4058779.56</v>
      </c>
      <c r="L55" s="195">
        <f t="shared" si="10"/>
        <v>-106082643.53</v>
      </c>
      <c r="M55" s="195">
        <f t="shared" si="10"/>
        <v>-23790643.099999998</v>
      </c>
      <c r="N55" s="195">
        <f t="shared" si="10"/>
        <v>0</v>
      </c>
      <c r="O55" s="195">
        <f>SUM(O53:O54)</f>
        <v>-65110524.649999999</v>
      </c>
      <c r="P55" s="195">
        <f t="shared" si="10"/>
        <v>209361.42</v>
      </c>
      <c r="Q55" s="195">
        <f t="shared" ref="Q55:R55" si="17">-Q21</f>
        <v>-1671203.2399999998</v>
      </c>
      <c r="R55" s="195">
        <f t="shared" si="17"/>
        <v>297805.09999999998</v>
      </c>
      <c r="S55" s="144">
        <f>SUM(K55:Q55)</f>
        <v>-200504432.66000003</v>
      </c>
      <c r="T55" s="144"/>
      <c r="U55" s="142">
        <f>S55+I55</f>
        <v>-244154154.60000002</v>
      </c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117"/>
      <c r="BS55" s="117"/>
      <c r="BT55" s="117"/>
      <c r="BU55" s="117"/>
      <c r="BV55" s="117"/>
      <c r="BW55" s="117"/>
      <c r="BX55" s="117"/>
      <c r="BY55" s="117"/>
      <c r="BZ55" s="117"/>
      <c r="CA55" s="117"/>
      <c r="CB55" s="117"/>
      <c r="CC55" s="117"/>
      <c r="CD55" s="117"/>
      <c r="CE55" s="117"/>
      <c r="CF55" s="117"/>
      <c r="CG55" s="117"/>
      <c r="CH55" s="117"/>
      <c r="CI55" s="117"/>
      <c r="CJ55" s="117"/>
      <c r="CK55" s="117"/>
      <c r="CL55" s="117"/>
      <c r="CM55" s="117"/>
      <c r="CN55" s="117"/>
      <c r="CO55" s="117"/>
      <c r="CP55" s="117"/>
      <c r="CQ55" s="117"/>
      <c r="CR55" s="117"/>
      <c r="CS55" s="117"/>
      <c r="CT55" s="117"/>
      <c r="CU55" s="117"/>
      <c r="CV55" s="117"/>
      <c r="CW55" s="117"/>
      <c r="CX55" s="117"/>
      <c r="CY55" s="117"/>
      <c r="CZ55" s="117"/>
      <c r="DA55" s="117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7"/>
      <c r="DO55" s="117"/>
      <c r="DP55" s="117"/>
      <c r="DQ55" s="117"/>
      <c r="DR55" s="117"/>
      <c r="DS55" s="117"/>
      <c r="DT55" s="117"/>
      <c r="DU55" s="117"/>
      <c r="DV55" s="117"/>
      <c r="DW55" s="117"/>
      <c r="DX55" s="117"/>
      <c r="DY55" s="117"/>
      <c r="DZ55" s="117"/>
      <c r="EA55" s="117"/>
      <c r="EB55" s="117"/>
      <c r="EC55" s="117"/>
      <c r="ED55" s="117"/>
      <c r="EE55" s="117"/>
      <c r="EF55" s="117"/>
      <c r="EG55" s="117"/>
      <c r="EH55" s="117"/>
      <c r="EI55" s="117"/>
      <c r="EJ55" s="117"/>
      <c r="EK55" s="117"/>
    </row>
    <row r="56" spans="1:141" s="129" customFormat="1" x14ac:dyDescent="0.2">
      <c r="B56" s="242"/>
      <c r="C56" s="143"/>
      <c r="D56" s="157"/>
      <c r="E56" s="157"/>
      <c r="F56" s="157"/>
      <c r="G56" s="157"/>
      <c r="H56" s="157"/>
      <c r="I56" s="157"/>
      <c r="J56" s="128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42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  <c r="BE56" s="117"/>
      <c r="BF56" s="117"/>
      <c r="BG56" s="11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  <c r="BR56" s="117"/>
      <c r="BS56" s="117"/>
      <c r="BT56" s="117"/>
      <c r="BU56" s="117"/>
      <c r="BV56" s="117"/>
      <c r="BW56" s="117"/>
      <c r="BX56" s="117"/>
      <c r="BY56" s="117"/>
      <c r="BZ56" s="117"/>
      <c r="CA56" s="117"/>
      <c r="CB56" s="117"/>
      <c r="CC56" s="117"/>
      <c r="CD56" s="117"/>
      <c r="CE56" s="117"/>
      <c r="CF56" s="117"/>
      <c r="CG56" s="117"/>
      <c r="CH56" s="117"/>
      <c r="CI56" s="117"/>
      <c r="CJ56" s="117"/>
      <c r="CK56" s="117"/>
      <c r="CL56" s="117"/>
      <c r="CM56" s="117"/>
      <c r="CN56" s="117"/>
      <c r="CO56" s="117"/>
      <c r="CP56" s="117"/>
      <c r="CQ56" s="117"/>
      <c r="CR56" s="117"/>
      <c r="CS56" s="117"/>
      <c r="CT56" s="117"/>
      <c r="CU56" s="117"/>
      <c r="CV56" s="117"/>
      <c r="CW56" s="117"/>
      <c r="CX56" s="117"/>
      <c r="CY56" s="117"/>
      <c r="CZ56" s="117"/>
      <c r="DA56" s="117"/>
      <c r="DB56" s="117"/>
      <c r="DC56" s="117"/>
      <c r="DD56" s="117"/>
      <c r="DE56" s="117"/>
      <c r="DF56" s="117"/>
      <c r="DG56" s="117"/>
      <c r="DH56" s="117"/>
      <c r="DI56" s="117"/>
      <c r="DJ56" s="117"/>
      <c r="DK56" s="117"/>
      <c r="DL56" s="117"/>
      <c r="DM56" s="117"/>
      <c r="DN56" s="117"/>
      <c r="DO56" s="117"/>
      <c r="DP56" s="117"/>
      <c r="DQ56" s="117"/>
      <c r="DR56" s="117"/>
      <c r="DS56" s="117"/>
      <c r="DT56" s="117"/>
      <c r="DU56" s="117"/>
      <c r="DV56" s="117"/>
      <c r="DW56" s="117"/>
      <c r="DX56" s="117"/>
      <c r="DY56" s="117"/>
      <c r="DZ56" s="117"/>
      <c r="EA56" s="117"/>
      <c r="EB56" s="117"/>
      <c r="EC56" s="117"/>
      <c r="ED56" s="117"/>
      <c r="EE56" s="117"/>
      <c r="EF56" s="117"/>
      <c r="EG56" s="117"/>
      <c r="EH56" s="117"/>
      <c r="EI56" s="117"/>
      <c r="EJ56" s="117"/>
      <c r="EK56" s="117"/>
    </row>
    <row r="57" spans="1:141" s="129" customFormat="1" x14ac:dyDescent="0.2">
      <c r="A57" s="141">
        <v>6</v>
      </c>
      <c r="B57" s="146" t="s">
        <v>110</v>
      </c>
      <c r="C57" s="125" t="s">
        <v>17</v>
      </c>
      <c r="D57" s="122"/>
      <c r="E57" s="122"/>
      <c r="F57" s="122">
        <f>'II-H-4.1 Monthly'!P88</f>
        <v>-84014.47</v>
      </c>
      <c r="G57" s="122"/>
      <c r="H57" s="122">
        <f>-H23</f>
        <v>-1127710.5900000001</v>
      </c>
      <c r="I57" s="122">
        <f>H57+F57+E57+D57</f>
        <v>-1211725.06</v>
      </c>
      <c r="J57" s="142"/>
      <c r="K57" s="194">
        <f t="shared" ref="K57:K58" si="18">-K23</f>
        <v>-66719.89</v>
      </c>
      <c r="L57" s="195">
        <f t="shared" si="10"/>
        <v>-1755313.71</v>
      </c>
      <c r="M57" s="194">
        <f t="shared" ref="M57" si="19">-M23</f>
        <v>-385027.51999999996</v>
      </c>
      <c r="N57" s="195">
        <f t="shared" si="10"/>
        <v>0</v>
      </c>
      <c r="O57" s="142">
        <f t="shared" si="10"/>
        <v>-2051920.4400000002</v>
      </c>
      <c r="P57" s="195">
        <f t="shared" si="10"/>
        <v>24669.7</v>
      </c>
      <c r="Q57" s="195">
        <f t="shared" ref="Q57:R57" si="20">-Q23</f>
        <v>16292.980000000001</v>
      </c>
      <c r="R57" s="195">
        <f t="shared" si="20"/>
        <v>8620.99</v>
      </c>
      <c r="S57" s="194">
        <f t="shared" ref="S57:S58" si="21">SUM(K57:R57)</f>
        <v>-4209397.8899999987</v>
      </c>
      <c r="T57" s="142"/>
      <c r="U57" s="142">
        <f>S57+I57</f>
        <v>-5421122.9499999993</v>
      </c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  <c r="BG57" s="11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  <c r="BR57" s="117"/>
      <c r="BS57" s="117"/>
      <c r="BT57" s="117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CI57" s="117"/>
      <c r="CJ57" s="117"/>
      <c r="CK57" s="117"/>
      <c r="CL57" s="117"/>
      <c r="CM57" s="117"/>
      <c r="CN57" s="117"/>
      <c r="CO57" s="117"/>
      <c r="CP57" s="117"/>
      <c r="CQ57" s="117"/>
      <c r="CR57" s="117"/>
      <c r="CS57" s="117"/>
      <c r="CT57" s="117"/>
      <c r="CU57" s="117"/>
      <c r="CV57" s="117"/>
      <c r="CW57" s="117"/>
      <c r="CX57" s="117"/>
      <c r="CY57" s="117"/>
      <c r="CZ57" s="117"/>
      <c r="DA57" s="117"/>
      <c r="DB57" s="117"/>
      <c r="DC57" s="117"/>
      <c r="DD57" s="117"/>
      <c r="DE57" s="117"/>
      <c r="DF57" s="117"/>
      <c r="DG57" s="117"/>
      <c r="DH57" s="117"/>
      <c r="DI57" s="117"/>
      <c r="DJ57" s="117"/>
      <c r="DK57" s="117"/>
      <c r="DL57" s="117"/>
      <c r="DM57" s="117"/>
      <c r="DN57" s="117"/>
      <c r="DO57" s="117"/>
      <c r="DP57" s="117"/>
      <c r="DQ57" s="117"/>
      <c r="DR57" s="117"/>
      <c r="DS57" s="117"/>
      <c r="DT57" s="117"/>
      <c r="DU57" s="117"/>
      <c r="DV57" s="117"/>
      <c r="DW57" s="117"/>
      <c r="DX57" s="117"/>
      <c r="DY57" s="117"/>
      <c r="DZ57" s="117"/>
      <c r="EA57" s="117"/>
      <c r="EB57" s="117"/>
      <c r="EC57" s="117"/>
      <c r="ED57" s="117"/>
      <c r="EE57" s="117"/>
      <c r="EF57" s="117"/>
      <c r="EG57" s="117"/>
      <c r="EH57" s="117"/>
      <c r="EI57" s="117"/>
      <c r="EJ57" s="117"/>
      <c r="EK57" s="117"/>
    </row>
    <row r="58" spans="1:141" s="129" customFormat="1" x14ac:dyDescent="0.2">
      <c r="A58" s="141">
        <v>7</v>
      </c>
      <c r="B58" s="146" t="s">
        <v>111</v>
      </c>
      <c r="C58" s="125" t="s">
        <v>17</v>
      </c>
      <c r="D58" s="123"/>
      <c r="E58" s="123"/>
      <c r="F58" s="123">
        <f>'II-H-4.1 Monthly'!P89</f>
        <v>-849038.57</v>
      </c>
      <c r="G58" s="123"/>
      <c r="H58" s="123">
        <f>-H24</f>
        <v>-12989906.629999999</v>
      </c>
      <c r="I58" s="123">
        <f>H58+F58+E58+D58</f>
        <v>-13838945.199999999</v>
      </c>
      <c r="J58" s="142"/>
      <c r="K58" s="247">
        <f t="shared" si="18"/>
        <v>-863766.99000000011</v>
      </c>
      <c r="L58" s="196">
        <f t="shared" si="10"/>
        <v>-20410669.57</v>
      </c>
      <c r="M58" s="247">
        <f t="shared" ref="M58" si="22">-M24</f>
        <v>-4054830.18</v>
      </c>
      <c r="N58" s="196">
        <f t="shared" si="10"/>
        <v>0</v>
      </c>
      <c r="O58" s="123">
        <f t="shared" si="10"/>
        <v>-19826061.349999998</v>
      </c>
      <c r="P58" s="196">
        <f t="shared" si="10"/>
        <v>307466.16999999993</v>
      </c>
      <c r="Q58" s="196">
        <f t="shared" ref="Q58:R58" si="23">-Q24</f>
        <v>0</v>
      </c>
      <c r="R58" s="196">
        <f t="shared" si="23"/>
        <v>68625.560000000012</v>
      </c>
      <c r="S58" s="247">
        <f t="shared" si="21"/>
        <v>-44779236.359999992</v>
      </c>
      <c r="T58" s="142"/>
      <c r="U58" s="123">
        <f>S58+I58</f>
        <v>-58618181.559999987</v>
      </c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7"/>
      <c r="BE58" s="117"/>
      <c r="BF58" s="117"/>
      <c r="BG58" s="11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117"/>
      <c r="BS58" s="117"/>
      <c r="BT58" s="117"/>
      <c r="BU58" s="117"/>
      <c r="BV58" s="117"/>
      <c r="BW58" s="117"/>
      <c r="BX58" s="117"/>
      <c r="BY58" s="117"/>
      <c r="BZ58" s="117"/>
      <c r="CA58" s="117"/>
      <c r="CB58" s="117"/>
      <c r="CC58" s="117"/>
      <c r="CD58" s="117"/>
      <c r="CE58" s="117"/>
      <c r="CF58" s="117"/>
      <c r="CG58" s="117"/>
      <c r="CH58" s="117"/>
      <c r="CI58" s="117"/>
      <c r="CJ58" s="117"/>
      <c r="CK58" s="117"/>
      <c r="CL58" s="117"/>
      <c r="CM58" s="117"/>
      <c r="CN58" s="117"/>
      <c r="CO58" s="117"/>
      <c r="CP58" s="117"/>
      <c r="CQ58" s="117"/>
      <c r="CR58" s="117"/>
      <c r="CS58" s="117"/>
      <c r="CT58" s="117"/>
      <c r="CU58" s="117"/>
      <c r="CV58" s="117"/>
      <c r="CW58" s="117"/>
      <c r="CX58" s="117"/>
      <c r="CY58" s="117"/>
      <c r="CZ58" s="117"/>
      <c r="DA58" s="117"/>
      <c r="DB58" s="117"/>
      <c r="DC58" s="117"/>
      <c r="DD58" s="117"/>
      <c r="DE58" s="117"/>
      <c r="DF58" s="117"/>
      <c r="DG58" s="117"/>
      <c r="DH58" s="117"/>
      <c r="DI58" s="117"/>
      <c r="DJ58" s="117"/>
      <c r="DK58" s="117"/>
      <c r="DL58" s="117"/>
      <c r="DM58" s="117"/>
      <c r="DN58" s="117"/>
      <c r="DO58" s="117"/>
      <c r="DP58" s="117"/>
      <c r="DQ58" s="117"/>
      <c r="DR58" s="117"/>
      <c r="DS58" s="117"/>
      <c r="DT58" s="117"/>
      <c r="DU58" s="117"/>
      <c r="DV58" s="117"/>
      <c r="DW58" s="117"/>
      <c r="DX58" s="117"/>
      <c r="DY58" s="117"/>
      <c r="DZ58" s="117"/>
      <c r="EA58" s="117"/>
      <c r="EB58" s="117"/>
      <c r="EC58" s="117"/>
      <c r="ED58" s="117"/>
      <c r="EE58" s="117"/>
      <c r="EF58" s="117"/>
      <c r="EG58" s="117"/>
      <c r="EH58" s="117"/>
      <c r="EI58" s="117"/>
      <c r="EJ58" s="117"/>
      <c r="EK58" s="117"/>
    </row>
    <row r="59" spans="1:141" s="129" customFormat="1" x14ac:dyDescent="0.2">
      <c r="A59" s="141">
        <v>8</v>
      </c>
      <c r="B59" s="129" t="s">
        <v>31</v>
      </c>
      <c r="C59" s="125"/>
      <c r="D59" s="122">
        <f t="shared" ref="D59:I59" si="24">SUM(D57:D58)</f>
        <v>0</v>
      </c>
      <c r="E59" s="122">
        <f t="shared" si="24"/>
        <v>0</v>
      </c>
      <c r="F59" s="122">
        <f t="shared" si="24"/>
        <v>-933053.03999999992</v>
      </c>
      <c r="G59" s="122">
        <f t="shared" si="24"/>
        <v>0</v>
      </c>
      <c r="H59" s="122">
        <f t="shared" si="24"/>
        <v>-14117617.219999999</v>
      </c>
      <c r="I59" s="122">
        <f t="shared" si="24"/>
        <v>-15050670.26</v>
      </c>
      <c r="J59" s="142"/>
      <c r="K59" s="195">
        <f t="shared" si="10"/>
        <v>-930486.88000000012</v>
      </c>
      <c r="L59" s="195">
        <f t="shared" si="10"/>
        <v>-22165983.280000001</v>
      </c>
      <c r="M59" s="195">
        <f t="shared" si="10"/>
        <v>-4439857.7</v>
      </c>
      <c r="N59" s="195">
        <f t="shared" si="10"/>
        <v>0</v>
      </c>
      <c r="O59" s="195">
        <f>SUM(O57:O58)</f>
        <v>-21877981.789999999</v>
      </c>
      <c r="P59" s="195">
        <f t="shared" si="10"/>
        <v>332135.86999999994</v>
      </c>
      <c r="Q59" s="195">
        <f t="shared" ref="Q59:R59" si="25">-Q25</f>
        <v>16292.980000000001</v>
      </c>
      <c r="R59" s="195">
        <f t="shared" si="25"/>
        <v>77246.550000000017</v>
      </c>
      <c r="S59" s="144">
        <f>SUM(K59:Q59)</f>
        <v>-49065880.800000004</v>
      </c>
      <c r="T59" s="144"/>
      <c r="U59" s="142">
        <f>S59+I59</f>
        <v>-64116551.060000002</v>
      </c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117"/>
      <c r="BD59" s="117"/>
      <c r="BE59" s="117"/>
      <c r="BF59" s="117"/>
      <c r="BG59" s="117"/>
      <c r="BH59" s="117"/>
      <c r="BI59" s="117"/>
      <c r="BJ59" s="117"/>
      <c r="BK59" s="117"/>
      <c r="BL59" s="117"/>
      <c r="BM59" s="117"/>
      <c r="BN59" s="117"/>
      <c r="BO59" s="117"/>
      <c r="BP59" s="117"/>
      <c r="BQ59" s="117"/>
      <c r="BR59" s="117"/>
      <c r="BS59" s="117"/>
      <c r="BT59" s="117"/>
      <c r="BU59" s="117"/>
      <c r="BV59" s="117"/>
      <c r="BW59" s="117"/>
      <c r="BX59" s="117"/>
      <c r="BY59" s="117"/>
      <c r="BZ59" s="117"/>
      <c r="CA59" s="117"/>
      <c r="CB59" s="117"/>
      <c r="CC59" s="117"/>
      <c r="CD59" s="117"/>
      <c r="CE59" s="117"/>
      <c r="CF59" s="117"/>
      <c r="CG59" s="117"/>
      <c r="CH59" s="117"/>
      <c r="CI59" s="117"/>
      <c r="CJ59" s="117"/>
      <c r="CK59" s="117"/>
      <c r="CL59" s="117"/>
      <c r="CM59" s="117"/>
      <c r="CN59" s="117"/>
      <c r="CO59" s="117"/>
      <c r="CP59" s="117"/>
      <c r="CQ59" s="117"/>
      <c r="CR59" s="117"/>
      <c r="CS59" s="117"/>
      <c r="CT59" s="117"/>
      <c r="CU59" s="117"/>
      <c r="CV59" s="117"/>
      <c r="CW59" s="117"/>
      <c r="CX59" s="117"/>
      <c r="CY59" s="117"/>
      <c r="CZ59" s="117"/>
      <c r="DA59" s="117"/>
      <c r="DB59" s="117"/>
      <c r="DC59" s="117"/>
      <c r="DD59" s="117"/>
      <c r="DE59" s="117"/>
      <c r="DF59" s="117"/>
      <c r="DG59" s="117"/>
      <c r="DH59" s="117"/>
      <c r="DI59" s="117"/>
      <c r="DJ59" s="117"/>
      <c r="DK59" s="117"/>
      <c r="DL59" s="117"/>
      <c r="DM59" s="117"/>
      <c r="DN59" s="117"/>
      <c r="DO59" s="117"/>
      <c r="DP59" s="117"/>
      <c r="DQ59" s="117"/>
      <c r="DR59" s="117"/>
      <c r="DS59" s="117"/>
      <c r="DT59" s="117"/>
      <c r="DU59" s="117"/>
      <c r="DV59" s="117"/>
      <c r="DW59" s="117"/>
      <c r="DX59" s="117"/>
      <c r="DY59" s="117"/>
      <c r="DZ59" s="117"/>
      <c r="EA59" s="117"/>
      <c r="EB59" s="117"/>
      <c r="EC59" s="117"/>
      <c r="ED59" s="117"/>
      <c r="EE59" s="117"/>
      <c r="EF59" s="117"/>
      <c r="EG59" s="117"/>
      <c r="EH59" s="117"/>
      <c r="EI59" s="117"/>
      <c r="EJ59" s="117"/>
      <c r="EK59" s="117"/>
    </row>
    <row r="60" spans="1:141" s="129" customFormat="1" x14ac:dyDescent="0.2">
      <c r="A60" s="141"/>
      <c r="C60" s="125"/>
      <c r="D60" s="122"/>
      <c r="E60" s="122"/>
      <c r="F60" s="122"/>
      <c r="G60" s="122"/>
      <c r="H60" s="122"/>
      <c r="I60" s="122"/>
      <c r="J60" s="142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42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/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7"/>
      <c r="CA60" s="117"/>
      <c r="CB60" s="117"/>
      <c r="CC60" s="117"/>
      <c r="CD60" s="117"/>
      <c r="CE60" s="117"/>
      <c r="CF60" s="117"/>
      <c r="CG60" s="117"/>
      <c r="CH60" s="117"/>
      <c r="CI60" s="117"/>
      <c r="CJ60" s="117"/>
      <c r="CK60" s="117"/>
      <c r="CL60" s="117"/>
      <c r="CM60" s="117"/>
      <c r="CN60" s="117"/>
      <c r="CO60" s="117"/>
      <c r="CP60" s="117"/>
      <c r="CQ60" s="117"/>
      <c r="CR60" s="117"/>
      <c r="CS60" s="117"/>
      <c r="CT60" s="117"/>
      <c r="CU60" s="117"/>
      <c r="CV60" s="117"/>
      <c r="CW60" s="117"/>
      <c r="CX60" s="117"/>
      <c r="CY60" s="117"/>
      <c r="CZ60" s="117"/>
      <c r="DA60" s="117"/>
      <c r="DB60" s="117"/>
      <c r="DC60" s="117"/>
      <c r="DD60" s="117"/>
      <c r="DE60" s="117"/>
      <c r="DF60" s="117"/>
      <c r="DG60" s="117"/>
      <c r="DH60" s="117"/>
      <c r="DI60" s="117"/>
      <c r="DJ60" s="117"/>
      <c r="DK60" s="117"/>
      <c r="DL60" s="117"/>
      <c r="DM60" s="117"/>
      <c r="DN60" s="117"/>
      <c r="DO60" s="117"/>
      <c r="DP60" s="117"/>
      <c r="DQ60" s="117"/>
      <c r="DR60" s="117"/>
      <c r="DS60" s="117"/>
      <c r="DT60" s="117"/>
      <c r="DU60" s="117"/>
      <c r="DV60" s="117"/>
      <c r="DW60" s="117"/>
      <c r="DX60" s="117"/>
      <c r="DY60" s="117"/>
      <c r="DZ60" s="117"/>
      <c r="EA60" s="117"/>
      <c r="EB60" s="117"/>
      <c r="EC60" s="117"/>
      <c r="ED60" s="117"/>
      <c r="EE60" s="117"/>
      <c r="EF60" s="117"/>
      <c r="EG60" s="117"/>
      <c r="EH60" s="117"/>
      <c r="EI60" s="117"/>
      <c r="EJ60" s="117"/>
      <c r="EK60" s="117"/>
    </row>
    <row r="61" spans="1:141" s="129" customFormat="1" x14ac:dyDescent="0.2">
      <c r="A61" s="141">
        <v>9</v>
      </c>
      <c r="B61" s="162" t="s">
        <v>115</v>
      </c>
      <c r="C61" s="125" t="s">
        <v>18</v>
      </c>
      <c r="D61" s="122"/>
      <c r="E61" s="122"/>
      <c r="F61" s="122">
        <f>'II-H-4.1 Monthly'!P92</f>
        <v>-629753.75</v>
      </c>
      <c r="G61" s="122"/>
      <c r="H61" s="122">
        <f>-H27</f>
        <v>-10529707.360000001</v>
      </c>
      <c r="I61" s="122">
        <f>SUM(D61:H61)</f>
        <v>-11159461.110000001</v>
      </c>
      <c r="J61" s="142"/>
      <c r="K61" s="194">
        <f>-K27</f>
        <v>630945.09</v>
      </c>
      <c r="L61" s="195">
        <f>-L27</f>
        <v>-18934634.75</v>
      </c>
      <c r="M61" s="194">
        <f t="shared" ref="M61" si="26">-M27</f>
        <v>-163233.46</v>
      </c>
      <c r="N61" s="195">
        <f>-N27</f>
        <v>-2774.48</v>
      </c>
      <c r="O61" s="142">
        <f t="shared" si="10"/>
        <v>-15604822.720000001</v>
      </c>
      <c r="P61" s="195">
        <f>-P27</f>
        <v>0</v>
      </c>
      <c r="Q61" s="195">
        <f t="shared" ref="Q61:R61" si="27">-Q27</f>
        <v>0</v>
      </c>
      <c r="R61" s="195">
        <f t="shared" si="27"/>
        <v>22995.210000000003</v>
      </c>
      <c r="S61" s="194">
        <f>SUM(K61:R61)</f>
        <v>-34051525.109999999</v>
      </c>
      <c r="T61" s="142"/>
      <c r="U61" s="142">
        <f>S61+I61</f>
        <v>-45210986.219999999</v>
      </c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117"/>
      <c r="BG61" s="117"/>
      <c r="BH61" s="117"/>
      <c r="BI61" s="117"/>
      <c r="BJ61" s="117"/>
      <c r="BK61" s="117"/>
      <c r="BL61" s="117"/>
      <c r="BM61" s="117"/>
      <c r="BN61" s="117"/>
      <c r="BO61" s="117"/>
      <c r="BP61" s="117"/>
      <c r="BQ61" s="117"/>
      <c r="BR61" s="117"/>
      <c r="BS61" s="117"/>
      <c r="BT61" s="117"/>
      <c r="BU61" s="117"/>
      <c r="BV61" s="117"/>
      <c r="BW61" s="117"/>
      <c r="BX61" s="117"/>
      <c r="BY61" s="117"/>
      <c r="BZ61" s="117"/>
      <c r="CA61" s="117"/>
      <c r="CB61" s="117"/>
      <c r="CC61" s="117"/>
      <c r="CD61" s="117"/>
      <c r="CE61" s="117"/>
      <c r="CF61" s="117"/>
      <c r="CG61" s="117"/>
      <c r="CH61" s="117"/>
      <c r="CI61" s="117"/>
      <c r="CJ61" s="117"/>
      <c r="CK61" s="117"/>
      <c r="CL61" s="117"/>
      <c r="CM61" s="117"/>
      <c r="CN61" s="117"/>
      <c r="CO61" s="117"/>
      <c r="CP61" s="117"/>
      <c r="CQ61" s="117"/>
      <c r="CR61" s="117"/>
      <c r="CS61" s="117"/>
      <c r="CT61" s="117"/>
      <c r="CU61" s="117"/>
      <c r="CV61" s="117"/>
      <c r="CW61" s="117"/>
      <c r="CX61" s="117"/>
      <c r="CY61" s="117"/>
      <c r="CZ61" s="117"/>
      <c r="DA61" s="117"/>
      <c r="DB61" s="117"/>
      <c r="DC61" s="117"/>
      <c r="DD61" s="117"/>
      <c r="DE61" s="117"/>
      <c r="DF61" s="117"/>
      <c r="DG61" s="117"/>
      <c r="DH61" s="117"/>
      <c r="DI61" s="117"/>
      <c r="DJ61" s="117"/>
      <c r="DK61" s="117"/>
      <c r="DL61" s="117"/>
      <c r="DM61" s="117"/>
      <c r="DN61" s="117"/>
      <c r="DO61" s="117"/>
      <c r="DP61" s="117"/>
      <c r="DQ61" s="117"/>
      <c r="DR61" s="117"/>
      <c r="DS61" s="117"/>
      <c r="DT61" s="117"/>
      <c r="DU61" s="117"/>
      <c r="DV61" s="117"/>
      <c r="DW61" s="117"/>
      <c r="DX61" s="117"/>
      <c r="DY61" s="117"/>
      <c r="DZ61" s="117"/>
      <c r="EA61" s="117"/>
      <c r="EB61" s="117"/>
      <c r="EC61" s="117"/>
      <c r="ED61" s="117"/>
      <c r="EE61" s="117"/>
      <c r="EF61" s="117"/>
      <c r="EG61" s="117"/>
      <c r="EH61" s="117"/>
      <c r="EI61" s="117"/>
      <c r="EJ61" s="117"/>
      <c r="EK61" s="117"/>
    </row>
    <row r="62" spans="1:141" s="129" customFormat="1" x14ac:dyDescent="0.2">
      <c r="C62" s="143"/>
      <c r="D62" s="157"/>
      <c r="E62" s="157"/>
      <c r="F62" s="157"/>
      <c r="G62" s="157"/>
      <c r="H62" s="157"/>
      <c r="I62" s="157"/>
      <c r="J62" s="128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42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7"/>
      <c r="BE62" s="117"/>
      <c r="BF62" s="117"/>
      <c r="BG62" s="117"/>
      <c r="BH62" s="117"/>
      <c r="BI62" s="117"/>
      <c r="BJ62" s="117"/>
      <c r="BK62" s="117"/>
      <c r="BL62" s="117"/>
      <c r="BM62" s="117"/>
      <c r="BN62" s="117"/>
      <c r="BO62" s="117"/>
      <c r="BP62" s="117"/>
      <c r="BQ62" s="117"/>
      <c r="BR62" s="117"/>
      <c r="BS62" s="117"/>
      <c r="BT62" s="117"/>
      <c r="BU62" s="117"/>
      <c r="BV62" s="117"/>
      <c r="BW62" s="117"/>
      <c r="BX62" s="117"/>
      <c r="BY62" s="117"/>
      <c r="BZ62" s="117"/>
      <c r="CA62" s="117"/>
      <c r="CB62" s="117"/>
      <c r="CC62" s="117"/>
      <c r="CD62" s="117"/>
      <c r="CE62" s="117"/>
      <c r="CF62" s="117"/>
      <c r="CG62" s="117"/>
      <c r="CH62" s="117"/>
      <c r="CI62" s="117"/>
      <c r="CJ62" s="117"/>
      <c r="CK62" s="117"/>
      <c r="CL62" s="117"/>
      <c r="CM62" s="117"/>
      <c r="CN62" s="117"/>
      <c r="CO62" s="117"/>
      <c r="CP62" s="117"/>
      <c r="CQ62" s="117"/>
      <c r="CR62" s="117"/>
      <c r="CS62" s="117"/>
      <c r="CT62" s="117"/>
      <c r="CU62" s="117"/>
      <c r="CV62" s="117"/>
      <c r="CW62" s="117"/>
      <c r="CX62" s="117"/>
      <c r="CY62" s="117"/>
      <c r="CZ62" s="117"/>
      <c r="DA62" s="117"/>
      <c r="DB62" s="117"/>
      <c r="DC62" s="117"/>
      <c r="DD62" s="117"/>
      <c r="DE62" s="117"/>
      <c r="DF62" s="117"/>
      <c r="DG62" s="117"/>
      <c r="DH62" s="117"/>
      <c r="DI62" s="117"/>
      <c r="DJ62" s="117"/>
      <c r="DK62" s="117"/>
      <c r="DL62" s="117"/>
      <c r="DM62" s="117"/>
      <c r="DN62" s="117"/>
      <c r="DO62" s="117"/>
      <c r="DP62" s="117"/>
      <c r="DQ62" s="117"/>
      <c r="DR62" s="117"/>
      <c r="DS62" s="117"/>
      <c r="DT62" s="117"/>
      <c r="DU62" s="117"/>
      <c r="DV62" s="117"/>
      <c r="DW62" s="117"/>
      <c r="DX62" s="117"/>
      <c r="DY62" s="117"/>
      <c r="DZ62" s="117"/>
      <c r="EA62" s="117"/>
      <c r="EB62" s="117"/>
      <c r="EC62" s="117"/>
      <c r="ED62" s="117"/>
      <c r="EE62" s="117"/>
      <c r="EF62" s="117"/>
      <c r="EG62" s="117"/>
      <c r="EH62" s="117"/>
      <c r="EI62" s="117"/>
      <c r="EJ62" s="117"/>
      <c r="EK62" s="117"/>
    </row>
    <row r="63" spans="1:141" s="129" customFormat="1" x14ac:dyDescent="0.2">
      <c r="A63" s="141">
        <v>10</v>
      </c>
      <c r="B63" s="117" t="s">
        <v>33</v>
      </c>
      <c r="C63" s="125" t="s">
        <v>16</v>
      </c>
      <c r="D63" s="122"/>
      <c r="E63" s="122"/>
      <c r="F63" s="122"/>
      <c r="G63" s="122"/>
      <c r="H63" s="122">
        <f>-H29</f>
        <v>-684721.79</v>
      </c>
      <c r="I63" s="122">
        <f>SUM(D63:H63)</f>
        <v>-684721.79</v>
      </c>
      <c r="J63" s="142"/>
      <c r="K63" s="194">
        <f>-K29</f>
        <v>0</v>
      </c>
      <c r="L63" s="195">
        <f>-L29</f>
        <v>-4404631.3099999996</v>
      </c>
      <c r="M63" s="194">
        <f t="shared" ref="M63" si="28">-M29</f>
        <v>-2217913.2000000002</v>
      </c>
      <c r="N63" s="195">
        <f>-N29</f>
        <v>0</v>
      </c>
      <c r="O63" s="142">
        <f t="shared" si="10"/>
        <v>-1173609.0899999999</v>
      </c>
      <c r="P63" s="195">
        <f>-P29</f>
        <v>6445.579999999999</v>
      </c>
      <c r="Q63" s="195">
        <f t="shared" ref="Q63:R63" si="29">-Q29</f>
        <v>0</v>
      </c>
      <c r="R63" s="195">
        <f t="shared" si="29"/>
        <v>30689.230000000003</v>
      </c>
      <c r="S63" s="194">
        <f>SUM(K63:R63)</f>
        <v>-7759018.7899999991</v>
      </c>
      <c r="T63" s="142"/>
      <c r="U63" s="142">
        <f>S63+I63</f>
        <v>-8443740.5799999982</v>
      </c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  <c r="BE63" s="117"/>
      <c r="BF63" s="117"/>
      <c r="BG63" s="117"/>
      <c r="BH63" s="117"/>
      <c r="BI63" s="117"/>
      <c r="BJ63" s="117"/>
      <c r="BK63" s="117"/>
      <c r="BL63" s="117"/>
      <c r="BM63" s="117"/>
      <c r="BN63" s="117"/>
      <c r="BO63" s="117"/>
      <c r="BP63" s="117"/>
      <c r="BQ63" s="117"/>
      <c r="BR63" s="117"/>
      <c r="BS63" s="117"/>
      <c r="BT63" s="117"/>
      <c r="BU63" s="117"/>
      <c r="BV63" s="117"/>
      <c r="BW63" s="117"/>
      <c r="BX63" s="117"/>
      <c r="BY63" s="117"/>
      <c r="BZ63" s="117"/>
      <c r="CA63" s="117"/>
      <c r="CB63" s="117"/>
      <c r="CC63" s="117"/>
      <c r="CD63" s="117"/>
      <c r="CE63" s="117"/>
      <c r="CF63" s="117"/>
      <c r="CG63" s="117"/>
      <c r="CH63" s="117"/>
      <c r="CI63" s="117"/>
      <c r="CJ63" s="117"/>
      <c r="CK63" s="117"/>
      <c r="CL63" s="117"/>
      <c r="CM63" s="117"/>
      <c r="CN63" s="117"/>
      <c r="CO63" s="117"/>
      <c r="CP63" s="117"/>
      <c r="CQ63" s="117"/>
      <c r="CR63" s="117"/>
      <c r="CS63" s="117"/>
      <c r="CT63" s="117"/>
      <c r="CU63" s="117"/>
      <c r="CV63" s="117"/>
      <c r="CW63" s="117"/>
      <c r="CX63" s="117"/>
      <c r="CY63" s="117"/>
      <c r="CZ63" s="117"/>
      <c r="DA63" s="117"/>
      <c r="DB63" s="117"/>
      <c r="DC63" s="117"/>
      <c r="DD63" s="117"/>
      <c r="DE63" s="117"/>
      <c r="DF63" s="117"/>
      <c r="DG63" s="117"/>
      <c r="DH63" s="117"/>
      <c r="DI63" s="117"/>
      <c r="DJ63" s="117"/>
      <c r="DK63" s="117"/>
      <c r="DL63" s="117"/>
      <c r="DM63" s="117"/>
      <c r="DN63" s="117"/>
      <c r="DO63" s="117"/>
      <c r="DP63" s="117"/>
      <c r="DQ63" s="117"/>
      <c r="DR63" s="117"/>
      <c r="DS63" s="117"/>
      <c r="DT63" s="117"/>
      <c r="DU63" s="117"/>
      <c r="DV63" s="117"/>
      <c r="DW63" s="117"/>
      <c r="DX63" s="117"/>
      <c r="DY63" s="117"/>
      <c r="DZ63" s="117"/>
      <c r="EA63" s="117"/>
      <c r="EB63" s="117"/>
      <c r="EC63" s="117"/>
      <c r="ED63" s="117"/>
      <c r="EE63" s="117"/>
      <c r="EF63" s="117"/>
      <c r="EG63" s="117"/>
      <c r="EH63" s="117"/>
      <c r="EI63" s="117"/>
      <c r="EJ63" s="117"/>
      <c r="EK63" s="117"/>
    </row>
    <row r="64" spans="1:141" s="129" customFormat="1" x14ac:dyDescent="0.2">
      <c r="A64" s="141"/>
      <c r="C64" s="143"/>
      <c r="D64" s="157"/>
      <c r="E64" s="157"/>
      <c r="F64" s="157"/>
      <c r="G64" s="157"/>
      <c r="H64" s="157"/>
      <c r="I64" s="157"/>
      <c r="J64" s="128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42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17"/>
      <c r="BE64" s="117"/>
      <c r="BF64" s="117"/>
      <c r="BG64" s="117"/>
      <c r="BH64" s="117"/>
      <c r="BI64" s="117"/>
      <c r="BJ64" s="117"/>
      <c r="BK64" s="117"/>
      <c r="BL64" s="117"/>
      <c r="BM64" s="117"/>
      <c r="BN64" s="117"/>
      <c r="BO64" s="117"/>
      <c r="BP64" s="117"/>
      <c r="BQ64" s="117"/>
      <c r="BR64" s="117"/>
      <c r="BS64" s="117"/>
      <c r="BT64" s="117"/>
      <c r="BU64" s="117"/>
      <c r="BV64" s="117"/>
      <c r="BW64" s="117"/>
      <c r="BX64" s="117"/>
      <c r="BY64" s="117"/>
      <c r="BZ64" s="117"/>
      <c r="CA64" s="117"/>
      <c r="CB64" s="117"/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  <c r="DL64" s="117"/>
      <c r="DM64" s="117"/>
      <c r="DN64" s="117"/>
      <c r="DO64" s="117"/>
      <c r="DP64" s="117"/>
      <c r="DQ64" s="117"/>
      <c r="DR64" s="117"/>
      <c r="DS64" s="117"/>
      <c r="DT64" s="117"/>
      <c r="DU64" s="117"/>
      <c r="DV64" s="117"/>
      <c r="DW64" s="117"/>
      <c r="DX64" s="117"/>
      <c r="DY64" s="117"/>
      <c r="DZ64" s="117"/>
      <c r="EA64" s="117"/>
      <c r="EB64" s="117"/>
      <c r="EC64" s="117"/>
      <c r="ED64" s="117"/>
      <c r="EE64" s="117"/>
      <c r="EF64" s="117"/>
      <c r="EG64" s="117"/>
      <c r="EH64" s="117"/>
      <c r="EI64" s="117"/>
      <c r="EJ64" s="117"/>
      <c r="EK64" s="117"/>
    </row>
    <row r="65" spans="1:141" s="129" customFormat="1" x14ac:dyDescent="0.2">
      <c r="A65" s="141">
        <v>11</v>
      </c>
      <c r="B65" s="183" t="s">
        <v>34</v>
      </c>
      <c r="C65" s="374"/>
      <c r="D65" s="184">
        <f t="shared" ref="D65:I65" si="30">D63+D61+D59+D55+D51+D49</f>
        <v>0</v>
      </c>
      <c r="E65" s="184">
        <f t="shared" si="30"/>
        <v>0</v>
      </c>
      <c r="F65" s="184">
        <f t="shared" si="30"/>
        <v>-8900401.7799999993</v>
      </c>
      <c r="G65" s="184">
        <f t="shared" si="30"/>
        <v>0</v>
      </c>
      <c r="H65" s="184">
        <f t="shared" si="30"/>
        <v>-131705195.84</v>
      </c>
      <c r="I65" s="184">
        <f t="shared" si="30"/>
        <v>-140605597.62</v>
      </c>
      <c r="J65" s="127"/>
      <c r="K65" s="184">
        <f>+K49+K51+K55+K59+K61+K63</f>
        <v>-11349956.810000002</v>
      </c>
      <c r="L65" s="184">
        <f>-L31</f>
        <v>-277204700.68000001</v>
      </c>
      <c r="M65" s="184">
        <f>-M31</f>
        <v>-73810075.75999999</v>
      </c>
      <c r="N65" s="184">
        <f>-N31</f>
        <v>-2774.48</v>
      </c>
      <c r="O65" s="184">
        <f>-O31</f>
        <v>-202262173.61000001</v>
      </c>
      <c r="P65" s="184">
        <f>-P31</f>
        <v>564139.09</v>
      </c>
      <c r="Q65" s="184">
        <f t="shared" ref="Q65:R65" si="31">-Q31</f>
        <v>-29883535.180000003</v>
      </c>
      <c r="R65" s="184">
        <f t="shared" si="31"/>
        <v>989949.23</v>
      </c>
      <c r="S65" s="248">
        <f>SUM(K65:R65)</f>
        <v>-592959128.19999993</v>
      </c>
      <c r="T65" s="144"/>
      <c r="U65" s="199">
        <f>S65+I65</f>
        <v>-733564725.81999993</v>
      </c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17"/>
      <c r="BE65" s="117"/>
      <c r="BF65" s="117"/>
      <c r="BG65" s="117"/>
      <c r="BH65" s="117"/>
      <c r="BI65" s="117"/>
      <c r="BJ65" s="117"/>
      <c r="BK65" s="117"/>
      <c r="BL65" s="117"/>
      <c r="BM65" s="117"/>
      <c r="BN65" s="117"/>
      <c r="BO65" s="117"/>
      <c r="BP65" s="117"/>
      <c r="BQ65" s="117"/>
      <c r="BR65" s="117"/>
      <c r="BS65" s="117"/>
      <c r="BT65" s="117"/>
      <c r="BU65" s="117"/>
      <c r="BV65" s="117"/>
      <c r="BW65" s="117"/>
      <c r="BX65" s="117"/>
      <c r="BY65" s="117"/>
      <c r="BZ65" s="117"/>
      <c r="CA65" s="117"/>
      <c r="CB65" s="117"/>
      <c r="CC65" s="117"/>
      <c r="CD65" s="117"/>
      <c r="CE65" s="117"/>
      <c r="CF65" s="117"/>
      <c r="CG65" s="117"/>
      <c r="CH65" s="117"/>
      <c r="CI65" s="117"/>
      <c r="CJ65" s="117"/>
      <c r="CK65" s="117"/>
      <c r="CL65" s="117"/>
      <c r="CM65" s="117"/>
      <c r="CN65" s="117"/>
      <c r="CO65" s="117"/>
      <c r="CP65" s="117"/>
      <c r="CQ65" s="117"/>
      <c r="CR65" s="117"/>
      <c r="CS65" s="117"/>
      <c r="CT65" s="117"/>
      <c r="CU65" s="117"/>
      <c r="CV65" s="117"/>
      <c r="CW65" s="117"/>
      <c r="CX65" s="117"/>
      <c r="CY65" s="117"/>
      <c r="CZ65" s="117"/>
      <c r="DA65" s="117"/>
      <c r="DB65" s="117"/>
      <c r="DC65" s="117"/>
      <c r="DD65" s="117"/>
      <c r="DE65" s="117"/>
      <c r="DF65" s="117"/>
      <c r="DG65" s="117"/>
      <c r="DH65" s="117"/>
      <c r="DI65" s="117"/>
      <c r="DJ65" s="117"/>
      <c r="DK65" s="117"/>
      <c r="DL65" s="117"/>
      <c r="DM65" s="117"/>
      <c r="DN65" s="117"/>
      <c r="DO65" s="117"/>
      <c r="DP65" s="117"/>
      <c r="DQ65" s="117"/>
      <c r="DR65" s="117"/>
      <c r="DS65" s="117"/>
      <c r="DT65" s="117"/>
      <c r="DU65" s="117"/>
      <c r="DV65" s="117"/>
      <c r="DW65" s="117"/>
      <c r="DX65" s="117"/>
      <c r="DY65" s="117"/>
      <c r="DZ65" s="117"/>
      <c r="EA65" s="117"/>
      <c r="EB65" s="117"/>
      <c r="EC65" s="117"/>
      <c r="ED65" s="117"/>
      <c r="EE65" s="117"/>
      <c r="EF65" s="117"/>
      <c r="EG65" s="117"/>
      <c r="EH65" s="117"/>
      <c r="EI65" s="117"/>
      <c r="EJ65" s="117"/>
      <c r="EK65" s="117"/>
    </row>
    <row r="66" spans="1:141" s="129" customFormat="1" x14ac:dyDescent="0.2">
      <c r="B66" s="374"/>
      <c r="C66" s="374"/>
      <c r="D66" s="169"/>
      <c r="E66" s="169"/>
      <c r="F66" s="169"/>
      <c r="G66" s="169"/>
      <c r="H66" s="169"/>
      <c r="I66" s="169"/>
      <c r="J66" s="127"/>
      <c r="K66" s="117"/>
      <c r="L66" s="117"/>
      <c r="M66" s="117"/>
      <c r="N66" s="117"/>
      <c r="O66" s="117"/>
      <c r="P66" s="117"/>
      <c r="Q66" s="117"/>
      <c r="R66" s="117"/>
      <c r="S66" s="144"/>
      <c r="T66" s="144"/>
      <c r="U66" s="142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  <c r="BB66" s="117"/>
      <c r="BC66" s="117"/>
      <c r="BD66" s="117"/>
      <c r="BE66" s="117"/>
      <c r="BF66" s="117"/>
      <c r="BG66" s="117"/>
      <c r="BH66" s="117"/>
      <c r="BI66" s="117"/>
      <c r="BJ66" s="117"/>
      <c r="BK66" s="117"/>
      <c r="BL66" s="117"/>
      <c r="BM66" s="117"/>
      <c r="BN66" s="117"/>
      <c r="BO66" s="117"/>
      <c r="BP66" s="117"/>
      <c r="BQ66" s="117"/>
      <c r="BR66" s="117"/>
      <c r="BS66" s="117"/>
      <c r="BT66" s="117"/>
      <c r="BU66" s="117"/>
      <c r="BV66" s="117"/>
      <c r="BW66" s="117"/>
      <c r="BX66" s="117"/>
      <c r="BY66" s="117"/>
      <c r="BZ66" s="117"/>
      <c r="CA66" s="117"/>
      <c r="CB66" s="117"/>
      <c r="CC66" s="117"/>
      <c r="CD66" s="117"/>
      <c r="CE66" s="117"/>
      <c r="CF66" s="117"/>
      <c r="CG66" s="117"/>
      <c r="CH66" s="117"/>
      <c r="CI66" s="117"/>
      <c r="CJ66" s="117"/>
      <c r="CK66" s="117"/>
      <c r="CL66" s="117"/>
      <c r="CM66" s="117"/>
      <c r="CN66" s="117"/>
      <c r="CO66" s="117"/>
      <c r="CP66" s="117"/>
      <c r="CQ66" s="117"/>
      <c r="CR66" s="117"/>
      <c r="CS66" s="117"/>
      <c r="CT66" s="117"/>
      <c r="CU66" s="117"/>
      <c r="CV66" s="117"/>
      <c r="CW66" s="117"/>
      <c r="CX66" s="117"/>
      <c r="CY66" s="117"/>
      <c r="CZ66" s="117"/>
      <c r="DA66" s="117"/>
      <c r="DB66" s="117"/>
      <c r="DC66" s="117"/>
      <c r="DD66" s="117"/>
      <c r="DE66" s="117"/>
      <c r="DF66" s="117"/>
      <c r="DG66" s="117"/>
      <c r="DH66" s="117"/>
      <c r="DI66" s="117"/>
      <c r="DJ66" s="117"/>
      <c r="DK66" s="117"/>
      <c r="DL66" s="117"/>
      <c r="DM66" s="117"/>
      <c r="DN66" s="117"/>
      <c r="DO66" s="117"/>
      <c r="DP66" s="117"/>
      <c r="DQ66" s="117"/>
      <c r="DR66" s="117"/>
      <c r="DS66" s="117"/>
      <c r="DT66" s="117"/>
      <c r="DU66" s="117"/>
      <c r="DV66" s="117"/>
      <c r="DW66" s="117"/>
      <c r="DX66" s="117"/>
      <c r="DY66" s="117"/>
      <c r="DZ66" s="117"/>
      <c r="EA66" s="117"/>
      <c r="EB66" s="117"/>
      <c r="EC66" s="117"/>
      <c r="ED66" s="117"/>
      <c r="EE66" s="117"/>
      <c r="EF66" s="117"/>
      <c r="EG66" s="117"/>
      <c r="EH66" s="117"/>
      <c r="EI66" s="117"/>
      <c r="EJ66" s="117"/>
      <c r="EK66" s="117"/>
    </row>
    <row r="67" spans="1:141" s="129" customFormat="1" x14ac:dyDescent="0.2">
      <c r="A67" s="141">
        <v>12</v>
      </c>
      <c r="B67" s="148" t="s">
        <v>91</v>
      </c>
      <c r="C67" s="125" t="s">
        <v>17</v>
      </c>
      <c r="D67" s="122"/>
      <c r="E67" s="122"/>
      <c r="F67" s="122"/>
      <c r="G67" s="122"/>
      <c r="H67" s="122">
        <f>-H33</f>
        <v>0</v>
      </c>
      <c r="I67" s="122">
        <f>SUM(D67:H67)</f>
        <v>0</v>
      </c>
      <c r="J67" s="142"/>
      <c r="K67" s="195">
        <f>-K33</f>
        <v>0</v>
      </c>
      <c r="L67" s="195">
        <f>-L33</f>
        <v>0</v>
      </c>
      <c r="M67" s="195">
        <f>+M33</f>
        <v>0</v>
      </c>
      <c r="N67" s="195">
        <f>-N33</f>
        <v>0</v>
      </c>
      <c r="O67" s="142">
        <f>-O33</f>
        <v>0</v>
      </c>
      <c r="P67" s="195">
        <f>-P33</f>
        <v>0</v>
      </c>
      <c r="Q67" s="195">
        <f t="shared" ref="Q67:R67" si="32">-Q33</f>
        <v>0</v>
      </c>
      <c r="R67" s="195">
        <f t="shared" si="32"/>
        <v>0</v>
      </c>
      <c r="S67" s="142">
        <f>SUM(K67:R67)</f>
        <v>0</v>
      </c>
      <c r="T67" s="142"/>
      <c r="U67" s="142">
        <f>S67+I67</f>
        <v>0</v>
      </c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7"/>
      <c r="BE67" s="117"/>
      <c r="BF67" s="117"/>
      <c r="BG67" s="117"/>
      <c r="BH67" s="117"/>
      <c r="BI67" s="117"/>
      <c r="BJ67" s="117"/>
      <c r="BK67" s="117"/>
      <c r="BL67" s="117"/>
      <c r="BM67" s="117"/>
      <c r="BN67" s="117"/>
      <c r="BO67" s="117"/>
      <c r="BP67" s="117"/>
      <c r="BQ67" s="117"/>
      <c r="BR67" s="117"/>
      <c r="BS67" s="117"/>
      <c r="BT67" s="117"/>
      <c r="BU67" s="117"/>
      <c r="BV67" s="117"/>
      <c r="BW67" s="117"/>
      <c r="BX67" s="117"/>
      <c r="BY67" s="117"/>
      <c r="BZ67" s="117"/>
      <c r="CA67" s="117"/>
      <c r="CB67" s="117"/>
      <c r="CC67" s="117"/>
      <c r="CD67" s="117"/>
      <c r="CE67" s="117"/>
      <c r="CF67" s="117"/>
      <c r="CG67" s="117"/>
      <c r="CH67" s="117"/>
      <c r="CI67" s="117"/>
      <c r="CJ67" s="117"/>
      <c r="CK67" s="117"/>
      <c r="CL67" s="117"/>
      <c r="CM67" s="117"/>
      <c r="CN67" s="117"/>
      <c r="CO67" s="117"/>
      <c r="CP67" s="117"/>
      <c r="CQ67" s="117"/>
      <c r="CR67" s="117"/>
      <c r="CS67" s="117"/>
      <c r="CT67" s="117"/>
      <c r="CU67" s="117"/>
      <c r="CV67" s="117"/>
      <c r="CW67" s="117"/>
      <c r="CX67" s="117"/>
      <c r="CY67" s="117"/>
      <c r="CZ67" s="117"/>
      <c r="DA67" s="117"/>
      <c r="DB67" s="117"/>
      <c r="DC67" s="117"/>
      <c r="DD67" s="117"/>
      <c r="DE67" s="117"/>
      <c r="DF67" s="117"/>
      <c r="DG67" s="117"/>
      <c r="DH67" s="117"/>
      <c r="DI67" s="117"/>
      <c r="DJ67" s="117"/>
      <c r="DK67" s="117"/>
      <c r="DL67" s="117"/>
      <c r="DM67" s="117"/>
      <c r="DN67" s="117"/>
      <c r="DO67" s="117"/>
      <c r="DP67" s="117"/>
      <c r="DQ67" s="117"/>
      <c r="DR67" s="117"/>
      <c r="DS67" s="117"/>
      <c r="DT67" s="117"/>
      <c r="DU67" s="117"/>
      <c r="DV67" s="117"/>
      <c r="DW67" s="117"/>
      <c r="DX67" s="117"/>
      <c r="DY67" s="117"/>
      <c r="DZ67" s="117"/>
      <c r="EA67" s="117"/>
      <c r="EB67" s="117"/>
      <c r="EC67" s="117"/>
      <c r="ED67" s="117"/>
      <c r="EE67" s="117"/>
      <c r="EF67" s="117"/>
      <c r="EG67" s="117"/>
      <c r="EH67" s="117"/>
      <c r="EI67" s="117"/>
      <c r="EJ67" s="117"/>
      <c r="EK67" s="117"/>
    </row>
    <row r="68" spans="1:141" s="129" customFormat="1" x14ac:dyDescent="0.2">
      <c r="A68" s="141">
        <v>13</v>
      </c>
      <c r="B68" s="148" t="s">
        <v>92</v>
      </c>
      <c r="C68" s="125" t="s">
        <v>18</v>
      </c>
      <c r="D68" s="123"/>
      <c r="E68" s="123"/>
      <c r="F68" s="123"/>
      <c r="G68" s="123"/>
      <c r="H68" s="123"/>
      <c r="I68" s="123"/>
      <c r="J68" s="142"/>
      <c r="K68" s="123">
        <f t="shared" ref="K68:O71" si="33">-K34</f>
        <v>0</v>
      </c>
      <c r="L68" s="123">
        <f t="shared" si="33"/>
        <v>0</v>
      </c>
      <c r="M68" s="123"/>
      <c r="N68" s="123">
        <f t="shared" si="33"/>
        <v>0</v>
      </c>
      <c r="O68" s="123">
        <f t="shared" si="33"/>
        <v>0</v>
      </c>
      <c r="P68" s="123">
        <f>-P34</f>
        <v>0</v>
      </c>
      <c r="Q68" s="123">
        <f t="shared" ref="Q68:R68" si="34">-Q34</f>
        <v>0</v>
      </c>
      <c r="R68" s="123">
        <f t="shared" si="34"/>
        <v>0</v>
      </c>
      <c r="S68" s="249"/>
      <c r="T68" s="117"/>
      <c r="U68" s="123">
        <f>S68+I68</f>
        <v>0</v>
      </c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7"/>
      <c r="AX68" s="117"/>
      <c r="AY68" s="117"/>
      <c r="AZ68" s="117"/>
      <c r="BA68" s="117"/>
      <c r="BB68" s="117"/>
      <c r="BC68" s="117"/>
      <c r="BD68" s="117"/>
      <c r="BE68" s="117"/>
      <c r="BF68" s="117"/>
      <c r="BG68" s="117"/>
      <c r="BH68" s="117"/>
      <c r="BI68" s="117"/>
      <c r="BJ68" s="117"/>
      <c r="BK68" s="117"/>
      <c r="BL68" s="117"/>
      <c r="BM68" s="117"/>
      <c r="BN68" s="117"/>
      <c r="BO68" s="117"/>
      <c r="BP68" s="117"/>
      <c r="BQ68" s="117"/>
      <c r="BR68" s="117"/>
      <c r="BS68" s="117"/>
      <c r="BT68" s="117"/>
      <c r="BU68" s="117"/>
      <c r="BV68" s="117"/>
      <c r="BW68" s="117"/>
      <c r="BX68" s="117"/>
      <c r="BY68" s="117"/>
      <c r="BZ68" s="117"/>
      <c r="CA68" s="117"/>
      <c r="CB68" s="117"/>
      <c r="CC68" s="117"/>
      <c r="CD68" s="117"/>
      <c r="CE68" s="117"/>
      <c r="CF68" s="117"/>
      <c r="CG68" s="117"/>
      <c r="CH68" s="117"/>
      <c r="CI68" s="117"/>
      <c r="CJ68" s="117"/>
      <c r="CK68" s="117"/>
      <c r="CL68" s="117"/>
      <c r="CM68" s="117"/>
      <c r="CN68" s="117"/>
      <c r="CO68" s="117"/>
      <c r="CP68" s="117"/>
      <c r="CQ68" s="117"/>
      <c r="CR68" s="117"/>
      <c r="CS68" s="117"/>
      <c r="CT68" s="117"/>
      <c r="CU68" s="117"/>
      <c r="CV68" s="117"/>
      <c r="CW68" s="117"/>
      <c r="CX68" s="117"/>
      <c r="CY68" s="117"/>
      <c r="CZ68" s="117"/>
      <c r="DA68" s="117"/>
      <c r="DB68" s="117"/>
      <c r="DC68" s="117"/>
      <c r="DD68" s="117"/>
      <c r="DE68" s="117"/>
      <c r="DF68" s="117"/>
      <c r="DG68" s="117"/>
      <c r="DH68" s="117"/>
      <c r="DI68" s="117"/>
      <c r="DJ68" s="117"/>
      <c r="DK68" s="117"/>
      <c r="DL68" s="117"/>
      <c r="DM68" s="117"/>
      <c r="DN68" s="117"/>
      <c r="DO68" s="117"/>
      <c r="DP68" s="117"/>
      <c r="DQ68" s="117"/>
      <c r="DR68" s="117"/>
      <c r="DS68" s="117"/>
      <c r="DT68" s="117"/>
      <c r="DU68" s="117"/>
      <c r="DV68" s="117"/>
      <c r="DW68" s="117"/>
      <c r="DX68" s="117"/>
      <c r="DY68" s="117"/>
      <c r="DZ68" s="117"/>
      <c r="EA68" s="117"/>
      <c r="EB68" s="117"/>
      <c r="EC68" s="117"/>
      <c r="ED68" s="117"/>
      <c r="EE68" s="117"/>
      <c r="EF68" s="117"/>
      <c r="EG68" s="117"/>
      <c r="EH68" s="117"/>
      <c r="EI68" s="117"/>
      <c r="EJ68" s="117"/>
      <c r="EK68" s="117"/>
    </row>
    <row r="69" spans="1:141" s="129" customFormat="1" x14ac:dyDescent="0.2">
      <c r="A69" s="141">
        <v>14</v>
      </c>
      <c r="B69" s="183" t="s">
        <v>35</v>
      </c>
      <c r="C69" s="373"/>
      <c r="D69" s="169">
        <f t="shared" ref="D69:I69" si="35">SUM(D67:D68)</f>
        <v>0</v>
      </c>
      <c r="E69" s="169">
        <f t="shared" si="35"/>
        <v>0</v>
      </c>
      <c r="F69" s="169">
        <f t="shared" si="35"/>
        <v>0</v>
      </c>
      <c r="G69" s="169">
        <f t="shared" si="35"/>
        <v>0</v>
      </c>
      <c r="H69" s="169">
        <f t="shared" si="35"/>
        <v>0</v>
      </c>
      <c r="I69" s="169">
        <f t="shared" si="35"/>
        <v>0</v>
      </c>
      <c r="J69" s="127"/>
      <c r="K69" s="195">
        <f t="shared" si="33"/>
        <v>0</v>
      </c>
      <c r="L69" s="195">
        <f t="shared" si="33"/>
        <v>0</v>
      </c>
      <c r="M69" s="195">
        <f t="shared" si="33"/>
        <v>0</v>
      </c>
      <c r="N69" s="195">
        <f t="shared" si="33"/>
        <v>0</v>
      </c>
      <c r="O69" s="195">
        <f t="shared" si="33"/>
        <v>0</v>
      </c>
      <c r="P69" s="195">
        <f>-P35</f>
        <v>0</v>
      </c>
      <c r="Q69" s="195">
        <f t="shared" ref="Q69:R69" si="36">-Q35</f>
        <v>0</v>
      </c>
      <c r="R69" s="195">
        <f t="shared" si="36"/>
        <v>0</v>
      </c>
      <c r="S69" s="144">
        <f>SUM(K69:Q69)</f>
        <v>0</v>
      </c>
      <c r="T69" s="144"/>
      <c r="U69" s="142">
        <f>S69+I69</f>
        <v>0</v>
      </c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117"/>
      <c r="BF69" s="117"/>
      <c r="BG69" s="117"/>
      <c r="BH69" s="117"/>
      <c r="BI69" s="117"/>
      <c r="BJ69" s="117"/>
      <c r="BK69" s="117"/>
      <c r="BL69" s="117"/>
      <c r="BM69" s="117"/>
      <c r="BN69" s="117"/>
      <c r="BO69" s="117"/>
      <c r="BP69" s="117"/>
      <c r="BQ69" s="117"/>
      <c r="BR69" s="117"/>
      <c r="BS69" s="117"/>
      <c r="BT69" s="117"/>
      <c r="BU69" s="117"/>
      <c r="BV69" s="117"/>
      <c r="BW69" s="117"/>
      <c r="BX69" s="117"/>
      <c r="BY69" s="117"/>
      <c r="BZ69" s="117"/>
      <c r="CA69" s="117"/>
      <c r="CB69" s="117"/>
      <c r="CC69" s="117"/>
      <c r="CD69" s="117"/>
      <c r="CE69" s="117"/>
      <c r="CF69" s="117"/>
      <c r="CG69" s="117"/>
      <c r="CH69" s="117"/>
      <c r="CI69" s="117"/>
      <c r="CJ69" s="117"/>
      <c r="CK69" s="117"/>
      <c r="CL69" s="117"/>
      <c r="CM69" s="117"/>
      <c r="CN69" s="117"/>
      <c r="CO69" s="117"/>
      <c r="CP69" s="117"/>
      <c r="CQ69" s="117"/>
      <c r="CR69" s="117"/>
      <c r="CS69" s="117"/>
      <c r="CT69" s="117"/>
      <c r="CU69" s="117"/>
      <c r="CV69" s="117"/>
      <c r="CW69" s="117"/>
      <c r="CX69" s="117"/>
      <c r="CY69" s="117"/>
      <c r="CZ69" s="117"/>
      <c r="DA69" s="117"/>
      <c r="DB69" s="117"/>
      <c r="DC69" s="117"/>
      <c r="DD69" s="117"/>
      <c r="DE69" s="117"/>
      <c r="DF69" s="117"/>
      <c r="DG69" s="117"/>
      <c r="DH69" s="117"/>
      <c r="DI69" s="117"/>
      <c r="DJ69" s="117"/>
      <c r="DK69" s="117"/>
      <c r="DL69" s="117"/>
      <c r="DM69" s="117"/>
      <c r="DN69" s="117"/>
      <c r="DO69" s="117"/>
      <c r="DP69" s="117"/>
      <c r="DQ69" s="117"/>
      <c r="DR69" s="117"/>
      <c r="DS69" s="117"/>
      <c r="DT69" s="117"/>
      <c r="DU69" s="117"/>
      <c r="DV69" s="117"/>
      <c r="DW69" s="117"/>
      <c r="DX69" s="117"/>
      <c r="DY69" s="117"/>
      <c r="DZ69" s="117"/>
      <c r="EA69" s="117"/>
      <c r="EB69" s="117"/>
      <c r="EC69" s="117"/>
      <c r="ED69" s="117"/>
      <c r="EE69" s="117"/>
      <c r="EF69" s="117"/>
      <c r="EG69" s="117"/>
      <c r="EH69" s="117"/>
      <c r="EI69" s="117"/>
      <c r="EJ69" s="117"/>
      <c r="EK69" s="117"/>
    </row>
    <row r="70" spans="1:141" s="129" customFormat="1" x14ac:dyDescent="0.2">
      <c r="A70" s="141"/>
      <c r="C70" s="185"/>
      <c r="D70" s="157"/>
      <c r="E70" s="157"/>
      <c r="F70" s="157"/>
      <c r="G70" s="157"/>
      <c r="H70" s="157"/>
      <c r="I70" s="157"/>
      <c r="J70" s="128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42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17"/>
      <c r="AS70" s="117"/>
      <c r="AT70" s="117"/>
      <c r="AU70" s="117"/>
      <c r="AV70" s="117"/>
      <c r="AW70" s="117"/>
      <c r="AX70" s="117"/>
      <c r="AY70" s="117"/>
      <c r="AZ70" s="117"/>
      <c r="BA70" s="117"/>
      <c r="BB70" s="117"/>
      <c r="BC70" s="117"/>
      <c r="BD70" s="117"/>
      <c r="BE70" s="117"/>
      <c r="BF70" s="117"/>
      <c r="BG70" s="117"/>
      <c r="BH70" s="117"/>
      <c r="BI70" s="117"/>
      <c r="BJ70" s="117"/>
      <c r="BK70" s="117"/>
      <c r="BL70" s="117"/>
      <c r="BM70" s="117"/>
      <c r="BN70" s="117"/>
      <c r="BO70" s="117"/>
      <c r="BP70" s="117"/>
      <c r="BQ70" s="117"/>
      <c r="BR70" s="117"/>
      <c r="BS70" s="117"/>
      <c r="BT70" s="117"/>
      <c r="BU70" s="117"/>
      <c r="BV70" s="117"/>
      <c r="BW70" s="117"/>
      <c r="BX70" s="117"/>
      <c r="BY70" s="117"/>
      <c r="BZ70" s="117"/>
      <c r="CA70" s="117"/>
      <c r="CB70" s="117"/>
      <c r="CC70" s="117"/>
      <c r="CD70" s="117"/>
      <c r="CE70" s="117"/>
      <c r="CF70" s="117"/>
      <c r="CG70" s="117"/>
      <c r="CH70" s="117"/>
      <c r="CI70" s="117"/>
      <c r="CJ70" s="117"/>
      <c r="CK70" s="117"/>
      <c r="CL70" s="117"/>
      <c r="CM70" s="117"/>
      <c r="CN70" s="117"/>
      <c r="CO70" s="117"/>
      <c r="CP70" s="117"/>
      <c r="CQ70" s="117"/>
      <c r="CR70" s="117"/>
      <c r="CS70" s="117"/>
      <c r="CT70" s="117"/>
      <c r="CU70" s="117"/>
      <c r="CV70" s="117"/>
      <c r="CW70" s="117"/>
      <c r="CX70" s="117"/>
      <c r="CY70" s="117"/>
      <c r="CZ70" s="117"/>
      <c r="DA70" s="117"/>
      <c r="DB70" s="117"/>
      <c r="DC70" s="117"/>
      <c r="DD70" s="117"/>
      <c r="DE70" s="117"/>
      <c r="DF70" s="117"/>
      <c r="DG70" s="117"/>
      <c r="DH70" s="117"/>
      <c r="DI70" s="117"/>
      <c r="DJ70" s="117"/>
      <c r="DK70" s="117"/>
      <c r="DL70" s="117"/>
      <c r="DM70" s="117"/>
      <c r="DN70" s="117"/>
      <c r="DO70" s="117"/>
      <c r="DP70" s="117"/>
      <c r="DQ70" s="117"/>
      <c r="DR70" s="117"/>
      <c r="DS70" s="117"/>
      <c r="DT70" s="117"/>
      <c r="DU70" s="117"/>
      <c r="DV70" s="117"/>
      <c r="DW70" s="117"/>
      <c r="DX70" s="117"/>
      <c r="DY70" s="117"/>
      <c r="DZ70" s="117"/>
      <c r="EA70" s="117"/>
      <c r="EB70" s="117"/>
      <c r="EC70" s="117"/>
      <c r="ED70" s="117"/>
      <c r="EE70" s="117"/>
      <c r="EF70" s="117"/>
      <c r="EG70" s="117"/>
      <c r="EH70" s="117"/>
      <c r="EI70" s="117"/>
      <c r="EJ70" s="117"/>
      <c r="EK70" s="117"/>
    </row>
    <row r="71" spans="1:141" s="129" customFormat="1" ht="12" thickBot="1" x14ac:dyDescent="0.25">
      <c r="A71" s="141">
        <v>15</v>
      </c>
      <c r="B71" s="243" t="s">
        <v>132</v>
      </c>
      <c r="C71" s="373"/>
      <c r="D71" s="186">
        <f t="shared" ref="D71:I71" si="37">+D69+D65</f>
        <v>0</v>
      </c>
      <c r="E71" s="186">
        <f t="shared" si="37"/>
        <v>0</v>
      </c>
      <c r="F71" s="186">
        <f t="shared" si="37"/>
        <v>-8900401.7799999993</v>
      </c>
      <c r="G71" s="186">
        <f t="shared" si="37"/>
        <v>0</v>
      </c>
      <c r="H71" s="186">
        <f t="shared" si="37"/>
        <v>-131705195.84</v>
      </c>
      <c r="I71" s="186">
        <f t="shared" si="37"/>
        <v>-140605597.62</v>
      </c>
      <c r="J71" s="182"/>
      <c r="K71" s="201">
        <f t="shared" si="33"/>
        <v>-11349956.810000002</v>
      </c>
      <c r="L71" s="201">
        <f t="shared" si="33"/>
        <v>-277204700.68000001</v>
      </c>
      <c r="M71" s="201">
        <f t="shared" si="33"/>
        <v>-73810075.75999999</v>
      </c>
      <c r="N71" s="201">
        <f t="shared" si="33"/>
        <v>-2774.48</v>
      </c>
      <c r="O71" s="201">
        <f t="shared" si="33"/>
        <v>-202262173.61000001</v>
      </c>
      <c r="P71" s="201">
        <f>-P37</f>
        <v>564139.09</v>
      </c>
      <c r="Q71" s="201">
        <f t="shared" ref="Q71:R71" si="38">-Q37</f>
        <v>-29883535.180000003</v>
      </c>
      <c r="R71" s="201">
        <f t="shared" si="38"/>
        <v>989949.23</v>
      </c>
      <c r="S71" s="201">
        <f>SUM(K71:R71)</f>
        <v>-592959128.19999993</v>
      </c>
      <c r="T71" s="194"/>
      <c r="U71" s="201">
        <f>S71+I71</f>
        <v>-733564725.81999993</v>
      </c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17"/>
      <c r="BG71" s="117"/>
      <c r="BH71" s="117"/>
      <c r="BI71" s="117"/>
      <c r="BJ71" s="117"/>
      <c r="BK71" s="117"/>
      <c r="BL71" s="117"/>
      <c r="BM71" s="117"/>
      <c r="BN71" s="117"/>
      <c r="BO71" s="117"/>
      <c r="BP71" s="117"/>
      <c r="BQ71" s="117"/>
      <c r="BR71" s="117"/>
      <c r="BS71" s="117"/>
      <c r="BT71" s="117"/>
      <c r="BU71" s="117"/>
      <c r="BV71" s="117"/>
      <c r="BW71" s="117"/>
      <c r="BX71" s="117"/>
      <c r="BY71" s="117"/>
      <c r="BZ71" s="117"/>
      <c r="CA71" s="117"/>
      <c r="CB71" s="117"/>
      <c r="CC71" s="117"/>
      <c r="CD71" s="117"/>
      <c r="CE71" s="117"/>
      <c r="CF71" s="117"/>
      <c r="CG71" s="117"/>
      <c r="CH71" s="117"/>
      <c r="CI71" s="117"/>
      <c r="CJ71" s="117"/>
      <c r="CK71" s="117"/>
      <c r="CL71" s="117"/>
      <c r="CM71" s="117"/>
      <c r="CN71" s="117"/>
      <c r="CO71" s="117"/>
      <c r="CP71" s="117"/>
      <c r="CQ71" s="117"/>
      <c r="CR71" s="117"/>
      <c r="CS71" s="117"/>
      <c r="CT71" s="117"/>
      <c r="CU71" s="117"/>
      <c r="CV71" s="117"/>
      <c r="CW71" s="117"/>
      <c r="CX71" s="117"/>
      <c r="CY71" s="117"/>
      <c r="CZ71" s="117"/>
      <c r="DA71" s="117"/>
      <c r="DB71" s="117"/>
      <c r="DC71" s="117"/>
      <c r="DD71" s="117"/>
      <c r="DE71" s="117"/>
      <c r="DF71" s="117"/>
      <c r="DG71" s="117"/>
      <c r="DH71" s="117"/>
      <c r="DI71" s="117"/>
      <c r="DJ71" s="117"/>
      <c r="DK71" s="117"/>
      <c r="DL71" s="117"/>
      <c r="DM71" s="117"/>
      <c r="DN71" s="117"/>
      <c r="DO71" s="117"/>
      <c r="DP71" s="117"/>
      <c r="DQ71" s="117"/>
      <c r="DR71" s="117"/>
      <c r="DS71" s="117"/>
      <c r="DT71" s="117"/>
      <c r="DU71" s="117"/>
      <c r="DV71" s="117"/>
      <c r="DW71" s="117"/>
      <c r="DX71" s="117"/>
      <c r="DY71" s="117"/>
      <c r="DZ71" s="117"/>
      <c r="EA71" s="117"/>
      <c r="EB71" s="117"/>
      <c r="EC71" s="117"/>
      <c r="ED71" s="117"/>
      <c r="EE71" s="117"/>
      <c r="EF71" s="117"/>
      <c r="EG71" s="117"/>
      <c r="EH71" s="117"/>
      <c r="EI71" s="117"/>
      <c r="EJ71" s="117"/>
      <c r="EK71" s="117"/>
    </row>
    <row r="72" spans="1:141" s="129" customFormat="1" ht="12" thickTop="1" x14ac:dyDescent="0.2">
      <c r="A72" s="141"/>
      <c r="B72" s="152"/>
      <c r="C72" s="373"/>
      <c r="D72" s="127"/>
      <c r="E72" s="127"/>
      <c r="F72" s="127"/>
      <c r="G72" s="127"/>
      <c r="H72" s="127"/>
      <c r="I72" s="127"/>
      <c r="J72" s="12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  <c r="AW72" s="117"/>
      <c r="AX72" s="117"/>
      <c r="AY72" s="117"/>
      <c r="AZ72" s="117"/>
      <c r="BA72" s="117"/>
      <c r="BB72" s="117"/>
      <c r="BC72" s="117"/>
      <c r="BD72" s="117"/>
      <c r="BE72" s="117"/>
      <c r="BF72" s="117"/>
      <c r="BG72" s="117"/>
      <c r="BH72" s="117"/>
      <c r="BI72" s="117"/>
      <c r="BJ72" s="117"/>
      <c r="BK72" s="117"/>
      <c r="BL72" s="117"/>
      <c r="BM72" s="117"/>
      <c r="BN72" s="117"/>
      <c r="BO72" s="117"/>
      <c r="BP72" s="117"/>
      <c r="BQ72" s="117"/>
      <c r="BR72" s="117"/>
      <c r="BS72" s="117"/>
      <c r="BT72" s="117"/>
      <c r="BU72" s="117"/>
      <c r="BV72" s="117"/>
      <c r="BW72" s="117"/>
      <c r="BX72" s="117"/>
      <c r="BY72" s="117"/>
      <c r="BZ72" s="117"/>
      <c r="CA72" s="117"/>
      <c r="CB72" s="117"/>
      <c r="CC72" s="117"/>
      <c r="CD72" s="117"/>
      <c r="CE72" s="117"/>
      <c r="CF72" s="117"/>
      <c r="CG72" s="117"/>
      <c r="CH72" s="117"/>
      <c r="CI72" s="117"/>
      <c r="CJ72" s="117"/>
      <c r="CK72" s="117"/>
      <c r="CL72" s="117"/>
      <c r="CM72" s="117"/>
      <c r="CN72" s="117"/>
      <c r="CO72" s="117"/>
      <c r="CP72" s="117"/>
      <c r="CQ72" s="117"/>
      <c r="CR72" s="117"/>
      <c r="CS72" s="117"/>
      <c r="CT72" s="117"/>
      <c r="CU72" s="117"/>
      <c r="CV72" s="117"/>
      <c r="CW72" s="117"/>
      <c r="CX72" s="117"/>
      <c r="CY72" s="117"/>
      <c r="CZ72" s="117"/>
      <c r="DA72" s="117"/>
      <c r="DB72" s="117"/>
      <c r="DC72" s="117"/>
      <c r="DD72" s="117"/>
      <c r="DE72" s="117"/>
      <c r="DF72" s="117"/>
      <c r="DG72" s="117"/>
      <c r="DH72" s="117"/>
      <c r="DI72" s="117"/>
      <c r="DJ72" s="117"/>
      <c r="DK72" s="117"/>
      <c r="DL72" s="117"/>
      <c r="DM72" s="117"/>
      <c r="DN72" s="117"/>
      <c r="DO72" s="117"/>
      <c r="DP72" s="117"/>
      <c r="DQ72" s="117"/>
      <c r="DR72" s="117"/>
      <c r="DS72" s="117"/>
      <c r="DT72" s="117"/>
      <c r="DU72" s="117"/>
      <c r="DV72" s="117"/>
      <c r="DW72" s="117"/>
      <c r="DX72" s="117"/>
      <c r="DY72" s="117"/>
      <c r="DZ72" s="117"/>
      <c r="EA72" s="117"/>
      <c r="EB72" s="117"/>
      <c r="EC72" s="117"/>
      <c r="ED72" s="117"/>
      <c r="EE72" s="117"/>
      <c r="EF72" s="117"/>
      <c r="EG72" s="117"/>
      <c r="EH72" s="117"/>
      <c r="EI72" s="117"/>
      <c r="EJ72" s="117"/>
      <c r="EK72" s="117"/>
    </row>
    <row r="73" spans="1:141" s="129" customFormat="1" x14ac:dyDescent="0.2">
      <c r="A73" s="141"/>
      <c r="B73" s="202"/>
      <c r="C73" s="373"/>
      <c r="D73" s="127"/>
      <c r="E73" s="127"/>
      <c r="F73" s="351"/>
      <c r="G73" s="127"/>
      <c r="H73" s="127"/>
      <c r="I73" s="127"/>
      <c r="J73" s="12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117"/>
      <c r="BF73" s="117"/>
      <c r="BG73" s="117"/>
      <c r="BH73" s="117"/>
      <c r="BI73" s="117"/>
      <c r="BJ73" s="117"/>
      <c r="BK73" s="117"/>
      <c r="BL73" s="117"/>
      <c r="BM73" s="117"/>
      <c r="BN73" s="117"/>
      <c r="BO73" s="117"/>
      <c r="BP73" s="117"/>
      <c r="BQ73" s="117"/>
      <c r="BR73" s="117"/>
      <c r="BS73" s="117"/>
      <c r="BT73" s="117"/>
      <c r="BU73" s="117"/>
      <c r="BV73" s="117"/>
      <c r="BW73" s="117"/>
      <c r="BX73" s="117"/>
      <c r="BY73" s="117"/>
      <c r="BZ73" s="117"/>
      <c r="CA73" s="117"/>
      <c r="CB73" s="117"/>
      <c r="CC73" s="117"/>
      <c r="CD73" s="117"/>
      <c r="CE73" s="117"/>
      <c r="CF73" s="117"/>
      <c r="CG73" s="117"/>
      <c r="CH73" s="117"/>
      <c r="CI73" s="117"/>
      <c r="CJ73" s="117"/>
      <c r="CK73" s="117"/>
      <c r="CL73" s="117"/>
      <c r="CM73" s="117"/>
      <c r="CN73" s="117"/>
      <c r="CO73" s="117"/>
      <c r="CP73" s="117"/>
      <c r="CQ73" s="117"/>
      <c r="CR73" s="117"/>
      <c r="CS73" s="117"/>
      <c r="CT73" s="117"/>
      <c r="CU73" s="117"/>
      <c r="CV73" s="117"/>
      <c r="CW73" s="117"/>
      <c r="CX73" s="117"/>
      <c r="CY73" s="117"/>
      <c r="CZ73" s="117"/>
      <c r="DA73" s="117"/>
      <c r="DB73" s="117"/>
      <c r="DC73" s="117"/>
      <c r="DD73" s="117"/>
      <c r="DE73" s="117"/>
      <c r="DF73" s="117"/>
      <c r="DG73" s="117"/>
      <c r="DH73" s="117"/>
      <c r="DI73" s="117"/>
      <c r="DJ73" s="117"/>
      <c r="DK73" s="117"/>
      <c r="DL73" s="117"/>
      <c r="DM73" s="117"/>
      <c r="DN73" s="117"/>
      <c r="DO73" s="117"/>
      <c r="DP73" s="117"/>
      <c r="DQ73" s="117"/>
      <c r="DR73" s="117"/>
      <c r="DS73" s="117"/>
      <c r="DT73" s="117"/>
      <c r="DU73" s="117"/>
      <c r="DV73" s="117"/>
      <c r="DW73" s="117"/>
      <c r="DX73" s="117"/>
      <c r="DY73" s="117"/>
      <c r="DZ73" s="117"/>
      <c r="EA73" s="117"/>
      <c r="EB73" s="117"/>
      <c r="EC73" s="117"/>
      <c r="ED73" s="117"/>
      <c r="EE73" s="117"/>
      <c r="EF73" s="117"/>
      <c r="EG73" s="117"/>
      <c r="EH73" s="117"/>
      <c r="EI73" s="117"/>
      <c r="EJ73" s="117"/>
      <c r="EK73" s="117"/>
    </row>
    <row r="74" spans="1:141" s="129" customFormat="1" x14ac:dyDescent="0.2">
      <c r="A74" s="141"/>
      <c r="B74" s="152"/>
      <c r="C74" s="373"/>
      <c r="D74" s="127"/>
      <c r="E74" s="127"/>
      <c r="F74" s="351"/>
      <c r="G74" s="127"/>
      <c r="H74" s="127"/>
      <c r="I74" s="127"/>
      <c r="J74" s="12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  <c r="BE74" s="117"/>
      <c r="BF74" s="117"/>
      <c r="BG74" s="117"/>
      <c r="BH74" s="117"/>
      <c r="BI74" s="117"/>
      <c r="BJ74" s="117"/>
      <c r="BK74" s="117"/>
      <c r="BL74" s="117"/>
      <c r="BM74" s="117"/>
      <c r="BN74" s="117"/>
      <c r="BO74" s="117"/>
      <c r="BP74" s="117"/>
      <c r="BQ74" s="117"/>
      <c r="BR74" s="117"/>
      <c r="BS74" s="117"/>
      <c r="BT74" s="117"/>
      <c r="BU74" s="117"/>
      <c r="BV74" s="117"/>
      <c r="BW74" s="117"/>
      <c r="BX74" s="117"/>
      <c r="BY74" s="117"/>
      <c r="BZ74" s="117"/>
      <c r="CA74" s="117"/>
      <c r="CB74" s="117"/>
      <c r="CC74" s="117"/>
      <c r="CD74" s="117"/>
      <c r="CE74" s="117"/>
      <c r="CF74" s="117"/>
      <c r="CG74" s="117"/>
      <c r="CH74" s="117"/>
      <c r="CI74" s="117"/>
      <c r="CJ74" s="117"/>
      <c r="CK74" s="117"/>
      <c r="CL74" s="117"/>
      <c r="CM74" s="117"/>
      <c r="CN74" s="117"/>
      <c r="CO74" s="117"/>
      <c r="CP74" s="117"/>
      <c r="CQ74" s="117"/>
      <c r="CR74" s="117"/>
      <c r="CS74" s="117"/>
      <c r="CT74" s="117"/>
      <c r="CU74" s="117"/>
      <c r="CV74" s="117"/>
      <c r="CW74" s="117"/>
      <c r="CX74" s="117"/>
      <c r="CY74" s="117"/>
      <c r="CZ74" s="117"/>
      <c r="DA74" s="117"/>
      <c r="DB74" s="117"/>
      <c r="DC74" s="117"/>
      <c r="DD74" s="117"/>
      <c r="DE74" s="117"/>
      <c r="DF74" s="117"/>
      <c r="DG74" s="117"/>
      <c r="DH74" s="117"/>
      <c r="DI74" s="117"/>
      <c r="DJ74" s="117"/>
      <c r="DK74" s="117"/>
      <c r="DL74" s="117"/>
      <c r="DM74" s="117"/>
      <c r="DN74" s="117"/>
      <c r="DO74" s="117"/>
      <c r="DP74" s="117"/>
      <c r="DQ74" s="117"/>
      <c r="DR74" s="117"/>
      <c r="DS74" s="117"/>
      <c r="DT74" s="117"/>
      <c r="DU74" s="117"/>
      <c r="DV74" s="117"/>
      <c r="DW74" s="117"/>
      <c r="DX74" s="117"/>
      <c r="DY74" s="117"/>
      <c r="DZ74" s="117"/>
      <c r="EA74" s="117"/>
      <c r="EB74" s="117"/>
      <c r="EC74" s="117"/>
      <c r="ED74" s="117"/>
      <c r="EE74" s="117"/>
      <c r="EF74" s="117"/>
      <c r="EG74" s="117"/>
      <c r="EH74" s="117"/>
      <c r="EI74" s="117"/>
      <c r="EJ74" s="117"/>
      <c r="EK74" s="117"/>
    </row>
    <row r="75" spans="1:141" ht="12.75" customHeight="1" x14ac:dyDescent="0.2">
      <c r="A75" s="388" t="str">
        <f>+A8</f>
        <v xml:space="preserve">AEP TEXAS </v>
      </c>
      <c r="B75" s="388"/>
      <c r="C75" s="388"/>
      <c r="D75" s="388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</row>
    <row r="76" spans="1:141" ht="12.75" customHeight="1" x14ac:dyDescent="0.2">
      <c r="A76" s="393" t="s">
        <v>63</v>
      </c>
      <c r="B76" s="393"/>
      <c r="C76" s="393"/>
      <c r="D76" s="393"/>
      <c r="E76" s="393"/>
      <c r="F76" s="393"/>
      <c r="G76" s="393"/>
      <c r="H76" s="393"/>
      <c r="I76" s="393"/>
      <c r="J76" s="393"/>
      <c r="K76" s="393"/>
      <c r="L76" s="393"/>
      <c r="M76" s="393"/>
      <c r="N76" s="393"/>
      <c r="O76" s="393"/>
      <c r="P76" s="393"/>
      <c r="Q76" s="393"/>
      <c r="R76" s="393"/>
      <c r="S76" s="393"/>
      <c r="T76" s="393"/>
      <c r="U76" s="393"/>
    </row>
    <row r="77" spans="1:141" ht="12.75" customHeight="1" x14ac:dyDescent="0.2">
      <c r="A77" s="388" t="str">
        <f>A10</f>
        <v>FOR TEST YEAR ENDED DECEMBER 31, 2018</v>
      </c>
      <c r="B77" s="388"/>
      <c r="C77" s="388"/>
      <c r="D77" s="388"/>
      <c r="E77" s="388"/>
      <c r="F77" s="388"/>
      <c r="G77" s="388"/>
      <c r="H77" s="388"/>
      <c r="I77" s="388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</row>
    <row r="78" spans="1:141" x14ac:dyDescent="0.2">
      <c r="B78" s="124"/>
      <c r="C78" s="373"/>
      <c r="D78" s="373"/>
      <c r="E78" s="373"/>
      <c r="F78" s="373"/>
      <c r="G78" s="373"/>
      <c r="H78" s="373"/>
      <c r="I78" s="373"/>
      <c r="J78" s="374"/>
    </row>
    <row r="79" spans="1:141" x14ac:dyDescent="0.2">
      <c r="B79" s="124"/>
      <c r="D79" s="345"/>
      <c r="E79" s="177"/>
      <c r="F79" s="177"/>
      <c r="G79" s="177"/>
    </row>
    <row r="80" spans="1:141" ht="33.75" x14ac:dyDescent="0.2">
      <c r="A80" s="373" t="s">
        <v>20</v>
      </c>
      <c r="B80" s="375" t="s">
        <v>0</v>
      </c>
      <c r="C80" s="375" t="s">
        <v>19</v>
      </c>
      <c r="D80" s="352" t="str">
        <f>$D$13</f>
        <v>Customer Revenue - Base Tariff</v>
      </c>
      <c r="E80" s="352" t="str">
        <f>$E$13</f>
        <v xml:space="preserve">Meter Revenue - Base Tariff </v>
      </c>
      <c r="F80" s="352" t="str">
        <f>$F$13</f>
        <v>Distribution Service Revenue - Base Tariff</v>
      </c>
      <c r="G80" s="352" t="str">
        <f>$G$13</f>
        <v>Facilities Charge</v>
      </c>
      <c r="H80" s="352" t="str">
        <f>$H$13</f>
        <v>Transmission Service Revenue - Base Tariff</v>
      </c>
      <c r="I80" s="352" t="str">
        <f>$I$13</f>
        <v>Total Base Tariff Revenue</v>
      </c>
      <c r="J80" s="353"/>
      <c r="K80" s="352" t="str">
        <f>$K$13</f>
        <v>Energy Efficiency Rider</v>
      </c>
      <c r="L80" s="352" t="str">
        <f>$L$13</f>
        <v>Transition Charge Riders (TC)</v>
      </c>
      <c r="M80" s="347" t="s">
        <v>121</v>
      </c>
      <c r="N80" s="352" t="str">
        <f>$N$13</f>
        <v xml:space="preserve">Competitive Metering Rider </v>
      </c>
      <c r="O80" s="352" t="str">
        <f>$O$13</f>
        <v>Transmission Cost Recovery Rider (TCRF)</v>
      </c>
      <c r="P80" s="352" t="str">
        <f>$P$13</f>
        <v>State Colleges and Universities Discount Rider</v>
      </c>
      <c r="Q80" s="352" t="str">
        <f>$Q$13</f>
        <v>Advanced Metering Recovery Rider</v>
      </c>
      <c r="R80" s="352" t="str">
        <f>+R13</f>
        <v>Misc Riders</v>
      </c>
      <c r="S80" s="352" t="str">
        <f>$S$13</f>
        <v>Total Riders</v>
      </c>
      <c r="T80" s="348"/>
      <c r="U80" s="352" t="str">
        <f>$U$13</f>
        <v>Total Revenue</v>
      </c>
    </row>
    <row r="81" spans="1:141" x14ac:dyDescent="0.2">
      <c r="B81" s="375"/>
      <c r="C81" s="375"/>
      <c r="D81" s="164"/>
      <c r="E81" s="164"/>
      <c r="F81" s="164"/>
      <c r="G81" s="164"/>
      <c r="H81" s="164"/>
      <c r="I81" s="164"/>
      <c r="J81" s="193"/>
    </row>
    <row r="82" spans="1:141" s="129" customFormat="1" x14ac:dyDescent="0.2">
      <c r="A82" s="141" t="s">
        <v>21</v>
      </c>
      <c r="B82" s="129" t="s">
        <v>29</v>
      </c>
      <c r="C82" s="143" t="s">
        <v>16</v>
      </c>
      <c r="D82" s="149">
        <f>'[4]II-H-4.1 Functions'!D75+'[5]II-H-4.1 Functions'!D75</f>
        <v>182821.44</v>
      </c>
      <c r="E82" s="149">
        <f>'[4]II-H-4.1 Functions'!E75+'[5]II-H-4.1 Functions'!E75</f>
        <v>223926.68</v>
      </c>
      <c r="F82" s="149">
        <f>'[4]II-H-4.1 Functions'!F75+'[5]II-H-4.1 Functions'!F75</f>
        <v>909599.01018585858</v>
      </c>
      <c r="G82" s="149"/>
      <c r="H82" s="149"/>
      <c r="I82" s="149">
        <f>SUM(D82:H82)</f>
        <v>1316347.1301858586</v>
      </c>
      <c r="J82" s="194"/>
      <c r="K82" s="194"/>
      <c r="L82" s="194"/>
      <c r="M82" s="194"/>
      <c r="N82" s="194"/>
      <c r="O82" s="194"/>
      <c r="P82" s="194"/>
      <c r="Q82" s="194"/>
      <c r="R82" s="194"/>
      <c r="S82" s="194">
        <f>SUM(K82:Q82)</f>
        <v>0</v>
      </c>
      <c r="T82" s="194"/>
      <c r="U82" s="194">
        <f>S82+I82</f>
        <v>1316347.1301858586</v>
      </c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  <c r="AM82" s="117"/>
      <c r="AN82" s="117"/>
      <c r="AO82" s="117"/>
      <c r="AP82" s="117"/>
      <c r="AQ82" s="117"/>
      <c r="AR82" s="117"/>
      <c r="AS82" s="117"/>
      <c r="AT82" s="117"/>
      <c r="AU82" s="117"/>
      <c r="AV82" s="117"/>
      <c r="AW82" s="117"/>
      <c r="AX82" s="117"/>
      <c r="AY82" s="117"/>
      <c r="AZ82" s="117"/>
      <c r="BA82" s="117"/>
      <c r="BB82" s="117"/>
      <c r="BC82" s="117"/>
      <c r="BD82" s="117"/>
      <c r="BE82" s="117"/>
      <c r="BF82" s="117"/>
      <c r="BG82" s="117"/>
      <c r="BH82" s="117"/>
      <c r="BI82" s="117"/>
      <c r="BJ82" s="117"/>
      <c r="BK82" s="117"/>
      <c r="BL82" s="117"/>
      <c r="BM82" s="117"/>
      <c r="BN82" s="117"/>
      <c r="BO82" s="117"/>
      <c r="BP82" s="117"/>
      <c r="BQ82" s="117"/>
      <c r="BR82" s="117"/>
      <c r="BS82" s="117"/>
      <c r="BT82" s="117"/>
      <c r="BU82" s="117"/>
      <c r="BV82" s="117"/>
      <c r="BW82" s="117"/>
      <c r="BX82" s="117"/>
      <c r="BY82" s="117"/>
      <c r="BZ82" s="117"/>
      <c r="CA82" s="117"/>
      <c r="CB82" s="117"/>
      <c r="CC82" s="117"/>
      <c r="CD82" s="117"/>
      <c r="CE82" s="117"/>
      <c r="CF82" s="117"/>
      <c r="CG82" s="117"/>
      <c r="CH82" s="117"/>
      <c r="CI82" s="117"/>
      <c r="CJ82" s="117"/>
      <c r="CK82" s="117"/>
      <c r="CL82" s="117"/>
      <c r="CM82" s="117"/>
      <c r="CN82" s="117"/>
      <c r="CO82" s="117"/>
      <c r="CP82" s="117"/>
      <c r="CQ82" s="117"/>
      <c r="CR82" s="117"/>
      <c r="CS82" s="117"/>
      <c r="CT82" s="117"/>
      <c r="CU82" s="117"/>
      <c r="CV82" s="117"/>
      <c r="CW82" s="117"/>
      <c r="CX82" s="117"/>
      <c r="CY82" s="117"/>
      <c r="CZ82" s="117"/>
      <c r="DA82" s="117"/>
      <c r="DB82" s="117"/>
      <c r="DC82" s="117"/>
      <c r="DD82" s="117"/>
      <c r="DE82" s="117"/>
      <c r="DF82" s="117"/>
      <c r="DG82" s="117"/>
      <c r="DH82" s="117"/>
      <c r="DI82" s="117"/>
      <c r="DJ82" s="117"/>
      <c r="DK82" s="117"/>
      <c r="DL82" s="117"/>
      <c r="DM82" s="117"/>
      <c r="DN82" s="117"/>
      <c r="DO82" s="117"/>
      <c r="DP82" s="117"/>
      <c r="DQ82" s="117"/>
      <c r="DR82" s="117"/>
      <c r="DS82" s="117"/>
      <c r="DT82" s="117"/>
      <c r="DU82" s="117"/>
      <c r="DV82" s="117"/>
      <c r="DW82" s="117"/>
      <c r="DX82" s="117"/>
      <c r="DY82" s="117"/>
      <c r="DZ82" s="117"/>
      <c r="EA82" s="117"/>
      <c r="EB82" s="117"/>
      <c r="EC82" s="117"/>
      <c r="ED82" s="117"/>
      <c r="EE82" s="117"/>
      <c r="EF82" s="117"/>
      <c r="EG82" s="117"/>
      <c r="EH82" s="117"/>
      <c r="EI82" s="117"/>
      <c r="EJ82" s="117"/>
      <c r="EK82" s="117"/>
    </row>
    <row r="83" spans="1:141" s="129" customFormat="1" x14ac:dyDescent="0.2">
      <c r="C83" s="143"/>
      <c r="D83" s="171"/>
      <c r="E83" s="171"/>
      <c r="F83" s="171"/>
      <c r="G83" s="171"/>
      <c r="H83" s="171"/>
      <c r="I83" s="171"/>
      <c r="J83" s="19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17"/>
      <c r="AM83" s="117"/>
      <c r="AN83" s="117"/>
      <c r="AO83" s="117"/>
      <c r="AP83" s="117"/>
      <c r="AQ83" s="117"/>
      <c r="AR83" s="117"/>
      <c r="AS83" s="117"/>
      <c r="AT83" s="117"/>
      <c r="AU83" s="117"/>
      <c r="AV83" s="117"/>
      <c r="AW83" s="117"/>
      <c r="AX83" s="117"/>
      <c r="AY83" s="117"/>
      <c r="AZ83" s="117"/>
      <c r="BA83" s="117"/>
      <c r="BB83" s="117"/>
      <c r="BC83" s="117"/>
      <c r="BD83" s="117"/>
      <c r="BE83" s="117"/>
      <c r="BF83" s="117"/>
      <c r="BG83" s="117"/>
      <c r="BH83" s="117"/>
      <c r="BI83" s="117"/>
      <c r="BJ83" s="117"/>
      <c r="BK83" s="117"/>
      <c r="BL83" s="117"/>
      <c r="BM83" s="117"/>
      <c r="BN83" s="117"/>
      <c r="BO83" s="117"/>
      <c r="BP83" s="117"/>
      <c r="BQ83" s="117"/>
      <c r="BR83" s="117"/>
      <c r="BS83" s="117"/>
      <c r="BT83" s="117"/>
      <c r="BU83" s="117"/>
      <c r="BV83" s="117"/>
      <c r="BW83" s="117"/>
      <c r="BX83" s="117"/>
      <c r="BY83" s="117"/>
      <c r="BZ83" s="117"/>
      <c r="CA83" s="117"/>
      <c r="CB83" s="117"/>
      <c r="CC83" s="117"/>
      <c r="CD83" s="117"/>
      <c r="CE83" s="117"/>
      <c r="CF83" s="117"/>
      <c r="CG83" s="117"/>
      <c r="CH83" s="117"/>
      <c r="CI83" s="117"/>
      <c r="CJ83" s="117"/>
      <c r="CK83" s="117"/>
      <c r="CL83" s="117"/>
      <c r="CM83" s="117"/>
      <c r="CN83" s="117"/>
      <c r="CO83" s="117"/>
      <c r="CP83" s="117"/>
      <c r="CQ83" s="117"/>
      <c r="CR83" s="117"/>
      <c r="CS83" s="117"/>
      <c r="CT83" s="117"/>
      <c r="CU83" s="117"/>
      <c r="CV83" s="117"/>
      <c r="CW83" s="117"/>
      <c r="CX83" s="117"/>
      <c r="CY83" s="117"/>
      <c r="CZ83" s="117"/>
      <c r="DA83" s="117"/>
      <c r="DB83" s="117"/>
      <c r="DC83" s="117"/>
      <c r="DD83" s="117"/>
      <c r="DE83" s="117"/>
      <c r="DF83" s="117"/>
      <c r="DG83" s="117"/>
      <c r="DH83" s="117"/>
      <c r="DI83" s="117"/>
      <c r="DJ83" s="117"/>
      <c r="DK83" s="117"/>
      <c r="DL83" s="117"/>
      <c r="DM83" s="117"/>
      <c r="DN83" s="117"/>
      <c r="DO83" s="117"/>
      <c r="DP83" s="117"/>
      <c r="DQ83" s="117"/>
      <c r="DR83" s="117"/>
      <c r="DS83" s="117"/>
      <c r="DT83" s="117"/>
      <c r="DU83" s="117"/>
      <c r="DV83" s="117"/>
      <c r="DW83" s="117"/>
      <c r="DX83" s="117"/>
      <c r="DY83" s="117"/>
      <c r="DZ83" s="117"/>
      <c r="EA83" s="117"/>
      <c r="EB83" s="117"/>
      <c r="EC83" s="117"/>
      <c r="ED83" s="117"/>
      <c r="EE83" s="117"/>
      <c r="EF83" s="117"/>
      <c r="EG83" s="117"/>
      <c r="EH83" s="117"/>
      <c r="EI83" s="117"/>
      <c r="EJ83" s="117"/>
      <c r="EK83" s="117"/>
    </row>
    <row r="84" spans="1:141" s="129" customFormat="1" x14ac:dyDescent="0.2">
      <c r="A84" s="141">
        <v>2</v>
      </c>
      <c r="B84" s="129" t="s">
        <v>32</v>
      </c>
      <c r="C84" s="143" t="s">
        <v>16</v>
      </c>
      <c r="D84" s="122">
        <f>'[4]II-H-4.1 Functions'!D77+'[5]II-H-4.1 Functions'!D77</f>
        <v>-3684.4000000000005</v>
      </c>
      <c r="E84" s="122">
        <f>'[4]II-H-4.1 Functions'!E77+'[5]II-H-4.1 Functions'!E77</f>
        <v>-3380.16</v>
      </c>
      <c r="F84" s="122">
        <f>'[4]II-H-4.1 Functions'!F77+'[5]II-H-4.1 Functions'!F77</f>
        <v>-12224.552965157791</v>
      </c>
      <c r="G84" s="122"/>
      <c r="H84" s="122"/>
      <c r="I84" s="122">
        <f t="shared" ref="I84:I104" si="39">SUM(D84:H84)</f>
        <v>-19289.11296515779</v>
      </c>
      <c r="J84" s="142"/>
      <c r="K84" s="195"/>
      <c r="L84" s="195"/>
      <c r="M84" s="195"/>
      <c r="N84" s="195"/>
      <c r="O84" s="195"/>
      <c r="P84" s="195"/>
      <c r="Q84" s="195"/>
      <c r="R84" s="195"/>
      <c r="S84" s="142">
        <f>SUM(K84:Q84)</f>
        <v>0</v>
      </c>
      <c r="T84" s="142"/>
      <c r="U84" s="142">
        <f>S84+I84</f>
        <v>-19289.11296515779</v>
      </c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17"/>
      <c r="BE84" s="117"/>
      <c r="BF84" s="117"/>
      <c r="BG84" s="117"/>
      <c r="BH84" s="117"/>
      <c r="BI84" s="117"/>
      <c r="BJ84" s="117"/>
      <c r="BK84" s="117"/>
      <c r="BL84" s="117"/>
      <c r="BM84" s="117"/>
      <c r="BN84" s="117"/>
      <c r="BO84" s="117"/>
      <c r="BP84" s="117"/>
      <c r="BQ84" s="117"/>
      <c r="BR84" s="117"/>
      <c r="BS84" s="117"/>
      <c r="BT84" s="117"/>
      <c r="BU84" s="117"/>
      <c r="BV84" s="117"/>
      <c r="BW84" s="117"/>
      <c r="BX84" s="117"/>
      <c r="BY84" s="117"/>
      <c r="BZ84" s="117"/>
      <c r="CA84" s="117"/>
      <c r="CB84" s="117"/>
      <c r="CC84" s="117"/>
      <c r="CD84" s="117"/>
      <c r="CE84" s="117"/>
      <c r="CF84" s="117"/>
      <c r="CG84" s="117"/>
      <c r="CH84" s="117"/>
      <c r="CI84" s="117"/>
      <c r="CJ84" s="117"/>
      <c r="CK84" s="117"/>
      <c r="CL84" s="117"/>
      <c r="CM84" s="117"/>
      <c r="CN84" s="117"/>
      <c r="CO84" s="117"/>
      <c r="CP84" s="117"/>
      <c r="CQ84" s="117"/>
      <c r="CR84" s="117"/>
      <c r="CS84" s="117"/>
      <c r="CT84" s="117"/>
      <c r="CU84" s="117"/>
      <c r="CV84" s="117"/>
      <c r="CW84" s="117"/>
      <c r="CX84" s="117"/>
      <c r="CY84" s="117"/>
      <c r="CZ84" s="117"/>
      <c r="DA84" s="117"/>
      <c r="DB84" s="117"/>
      <c r="DC84" s="117"/>
      <c r="DD84" s="117"/>
      <c r="DE84" s="117"/>
      <c r="DF84" s="117"/>
      <c r="DG84" s="117"/>
      <c r="DH84" s="117"/>
      <c r="DI84" s="117"/>
      <c r="DJ84" s="117"/>
      <c r="DK84" s="117"/>
      <c r="DL84" s="117"/>
      <c r="DM84" s="117"/>
      <c r="DN84" s="117"/>
      <c r="DO84" s="117"/>
      <c r="DP84" s="117"/>
      <c r="DQ84" s="117"/>
      <c r="DR84" s="117"/>
      <c r="DS84" s="117"/>
      <c r="DT84" s="117"/>
      <c r="DU84" s="117"/>
      <c r="DV84" s="117"/>
      <c r="DW84" s="117"/>
      <c r="DX84" s="117"/>
      <c r="DY84" s="117"/>
      <c r="DZ84" s="117"/>
      <c r="EA84" s="117"/>
      <c r="EB84" s="117"/>
      <c r="EC84" s="117"/>
      <c r="ED84" s="117"/>
      <c r="EE84" s="117"/>
      <c r="EF84" s="117"/>
      <c r="EG84" s="117"/>
      <c r="EH84" s="117"/>
      <c r="EI84" s="117"/>
      <c r="EJ84" s="117"/>
      <c r="EK84" s="117"/>
    </row>
    <row r="85" spans="1:141" s="129" customFormat="1" x14ac:dyDescent="0.2">
      <c r="A85" s="141"/>
      <c r="C85" s="143"/>
      <c r="D85" s="122"/>
      <c r="E85" s="122"/>
      <c r="F85" s="122"/>
      <c r="G85" s="122"/>
      <c r="H85" s="122"/>
      <c r="I85" s="122"/>
      <c r="J85" s="142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42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117"/>
      <c r="BF85" s="11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117"/>
      <c r="BS85" s="117"/>
      <c r="BT85" s="117"/>
      <c r="BU85" s="117"/>
      <c r="BV85" s="117"/>
      <c r="BW85" s="117"/>
      <c r="BX85" s="117"/>
      <c r="BY85" s="117"/>
      <c r="BZ85" s="117"/>
      <c r="CA85" s="117"/>
      <c r="CB85" s="117"/>
      <c r="CC85" s="117"/>
      <c r="CD85" s="117"/>
      <c r="CE85" s="117"/>
      <c r="CF85" s="117"/>
      <c r="CG85" s="117"/>
      <c r="CH85" s="117"/>
      <c r="CI85" s="117"/>
      <c r="CJ85" s="117"/>
      <c r="CK85" s="117"/>
      <c r="CL85" s="117"/>
      <c r="CM85" s="117"/>
      <c r="CN85" s="117"/>
      <c r="CO85" s="117"/>
      <c r="CP85" s="117"/>
      <c r="CQ85" s="117"/>
      <c r="CR85" s="117"/>
      <c r="CS85" s="117"/>
      <c r="CT85" s="117"/>
      <c r="CU85" s="117"/>
      <c r="CV85" s="117"/>
      <c r="CW85" s="117"/>
      <c r="CX85" s="117"/>
      <c r="CY85" s="117"/>
      <c r="CZ85" s="117"/>
      <c r="DA85" s="117"/>
      <c r="DB85" s="117"/>
      <c r="DC85" s="117"/>
      <c r="DD85" s="117"/>
      <c r="DE85" s="117"/>
      <c r="DF85" s="117"/>
      <c r="DG85" s="117"/>
      <c r="DH85" s="117"/>
      <c r="DI85" s="117"/>
      <c r="DJ85" s="117"/>
      <c r="DK85" s="117"/>
      <c r="DL85" s="117"/>
      <c r="DM85" s="117"/>
      <c r="DN85" s="117"/>
      <c r="DO85" s="117"/>
      <c r="DP85" s="117"/>
      <c r="DQ85" s="117"/>
      <c r="DR85" s="117"/>
      <c r="DS85" s="117"/>
      <c r="DT85" s="117"/>
      <c r="DU85" s="117"/>
      <c r="DV85" s="117"/>
      <c r="DW85" s="117"/>
      <c r="DX85" s="117"/>
      <c r="DY85" s="117"/>
      <c r="DZ85" s="117"/>
      <c r="EA85" s="117"/>
      <c r="EB85" s="117"/>
      <c r="EC85" s="117"/>
      <c r="ED85" s="117"/>
      <c r="EE85" s="117"/>
      <c r="EF85" s="117"/>
      <c r="EG85" s="117"/>
      <c r="EH85" s="117"/>
      <c r="EI85" s="117"/>
      <c r="EJ85" s="117"/>
      <c r="EK85" s="117"/>
    </row>
    <row r="86" spans="1:141" s="129" customFormat="1" x14ac:dyDescent="0.2">
      <c r="A86" s="141">
        <v>3</v>
      </c>
      <c r="B86" s="146" t="s">
        <v>113</v>
      </c>
      <c r="C86" s="125" t="s">
        <v>16</v>
      </c>
      <c r="D86" s="142">
        <f>'[4]II-H-4.1 Functions'!D79+'[5]II-H-4.1 Functions'!D79</f>
        <v>27148.199999999997</v>
      </c>
      <c r="E86" s="142">
        <f>'[4]II-H-4.1 Functions'!E79+'[5]II-H-4.1 Functions'!E79</f>
        <v>128056.82999999999</v>
      </c>
      <c r="F86" s="142">
        <f>'[4]II-H-4.1 Functions'!F79+'[5]II-H-4.1 Functions'!F79</f>
        <v>975635.04654208641</v>
      </c>
      <c r="G86" s="142"/>
      <c r="H86" s="142"/>
      <c r="I86" s="142">
        <f t="shared" si="39"/>
        <v>1130840.0765420864</v>
      </c>
      <c r="J86" s="142"/>
      <c r="K86" s="195"/>
      <c r="L86" s="195"/>
      <c r="M86" s="195"/>
      <c r="N86" s="195"/>
      <c r="O86" s="195"/>
      <c r="P86" s="195"/>
      <c r="Q86" s="195"/>
      <c r="R86" s="195"/>
      <c r="S86" s="142">
        <f>SUM(K86:Q86)</f>
        <v>0</v>
      </c>
      <c r="T86" s="142"/>
      <c r="U86" s="142">
        <f>S86+I86</f>
        <v>1130840.0765420864</v>
      </c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17"/>
      <c r="BA86" s="117"/>
      <c r="BB86" s="117"/>
      <c r="BC86" s="117"/>
      <c r="BD86" s="117"/>
      <c r="BE86" s="117"/>
      <c r="BF86" s="117"/>
      <c r="BG86" s="117"/>
      <c r="BH86" s="117"/>
      <c r="BI86" s="117"/>
      <c r="BJ86" s="117"/>
      <c r="BK86" s="117"/>
      <c r="BL86" s="117"/>
      <c r="BM86" s="117"/>
      <c r="BN86" s="117"/>
      <c r="BO86" s="117"/>
      <c r="BP86" s="117"/>
      <c r="BQ86" s="117"/>
      <c r="BR86" s="117"/>
      <c r="BS86" s="117"/>
      <c r="BT86" s="117"/>
      <c r="BU86" s="117"/>
      <c r="BV86" s="117"/>
      <c r="BW86" s="117"/>
      <c r="BX86" s="117"/>
      <c r="BY86" s="117"/>
      <c r="BZ86" s="117"/>
      <c r="CA86" s="117"/>
      <c r="CB86" s="117"/>
      <c r="CC86" s="117"/>
      <c r="CD86" s="117"/>
      <c r="CE86" s="117"/>
      <c r="CF86" s="117"/>
      <c r="CG86" s="117"/>
      <c r="CH86" s="117"/>
      <c r="CI86" s="117"/>
      <c r="CJ86" s="117"/>
      <c r="CK86" s="117"/>
      <c r="CL86" s="117"/>
      <c r="CM86" s="117"/>
      <c r="CN86" s="117"/>
      <c r="CO86" s="117"/>
      <c r="CP86" s="117"/>
      <c r="CQ86" s="117"/>
      <c r="CR86" s="117"/>
      <c r="CS86" s="117"/>
      <c r="CT86" s="117"/>
      <c r="CU86" s="117"/>
      <c r="CV86" s="117"/>
      <c r="CW86" s="117"/>
      <c r="CX86" s="117"/>
      <c r="CY86" s="117"/>
      <c r="CZ86" s="117"/>
      <c r="DA86" s="117"/>
      <c r="DB86" s="117"/>
      <c r="DC86" s="117"/>
      <c r="DD86" s="117"/>
      <c r="DE86" s="117"/>
      <c r="DF86" s="117"/>
      <c r="DG86" s="117"/>
      <c r="DH86" s="117"/>
      <c r="DI86" s="117"/>
      <c r="DJ86" s="117"/>
      <c r="DK86" s="117"/>
      <c r="DL86" s="117"/>
      <c r="DM86" s="117"/>
      <c r="DN86" s="117"/>
      <c r="DO86" s="117"/>
      <c r="DP86" s="117"/>
      <c r="DQ86" s="117"/>
      <c r="DR86" s="117"/>
      <c r="DS86" s="117"/>
      <c r="DT86" s="117"/>
      <c r="DU86" s="117"/>
      <c r="DV86" s="117"/>
      <c r="DW86" s="117"/>
      <c r="DX86" s="117"/>
      <c r="DY86" s="117"/>
      <c r="DZ86" s="117"/>
      <c r="EA86" s="117"/>
      <c r="EB86" s="117"/>
      <c r="EC86" s="117"/>
      <c r="ED86" s="117"/>
      <c r="EE86" s="117"/>
      <c r="EF86" s="117"/>
      <c r="EG86" s="117"/>
      <c r="EH86" s="117"/>
      <c r="EI86" s="117"/>
      <c r="EJ86" s="117"/>
      <c r="EK86" s="117"/>
    </row>
    <row r="87" spans="1:141" s="129" customFormat="1" x14ac:dyDescent="0.2">
      <c r="A87" s="141">
        <v>4</v>
      </c>
      <c r="B87" s="146" t="s">
        <v>114</v>
      </c>
      <c r="C87" s="125" t="s">
        <v>16</v>
      </c>
      <c r="D87" s="123">
        <f>'[4]II-H-4.1 Functions'!D80+'[5]II-H-4.1 Functions'!D80</f>
        <v>-4758.5200000000004</v>
      </c>
      <c r="E87" s="123">
        <f>'[4]II-H-4.1 Functions'!E80+'[5]II-H-4.1 Functions'!E80</f>
        <v>-3402.31</v>
      </c>
      <c r="F87" s="123">
        <f>'[4]II-H-4.1 Functions'!F80+'[5]II-H-4.1 Functions'!F80</f>
        <v>-319297.81502722943</v>
      </c>
      <c r="G87" s="123"/>
      <c r="H87" s="123"/>
      <c r="I87" s="123">
        <f t="shared" si="39"/>
        <v>-327458.64502722945</v>
      </c>
      <c r="J87" s="142"/>
      <c r="K87" s="196"/>
      <c r="L87" s="196"/>
      <c r="M87" s="196"/>
      <c r="N87" s="196"/>
      <c r="O87" s="196"/>
      <c r="P87" s="196"/>
      <c r="Q87" s="196"/>
      <c r="R87" s="196"/>
      <c r="S87" s="123">
        <f>SUM(K87:Q87)</f>
        <v>0</v>
      </c>
      <c r="T87" s="142"/>
      <c r="U87" s="123">
        <f>S87+I87</f>
        <v>-327458.64502722945</v>
      </c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  <c r="BG87" s="11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117"/>
      <c r="BS87" s="117"/>
      <c r="BT87" s="117"/>
      <c r="BU87" s="117"/>
      <c r="BV87" s="117"/>
      <c r="BW87" s="117"/>
      <c r="BX87" s="117"/>
      <c r="BY87" s="117"/>
      <c r="BZ87" s="117"/>
      <c r="CA87" s="117"/>
      <c r="CB87" s="117"/>
      <c r="CC87" s="117"/>
      <c r="CD87" s="117"/>
      <c r="CE87" s="117"/>
      <c r="CF87" s="117"/>
      <c r="CG87" s="117"/>
      <c r="CH87" s="117"/>
      <c r="CI87" s="117"/>
      <c r="CJ87" s="117"/>
      <c r="CK87" s="117"/>
      <c r="CL87" s="117"/>
      <c r="CM87" s="117"/>
      <c r="CN87" s="117"/>
      <c r="CO87" s="117"/>
      <c r="CP87" s="117"/>
      <c r="CQ87" s="117"/>
      <c r="CR87" s="117"/>
      <c r="CS87" s="117"/>
      <c r="CT87" s="117"/>
      <c r="CU87" s="117"/>
      <c r="CV87" s="117"/>
      <c r="CW87" s="117"/>
      <c r="CX87" s="117"/>
      <c r="CY87" s="117"/>
      <c r="CZ87" s="117"/>
      <c r="DA87" s="117"/>
      <c r="DB87" s="117"/>
      <c r="DC87" s="117"/>
      <c r="DD87" s="117"/>
      <c r="DE87" s="117"/>
      <c r="DF87" s="117"/>
      <c r="DG87" s="117"/>
      <c r="DH87" s="117"/>
      <c r="DI87" s="117"/>
      <c r="DJ87" s="117"/>
      <c r="DK87" s="117"/>
      <c r="DL87" s="117"/>
      <c r="DM87" s="117"/>
      <c r="DN87" s="117"/>
      <c r="DO87" s="117"/>
      <c r="DP87" s="117"/>
      <c r="DQ87" s="117"/>
      <c r="DR87" s="117"/>
      <c r="DS87" s="117"/>
      <c r="DT87" s="117"/>
      <c r="DU87" s="117"/>
      <c r="DV87" s="117"/>
      <c r="DW87" s="117"/>
      <c r="DX87" s="117"/>
      <c r="DY87" s="117"/>
      <c r="DZ87" s="117"/>
      <c r="EA87" s="117"/>
      <c r="EB87" s="117"/>
      <c r="EC87" s="117"/>
      <c r="ED87" s="117"/>
      <c r="EE87" s="117"/>
      <c r="EF87" s="117"/>
      <c r="EG87" s="117"/>
      <c r="EH87" s="117"/>
      <c r="EI87" s="117"/>
      <c r="EJ87" s="117"/>
      <c r="EK87" s="117"/>
    </row>
    <row r="88" spans="1:141" s="129" customFormat="1" x14ac:dyDescent="0.2">
      <c r="A88" s="141">
        <v>5</v>
      </c>
      <c r="B88" s="162" t="s">
        <v>30</v>
      </c>
      <c r="C88" s="143"/>
      <c r="D88" s="157">
        <f>SUM(D86:D87)</f>
        <v>22389.679999999997</v>
      </c>
      <c r="E88" s="157">
        <f>SUM(E86:E87)</f>
        <v>124654.51999999999</v>
      </c>
      <c r="F88" s="157">
        <f>SUM(F86:F87)</f>
        <v>656337.23151485692</v>
      </c>
      <c r="G88" s="157">
        <f>SUM(G86:G87)</f>
        <v>0</v>
      </c>
      <c r="H88" s="157">
        <f>SUM(H86:H87)</f>
        <v>0</v>
      </c>
      <c r="I88" s="157">
        <f t="shared" si="39"/>
        <v>803381.43151485687</v>
      </c>
      <c r="J88" s="128"/>
      <c r="K88" s="195">
        <f t="shared" ref="K88:P88" si="40">SUM(K86:K87)</f>
        <v>0</v>
      </c>
      <c r="L88" s="195">
        <f t="shared" si="40"/>
        <v>0</v>
      </c>
      <c r="M88" s="195"/>
      <c r="N88" s="195">
        <f t="shared" si="40"/>
        <v>0</v>
      </c>
      <c r="O88" s="195">
        <f t="shared" si="40"/>
        <v>0</v>
      </c>
      <c r="P88" s="195">
        <f t="shared" si="40"/>
        <v>0</v>
      </c>
      <c r="Q88" s="195"/>
      <c r="R88" s="195"/>
      <c r="S88" s="144">
        <f>SUM(K88:Q88)</f>
        <v>0</v>
      </c>
      <c r="T88" s="144"/>
      <c r="U88" s="142">
        <f>S88+I88</f>
        <v>803381.43151485687</v>
      </c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117"/>
      <c r="BF88" s="117"/>
      <c r="BG88" s="117"/>
      <c r="BH88" s="117"/>
      <c r="BI88" s="117"/>
      <c r="BJ88" s="117"/>
      <c r="BK88" s="117"/>
      <c r="BL88" s="117"/>
      <c r="BM88" s="117"/>
      <c r="BN88" s="117"/>
      <c r="BO88" s="117"/>
      <c r="BP88" s="117"/>
      <c r="BQ88" s="117"/>
      <c r="BR88" s="117"/>
      <c r="BS88" s="117"/>
      <c r="BT88" s="117"/>
      <c r="BU88" s="117"/>
      <c r="BV88" s="117"/>
      <c r="BW88" s="117"/>
      <c r="BX88" s="117"/>
      <c r="BY88" s="117"/>
      <c r="BZ88" s="117"/>
      <c r="CA88" s="117"/>
      <c r="CB88" s="117"/>
      <c r="CC88" s="117"/>
      <c r="CD88" s="117"/>
      <c r="CE88" s="117"/>
      <c r="CF88" s="117"/>
      <c r="CG88" s="117"/>
      <c r="CH88" s="117"/>
      <c r="CI88" s="117"/>
      <c r="CJ88" s="117"/>
      <c r="CK88" s="117"/>
      <c r="CL88" s="117"/>
      <c r="CM88" s="117"/>
      <c r="CN88" s="117"/>
      <c r="CO88" s="117"/>
      <c r="CP88" s="117"/>
      <c r="CQ88" s="117"/>
      <c r="CR88" s="117"/>
      <c r="CS88" s="117"/>
      <c r="CT88" s="117"/>
      <c r="CU88" s="117"/>
      <c r="CV88" s="117"/>
      <c r="CW88" s="117"/>
      <c r="CX88" s="117"/>
      <c r="CY88" s="117"/>
      <c r="CZ88" s="117"/>
      <c r="DA88" s="117"/>
      <c r="DB88" s="117"/>
      <c r="DC88" s="117"/>
      <c r="DD88" s="117"/>
      <c r="DE88" s="117"/>
      <c r="DF88" s="117"/>
      <c r="DG88" s="117"/>
      <c r="DH88" s="117"/>
      <c r="DI88" s="117"/>
      <c r="DJ88" s="117"/>
      <c r="DK88" s="117"/>
      <c r="DL88" s="117"/>
      <c r="DM88" s="117"/>
      <c r="DN88" s="117"/>
      <c r="DO88" s="117"/>
      <c r="DP88" s="117"/>
      <c r="DQ88" s="117"/>
      <c r="DR88" s="117"/>
      <c r="DS88" s="117"/>
      <c r="DT88" s="117"/>
      <c r="DU88" s="117"/>
      <c r="DV88" s="117"/>
      <c r="DW88" s="117"/>
      <c r="DX88" s="117"/>
      <c r="DY88" s="117"/>
      <c r="DZ88" s="117"/>
      <c r="EA88" s="117"/>
      <c r="EB88" s="117"/>
      <c r="EC88" s="117"/>
      <c r="ED88" s="117"/>
      <c r="EE88" s="117"/>
      <c r="EF88" s="117"/>
      <c r="EG88" s="117"/>
      <c r="EH88" s="117"/>
      <c r="EI88" s="117"/>
      <c r="EJ88" s="117"/>
      <c r="EK88" s="117"/>
    </row>
    <row r="89" spans="1:141" s="129" customFormat="1" x14ac:dyDescent="0.2">
      <c r="B89" s="242"/>
      <c r="C89" s="143"/>
      <c r="D89" s="157"/>
      <c r="E89" s="157"/>
      <c r="F89" s="157"/>
      <c r="G89" s="157"/>
      <c r="H89" s="157"/>
      <c r="I89" s="157"/>
      <c r="J89" s="128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42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  <c r="BE89" s="117"/>
      <c r="BF89" s="117"/>
      <c r="BG89" s="117"/>
      <c r="BH89" s="117"/>
      <c r="BI89" s="117"/>
      <c r="BJ89" s="117"/>
      <c r="BK89" s="117"/>
      <c r="BL89" s="117"/>
      <c r="BM89" s="117"/>
      <c r="BN89" s="117"/>
      <c r="BO89" s="117"/>
      <c r="BP89" s="117"/>
      <c r="BQ89" s="117"/>
      <c r="BR89" s="117"/>
      <c r="BS89" s="117"/>
      <c r="BT89" s="117"/>
      <c r="BU89" s="117"/>
      <c r="BV89" s="117"/>
      <c r="BW89" s="117"/>
      <c r="BX89" s="117"/>
      <c r="BY89" s="117"/>
      <c r="BZ89" s="117"/>
      <c r="CA89" s="117"/>
      <c r="CB89" s="117"/>
      <c r="CC89" s="117"/>
      <c r="CD89" s="117"/>
      <c r="CE89" s="117"/>
      <c r="CF89" s="117"/>
      <c r="CG89" s="117"/>
      <c r="CH89" s="117"/>
      <c r="CI89" s="117"/>
      <c r="CJ89" s="117"/>
      <c r="CK89" s="117"/>
      <c r="CL89" s="117"/>
      <c r="CM89" s="117"/>
      <c r="CN89" s="117"/>
      <c r="CO89" s="117"/>
      <c r="CP89" s="117"/>
      <c r="CQ89" s="117"/>
      <c r="CR89" s="117"/>
      <c r="CS89" s="117"/>
      <c r="CT89" s="117"/>
      <c r="CU89" s="117"/>
      <c r="CV89" s="117"/>
      <c r="CW89" s="117"/>
      <c r="CX89" s="117"/>
      <c r="CY89" s="117"/>
      <c r="CZ89" s="117"/>
      <c r="DA89" s="117"/>
      <c r="DB89" s="117"/>
      <c r="DC89" s="117"/>
      <c r="DD89" s="117"/>
      <c r="DE89" s="117"/>
      <c r="DF89" s="117"/>
      <c r="DG89" s="117"/>
      <c r="DH89" s="117"/>
      <c r="DI89" s="117"/>
      <c r="DJ89" s="117"/>
      <c r="DK89" s="117"/>
      <c r="DL89" s="117"/>
      <c r="DM89" s="117"/>
      <c r="DN89" s="117"/>
      <c r="DO89" s="117"/>
      <c r="DP89" s="117"/>
      <c r="DQ89" s="117"/>
      <c r="DR89" s="117"/>
      <c r="DS89" s="117"/>
      <c r="DT89" s="117"/>
      <c r="DU89" s="117"/>
      <c r="DV89" s="117"/>
      <c r="DW89" s="117"/>
      <c r="DX89" s="117"/>
      <c r="DY89" s="117"/>
      <c r="DZ89" s="117"/>
      <c r="EA89" s="117"/>
      <c r="EB89" s="117"/>
      <c r="EC89" s="117"/>
      <c r="ED89" s="117"/>
      <c r="EE89" s="117"/>
      <c r="EF89" s="117"/>
      <c r="EG89" s="117"/>
      <c r="EH89" s="117"/>
      <c r="EI89" s="117"/>
      <c r="EJ89" s="117"/>
      <c r="EK89" s="117"/>
    </row>
    <row r="90" spans="1:141" s="129" customFormat="1" x14ac:dyDescent="0.2">
      <c r="A90" s="141">
        <v>6</v>
      </c>
      <c r="B90" s="146" t="s">
        <v>110</v>
      </c>
      <c r="C90" s="125" t="s">
        <v>17</v>
      </c>
      <c r="D90" s="142">
        <f>'[4]II-H-4.1 Functions'!D83+'[5]II-H-4.1 Functions'!D83</f>
        <v>168.14999999999998</v>
      </c>
      <c r="E90" s="142">
        <f>'[4]II-H-4.1 Functions'!E83+'[5]II-H-4.1 Functions'!E83</f>
        <v>6439.51</v>
      </c>
      <c r="F90" s="142">
        <f>'[4]II-H-4.1 Functions'!F83+'[5]II-H-4.1 Functions'!F83</f>
        <v>15343.320919319038</v>
      </c>
      <c r="G90" s="122"/>
      <c r="H90" s="122"/>
      <c r="I90" s="122">
        <f t="shared" si="39"/>
        <v>21950.980919319038</v>
      </c>
      <c r="J90" s="142"/>
      <c r="K90" s="195"/>
      <c r="L90" s="195"/>
      <c r="M90" s="195"/>
      <c r="N90" s="195"/>
      <c r="O90" s="195"/>
      <c r="P90" s="195"/>
      <c r="Q90" s="195"/>
      <c r="R90" s="195"/>
      <c r="S90" s="142">
        <f>SUM(K90:Q90)</f>
        <v>0</v>
      </c>
      <c r="T90" s="142"/>
      <c r="U90" s="142">
        <f>S90+I90</f>
        <v>21950.980919319038</v>
      </c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  <c r="AW90" s="117"/>
      <c r="AX90" s="117"/>
      <c r="AY90" s="117"/>
      <c r="AZ90" s="117"/>
      <c r="BA90" s="117"/>
      <c r="BB90" s="117"/>
      <c r="BC90" s="117"/>
      <c r="BD90" s="117"/>
      <c r="BE90" s="117"/>
      <c r="BF90" s="117"/>
      <c r="BG90" s="117"/>
      <c r="BH90" s="117"/>
      <c r="BI90" s="117"/>
      <c r="BJ90" s="117"/>
      <c r="BK90" s="117"/>
      <c r="BL90" s="117"/>
      <c r="BM90" s="117"/>
      <c r="BN90" s="117"/>
      <c r="BO90" s="117"/>
      <c r="BP90" s="117"/>
      <c r="BQ90" s="117"/>
      <c r="BR90" s="117"/>
      <c r="BS90" s="117"/>
      <c r="BT90" s="117"/>
      <c r="BU90" s="117"/>
      <c r="BV90" s="117"/>
      <c r="BW90" s="117"/>
      <c r="BX90" s="117"/>
      <c r="BY90" s="117"/>
      <c r="BZ90" s="117"/>
      <c r="CA90" s="117"/>
      <c r="CB90" s="117"/>
      <c r="CC90" s="117"/>
      <c r="CD90" s="117"/>
      <c r="CE90" s="117"/>
      <c r="CF90" s="117"/>
      <c r="CG90" s="117"/>
      <c r="CH90" s="117"/>
      <c r="CI90" s="117"/>
      <c r="CJ90" s="117"/>
      <c r="CK90" s="117"/>
      <c r="CL90" s="117"/>
      <c r="CM90" s="117"/>
      <c r="CN90" s="117"/>
      <c r="CO90" s="117"/>
      <c r="CP90" s="117"/>
      <c r="CQ90" s="117"/>
      <c r="CR90" s="117"/>
      <c r="CS90" s="117"/>
      <c r="CT90" s="117"/>
      <c r="CU90" s="117"/>
      <c r="CV90" s="117"/>
      <c r="CW90" s="117"/>
      <c r="CX90" s="117"/>
      <c r="CY90" s="117"/>
      <c r="CZ90" s="117"/>
      <c r="DA90" s="117"/>
      <c r="DB90" s="117"/>
      <c r="DC90" s="117"/>
      <c r="DD90" s="117"/>
      <c r="DE90" s="117"/>
      <c r="DF90" s="117"/>
      <c r="DG90" s="117"/>
      <c r="DH90" s="117"/>
      <c r="DI90" s="117"/>
      <c r="DJ90" s="117"/>
      <c r="DK90" s="117"/>
      <c r="DL90" s="117"/>
      <c r="DM90" s="117"/>
      <c r="DN90" s="117"/>
      <c r="DO90" s="117"/>
      <c r="DP90" s="117"/>
      <c r="DQ90" s="117"/>
      <c r="DR90" s="117"/>
      <c r="DS90" s="117"/>
      <c r="DT90" s="117"/>
      <c r="DU90" s="117"/>
      <c r="DV90" s="117"/>
      <c r="DW90" s="117"/>
      <c r="DX90" s="117"/>
      <c r="DY90" s="117"/>
      <c r="DZ90" s="117"/>
      <c r="EA90" s="117"/>
      <c r="EB90" s="117"/>
      <c r="EC90" s="117"/>
      <c r="ED90" s="117"/>
      <c r="EE90" s="117"/>
      <c r="EF90" s="117"/>
      <c r="EG90" s="117"/>
      <c r="EH90" s="117"/>
      <c r="EI90" s="117"/>
      <c r="EJ90" s="117"/>
      <c r="EK90" s="117"/>
    </row>
    <row r="91" spans="1:141" s="129" customFormat="1" x14ac:dyDescent="0.2">
      <c r="A91" s="141">
        <v>7</v>
      </c>
      <c r="B91" s="146" t="s">
        <v>111</v>
      </c>
      <c r="C91" s="125" t="s">
        <v>17</v>
      </c>
      <c r="D91" s="123">
        <f>'[4]II-H-4.1 Functions'!D84+'[5]II-H-4.1 Functions'!D84</f>
        <v>-253.28</v>
      </c>
      <c r="E91" s="123">
        <f>'[4]II-H-4.1 Functions'!E84+'[5]II-H-4.1 Functions'!E84</f>
        <v>-1405.6100000000001</v>
      </c>
      <c r="F91" s="123">
        <f>'[4]II-H-4.1 Functions'!F84+'[5]II-H-4.1 Functions'!F84</f>
        <v>-37539.872337940324</v>
      </c>
      <c r="G91" s="123"/>
      <c r="H91" s="123"/>
      <c r="I91" s="123">
        <f t="shared" si="39"/>
        <v>-39198.762337940323</v>
      </c>
      <c r="J91" s="142"/>
      <c r="K91" s="196"/>
      <c r="L91" s="196"/>
      <c r="M91" s="196"/>
      <c r="N91" s="196"/>
      <c r="O91" s="196"/>
      <c r="P91" s="196"/>
      <c r="Q91" s="196"/>
      <c r="R91" s="196"/>
      <c r="S91" s="123">
        <f>SUM(K91:Q91)</f>
        <v>0</v>
      </c>
      <c r="T91" s="142"/>
      <c r="U91" s="123">
        <f>S91+I91</f>
        <v>-39198.762337940323</v>
      </c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117"/>
      <c r="BS91" s="117"/>
      <c r="BT91" s="117"/>
      <c r="BU91" s="117"/>
      <c r="BV91" s="117"/>
      <c r="BW91" s="117"/>
      <c r="BX91" s="117"/>
      <c r="BY91" s="117"/>
      <c r="BZ91" s="117"/>
      <c r="CA91" s="117"/>
      <c r="CB91" s="117"/>
      <c r="CC91" s="117"/>
      <c r="CD91" s="117"/>
      <c r="CE91" s="117"/>
      <c r="CF91" s="117"/>
      <c r="CG91" s="117"/>
      <c r="CH91" s="117"/>
      <c r="CI91" s="117"/>
      <c r="CJ91" s="117"/>
      <c r="CK91" s="117"/>
      <c r="CL91" s="117"/>
      <c r="CM91" s="117"/>
      <c r="CN91" s="117"/>
      <c r="CO91" s="117"/>
      <c r="CP91" s="117"/>
      <c r="CQ91" s="117"/>
      <c r="CR91" s="117"/>
      <c r="CS91" s="117"/>
      <c r="CT91" s="117"/>
      <c r="CU91" s="117"/>
      <c r="CV91" s="117"/>
      <c r="CW91" s="117"/>
      <c r="CX91" s="117"/>
      <c r="CY91" s="117"/>
      <c r="CZ91" s="117"/>
      <c r="DA91" s="117"/>
      <c r="DB91" s="117"/>
      <c r="DC91" s="117"/>
      <c r="DD91" s="117"/>
      <c r="DE91" s="117"/>
      <c r="DF91" s="117"/>
      <c r="DG91" s="117"/>
      <c r="DH91" s="117"/>
      <c r="DI91" s="117"/>
      <c r="DJ91" s="117"/>
      <c r="DK91" s="117"/>
      <c r="DL91" s="117"/>
      <c r="DM91" s="117"/>
      <c r="DN91" s="117"/>
      <c r="DO91" s="117"/>
      <c r="DP91" s="117"/>
      <c r="DQ91" s="117"/>
      <c r="DR91" s="117"/>
      <c r="DS91" s="117"/>
      <c r="DT91" s="117"/>
      <c r="DU91" s="117"/>
      <c r="DV91" s="117"/>
      <c r="DW91" s="117"/>
      <c r="DX91" s="117"/>
      <c r="DY91" s="117"/>
      <c r="DZ91" s="117"/>
      <c r="EA91" s="117"/>
      <c r="EB91" s="117"/>
      <c r="EC91" s="117"/>
      <c r="ED91" s="117"/>
      <c r="EE91" s="117"/>
      <c r="EF91" s="117"/>
      <c r="EG91" s="117"/>
      <c r="EH91" s="117"/>
      <c r="EI91" s="117"/>
      <c r="EJ91" s="117"/>
      <c r="EK91" s="117"/>
    </row>
    <row r="92" spans="1:141" s="129" customFormat="1" x14ac:dyDescent="0.2">
      <c r="A92" s="141">
        <v>8</v>
      </c>
      <c r="B92" s="129" t="s">
        <v>31</v>
      </c>
      <c r="C92" s="125"/>
      <c r="D92" s="122">
        <f>SUM(D90:D91)</f>
        <v>-85.130000000000024</v>
      </c>
      <c r="E92" s="122">
        <f>SUM(E90:E91)</f>
        <v>5033.8999999999996</v>
      </c>
      <c r="F92" s="122">
        <f>SUM(F90:F91)</f>
        <v>-22196.551418621286</v>
      </c>
      <c r="G92" s="122">
        <f>SUM(G90:G91)</f>
        <v>0</v>
      </c>
      <c r="H92" s="122">
        <f>SUM(H90:H91)</f>
        <v>0</v>
      </c>
      <c r="I92" s="122">
        <f t="shared" si="39"/>
        <v>-17247.781418621285</v>
      </c>
      <c r="J92" s="142"/>
      <c r="K92" s="195">
        <f t="shared" ref="K92:P92" si="41">SUM(K90:K91)</f>
        <v>0</v>
      </c>
      <c r="L92" s="195">
        <f t="shared" si="41"/>
        <v>0</v>
      </c>
      <c r="M92" s="195"/>
      <c r="N92" s="195">
        <f t="shared" si="41"/>
        <v>0</v>
      </c>
      <c r="O92" s="195">
        <f t="shared" si="41"/>
        <v>0</v>
      </c>
      <c r="P92" s="195">
        <f t="shared" si="41"/>
        <v>0</v>
      </c>
      <c r="Q92" s="195"/>
      <c r="R92" s="195"/>
      <c r="S92" s="144">
        <f>SUM(K92:Q92)</f>
        <v>0</v>
      </c>
      <c r="T92" s="144"/>
      <c r="U92" s="142">
        <f>S92+I92</f>
        <v>-17247.781418621285</v>
      </c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  <c r="BH92" s="117"/>
      <c r="BI92" s="117"/>
      <c r="BJ92" s="117"/>
      <c r="BK92" s="117"/>
      <c r="BL92" s="117"/>
      <c r="BM92" s="117"/>
      <c r="BN92" s="117"/>
      <c r="BO92" s="117"/>
      <c r="BP92" s="117"/>
      <c r="BQ92" s="117"/>
      <c r="BR92" s="117"/>
      <c r="BS92" s="117"/>
      <c r="BT92" s="117"/>
      <c r="BU92" s="117"/>
      <c r="BV92" s="117"/>
      <c r="BW92" s="117"/>
      <c r="BX92" s="117"/>
      <c r="BY92" s="117"/>
      <c r="BZ92" s="117"/>
      <c r="CA92" s="117"/>
      <c r="CB92" s="117"/>
      <c r="CC92" s="117"/>
      <c r="CD92" s="117"/>
      <c r="CE92" s="117"/>
      <c r="CF92" s="117"/>
      <c r="CG92" s="117"/>
      <c r="CH92" s="117"/>
      <c r="CI92" s="117"/>
      <c r="CJ92" s="117"/>
      <c r="CK92" s="117"/>
      <c r="CL92" s="117"/>
      <c r="CM92" s="117"/>
      <c r="CN92" s="117"/>
      <c r="CO92" s="117"/>
      <c r="CP92" s="117"/>
      <c r="CQ92" s="117"/>
      <c r="CR92" s="117"/>
      <c r="CS92" s="117"/>
      <c r="CT92" s="117"/>
      <c r="CU92" s="117"/>
      <c r="CV92" s="117"/>
      <c r="CW92" s="117"/>
      <c r="CX92" s="117"/>
      <c r="CY92" s="117"/>
      <c r="CZ92" s="117"/>
      <c r="DA92" s="117"/>
      <c r="DB92" s="117"/>
      <c r="DC92" s="117"/>
      <c r="DD92" s="117"/>
      <c r="DE92" s="117"/>
      <c r="DF92" s="117"/>
      <c r="DG92" s="117"/>
      <c r="DH92" s="117"/>
      <c r="DI92" s="117"/>
      <c r="DJ92" s="117"/>
      <c r="DK92" s="117"/>
      <c r="DL92" s="117"/>
      <c r="DM92" s="117"/>
      <c r="DN92" s="117"/>
      <c r="DO92" s="117"/>
      <c r="DP92" s="117"/>
      <c r="DQ92" s="117"/>
      <c r="DR92" s="117"/>
      <c r="DS92" s="117"/>
      <c r="DT92" s="117"/>
      <c r="DU92" s="117"/>
      <c r="DV92" s="117"/>
      <c r="DW92" s="117"/>
      <c r="DX92" s="117"/>
      <c r="DY92" s="117"/>
      <c r="DZ92" s="117"/>
      <c r="EA92" s="117"/>
      <c r="EB92" s="117"/>
      <c r="EC92" s="117"/>
      <c r="ED92" s="117"/>
      <c r="EE92" s="117"/>
      <c r="EF92" s="117"/>
      <c r="EG92" s="117"/>
      <c r="EH92" s="117"/>
      <c r="EI92" s="117"/>
      <c r="EJ92" s="117"/>
      <c r="EK92" s="117"/>
    </row>
    <row r="93" spans="1:141" s="129" customFormat="1" x14ac:dyDescent="0.2">
      <c r="A93" s="141"/>
      <c r="C93" s="125"/>
      <c r="D93" s="122"/>
      <c r="E93" s="122"/>
      <c r="F93" s="122"/>
      <c r="G93" s="122"/>
      <c r="H93" s="122"/>
      <c r="I93" s="122"/>
      <c r="J93" s="142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42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117"/>
      <c r="BS93" s="117"/>
      <c r="BT93" s="117"/>
      <c r="BU93" s="117"/>
      <c r="BV93" s="117"/>
      <c r="BW93" s="117"/>
      <c r="BX93" s="117"/>
      <c r="BY93" s="117"/>
      <c r="BZ93" s="117"/>
      <c r="CA93" s="117"/>
      <c r="CB93" s="117"/>
      <c r="CC93" s="117"/>
      <c r="CD93" s="117"/>
      <c r="CE93" s="117"/>
      <c r="CF93" s="117"/>
      <c r="CG93" s="117"/>
      <c r="CH93" s="117"/>
      <c r="CI93" s="117"/>
      <c r="CJ93" s="117"/>
      <c r="CK93" s="117"/>
      <c r="CL93" s="117"/>
      <c r="CM93" s="117"/>
      <c r="CN93" s="117"/>
      <c r="CO93" s="117"/>
      <c r="CP93" s="117"/>
      <c r="CQ93" s="117"/>
      <c r="CR93" s="117"/>
      <c r="CS93" s="117"/>
      <c r="CT93" s="117"/>
      <c r="CU93" s="117"/>
      <c r="CV93" s="117"/>
      <c r="CW93" s="117"/>
      <c r="CX93" s="117"/>
      <c r="CY93" s="117"/>
      <c r="CZ93" s="117"/>
      <c r="DA93" s="117"/>
      <c r="DB93" s="117"/>
      <c r="DC93" s="117"/>
      <c r="DD93" s="117"/>
      <c r="DE93" s="117"/>
      <c r="DF93" s="117"/>
      <c r="DG93" s="117"/>
      <c r="DH93" s="117"/>
      <c r="DI93" s="117"/>
      <c r="DJ93" s="117"/>
      <c r="DK93" s="117"/>
      <c r="DL93" s="117"/>
      <c r="DM93" s="117"/>
      <c r="DN93" s="117"/>
      <c r="DO93" s="117"/>
      <c r="DP93" s="117"/>
      <c r="DQ93" s="117"/>
      <c r="DR93" s="117"/>
      <c r="DS93" s="117"/>
      <c r="DT93" s="117"/>
      <c r="DU93" s="117"/>
      <c r="DV93" s="117"/>
      <c r="DW93" s="117"/>
      <c r="DX93" s="117"/>
      <c r="DY93" s="117"/>
      <c r="DZ93" s="117"/>
      <c r="EA93" s="117"/>
      <c r="EB93" s="117"/>
      <c r="EC93" s="117"/>
      <c r="ED93" s="117"/>
      <c r="EE93" s="117"/>
      <c r="EF93" s="117"/>
      <c r="EG93" s="117"/>
      <c r="EH93" s="117"/>
      <c r="EI93" s="117"/>
      <c r="EJ93" s="117"/>
      <c r="EK93" s="117"/>
    </row>
    <row r="94" spans="1:141" s="129" customFormat="1" x14ac:dyDescent="0.2">
      <c r="A94" s="141">
        <v>9</v>
      </c>
      <c r="B94" s="162" t="s">
        <v>115</v>
      </c>
      <c r="C94" s="125" t="s">
        <v>18</v>
      </c>
      <c r="D94" s="122">
        <f>'[4]II-H-4.1 Functions'!D87+'[5]II-H-4.1 Functions'!D87</f>
        <v>1660.2800000000002</v>
      </c>
      <c r="E94" s="122">
        <f>'[4]II-H-4.1 Functions'!E87+'[5]II-H-4.1 Functions'!E87</f>
        <v>76808.55</v>
      </c>
      <c r="F94" s="122">
        <f>'[4]II-H-4.1 Functions'!F87+'[5]II-H-4.1 Functions'!F87</f>
        <v>124634.14399734799</v>
      </c>
      <c r="G94" s="122"/>
      <c r="H94" s="122"/>
      <c r="I94" s="122">
        <f t="shared" si="39"/>
        <v>203102.97399734799</v>
      </c>
      <c r="J94" s="142"/>
      <c r="K94" s="195"/>
      <c r="L94" s="195"/>
      <c r="M94" s="195"/>
      <c r="N94" s="195"/>
      <c r="O94" s="195"/>
      <c r="P94" s="195"/>
      <c r="Q94" s="195"/>
      <c r="R94" s="195"/>
      <c r="S94" s="142">
        <f>SUM(K94:Q94)</f>
        <v>0</v>
      </c>
      <c r="T94" s="142"/>
      <c r="U94" s="142">
        <f>S94+I94</f>
        <v>203102.97399734799</v>
      </c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117"/>
      <c r="BF94" s="117"/>
      <c r="BG94" s="11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117"/>
      <c r="BS94" s="117"/>
      <c r="BT94" s="117"/>
      <c r="BU94" s="117"/>
      <c r="BV94" s="117"/>
      <c r="BW94" s="117"/>
      <c r="BX94" s="117"/>
      <c r="BY94" s="117"/>
      <c r="BZ94" s="117"/>
      <c r="CA94" s="117"/>
      <c r="CB94" s="117"/>
      <c r="CC94" s="117"/>
      <c r="CD94" s="117"/>
      <c r="CE94" s="117"/>
      <c r="CF94" s="117"/>
      <c r="CG94" s="117"/>
      <c r="CH94" s="117"/>
      <c r="CI94" s="117"/>
      <c r="CJ94" s="117"/>
      <c r="CK94" s="117"/>
      <c r="CL94" s="117"/>
      <c r="CM94" s="117"/>
      <c r="CN94" s="117"/>
      <c r="CO94" s="117"/>
      <c r="CP94" s="117"/>
      <c r="CQ94" s="117"/>
      <c r="CR94" s="117"/>
      <c r="CS94" s="117"/>
      <c r="CT94" s="117"/>
      <c r="CU94" s="117"/>
      <c r="CV94" s="117"/>
      <c r="CW94" s="117"/>
      <c r="CX94" s="117"/>
      <c r="CY94" s="117"/>
      <c r="CZ94" s="117"/>
      <c r="DA94" s="117"/>
      <c r="DB94" s="117"/>
      <c r="DC94" s="117"/>
      <c r="DD94" s="117"/>
      <c r="DE94" s="117"/>
      <c r="DF94" s="117"/>
      <c r="DG94" s="117"/>
      <c r="DH94" s="117"/>
      <c r="DI94" s="117"/>
      <c r="DJ94" s="117"/>
      <c r="DK94" s="117"/>
      <c r="DL94" s="117"/>
      <c r="DM94" s="117"/>
      <c r="DN94" s="117"/>
      <c r="DO94" s="117"/>
      <c r="DP94" s="117"/>
      <c r="DQ94" s="117"/>
      <c r="DR94" s="117"/>
      <c r="DS94" s="117"/>
      <c r="DT94" s="117"/>
      <c r="DU94" s="117"/>
      <c r="DV94" s="117"/>
      <c r="DW94" s="117"/>
      <c r="DX94" s="117"/>
      <c r="DY94" s="117"/>
      <c r="DZ94" s="117"/>
      <c r="EA94" s="117"/>
      <c r="EB94" s="117"/>
      <c r="EC94" s="117"/>
      <c r="ED94" s="117"/>
      <c r="EE94" s="117"/>
      <c r="EF94" s="117"/>
      <c r="EG94" s="117"/>
      <c r="EH94" s="117"/>
      <c r="EI94" s="117"/>
      <c r="EJ94" s="117"/>
      <c r="EK94" s="117"/>
    </row>
    <row r="95" spans="1:141" s="129" customFormat="1" x14ac:dyDescent="0.2">
      <c r="C95" s="143"/>
      <c r="D95" s="203"/>
      <c r="E95" s="203"/>
      <c r="F95" s="203"/>
      <c r="G95" s="203"/>
      <c r="H95" s="203"/>
      <c r="I95" s="157"/>
      <c r="J95" s="128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42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  <c r="BM95" s="117"/>
      <c r="BN95" s="117"/>
      <c r="BO95" s="117"/>
      <c r="BP95" s="117"/>
      <c r="BQ95" s="117"/>
      <c r="BR95" s="117"/>
      <c r="BS95" s="117"/>
      <c r="BT95" s="117"/>
      <c r="BU95" s="117"/>
      <c r="BV95" s="117"/>
      <c r="BW95" s="117"/>
      <c r="BX95" s="117"/>
      <c r="BY95" s="117"/>
      <c r="BZ95" s="117"/>
      <c r="CA95" s="117"/>
      <c r="CB95" s="117"/>
      <c r="CC95" s="117"/>
      <c r="CD95" s="117"/>
      <c r="CE95" s="117"/>
      <c r="CF95" s="117"/>
      <c r="CG95" s="117"/>
      <c r="CH95" s="117"/>
      <c r="CI95" s="117"/>
      <c r="CJ95" s="117"/>
      <c r="CK95" s="117"/>
      <c r="CL95" s="117"/>
      <c r="CM95" s="117"/>
      <c r="CN95" s="117"/>
      <c r="CO95" s="117"/>
      <c r="CP95" s="117"/>
      <c r="CQ95" s="117"/>
      <c r="CR95" s="117"/>
      <c r="CS95" s="117"/>
      <c r="CT95" s="117"/>
      <c r="CU95" s="117"/>
      <c r="CV95" s="117"/>
      <c r="CW95" s="117"/>
      <c r="CX95" s="117"/>
      <c r="CY95" s="117"/>
      <c r="CZ95" s="117"/>
      <c r="DA95" s="117"/>
      <c r="DB95" s="117"/>
      <c r="DC95" s="117"/>
      <c r="DD95" s="117"/>
      <c r="DE95" s="117"/>
      <c r="DF95" s="117"/>
      <c r="DG95" s="117"/>
      <c r="DH95" s="117"/>
      <c r="DI95" s="117"/>
      <c r="DJ95" s="117"/>
      <c r="DK95" s="117"/>
      <c r="DL95" s="117"/>
      <c r="DM95" s="117"/>
      <c r="DN95" s="117"/>
      <c r="DO95" s="117"/>
      <c r="DP95" s="117"/>
      <c r="DQ95" s="117"/>
      <c r="DR95" s="117"/>
      <c r="DS95" s="117"/>
      <c r="DT95" s="117"/>
      <c r="DU95" s="117"/>
      <c r="DV95" s="117"/>
      <c r="DW95" s="117"/>
      <c r="DX95" s="117"/>
      <c r="DY95" s="117"/>
      <c r="DZ95" s="117"/>
      <c r="EA95" s="117"/>
      <c r="EB95" s="117"/>
      <c r="EC95" s="117"/>
      <c r="ED95" s="117"/>
      <c r="EE95" s="117"/>
      <c r="EF95" s="117"/>
      <c r="EG95" s="117"/>
      <c r="EH95" s="117"/>
      <c r="EI95" s="117"/>
      <c r="EJ95" s="117"/>
      <c r="EK95" s="117"/>
    </row>
    <row r="96" spans="1:141" s="129" customFormat="1" x14ac:dyDescent="0.2">
      <c r="A96" s="141">
        <v>10</v>
      </c>
      <c r="B96" s="117" t="s">
        <v>33</v>
      </c>
      <c r="C96" s="125" t="s">
        <v>16</v>
      </c>
      <c r="D96" s="122">
        <f>'[4]II-H-4.1 Functions'!D89+'[5]II-H-4.1 Functions'!D89</f>
        <v>0</v>
      </c>
      <c r="E96" s="122">
        <f>'[4]II-H-4.1 Functions'!E89+'[5]II-H-4.1 Functions'!E89</f>
        <v>0</v>
      </c>
      <c r="F96" s="122">
        <f>'[4]II-H-4.1 Functions'!F89+'[5]II-H-4.1 Functions'!F89</f>
        <v>-8290.8615777848117</v>
      </c>
      <c r="G96" s="122">
        <f>($G$29/'II-H-3.1-3'!$P$28)*'II-H-3.1-3'!P60</f>
        <v>0</v>
      </c>
      <c r="H96" s="122"/>
      <c r="I96" s="122">
        <f t="shared" si="39"/>
        <v>-8290.8615777848117</v>
      </c>
      <c r="J96" s="142"/>
      <c r="K96" s="195"/>
      <c r="L96" s="195"/>
      <c r="M96" s="195"/>
      <c r="N96" s="195"/>
      <c r="O96" s="195"/>
      <c r="P96" s="195"/>
      <c r="Q96" s="195"/>
      <c r="R96" s="195"/>
      <c r="S96" s="142">
        <f>SUM(K96:Q96)</f>
        <v>0</v>
      </c>
      <c r="T96" s="142"/>
      <c r="U96" s="142">
        <f>S96+I96</f>
        <v>-8290.8615777848117</v>
      </c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  <c r="BM96" s="117"/>
      <c r="BN96" s="117"/>
      <c r="BO96" s="117"/>
      <c r="BP96" s="117"/>
      <c r="BQ96" s="117"/>
      <c r="BR96" s="117"/>
      <c r="BS96" s="117"/>
      <c r="BT96" s="117"/>
      <c r="BU96" s="117"/>
      <c r="BV96" s="117"/>
      <c r="BW96" s="117"/>
      <c r="BX96" s="117"/>
      <c r="BY96" s="117"/>
      <c r="BZ96" s="117"/>
      <c r="CA96" s="117"/>
      <c r="CB96" s="117"/>
      <c r="CC96" s="117"/>
      <c r="CD96" s="117"/>
      <c r="CE96" s="117"/>
      <c r="CF96" s="117"/>
      <c r="CG96" s="117"/>
      <c r="CH96" s="117"/>
      <c r="CI96" s="117"/>
      <c r="CJ96" s="117"/>
      <c r="CK96" s="117"/>
      <c r="CL96" s="117"/>
      <c r="CM96" s="117"/>
      <c r="CN96" s="117"/>
      <c r="CO96" s="117"/>
      <c r="CP96" s="117"/>
      <c r="CQ96" s="117"/>
      <c r="CR96" s="117"/>
      <c r="CS96" s="117"/>
      <c r="CT96" s="117"/>
      <c r="CU96" s="117"/>
      <c r="CV96" s="117"/>
      <c r="CW96" s="117"/>
      <c r="CX96" s="117"/>
      <c r="CY96" s="117"/>
      <c r="CZ96" s="117"/>
      <c r="DA96" s="117"/>
      <c r="DB96" s="117"/>
      <c r="DC96" s="117"/>
      <c r="DD96" s="117"/>
      <c r="DE96" s="117"/>
      <c r="DF96" s="117"/>
      <c r="DG96" s="117"/>
      <c r="DH96" s="117"/>
      <c r="DI96" s="117"/>
      <c r="DJ96" s="117"/>
      <c r="DK96" s="117"/>
      <c r="DL96" s="117"/>
      <c r="DM96" s="117"/>
      <c r="DN96" s="117"/>
      <c r="DO96" s="117"/>
      <c r="DP96" s="117"/>
      <c r="DQ96" s="117"/>
      <c r="DR96" s="117"/>
      <c r="DS96" s="117"/>
      <c r="DT96" s="117"/>
      <c r="DU96" s="117"/>
      <c r="DV96" s="117"/>
      <c r="DW96" s="117"/>
      <c r="DX96" s="117"/>
      <c r="DY96" s="117"/>
      <c r="DZ96" s="117"/>
      <c r="EA96" s="117"/>
      <c r="EB96" s="117"/>
      <c r="EC96" s="117"/>
      <c r="ED96" s="117"/>
      <c r="EE96" s="117"/>
      <c r="EF96" s="117"/>
      <c r="EG96" s="117"/>
      <c r="EH96" s="117"/>
      <c r="EI96" s="117"/>
      <c r="EJ96" s="117"/>
      <c r="EK96" s="117"/>
    </row>
    <row r="97" spans="1:141" s="129" customFormat="1" x14ac:dyDescent="0.2">
      <c r="A97" s="141"/>
      <c r="C97" s="143"/>
      <c r="D97" s="157"/>
      <c r="E97" s="157"/>
      <c r="F97" s="157"/>
      <c r="G97" s="157"/>
      <c r="H97" s="157"/>
      <c r="I97" s="157"/>
      <c r="J97" s="128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42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17"/>
      <c r="BF97" s="11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117"/>
      <c r="BS97" s="117"/>
      <c r="BT97" s="117"/>
      <c r="BU97" s="117"/>
      <c r="BV97" s="117"/>
      <c r="BW97" s="117"/>
      <c r="BX97" s="117"/>
      <c r="BY97" s="117"/>
      <c r="BZ97" s="117"/>
      <c r="CA97" s="117"/>
      <c r="CB97" s="117"/>
      <c r="CC97" s="117"/>
      <c r="CD97" s="117"/>
      <c r="CE97" s="117"/>
      <c r="CF97" s="117"/>
      <c r="CG97" s="117"/>
      <c r="CH97" s="117"/>
      <c r="CI97" s="117"/>
      <c r="CJ97" s="117"/>
      <c r="CK97" s="117"/>
      <c r="CL97" s="117"/>
      <c r="CM97" s="117"/>
      <c r="CN97" s="117"/>
      <c r="CO97" s="117"/>
      <c r="CP97" s="117"/>
      <c r="CQ97" s="117"/>
      <c r="CR97" s="117"/>
      <c r="CS97" s="117"/>
      <c r="CT97" s="117"/>
      <c r="CU97" s="117"/>
      <c r="CV97" s="117"/>
      <c r="CW97" s="117"/>
      <c r="CX97" s="117"/>
      <c r="CY97" s="117"/>
      <c r="CZ97" s="117"/>
      <c r="DA97" s="117"/>
      <c r="DB97" s="117"/>
      <c r="DC97" s="117"/>
      <c r="DD97" s="117"/>
      <c r="DE97" s="117"/>
      <c r="DF97" s="117"/>
      <c r="DG97" s="117"/>
      <c r="DH97" s="117"/>
      <c r="DI97" s="117"/>
      <c r="DJ97" s="117"/>
      <c r="DK97" s="117"/>
      <c r="DL97" s="117"/>
      <c r="DM97" s="117"/>
      <c r="DN97" s="117"/>
      <c r="DO97" s="117"/>
      <c r="DP97" s="117"/>
      <c r="DQ97" s="117"/>
      <c r="DR97" s="117"/>
      <c r="DS97" s="117"/>
      <c r="DT97" s="117"/>
      <c r="DU97" s="117"/>
      <c r="DV97" s="117"/>
      <c r="DW97" s="117"/>
      <c r="DX97" s="117"/>
      <c r="DY97" s="117"/>
      <c r="DZ97" s="117"/>
      <c r="EA97" s="117"/>
      <c r="EB97" s="117"/>
      <c r="EC97" s="117"/>
      <c r="ED97" s="117"/>
      <c r="EE97" s="117"/>
      <c r="EF97" s="117"/>
      <c r="EG97" s="117"/>
      <c r="EH97" s="117"/>
      <c r="EI97" s="117"/>
      <c r="EJ97" s="117"/>
      <c r="EK97" s="117"/>
    </row>
    <row r="98" spans="1:141" s="129" customFormat="1" x14ac:dyDescent="0.2">
      <c r="A98" s="141">
        <v>11</v>
      </c>
      <c r="B98" s="183" t="s">
        <v>34</v>
      </c>
      <c r="C98" s="374"/>
      <c r="D98" s="184">
        <f>D96+D94+D92+D88+D84+D82</f>
        <v>203101.87</v>
      </c>
      <c r="E98" s="184">
        <f>E96+E94+E92+E88+E84+E82</f>
        <v>427043.49</v>
      </c>
      <c r="F98" s="184">
        <f>F96+F94+F92+F88+F84+F82</f>
        <v>1647858.4197364997</v>
      </c>
      <c r="G98" s="184">
        <f>G96+G94+G92+G88+G84+G82</f>
        <v>0</v>
      </c>
      <c r="H98" s="184">
        <f>H96+H94+H92+H88+H84+H82</f>
        <v>0</v>
      </c>
      <c r="I98" s="184">
        <f t="shared" si="39"/>
        <v>2278003.7797364998</v>
      </c>
      <c r="J98" s="127"/>
      <c r="K98" s="184">
        <f t="shared" ref="K98:P98" si="42">K96+K94+K92+K88+K84+K82</f>
        <v>0</v>
      </c>
      <c r="L98" s="184">
        <f t="shared" si="42"/>
        <v>0</v>
      </c>
      <c r="M98" s="184"/>
      <c r="N98" s="184">
        <f t="shared" si="42"/>
        <v>0</v>
      </c>
      <c r="O98" s="184">
        <f t="shared" si="42"/>
        <v>0</v>
      </c>
      <c r="P98" s="184">
        <f t="shared" si="42"/>
        <v>0</v>
      </c>
      <c r="Q98" s="184"/>
      <c r="R98" s="184"/>
      <c r="S98" s="248">
        <f>SUM(K98:Q98)</f>
        <v>0</v>
      </c>
      <c r="T98" s="144"/>
      <c r="U98" s="199">
        <f>S98+I98</f>
        <v>2278003.7797364998</v>
      </c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7"/>
      <c r="CA98" s="117"/>
      <c r="CB98" s="117"/>
      <c r="CC98" s="117"/>
      <c r="CD98" s="117"/>
      <c r="CE98" s="117"/>
      <c r="CF98" s="117"/>
      <c r="CG98" s="117"/>
      <c r="CH98" s="117"/>
      <c r="CI98" s="117"/>
      <c r="CJ98" s="117"/>
      <c r="CK98" s="117"/>
      <c r="CL98" s="117"/>
      <c r="CM98" s="117"/>
      <c r="CN98" s="117"/>
      <c r="CO98" s="117"/>
      <c r="CP98" s="117"/>
      <c r="CQ98" s="117"/>
      <c r="CR98" s="117"/>
      <c r="CS98" s="117"/>
      <c r="CT98" s="117"/>
      <c r="CU98" s="117"/>
      <c r="CV98" s="117"/>
      <c r="CW98" s="117"/>
      <c r="CX98" s="117"/>
      <c r="CY98" s="117"/>
      <c r="CZ98" s="117"/>
      <c r="DA98" s="117"/>
      <c r="DB98" s="117"/>
      <c r="DC98" s="117"/>
      <c r="DD98" s="117"/>
      <c r="DE98" s="117"/>
      <c r="DF98" s="117"/>
      <c r="DG98" s="117"/>
      <c r="DH98" s="117"/>
      <c r="DI98" s="117"/>
      <c r="DJ98" s="117"/>
      <c r="DK98" s="117"/>
      <c r="DL98" s="117"/>
      <c r="DM98" s="117"/>
      <c r="DN98" s="117"/>
      <c r="DO98" s="117"/>
      <c r="DP98" s="117"/>
      <c r="DQ98" s="117"/>
      <c r="DR98" s="117"/>
      <c r="DS98" s="117"/>
      <c r="DT98" s="117"/>
      <c r="DU98" s="117"/>
      <c r="DV98" s="117"/>
      <c r="DW98" s="117"/>
      <c r="DX98" s="117"/>
      <c r="DY98" s="117"/>
      <c r="DZ98" s="117"/>
      <c r="EA98" s="117"/>
      <c r="EB98" s="117"/>
      <c r="EC98" s="117"/>
      <c r="ED98" s="117"/>
      <c r="EE98" s="117"/>
      <c r="EF98" s="117"/>
      <c r="EG98" s="117"/>
      <c r="EH98" s="117"/>
      <c r="EI98" s="117"/>
      <c r="EJ98" s="117"/>
      <c r="EK98" s="117"/>
    </row>
    <row r="99" spans="1:141" s="129" customFormat="1" x14ac:dyDescent="0.2">
      <c r="B99" s="374"/>
      <c r="C99" s="374"/>
      <c r="D99" s="169"/>
      <c r="E99" s="169"/>
      <c r="F99" s="169"/>
      <c r="G99" s="169"/>
      <c r="H99" s="169"/>
      <c r="I99" s="169"/>
      <c r="J99" s="127"/>
      <c r="K99" s="117"/>
      <c r="L99" s="117"/>
      <c r="M99" s="117"/>
      <c r="N99" s="117"/>
      <c r="O99" s="117"/>
      <c r="P99" s="117"/>
      <c r="Q99" s="117"/>
      <c r="R99" s="117"/>
      <c r="S99" s="144"/>
      <c r="T99" s="144"/>
      <c r="U99" s="142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117"/>
      <c r="BF99" s="117"/>
      <c r="BG99" s="117"/>
      <c r="BH99" s="117"/>
      <c r="BI99" s="117"/>
      <c r="BJ99" s="117"/>
      <c r="BK99" s="117"/>
      <c r="BL99" s="117"/>
      <c r="BM99" s="117"/>
      <c r="BN99" s="117"/>
      <c r="BO99" s="117"/>
      <c r="BP99" s="117"/>
      <c r="BQ99" s="117"/>
      <c r="BR99" s="117"/>
      <c r="BS99" s="117"/>
      <c r="BT99" s="117"/>
      <c r="BU99" s="117"/>
      <c r="BV99" s="117"/>
      <c r="BW99" s="117"/>
      <c r="BX99" s="117"/>
      <c r="BY99" s="117"/>
      <c r="BZ99" s="117"/>
      <c r="CA99" s="117"/>
      <c r="CB99" s="117"/>
      <c r="CC99" s="117"/>
      <c r="CD99" s="117"/>
      <c r="CE99" s="117"/>
      <c r="CF99" s="117"/>
      <c r="CG99" s="117"/>
      <c r="CH99" s="117"/>
      <c r="CI99" s="117"/>
      <c r="CJ99" s="117"/>
      <c r="CK99" s="117"/>
      <c r="CL99" s="117"/>
      <c r="CM99" s="117"/>
      <c r="CN99" s="117"/>
      <c r="CO99" s="117"/>
      <c r="CP99" s="117"/>
      <c r="CQ99" s="117"/>
      <c r="CR99" s="117"/>
      <c r="CS99" s="117"/>
      <c r="CT99" s="117"/>
      <c r="CU99" s="117"/>
      <c r="CV99" s="117"/>
      <c r="CW99" s="117"/>
      <c r="CX99" s="117"/>
      <c r="CY99" s="117"/>
      <c r="CZ99" s="117"/>
      <c r="DA99" s="117"/>
      <c r="DB99" s="117"/>
      <c r="DC99" s="117"/>
      <c r="DD99" s="117"/>
      <c r="DE99" s="117"/>
      <c r="DF99" s="117"/>
      <c r="DG99" s="117"/>
      <c r="DH99" s="117"/>
      <c r="DI99" s="117"/>
      <c r="DJ99" s="117"/>
      <c r="DK99" s="117"/>
      <c r="DL99" s="117"/>
      <c r="DM99" s="117"/>
      <c r="DN99" s="117"/>
      <c r="DO99" s="117"/>
      <c r="DP99" s="117"/>
      <c r="DQ99" s="117"/>
      <c r="DR99" s="117"/>
      <c r="DS99" s="117"/>
      <c r="DT99" s="117"/>
      <c r="DU99" s="117"/>
      <c r="DV99" s="117"/>
      <c r="DW99" s="117"/>
      <c r="DX99" s="117"/>
      <c r="DY99" s="117"/>
      <c r="DZ99" s="117"/>
      <c r="EA99" s="117"/>
      <c r="EB99" s="117"/>
      <c r="EC99" s="117"/>
      <c r="ED99" s="117"/>
      <c r="EE99" s="117"/>
      <c r="EF99" s="117"/>
      <c r="EG99" s="117"/>
      <c r="EH99" s="117"/>
      <c r="EI99" s="117"/>
      <c r="EJ99" s="117"/>
      <c r="EK99" s="117"/>
    </row>
    <row r="100" spans="1:141" s="129" customFormat="1" x14ac:dyDescent="0.2">
      <c r="A100" s="141">
        <v>12</v>
      </c>
      <c r="B100" s="148" t="s">
        <v>91</v>
      </c>
      <c r="C100" s="125" t="s">
        <v>17</v>
      </c>
      <c r="D100" s="122"/>
      <c r="E100" s="122"/>
      <c r="F100" s="122"/>
      <c r="G100" s="122"/>
      <c r="H100" s="122"/>
      <c r="I100" s="122">
        <f t="shared" si="39"/>
        <v>0</v>
      </c>
      <c r="J100" s="142"/>
      <c r="K100" s="195"/>
      <c r="L100" s="195"/>
      <c r="M100" s="195"/>
      <c r="N100" s="195"/>
      <c r="O100" s="195"/>
      <c r="P100" s="195"/>
      <c r="Q100" s="195"/>
      <c r="R100" s="195"/>
      <c r="S100" s="142">
        <f>SUM(K100:Q100)</f>
        <v>0</v>
      </c>
      <c r="T100" s="142"/>
      <c r="U100" s="142">
        <f>S100+I100</f>
        <v>0</v>
      </c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  <c r="AW100" s="117"/>
      <c r="AX100" s="117"/>
      <c r="AY100" s="117"/>
      <c r="AZ100" s="117"/>
      <c r="BA100" s="117"/>
      <c r="BB100" s="117"/>
      <c r="BC100" s="117"/>
      <c r="BD100" s="117"/>
      <c r="BE100" s="117"/>
      <c r="BF100" s="11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117"/>
      <c r="BT100" s="117"/>
      <c r="BU100" s="117"/>
      <c r="BV100" s="117"/>
      <c r="BW100" s="117"/>
      <c r="BX100" s="117"/>
      <c r="BY100" s="117"/>
      <c r="BZ100" s="117"/>
      <c r="CA100" s="117"/>
      <c r="CB100" s="117"/>
      <c r="CC100" s="117"/>
      <c r="CD100" s="117"/>
      <c r="CE100" s="117"/>
      <c r="CF100" s="117"/>
      <c r="CG100" s="117"/>
      <c r="CH100" s="117"/>
      <c r="CI100" s="117"/>
      <c r="CJ100" s="117"/>
      <c r="CK100" s="117"/>
      <c r="CL100" s="117"/>
      <c r="CM100" s="117"/>
      <c r="CN100" s="117"/>
      <c r="CO100" s="117"/>
      <c r="CP100" s="117"/>
      <c r="CQ100" s="117"/>
      <c r="CR100" s="117"/>
      <c r="CS100" s="117"/>
      <c r="CT100" s="117"/>
      <c r="CU100" s="117"/>
      <c r="CV100" s="117"/>
      <c r="CW100" s="117"/>
      <c r="CX100" s="117"/>
      <c r="CY100" s="117"/>
      <c r="CZ100" s="117"/>
      <c r="DA100" s="117"/>
      <c r="DB100" s="117"/>
      <c r="DC100" s="117"/>
      <c r="DD100" s="117"/>
      <c r="DE100" s="117"/>
      <c r="DF100" s="117"/>
      <c r="DG100" s="117"/>
      <c r="DH100" s="117"/>
      <c r="DI100" s="117"/>
      <c r="DJ100" s="117"/>
      <c r="DK100" s="117"/>
      <c r="DL100" s="117"/>
      <c r="DM100" s="117"/>
      <c r="DN100" s="117"/>
      <c r="DO100" s="117"/>
      <c r="DP100" s="117"/>
      <c r="DQ100" s="117"/>
      <c r="DR100" s="117"/>
      <c r="DS100" s="117"/>
      <c r="DT100" s="117"/>
      <c r="DU100" s="117"/>
      <c r="DV100" s="117"/>
      <c r="DW100" s="117"/>
      <c r="DX100" s="117"/>
      <c r="DY100" s="117"/>
      <c r="DZ100" s="117"/>
      <c r="EA100" s="117"/>
      <c r="EB100" s="117"/>
      <c r="EC100" s="117"/>
      <c r="ED100" s="117"/>
      <c r="EE100" s="117"/>
      <c r="EF100" s="117"/>
      <c r="EG100" s="117"/>
      <c r="EH100" s="117"/>
      <c r="EI100" s="117"/>
      <c r="EJ100" s="117"/>
      <c r="EK100" s="117"/>
    </row>
    <row r="101" spans="1:141" s="129" customFormat="1" x14ac:dyDescent="0.2">
      <c r="A101" s="141">
        <v>13</v>
      </c>
      <c r="B101" s="148" t="s">
        <v>92</v>
      </c>
      <c r="C101" s="125" t="s">
        <v>18</v>
      </c>
      <c r="D101" s="123"/>
      <c r="E101" s="123"/>
      <c r="F101" s="123"/>
      <c r="G101" s="123"/>
      <c r="H101" s="123"/>
      <c r="I101" s="123">
        <f t="shared" si="39"/>
        <v>0</v>
      </c>
      <c r="J101" s="142"/>
      <c r="K101" s="123"/>
      <c r="L101" s="123"/>
      <c r="M101" s="123"/>
      <c r="N101" s="123"/>
      <c r="O101" s="123"/>
      <c r="P101" s="123"/>
      <c r="Q101" s="123"/>
      <c r="R101" s="123"/>
      <c r="S101" s="249">
        <f>SUM(K101:Q101)</f>
        <v>0</v>
      </c>
      <c r="T101" s="117"/>
      <c r="U101" s="123">
        <f>S101+I101</f>
        <v>0</v>
      </c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7"/>
      <c r="AM101" s="117"/>
      <c r="AN101" s="117"/>
      <c r="AO101" s="117"/>
      <c r="AP101" s="117"/>
      <c r="AQ101" s="117"/>
      <c r="AR101" s="117"/>
      <c r="AS101" s="117"/>
      <c r="AT101" s="117"/>
      <c r="AU101" s="117"/>
      <c r="AV101" s="117"/>
      <c r="AW101" s="117"/>
      <c r="AX101" s="117"/>
      <c r="AY101" s="117"/>
      <c r="AZ101" s="117"/>
      <c r="BA101" s="117"/>
      <c r="BB101" s="117"/>
      <c r="BC101" s="117"/>
      <c r="BD101" s="117"/>
      <c r="BE101" s="117"/>
      <c r="BF101" s="117"/>
      <c r="BG101" s="117"/>
      <c r="BH101" s="117"/>
      <c r="BI101" s="117"/>
      <c r="BJ101" s="117"/>
      <c r="BK101" s="117"/>
      <c r="BL101" s="117"/>
      <c r="BM101" s="117"/>
      <c r="BN101" s="117"/>
      <c r="BO101" s="117"/>
      <c r="BP101" s="117"/>
      <c r="BQ101" s="117"/>
      <c r="BR101" s="117"/>
      <c r="BS101" s="117"/>
      <c r="BT101" s="117"/>
      <c r="BU101" s="117"/>
      <c r="BV101" s="117"/>
      <c r="BW101" s="117"/>
      <c r="BX101" s="117"/>
      <c r="BY101" s="117"/>
      <c r="BZ101" s="117"/>
      <c r="CA101" s="117"/>
      <c r="CB101" s="117"/>
      <c r="CC101" s="117"/>
      <c r="CD101" s="117"/>
      <c r="CE101" s="117"/>
      <c r="CF101" s="117"/>
      <c r="CG101" s="117"/>
      <c r="CH101" s="117"/>
      <c r="CI101" s="117"/>
      <c r="CJ101" s="117"/>
      <c r="CK101" s="117"/>
      <c r="CL101" s="117"/>
      <c r="CM101" s="117"/>
      <c r="CN101" s="117"/>
      <c r="CO101" s="117"/>
      <c r="CP101" s="117"/>
      <c r="CQ101" s="117"/>
      <c r="CR101" s="117"/>
      <c r="CS101" s="117"/>
      <c r="CT101" s="117"/>
      <c r="CU101" s="117"/>
      <c r="CV101" s="117"/>
      <c r="CW101" s="117"/>
      <c r="CX101" s="117"/>
      <c r="CY101" s="117"/>
      <c r="CZ101" s="117"/>
      <c r="DA101" s="117"/>
      <c r="DB101" s="117"/>
      <c r="DC101" s="117"/>
      <c r="DD101" s="117"/>
      <c r="DE101" s="117"/>
      <c r="DF101" s="117"/>
      <c r="DG101" s="117"/>
      <c r="DH101" s="117"/>
      <c r="DI101" s="117"/>
      <c r="DJ101" s="117"/>
      <c r="DK101" s="117"/>
      <c r="DL101" s="117"/>
      <c r="DM101" s="117"/>
      <c r="DN101" s="117"/>
      <c r="DO101" s="117"/>
      <c r="DP101" s="117"/>
      <c r="DQ101" s="117"/>
      <c r="DR101" s="117"/>
      <c r="DS101" s="117"/>
      <c r="DT101" s="117"/>
      <c r="DU101" s="117"/>
      <c r="DV101" s="117"/>
      <c r="DW101" s="117"/>
      <c r="DX101" s="117"/>
      <c r="DY101" s="117"/>
      <c r="DZ101" s="117"/>
      <c r="EA101" s="117"/>
      <c r="EB101" s="117"/>
      <c r="EC101" s="117"/>
      <c r="ED101" s="117"/>
      <c r="EE101" s="117"/>
      <c r="EF101" s="117"/>
      <c r="EG101" s="117"/>
      <c r="EH101" s="117"/>
      <c r="EI101" s="117"/>
      <c r="EJ101" s="117"/>
      <c r="EK101" s="117"/>
    </row>
    <row r="102" spans="1:141" s="129" customFormat="1" x14ac:dyDescent="0.2">
      <c r="A102" s="141">
        <v>14</v>
      </c>
      <c r="B102" s="183" t="s">
        <v>35</v>
      </c>
      <c r="C102" s="373"/>
      <c r="D102" s="169">
        <f>SUM(D100:D101)</f>
        <v>0</v>
      </c>
      <c r="E102" s="169">
        <f>SUM(E100:E101)</f>
        <v>0</v>
      </c>
      <c r="F102" s="169">
        <f>SUM(F100:F101)</f>
        <v>0</v>
      </c>
      <c r="G102" s="169">
        <f>SUM(G100:G101)</f>
        <v>0</v>
      </c>
      <c r="H102" s="169">
        <f>SUM(H100:H101)</f>
        <v>0</v>
      </c>
      <c r="I102" s="169">
        <f t="shared" si="39"/>
        <v>0</v>
      </c>
      <c r="J102" s="127"/>
      <c r="K102" s="195">
        <f t="shared" ref="K102:P102" si="43">SUM(K100:K101)</f>
        <v>0</v>
      </c>
      <c r="L102" s="195">
        <f t="shared" si="43"/>
        <v>0</v>
      </c>
      <c r="M102" s="195"/>
      <c r="N102" s="195">
        <f t="shared" si="43"/>
        <v>0</v>
      </c>
      <c r="O102" s="195">
        <f t="shared" si="43"/>
        <v>0</v>
      </c>
      <c r="P102" s="195">
        <f t="shared" si="43"/>
        <v>0</v>
      </c>
      <c r="Q102" s="195"/>
      <c r="R102" s="195"/>
      <c r="S102" s="144">
        <f>SUM(K102:Q102)</f>
        <v>0</v>
      </c>
      <c r="T102" s="144"/>
      <c r="U102" s="142">
        <f>S102+I102</f>
        <v>0</v>
      </c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  <c r="AS102" s="117"/>
      <c r="AT102" s="117"/>
      <c r="AU102" s="117"/>
      <c r="AV102" s="117"/>
      <c r="AW102" s="117"/>
      <c r="AX102" s="117"/>
      <c r="AY102" s="117"/>
      <c r="AZ102" s="117"/>
      <c r="BA102" s="117"/>
      <c r="BB102" s="117"/>
      <c r="BC102" s="117"/>
      <c r="BD102" s="117"/>
      <c r="BE102" s="117"/>
      <c r="BF102" s="117"/>
      <c r="BG102" s="117"/>
      <c r="BH102" s="117"/>
      <c r="BI102" s="117"/>
      <c r="BJ102" s="117"/>
      <c r="BK102" s="117"/>
      <c r="BL102" s="117"/>
      <c r="BM102" s="117"/>
      <c r="BN102" s="117"/>
      <c r="BO102" s="117"/>
      <c r="BP102" s="117"/>
      <c r="BQ102" s="117"/>
      <c r="BR102" s="117"/>
      <c r="BS102" s="117"/>
      <c r="BT102" s="117"/>
      <c r="BU102" s="117"/>
      <c r="BV102" s="117"/>
      <c r="BW102" s="117"/>
      <c r="BX102" s="117"/>
      <c r="BY102" s="117"/>
      <c r="BZ102" s="117"/>
      <c r="CA102" s="117"/>
      <c r="CB102" s="117"/>
      <c r="CC102" s="117"/>
      <c r="CD102" s="117"/>
      <c r="CE102" s="117"/>
      <c r="CF102" s="117"/>
      <c r="CG102" s="117"/>
      <c r="CH102" s="117"/>
      <c r="CI102" s="117"/>
      <c r="CJ102" s="117"/>
      <c r="CK102" s="117"/>
      <c r="CL102" s="117"/>
      <c r="CM102" s="117"/>
      <c r="CN102" s="117"/>
      <c r="CO102" s="117"/>
      <c r="CP102" s="117"/>
      <c r="CQ102" s="117"/>
      <c r="CR102" s="117"/>
      <c r="CS102" s="117"/>
      <c r="CT102" s="117"/>
      <c r="CU102" s="117"/>
      <c r="CV102" s="117"/>
      <c r="CW102" s="117"/>
      <c r="CX102" s="117"/>
      <c r="CY102" s="117"/>
      <c r="CZ102" s="117"/>
      <c r="DA102" s="117"/>
      <c r="DB102" s="117"/>
      <c r="DC102" s="117"/>
      <c r="DD102" s="117"/>
      <c r="DE102" s="117"/>
      <c r="DF102" s="117"/>
      <c r="DG102" s="117"/>
      <c r="DH102" s="117"/>
      <c r="DI102" s="117"/>
      <c r="DJ102" s="117"/>
      <c r="DK102" s="117"/>
      <c r="DL102" s="117"/>
      <c r="DM102" s="117"/>
      <c r="DN102" s="117"/>
      <c r="DO102" s="117"/>
      <c r="DP102" s="117"/>
      <c r="DQ102" s="117"/>
      <c r="DR102" s="117"/>
      <c r="DS102" s="117"/>
      <c r="DT102" s="117"/>
      <c r="DU102" s="117"/>
      <c r="DV102" s="117"/>
      <c r="DW102" s="117"/>
      <c r="DX102" s="117"/>
      <c r="DY102" s="117"/>
      <c r="DZ102" s="117"/>
      <c r="EA102" s="117"/>
      <c r="EB102" s="117"/>
      <c r="EC102" s="117"/>
      <c r="ED102" s="117"/>
      <c r="EE102" s="117"/>
      <c r="EF102" s="117"/>
      <c r="EG102" s="117"/>
      <c r="EH102" s="117"/>
      <c r="EI102" s="117"/>
      <c r="EJ102" s="117"/>
      <c r="EK102" s="117"/>
    </row>
    <row r="103" spans="1:141" s="129" customFormat="1" x14ac:dyDescent="0.2">
      <c r="A103" s="141"/>
      <c r="C103" s="185"/>
      <c r="D103" s="157"/>
      <c r="E103" s="157"/>
      <c r="F103" s="157"/>
      <c r="G103" s="157"/>
      <c r="H103" s="157"/>
      <c r="I103" s="157"/>
      <c r="J103" s="128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42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7"/>
      <c r="AS103" s="117"/>
      <c r="AT103" s="117"/>
      <c r="AU103" s="117"/>
      <c r="AV103" s="117"/>
      <c r="AW103" s="117"/>
      <c r="AX103" s="117"/>
      <c r="AY103" s="117"/>
      <c r="AZ103" s="117"/>
      <c r="BA103" s="117"/>
      <c r="BB103" s="117"/>
      <c r="BC103" s="117"/>
      <c r="BD103" s="117"/>
      <c r="BE103" s="117"/>
      <c r="BF103" s="117"/>
      <c r="BG103" s="117"/>
      <c r="BH103" s="117"/>
      <c r="BI103" s="117"/>
      <c r="BJ103" s="117"/>
      <c r="BK103" s="117"/>
      <c r="BL103" s="117"/>
      <c r="BM103" s="117"/>
      <c r="BN103" s="117"/>
      <c r="BO103" s="117"/>
      <c r="BP103" s="117"/>
      <c r="BQ103" s="117"/>
      <c r="BR103" s="117"/>
      <c r="BS103" s="117"/>
      <c r="BT103" s="117"/>
      <c r="BU103" s="117"/>
      <c r="BV103" s="117"/>
      <c r="BW103" s="117"/>
      <c r="BX103" s="117"/>
      <c r="BY103" s="117"/>
      <c r="BZ103" s="117"/>
      <c r="CA103" s="117"/>
      <c r="CB103" s="117"/>
      <c r="CC103" s="117"/>
      <c r="CD103" s="117"/>
      <c r="CE103" s="117"/>
      <c r="CF103" s="117"/>
      <c r="CG103" s="117"/>
      <c r="CH103" s="117"/>
      <c r="CI103" s="117"/>
      <c r="CJ103" s="117"/>
      <c r="CK103" s="117"/>
      <c r="CL103" s="117"/>
      <c r="CM103" s="117"/>
      <c r="CN103" s="117"/>
      <c r="CO103" s="117"/>
      <c r="CP103" s="117"/>
      <c r="CQ103" s="117"/>
      <c r="CR103" s="117"/>
      <c r="CS103" s="117"/>
      <c r="CT103" s="117"/>
      <c r="CU103" s="117"/>
      <c r="CV103" s="117"/>
      <c r="CW103" s="117"/>
      <c r="CX103" s="117"/>
      <c r="CY103" s="117"/>
      <c r="CZ103" s="117"/>
      <c r="DA103" s="117"/>
      <c r="DB103" s="117"/>
      <c r="DC103" s="117"/>
      <c r="DD103" s="117"/>
      <c r="DE103" s="117"/>
      <c r="DF103" s="117"/>
      <c r="DG103" s="117"/>
      <c r="DH103" s="117"/>
      <c r="DI103" s="117"/>
      <c r="DJ103" s="117"/>
      <c r="DK103" s="117"/>
      <c r="DL103" s="117"/>
      <c r="DM103" s="117"/>
      <c r="DN103" s="117"/>
      <c r="DO103" s="117"/>
      <c r="DP103" s="117"/>
      <c r="DQ103" s="117"/>
      <c r="DR103" s="117"/>
      <c r="DS103" s="117"/>
      <c r="DT103" s="117"/>
      <c r="DU103" s="117"/>
      <c r="DV103" s="117"/>
      <c r="DW103" s="117"/>
      <c r="DX103" s="117"/>
      <c r="DY103" s="117"/>
      <c r="DZ103" s="117"/>
      <c r="EA103" s="117"/>
      <c r="EB103" s="117"/>
      <c r="EC103" s="117"/>
      <c r="ED103" s="117"/>
      <c r="EE103" s="117"/>
      <c r="EF103" s="117"/>
      <c r="EG103" s="117"/>
      <c r="EH103" s="117"/>
      <c r="EI103" s="117"/>
      <c r="EJ103" s="117"/>
      <c r="EK103" s="117"/>
    </row>
    <row r="104" spans="1:141" s="129" customFormat="1" ht="12" thickBot="1" x14ac:dyDescent="0.25">
      <c r="A104" s="141">
        <v>15</v>
      </c>
      <c r="B104" s="243" t="s">
        <v>132</v>
      </c>
      <c r="C104" s="373"/>
      <c r="D104" s="186">
        <f>+D102+D98</f>
        <v>203101.87</v>
      </c>
      <c r="E104" s="186">
        <f>+E102+E98</f>
        <v>427043.49</v>
      </c>
      <c r="F104" s="186">
        <f>+F102+F98</f>
        <v>1647858.4197364997</v>
      </c>
      <c r="G104" s="186">
        <f>+G102+G98</f>
        <v>0</v>
      </c>
      <c r="H104" s="186">
        <f>+H102+H98</f>
        <v>0</v>
      </c>
      <c r="I104" s="186">
        <f t="shared" si="39"/>
        <v>2278003.7797364998</v>
      </c>
      <c r="J104" s="182"/>
      <c r="K104" s="186">
        <f t="shared" ref="K104:Q104" si="44">+K102+K98</f>
        <v>0</v>
      </c>
      <c r="L104" s="186">
        <f t="shared" si="44"/>
        <v>0</v>
      </c>
      <c r="M104" s="186"/>
      <c r="N104" s="186">
        <f t="shared" si="44"/>
        <v>0</v>
      </c>
      <c r="O104" s="186">
        <f t="shared" si="44"/>
        <v>0</v>
      </c>
      <c r="P104" s="186">
        <f t="shared" si="44"/>
        <v>0</v>
      </c>
      <c r="Q104" s="186">
        <f t="shared" si="44"/>
        <v>0</v>
      </c>
      <c r="R104" s="186"/>
      <c r="S104" s="201">
        <f>SUM(K104:Q104)</f>
        <v>0</v>
      </c>
      <c r="T104" s="194"/>
      <c r="U104" s="201">
        <f>S104+I104</f>
        <v>2278003.7797364998</v>
      </c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7"/>
      <c r="AM104" s="117"/>
      <c r="AN104" s="117"/>
      <c r="AO104" s="117"/>
      <c r="AP104" s="117"/>
      <c r="AQ104" s="117"/>
      <c r="AR104" s="117"/>
      <c r="AS104" s="117"/>
      <c r="AT104" s="117"/>
      <c r="AU104" s="117"/>
      <c r="AV104" s="117"/>
      <c r="AW104" s="117"/>
      <c r="AX104" s="117"/>
      <c r="AY104" s="117"/>
      <c r="AZ104" s="117"/>
      <c r="BA104" s="117"/>
      <c r="BB104" s="117"/>
      <c r="BC104" s="117"/>
      <c r="BD104" s="117"/>
      <c r="BE104" s="117"/>
      <c r="BF104" s="117"/>
      <c r="BG104" s="117"/>
      <c r="BH104" s="117"/>
      <c r="BI104" s="117"/>
      <c r="BJ104" s="117"/>
      <c r="BK104" s="117"/>
      <c r="BL104" s="117"/>
      <c r="BM104" s="117"/>
      <c r="BN104" s="117"/>
      <c r="BO104" s="117"/>
      <c r="BP104" s="117"/>
      <c r="BQ104" s="117"/>
      <c r="BR104" s="117"/>
      <c r="BS104" s="117"/>
      <c r="BT104" s="117"/>
      <c r="BU104" s="117"/>
      <c r="BV104" s="117"/>
      <c r="BW104" s="117"/>
      <c r="BX104" s="117"/>
      <c r="BY104" s="117"/>
      <c r="BZ104" s="117"/>
      <c r="CA104" s="117"/>
      <c r="CB104" s="117"/>
      <c r="CC104" s="117"/>
      <c r="CD104" s="117"/>
      <c r="CE104" s="117"/>
      <c r="CF104" s="117"/>
      <c r="CG104" s="117"/>
      <c r="CH104" s="117"/>
      <c r="CI104" s="117"/>
      <c r="CJ104" s="117"/>
      <c r="CK104" s="117"/>
      <c r="CL104" s="117"/>
      <c r="CM104" s="117"/>
      <c r="CN104" s="117"/>
      <c r="CO104" s="117"/>
      <c r="CP104" s="117"/>
      <c r="CQ104" s="117"/>
      <c r="CR104" s="117"/>
      <c r="CS104" s="117"/>
      <c r="CT104" s="117"/>
      <c r="CU104" s="117"/>
      <c r="CV104" s="117"/>
      <c r="CW104" s="117"/>
      <c r="CX104" s="117"/>
      <c r="CY104" s="117"/>
      <c r="CZ104" s="117"/>
      <c r="DA104" s="117"/>
      <c r="DB104" s="117"/>
      <c r="DC104" s="117"/>
      <c r="DD104" s="117"/>
      <c r="DE104" s="117"/>
      <c r="DF104" s="117"/>
      <c r="DG104" s="117"/>
      <c r="DH104" s="117"/>
      <c r="DI104" s="117"/>
      <c r="DJ104" s="117"/>
      <c r="DK104" s="117"/>
      <c r="DL104" s="117"/>
      <c r="DM104" s="117"/>
      <c r="DN104" s="117"/>
      <c r="DO104" s="117"/>
      <c r="DP104" s="117"/>
      <c r="DQ104" s="117"/>
      <c r="DR104" s="117"/>
      <c r="DS104" s="117"/>
      <c r="DT104" s="117"/>
      <c r="DU104" s="117"/>
      <c r="DV104" s="117"/>
      <c r="DW104" s="117"/>
      <c r="DX104" s="117"/>
      <c r="DY104" s="117"/>
      <c r="DZ104" s="117"/>
      <c r="EA104" s="117"/>
      <c r="EB104" s="117"/>
      <c r="EC104" s="117"/>
      <c r="ED104" s="117"/>
      <c r="EE104" s="117"/>
      <c r="EF104" s="117"/>
      <c r="EG104" s="117"/>
      <c r="EH104" s="117"/>
      <c r="EI104" s="117"/>
      <c r="EJ104" s="117"/>
      <c r="EK104" s="117"/>
    </row>
    <row r="105" spans="1:141" s="129" customFormat="1" ht="12" thickTop="1" x14ac:dyDescent="0.2">
      <c r="A105" s="141"/>
      <c r="B105" s="152"/>
      <c r="C105" s="373"/>
      <c r="D105" s="127"/>
      <c r="E105" s="127"/>
      <c r="F105" s="127"/>
      <c r="G105" s="127"/>
      <c r="H105" s="127"/>
      <c r="I105" s="127"/>
      <c r="J105" s="12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7"/>
      <c r="AL105" s="117"/>
      <c r="AM105" s="117"/>
      <c r="AN105" s="117"/>
      <c r="AO105" s="117"/>
      <c r="AP105" s="117"/>
      <c r="AQ105" s="117"/>
      <c r="AR105" s="117"/>
      <c r="AS105" s="117"/>
      <c r="AT105" s="117"/>
      <c r="AU105" s="117"/>
      <c r="AV105" s="117"/>
      <c r="AW105" s="117"/>
      <c r="AX105" s="117"/>
      <c r="AY105" s="117"/>
      <c r="AZ105" s="117"/>
      <c r="BA105" s="117"/>
      <c r="BB105" s="117"/>
      <c r="BC105" s="117"/>
      <c r="BD105" s="117"/>
      <c r="BE105" s="117"/>
      <c r="BF105" s="117"/>
      <c r="BG105" s="117"/>
      <c r="BH105" s="117"/>
      <c r="BI105" s="117"/>
      <c r="BJ105" s="117"/>
      <c r="BK105" s="117"/>
      <c r="BL105" s="117"/>
      <c r="BM105" s="117"/>
      <c r="BN105" s="117"/>
      <c r="BO105" s="117"/>
      <c r="BP105" s="117"/>
      <c r="BQ105" s="117"/>
      <c r="BR105" s="117"/>
      <c r="BS105" s="117"/>
      <c r="BT105" s="117"/>
      <c r="BU105" s="117"/>
      <c r="BV105" s="117"/>
      <c r="BW105" s="117"/>
      <c r="BX105" s="117"/>
      <c r="BY105" s="117"/>
      <c r="BZ105" s="117"/>
      <c r="CA105" s="117"/>
      <c r="CB105" s="117"/>
      <c r="CC105" s="117"/>
      <c r="CD105" s="117"/>
      <c r="CE105" s="117"/>
      <c r="CF105" s="117"/>
      <c r="CG105" s="117"/>
      <c r="CH105" s="117"/>
      <c r="CI105" s="117"/>
      <c r="CJ105" s="117"/>
      <c r="CK105" s="117"/>
      <c r="CL105" s="117"/>
      <c r="CM105" s="117"/>
      <c r="CN105" s="117"/>
      <c r="CO105" s="117"/>
      <c r="CP105" s="117"/>
      <c r="CQ105" s="117"/>
      <c r="CR105" s="117"/>
      <c r="CS105" s="117"/>
      <c r="CT105" s="117"/>
      <c r="CU105" s="117"/>
      <c r="CV105" s="117"/>
      <c r="CW105" s="117"/>
      <c r="CX105" s="117"/>
      <c r="CY105" s="117"/>
      <c r="CZ105" s="117"/>
      <c r="DA105" s="117"/>
      <c r="DB105" s="117"/>
      <c r="DC105" s="117"/>
      <c r="DD105" s="117"/>
      <c r="DE105" s="117"/>
      <c r="DF105" s="117"/>
      <c r="DG105" s="117"/>
      <c r="DH105" s="117"/>
      <c r="DI105" s="117"/>
      <c r="DJ105" s="117"/>
      <c r="DK105" s="117"/>
      <c r="DL105" s="117"/>
      <c r="DM105" s="117"/>
      <c r="DN105" s="117"/>
      <c r="DO105" s="117"/>
      <c r="DP105" s="117"/>
      <c r="DQ105" s="117"/>
      <c r="DR105" s="117"/>
      <c r="DS105" s="117"/>
      <c r="DT105" s="117"/>
      <c r="DU105" s="117"/>
      <c r="DV105" s="117"/>
      <c r="DW105" s="117"/>
      <c r="DX105" s="117"/>
      <c r="DY105" s="117"/>
      <c r="DZ105" s="117"/>
      <c r="EA105" s="117"/>
      <c r="EB105" s="117"/>
      <c r="EC105" s="117"/>
      <c r="ED105" s="117"/>
      <c r="EE105" s="117"/>
      <c r="EF105" s="117"/>
      <c r="EG105" s="117"/>
      <c r="EH105" s="117"/>
      <c r="EI105" s="117"/>
      <c r="EJ105" s="117"/>
      <c r="EK105" s="117"/>
    </row>
    <row r="106" spans="1:141" s="129" customFormat="1" x14ac:dyDescent="0.2">
      <c r="A106" s="141"/>
      <c r="B106" s="152"/>
      <c r="C106" s="373"/>
      <c r="D106" s="127"/>
      <c r="E106" s="127"/>
      <c r="F106" s="127"/>
      <c r="G106" s="127"/>
      <c r="H106" s="127"/>
      <c r="I106" s="127"/>
      <c r="J106" s="12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7"/>
      <c r="AL106" s="117"/>
      <c r="AM106" s="117"/>
      <c r="AN106" s="117"/>
      <c r="AO106" s="117"/>
      <c r="AP106" s="117"/>
      <c r="AQ106" s="117"/>
      <c r="AR106" s="117"/>
      <c r="AS106" s="117"/>
      <c r="AT106" s="117"/>
      <c r="AU106" s="117"/>
      <c r="AV106" s="117"/>
      <c r="AW106" s="117"/>
      <c r="AX106" s="117"/>
      <c r="AY106" s="117"/>
      <c r="AZ106" s="117"/>
      <c r="BA106" s="117"/>
      <c r="BB106" s="117"/>
      <c r="BC106" s="117"/>
      <c r="BD106" s="117"/>
      <c r="BE106" s="117"/>
      <c r="BF106" s="117"/>
      <c r="BG106" s="117"/>
      <c r="BH106" s="117"/>
      <c r="BI106" s="117"/>
      <c r="BJ106" s="117"/>
      <c r="BK106" s="117"/>
      <c r="BL106" s="117"/>
      <c r="BM106" s="117"/>
      <c r="BN106" s="117"/>
      <c r="BO106" s="117"/>
      <c r="BP106" s="117"/>
      <c r="BQ106" s="117"/>
      <c r="BR106" s="117"/>
      <c r="BS106" s="117"/>
      <c r="BT106" s="117"/>
      <c r="BU106" s="117"/>
      <c r="BV106" s="117"/>
      <c r="BW106" s="117"/>
      <c r="BX106" s="117"/>
      <c r="BY106" s="117"/>
      <c r="BZ106" s="117"/>
      <c r="CA106" s="117"/>
      <c r="CB106" s="117"/>
      <c r="CC106" s="117"/>
      <c r="CD106" s="117"/>
      <c r="CE106" s="117"/>
      <c r="CF106" s="117"/>
      <c r="CG106" s="117"/>
      <c r="CH106" s="117"/>
      <c r="CI106" s="117"/>
      <c r="CJ106" s="117"/>
      <c r="CK106" s="117"/>
      <c r="CL106" s="117"/>
      <c r="CM106" s="117"/>
      <c r="CN106" s="117"/>
      <c r="CO106" s="117"/>
      <c r="CP106" s="117"/>
      <c r="CQ106" s="117"/>
      <c r="CR106" s="117"/>
      <c r="CS106" s="117"/>
      <c r="CT106" s="117"/>
      <c r="CU106" s="117"/>
      <c r="CV106" s="117"/>
      <c r="CW106" s="117"/>
      <c r="CX106" s="117"/>
      <c r="CY106" s="117"/>
      <c r="CZ106" s="117"/>
      <c r="DA106" s="117"/>
      <c r="DB106" s="117"/>
      <c r="DC106" s="117"/>
      <c r="DD106" s="117"/>
      <c r="DE106" s="117"/>
      <c r="DF106" s="117"/>
      <c r="DG106" s="117"/>
      <c r="DH106" s="117"/>
      <c r="DI106" s="117"/>
      <c r="DJ106" s="117"/>
      <c r="DK106" s="117"/>
      <c r="DL106" s="117"/>
      <c r="DM106" s="117"/>
      <c r="DN106" s="117"/>
      <c r="DO106" s="117"/>
      <c r="DP106" s="117"/>
      <c r="DQ106" s="117"/>
      <c r="DR106" s="117"/>
      <c r="DS106" s="117"/>
      <c r="DT106" s="117"/>
      <c r="DU106" s="117"/>
      <c r="DV106" s="117"/>
      <c r="DW106" s="117"/>
      <c r="DX106" s="117"/>
      <c r="DY106" s="117"/>
      <c r="DZ106" s="117"/>
      <c r="EA106" s="117"/>
      <c r="EB106" s="117"/>
      <c r="EC106" s="117"/>
      <c r="ED106" s="117"/>
      <c r="EE106" s="117"/>
      <c r="EF106" s="117"/>
      <c r="EG106" s="117"/>
      <c r="EH106" s="117"/>
      <c r="EI106" s="117"/>
      <c r="EJ106" s="117"/>
      <c r="EK106" s="117"/>
    </row>
    <row r="107" spans="1:141" ht="12.75" customHeight="1" x14ac:dyDescent="0.2">
      <c r="A107" s="393" t="str">
        <f>+A8</f>
        <v xml:space="preserve">AEP TEXAS </v>
      </c>
      <c r="B107" s="388"/>
      <c r="C107" s="388"/>
      <c r="D107" s="388"/>
      <c r="E107" s="388"/>
      <c r="F107" s="388"/>
      <c r="G107" s="388"/>
      <c r="H107" s="388"/>
      <c r="I107" s="388"/>
      <c r="J107" s="388"/>
      <c r="K107" s="388"/>
      <c r="L107" s="388"/>
      <c r="M107" s="388"/>
      <c r="N107" s="388"/>
      <c r="O107" s="388"/>
      <c r="P107" s="388"/>
      <c r="Q107" s="388"/>
      <c r="R107" s="388"/>
      <c r="S107" s="388"/>
      <c r="T107" s="388"/>
      <c r="U107" s="388"/>
    </row>
    <row r="108" spans="1:141" ht="12.75" customHeight="1" x14ac:dyDescent="0.2">
      <c r="A108" s="393" t="s">
        <v>87</v>
      </c>
      <c r="B108" s="393"/>
      <c r="C108" s="393"/>
      <c r="D108" s="393"/>
      <c r="E108" s="393"/>
      <c r="F108" s="393"/>
      <c r="G108" s="393"/>
      <c r="H108" s="393"/>
      <c r="I108" s="393"/>
      <c r="J108" s="393"/>
      <c r="K108" s="393"/>
      <c r="L108" s="393"/>
      <c r="M108" s="393"/>
      <c r="N108" s="393"/>
      <c r="O108" s="393"/>
      <c r="P108" s="393"/>
      <c r="Q108" s="393"/>
      <c r="R108" s="393"/>
      <c r="S108" s="393"/>
      <c r="T108" s="393"/>
      <c r="U108" s="393"/>
    </row>
    <row r="109" spans="1:141" ht="12.75" customHeight="1" x14ac:dyDescent="0.2">
      <c r="A109" s="388" t="str">
        <f>A10</f>
        <v>FOR TEST YEAR ENDED DECEMBER 31, 2018</v>
      </c>
      <c r="B109" s="388"/>
      <c r="C109" s="388"/>
      <c r="D109" s="388"/>
      <c r="E109" s="388"/>
      <c r="F109" s="388"/>
      <c r="G109" s="388"/>
      <c r="H109" s="388"/>
      <c r="I109" s="38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</row>
    <row r="110" spans="1:141" x14ac:dyDescent="0.2">
      <c r="B110" s="124"/>
      <c r="C110" s="373"/>
      <c r="D110" s="373"/>
      <c r="E110" s="373"/>
      <c r="F110" s="373"/>
      <c r="G110" s="373"/>
      <c r="H110" s="373"/>
      <c r="I110" s="373"/>
      <c r="J110" s="374"/>
    </row>
    <row r="111" spans="1:141" x14ac:dyDescent="0.2">
      <c r="B111" s="175"/>
      <c r="D111" s="176"/>
      <c r="E111" s="177"/>
      <c r="F111" s="177"/>
      <c r="G111" s="177"/>
    </row>
    <row r="112" spans="1:141" ht="33.75" x14ac:dyDescent="0.2">
      <c r="A112" s="373" t="s">
        <v>20</v>
      </c>
      <c r="B112" s="375" t="s">
        <v>0</v>
      </c>
      <c r="C112" s="375" t="s">
        <v>19</v>
      </c>
      <c r="D112" s="352" t="str">
        <f>$D$13</f>
        <v>Customer Revenue - Base Tariff</v>
      </c>
      <c r="E112" s="352" t="str">
        <f>$E$13</f>
        <v xml:space="preserve">Meter Revenue - Base Tariff </v>
      </c>
      <c r="F112" s="352" t="str">
        <f>$F$13</f>
        <v>Distribution Service Revenue - Base Tariff</v>
      </c>
      <c r="G112" s="352" t="str">
        <f>$G$13</f>
        <v>Facilities Charge</v>
      </c>
      <c r="H112" s="352" t="str">
        <f>$H$13</f>
        <v>Transmission Service Revenue - Base Tariff</v>
      </c>
      <c r="I112" s="352" t="str">
        <f>$I$13</f>
        <v>Total Base Tariff Revenue</v>
      </c>
      <c r="J112" s="353"/>
      <c r="K112" s="352" t="str">
        <f>$K$13</f>
        <v>Energy Efficiency Rider</v>
      </c>
      <c r="L112" s="352" t="str">
        <f>$L$13</f>
        <v>Transition Charge Riders (TC)</v>
      </c>
      <c r="M112" s="347" t="s">
        <v>121</v>
      </c>
      <c r="N112" s="352" t="str">
        <f>$N$13</f>
        <v xml:space="preserve">Competitive Metering Rider </v>
      </c>
      <c r="O112" s="352" t="str">
        <f>$O$13</f>
        <v>Transmission Cost Recovery Rider (TCRF)</v>
      </c>
      <c r="P112" s="352" t="str">
        <f>$P$13</f>
        <v>State Colleges and Universities Discount Rider</v>
      </c>
      <c r="Q112" s="352" t="str">
        <f>$Q$13</f>
        <v>Advanced Metering Recovery Rider</v>
      </c>
      <c r="R112" s="352" t="str">
        <f>+R13</f>
        <v>Misc Riders</v>
      </c>
      <c r="S112" s="352" t="str">
        <f>$S$13</f>
        <v>Total Riders</v>
      </c>
      <c r="T112" s="348"/>
      <c r="U112" s="352" t="str">
        <f>$U$13</f>
        <v>Total Revenue</v>
      </c>
    </row>
    <row r="113" spans="1:141" x14ac:dyDescent="0.2">
      <c r="B113" s="375"/>
      <c r="C113" s="375"/>
      <c r="D113" s="164"/>
      <c r="E113" s="164"/>
      <c r="F113" s="164"/>
      <c r="G113" s="164"/>
      <c r="H113" s="164"/>
      <c r="I113" s="164"/>
      <c r="J113" s="193"/>
    </row>
    <row r="114" spans="1:141" s="129" customFormat="1" x14ac:dyDescent="0.2">
      <c r="A114" s="141" t="s">
        <v>21</v>
      </c>
      <c r="B114" s="129" t="s">
        <v>29</v>
      </c>
      <c r="C114" s="143" t="s">
        <v>16</v>
      </c>
      <c r="D114" s="149"/>
      <c r="E114" s="149"/>
      <c r="F114" s="149">
        <f>'II-H-4.1 Monthly'!P398</f>
        <v>-2564300.576967007</v>
      </c>
      <c r="G114" s="149"/>
      <c r="H114" s="149"/>
      <c r="I114" s="149">
        <f>SUM(D114:H114)</f>
        <v>-2564300.576967007</v>
      </c>
      <c r="J114" s="194"/>
      <c r="K114" s="149"/>
      <c r="L114" s="149"/>
      <c r="M114" s="149"/>
      <c r="N114" s="149"/>
      <c r="O114" s="149"/>
      <c r="P114" s="149"/>
      <c r="Q114" s="149"/>
      <c r="R114" s="149"/>
      <c r="S114" s="194">
        <f>SUM(K114:Q114)</f>
        <v>0</v>
      </c>
      <c r="T114" s="194"/>
      <c r="U114" s="194">
        <f>S114+I114</f>
        <v>-2564300.576967007</v>
      </c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117"/>
      <c r="BF114" s="117"/>
      <c r="BG114" s="117"/>
      <c r="BH114" s="117"/>
      <c r="BI114" s="117"/>
      <c r="BJ114" s="117"/>
      <c r="BK114" s="117"/>
      <c r="BL114" s="117"/>
      <c r="BM114" s="117"/>
      <c r="BN114" s="117"/>
      <c r="BO114" s="117"/>
      <c r="BP114" s="117"/>
      <c r="BQ114" s="117"/>
      <c r="BR114" s="117"/>
      <c r="BS114" s="117"/>
      <c r="BT114" s="117"/>
      <c r="BU114" s="117"/>
      <c r="BV114" s="117"/>
      <c r="BW114" s="117"/>
      <c r="BX114" s="117"/>
      <c r="BY114" s="117"/>
      <c r="BZ114" s="117"/>
      <c r="CA114" s="117"/>
      <c r="CB114" s="117"/>
      <c r="CC114" s="117"/>
      <c r="CD114" s="117"/>
      <c r="CE114" s="117"/>
      <c r="CF114" s="117"/>
      <c r="CG114" s="117"/>
      <c r="CH114" s="117"/>
      <c r="CI114" s="117"/>
      <c r="CJ114" s="117"/>
      <c r="CK114" s="117"/>
      <c r="CL114" s="117"/>
      <c r="CM114" s="117"/>
      <c r="CN114" s="117"/>
      <c r="CO114" s="117"/>
      <c r="CP114" s="117"/>
      <c r="CQ114" s="117"/>
      <c r="CR114" s="117"/>
      <c r="CS114" s="117"/>
      <c r="CT114" s="117"/>
      <c r="CU114" s="117"/>
      <c r="CV114" s="117"/>
      <c r="CW114" s="117"/>
      <c r="CX114" s="117"/>
      <c r="CY114" s="117"/>
      <c r="CZ114" s="117"/>
      <c r="DA114" s="117"/>
      <c r="DB114" s="117"/>
      <c r="DC114" s="117"/>
      <c r="DD114" s="117"/>
      <c r="DE114" s="117"/>
      <c r="DF114" s="117"/>
      <c r="DG114" s="117"/>
      <c r="DH114" s="117"/>
      <c r="DI114" s="117"/>
      <c r="DJ114" s="117"/>
      <c r="DK114" s="117"/>
      <c r="DL114" s="117"/>
      <c r="DM114" s="117"/>
      <c r="DN114" s="117"/>
      <c r="DO114" s="117"/>
      <c r="DP114" s="117"/>
      <c r="DQ114" s="117"/>
      <c r="DR114" s="117"/>
      <c r="DS114" s="117"/>
      <c r="DT114" s="117"/>
      <c r="DU114" s="117"/>
      <c r="DV114" s="117"/>
      <c r="DW114" s="117"/>
      <c r="DX114" s="117"/>
      <c r="DY114" s="117"/>
      <c r="DZ114" s="117"/>
      <c r="EA114" s="117"/>
      <c r="EB114" s="117"/>
      <c r="EC114" s="117"/>
      <c r="ED114" s="117"/>
      <c r="EE114" s="117"/>
      <c r="EF114" s="117"/>
      <c r="EG114" s="117"/>
      <c r="EH114" s="117"/>
      <c r="EI114" s="117"/>
      <c r="EJ114" s="117"/>
      <c r="EK114" s="117"/>
    </row>
    <row r="115" spans="1:141" s="129" customFormat="1" x14ac:dyDescent="0.2">
      <c r="C115" s="143"/>
      <c r="D115" s="171"/>
      <c r="E115" s="171"/>
      <c r="F115" s="171"/>
      <c r="G115" s="171"/>
      <c r="H115" s="171"/>
      <c r="I115" s="171"/>
      <c r="J115" s="197"/>
      <c r="K115" s="171"/>
      <c r="L115" s="171"/>
      <c r="M115" s="171"/>
      <c r="N115" s="171"/>
      <c r="O115" s="171"/>
      <c r="P115" s="171"/>
      <c r="Q115" s="171"/>
      <c r="R115" s="171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7"/>
      <c r="BM115" s="117"/>
      <c r="BN115" s="117"/>
      <c r="BO115" s="117"/>
      <c r="BP115" s="117"/>
      <c r="BQ115" s="117"/>
      <c r="BR115" s="117"/>
      <c r="BS115" s="117"/>
      <c r="BT115" s="117"/>
      <c r="BU115" s="117"/>
      <c r="BV115" s="117"/>
      <c r="BW115" s="117"/>
      <c r="BX115" s="117"/>
      <c r="BY115" s="117"/>
      <c r="BZ115" s="117"/>
      <c r="CA115" s="117"/>
      <c r="CB115" s="117"/>
      <c r="CC115" s="117"/>
      <c r="CD115" s="117"/>
      <c r="CE115" s="117"/>
      <c r="CF115" s="117"/>
      <c r="CG115" s="117"/>
      <c r="CH115" s="117"/>
      <c r="CI115" s="117"/>
      <c r="CJ115" s="117"/>
      <c r="CK115" s="117"/>
      <c r="CL115" s="117"/>
      <c r="CM115" s="117"/>
      <c r="CN115" s="117"/>
      <c r="CO115" s="117"/>
      <c r="CP115" s="117"/>
      <c r="CQ115" s="117"/>
      <c r="CR115" s="117"/>
      <c r="CS115" s="117"/>
      <c r="CT115" s="117"/>
      <c r="CU115" s="117"/>
      <c r="CV115" s="117"/>
      <c r="CW115" s="117"/>
      <c r="CX115" s="117"/>
      <c r="CY115" s="117"/>
      <c r="CZ115" s="117"/>
      <c r="DA115" s="117"/>
      <c r="DB115" s="117"/>
      <c r="DC115" s="117"/>
      <c r="DD115" s="117"/>
      <c r="DE115" s="117"/>
      <c r="DF115" s="117"/>
      <c r="DG115" s="117"/>
      <c r="DH115" s="117"/>
      <c r="DI115" s="117"/>
      <c r="DJ115" s="117"/>
      <c r="DK115" s="117"/>
      <c r="DL115" s="117"/>
      <c r="DM115" s="117"/>
      <c r="DN115" s="117"/>
      <c r="DO115" s="117"/>
      <c r="DP115" s="117"/>
      <c r="DQ115" s="117"/>
      <c r="DR115" s="117"/>
      <c r="DS115" s="117"/>
      <c r="DT115" s="117"/>
      <c r="DU115" s="117"/>
      <c r="DV115" s="117"/>
      <c r="DW115" s="117"/>
      <c r="DX115" s="117"/>
      <c r="DY115" s="117"/>
      <c r="DZ115" s="117"/>
      <c r="EA115" s="117"/>
      <c r="EB115" s="117"/>
      <c r="EC115" s="117"/>
      <c r="ED115" s="117"/>
      <c r="EE115" s="117"/>
      <c r="EF115" s="117"/>
      <c r="EG115" s="117"/>
      <c r="EH115" s="117"/>
      <c r="EI115" s="117"/>
      <c r="EJ115" s="117"/>
      <c r="EK115" s="117"/>
    </row>
    <row r="116" spans="1:141" s="129" customFormat="1" x14ac:dyDescent="0.2">
      <c r="A116" s="141">
        <v>2</v>
      </c>
      <c r="B116" s="129" t="s">
        <v>32</v>
      </c>
      <c r="C116" s="143" t="s">
        <v>16</v>
      </c>
      <c r="D116" s="122"/>
      <c r="E116" s="122"/>
      <c r="F116" s="122">
        <f>'II-H-4.1 Monthly'!P400</f>
        <v>-15878.932496874299</v>
      </c>
      <c r="G116" s="122"/>
      <c r="H116" s="122"/>
      <c r="I116" s="122">
        <f>SUM(D116:H116)</f>
        <v>-15878.932496874299</v>
      </c>
      <c r="J116" s="142"/>
      <c r="K116" s="122"/>
      <c r="L116" s="122"/>
      <c r="M116" s="122"/>
      <c r="N116" s="122"/>
      <c r="O116" s="122"/>
      <c r="P116" s="122"/>
      <c r="Q116" s="122"/>
      <c r="R116" s="122"/>
      <c r="S116" s="142">
        <f>SUM(K116:Q116)</f>
        <v>0</v>
      </c>
      <c r="T116" s="142"/>
      <c r="U116" s="142">
        <f>S116+I116</f>
        <v>-15878.932496874299</v>
      </c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7"/>
      <c r="AM116" s="117"/>
      <c r="AN116" s="117"/>
      <c r="AO116" s="117"/>
      <c r="AP116" s="117"/>
      <c r="AQ116" s="117"/>
      <c r="AR116" s="117"/>
      <c r="AS116" s="117"/>
      <c r="AT116" s="117"/>
      <c r="AU116" s="117"/>
      <c r="AV116" s="117"/>
      <c r="AW116" s="117"/>
      <c r="AX116" s="117"/>
      <c r="AY116" s="117"/>
      <c r="AZ116" s="117"/>
      <c r="BA116" s="117"/>
      <c r="BB116" s="117"/>
      <c r="BC116" s="117"/>
      <c r="BD116" s="117"/>
      <c r="BE116" s="117"/>
      <c r="BF116" s="117"/>
      <c r="BG116" s="117"/>
      <c r="BH116" s="117"/>
      <c r="BI116" s="117"/>
      <c r="BJ116" s="117"/>
      <c r="BK116" s="117"/>
      <c r="BL116" s="117"/>
      <c r="BM116" s="117"/>
      <c r="BN116" s="117"/>
      <c r="BO116" s="117"/>
      <c r="BP116" s="117"/>
      <c r="BQ116" s="117"/>
      <c r="BR116" s="117"/>
      <c r="BS116" s="117"/>
      <c r="BT116" s="117"/>
      <c r="BU116" s="117"/>
      <c r="BV116" s="117"/>
      <c r="BW116" s="117"/>
      <c r="BX116" s="117"/>
      <c r="BY116" s="117"/>
      <c r="BZ116" s="117"/>
      <c r="CA116" s="117"/>
      <c r="CB116" s="117"/>
      <c r="CC116" s="117"/>
      <c r="CD116" s="117"/>
      <c r="CE116" s="117"/>
      <c r="CF116" s="117"/>
      <c r="CG116" s="117"/>
      <c r="CH116" s="117"/>
      <c r="CI116" s="117"/>
      <c r="CJ116" s="117"/>
      <c r="CK116" s="117"/>
      <c r="CL116" s="117"/>
      <c r="CM116" s="117"/>
      <c r="CN116" s="117"/>
      <c r="CO116" s="117"/>
      <c r="CP116" s="117"/>
      <c r="CQ116" s="117"/>
      <c r="CR116" s="117"/>
      <c r="CS116" s="117"/>
      <c r="CT116" s="117"/>
      <c r="CU116" s="117"/>
      <c r="CV116" s="117"/>
      <c r="CW116" s="117"/>
      <c r="CX116" s="117"/>
      <c r="CY116" s="117"/>
      <c r="CZ116" s="117"/>
      <c r="DA116" s="117"/>
      <c r="DB116" s="117"/>
      <c r="DC116" s="117"/>
      <c r="DD116" s="117"/>
      <c r="DE116" s="117"/>
      <c r="DF116" s="117"/>
      <c r="DG116" s="117"/>
      <c r="DH116" s="117"/>
      <c r="DI116" s="117"/>
      <c r="DJ116" s="117"/>
      <c r="DK116" s="117"/>
      <c r="DL116" s="117"/>
      <c r="DM116" s="117"/>
      <c r="DN116" s="117"/>
      <c r="DO116" s="117"/>
      <c r="DP116" s="117"/>
      <c r="DQ116" s="117"/>
      <c r="DR116" s="117"/>
      <c r="DS116" s="117"/>
      <c r="DT116" s="117"/>
      <c r="DU116" s="117"/>
      <c r="DV116" s="117"/>
      <c r="DW116" s="117"/>
      <c r="DX116" s="117"/>
      <c r="DY116" s="117"/>
      <c r="DZ116" s="117"/>
      <c r="EA116" s="117"/>
      <c r="EB116" s="117"/>
      <c r="EC116" s="117"/>
      <c r="ED116" s="117"/>
      <c r="EE116" s="117"/>
      <c r="EF116" s="117"/>
      <c r="EG116" s="117"/>
      <c r="EH116" s="117"/>
      <c r="EI116" s="117"/>
      <c r="EJ116" s="117"/>
      <c r="EK116" s="117"/>
    </row>
    <row r="117" spans="1:141" s="129" customFormat="1" x14ac:dyDescent="0.2">
      <c r="A117" s="141"/>
      <c r="C117" s="143"/>
      <c r="D117" s="122"/>
      <c r="E117" s="122"/>
      <c r="F117" s="122"/>
      <c r="G117" s="122"/>
      <c r="H117" s="122"/>
      <c r="I117" s="122"/>
      <c r="J117" s="142"/>
      <c r="K117" s="122"/>
      <c r="L117" s="122"/>
      <c r="M117" s="122"/>
      <c r="N117" s="122"/>
      <c r="O117" s="122"/>
      <c r="P117" s="122"/>
      <c r="Q117" s="122"/>
      <c r="R117" s="122"/>
      <c r="S117" s="117"/>
      <c r="T117" s="117"/>
      <c r="U117" s="142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7"/>
      <c r="AS117" s="117"/>
      <c r="AT117" s="117"/>
      <c r="AU117" s="117"/>
      <c r="AV117" s="117"/>
      <c r="AW117" s="117"/>
      <c r="AX117" s="117"/>
      <c r="AY117" s="117"/>
      <c r="AZ117" s="117"/>
      <c r="BA117" s="117"/>
      <c r="BB117" s="117"/>
      <c r="BC117" s="117"/>
      <c r="BD117" s="117"/>
      <c r="BE117" s="117"/>
      <c r="BF117" s="117"/>
      <c r="BG117" s="117"/>
      <c r="BH117" s="117"/>
      <c r="BI117" s="117"/>
      <c r="BJ117" s="117"/>
      <c r="BK117" s="117"/>
      <c r="BL117" s="117"/>
      <c r="BM117" s="117"/>
      <c r="BN117" s="117"/>
      <c r="BO117" s="117"/>
      <c r="BP117" s="117"/>
      <c r="BQ117" s="117"/>
      <c r="BR117" s="117"/>
      <c r="BS117" s="117"/>
      <c r="BT117" s="117"/>
      <c r="BU117" s="117"/>
      <c r="BV117" s="117"/>
      <c r="BW117" s="117"/>
      <c r="BX117" s="117"/>
      <c r="BY117" s="117"/>
      <c r="BZ117" s="117"/>
      <c r="CA117" s="117"/>
      <c r="CB117" s="117"/>
      <c r="CC117" s="117"/>
      <c r="CD117" s="117"/>
      <c r="CE117" s="117"/>
      <c r="CF117" s="117"/>
      <c r="CG117" s="117"/>
      <c r="CH117" s="117"/>
      <c r="CI117" s="117"/>
      <c r="CJ117" s="117"/>
      <c r="CK117" s="117"/>
      <c r="CL117" s="117"/>
      <c r="CM117" s="117"/>
      <c r="CN117" s="117"/>
      <c r="CO117" s="117"/>
      <c r="CP117" s="117"/>
      <c r="CQ117" s="117"/>
      <c r="CR117" s="117"/>
      <c r="CS117" s="117"/>
      <c r="CT117" s="117"/>
      <c r="CU117" s="117"/>
      <c r="CV117" s="117"/>
      <c r="CW117" s="117"/>
      <c r="CX117" s="117"/>
      <c r="CY117" s="117"/>
      <c r="CZ117" s="117"/>
      <c r="DA117" s="117"/>
      <c r="DB117" s="117"/>
      <c r="DC117" s="117"/>
      <c r="DD117" s="117"/>
      <c r="DE117" s="117"/>
      <c r="DF117" s="117"/>
      <c r="DG117" s="117"/>
      <c r="DH117" s="117"/>
      <c r="DI117" s="117"/>
      <c r="DJ117" s="117"/>
      <c r="DK117" s="117"/>
      <c r="DL117" s="117"/>
      <c r="DM117" s="117"/>
      <c r="DN117" s="117"/>
      <c r="DO117" s="117"/>
      <c r="DP117" s="117"/>
      <c r="DQ117" s="117"/>
      <c r="DR117" s="117"/>
      <c r="DS117" s="117"/>
      <c r="DT117" s="117"/>
      <c r="DU117" s="117"/>
      <c r="DV117" s="117"/>
      <c r="DW117" s="117"/>
      <c r="DX117" s="117"/>
      <c r="DY117" s="117"/>
      <c r="DZ117" s="117"/>
      <c r="EA117" s="117"/>
      <c r="EB117" s="117"/>
      <c r="EC117" s="117"/>
      <c r="ED117" s="117"/>
      <c r="EE117" s="117"/>
      <c r="EF117" s="117"/>
      <c r="EG117" s="117"/>
      <c r="EH117" s="117"/>
      <c r="EI117" s="117"/>
      <c r="EJ117" s="117"/>
      <c r="EK117" s="117"/>
    </row>
    <row r="118" spans="1:141" s="129" customFormat="1" x14ac:dyDescent="0.2">
      <c r="A118" s="141">
        <v>3</v>
      </c>
      <c r="B118" s="146" t="s">
        <v>113</v>
      </c>
      <c r="C118" s="125" t="s">
        <v>16</v>
      </c>
      <c r="D118" s="142"/>
      <c r="E118" s="142"/>
      <c r="F118" s="142">
        <f>'II-H-4.1 Monthly'!P402</f>
        <v>-5939.6032194165746</v>
      </c>
      <c r="G118" s="142"/>
      <c r="H118" s="142"/>
      <c r="I118" s="142">
        <f>SUM(D118:H118)</f>
        <v>-5939.6032194165746</v>
      </c>
      <c r="J118" s="142"/>
      <c r="K118" s="142"/>
      <c r="L118" s="142"/>
      <c r="M118" s="142"/>
      <c r="N118" s="142"/>
      <c r="O118" s="142"/>
      <c r="P118" s="142"/>
      <c r="Q118" s="142"/>
      <c r="R118" s="142"/>
      <c r="S118" s="142">
        <f>SUM(K118:Q118)</f>
        <v>0</v>
      </c>
      <c r="T118" s="142"/>
      <c r="U118" s="142">
        <f>S118+I118</f>
        <v>-5939.6032194165746</v>
      </c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  <c r="AI118" s="117"/>
      <c r="AJ118" s="117"/>
      <c r="AK118" s="117"/>
      <c r="AL118" s="117"/>
      <c r="AM118" s="117"/>
      <c r="AN118" s="117"/>
      <c r="AO118" s="117"/>
      <c r="AP118" s="117"/>
      <c r="AQ118" s="117"/>
      <c r="AR118" s="117"/>
      <c r="AS118" s="117"/>
      <c r="AT118" s="117"/>
      <c r="AU118" s="117"/>
      <c r="AV118" s="117"/>
      <c r="AW118" s="117"/>
      <c r="AX118" s="117"/>
      <c r="AY118" s="117"/>
      <c r="AZ118" s="117"/>
      <c r="BA118" s="117"/>
      <c r="BB118" s="117"/>
      <c r="BC118" s="117"/>
      <c r="BD118" s="117"/>
      <c r="BE118" s="117"/>
      <c r="BF118" s="117"/>
      <c r="BG118" s="117"/>
      <c r="BH118" s="117"/>
      <c r="BI118" s="117"/>
      <c r="BJ118" s="117"/>
      <c r="BK118" s="117"/>
      <c r="BL118" s="117"/>
      <c r="BM118" s="117"/>
      <c r="BN118" s="117"/>
      <c r="BO118" s="117"/>
      <c r="BP118" s="117"/>
      <c r="BQ118" s="117"/>
      <c r="BR118" s="117"/>
      <c r="BS118" s="117"/>
      <c r="BT118" s="117"/>
      <c r="BU118" s="117"/>
      <c r="BV118" s="117"/>
      <c r="BW118" s="117"/>
      <c r="BX118" s="117"/>
      <c r="BY118" s="117"/>
      <c r="BZ118" s="117"/>
      <c r="CA118" s="117"/>
      <c r="CB118" s="117"/>
      <c r="CC118" s="117"/>
      <c r="CD118" s="117"/>
      <c r="CE118" s="117"/>
      <c r="CF118" s="117"/>
      <c r="CG118" s="117"/>
      <c r="CH118" s="117"/>
      <c r="CI118" s="117"/>
      <c r="CJ118" s="117"/>
      <c r="CK118" s="117"/>
      <c r="CL118" s="117"/>
      <c r="CM118" s="117"/>
      <c r="CN118" s="117"/>
      <c r="CO118" s="117"/>
      <c r="CP118" s="117"/>
      <c r="CQ118" s="117"/>
      <c r="CR118" s="117"/>
      <c r="CS118" s="117"/>
      <c r="CT118" s="117"/>
      <c r="CU118" s="117"/>
      <c r="CV118" s="117"/>
      <c r="CW118" s="117"/>
      <c r="CX118" s="117"/>
      <c r="CY118" s="117"/>
      <c r="CZ118" s="117"/>
      <c r="DA118" s="117"/>
      <c r="DB118" s="117"/>
      <c r="DC118" s="117"/>
      <c r="DD118" s="117"/>
      <c r="DE118" s="117"/>
      <c r="DF118" s="117"/>
      <c r="DG118" s="117"/>
      <c r="DH118" s="117"/>
      <c r="DI118" s="117"/>
      <c r="DJ118" s="117"/>
      <c r="DK118" s="117"/>
      <c r="DL118" s="117"/>
      <c r="DM118" s="117"/>
      <c r="DN118" s="117"/>
      <c r="DO118" s="117"/>
      <c r="DP118" s="117"/>
      <c r="DQ118" s="117"/>
      <c r="DR118" s="117"/>
      <c r="DS118" s="117"/>
      <c r="DT118" s="117"/>
      <c r="DU118" s="117"/>
      <c r="DV118" s="117"/>
      <c r="DW118" s="117"/>
      <c r="DX118" s="117"/>
      <c r="DY118" s="117"/>
      <c r="DZ118" s="117"/>
      <c r="EA118" s="117"/>
      <c r="EB118" s="117"/>
      <c r="EC118" s="117"/>
      <c r="ED118" s="117"/>
      <c r="EE118" s="117"/>
      <c r="EF118" s="117"/>
      <c r="EG118" s="117"/>
      <c r="EH118" s="117"/>
      <c r="EI118" s="117"/>
      <c r="EJ118" s="117"/>
      <c r="EK118" s="117"/>
    </row>
    <row r="119" spans="1:141" s="129" customFormat="1" x14ac:dyDescent="0.2">
      <c r="A119" s="141">
        <v>4</v>
      </c>
      <c r="B119" s="146" t="s">
        <v>114</v>
      </c>
      <c r="C119" s="125" t="s">
        <v>16</v>
      </c>
      <c r="D119" s="123"/>
      <c r="E119" s="123"/>
      <c r="F119" s="123">
        <f>'II-H-4.1 Monthly'!P403</f>
        <v>-11546.865701575805</v>
      </c>
      <c r="G119" s="123"/>
      <c r="H119" s="123"/>
      <c r="I119" s="123">
        <f>SUM(D119:H119)</f>
        <v>-11546.865701575805</v>
      </c>
      <c r="J119" s="142"/>
      <c r="K119" s="123"/>
      <c r="L119" s="123"/>
      <c r="M119" s="123"/>
      <c r="N119" s="123"/>
      <c r="O119" s="123"/>
      <c r="P119" s="123"/>
      <c r="Q119" s="123"/>
      <c r="R119" s="123"/>
      <c r="S119" s="123">
        <f>SUM(K119:Q119)</f>
        <v>0</v>
      </c>
      <c r="T119" s="142"/>
      <c r="U119" s="123">
        <f>S119+I119</f>
        <v>-11546.865701575805</v>
      </c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7"/>
      <c r="AL119" s="117"/>
      <c r="AM119" s="117"/>
      <c r="AN119" s="117"/>
      <c r="AO119" s="117"/>
      <c r="AP119" s="117"/>
      <c r="AQ119" s="117"/>
      <c r="AR119" s="117"/>
      <c r="AS119" s="117"/>
      <c r="AT119" s="117"/>
      <c r="AU119" s="117"/>
      <c r="AV119" s="117"/>
      <c r="AW119" s="117"/>
      <c r="AX119" s="117"/>
      <c r="AY119" s="117"/>
      <c r="AZ119" s="117"/>
      <c r="BA119" s="117"/>
      <c r="BB119" s="117"/>
      <c r="BC119" s="117"/>
      <c r="BD119" s="117"/>
      <c r="BE119" s="117"/>
      <c r="BF119" s="117"/>
      <c r="BG119" s="117"/>
      <c r="BH119" s="117"/>
      <c r="BI119" s="117"/>
      <c r="BJ119" s="117"/>
      <c r="BK119" s="117"/>
      <c r="BL119" s="117"/>
      <c r="BM119" s="117"/>
      <c r="BN119" s="117"/>
      <c r="BO119" s="117"/>
      <c r="BP119" s="117"/>
      <c r="BQ119" s="117"/>
      <c r="BR119" s="117"/>
      <c r="BS119" s="117"/>
      <c r="BT119" s="117"/>
      <c r="BU119" s="117"/>
      <c r="BV119" s="117"/>
      <c r="BW119" s="117"/>
      <c r="BX119" s="117"/>
      <c r="BY119" s="117"/>
      <c r="BZ119" s="117"/>
      <c r="CA119" s="117"/>
      <c r="CB119" s="117"/>
      <c r="CC119" s="117"/>
      <c r="CD119" s="117"/>
      <c r="CE119" s="117"/>
      <c r="CF119" s="117"/>
      <c r="CG119" s="117"/>
      <c r="CH119" s="117"/>
      <c r="CI119" s="117"/>
      <c r="CJ119" s="117"/>
      <c r="CK119" s="117"/>
      <c r="CL119" s="117"/>
      <c r="CM119" s="117"/>
      <c r="CN119" s="117"/>
      <c r="CO119" s="117"/>
      <c r="CP119" s="117"/>
      <c r="CQ119" s="117"/>
      <c r="CR119" s="117"/>
      <c r="CS119" s="117"/>
      <c r="CT119" s="117"/>
      <c r="CU119" s="117"/>
      <c r="CV119" s="117"/>
      <c r="CW119" s="117"/>
      <c r="CX119" s="117"/>
      <c r="CY119" s="117"/>
      <c r="CZ119" s="117"/>
      <c r="DA119" s="117"/>
      <c r="DB119" s="117"/>
      <c r="DC119" s="117"/>
      <c r="DD119" s="117"/>
      <c r="DE119" s="117"/>
      <c r="DF119" s="117"/>
      <c r="DG119" s="117"/>
      <c r="DH119" s="117"/>
      <c r="DI119" s="117"/>
      <c r="DJ119" s="117"/>
      <c r="DK119" s="117"/>
      <c r="DL119" s="117"/>
      <c r="DM119" s="117"/>
      <c r="DN119" s="117"/>
      <c r="DO119" s="117"/>
      <c r="DP119" s="117"/>
      <c r="DQ119" s="117"/>
      <c r="DR119" s="117"/>
      <c r="DS119" s="117"/>
      <c r="DT119" s="117"/>
      <c r="DU119" s="117"/>
      <c r="DV119" s="117"/>
      <c r="DW119" s="117"/>
      <c r="DX119" s="117"/>
      <c r="DY119" s="117"/>
      <c r="DZ119" s="117"/>
      <c r="EA119" s="117"/>
      <c r="EB119" s="117"/>
      <c r="EC119" s="117"/>
      <c r="ED119" s="117"/>
      <c r="EE119" s="117"/>
      <c r="EF119" s="117"/>
      <c r="EG119" s="117"/>
      <c r="EH119" s="117"/>
      <c r="EI119" s="117"/>
      <c r="EJ119" s="117"/>
      <c r="EK119" s="117"/>
    </row>
    <row r="120" spans="1:141" s="129" customFormat="1" x14ac:dyDescent="0.2">
      <c r="A120" s="141">
        <v>5</v>
      </c>
      <c r="B120" s="162" t="s">
        <v>30</v>
      </c>
      <c r="C120" s="143"/>
      <c r="D120" s="157">
        <f t="shared" ref="D120:I120" si="45">SUM(D118:D119)</f>
        <v>0</v>
      </c>
      <c r="E120" s="157">
        <f t="shared" si="45"/>
        <v>0</v>
      </c>
      <c r="F120" s="157">
        <f t="shared" si="45"/>
        <v>-17486.468920992382</v>
      </c>
      <c r="G120" s="157">
        <f t="shared" si="45"/>
        <v>0</v>
      </c>
      <c r="H120" s="157">
        <f t="shared" si="45"/>
        <v>0</v>
      </c>
      <c r="I120" s="157">
        <f t="shared" si="45"/>
        <v>-17486.468920992382</v>
      </c>
      <c r="J120" s="128"/>
      <c r="K120" s="157">
        <f t="shared" ref="K120:Q120" si="46">SUM(K118:K119)</f>
        <v>0</v>
      </c>
      <c r="L120" s="157">
        <f t="shared" si="46"/>
        <v>0</v>
      </c>
      <c r="M120" s="157"/>
      <c r="N120" s="157">
        <f t="shared" si="46"/>
        <v>0</v>
      </c>
      <c r="O120" s="157">
        <f t="shared" si="46"/>
        <v>0</v>
      </c>
      <c r="P120" s="157">
        <f t="shared" si="46"/>
        <v>0</v>
      </c>
      <c r="Q120" s="157">
        <f t="shared" si="46"/>
        <v>0</v>
      </c>
      <c r="R120" s="157"/>
      <c r="S120" s="144">
        <f>SUM(K120:Q120)</f>
        <v>0</v>
      </c>
      <c r="T120" s="144"/>
      <c r="U120" s="142">
        <f>S120+I120</f>
        <v>-17486.468920992382</v>
      </c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7"/>
      <c r="AM120" s="117"/>
      <c r="AN120" s="117"/>
      <c r="AO120" s="117"/>
      <c r="AP120" s="117"/>
      <c r="AQ120" s="117"/>
      <c r="AR120" s="117"/>
      <c r="AS120" s="117"/>
      <c r="AT120" s="117"/>
      <c r="AU120" s="117"/>
      <c r="AV120" s="117"/>
      <c r="AW120" s="117"/>
      <c r="AX120" s="117"/>
      <c r="AY120" s="117"/>
      <c r="AZ120" s="117"/>
      <c r="BA120" s="117"/>
      <c r="BB120" s="117"/>
      <c r="BC120" s="117"/>
      <c r="BD120" s="117"/>
      <c r="BE120" s="117"/>
      <c r="BF120" s="117"/>
      <c r="BG120" s="117"/>
      <c r="BH120" s="117"/>
      <c r="BI120" s="117"/>
      <c r="BJ120" s="117"/>
      <c r="BK120" s="117"/>
      <c r="BL120" s="117"/>
      <c r="BM120" s="117"/>
      <c r="BN120" s="117"/>
      <c r="BO120" s="117"/>
      <c r="BP120" s="117"/>
      <c r="BQ120" s="117"/>
      <c r="BR120" s="117"/>
      <c r="BS120" s="117"/>
      <c r="BT120" s="117"/>
      <c r="BU120" s="117"/>
      <c r="BV120" s="117"/>
      <c r="BW120" s="117"/>
      <c r="BX120" s="117"/>
      <c r="BY120" s="117"/>
      <c r="BZ120" s="117"/>
      <c r="CA120" s="117"/>
      <c r="CB120" s="117"/>
      <c r="CC120" s="117"/>
      <c r="CD120" s="117"/>
      <c r="CE120" s="117"/>
      <c r="CF120" s="117"/>
      <c r="CG120" s="117"/>
      <c r="CH120" s="117"/>
      <c r="CI120" s="117"/>
      <c r="CJ120" s="117"/>
      <c r="CK120" s="117"/>
      <c r="CL120" s="117"/>
      <c r="CM120" s="117"/>
      <c r="CN120" s="117"/>
      <c r="CO120" s="117"/>
      <c r="CP120" s="117"/>
      <c r="CQ120" s="117"/>
      <c r="CR120" s="117"/>
      <c r="CS120" s="117"/>
      <c r="CT120" s="117"/>
      <c r="CU120" s="117"/>
      <c r="CV120" s="117"/>
      <c r="CW120" s="117"/>
      <c r="CX120" s="117"/>
      <c r="CY120" s="117"/>
      <c r="CZ120" s="117"/>
      <c r="DA120" s="117"/>
      <c r="DB120" s="117"/>
      <c r="DC120" s="117"/>
      <c r="DD120" s="117"/>
      <c r="DE120" s="117"/>
      <c r="DF120" s="117"/>
      <c r="DG120" s="117"/>
      <c r="DH120" s="117"/>
      <c r="DI120" s="117"/>
      <c r="DJ120" s="117"/>
      <c r="DK120" s="117"/>
      <c r="DL120" s="117"/>
      <c r="DM120" s="117"/>
      <c r="DN120" s="117"/>
      <c r="DO120" s="117"/>
      <c r="DP120" s="117"/>
      <c r="DQ120" s="117"/>
      <c r="DR120" s="117"/>
      <c r="DS120" s="117"/>
      <c r="DT120" s="117"/>
      <c r="DU120" s="117"/>
      <c r="DV120" s="117"/>
      <c r="DW120" s="117"/>
      <c r="DX120" s="117"/>
      <c r="DY120" s="117"/>
      <c r="DZ120" s="117"/>
      <c r="EA120" s="117"/>
      <c r="EB120" s="117"/>
      <c r="EC120" s="117"/>
      <c r="ED120" s="117"/>
      <c r="EE120" s="117"/>
      <c r="EF120" s="117"/>
      <c r="EG120" s="117"/>
      <c r="EH120" s="117"/>
      <c r="EI120" s="117"/>
      <c r="EJ120" s="117"/>
      <c r="EK120" s="117"/>
    </row>
    <row r="121" spans="1:141" s="129" customFormat="1" x14ac:dyDescent="0.2">
      <c r="B121" s="242"/>
      <c r="C121" s="143"/>
      <c r="D121" s="157"/>
      <c r="E121" s="157"/>
      <c r="F121" s="157"/>
      <c r="G121" s="157"/>
      <c r="H121" s="157"/>
      <c r="I121" s="157"/>
      <c r="J121" s="128"/>
      <c r="K121" s="157"/>
      <c r="L121" s="157"/>
      <c r="M121" s="157"/>
      <c r="N121" s="157"/>
      <c r="O121" s="157"/>
      <c r="P121" s="157"/>
      <c r="Q121" s="157"/>
      <c r="R121" s="157"/>
      <c r="S121" s="117"/>
      <c r="T121" s="117"/>
      <c r="U121" s="142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17"/>
      <c r="AO121" s="117"/>
      <c r="AP121" s="117"/>
      <c r="AQ121" s="117"/>
      <c r="AR121" s="117"/>
      <c r="AS121" s="117"/>
      <c r="AT121" s="117"/>
      <c r="AU121" s="117"/>
      <c r="AV121" s="117"/>
      <c r="AW121" s="117"/>
      <c r="AX121" s="117"/>
      <c r="AY121" s="117"/>
      <c r="AZ121" s="117"/>
      <c r="BA121" s="117"/>
      <c r="BB121" s="117"/>
      <c r="BC121" s="117"/>
      <c r="BD121" s="117"/>
      <c r="BE121" s="117"/>
      <c r="BF121" s="117"/>
      <c r="BG121" s="117"/>
      <c r="BH121" s="117"/>
      <c r="BI121" s="117"/>
      <c r="BJ121" s="117"/>
      <c r="BK121" s="117"/>
      <c r="BL121" s="117"/>
      <c r="BM121" s="117"/>
      <c r="BN121" s="117"/>
      <c r="BO121" s="117"/>
      <c r="BP121" s="117"/>
      <c r="BQ121" s="117"/>
      <c r="BR121" s="117"/>
      <c r="BS121" s="117"/>
      <c r="BT121" s="117"/>
      <c r="BU121" s="117"/>
      <c r="BV121" s="117"/>
      <c r="BW121" s="117"/>
      <c r="BX121" s="117"/>
      <c r="BY121" s="117"/>
      <c r="BZ121" s="117"/>
      <c r="CA121" s="117"/>
      <c r="CB121" s="117"/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  <c r="DL121" s="117"/>
      <c r="DM121" s="117"/>
      <c r="DN121" s="117"/>
      <c r="DO121" s="117"/>
      <c r="DP121" s="117"/>
      <c r="DQ121" s="117"/>
      <c r="DR121" s="117"/>
      <c r="DS121" s="117"/>
      <c r="DT121" s="117"/>
      <c r="DU121" s="117"/>
      <c r="DV121" s="117"/>
      <c r="DW121" s="117"/>
      <c r="DX121" s="117"/>
      <c r="DY121" s="117"/>
      <c r="DZ121" s="117"/>
      <c r="EA121" s="117"/>
      <c r="EB121" s="117"/>
      <c r="EC121" s="117"/>
      <c r="ED121" s="117"/>
      <c r="EE121" s="117"/>
      <c r="EF121" s="117"/>
      <c r="EG121" s="117"/>
      <c r="EH121" s="117"/>
      <c r="EI121" s="117"/>
      <c r="EJ121" s="117"/>
      <c r="EK121" s="117"/>
    </row>
    <row r="122" spans="1:141" s="129" customFormat="1" x14ac:dyDescent="0.2">
      <c r="A122" s="141">
        <v>6</v>
      </c>
      <c r="B122" s="146" t="s">
        <v>110</v>
      </c>
      <c r="C122" s="125" t="s">
        <v>17</v>
      </c>
      <c r="D122" s="122"/>
      <c r="E122" s="122"/>
      <c r="F122" s="122"/>
      <c r="G122" s="122"/>
      <c r="H122" s="122"/>
      <c r="I122" s="142">
        <f>SUM(D122:H122)</f>
        <v>0</v>
      </c>
      <c r="J122" s="142"/>
      <c r="K122" s="122"/>
      <c r="L122" s="122"/>
      <c r="M122" s="122"/>
      <c r="N122" s="122"/>
      <c r="O122" s="122"/>
      <c r="P122" s="122"/>
      <c r="Q122" s="122"/>
      <c r="R122" s="122"/>
      <c r="S122" s="142">
        <f>SUM(K122:Q122)</f>
        <v>0</v>
      </c>
      <c r="T122" s="142"/>
      <c r="U122" s="142">
        <f>S122+I122</f>
        <v>0</v>
      </c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7"/>
      <c r="AM122" s="117"/>
      <c r="AN122" s="117"/>
      <c r="AO122" s="117"/>
      <c r="AP122" s="117"/>
      <c r="AQ122" s="117"/>
      <c r="AR122" s="117"/>
      <c r="AS122" s="117"/>
      <c r="AT122" s="117"/>
      <c r="AU122" s="117"/>
      <c r="AV122" s="117"/>
      <c r="AW122" s="117"/>
      <c r="AX122" s="117"/>
      <c r="AY122" s="117"/>
      <c r="AZ122" s="117"/>
      <c r="BA122" s="117"/>
      <c r="BB122" s="117"/>
      <c r="BC122" s="117"/>
      <c r="BD122" s="117"/>
      <c r="BE122" s="117"/>
      <c r="BF122" s="117"/>
      <c r="BG122" s="117"/>
      <c r="BH122" s="117"/>
      <c r="BI122" s="117"/>
      <c r="BJ122" s="117"/>
      <c r="BK122" s="117"/>
      <c r="BL122" s="117"/>
      <c r="BM122" s="117"/>
      <c r="BN122" s="117"/>
      <c r="BO122" s="117"/>
      <c r="BP122" s="117"/>
      <c r="BQ122" s="117"/>
      <c r="BR122" s="117"/>
      <c r="BS122" s="117"/>
      <c r="BT122" s="117"/>
      <c r="BU122" s="117"/>
      <c r="BV122" s="117"/>
      <c r="BW122" s="117"/>
      <c r="BX122" s="117"/>
      <c r="BY122" s="117"/>
      <c r="BZ122" s="117"/>
      <c r="CA122" s="117"/>
      <c r="CB122" s="117"/>
      <c r="CC122" s="117"/>
      <c r="CD122" s="117"/>
      <c r="CE122" s="117"/>
      <c r="CF122" s="117"/>
      <c r="CG122" s="117"/>
      <c r="CH122" s="117"/>
      <c r="CI122" s="117"/>
      <c r="CJ122" s="117"/>
      <c r="CK122" s="117"/>
      <c r="CL122" s="117"/>
      <c r="CM122" s="117"/>
      <c r="CN122" s="117"/>
      <c r="CO122" s="117"/>
      <c r="CP122" s="117"/>
      <c r="CQ122" s="117"/>
      <c r="CR122" s="117"/>
      <c r="CS122" s="117"/>
      <c r="CT122" s="117"/>
      <c r="CU122" s="117"/>
      <c r="CV122" s="117"/>
      <c r="CW122" s="117"/>
      <c r="CX122" s="117"/>
      <c r="CY122" s="117"/>
      <c r="CZ122" s="117"/>
      <c r="DA122" s="117"/>
      <c r="DB122" s="117"/>
      <c r="DC122" s="117"/>
      <c r="DD122" s="117"/>
      <c r="DE122" s="117"/>
      <c r="DF122" s="117"/>
      <c r="DG122" s="117"/>
      <c r="DH122" s="117"/>
      <c r="DI122" s="117"/>
      <c r="DJ122" s="117"/>
      <c r="DK122" s="117"/>
      <c r="DL122" s="117"/>
      <c r="DM122" s="117"/>
      <c r="DN122" s="117"/>
      <c r="DO122" s="117"/>
      <c r="DP122" s="117"/>
      <c r="DQ122" s="117"/>
      <c r="DR122" s="117"/>
      <c r="DS122" s="117"/>
      <c r="DT122" s="117"/>
      <c r="DU122" s="117"/>
      <c r="DV122" s="117"/>
      <c r="DW122" s="117"/>
      <c r="DX122" s="117"/>
      <c r="DY122" s="117"/>
      <c r="DZ122" s="117"/>
      <c r="EA122" s="117"/>
      <c r="EB122" s="117"/>
      <c r="EC122" s="117"/>
      <c r="ED122" s="117"/>
      <c r="EE122" s="117"/>
      <c r="EF122" s="117"/>
      <c r="EG122" s="117"/>
      <c r="EH122" s="117"/>
      <c r="EI122" s="117"/>
      <c r="EJ122" s="117"/>
      <c r="EK122" s="117"/>
    </row>
    <row r="123" spans="1:141" s="129" customFormat="1" x14ac:dyDescent="0.2">
      <c r="A123" s="141">
        <v>7</v>
      </c>
      <c r="B123" s="146" t="s">
        <v>111</v>
      </c>
      <c r="C123" s="125" t="s">
        <v>17</v>
      </c>
      <c r="D123" s="123"/>
      <c r="E123" s="123"/>
      <c r="F123" s="123"/>
      <c r="G123" s="123"/>
      <c r="H123" s="123"/>
      <c r="I123" s="123">
        <f>SUM(D123:H123)</f>
        <v>0</v>
      </c>
      <c r="J123" s="142"/>
      <c r="K123" s="123"/>
      <c r="L123" s="123"/>
      <c r="M123" s="123"/>
      <c r="N123" s="123"/>
      <c r="O123" s="123"/>
      <c r="P123" s="123"/>
      <c r="Q123" s="123"/>
      <c r="R123" s="123"/>
      <c r="S123" s="123">
        <f>SUM(K123:Q123)</f>
        <v>0</v>
      </c>
      <c r="T123" s="142"/>
      <c r="U123" s="123">
        <f>S123+I123</f>
        <v>0</v>
      </c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7"/>
      <c r="AL123" s="117"/>
      <c r="AM123" s="117"/>
      <c r="AN123" s="117"/>
      <c r="AO123" s="117"/>
      <c r="AP123" s="117"/>
      <c r="AQ123" s="117"/>
      <c r="AR123" s="117"/>
      <c r="AS123" s="117"/>
      <c r="AT123" s="117"/>
      <c r="AU123" s="117"/>
      <c r="AV123" s="117"/>
      <c r="AW123" s="117"/>
      <c r="AX123" s="117"/>
      <c r="AY123" s="117"/>
      <c r="AZ123" s="117"/>
      <c r="BA123" s="117"/>
      <c r="BB123" s="117"/>
      <c r="BC123" s="117"/>
      <c r="BD123" s="117"/>
      <c r="BE123" s="117"/>
      <c r="BF123" s="117"/>
      <c r="BG123" s="117"/>
      <c r="BH123" s="117"/>
      <c r="BI123" s="117"/>
      <c r="BJ123" s="117"/>
      <c r="BK123" s="117"/>
      <c r="BL123" s="117"/>
      <c r="BM123" s="117"/>
      <c r="BN123" s="117"/>
      <c r="BO123" s="117"/>
      <c r="BP123" s="117"/>
      <c r="BQ123" s="117"/>
      <c r="BR123" s="117"/>
      <c r="BS123" s="117"/>
      <c r="BT123" s="117"/>
      <c r="BU123" s="117"/>
      <c r="BV123" s="117"/>
      <c r="BW123" s="117"/>
      <c r="BX123" s="117"/>
      <c r="BY123" s="117"/>
      <c r="BZ123" s="117"/>
      <c r="CA123" s="117"/>
      <c r="CB123" s="117"/>
      <c r="CC123" s="117"/>
      <c r="CD123" s="117"/>
      <c r="CE123" s="117"/>
      <c r="CF123" s="117"/>
      <c r="CG123" s="117"/>
      <c r="CH123" s="117"/>
      <c r="CI123" s="117"/>
      <c r="CJ123" s="117"/>
      <c r="CK123" s="117"/>
      <c r="CL123" s="117"/>
      <c r="CM123" s="117"/>
      <c r="CN123" s="117"/>
      <c r="CO123" s="117"/>
      <c r="CP123" s="117"/>
      <c r="CQ123" s="117"/>
      <c r="CR123" s="117"/>
      <c r="CS123" s="117"/>
      <c r="CT123" s="117"/>
      <c r="CU123" s="117"/>
      <c r="CV123" s="117"/>
      <c r="CW123" s="117"/>
      <c r="CX123" s="117"/>
      <c r="CY123" s="117"/>
      <c r="CZ123" s="117"/>
      <c r="DA123" s="117"/>
      <c r="DB123" s="117"/>
      <c r="DC123" s="117"/>
      <c r="DD123" s="117"/>
      <c r="DE123" s="117"/>
      <c r="DF123" s="117"/>
      <c r="DG123" s="117"/>
      <c r="DH123" s="117"/>
      <c r="DI123" s="117"/>
      <c r="DJ123" s="117"/>
      <c r="DK123" s="117"/>
      <c r="DL123" s="117"/>
      <c r="DM123" s="117"/>
      <c r="DN123" s="117"/>
      <c r="DO123" s="117"/>
      <c r="DP123" s="117"/>
      <c r="DQ123" s="117"/>
      <c r="DR123" s="117"/>
      <c r="DS123" s="117"/>
      <c r="DT123" s="117"/>
      <c r="DU123" s="117"/>
      <c r="DV123" s="117"/>
      <c r="DW123" s="117"/>
      <c r="DX123" s="117"/>
      <c r="DY123" s="117"/>
      <c r="DZ123" s="117"/>
      <c r="EA123" s="117"/>
      <c r="EB123" s="117"/>
      <c r="EC123" s="117"/>
      <c r="ED123" s="117"/>
      <c r="EE123" s="117"/>
      <c r="EF123" s="117"/>
      <c r="EG123" s="117"/>
      <c r="EH123" s="117"/>
      <c r="EI123" s="117"/>
      <c r="EJ123" s="117"/>
      <c r="EK123" s="117"/>
    </row>
    <row r="124" spans="1:141" s="129" customFormat="1" x14ac:dyDescent="0.2">
      <c r="A124" s="141">
        <v>8</v>
      </c>
      <c r="B124" s="129" t="s">
        <v>31</v>
      </c>
      <c r="C124" s="125"/>
      <c r="D124" s="122">
        <f t="shared" ref="D124:I124" si="47">SUM(D122:D123)</f>
        <v>0</v>
      </c>
      <c r="E124" s="122">
        <f t="shared" si="47"/>
        <v>0</v>
      </c>
      <c r="F124" s="122">
        <f t="shared" si="47"/>
        <v>0</v>
      </c>
      <c r="G124" s="122">
        <f t="shared" si="47"/>
        <v>0</v>
      </c>
      <c r="H124" s="122">
        <f t="shared" si="47"/>
        <v>0</v>
      </c>
      <c r="I124" s="122">
        <f t="shared" si="47"/>
        <v>0</v>
      </c>
      <c r="J124" s="142"/>
      <c r="K124" s="122">
        <f t="shared" ref="K124:Q124" si="48">SUM(K122:K123)</f>
        <v>0</v>
      </c>
      <c r="L124" s="122">
        <f t="shared" si="48"/>
        <v>0</v>
      </c>
      <c r="M124" s="122"/>
      <c r="N124" s="122">
        <f t="shared" si="48"/>
        <v>0</v>
      </c>
      <c r="O124" s="122">
        <f t="shared" si="48"/>
        <v>0</v>
      </c>
      <c r="P124" s="122">
        <f t="shared" si="48"/>
        <v>0</v>
      </c>
      <c r="Q124" s="122">
        <f t="shared" si="48"/>
        <v>0</v>
      </c>
      <c r="R124" s="122"/>
      <c r="S124" s="144">
        <f>SUM(K124:Q124)</f>
        <v>0</v>
      </c>
      <c r="T124" s="144"/>
      <c r="U124" s="142">
        <f>S124+I124</f>
        <v>0</v>
      </c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17"/>
      <c r="AO124" s="117"/>
      <c r="AP124" s="117"/>
      <c r="AQ124" s="117"/>
      <c r="AR124" s="117"/>
      <c r="AS124" s="117"/>
      <c r="AT124" s="117"/>
      <c r="AU124" s="117"/>
      <c r="AV124" s="117"/>
      <c r="AW124" s="117"/>
      <c r="AX124" s="117"/>
      <c r="AY124" s="117"/>
      <c r="AZ124" s="117"/>
      <c r="BA124" s="117"/>
      <c r="BB124" s="117"/>
      <c r="BC124" s="117"/>
      <c r="BD124" s="117"/>
      <c r="BE124" s="117"/>
      <c r="BF124" s="117"/>
      <c r="BG124" s="117"/>
      <c r="BH124" s="117"/>
      <c r="BI124" s="117"/>
      <c r="BJ124" s="117"/>
      <c r="BK124" s="117"/>
      <c r="BL124" s="117"/>
      <c r="BM124" s="117"/>
      <c r="BN124" s="117"/>
      <c r="BO124" s="117"/>
      <c r="BP124" s="117"/>
      <c r="BQ124" s="117"/>
      <c r="BR124" s="117"/>
      <c r="BS124" s="117"/>
      <c r="BT124" s="117"/>
      <c r="BU124" s="117"/>
      <c r="BV124" s="117"/>
      <c r="BW124" s="117"/>
      <c r="BX124" s="117"/>
      <c r="BY124" s="117"/>
      <c r="BZ124" s="117"/>
      <c r="CA124" s="117"/>
      <c r="CB124" s="117"/>
      <c r="CC124" s="117"/>
      <c r="CD124" s="117"/>
      <c r="CE124" s="117"/>
      <c r="CF124" s="117"/>
      <c r="CG124" s="117"/>
      <c r="CH124" s="117"/>
      <c r="CI124" s="117"/>
      <c r="CJ124" s="117"/>
      <c r="CK124" s="117"/>
      <c r="CL124" s="117"/>
      <c r="CM124" s="117"/>
      <c r="CN124" s="117"/>
      <c r="CO124" s="117"/>
      <c r="CP124" s="117"/>
      <c r="CQ124" s="117"/>
      <c r="CR124" s="117"/>
      <c r="CS124" s="117"/>
      <c r="CT124" s="117"/>
      <c r="CU124" s="117"/>
      <c r="CV124" s="117"/>
      <c r="CW124" s="117"/>
      <c r="CX124" s="117"/>
      <c r="CY124" s="117"/>
      <c r="CZ124" s="117"/>
      <c r="DA124" s="117"/>
      <c r="DB124" s="117"/>
      <c r="DC124" s="117"/>
      <c r="DD124" s="117"/>
      <c r="DE124" s="117"/>
      <c r="DF124" s="117"/>
      <c r="DG124" s="117"/>
      <c r="DH124" s="117"/>
      <c r="DI124" s="117"/>
      <c r="DJ124" s="117"/>
      <c r="DK124" s="117"/>
      <c r="DL124" s="117"/>
      <c r="DM124" s="117"/>
      <c r="DN124" s="117"/>
      <c r="DO124" s="117"/>
      <c r="DP124" s="117"/>
      <c r="DQ124" s="117"/>
      <c r="DR124" s="117"/>
      <c r="DS124" s="117"/>
      <c r="DT124" s="117"/>
      <c r="DU124" s="117"/>
      <c r="DV124" s="117"/>
      <c r="DW124" s="117"/>
      <c r="DX124" s="117"/>
      <c r="DY124" s="117"/>
      <c r="DZ124" s="117"/>
      <c r="EA124" s="117"/>
      <c r="EB124" s="117"/>
      <c r="EC124" s="117"/>
      <c r="ED124" s="117"/>
      <c r="EE124" s="117"/>
      <c r="EF124" s="117"/>
      <c r="EG124" s="117"/>
      <c r="EH124" s="117"/>
      <c r="EI124" s="117"/>
      <c r="EJ124" s="117"/>
      <c r="EK124" s="117"/>
    </row>
    <row r="125" spans="1:141" s="129" customFormat="1" x14ac:dyDescent="0.2">
      <c r="A125" s="141"/>
      <c r="C125" s="125"/>
      <c r="D125" s="122"/>
      <c r="E125" s="122"/>
      <c r="F125" s="122"/>
      <c r="G125" s="122"/>
      <c r="H125" s="122"/>
      <c r="I125" s="122"/>
      <c r="J125" s="142"/>
      <c r="K125" s="122"/>
      <c r="L125" s="122"/>
      <c r="M125" s="122"/>
      <c r="N125" s="122"/>
      <c r="O125" s="122"/>
      <c r="P125" s="122"/>
      <c r="Q125" s="122"/>
      <c r="R125" s="122"/>
      <c r="S125" s="117"/>
      <c r="T125" s="117"/>
      <c r="U125" s="142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  <c r="AI125" s="117"/>
      <c r="AJ125" s="117"/>
      <c r="AK125" s="117"/>
      <c r="AL125" s="117"/>
      <c r="AM125" s="117"/>
      <c r="AN125" s="117"/>
      <c r="AO125" s="117"/>
      <c r="AP125" s="117"/>
      <c r="AQ125" s="117"/>
      <c r="AR125" s="117"/>
      <c r="AS125" s="117"/>
      <c r="AT125" s="117"/>
      <c r="AU125" s="117"/>
      <c r="AV125" s="117"/>
      <c r="AW125" s="117"/>
      <c r="AX125" s="117"/>
      <c r="AY125" s="117"/>
      <c r="AZ125" s="117"/>
      <c r="BA125" s="117"/>
      <c r="BB125" s="117"/>
      <c r="BC125" s="117"/>
      <c r="BD125" s="117"/>
      <c r="BE125" s="117"/>
      <c r="BF125" s="117"/>
      <c r="BG125" s="117"/>
      <c r="BH125" s="117"/>
      <c r="BI125" s="117"/>
      <c r="BJ125" s="117"/>
      <c r="BK125" s="117"/>
      <c r="BL125" s="117"/>
      <c r="BM125" s="117"/>
      <c r="BN125" s="117"/>
      <c r="BO125" s="117"/>
      <c r="BP125" s="117"/>
      <c r="BQ125" s="117"/>
      <c r="BR125" s="117"/>
      <c r="BS125" s="117"/>
      <c r="BT125" s="117"/>
      <c r="BU125" s="117"/>
      <c r="BV125" s="117"/>
      <c r="BW125" s="117"/>
      <c r="BX125" s="117"/>
      <c r="BY125" s="117"/>
      <c r="BZ125" s="117"/>
      <c r="CA125" s="117"/>
      <c r="CB125" s="117"/>
      <c r="CC125" s="117"/>
      <c r="CD125" s="117"/>
      <c r="CE125" s="117"/>
      <c r="CF125" s="117"/>
      <c r="CG125" s="117"/>
      <c r="CH125" s="117"/>
      <c r="CI125" s="117"/>
      <c r="CJ125" s="117"/>
      <c r="CK125" s="117"/>
      <c r="CL125" s="117"/>
      <c r="CM125" s="117"/>
      <c r="CN125" s="117"/>
      <c r="CO125" s="117"/>
      <c r="CP125" s="117"/>
      <c r="CQ125" s="117"/>
      <c r="CR125" s="117"/>
      <c r="CS125" s="117"/>
      <c r="CT125" s="117"/>
      <c r="CU125" s="117"/>
      <c r="CV125" s="117"/>
      <c r="CW125" s="117"/>
      <c r="CX125" s="117"/>
      <c r="CY125" s="117"/>
      <c r="CZ125" s="117"/>
      <c r="DA125" s="117"/>
      <c r="DB125" s="117"/>
      <c r="DC125" s="117"/>
      <c r="DD125" s="117"/>
      <c r="DE125" s="117"/>
      <c r="DF125" s="117"/>
      <c r="DG125" s="117"/>
      <c r="DH125" s="117"/>
      <c r="DI125" s="117"/>
      <c r="DJ125" s="117"/>
      <c r="DK125" s="117"/>
      <c r="DL125" s="117"/>
      <c r="DM125" s="117"/>
      <c r="DN125" s="117"/>
      <c r="DO125" s="117"/>
      <c r="DP125" s="117"/>
      <c r="DQ125" s="117"/>
      <c r="DR125" s="117"/>
      <c r="DS125" s="117"/>
      <c r="DT125" s="117"/>
      <c r="DU125" s="117"/>
      <c r="DV125" s="117"/>
      <c r="DW125" s="117"/>
      <c r="DX125" s="117"/>
      <c r="DY125" s="117"/>
      <c r="DZ125" s="117"/>
      <c r="EA125" s="117"/>
      <c r="EB125" s="117"/>
      <c r="EC125" s="117"/>
      <c r="ED125" s="117"/>
      <c r="EE125" s="117"/>
      <c r="EF125" s="117"/>
      <c r="EG125" s="117"/>
      <c r="EH125" s="117"/>
      <c r="EI125" s="117"/>
      <c r="EJ125" s="117"/>
      <c r="EK125" s="117"/>
    </row>
    <row r="126" spans="1:141" s="129" customFormat="1" x14ac:dyDescent="0.2">
      <c r="A126" s="141">
        <v>9</v>
      </c>
      <c r="B126" s="162" t="s">
        <v>115</v>
      </c>
      <c r="C126" s="125" t="s">
        <v>18</v>
      </c>
      <c r="D126" s="122"/>
      <c r="E126" s="122"/>
      <c r="F126" s="122"/>
      <c r="G126" s="122"/>
      <c r="H126" s="122"/>
      <c r="I126" s="142">
        <f>SUM(D126:H126)</f>
        <v>0</v>
      </c>
      <c r="J126" s="142"/>
      <c r="K126" s="122"/>
      <c r="L126" s="122"/>
      <c r="M126" s="122"/>
      <c r="N126" s="122"/>
      <c r="O126" s="122"/>
      <c r="P126" s="122"/>
      <c r="Q126" s="122"/>
      <c r="R126" s="122"/>
      <c r="S126" s="142">
        <f>SUM(K126:Q126)</f>
        <v>0</v>
      </c>
      <c r="T126" s="142"/>
      <c r="U126" s="142">
        <f>S126+I126</f>
        <v>0</v>
      </c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7"/>
      <c r="AK126" s="117"/>
      <c r="AL126" s="117"/>
      <c r="AM126" s="117"/>
      <c r="AN126" s="117"/>
      <c r="AO126" s="117"/>
      <c r="AP126" s="117"/>
      <c r="AQ126" s="117"/>
      <c r="AR126" s="117"/>
      <c r="AS126" s="117"/>
      <c r="AT126" s="117"/>
      <c r="AU126" s="117"/>
      <c r="AV126" s="117"/>
      <c r="AW126" s="117"/>
      <c r="AX126" s="117"/>
      <c r="AY126" s="117"/>
      <c r="AZ126" s="117"/>
      <c r="BA126" s="117"/>
      <c r="BB126" s="117"/>
      <c r="BC126" s="117"/>
      <c r="BD126" s="117"/>
      <c r="BE126" s="117"/>
      <c r="BF126" s="117"/>
      <c r="BG126" s="117"/>
      <c r="BH126" s="117"/>
      <c r="BI126" s="117"/>
      <c r="BJ126" s="117"/>
      <c r="BK126" s="117"/>
      <c r="BL126" s="117"/>
      <c r="BM126" s="117"/>
      <c r="BN126" s="117"/>
      <c r="BO126" s="117"/>
      <c r="BP126" s="117"/>
      <c r="BQ126" s="117"/>
      <c r="BR126" s="117"/>
      <c r="BS126" s="117"/>
      <c r="BT126" s="117"/>
      <c r="BU126" s="117"/>
      <c r="BV126" s="117"/>
      <c r="BW126" s="117"/>
      <c r="BX126" s="117"/>
      <c r="BY126" s="117"/>
      <c r="BZ126" s="117"/>
      <c r="CA126" s="117"/>
      <c r="CB126" s="117"/>
      <c r="CC126" s="117"/>
      <c r="CD126" s="117"/>
      <c r="CE126" s="117"/>
      <c r="CF126" s="117"/>
      <c r="CG126" s="117"/>
      <c r="CH126" s="117"/>
      <c r="CI126" s="117"/>
      <c r="CJ126" s="117"/>
      <c r="CK126" s="117"/>
      <c r="CL126" s="117"/>
      <c r="CM126" s="117"/>
      <c r="CN126" s="117"/>
      <c r="CO126" s="117"/>
      <c r="CP126" s="117"/>
      <c r="CQ126" s="117"/>
      <c r="CR126" s="117"/>
      <c r="CS126" s="117"/>
      <c r="CT126" s="117"/>
      <c r="CU126" s="117"/>
      <c r="CV126" s="117"/>
      <c r="CW126" s="117"/>
      <c r="CX126" s="117"/>
      <c r="CY126" s="117"/>
      <c r="CZ126" s="117"/>
      <c r="DA126" s="117"/>
      <c r="DB126" s="117"/>
      <c r="DC126" s="117"/>
      <c r="DD126" s="117"/>
      <c r="DE126" s="117"/>
      <c r="DF126" s="117"/>
      <c r="DG126" s="117"/>
      <c r="DH126" s="117"/>
      <c r="DI126" s="117"/>
      <c r="DJ126" s="117"/>
      <c r="DK126" s="117"/>
      <c r="DL126" s="117"/>
      <c r="DM126" s="117"/>
      <c r="DN126" s="117"/>
      <c r="DO126" s="117"/>
      <c r="DP126" s="117"/>
      <c r="DQ126" s="117"/>
      <c r="DR126" s="117"/>
      <c r="DS126" s="117"/>
      <c r="DT126" s="117"/>
      <c r="DU126" s="117"/>
      <c r="DV126" s="117"/>
      <c r="DW126" s="117"/>
      <c r="DX126" s="117"/>
      <c r="DY126" s="117"/>
      <c r="DZ126" s="117"/>
      <c r="EA126" s="117"/>
      <c r="EB126" s="117"/>
      <c r="EC126" s="117"/>
      <c r="ED126" s="117"/>
      <c r="EE126" s="117"/>
      <c r="EF126" s="117"/>
      <c r="EG126" s="117"/>
      <c r="EH126" s="117"/>
      <c r="EI126" s="117"/>
      <c r="EJ126" s="117"/>
      <c r="EK126" s="117"/>
    </row>
    <row r="127" spans="1:141" s="129" customFormat="1" x14ac:dyDescent="0.2">
      <c r="C127" s="143"/>
      <c r="D127" s="157"/>
      <c r="E127" s="157"/>
      <c r="F127" s="157"/>
      <c r="G127" s="157"/>
      <c r="H127" s="157"/>
      <c r="I127" s="142"/>
      <c r="J127" s="128"/>
      <c r="K127" s="157"/>
      <c r="L127" s="157"/>
      <c r="M127" s="157"/>
      <c r="N127" s="157"/>
      <c r="O127" s="157"/>
      <c r="P127" s="157"/>
      <c r="Q127" s="157"/>
      <c r="R127" s="157"/>
      <c r="S127" s="117"/>
      <c r="T127" s="117"/>
      <c r="U127" s="142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7"/>
      <c r="AK127" s="117"/>
      <c r="AL127" s="117"/>
      <c r="AM127" s="117"/>
      <c r="AN127" s="117"/>
      <c r="AO127" s="117"/>
      <c r="AP127" s="117"/>
      <c r="AQ127" s="117"/>
      <c r="AR127" s="117"/>
      <c r="AS127" s="117"/>
      <c r="AT127" s="117"/>
      <c r="AU127" s="117"/>
      <c r="AV127" s="117"/>
      <c r="AW127" s="117"/>
      <c r="AX127" s="117"/>
      <c r="AY127" s="117"/>
      <c r="AZ127" s="117"/>
      <c r="BA127" s="117"/>
      <c r="BB127" s="117"/>
      <c r="BC127" s="117"/>
      <c r="BD127" s="117"/>
      <c r="BE127" s="117"/>
      <c r="BF127" s="117"/>
      <c r="BG127" s="117"/>
      <c r="BH127" s="117"/>
      <c r="BI127" s="117"/>
      <c r="BJ127" s="117"/>
      <c r="BK127" s="117"/>
      <c r="BL127" s="117"/>
      <c r="BM127" s="117"/>
      <c r="BN127" s="117"/>
      <c r="BO127" s="117"/>
      <c r="BP127" s="117"/>
      <c r="BQ127" s="117"/>
      <c r="BR127" s="117"/>
      <c r="BS127" s="117"/>
      <c r="BT127" s="117"/>
      <c r="BU127" s="117"/>
      <c r="BV127" s="117"/>
      <c r="BW127" s="117"/>
      <c r="BX127" s="117"/>
      <c r="BY127" s="117"/>
      <c r="BZ127" s="117"/>
      <c r="CA127" s="117"/>
      <c r="CB127" s="117"/>
      <c r="CC127" s="117"/>
      <c r="CD127" s="117"/>
      <c r="CE127" s="117"/>
      <c r="CF127" s="117"/>
      <c r="CG127" s="117"/>
      <c r="CH127" s="117"/>
      <c r="CI127" s="117"/>
      <c r="CJ127" s="117"/>
      <c r="CK127" s="117"/>
      <c r="CL127" s="117"/>
      <c r="CM127" s="117"/>
      <c r="CN127" s="117"/>
      <c r="CO127" s="117"/>
      <c r="CP127" s="117"/>
      <c r="CQ127" s="117"/>
      <c r="CR127" s="117"/>
      <c r="CS127" s="117"/>
      <c r="CT127" s="117"/>
      <c r="CU127" s="117"/>
      <c r="CV127" s="117"/>
      <c r="CW127" s="117"/>
      <c r="CX127" s="117"/>
      <c r="CY127" s="117"/>
      <c r="CZ127" s="117"/>
      <c r="DA127" s="117"/>
      <c r="DB127" s="117"/>
      <c r="DC127" s="117"/>
      <c r="DD127" s="117"/>
      <c r="DE127" s="117"/>
      <c r="DF127" s="117"/>
      <c r="DG127" s="117"/>
      <c r="DH127" s="117"/>
      <c r="DI127" s="117"/>
      <c r="DJ127" s="117"/>
      <c r="DK127" s="117"/>
      <c r="DL127" s="117"/>
      <c r="DM127" s="117"/>
      <c r="DN127" s="117"/>
      <c r="DO127" s="117"/>
      <c r="DP127" s="117"/>
      <c r="DQ127" s="117"/>
      <c r="DR127" s="117"/>
      <c r="DS127" s="117"/>
      <c r="DT127" s="117"/>
      <c r="DU127" s="117"/>
      <c r="DV127" s="117"/>
      <c r="DW127" s="117"/>
      <c r="DX127" s="117"/>
      <c r="DY127" s="117"/>
      <c r="DZ127" s="117"/>
      <c r="EA127" s="117"/>
      <c r="EB127" s="117"/>
      <c r="EC127" s="117"/>
      <c r="ED127" s="117"/>
      <c r="EE127" s="117"/>
      <c r="EF127" s="117"/>
      <c r="EG127" s="117"/>
      <c r="EH127" s="117"/>
      <c r="EI127" s="117"/>
      <c r="EJ127" s="117"/>
      <c r="EK127" s="117"/>
    </row>
    <row r="128" spans="1:141" s="129" customFormat="1" x14ac:dyDescent="0.2">
      <c r="A128" s="141">
        <v>10</v>
      </c>
      <c r="B128" s="117" t="s">
        <v>33</v>
      </c>
      <c r="C128" s="125" t="s">
        <v>16</v>
      </c>
      <c r="D128" s="122"/>
      <c r="E128" s="122"/>
      <c r="F128" s="122"/>
      <c r="G128" s="122"/>
      <c r="H128" s="122"/>
      <c r="I128" s="142">
        <f>SUM(D128:H128)</f>
        <v>0</v>
      </c>
      <c r="J128" s="142"/>
      <c r="K128" s="122"/>
      <c r="L128" s="122"/>
      <c r="M128" s="122"/>
      <c r="N128" s="122"/>
      <c r="O128" s="122"/>
      <c r="P128" s="122"/>
      <c r="Q128" s="122"/>
      <c r="R128" s="122"/>
      <c r="S128" s="142">
        <f>SUM(K128:Q128)</f>
        <v>0</v>
      </c>
      <c r="T128" s="142"/>
      <c r="U128" s="142">
        <f>S128+I128</f>
        <v>0</v>
      </c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7"/>
      <c r="AK128" s="117"/>
      <c r="AL128" s="117"/>
      <c r="AM128" s="117"/>
      <c r="AN128" s="117"/>
      <c r="AO128" s="117"/>
      <c r="AP128" s="117"/>
      <c r="AQ128" s="117"/>
      <c r="AR128" s="117"/>
      <c r="AS128" s="117"/>
      <c r="AT128" s="117"/>
      <c r="AU128" s="117"/>
      <c r="AV128" s="117"/>
      <c r="AW128" s="117"/>
      <c r="AX128" s="117"/>
      <c r="AY128" s="117"/>
      <c r="AZ128" s="117"/>
      <c r="BA128" s="117"/>
      <c r="BB128" s="117"/>
      <c r="BC128" s="117"/>
      <c r="BD128" s="117"/>
      <c r="BE128" s="117"/>
      <c r="BF128" s="117"/>
      <c r="BG128" s="117"/>
      <c r="BH128" s="117"/>
      <c r="BI128" s="117"/>
      <c r="BJ128" s="117"/>
      <c r="BK128" s="117"/>
      <c r="BL128" s="117"/>
      <c r="BM128" s="117"/>
      <c r="BN128" s="117"/>
      <c r="BO128" s="117"/>
      <c r="BP128" s="117"/>
      <c r="BQ128" s="117"/>
      <c r="BR128" s="117"/>
      <c r="BS128" s="117"/>
      <c r="BT128" s="117"/>
      <c r="BU128" s="117"/>
      <c r="BV128" s="117"/>
      <c r="BW128" s="117"/>
      <c r="BX128" s="117"/>
      <c r="BY128" s="117"/>
      <c r="BZ128" s="117"/>
      <c r="CA128" s="117"/>
      <c r="CB128" s="117"/>
      <c r="CC128" s="117"/>
      <c r="CD128" s="117"/>
      <c r="CE128" s="117"/>
      <c r="CF128" s="117"/>
      <c r="CG128" s="117"/>
      <c r="CH128" s="117"/>
      <c r="CI128" s="117"/>
      <c r="CJ128" s="117"/>
      <c r="CK128" s="117"/>
      <c r="CL128" s="117"/>
      <c r="CM128" s="117"/>
      <c r="CN128" s="117"/>
      <c r="CO128" s="117"/>
      <c r="CP128" s="117"/>
      <c r="CQ128" s="117"/>
      <c r="CR128" s="117"/>
      <c r="CS128" s="117"/>
      <c r="CT128" s="117"/>
      <c r="CU128" s="117"/>
      <c r="CV128" s="117"/>
      <c r="CW128" s="117"/>
      <c r="CX128" s="117"/>
      <c r="CY128" s="117"/>
      <c r="CZ128" s="117"/>
      <c r="DA128" s="117"/>
      <c r="DB128" s="117"/>
      <c r="DC128" s="117"/>
      <c r="DD128" s="117"/>
      <c r="DE128" s="117"/>
      <c r="DF128" s="117"/>
      <c r="DG128" s="117"/>
      <c r="DH128" s="117"/>
      <c r="DI128" s="117"/>
      <c r="DJ128" s="117"/>
      <c r="DK128" s="117"/>
      <c r="DL128" s="117"/>
      <c r="DM128" s="117"/>
      <c r="DN128" s="117"/>
      <c r="DO128" s="117"/>
      <c r="DP128" s="117"/>
      <c r="DQ128" s="117"/>
      <c r="DR128" s="117"/>
      <c r="DS128" s="117"/>
      <c r="DT128" s="117"/>
      <c r="DU128" s="117"/>
      <c r="DV128" s="117"/>
      <c r="DW128" s="117"/>
      <c r="DX128" s="117"/>
      <c r="DY128" s="117"/>
      <c r="DZ128" s="117"/>
      <c r="EA128" s="117"/>
      <c r="EB128" s="117"/>
      <c r="EC128" s="117"/>
      <c r="ED128" s="117"/>
      <c r="EE128" s="117"/>
      <c r="EF128" s="117"/>
      <c r="EG128" s="117"/>
      <c r="EH128" s="117"/>
      <c r="EI128" s="117"/>
      <c r="EJ128" s="117"/>
      <c r="EK128" s="117"/>
    </row>
    <row r="129" spans="1:141" s="129" customFormat="1" x14ac:dyDescent="0.2">
      <c r="A129" s="141"/>
      <c r="C129" s="143"/>
      <c r="D129" s="157"/>
      <c r="E129" s="157"/>
      <c r="F129" s="157"/>
      <c r="G129" s="157"/>
      <c r="H129" s="157"/>
      <c r="I129" s="157"/>
      <c r="J129" s="128"/>
      <c r="K129" s="157"/>
      <c r="L129" s="157"/>
      <c r="M129" s="157"/>
      <c r="N129" s="157"/>
      <c r="O129" s="157"/>
      <c r="P129" s="157"/>
      <c r="Q129" s="157"/>
      <c r="R129" s="157"/>
      <c r="S129" s="117"/>
      <c r="T129" s="117"/>
      <c r="U129" s="142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7"/>
      <c r="AK129" s="117"/>
      <c r="AL129" s="117"/>
      <c r="AM129" s="117"/>
      <c r="AN129" s="117"/>
      <c r="AO129" s="117"/>
      <c r="AP129" s="117"/>
      <c r="AQ129" s="117"/>
      <c r="AR129" s="117"/>
      <c r="AS129" s="117"/>
      <c r="AT129" s="117"/>
      <c r="AU129" s="117"/>
      <c r="AV129" s="117"/>
      <c r="AW129" s="117"/>
      <c r="AX129" s="117"/>
      <c r="AY129" s="117"/>
      <c r="AZ129" s="117"/>
      <c r="BA129" s="117"/>
      <c r="BB129" s="117"/>
      <c r="BC129" s="117"/>
      <c r="BD129" s="117"/>
      <c r="BE129" s="117"/>
      <c r="BF129" s="117"/>
      <c r="BG129" s="117"/>
      <c r="BH129" s="117"/>
      <c r="BI129" s="117"/>
      <c r="BJ129" s="117"/>
      <c r="BK129" s="117"/>
      <c r="BL129" s="117"/>
      <c r="BM129" s="117"/>
      <c r="BN129" s="117"/>
      <c r="BO129" s="117"/>
      <c r="BP129" s="117"/>
      <c r="BQ129" s="117"/>
      <c r="BR129" s="117"/>
      <c r="BS129" s="117"/>
      <c r="BT129" s="117"/>
      <c r="BU129" s="117"/>
      <c r="BV129" s="117"/>
      <c r="BW129" s="117"/>
      <c r="BX129" s="117"/>
      <c r="BY129" s="117"/>
      <c r="BZ129" s="117"/>
      <c r="CA129" s="117"/>
      <c r="CB129" s="117"/>
      <c r="CC129" s="117"/>
      <c r="CD129" s="117"/>
      <c r="CE129" s="117"/>
      <c r="CF129" s="117"/>
      <c r="CG129" s="117"/>
      <c r="CH129" s="117"/>
      <c r="CI129" s="117"/>
      <c r="CJ129" s="117"/>
      <c r="CK129" s="117"/>
      <c r="CL129" s="117"/>
      <c r="CM129" s="117"/>
      <c r="CN129" s="117"/>
      <c r="CO129" s="117"/>
      <c r="CP129" s="117"/>
      <c r="CQ129" s="117"/>
      <c r="CR129" s="117"/>
      <c r="CS129" s="117"/>
      <c r="CT129" s="117"/>
      <c r="CU129" s="117"/>
      <c r="CV129" s="117"/>
      <c r="CW129" s="117"/>
      <c r="CX129" s="117"/>
      <c r="CY129" s="117"/>
      <c r="CZ129" s="117"/>
      <c r="DA129" s="117"/>
      <c r="DB129" s="117"/>
      <c r="DC129" s="117"/>
      <c r="DD129" s="117"/>
      <c r="DE129" s="117"/>
      <c r="DF129" s="117"/>
      <c r="DG129" s="117"/>
      <c r="DH129" s="117"/>
      <c r="DI129" s="117"/>
      <c r="DJ129" s="117"/>
      <c r="DK129" s="117"/>
      <c r="DL129" s="117"/>
      <c r="DM129" s="117"/>
      <c r="DN129" s="117"/>
      <c r="DO129" s="117"/>
      <c r="DP129" s="117"/>
      <c r="DQ129" s="117"/>
      <c r="DR129" s="117"/>
      <c r="DS129" s="117"/>
      <c r="DT129" s="117"/>
      <c r="DU129" s="117"/>
      <c r="DV129" s="117"/>
      <c r="DW129" s="117"/>
      <c r="DX129" s="117"/>
      <c r="DY129" s="117"/>
      <c r="DZ129" s="117"/>
      <c r="EA129" s="117"/>
      <c r="EB129" s="117"/>
      <c r="EC129" s="117"/>
      <c r="ED129" s="117"/>
      <c r="EE129" s="117"/>
      <c r="EF129" s="117"/>
      <c r="EG129" s="117"/>
      <c r="EH129" s="117"/>
      <c r="EI129" s="117"/>
      <c r="EJ129" s="117"/>
      <c r="EK129" s="117"/>
    </row>
    <row r="130" spans="1:141" s="129" customFormat="1" x14ac:dyDescent="0.2">
      <c r="A130" s="141">
        <v>11</v>
      </c>
      <c r="B130" s="183" t="s">
        <v>34</v>
      </c>
      <c r="C130" s="374"/>
      <c r="D130" s="184">
        <f t="shared" ref="D130:I130" si="49">D128+D126+D124+D120+D116+D114</f>
        <v>0</v>
      </c>
      <c r="E130" s="184">
        <f t="shared" si="49"/>
        <v>0</v>
      </c>
      <c r="F130" s="184">
        <f t="shared" si="49"/>
        <v>-2597665.9783848738</v>
      </c>
      <c r="G130" s="184">
        <f t="shared" si="49"/>
        <v>0</v>
      </c>
      <c r="H130" s="184">
        <f t="shared" si="49"/>
        <v>0</v>
      </c>
      <c r="I130" s="184">
        <f t="shared" si="49"/>
        <v>-2597665.9783848738</v>
      </c>
      <c r="J130" s="127"/>
      <c r="K130" s="184">
        <f t="shared" ref="K130:Q130" si="50">K128+K126+K124+K120+K116+K114</f>
        <v>0</v>
      </c>
      <c r="L130" s="184">
        <f t="shared" si="50"/>
        <v>0</v>
      </c>
      <c r="M130" s="184"/>
      <c r="N130" s="184">
        <f t="shared" si="50"/>
        <v>0</v>
      </c>
      <c r="O130" s="184">
        <f t="shared" si="50"/>
        <v>0</v>
      </c>
      <c r="P130" s="184">
        <f t="shared" si="50"/>
        <v>0</v>
      </c>
      <c r="Q130" s="184">
        <f t="shared" si="50"/>
        <v>0</v>
      </c>
      <c r="R130" s="184"/>
      <c r="S130" s="248">
        <f>SUM(K130:Q130)</f>
        <v>0</v>
      </c>
      <c r="T130" s="144"/>
      <c r="U130" s="199">
        <f>S130+I130</f>
        <v>-2597665.9783848738</v>
      </c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  <c r="AJ130" s="117"/>
      <c r="AK130" s="117"/>
      <c r="AL130" s="117"/>
      <c r="AM130" s="117"/>
      <c r="AN130" s="117"/>
      <c r="AO130" s="117"/>
      <c r="AP130" s="117"/>
      <c r="AQ130" s="117"/>
      <c r="AR130" s="117"/>
      <c r="AS130" s="117"/>
      <c r="AT130" s="117"/>
      <c r="AU130" s="117"/>
      <c r="AV130" s="117"/>
      <c r="AW130" s="117"/>
      <c r="AX130" s="117"/>
      <c r="AY130" s="117"/>
      <c r="AZ130" s="117"/>
      <c r="BA130" s="117"/>
      <c r="BB130" s="117"/>
      <c r="BC130" s="117"/>
      <c r="BD130" s="117"/>
      <c r="BE130" s="117"/>
      <c r="BF130" s="117"/>
      <c r="BG130" s="117"/>
      <c r="BH130" s="117"/>
      <c r="BI130" s="117"/>
      <c r="BJ130" s="117"/>
      <c r="BK130" s="117"/>
      <c r="BL130" s="117"/>
      <c r="BM130" s="117"/>
      <c r="BN130" s="117"/>
      <c r="BO130" s="117"/>
      <c r="BP130" s="117"/>
      <c r="BQ130" s="117"/>
      <c r="BR130" s="117"/>
      <c r="BS130" s="117"/>
      <c r="BT130" s="117"/>
      <c r="BU130" s="117"/>
      <c r="BV130" s="117"/>
      <c r="BW130" s="117"/>
      <c r="BX130" s="117"/>
      <c r="BY130" s="117"/>
      <c r="BZ130" s="117"/>
      <c r="CA130" s="117"/>
      <c r="CB130" s="117"/>
      <c r="CC130" s="117"/>
      <c r="CD130" s="117"/>
      <c r="CE130" s="117"/>
      <c r="CF130" s="117"/>
      <c r="CG130" s="117"/>
      <c r="CH130" s="117"/>
      <c r="CI130" s="117"/>
      <c r="CJ130" s="117"/>
      <c r="CK130" s="117"/>
      <c r="CL130" s="117"/>
      <c r="CM130" s="117"/>
      <c r="CN130" s="117"/>
      <c r="CO130" s="117"/>
      <c r="CP130" s="117"/>
      <c r="CQ130" s="117"/>
      <c r="CR130" s="117"/>
      <c r="CS130" s="117"/>
      <c r="CT130" s="117"/>
      <c r="CU130" s="117"/>
      <c r="CV130" s="117"/>
      <c r="CW130" s="117"/>
      <c r="CX130" s="117"/>
      <c r="CY130" s="117"/>
      <c r="CZ130" s="117"/>
      <c r="DA130" s="117"/>
      <c r="DB130" s="117"/>
      <c r="DC130" s="117"/>
      <c r="DD130" s="117"/>
      <c r="DE130" s="117"/>
      <c r="DF130" s="117"/>
      <c r="DG130" s="117"/>
      <c r="DH130" s="117"/>
      <c r="DI130" s="117"/>
      <c r="DJ130" s="117"/>
      <c r="DK130" s="117"/>
      <c r="DL130" s="117"/>
      <c r="DM130" s="117"/>
      <c r="DN130" s="117"/>
      <c r="DO130" s="117"/>
      <c r="DP130" s="117"/>
      <c r="DQ130" s="117"/>
      <c r="DR130" s="117"/>
      <c r="DS130" s="117"/>
      <c r="DT130" s="117"/>
      <c r="DU130" s="117"/>
      <c r="DV130" s="117"/>
      <c r="DW130" s="117"/>
      <c r="DX130" s="117"/>
      <c r="DY130" s="117"/>
      <c r="DZ130" s="117"/>
      <c r="EA130" s="117"/>
      <c r="EB130" s="117"/>
      <c r="EC130" s="117"/>
      <c r="ED130" s="117"/>
      <c r="EE130" s="117"/>
      <c r="EF130" s="117"/>
      <c r="EG130" s="117"/>
      <c r="EH130" s="117"/>
      <c r="EI130" s="117"/>
      <c r="EJ130" s="117"/>
      <c r="EK130" s="117"/>
    </row>
    <row r="131" spans="1:141" s="129" customFormat="1" x14ac:dyDescent="0.2">
      <c r="B131" s="374"/>
      <c r="C131" s="374"/>
      <c r="D131" s="169"/>
      <c r="E131" s="169"/>
      <c r="F131" s="169"/>
      <c r="G131" s="169"/>
      <c r="H131" s="169"/>
      <c r="I131" s="169"/>
      <c r="J131" s="127"/>
      <c r="K131" s="169"/>
      <c r="L131" s="169"/>
      <c r="M131" s="169"/>
      <c r="N131" s="169"/>
      <c r="O131" s="169"/>
      <c r="P131" s="169"/>
      <c r="Q131" s="169"/>
      <c r="R131" s="169"/>
      <c r="S131" s="144"/>
      <c r="T131" s="144"/>
      <c r="U131" s="142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7"/>
      <c r="AK131" s="117"/>
      <c r="AL131" s="117"/>
      <c r="AM131" s="117"/>
      <c r="AN131" s="117"/>
      <c r="AO131" s="117"/>
      <c r="AP131" s="117"/>
      <c r="AQ131" s="117"/>
      <c r="AR131" s="117"/>
      <c r="AS131" s="117"/>
      <c r="AT131" s="117"/>
      <c r="AU131" s="117"/>
      <c r="AV131" s="117"/>
      <c r="AW131" s="117"/>
      <c r="AX131" s="117"/>
      <c r="AY131" s="117"/>
      <c r="AZ131" s="117"/>
      <c r="BA131" s="117"/>
      <c r="BB131" s="117"/>
      <c r="BC131" s="117"/>
      <c r="BD131" s="117"/>
      <c r="BE131" s="117"/>
      <c r="BF131" s="117"/>
      <c r="BG131" s="117"/>
      <c r="BH131" s="117"/>
      <c r="BI131" s="117"/>
      <c r="BJ131" s="117"/>
      <c r="BK131" s="117"/>
      <c r="BL131" s="117"/>
      <c r="BM131" s="117"/>
      <c r="BN131" s="117"/>
      <c r="BO131" s="117"/>
      <c r="BP131" s="117"/>
      <c r="BQ131" s="117"/>
      <c r="BR131" s="117"/>
      <c r="BS131" s="117"/>
      <c r="BT131" s="117"/>
      <c r="BU131" s="117"/>
      <c r="BV131" s="117"/>
      <c r="BW131" s="117"/>
      <c r="BX131" s="117"/>
      <c r="BY131" s="117"/>
      <c r="BZ131" s="117"/>
      <c r="CA131" s="117"/>
      <c r="CB131" s="117"/>
      <c r="CC131" s="117"/>
      <c r="CD131" s="117"/>
      <c r="CE131" s="117"/>
      <c r="CF131" s="117"/>
      <c r="CG131" s="117"/>
      <c r="CH131" s="117"/>
      <c r="CI131" s="117"/>
      <c r="CJ131" s="117"/>
      <c r="CK131" s="117"/>
      <c r="CL131" s="117"/>
      <c r="CM131" s="117"/>
      <c r="CN131" s="117"/>
      <c r="CO131" s="117"/>
      <c r="CP131" s="117"/>
      <c r="CQ131" s="117"/>
      <c r="CR131" s="117"/>
      <c r="CS131" s="117"/>
      <c r="CT131" s="117"/>
      <c r="CU131" s="117"/>
      <c r="CV131" s="117"/>
      <c r="CW131" s="117"/>
      <c r="CX131" s="117"/>
      <c r="CY131" s="117"/>
      <c r="CZ131" s="117"/>
      <c r="DA131" s="117"/>
      <c r="DB131" s="117"/>
      <c r="DC131" s="117"/>
      <c r="DD131" s="117"/>
      <c r="DE131" s="117"/>
      <c r="DF131" s="117"/>
      <c r="DG131" s="117"/>
      <c r="DH131" s="117"/>
      <c r="DI131" s="117"/>
      <c r="DJ131" s="117"/>
      <c r="DK131" s="117"/>
      <c r="DL131" s="117"/>
      <c r="DM131" s="117"/>
      <c r="DN131" s="117"/>
      <c r="DO131" s="117"/>
      <c r="DP131" s="117"/>
      <c r="DQ131" s="117"/>
      <c r="DR131" s="117"/>
      <c r="DS131" s="117"/>
      <c r="DT131" s="117"/>
      <c r="DU131" s="117"/>
      <c r="DV131" s="117"/>
      <c r="DW131" s="117"/>
      <c r="DX131" s="117"/>
      <c r="DY131" s="117"/>
      <c r="DZ131" s="117"/>
      <c r="EA131" s="117"/>
      <c r="EB131" s="117"/>
      <c r="EC131" s="117"/>
      <c r="ED131" s="117"/>
      <c r="EE131" s="117"/>
      <c r="EF131" s="117"/>
      <c r="EG131" s="117"/>
      <c r="EH131" s="117"/>
      <c r="EI131" s="117"/>
      <c r="EJ131" s="117"/>
      <c r="EK131" s="117"/>
    </row>
    <row r="132" spans="1:141" s="129" customFormat="1" x14ac:dyDescent="0.2">
      <c r="A132" s="141">
        <v>12</v>
      </c>
      <c r="B132" s="148" t="s">
        <v>91</v>
      </c>
      <c r="C132" s="125" t="s">
        <v>17</v>
      </c>
      <c r="D132" s="122"/>
      <c r="E132" s="122"/>
      <c r="F132" s="122"/>
      <c r="G132" s="122"/>
      <c r="H132" s="122"/>
      <c r="I132" s="122">
        <f>SUM(D132:H132)</f>
        <v>0</v>
      </c>
      <c r="J132" s="142"/>
      <c r="K132" s="122"/>
      <c r="L132" s="122"/>
      <c r="M132" s="122"/>
      <c r="N132" s="122"/>
      <c r="O132" s="122"/>
      <c r="P132" s="122"/>
      <c r="Q132" s="122"/>
      <c r="R132" s="122"/>
      <c r="S132" s="142">
        <f>SUM(K132:Q132)</f>
        <v>0</v>
      </c>
      <c r="T132" s="142"/>
      <c r="U132" s="142">
        <f>S132+I132</f>
        <v>0</v>
      </c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7"/>
      <c r="AK132" s="117"/>
      <c r="AL132" s="117"/>
      <c r="AM132" s="117"/>
      <c r="AN132" s="117"/>
      <c r="AO132" s="117"/>
      <c r="AP132" s="117"/>
      <c r="AQ132" s="117"/>
      <c r="AR132" s="117"/>
      <c r="AS132" s="117"/>
      <c r="AT132" s="117"/>
      <c r="AU132" s="117"/>
      <c r="AV132" s="117"/>
      <c r="AW132" s="117"/>
      <c r="AX132" s="117"/>
      <c r="AY132" s="117"/>
      <c r="AZ132" s="117"/>
      <c r="BA132" s="117"/>
      <c r="BB132" s="117"/>
      <c r="BC132" s="117"/>
      <c r="BD132" s="117"/>
      <c r="BE132" s="117"/>
      <c r="BF132" s="117"/>
      <c r="BG132" s="117"/>
      <c r="BH132" s="117"/>
      <c r="BI132" s="117"/>
      <c r="BJ132" s="117"/>
      <c r="BK132" s="117"/>
      <c r="BL132" s="117"/>
      <c r="BM132" s="117"/>
      <c r="BN132" s="117"/>
      <c r="BO132" s="117"/>
      <c r="BP132" s="117"/>
      <c r="BQ132" s="117"/>
      <c r="BR132" s="117"/>
      <c r="BS132" s="117"/>
      <c r="BT132" s="117"/>
      <c r="BU132" s="117"/>
      <c r="BV132" s="117"/>
      <c r="BW132" s="117"/>
      <c r="BX132" s="117"/>
      <c r="BY132" s="117"/>
      <c r="BZ132" s="117"/>
      <c r="CA132" s="117"/>
      <c r="CB132" s="117"/>
      <c r="CC132" s="117"/>
      <c r="CD132" s="117"/>
      <c r="CE132" s="117"/>
      <c r="CF132" s="117"/>
      <c r="CG132" s="117"/>
      <c r="CH132" s="117"/>
      <c r="CI132" s="117"/>
      <c r="CJ132" s="117"/>
      <c r="CK132" s="117"/>
      <c r="CL132" s="117"/>
      <c r="CM132" s="117"/>
      <c r="CN132" s="117"/>
      <c r="CO132" s="117"/>
      <c r="CP132" s="117"/>
      <c r="CQ132" s="117"/>
      <c r="CR132" s="117"/>
      <c r="CS132" s="117"/>
      <c r="CT132" s="117"/>
      <c r="CU132" s="117"/>
      <c r="CV132" s="117"/>
      <c r="CW132" s="117"/>
      <c r="CX132" s="117"/>
      <c r="CY132" s="117"/>
      <c r="CZ132" s="117"/>
      <c r="DA132" s="117"/>
      <c r="DB132" s="117"/>
      <c r="DC132" s="117"/>
      <c r="DD132" s="117"/>
      <c r="DE132" s="117"/>
      <c r="DF132" s="117"/>
      <c r="DG132" s="117"/>
      <c r="DH132" s="117"/>
      <c r="DI132" s="117"/>
      <c r="DJ132" s="117"/>
      <c r="DK132" s="117"/>
      <c r="DL132" s="117"/>
      <c r="DM132" s="117"/>
      <c r="DN132" s="117"/>
      <c r="DO132" s="117"/>
      <c r="DP132" s="117"/>
      <c r="DQ132" s="117"/>
      <c r="DR132" s="117"/>
      <c r="DS132" s="117"/>
      <c r="DT132" s="117"/>
      <c r="DU132" s="117"/>
      <c r="DV132" s="117"/>
      <c r="DW132" s="117"/>
      <c r="DX132" s="117"/>
      <c r="DY132" s="117"/>
      <c r="DZ132" s="117"/>
      <c r="EA132" s="117"/>
      <c r="EB132" s="117"/>
      <c r="EC132" s="117"/>
      <c r="ED132" s="117"/>
      <c r="EE132" s="117"/>
      <c r="EF132" s="117"/>
      <c r="EG132" s="117"/>
      <c r="EH132" s="117"/>
      <c r="EI132" s="117"/>
      <c r="EJ132" s="117"/>
      <c r="EK132" s="117"/>
    </row>
    <row r="133" spans="1:141" s="129" customFormat="1" x14ac:dyDescent="0.2">
      <c r="A133" s="141">
        <v>13</v>
      </c>
      <c r="B133" s="148" t="s">
        <v>92</v>
      </c>
      <c r="C133" s="125" t="s">
        <v>18</v>
      </c>
      <c r="D133" s="123"/>
      <c r="E133" s="123"/>
      <c r="F133" s="123"/>
      <c r="G133" s="123"/>
      <c r="H133" s="123"/>
      <c r="I133" s="123">
        <f>SUM(D133:H133)</f>
        <v>0</v>
      </c>
      <c r="J133" s="142"/>
      <c r="K133" s="123"/>
      <c r="L133" s="123"/>
      <c r="M133" s="123"/>
      <c r="N133" s="123"/>
      <c r="O133" s="123"/>
      <c r="P133" s="123"/>
      <c r="Q133" s="123"/>
      <c r="R133" s="123"/>
      <c r="S133" s="249">
        <f>SUM(K133:Q133)</f>
        <v>0</v>
      </c>
      <c r="T133" s="117"/>
      <c r="U133" s="123">
        <f>S133+I133</f>
        <v>0</v>
      </c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17"/>
      <c r="AO133" s="117"/>
      <c r="AP133" s="117"/>
      <c r="AQ133" s="117"/>
      <c r="AR133" s="117"/>
      <c r="AS133" s="117"/>
      <c r="AT133" s="117"/>
      <c r="AU133" s="117"/>
      <c r="AV133" s="117"/>
      <c r="AW133" s="117"/>
      <c r="AX133" s="117"/>
      <c r="AY133" s="117"/>
      <c r="AZ133" s="117"/>
      <c r="BA133" s="117"/>
      <c r="BB133" s="117"/>
      <c r="BC133" s="117"/>
      <c r="BD133" s="117"/>
      <c r="BE133" s="117"/>
      <c r="BF133" s="117"/>
      <c r="BG133" s="117"/>
      <c r="BH133" s="117"/>
      <c r="BI133" s="117"/>
      <c r="BJ133" s="117"/>
      <c r="BK133" s="117"/>
      <c r="BL133" s="117"/>
      <c r="BM133" s="117"/>
      <c r="BN133" s="117"/>
      <c r="BO133" s="117"/>
      <c r="BP133" s="117"/>
      <c r="BQ133" s="117"/>
      <c r="BR133" s="117"/>
      <c r="BS133" s="117"/>
      <c r="BT133" s="117"/>
      <c r="BU133" s="117"/>
      <c r="BV133" s="117"/>
      <c r="BW133" s="117"/>
      <c r="BX133" s="117"/>
      <c r="BY133" s="117"/>
      <c r="BZ133" s="117"/>
      <c r="CA133" s="117"/>
      <c r="CB133" s="117"/>
      <c r="CC133" s="117"/>
      <c r="CD133" s="117"/>
      <c r="CE133" s="117"/>
      <c r="CF133" s="117"/>
      <c r="CG133" s="117"/>
      <c r="CH133" s="117"/>
      <c r="CI133" s="117"/>
      <c r="CJ133" s="117"/>
      <c r="CK133" s="117"/>
      <c r="CL133" s="117"/>
      <c r="CM133" s="117"/>
      <c r="CN133" s="117"/>
      <c r="CO133" s="117"/>
      <c r="CP133" s="117"/>
      <c r="CQ133" s="117"/>
      <c r="CR133" s="117"/>
      <c r="CS133" s="117"/>
      <c r="CT133" s="117"/>
      <c r="CU133" s="117"/>
      <c r="CV133" s="117"/>
      <c r="CW133" s="117"/>
      <c r="CX133" s="117"/>
      <c r="CY133" s="117"/>
      <c r="CZ133" s="117"/>
      <c r="DA133" s="117"/>
      <c r="DB133" s="117"/>
      <c r="DC133" s="117"/>
      <c r="DD133" s="117"/>
      <c r="DE133" s="117"/>
      <c r="DF133" s="117"/>
      <c r="DG133" s="117"/>
      <c r="DH133" s="117"/>
      <c r="DI133" s="117"/>
      <c r="DJ133" s="117"/>
      <c r="DK133" s="117"/>
      <c r="DL133" s="117"/>
      <c r="DM133" s="117"/>
      <c r="DN133" s="117"/>
      <c r="DO133" s="117"/>
      <c r="DP133" s="117"/>
      <c r="DQ133" s="117"/>
      <c r="DR133" s="117"/>
      <c r="DS133" s="117"/>
      <c r="DT133" s="117"/>
      <c r="DU133" s="117"/>
      <c r="DV133" s="117"/>
      <c r="DW133" s="117"/>
      <c r="DX133" s="117"/>
      <c r="DY133" s="117"/>
      <c r="DZ133" s="117"/>
      <c r="EA133" s="117"/>
      <c r="EB133" s="117"/>
      <c r="EC133" s="117"/>
      <c r="ED133" s="117"/>
      <c r="EE133" s="117"/>
      <c r="EF133" s="117"/>
      <c r="EG133" s="117"/>
      <c r="EH133" s="117"/>
      <c r="EI133" s="117"/>
      <c r="EJ133" s="117"/>
      <c r="EK133" s="117"/>
    </row>
    <row r="134" spans="1:141" s="129" customFormat="1" x14ac:dyDescent="0.2">
      <c r="A134" s="141">
        <v>14</v>
      </c>
      <c r="B134" s="183" t="s">
        <v>35</v>
      </c>
      <c r="C134" s="373"/>
      <c r="D134" s="169">
        <f t="shared" ref="D134:I134" si="51">SUM(D132:D133)</f>
        <v>0</v>
      </c>
      <c r="E134" s="169">
        <f t="shared" si="51"/>
        <v>0</v>
      </c>
      <c r="F134" s="169">
        <f t="shared" si="51"/>
        <v>0</v>
      </c>
      <c r="G134" s="169">
        <f t="shared" si="51"/>
        <v>0</v>
      </c>
      <c r="H134" s="169">
        <f t="shared" si="51"/>
        <v>0</v>
      </c>
      <c r="I134" s="169">
        <f t="shared" si="51"/>
        <v>0</v>
      </c>
      <c r="J134" s="127"/>
      <c r="K134" s="169">
        <f t="shared" ref="K134:Q134" si="52">SUM(K132:K133)</f>
        <v>0</v>
      </c>
      <c r="L134" s="169">
        <f t="shared" si="52"/>
        <v>0</v>
      </c>
      <c r="M134" s="169"/>
      <c r="N134" s="169">
        <f t="shared" si="52"/>
        <v>0</v>
      </c>
      <c r="O134" s="169">
        <f t="shared" si="52"/>
        <v>0</v>
      </c>
      <c r="P134" s="169">
        <f t="shared" si="52"/>
        <v>0</v>
      </c>
      <c r="Q134" s="169">
        <f t="shared" si="52"/>
        <v>0</v>
      </c>
      <c r="R134" s="169"/>
      <c r="S134" s="144">
        <f>SUM(K134:Q134)</f>
        <v>0</v>
      </c>
      <c r="T134" s="144"/>
      <c r="U134" s="142">
        <f>S134+I134</f>
        <v>0</v>
      </c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  <c r="AJ134" s="117"/>
      <c r="AK134" s="117"/>
      <c r="AL134" s="117"/>
      <c r="AM134" s="117"/>
      <c r="AN134" s="117"/>
      <c r="AO134" s="117"/>
      <c r="AP134" s="117"/>
      <c r="AQ134" s="117"/>
      <c r="AR134" s="117"/>
      <c r="AS134" s="117"/>
      <c r="AT134" s="117"/>
      <c r="AU134" s="117"/>
      <c r="AV134" s="117"/>
      <c r="AW134" s="117"/>
      <c r="AX134" s="117"/>
      <c r="AY134" s="117"/>
      <c r="AZ134" s="117"/>
      <c r="BA134" s="117"/>
      <c r="BB134" s="117"/>
      <c r="BC134" s="117"/>
      <c r="BD134" s="117"/>
      <c r="BE134" s="117"/>
      <c r="BF134" s="117"/>
      <c r="BG134" s="117"/>
      <c r="BH134" s="117"/>
      <c r="BI134" s="117"/>
      <c r="BJ134" s="117"/>
      <c r="BK134" s="117"/>
      <c r="BL134" s="117"/>
      <c r="BM134" s="117"/>
      <c r="BN134" s="117"/>
      <c r="BO134" s="117"/>
      <c r="BP134" s="117"/>
      <c r="BQ134" s="117"/>
      <c r="BR134" s="117"/>
      <c r="BS134" s="117"/>
      <c r="BT134" s="117"/>
      <c r="BU134" s="117"/>
      <c r="BV134" s="117"/>
      <c r="BW134" s="117"/>
      <c r="BX134" s="117"/>
      <c r="BY134" s="117"/>
      <c r="BZ134" s="117"/>
      <c r="CA134" s="117"/>
      <c r="CB134" s="117"/>
      <c r="CC134" s="117"/>
      <c r="CD134" s="117"/>
      <c r="CE134" s="117"/>
      <c r="CF134" s="117"/>
      <c r="CG134" s="117"/>
      <c r="CH134" s="117"/>
      <c r="CI134" s="117"/>
      <c r="CJ134" s="117"/>
      <c r="CK134" s="117"/>
      <c r="CL134" s="117"/>
      <c r="CM134" s="117"/>
      <c r="CN134" s="117"/>
      <c r="CO134" s="117"/>
      <c r="CP134" s="117"/>
      <c r="CQ134" s="117"/>
      <c r="CR134" s="117"/>
      <c r="CS134" s="117"/>
      <c r="CT134" s="117"/>
      <c r="CU134" s="117"/>
      <c r="CV134" s="117"/>
      <c r="CW134" s="117"/>
      <c r="CX134" s="117"/>
      <c r="CY134" s="117"/>
      <c r="CZ134" s="117"/>
      <c r="DA134" s="117"/>
      <c r="DB134" s="117"/>
      <c r="DC134" s="117"/>
      <c r="DD134" s="117"/>
      <c r="DE134" s="117"/>
      <c r="DF134" s="117"/>
      <c r="DG134" s="117"/>
      <c r="DH134" s="117"/>
      <c r="DI134" s="117"/>
      <c r="DJ134" s="117"/>
      <c r="DK134" s="117"/>
      <c r="DL134" s="117"/>
      <c r="DM134" s="117"/>
      <c r="DN134" s="117"/>
      <c r="DO134" s="117"/>
      <c r="DP134" s="117"/>
      <c r="DQ134" s="117"/>
      <c r="DR134" s="117"/>
      <c r="DS134" s="117"/>
      <c r="DT134" s="117"/>
      <c r="DU134" s="117"/>
      <c r="DV134" s="117"/>
      <c r="DW134" s="117"/>
      <c r="DX134" s="117"/>
      <c r="DY134" s="117"/>
      <c r="DZ134" s="117"/>
      <c r="EA134" s="117"/>
      <c r="EB134" s="117"/>
      <c r="EC134" s="117"/>
      <c r="ED134" s="117"/>
      <c r="EE134" s="117"/>
      <c r="EF134" s="117"/>
      <c r="EG134" s="117"/>
      <c r="EH134" s="117"/>
      <c r="EI134" s="117"/>
      <c r="EJ134" s="117"/>
      <c r="EK134" s="117"/>
    </row>
    <row r="135" spans="1:141" s="129" customFormat="1" x14ac:dyDescent="0.2">
      <c r="A135" s="141"/>
      <c r="C135" s="185"/>
      <c r="D135" s="157"/>
      <c r="E135" s="157"/>
      <c r="F135" s="157"/>
      <c r="G135" s="157"/>
      <c r="H135" s="157"/>
      <c r="I135" s="157"/>
      <c r="J135" s="128"/>
      <c r="K135" s="157"/>
      <c r="L135" s="157"/>
      <c r="M135" s="157"/>
      <c r="N135" s="157"/>
      <c r="O135" s="157"/>
      <c r="P135" s="157"/>
      <c r="Q135" s="157"/>
      <c r="R135" s="157"/>
      <c r="S135" s="117"/>
      <c r="T135" s="117"/>
      <c r="U135" s="142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  <c r="AJ135" s="117"/>
      <c r="AK135" s="117"/>
      <c r="AL135" s="117"/>
      <c r="AM135" s="117"/>
      <c r="AN135" s="117"/>
      <c r="AO135" s="117"/>
      <c r="AP135" s="117"/>
      <c r="AQ135" s="117"/>
      <c r="AR135" s="117"/>
      <c r="AS135" s="117"/>
      <c r="AT135" s="117"/>
      <c r="AU135" s="117"/>
      <c r="AV135" s="117"/>
      <c r="AW135" s="117"/>
      <c r="AX135" s="117"/>
      <c r="AY135" s="117"/>
      <c r="AZ135" s="117"/>
      <c r="BA135" s="117"/>
      <c r="BB135" s="117"/>
      <c r="BC135" s="117"/>
      <c r="BD135" s="117"/>
      <c r="BE135" s="117"/>
      <c r="BF135" s="117"/>
      <c r="BG135" s="117"/>
      <c r="BH135" s="117"/>
      <c r="BI135" s="117"/>
      <c r="BJ135" s="117"/>
      <c r="BK135" s="117"/>
      <c r="BL135" s="117"/>
      <c r="BM135" s="117"/>
      <c r="BN135" s="117"/>
      <c r="BO135" s="117"/>
      <c r="BP135" s="117"/>
      <c r="BQ135" s="117"/>
      <c r="BR135" s="117"/>
      <c r="BS135" s="117"/>
      <c r="BT135" s="117"/>
      <c r="BU135" s="117"/>
      <c r="BV135" s="117"/>
      <c r="BW135" s="117"/>
      <c r="BX135" s="117"/>
      <c r="BY135" s="117"/>
      <c r="BZ135" s="117"/>
      <c r="CA135" s="117"/>
      <c r="CB135" s="117"/>
      <c r="CC135" s="117"/>
      <c r="CD135" s="117"/>
      <c r="CE135" s="117"/>
      <c r="CF135" s="117"/>
      <c r="CG135" s="117"/>
      <c r="CH135" s="117"/>
      <c r="CI135" s="117"/>
      <c r="CJ135" s="117"/>
      <c r="CK135" s="117"/>
      <c r="CL135" s="117"/>
      <c r="CM135" s="117"/>
      <c r="CN135" s="117"/>
      <c r="CO135" s="117"/>
      <c r="CP135" s="117"/>
      <c r="CQ135" s="117"/>
      <c r="CR135" s="117"/>
      <c r="CS135" s="117"/>
      <c r="CT135" s="117"/>
      <c r="CU135" s="117"/>
      <c r="CV135" s="117"/>
      <c r="CW135" s="117"/>
      <c r="CX135" s="117"/>
      <c r="CY135" s="117"/>
      <c r="CZ135" s="117"/>
      <c r="DA135" s="117"/>
      <c r="DB135" s="117"/>
      <c r="DC135" s="117"/>
      <c r="DD135" s="117"/>
      <c r="DE135" s="117"/>
      <c r="DF135" s="117"/>
      <c r="DG135" s="117"/>
      <c r="DH135" s="117"/>
      <c r="DI135" s="117"/>
      <c r="DJ135" s="117"/>
      <c r="DK135" s="117"/>
      <c r="DL135" s="117"/>
      <c r="DM135" s="117"/>
      <c r="DN135" s="117"/>
      <c r="DO135" s="117"/>
      <c r="DP135" s="117"/>
      <c r="DQ135" s="117"/>
      <c r="DR135" s="117"/>
      <c r="DS135" s="117"/>
      <c r="DT135" s="117"/>
      <c r="DU135" s="117"/>
      <c r="DV135" s="117"/>
      <c r="DW135" s="117"/>
      <c r="DX135" s="117"/>
      <c r="DY135" s="117"/>
      <c r="DZ135" s="117"/>
      <c r="EA135" s="117"/>
      <c r="EB135" s="117"/>
      <c r="EC135" s="117"/>
      <c r="ED135" s="117"/>
      <c r="EE135" s="117"/>
      <c r="EF135" s="117"/>
      <c r="EG135" s="117"/>
      <c r="EH135" s="117"/>
      <c r="EI135" s="117"/>
      <c r="EJ135" s="117"/>
      <c r="EK135" s="117"/>
    </row>
    <row r="136" spans="1:141" s="129" customFormat="1" ht="12" thickBot="1" x14ac:dyDescent="0.25">
      <c r="A136" s="141">
        <v>15</v>
      </c>
      <c r="B136" s="243" t="s">
        <v>132</v>
      </c>
      <c r="C136" s="373"/>
      <c r="D136" s="186">
        <f t="shared" ref="D136:I136" si="53">+D134+D130</f>
        <v>0</v>
      </c>
      <c r="E136" s="186">
        <f t="shared" si="53"/>
        <v>0</v>
      </c>
      <c r="F136" s="186">
        <f t="shared" si="53"/>
        <v>-2597665.9783848738</v>
      </c>
      <c r="G136" s="186">
        <f t="shared" si="53"/>
        <v>0</v>
      </c>
      <c r="H136" s="186">
        <f t="shared" si="53"/>
        <v>0</v>
      </c>
      <c r="I136" s="186">
        <f t="shared" si="53"/>
        <v>-2597665.9783848738</v>
      </c>
      <c r="J136" s="182"/>
      <c r="K136" s="186">
        <f t="shared" ref="K136:Q136" si="54">+K134+K130</f>
        <v>0</v>
      </c>
      <c r="L136" s="186">
        <f t="shared" si="54"/>
        <v>0</v>
      </c>
      <c r="M136" s="186"/>
      <c r="N136" s="186">
        <f t="shared" si="54"/>
        <v>0</v>
      </c>
      <c r="O136" s="186">
        <f t="shared" si="54"/>
        <v>0</v>
      </c>
      <c r="P136" s="186">
        <f t="shared" si="54"/>
        <v>0</v>
      </c>
      <c r="Q136" s="186">
        <f t="shared" si="54"/>
        <v>0</v>
      </c>
      <c r="R136" s="186"/>
      <c r="S136" s="201">
        <f>SUM(K136:Q136)</f>
        <v>0</v>
      </c>
      <c r="T136" s="194"/>
      <c r="U136" s="201">
        <f>S136+I136</f>
        <v>-2597665.9783848738</v>
      </c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  <c r="AI136" s="117"/>
      <c r="AJ136" s="117"/>
      <c r="AK136" s="117"/>
      <c r="AL136" s="117"/>
      <c r="AM136" s="117"/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/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/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7"/>
      <c r="CA136" s="117"/>
      <c r="CB136" s="117"/>
      <c r="CC136" s="117"/>
      <c r="CD136" s="117"/>
      <c r="CE136" s="117"/>
      <c r="CF136" s="117"/>
      <c r="CG136" s="117"/>
      <c r="CH136" s="117"/>
      <c r="CI136" s="117"/>
      <c r="CJ136" s="117"/>
      <c r="CK136" s="117"/>
      <c r="CL136" s="117"/>
      <c r="CM136" s="117"/>
      <c r="CN136" s="117"/>
      <c r="CO136" s="117"/>
      <c r="CP136" s="117"/>
      <c r="CQ136" s="117"/>
      <c r="CR136" s="117"/>
      <c r="CS136" s="117"/>
      <c r="CT136" s="117"/>
      <c r="CU136" s="117"/>
      <c r="CV136" s="117"/>
      <c r="CW136" s="117"/>
      <c r="CX136" s="117"/>
      <c r="CY136" s="117"/>
      <c r="CZ136" s="117"/>
      <c r="DA136" s="117"/>
      <c r="DB136" s="117"/>
      <c r="DC136" s="117"/>
      <c r="DD136" s="117"/>
      <c r="DE136" s="117"/>
      <c r="DF136" s="117"/>
      <c r="DG136" s="117"/>
      <c r="DH136" s="117"/>
      <c r="DI136" s="117"/>
      <c r="DJ136" s="117"/>
      <c r="DK136" s="117"/>
      <c r="DL136" s="117"/>
      <c r="DM136" s="117"/>
      <c r="DN136" s="117"/>
      <c r="DO136" s="117"/>
      <c r="DP136" s="117"/>
      <c r="DQ136" s="117"/>
      <c r="DR136" s="117"/>
      <c r="DS136" s="117"/>
      <c r="DT136" s="117"/>
      <c r="DU136" s="117"/>
      <c r="DV136" s="117"/>
      <c r="DW136" s="117"/>
      <c r="DX136" s="117"/>
      <c r="DY136" s="117"/>
      <c r="DZ136" s="117"/>
      <c r="EA136" s="117"/>
      <c r="EB136" s="117"/>
      <c r="EC136" s="117"/>
      <c r="ED136" s="117"/>
      <c r="EE136" s="117"/>
      <c r="EF136" s="117"/>
      <c r="EG136" s="117"/>
      <c r="EH136" s="117"/>
      <c r="EI136" s="117"/>
      <c r="EJ136" s="117"/>
      <c r="EK136" s="117"/>
    </row>
    <row r="137" spans="1:141" s="129" customFormat="1" ht="12" thickTop="1" x14ac:dyDescent="0.2">
      <c r="A137" s="141"/>
      <c r="B137" s="152"/>
      <c r="C137" s="373"/>
      <c r="D137" s="127"/>
      <c r="E137" s="127"/>
      <c r="F137" s="127"/>
      <c r="G137" s="127"/>
      <c r="H137" s="127"/>
      <c r="I137" s="127"/>
      <c r="J137" s="12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7"/>
      <c r="AM137" s="117"/>
      <c r="AN137" s="117"/>
      <c r="AO137" s="117"/>
      <c r="AP137" s="117"/>
      <c r="AQ137" s="117"/>
      <c r="AR137" s="117"/>
      <c r="AS137" s="117"/>
      <c r="AT137" s="117"/>
      <c r="AU137" s="117"/>
      <c r="AV137" s="117"/>
      <c r="AW137" s="117"/>
      <c r="AX137" s="117"/>
      <c r="AY137" s="117"/>
      <c r="AZ137" s="117"/>
      <c r="BA137" s="117"/>
      <c r="BB137" s="117"/>
      <c r="BC137" s="117"/>
      <c r="BD137" s="117"/>
      <c r="BE137" s="117"/>
      <c r="BF137" s="117"/>
      <c r="BG137" s="117"/>
      <c r="BH137" s="117"/>
      <c r="BI137" s="117"/>
      <c r="BJ137" s="117"/>
      <c r="BK137" s="117"/>
      <c r="BL137" s="117"/>
      <c r="BM137" s="117"/>
      <c r="BN137" s="117"/>
      <c r="BO137" s="117"/>
      <c r="BP137" s="117"/>
      <c r="BQ137" s="117"/>
      <c r="BR137" s="117"/>
      <c r="BS137" s="117"/>
      <c r="BT137" s="117"/>
      <c r="BU137" s="117"/>
      <c r="BV137" s="117"/>
      <c r="BW137" s="117"/>
      <c r="BX137" s="117"/>
      <c r="BY137" s="117"/>
      <c r="BZ137" s="117"/>
      <c r="CA137" s="117"/>
      <c r="CB137" s="117"/>
      <c r="CC137" s="117"/>
      <c r="CD137" s="117"/>
      <c r="CE137" s="117"/>
      <c r="CF137" s="117"/>
      <c r="CG137" s="117"/>
      <c r="CH137" s="117"/>
      <c r="CI137" s="117"/>
      <c r="CJ137" s="117"/>
      <c r="CK137" s="117"/>
      <c r="CL137" s="117"/>
      <c r="CM137" s="117"/>
      <c r="CN137" s="117"/>
      <c r="CO137" s="117"/>
      <c r="CP137" s="117"/>
      <c r="CQ137" s="117"/>
      <c r="CR137" s="117"/>
      <c r="CS137" s="117"/>
      <c r="CT137" s="117"/>
      <c r="CU137" s="117"/>
      <c r="CV137" s="117"/>
      <c r="CW137" s="117"/>
      <c r="CX137" s="117"/>
      <c r="CY137" s="117"/>
      <c r="CZ137" s="117"/>
      <c r="DA137" s="117"/>
      <c r="DB137" s="117"/>
      <c r="DC137" s="117"/>
      <c r="DD137" s="117"/>
      <c r="DE137" s="117"/>
      <c r="DF137" s="117"/>
      <c r="DG137" s="117"/>
      <c r="DH137" s="117"/>
      <c r="DI137" s="117"/>
      <c r="DJ137" s="117"/>
      <c r="DK137" s="117"/>
      <c r="DL137" s="117"/>
      <c r="DM137" s="117"/>
      <c r="DN137" s="117"/>
      <c r="DO137" s="117"/>
      <c r="DP137" s="117"/>
      <c r="DQ137" s="117"/>
      <c r="DR137" s="117"/>
      <c r="DS137" s="117"/>
      <c r="DT137" s="117"/>
      <c r="DU137" s="117"/>
      <c r="DV137" s="117"/>
      <c r="DW137" s="117"/>
      <c r="DX137" s="117"/>
      <c r="DY137" s="117"/>
      <c r="DZ137" s="117"/>
      <c r="EA137" s="117"/>
      <c r="EB137" s="117"/>
      <c r="EC137" s="117"/>
      <c r="ED137" s="117"/>
      <c r="EE137" s="117"/>
      <c r="EF137" s="117"/>
      <c r="EG137" s="117"/>
      <c r="EH137" s="117"/>
      <c r="EI137" s="117"/>
      <c r="EJ137" s="117"/>
      <c r="EK137" s="117"/>
    </row>
    <row r="138" spans="1:141" s="129" customFormat="1" x14ac:dyDescent="0.2">
      <c r="A138" s="141"/>
      <c r="B138" s="152"/>
      <c r="C138" s="373"/>
      <c r="D138" s="127"/>
      <c r="E138" s="127"/>
      <c r="F138" s="127"/>
      <c r="G138" s="127"/>
      <c r="H138" s="127"/>
      <c r="I138" s="127"/>
      <c r="J138" s="12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7"/>
      <c r="AL138" s="117"/>
      <c r="AM138" s="117"/>
      <c r="AN138" s="117"/>
      <c r="AO138" s="117"/>
      <c r="AP138" s="117"/>
      <c r="AQ138" s="117"/>
      <c r="AR138" s="117"/>
      <c r="AS138" s="117"/>
      <c r="AT138" s="117"/>
      <c r="AU138" s="117"/>
      <c r="AV138" s="117"/>
      <c r="AW138" s="117"/>
      <c r="AX138" s="117"/>
      <c r="AY138" s="117"/>
      <c r="AZ138" s="117"/>
      <c r="BA138" s="117"/>
      <c r="BB138" s="117"/>
      <c r="BC138" s="117"/>
      <c r="BD138" s="117"/>
      <c r="BE138" s="117"/>
      <c r="BF138" s="117"/>
      <c r="BG138" s="117"/>
      <c r="BH138" s="117"/>
      <c r="BI138" s="117"/>
      <c r="BJ138" s="117"/>
      <c r="BK138" s="117"/>
      <c r="BL138" s="117"/>
      <c r="BM138" s="117"/>
      <c r="BN138" s="117"/>
      <c r="BO138" s="117"/>
      <c r="BP138" s="117"/>
      <c r="BQ138" s="117"/>
      <c r="BR138" s="117"/>
      <c r="BS138" s="117"/>
      <c r="BT138" s="117"/>
      <c r="BU138" s="117"/>
      <c r="BV138" s="117"/>
      <c r="BW138" s="117"/>
      <c r="BX138" s="117"/>
      <c r="BY138" s="117"/>
      <c r="BZ138" s="117"/>
      <c r="CA138" s="117"/>
      <c r="CB138" s="117"/>
      <c r="CC138" s="117"/>
      <c r="CD138" s="117"/>
      <c r="CE138" s="117"/>
      <c r="CF138" s="117"/>
      <c r="CG138" s="117"/>
      <c r="CH138" s="117"/>
      <c r="CI138" s="117"/>
      <c r="CJ138" s="117"/>
      <c r="CK138" s="117"/>
      <c r="CL138" s="117"/>
      <c r="CM138" s="117"/>
      <c r="CN138" s="117"/>
      <c r="CO138" s="117"/>
      <c r="CP138" s="117"/>
      <c r="CQ138" s="117"/>
      <c r="CR138" s="117"/>
      <c r="CS138" s="117"/>
      <c r="CT138" s="117"/>
      <c r="CU138" s="117"/>
      <c r="CV138" s="117"/>
      <c r="CW138" s="117"/>
      <c r="CX138" s="117"/>
      <c r="CY138" s="117"/>
      <c r="CZ138" s="117"/>
      <c r="DA138" s="117"/>
      <c r="DB138" s="117"/>
      <c r="DC138" s="117"/>
      <c r="DD138" s="117"/>
      <c r="DE138" s="117"/>
      <c r="DF138" s="117"/>
      <c r="DG138" s="117"/>
      <c r="DH138" s="117"/>
      <c r="DI138" s="117"/>
      <c r="DJ138" s="117"/>
      <c r="DK138" s="117"/>
      <c r="DL138" s="117"/>
      <c r="DM138" s="117"/>
      <c r="DN138" s="117"/>
      <c r="DO138" s="117"/>
      <c r="DP138" s="117"/>
      <c r="DQ138" s="117"/>
      <c r="DR138" s="117"/>
      <c r="DS138" s="117"/>
      <c r="DT138" s="117"/>
      <c r="DU138" s="117"/>
      <c r="DV138" s="117"/>
      <c r="DW138" s="117"/>
      <c r="DX138" s="117"/>
      <c r="DY138" s="117"/>
      <c r="DZ138" s="117"/>
      <c r="EA138" s="117"/>
      <c r="EB138" s="117"/>
      <c r="EC138" s="117"/>
      <c r="ED138" s="117"/>
      <c r="EE138" s="117"/>
      <c r="EF138" s="117"/>
      <c r="EG138" s="117"/>
      <c r="EH138" s="117"/>
      <c r="EI138" s="117"/>
      <c r="EJ138" s="117"/>
      <c r="EK138" s="117"/>
    </row>
    <row r="139" spans="1:141" s="129" customFormat="1" x14ac:dyDescent="0.2">
      <c r="A139" s="141"/>
      <c r="B139" s="152"/>
      <c r="C139" s="373"/>
      <c r="D139" s="127"/>
      <c r="E139" s="127"/>
      <c r="F139" s="127"/>
      <c r="G139" s="127"/>
      <c r="H139" s="127"/>
      <c r="I139" s="127"/>
      <c r="J139" s="12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  <c r="AI139" s="117"/>
      <c r="AJ139" s="117"/>
      <c r="AK139" s="117"/>
      <c r="AL139" s="117"/>
      <c r="AM139" s="117"/>
      <c r="AN139" s="117"/>
      <c r="AO139" s="117"/>
      <c r="AP139" s="117"/>
      <c r="AQ139" s="117"/>
      <c r="AR139" s="117"/>
      <c r="AS139" s="117"/>
      <c r="AT139" s="117"/>
      <c r="AU139" s="117"/>
      <c r="AV139" s="117"/>
      <c r="AW139" s="117"/>
      <c r="AX139" s="117"/>
      <c r="AY139" s="117"/>
      <c r="AZ139" s="117"/>
      <c r="BA139" s="117"/>
      <c r="BB139" s="117"/>
      <c r="BC139" s="117"/>
      <c r="BD139" s="117"/>
      <c r="BE139" s="117"/>
      <c r="BF139" s="117"/>
      <c r="BG139" s="117"/>
      <c r="BH139" s="117"/>
      <c r="BI139" s="117"/>
      <c r="BJ139" s="117"/>
      <c r="BK139" s="117"/>
      <c r="BL139" s="117"/>
      <c r="BM139" s="117"/>
      <c r="BN139" s="117"/>
      <c r="BO139" s="117"/>
      <c r="BP139" s="117"/>
      <c r="BQ139" s="117"/>
      <c r="BR139" s="117"/>
      <c r="BS139" s="117"/>
      <c r="BT139" s="117"/>
      <c r="BU139" s="117"/>
      <c r="BV139" s="117"/>
      <c r="BW139" s="117"/>
      <c r="BX139" s="117"/>
      <c r="BY139" s="117"/>
      <c r="BZ139" s="117"/>
      <c r="CA139" s="117"/>
      <c r="CB139" s="117"/>
      <c r="CC139" s="117"/>
      <c r="CD139" s="117"/>
      <c r="CE139" s="117"/>
      <c r="CF139" s="117"/>
      <c r="CG139" s="117"/>
      <c r="CH139" s="117"/>
      <c r="CI139" s="117"/>
      <c r="CJ139" s="117"/>
      <c r="CK139" s="117"/>
      <c r="CL139" s="117"/>
      <c r="CM139" s="117"/>
      <c r="CN139" s="117"/>
      <c r="CO139" s="117"/>
      <c r="CP139" s="117"/>
      <c r="CQ139" s="117"/>
      <c r="CR139" s="117"/>
      <c r="CS139" s="117"/>
      <c r="CT139" s="117"/>
      <c r="CU139" s="117"/>
      <c r="CV139" s="117"/>
      <c r="CW139" s="117"/>
      <c r="CX139" s="117"/>
      <c r="CY139" s="117"/>
      <c r="CZ139" s="117"/>
      <c r="DA139" s="117"/>
      <c r="DB139" s="117"/>
      <c r="DC139" s="117"/>
      <c r="DD139" s="117"/>
      <c r="DE139" s="117"/>
      <c r="DF139" s="117"/>
      <c r="DG139" s="117"/>
      <c r="DH139" s="117"/>
      <c r="DI139" s="117"/>
      <c r="DJ139" s="117"/>
      <c r="DK139" s="117"/>
      <c r="DL139" s="117"/>
      <c r="DM139" s="117"/>
      <c r="DN139" s="117"/>
      <c r="DO139" s="117"/>
      <c r="DP139" s="117"/>
      <c r="DQ139" s="117"/>
      <c r="DR139" s="117"/>
      <c r="DS139" s="117"/>
      <c r="DT139" s="117"/>
      <c r="DU139" s="117"/>
      <c r="DV139" s="117"/>
      <c r="DW139" s="117"/>
      <c r="DX139" s="117"/>
      <c r="DY139" s="117"/>
      <c r="DZ139" s="117"/>
      <c r="EA139" s="117"/>
      <c r="EB139" s="117"/>
      <c r="EC139" s="117"/>
      <c r="ED139" s="117"/>
      <c r="EE139" s="117"/>
      <c r="EF139" s="117"/>
      <c r="EG139" s="117"/>
      <c r="EH139" s="117"/>
      <c r="EI139" s="117"/>
      <c r="EJ139" s="117"/>
      <c r="EK139" s="117"/>
    </row>
    <row r="140" spans="1:141" ht="12.75" customHeight="1" x14ac:dyDescent="0.2">
      <c r="A140" s="393" t="str">
        <f>+A8</f>
        <v xml:space="preserve">AEP TEXAS </v>
      </c>
      <c r="B140" s="388"/>
      <c r="C140" s="388"/>
      <c r="D140" s="388"/>
      <c r="E140" s="388"/>
      <c r="F140" s="388"/>
      <c r="G140" s="388"/>
      <c r="H140" s="388"/>
      <c r="I140" s="388"/>
      <c r="J140" s="388"/>
      <c r="K140" s="388"/>
      <c r="L140" s="388"/>
      <c r="M140" s="388"/>
      <c r="N140" s="388"/>
      <c r="O140" s="388"/>
      <c r="P140" s="388"/>
      <c r="Q140" s="388"/>
      <c r="R140" s="388"/>
      <c r="S140" s="388"/>
      <c r="T140" s="388"/>
      <c r="U140" s="388"/>
    </row>
    <row r="141" spans="1:141" ht="12.75" customHeight="1" x14ac:dyDescent="0.2">
      <c r="A141" s="393" t="s">
        <v>93</v>
      </c>
      <c r="B141" s="393"/>
      <c r="C141" s="393"/>
      <c r="D141" s="393"/>
      <c r="E141" s="393"/>
      <c r="F141" s="393"/>
      <c r="G141" s="393"/>
      <c r="H141" s="393"/>
      <c r="I141" s="393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</row>
    <row r="142" spans="1:141" ht="12.75" customHeight="1" x14ac:dyDescent="0.2">
      <c r="A142" s="388" t="str">
        <f>A10</f>
        <v>FOR TEST YEAR ENDED DECEMBER 31, 2018</v>
      </c>
      <c r="B142" s="388"/>
      <c r="C142" s="388"/>
      <c r="D142" s="388"/>
      <c r="E142" s="388"/>
      <c r="F142" s="388"/>
      <c r="G142" s="388"/>
      <c r="H142" s="388"/>
      <c r="I142" s="388"/>
      <c r="J142" s="388"/>
      <c r="K142" s="388"/>
      <c r="L142" s="388"/>
      <c r="M142" s="388"/>
      <c r="N142" s="388"/>
      <c r="O142" s="388"/>
      <c r="P142" s="388"/>
      <c r="Q142" s="388"/>
      <c r="R142" s="388"/>
      <c r="S142" s="388"/>
      <c r="T142" s="388"/>
      <c r="U142" s="388"/>
    </row>
    <row r="143" spans="1:141" x14ac:dyDescent="0.2">
      <c r="B143" s="124"/>
      <c r="C143" s="373"/>
      <c r="D143" s="373"/>
      <c r="E143" s="373"/>
      <c r="F143" s="373"/>
      <c r="G143" s="373"/>
      <c r="H143" s="373"/>
      <c r="I143" s="373"/>
      <c r="J143" s="374"/>
    </row>
    <row r="144" spans="1:141" x14ac:dyDescent="0.2">
      <c r="B144" s="124"/>
      <c r="D144" s="345"/>
      <c r="E144" s="177"/>
      <c r="F144" s="177"/>
      <c r="G144" s="177"/>
    </row>
    <row r="145" spans="1:141" ht="33.75" x14ac:dyDescent="0.2">
      <c r="A145" s="373" t="s">
        <v>20</v>
      </c>
      <c r="B145" s="375" t="s">
        <v>0</v>
      </c>
      <c r="C145" s="375" t="s">
        <v>19</v>
      </c>
      <c r="D145" s="352" t="str">
        <f>$D$13</f>
        <v>Customer Revenue - Base Tariff</v>
      </c>
      <c r="E145" s="352" t="str">
        <f>$E$13</f>
        <v xml:space="preserve">Meter Revenue - Base Tariff </v>
      </c>
      <c r="F145" s="352" t="str">
        <f>$F$13</f>
        <v>Distribution Service Revenue - Base Tariff</v>
      </c>
      <c r="G145" s="352" t="str">
        <f>$G$13</f>
        <v>Facilities Charge</v>
      </c>
      <c r="H145" s="352" t="str">
        <f>$H$13</f>
        <v>Transmission Service Revenue - Base Tariff</v>
      </c>
      <c r="I145" s="352" t="str">
        <f>$I$13</f>
        <v>Total Base Tariff Revenue</v>
      </c>
      <c r="J145" s="353"/>
      <c r="K145" s="352" t="str">
        <f>$K$13</f>
        <v>Energy Efficiency Rider</v>
      </c>
      <c r="L145" s="352" t="str">
        <f>$L$13</f>
        <v>Transition Charge Riders (TC)</v>
      </c>
      <c r="M145" s="347" t="s">
        <v>121</v>
      </c>
      <c r="N145" s="352" t="str">
        <f>$N$13</f>
        <v xml:space="preserve">Competitive Metering Rider </v>
      </c>
      <c r="O145" s="352" t="str">
        <f>$O$13</f>
        <v>Transmission Cost Recovery Rider (TCRF)</v>
      </c>
      <c r="P145" s="352" t="str">
        <f>$P$13</f>
        <v>State Colleges and Universities Discount Rider</v>
      </c>
      <c r="Q145" s="352" t="str">
        <f>$Q$13</f>
        <v>Advanced Metering Recovery Rider</v>
      </c>
      <c r="R145" s="352" t="str">
        <f>+R13</f>
        <v>Misc Riders</v>
      </c>
      <c r="S145" s="352" t="str">
        <f>$S$13</f>
        <v>Total Riders</v>
      </c>
      <c r="T145" s="348"/>
      <c r="U145" s="352" t="str">
        <f>$U$13</f>
        <v>Total Revenue</v>
      </c>
    </row>
    <row r="146" spans="1:141" x14ac:dyDescent="0.2">
      <c r="B146" s="375"/>
      <c r="C146" s="375"/>
      <c r="D146" s="164"/>
      <c r="E146" s="164"/>
      <c r="F146" s="164"/>
      <c r="G146" s="164"/>
      <c r="H146" s="164"/>
      <c r="I146" s="164"/>
      <c r="J146" s="193"/>
    </row>
    <row r="147" spans="1:141" s="129" customFormat="1" x14ac:dyDescent="0.2">
      <c r="A147" s="141" t="s">
        <v>21</v>
      </c>
      <c r="B147" s="129" t="s">
        <v>29</v>
      </c>
      <c r="C147" s="143" t="s">
        <v>16</v>
      </c>
      <c r="D147" s="149"/>
      <c r="E147" s="149"/>
      <c r="F147" s="149"/>
      <c r="G147" s="149"/>
      <c r="H147" s="149"/>
      <c r="I147" s="149">
        <f>SUM(D147:H147)</f>
        <v>0</v>
      </c>
      <c r="J147" s="194"/>
      <c r="K147" s="194"/>
      <c r="L147" s="194"/>
      <c r="M147" s="194"/>
      <c r="N147" s="194"/>
      <c r="O147" s="194"/>
      <c r="P147" s="194"/>
      <c r="Q147" s="194"/>
      <c r="R147" s="194"/>
      <c r="S147" s="194">
        <f>SUM(K147:Q147)</f>
        <v>0</v>
      </c>
      <c r="T147" s="194"/>
      <c r="U147" s="194">
        <f>S147+I147</f>
        <v>0</v>
      </c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7"/>
      <c r="AK147" s="117"/>
      <c r="AL147" s="117"/>
      <c r="AM147" s="117"/>
      <c r="AN147" s="117"/>
      <c r="AO147" s="117"/>
      <c r="AP147" s="117"/>
      <c r="AQ147" s="117"/>
      <c r="AR147" s="117"/>
      <c r="AS147" s="117"/>
      <c r="AT147" s="117"/>
      <c r="AU147" s="117"/>
      <c r="AV147" s="117"/>
      <c r="AW147" s="117"/>
      <c r="AX147" s="117"/>
      <c r="AY147" s="117"/>
      <c r="AZ147" s="117"/>
      <c r="BA147" s="117"/>
      <c r="BB147" s="117"/>
      <c r="BC147" s="117"/>
      <c r="BD147" s="117"/>
      <c r="BE147" s="117"/>
      <c r="BF147" s="117"/>
      <c r="BG147" s="117"/>
      <c r="BH147" s="117"/>
      <c r="BI147" s="117"/>
      <c r="BJ147" s="117"/>
      <c r="BK147" s="117"/>
      <c r="BL147" s="117"/>
      <c r="BM147" s="117"/>
      <c r="BN147" s="117"/>
      <c r="BO147" s="117"/>
      <c r="BP147" s="117"/>
      <c r="BQ147" s="117"/>
      <c r="BR147" s="117"/>
      <c r="BS147" s="117"/>
      <c r="BT147" s="117"/>
      <c r="BU147" s="117"/>
      <c r="BV147" s="117"/>
      <c r="BW147" s="117"/>
      <c r="BX147" s="117"/>
      <c r="BY147" s="117"/>
      <c r="BZ147" s="117"/>
      <c r="CA147" s="117"/>
      <c r="CB147" s="117"/>
      <c r="CC147" s="117"/>
      <c r="CD147" s="117"/>
      <c r="CE147" s="117"/>
      <c r="CF147" s="117"/>
      <c r="CG147" s="117"/>
      <c r="CH147" s="117"/>
      <c r="CI147" s="117"/>
      <c r="CJ147" s="117"/>
      <c r="CK147" s="117"/>
      <c r="CL147" s="117"/>
      <c r="CM147" s="117"/>
      <c r="CN147" s="117"/>
      <c r="CO147" s="117"/>
      <c r="CP147" s="117"/>
      <c r="CQ147" s="117"/>
      <c r="CR147" s="117"/>
      <c r="CS147" s="117"/>
      <c r="CT147" s="117"/>
      <c r="CU147" s="117"/>
      <c r="CV147" s="117"/>
      <c r="CW147" s="117"/>
      <c r="CX147" s="117"/>
      <c r="CY147" s="117"/>
      <c r="CZ147" s="117"/>
      <c r="DA147" s="117"/>
      <c r="DB147" s="117"/>
      <c r="DC147" s="117"/>
      <c r="DD147" s="117"/>
      <c r="DE147" s="117"/>
      <c r="DF147" s="117"/>
      <c r="DG147" s="117"/>
      <c r="DH147" s="117"/>
      <c r="DI147" s="117"/>
      <c r="DJ147" s="117"/>
      <c r="DK147" s="117"/>
      <c r="DL147" s="117"/>
      <c r="DM147" s="117"/>
      <c r="DN147" s="117"/>
      <c r="DO147" s="117"/>
      <c r="DP147" s="117"/>
      <c r="DQ147" s="117"/>
      <c r="DR147" s="117"/>
      <c r="DS147" s="117"/>
      <c r="DT147" s="117"/>
      <c r="DU147" s="117"/>
      <c r="DV147" s="117"/>
      <c r="DW147" s="117"/>
      <c r="DX147" s="117"/>
      <c r="DY147" s="117"/>
      <c r="DZ147" s="117"/>
      <c r="EA147" s="117"/>
      <c r="EB147" s="117"/>
      <c r="EC147" s="117"/>
      <c r="ED147" s="117"/>
      <c r="EE147" s="117"/>
      <c r="EF147" s="117"/>
      <c r="EG147" s="117"/>
      <c r="EH147" s="117"/>
      <c r="EI147" s="117"/>
      <c r="EJ147" s="117"/>
      <c r="EK147" s="117"/>
    </row>
    <row r="148" spans="1:141" s="129" customFormat="1" x14ac:dyDescent="0.2">
      <c r="C148" s="143"/>
      <c r="D148" s="171"/>
      <c r="E148" s="171"/>
      <c r="F148" s="171"/>
      <c r="G148" s="171"/>
      <c r="H148" s="171"/>
      <c r="I148" s="171"/>
      <c r="J148" s="19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7"/>
      <c r="AK148" s="117"/>
      <c r="AL148" s="117"/>
      <c r="AM148" s="117"/>
      <c r="AN148" s="117"/>
      <c r="AO148" s="117"/>
      <c r="AP148" s="117"/>
      <c r="AQ148" s="117"/>
      <c r="AR148" s="117"/>
      <c r="AS148" s="117"/>
      <c r="AT148" s="117"/>
      <c r="AU148" s="117"/>
      <c r="AV148" s="117"/>
      <c r="AW148" s="117"/>
      <c r="AX148" s="117"/>
      <c r="AY148" s="117"/>
      <c r="AZ148" s="117"/>
      <c r="BA148" s="117"/>
      <c r="BB148" s="117"/>
      <c r="BC148" s="117"/>
      <c r="BD148" s="117"/>
      <c r="BE148" s="117"/>
      <c r="BF148" s="117"/>
      <c r="BG148" s="117"/>
      <c r="BH148" s="117"/>
      <c r="BI148" s="117"/>
      <c r="BJ148" s="117"/>
      <c r="BK148" s="117"/>
      <c r="BL148" s="117"/>
      <c r="BM148" s="117"/>
      <c r="BN148" s="117"/>
      <c r="BO148" s="117"/>
      <c r="BP148" s="117"/>
      <c r="BQ148" s="117"/>
      <c r="BR148" s="117"/>
      <c r="BS148" s="117"/>
      <c r="BT148" s="117"/>
      <c r="BU148" s="117"/>
      <c r="BV148" s="117"/>
      <c r="BW148" s="117"/>
      <c r="BX148" s="117"/>
      <c r="BY148" s="117"/>
      <c r="BZ148" s="117"/>
      <c r="CA148" s="117"/>
      <c r="CB148" s="117"/>
      <c r="CC148" s="117"/>
      <c r="CD148" s="117"/>
      <c r="CE148" s="117"/>
      <c r="CF148" s="117"/>
      <c r="CG148" s="117"/>
      <c r="CH148" s="117"/>
      <c r="CI148" s="117"/>
      <c r="CJ148" s="117"/>
      <c r="CK148" s="117"/>
      <c r="CL148" s="117"/>
      <c r="CM148" s="117"/>
      <c r="CN148" s="117"/>
      <c r="CO148" s="117"/>
      <c r="CP148" s="117"/>
      <c r="CQ148" s="117"/>
      <c r="CR148" s="117"/>
      <c r="CS148" s="117"/>
      <c r="CT148" s="117"/>
      <c r="CU148" s="117"/>
      <c r="CV148" s="117"/>
      <c r="CW148" s="117"/>
      <c r="CX148" s="117"/>
      <c r="CY148" s="117"/>
      <c r="CZ148" s="117"/>
      <c r="DA148" s="117"/>
      <c r="DB148" s="117"/>
      <c r="DC148" s="117"/>
      <c r="DD148" s="117"/>
      <c r="DE148" s="117"/>
      <c r="DF148" s="117"/>
      <c r="DG148" s="117"/>
      <c r="DH148" s="117"/>
      <c r="DI148" s="117"/>
      <c r="DJ148" s="117"/>
      <c r="DK148" s="117"/>
      <c r="DL148" s="117"/>
      <c r="DM148" s="117"/>
      <c r="DN148" s="117"/>
      <c r="DO148" s="117"/>
      <c r="DP148" s="117"/>
      <c r="DQ148" s="117"/>
      <c r="DR148" s="117"/>
      <c r="DS148" s="117"/>
      <c r="DT148" s="117"/>
      <c r="DU148" s="117"/>
      <c r="DV148" s="117"/>
      <c r="DW148" s="117"/>
      <c r="DX148" s="117"/>
      <c r="DY148" s="117"/>
      <c r="DZ148" s="117"/>
      <c r="EA148" s="117"/>
      <c r="EB148" s="117"/>
      <c r="EC148" s="117"/>
      <c r="ED148" s="117"/>
      <c r="EE148" s="117"/>
      <c r="EF148" s="117"/>
      <c r="EG148" s="117"/>
      <c r="EH148" s="117"/>
      <c r="EI148" s="117"/>
      <c r="EJ148" s="117"/>
      <c r="EK148" s="117"/>
    </row>
    <row r="149" spans="1:141" s="129" customFormat="1" x14ac:dyDescent="0.2">
      <c r="A149" s="141">
        <v>2</v>
      </c>
      <c r="B149" s="129" t="s">
        <v>32</v>
      </c>
      <c r="C149" s="143" t="s">
        <v>16</v>
      </c>
      <c r="D149" s="122"/>
      <c r="E149" s="149"/>
      <c r="F149" s="122"/>
      <c r="G149" s="122"/>
      <c r="H149" s="122"/>
      <c r="I149" s="122">
        <f>SUM(D149:H149)</f>
        <v>0</v>
      </c>
      <c r="J149" s="142"/>
      <c r="K149" s="195"/>
      <c r="L149" s="195"/>
      <c r="M149" s="195"/>
      <c r="N149" s="195"/>
      <c r="O149" s="195"/>
      <c r="P149" s="195"/>
      <c r="Q149" s="195"/>
      <c r="R149" s="195"/>
      <c r="S149" s="142">
        <f>SUM(K149:Q149)</f>
        <v>0</v>
      </c>
      <c r="T149" s="142"/>
      <c r="U149" s="142">
        <f>S149+I149</f>
        <v>0</v>
      </c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7"/>
      <c r="AK149" s="117"/>
      <c r="AL149" s="117"/>
      <c r="AM149" s="117"/>
      <c r="AN149" s="117"/>
      <c r="AO149" s="117"/>
      <c r="AP149" s="117"/>
      <c r="AQ149" s="117"/>
      <c r="AR149" s="117"/>
      <c r="AS149" s="117"/>
      <c r="AT149" s="117"/>
      <c r="AU149" s="117"/>
      <c r="AV149" s="117"/>
      <c r="AW149" s="117"/>
      <c r="AX149" s="117"/>
      <c r="AY149" s="117"/>
      <c r="AZ149" s="117"/>
      <c r="BA149" s="117"/>
      <c r="BB149" s="117"/>
      <c r="BC149" s="117"/>
      <c r="BD149" s="117"/>
      <c r="BE149" s="117"/>
      <c r="BF149" s="117"/>
      <c r="BG149" s="117"/>
      <c r="BH149" s="117"/>
      <c r="BI149" s="117"/>
      <c r="BJ149" s="117"/>
      <c r="BK149" s="117"/>
      <c r="BL149" s="117"/>
      <c r="BM149" s="117"/>
      <c r="BN149" s="117"/>
      <c r="BO149" s="117"/>
      <c r="BP149" s="117"/>
      <c r="BQ149" s="117"/>
      <c r="BR149" s="117"/>
      <c r="BS149" s="117"/>
      <c r="BT149" s="117"/>
      <c r="BU149" s="117"/>
      <c r="BV149" s="117"/>
      <c r="BW149" s="117"/>
      <c r="BX149" s="117"/>
      <c r="BY149" s="117"/>
      <c r="BZ149" s="117"/>
      <c r="CA149" s="117"/>
      <c r="CB149" s="117"/>
      <c r="CC149" s="117"/>
      <c r="CD149" s="117"/>
      <c r="CE149" s="117"/>
      <c r="CF149" s="117"/>
      <c r="CG149" s="117"/>
      <c r="CH149" s="117"/>
      <c r="CI149" s="117"/>
      <c r="CJ149" s="117"/>
      <c r="CK149" s="117"/>
      <c r="CL149" s="117"/>
      <c r="CM149" s="117"/>
      <c r="CN149" s="117"/>
      <c r="CO149" s="117"/>
      <c r="CP149" s="117"/>
      <c r="CQ149" s="117"/>
      <c r="CR149" s="117"/>
      <c r="CS149" s="117"/>
      <c r="CT149" s="117"/>
      <c r="CU149" s="117"/>
      <c r="CV149" s="117"/>
      <c r="CW149" s="117"/>
      <c r="CX149" s="117"/>
      <c r="CY149" s="117"/>
      <c r="CZ149" s="117"/>
      <c r="DA149" s="117"/>
      <c r="DB149" s="117"/>
      <c r="DC149" s="117"/>
      <c r="DD149" s="117"/>
      <c r="DE149" s="117"/>
      <c r="DF149" s="117"/>
      <c r="DG149" s="117"/>
      <c r="DH149" s="117"/>
      <c r="DI149" s="117"/>
      <c r="DJ149" s="117"/>
      <c r="DK149" s="117"/>
      <c r="DL149" s="117"/>
      <c r="DM149" s="117"/>
      <c r="DN149" s="117"/>
      <c r="DO149" s="117"/>
      <c r="DP149" s="117"/>
      <c r="DQ149" s="117"/>
      <c r="DR149" s="117"/>
      <c r="DS149" s="117"/>
      <c r="DT149" s="117"/>
      <c r="DU149" s="117"/>
      <c r="DV149" s="117"/>
      <c r="DW149" s="117"/>
      <c r="DX149" s="117"/>
      <c r="DY149" s="117"/>
      <c r="DZ149" s="117"/>
      <c r="EA149" s="117"/>
      <c r="EB149" s="117"/>
      <c r="EC149" s="117"/>
      <c r="ED149" s="117"/>
      <c r="EE149" s="117"/>
      <c r="EF149" s="117"/>
      <c r="EG149" s="117"/>
      <c r="EH149" s="117"/>
      <c r="EI149" s="117"/>
      <c r="EJ149" s="117"/>
      <c r="EK149" s="117"/>
    </row>
    <row r="150" spans="1:141" s="129" customFormat="1" x14ac:dyDescent="0.2">
      <c r="A150" s="141"/>
      <c r="C150" s="143"/>
      <c r="D150" s="122"/>
      <c r="E150" s="122"/>
      <c r="F150" s="122"/>
      <c r="G150" s="122"/>
      <c r="H150" s="122"/>
      <c r="I150" s="122"/>
      <c r="J150" s="142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42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7"/>
      <c r="AL150" s="117"/>
      <c r="AM150" s="117"/>
      <c r="AN150" s="117"/>
      <c r="AO150" s="117"/>
      <c r="AP150" s="117"/>
      <c r="AQ150" s="117"/>
      <c r="AR150" s="117"/>
      <c r="AS150" s="117"/>
      <c r="AT150" s="117"/>
      <c r="AU150" s="117"/>
      <c r="AV150" s="117"/>
      <c r="AW150" s="117"/>
      <c r="AX150" s="117"/>
      <c r="AY150" s="117"/>
      <c r="AZ150" s="117"/>
      <c r="BA150" s="117"/>
      <c r="BB150" s="117"/>
      <c r="BC150" s="117"/>
      <c r="BD150" s="117"/>
      <c r="BE150" s="117"/>
      <c r="BF150" s="117"/>
      <c r="BG150" s="117"/>
      <c r="BH150" s="117"/>
      <c r="BI150" s="117"/>
      <c r="BJ150" s="117"/>
      <c r="BK150" s="117"/>
      <c r="BL150" s="117"/>
      <c r="BM150" s="117"/>
      <c r="BN150" s="117"/>
      <c r="BO150" s="117"/>
      <c r="BP150" s="117"/>
      <c r="BQ150" s="117"/>
      <c r="BR150" s="117"/>
      <c r="BS150" s="117"/>
      <c r="BT150" s="117"/>
      <c r="BU150" s="117"/>
      <c r="BV150" s="117"/>
      <c r="BW150" s="117"/>
      <c r="BX150" s="117"/>
      <c r="BY150" s="117"/>
      <c r="BZ150" s="117"/>
      <c r="CA150" s="117"/>
      <c r="CB150" s="117"/>
      <c r="CC150" s="117"/>
      <c r="CD150" s="117"/>
      <c r="CE150" s="117"/>
      <c r="CF150" s="117"/>
      <c r="CG150" s="117"/>
      <c r="CH150" s="117"/>
      <c r="CI150" s="117"/>
      <c r="CJ150" s="117"/>
      <c r="CK150" s="117"/>
      <c r="CL150" s="117"/>
      <c r="CM150" s="117"/>
      <c r="CN150" s="117"/>
      <c r="CO150" s="117"/>
      <c r="CP150" s="117"/>
      <c r="CQ150" s="117"/>
      <c r="CR150" s="117"/>
      <c r="CS150" s="117"/>
      <c r="CT150" s="117"/>
      <c r="CU150" s="117"/>
      <c r="CV150" s="117"/>
      <c r="CW150" s="117"/>
      <c r="CX150" s="117"/>
      <c r="CY150" s="117"/>
      <c r="CZ150" s="117"/>
      <c r="DA150" s="117"/>
      <c r="DB150" s="117"/>
      <c r="DC150" s="117"/>
      <c r="DD150" s="117"/>
      <c r="DE150" s="117"/>
      <c r="DF150" s="117"/>
      <c r="DG150" s="117"/>
      <c r="DH150" s="117"/>
      <c r="DI150" s="117"/>
      <c r="DJ150" s="117"/>
      <c r="DK150" s="117"/>
      <c r="DL150" s="117"/>
      <c r="DM150" s="117"/>
      <c r="DN150" s="117"/>
      <c r="DO150" s="117"/>
      <c r="DP150" s="117"/>
      <c r="DQ150" s="117"/>
      <c r="DR150" s="117"/>
      <c r="DS150" s="117"/>
      <c r="DT150" s="117"/>
      <c r="DU150" s="117"/>
      <c r="DV150" s="117"/>
      <c r="DW150" s="117"/>
      <c r="DX150" s="117"/>
      <c r="DY150" s="117"/>
      <c r="DZ150" s="117"/>
      <c r="EA150" s="117"/>
      <c r="EB150" s="117"/>
      <c r="EC150" s="117"/>
      <c r="ED150" s="117"/>
      <c r="EE150" s="117"/>
      <c r="EF150" s="117"/>
      <c r="EG150" s="117"/>
      <c r="EH150" s="117"/>
      <c r="EI150" s="117"/>
      <c r="EJ150" s="117"/>
      <c r="EK150" s="117"/>
    </row>
    <row r="151" spans="1:141" s="129" customFormat="1" x14ac:dyDescent="0.2">
      <c r="A151" s="141">
        <v>3</v>
      </c>
      <c r="B151" s="146" t="s">
        <v>113</v>
      </c>
      <c r="C151" s="125" t="s">
        <v>16</v>
      </c>
      <c r="D151" s="142"/>
      <c r="E151" s="142"/>
      <c r="F151" s="142"/>
      <c r="G151" s="142">
        <f>'II-H-4.1 Monthly'!P433</f>
        <v>0</v>
      </c>
      <c r="H151" s="142"/>
      <c r="I151" s="142">
        <f>SUM(D151:H151)</f>
        <v>0</v>
      </c>
      <c r="J151" s="142"/>
      <c r="K151" s="195"/>
      <c r="L151" s="195"/>
      <c r="M151" s="195"/>
      <c r="N151" s="195"/>
      <c r="O151" s="195"/>
      <c r="P151" s="195"/>
      <c r="Q151" s="195"/>
      <c r="R151" s="195"/>
      <c r="S151" s="142">
        <f>SUM(K151:Q151)</f>
        <v>0</v>
      </c>
      <c r="T151" s="142"/>
      <c r="U151" s="142">
        <f>S151+I151</f>
        <v>0</v>
      </c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  <c r="AI151" s="117"/>
      <c r="AJ151" s="117"/>
      <c r="AK151" s="117"/>
      <c r="AL151" s="117"/>
      <c r="AM151" s="117"/>
      <c r="AN151" s="117"/>
      <c r="AO151" s="117"/>
      <c r="AP151" s="117"/>
      <c r="AQ151" s="117"/>
      <c r="AR151" s="117"/>
      <c r="AS151" s="117"/>
      <c r="AT151" s="117"/>
      <c r="AU151" s="117"/>
      <c r="AV151" s="117"/>
      <c r="AW151" s="117"/>
      <c r="AX151" s="117"/>
      <c r="AY151" s="117"/>
      <c r="AZ151" s="117"/>
      <c r="BA151" s="117"/>
      <c r="BB151" s="117"/>
      <c r="BC151" s="117"/>
      <c r="BD151" s="117"/>
      <c r="BE151" s="117"/>
      <c r="BF151" s="117"/>
      <c r="BG151" s="117"/>
      <c r="BH151" s="117"/>
      <c r="BI151" s="117"/>
      <c r="BJ151" s="117"/>
      <c r="BK151" s="117"/>
      <c r="BL151" s="117"/>
      <c r="BM151" s="117"/>
      <c r="BN151" s="117"/>
      <c r="BO151" s="117"/>
      <c r="BP151" s="117"/>
      <c r="BQ151" s="117"/>
      <c r="BR151" s="117"/>
      <c r="BS151" s="117"/>
      <c r="BT151" s="117"/>
      <c r="BU151" s="117"/>
      <c r="BV151" s="117"/>
      <c r="BW151" s="117"/>
      <c r="BX151" s="117"/>
      <c r="BY151" s="117"/>
      <c r="BZ151" s="117"/>
      <c r="CA151" s="117"/>
      <c r="CB151" s="117"/>
      <c r="CC151" s="117"/>
      <c r="CD151" s="117"/>
      <c r="CE151" s="117"/>
      <c r="CF151" s="117"/>
      <c r="CG151" s="117"/>
      <c r="CH151" s="117"/>
      <c r="CI151" s="117"/>
      <c r="CJ151" s="117"/>
      <c r="CK151" s="117"/>
      <c r="CL151" s="117"/>
      <c r="CM151" s="117"/>
      <c r="CN151" s="117"/>
      <c r="CO151" s="117"/>
      <c r="CP151" s="117"/>
      <c r="CQ151" s="117"/>
      <c r="CR151" s="117"/>
      <c r="CS151" s="117"/>
      <c r="CT151" s="117"/>
      <c r="CU151" s="117"/>
      <c r="CV151" s="117"/>
      <c r="CW151" s="117"/>
      <c r="CX151" s="117"/>
      <c r="CY151" s="117"/>
      <c r="CZ151" s="117"/>
      <c r="DA151" s="117"/>
      <c r="DB151" s="117"/>
      <c r="DC151" s="117"/>
      <c r="DD151" s="117"/>
      <c r="DE151" s="117"/>
      <c r="DF151" s="117"/>
      <c r="DG151" s="117"/>
      <c r="DH151" s="117"/>
      <c r="DI151" s="117"/>
      <c r="DJ151" s="117"/>
      <c r="DK151" s="117"/>
      <c r="DL151" s="117"/>
      <c r="DM151" s="117"/>
      <c r="DN151" s="117"/>
      <c r="DO151" s="117"/>
      <c r="DP151" s="117"/>
      <c r="DQ151" s="117"/>
      <c r="DR151" s="117"/>
      <c r="DS151" s="117"/>
      <c r="DT151" s="117"/>
      <c r="DU151" s="117"/>
      <c r="DV151" s="117"/>
      <c r="DW151" s="117"/>
      <c r="DX151" s="117"/>
      <c r="DY151" s="117"/>
      <c r="DZ151" s="117"/>
      <c r="EA151" s="117"/>
      <c r="EB151" s="117"/>
      <c r="EC151" s="117"/>
      <c r="ED151" s="117"/>
      <c r="EE151" s="117"/>
      <c r="EF151" s="117"/>
      <c r="EG151" s="117"/>
      <c r="EH151" s="117"/>
      <c r="EI151" s="117"/>
      <c r="EJ151" s="117"/>
      <c r="EK151" s="117"/>
    </row>
    <row r="152" spans="1:141" s="129" customFormat="1" x14ac:dyDescent="0.2">
      <c r="A152" s="141">
        <v>4</v>
      </c>
      <c r="B152" s="146" t="s">
        <v>114</v>
      </c>
      <c r="C152" s="125" t="s">
        <v>16</v>
      </c>
      <c r="D152" s="123"/>
      <c r="E152" s="123"/>
      <c r="F152" s="123"/>
      <c r="G152" s="123"/>
      <c r="H152" s="123"/>
      <c r="I152" s="123">
        <f>SUM(D152:H152)</f>
        <v>0</v>
      </c>
      <c r="J152" s="142"/>
      <c r="K152" s="196"/>
      <c r="L152" s="196"/>
      <c r="M152" s="196"/>
      <c r="N152" s="196"/>
      <c r="O152" s="196"/>
      <c r="P152" s="196"/>
      <c r="Q152" s="196"/>
      <c r="R152" s="196"/>
      <c r="S152" s="123">
        <f>SUM(K152:Q152)</f>
        <v>0</v>
      </c>
      <c r="T152" s="142"/>
      <c r="U152" s="123">
        <f>S152+I152</f>
        <v>0</v>
      </c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  <c r="AJ152" s="117"/>
      <c r="AK152" s="117"/>
      <c r="AL152" s="117"/>
      <c r="AM152" s="117"/>
      <c r="AN152" s="117"/>
      <c r="AO152" s="117"/>
      <c r="AP152" s="117"/>
      <c r="AQ152" s="117"/>
      <c r="AR152" s="117"/>
      <c r="AS152" s="117"/>
      <c r="AT152" s="117"/>
      <c r="AU152" s="117"/>
      <c r="AV152" s="117"/>
      <c r="AW152" s="117"/>
      <c r="AX152" s="117"/>
      <c r="AY152" s="117"/>
      <c r="AZ152" s="117"/>
      <c r="BA152" s="117"/>
      <c r="BB152" s="117"/>
      <c r="BC152" s="117"/>
      <c r="BD152" s="117"/>
      <c r="BE152" s="117"/>
      <c r="BF152" s="117"/>
      <c r="BG152" s="117"/>
      <c r="BH152" s="117"/>
      <c r="BI152" s="117"/>
      <c r="BJ152" s="117"/>
      <c r="BK152" s="117"/>
      <c r="BL152" s="117"/>
      <c r="BM152" s="117"/>
      <c r="BN152" s="117"/>
      <c r="BO152" s="117"/>
      <c r="BP152" s="117"/>
      <c r="BQ152" s="117"/>
      <c r="BR152" s="117"/>
      <c r="BS152" s="117"/>
      <c r="BT152" s="117"/>
      <c r="BU152" s="117"/>
      <c r="BV152" s="117"/>
      <c r="BW152" s="117"/>
      <c r="BX152" s="117"/>
      <c r="BY152" s="117"/>
      <c r="BZ152" s="117"/>
      <c r="CA152" s="117"/>
      <c r="CB152" s="117"/>
      <c r="CC152" s="117"/>
      <c r="CD152" s="117"/>
      <c r="CE152" s="117"/>
      <c r="CF152" s="117"/>
      <c r="CG152" s="117"/>
      <c r="CH152" s="117"/>
      <c r="CI152" s="117"/>
      <c r="CJ152" s="117"/>
      <c r="CK152" s="117"/>
      <c r="CL152" s="117"/>
      <c r="CM152" s="117"/>
      <c r="CN152" s="117"/>
      <c r="CO152" s="117"/>
      <c r="CP152" s="117"/>
      <c r="CQ152" s="117"/>
      <c r="CR152" s="117"/>
      <c r="CS152" s="117"/>
      <c r="CT152" s="117"/>
      <c r="CU152" s="117"/>
      <c r="CV152" s="117"/>
      <c r="CW152" s="117"/>
      <c r="CX152" s="117"/>
      <c r="CY152" s="117"/>
      <c r="CZ152" s="117"/>
      <c r="DA152" s="117"/>
      <c r="DB152" s="117"/>
      <c r="DC152" s="117"/>
      <c r="DD152" s="117"/>
      <c r="DE152" s="117"/>
      <c r="DF152" s="117"/>
      <c r="DG152" s="117"/>
      <c r="DH152" s="117"/>
      <c r="DI152" s="117"/>
      <c r="DJ152" s="117"/>
      <c r="DK152" s="117"/>
      <c r="DL152" s="117"/>
      <c r="DM152" s="117"/>
      <c r="DN152" s="117"/>
      <c r="DO152" s="117"/>
      <c r="DP152" s="117"/>
      <c r="DQ152" s="117"/>
      <c r="DR152" s="117"/>
      <c r="DS152" s="117"/>
      <c r="DT152" s="117"/>
      <c r="DU152" s="117"/>
      <c r="DV152" s="117"/>
      <c r="DW152" s="117"/>
      <c r="DX152" s="117"/>
      <c r="DY152" s="117"/>
      <c r="DZ152" s="117"/>
      <c r="EA152" s="117"/>
      <c r="EB152" s="117"/>
      <c r="EC152" s="117"/>
      <c r="ED152" s="117"/>
      <c r="EE152" s="117"/>
      <c r="EF152" s="117"/>
      <c r="EG152" s="117"/>
      <c r="EH152" s="117"/>
      <c r="EI152" s="117"/>
      <c r="EJ152" s="117"/>
      <c r="EK152" s="117"/>
    </row>
    <row r="153" spans="1:141" s="129" customFormat="1" x14ac:dyDescent="0.2">
      <c r="A153" s="141">
        <v>5</v>
      </c>
      <c r="B153" s="162" t="s">
        <v>30</v>
      </c>
      <c r="C153" s="143"/>
      <c r="D153" s="157">
        <f>SUM(D151:D152)</f>
        <v>0</v>
      </c>
      <c r="E153" s="157">
        <f>SUM(E151:E152)</f>
        <v>0</v>
      </c>
      <c r="F153" s="157">
        <f>SUM(F151:F152)</f>
        <v>0</v>
      </c>
      <c r="G153" s="157">
        <f>SUM(G151:G152)</f>
        <v>0</v>
      </c>
      <c r="H153" s="157">
        <f>SUM(H151:H152)</f>
        <v>0</v>
      </c>
      <c r="I153" s="157">
        <f>SUM(D153:H153)</f>
        <v>0</v>
      </c>
      <c r="J153" s="128"/>
      <c r="K153" s="195">
        <f t="shared" ref="K153:Q153" si="55">SUM(K151:K152)</f>
        <v>0</v>
      </c>
      <c r="L153" s="195">
        <f t="shared" si="55"/>
        <v>0</v>
      </c>
      <c r="M153" s="195"/>
      <c r="N153" s="195">
        <f t="shared" si="55"/>
        <v>0</v>
      </c>
      <c r="O153" s="195">
        <f t="shared" si="55"/>
        <v>0</v>
      </c>
      <c r="P153" s="195">
        <f t="shared" si="55"/>
        <v>0</v>
      </c>
      <c r="Q153" s="195">
        <f t="shared" si="55"/>
        <v>0</v>
      </c>
      <c r="R153" s="195"/>
      <c r="S153" s="144">
        <f>SUM(K153:Q153)</f>
        <v>0</v>
      </c>
      <c r="T153" s="144"/>
      <c r="U153" s="142">
        <f>S153+I153</f>
        <v>0</v>
      </c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7"/>
      <c r="AS153" s="117"/>
      <c r="AT153" s="117"/>
      <c r="AU153" s="117"/>
      <c r="AV153" s="117"/>
      <c r="AW153" s="117"/>
      <c r="AX153" s="117"/>
      <c r="AY153" s="117"/>
      <c r="AZ153" s="117"/>
      <c r="BA153" s="117"/>
      <c r="BB153" s="117"/>
      <c r="BC153" s="117"/>
      <c r="BD153" s="117"/>
      <c r="BE153" s="117"/>
      <c r="BF153" s="117"/>
      <c r="BG153" s="117"/>
      <c r="BH153" s="117"/>
      <c r="BI153" s="117"/>
      <c r="BJ153" s="117"/>
      <c r="BK153" s="117"/>
      <c r="BL153" s="117"/>
      <c r="BM153" s="117"/>
      <c r="BN153" s="117"/>
      <c r="BO153" s="117"/>
      <c r="BP153" s="117"/>
      <c r="BQ153" s="117"/>
      <c r="BR153" s="117"/>
      <c r="BS153" s="117"/>
      <c r="BT153" s="117"/>
      <c r="BU153" s="117"/>
      <c r="BV153" s="117"/>
      <c r="BW153" s="117"/>
      <c r="BX153" s="117"/>
      <c r="BY153" s="117"/>
      <c r="BZ153" s="117"/>
      <c r="CA153" s="117"/>
      <c r="CB153" s="117"/>
      <c r="CC153" s="117"/>
      <c r="CD153" s="117"/>
      <c r="CE153" s="117"/>
      <c r="CF153" s="117"/>
      <c r="CG153" s="117"/>
      <c r="CH153" s="117"/>
      <c r="CI153" s="117"/>
      <c r="CJ153" s="117"/>
      <c r="CK153" s="117"/>
      <c r="CL153" s="117"/>
      <c r="CM153" s="117"/>
      <c r="CN153" s="117"/>
      <c r="CO153" s="117"/>
      <c r="CP153" s="117"/>
      <c r="CQ153" s="117"/>
      <c r="CR153" s="117"/>
      <c r="CS153" s="117"/>
      <c r="CT153" s="117"/>
      <c r="CU153" s="117"/>
      <c r="CV153" s="117"/>
      <c r="CW153" s="117"/>
      <c r="CX153" s="117"/>
      <c r="CY153" s="117"/>
      <c r="CZ153" s="117"/>
      <c r="DA153" s="117"/>
      <c r="DB153" s="117"/>
      <c r="DC153" s="117"/>
      <c r="DD153" s="117"/>
      <c r="DE153" s="117"/>
      <c r="DF153" s="117"/>
      <c r="DG153" s="117"/>
      <c r="DH153" s="117"/>
      <c r="DI153" s="117"/>
      <c r="DJ153" s="117"/>
      <c r="DK153" s="117"/>
      <c r="DL153" s="117"/>
      <c r="DM153" s="117"/>
      <c r="DN153" s="117"/>
      <c r="DO153" s="117"/>
      <c r="DP153" s="117"/>
      <c r="DQ153" s="117"/>
      <c r="DR153" s="117"/>
      <c r="DS153" s="117"/>
      <c r="DT153" s="117"/>
      <c r="DU153" s="117"/>
      <c r="DV153" s="117"/>
      <c r="DW153" s="117"/>
      <c r="DX153" s="117"/>
      <c r="DY153" s="117"/>
      <c r="DZ153" s="117"/>
      <c r="EA153" s="117"/>
      <c r="EB153" s="117"/>
      <c r="EC153" s="117"/>
      <c r="ED153" s="117"/>
      <c r="EE153" s="117"/>
      <c r="EF153" s="117"/>
      <c r="EG153" s="117"/>
      <c r="EH153" s="117"/>
      <c r="EI153" s="117"/>
      <c r="EJ153" s="117"/>
      <c r="EK153" s="117"/>
    </row>
    <row r="154" spans="1:141" s="129" customFormat="1" x14ac:dyDescent="0.2">
      <c r="B154" s="242"/>
      <c r="C154" s="143"/>
      <c r="D154" s="157"/>
      <c r="E154" s="157"/>
      <c r="F154" s="157"/>
      <c r="G154" s="157"/>
      <c r="H154" s="157"/>
      <c r="I154" s="157"/>
      <c r="J154" s="128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42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  <c r="AJ154" s="117"/>
      <c r="AK154" s="117"/>
      <c r="AL154" s="117"/>
      <c r="AM154" s="117"/>
      <c r="AN154" s="117"/>
      <c r="AO154" s="117"/>
      <c r="AP154" s="117"/>
      <c r="AQ154" s="117"/>
      <c r="AR154" s="117"/>
      <c r="AS154" s="117"/>
      <c r="AT154" s="117"/>
      <c r="AU154" s="117"/>
      <c r="AV154" s="117"/>
      <c r="AW154" s="117"/>
      <c r="AX154" s="117"/>
      <c r="AY154" s="117"/>
      <c r="AZ154" s="117"/>
      <c r="BA154" s="117"/>
      <c r="BB154" s="117"/>
      <c r="BC154" s="117"/>
      <c r="BD154" s="117"/>
      <c r="BE154" s="117"/>
      <c r="BF154" s="117"/>
      <c r="BG154" s="117"/>
      <c r="BH154" s="117"/>
      <c r="BI154" s="117"/>
      <c r="BJ154" s="117"/>
      <c r="BK154" s="117"/>
      <c r="BL154" s="117"/>
      <c r="BM154" s="117"/>
      <c r="BN154" s="117"/>
      <c r="BO154" s="117"/>
      <c r="BP154" s="117"/>
      <c r="BQ154" s="117"/>
      <c r="BR154" s="117"/>
      <c r="BS154" s="117"/>
      <c r="BT154" s="117"/>
      <c r="BU154" s="117"/>
      <c r="BV154" s="117"/>
      <c r="BW154" s="117"/>
      <c r="BX154" s="117"/>
      <c r="BY154" s="117"/>
      <c r="BZ154" s="117"/>
      <c r="CA154" s="117"/>
      <c r="CB154" s="117"/>
      <c r="CC154" s="117"/>
      <c r="CD154" s="117"/>
      <c r="CE154" s="117"/>
      <c r="CF154" s="117"/>
      <c r="CG154" s="117"/>
      <c r="CH154" s="117"/>
      <c r="CI154" s="117"/>
      <c r="CJ154" s="117"/>
      <c r="CK154" s="117"/>
      <c r="CL154" s="117"/>
      <c r="CM154" s="117"/>
      <c r="CN154" s="117"/>
      <c r="CO154" s="117"/>
      <c r="CP154" s="117"/>
      <c r="CQ154" s="117"/>
      <c r="CR154" s="117"/>
      <c r="CS154" s="117"/>
      <c r="CT154" s="117"/>
      <c r="CU154" s="117"/>
      <c r="CV154" s="117"/>
      <c r="CW154" s="117"/>
      <c r="CX154" s="117"/>
      <c r="CY154" s="117"/>
      <c r="CZ154" s="117"/>
      <c r="DA154" s="117"/>
      <c r="DB154" s="117"/>
      <c r="DC154" s="117"/>
      <c r="DD154" s="117"/>
      <c r="DE154" s="117"/>
      <c r="DF154" s="117"/>
      <c r="DG154" s="117"/>
      <c r="DH154" s="117"/>
      <c r="DI154" s="117"/>
      <c r="DJ154" s="117"/>
      <c r="DK154" s="117"/>
      <c r="DL154" s="117"/>
      <c r="DM154" s="117"/>
      <c r="DN154" s="117"/>
      <c r="DO154" s="117"/>
      <c r="DP154" s="117"/>
      <c r="DQ154" s="117"/>
      <c r="DR154" s="117"/>
      <c r="DS154" s="117"/>
      <c r="DT154" s="117"/>
      <c r="DU154" s="117"/>
      <c r="DV154" s="117"/>
      <c r="DW154" s="117"/>
      <c r="DX154" s="117"/>
      <c r="DY154" s="117"/>
      <c r="DZ154" s="117"/>
      <c r="EA154" s="117"/>
      <c r="EB154" s="117"/>
      <c r="EC154" s="117"/>
      <c r="ED154" s="117"/>
      <c r="EE154" s="117"/>
      <c r="EF154" s="117"/>
      <c r="EG154" s="117"/>
      <c r="EH154" s="117"/>
      <c r="EI154" s="117"/>
      <c r="EJ154" s="117"/>
      <c r="EK154" s="117"/>
    </row>
    <row r="155" spans="1:141" s="129" customFormat="1" x14ac:dyDescent="0.2">
      <c r="A155" s="141">
        <v>6</v>
      </c>
      <c r="B155" s="146" t="s">
        <v>110</v>
      </c>
      <c r="C155" s="125" t="s">
        <v>17</v>
      </c>
      <c r="D155" s="122">
        <f>3.8*'II-H-3.1-3'!P87</f>
        <v>0</v>
      </c>
      <c r="E155" s="122">
        <f>154.62*'II-H-3.1-3'!P87</f>
        <v>0</v>
      </c>
      <c r="F155" s="122">
        <f>'II-H-4.1 Dist kW'!P115*2.945*(1-$W$23)</f>
        <v>0</v>
      </c>
      <c r="G155" s="122"/>
      <c r="H155" s="122"/>
      <c r="I155" s="122">
        <f>SUM(D155:H155)</f>
        <v>0</v>
      </c>
      <c r="J155" s="142"/>
      <c r="K155" s="195"/>
      <c r="L155" s="195"/>
      <c r="M155" s="195"/>
      <c r="N155" s="195"/>
      <c r="O155" s="195"/>
      <c r="P155" s="195"/>
      <c r="Q155" s="122">
        <f>-7.07*'II-H-3.1-3'!P87</f>
        <v>0</v>
      </c>
      <c r="R155" s="122"/>
      <c r="S155" s="142">
        <f>SUM(K155:Q155)</f>
        <v>0</v>
      </c>
      <c r="T155" s="142"/>
      <c r="U155" s="142">
        <f>S155+I155</f>
        <v>0</v>
      </c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  <c r="AJ155" s="117"/>
      <c r="AK155" s="117"/>
      <c r="AL155" s="117"/>
      <c r="AM155" s="117"/>
      <c r="AN155" s="117"/>
      <c r="AO155" s="117"/>
      <c r="AP155" s="117"/>
      <c r="AQ155" s="117"/>
      <c r="AR155" s="117"/>
      <c r="AS155" s="117"/>
      <c r="AT155" s="117"/>
      <c r="AU155" s="117"/>
      <c r="AV155" s="117"/>
      <c r="AW155" s="117"/>
      <c r="AX155" s="117"/>
      <c r="AY155" s="117"/>
      <c r="AZ155" s="117"/>
      <c r="BA155" s="117"/>
      <c r="BB155" s="117"/>
      <c r="BC155" s="117"/>
      <c r="BD155" s="117"/>
      <c r="BE155" s="117"/>
      <c r="BF155" s="117"/>
      <c r="BG155" s="117"/>
      <c r="BH155" s="117"/>
      <c r="BI155" s="117"/>
      <c r="BJ155" s="117"/>
      <c r="BK155" s="117"/>
      <c r="BL155" s="117"/>
      <c r="BM155" s="117"/>
      <c r="BN155" s="117"/>
      <c r="BO155" s="117"/>
      <c r="BP155" s="117"/>
      <c r="BQ155" s="117"/>
      <c r="BR155" s="117"/>
      <c r="BS155" s="117"/>
      <c r="BT155" s="117"/>
      <c r="BU155" s="117"/>
      <c r="BV155" s="117"/>
      <c r="BW155" s="117"/>
      <c r="BX155" s="117"/>
      <c r="BY155" s="117"/>
      <c r="BZ155" s="117"/>
      <c r="CA155" s="117"/>
      <c r="CB155" s="117"/>
      <c r="CC155" s="117"/>
      <c r="CD155" s="117"/>
      <c r="CE155" s="117"/>
      <c r="CF155" s="117"/>
      <c r="CG155" s="117"/>
      <c r="CH155" s="117"/>
      <c r="CI155" s="117"/>
      <c r="CJ155" s="117"/>
      <c r="CK155" s="117"/>
      <c r="CL155" s="117"/>
      <c r="CM155" s="117"/>
      <c r="CN155" s="117"/>
      <c r="CO155" s="117"/>
      <c r="CP155" s="117"/>
      <c r="CQ155" s="117"/>
      <c r="CR155" s="117"/>
      <c r="CS155" s="117"/>
      <c r="CT155" s="117"/>
      <c r="CU155" s="117"/>
      <c r="CV155" s="117"/>
      <c r="CW155" s="117"/>
      <c r="CX155" s="117"/>
      <c r="CY155" s="117"/>
      <c r="CZ155" s="117"/>
      <c r="DA155" s="117"/>
      <c r="DB155" s="117"/>
      <c r="DC155" s="117"/>
      <c r="DD155" s="117"/>
      <c r="DE155" s="117"/>
      <c r="DF155" s="117"/>
      <c r="DG155" s="117"/>
      <c r="DH155" s="117"/>
      <c r="DI155" s="117"/>
      <c r="DJ155" s="117"/>
      <c r="DK155" s="117"/>
      <c r="DL155" s="117"/>
      <c r="DM155" s="117"/>
      <c r="DN155" s="117"/>
      <c r="DO155" s="117"/>
      <c r="DP155" s="117"/>
      <c r="DQ155" s="117"/>
      <c r="DR155" s="117"/>
      <c r="DS155" s="117"/>
      <c r="DT155" s="117"/>
      <c r="DU155" s="117"/>
      <c r="DV155" s="117"/>
      <c r="DW155" s="117"/>
      <c r="DX155" s="117"/>
      <c r="DY155" s="117"/>
      <c r="DZ155" s="117"/>
      <c r="EA155" s="117"/>
      <c r="EB155" s="117"/>
      <c r="EC155" s="117"/>
      <c r="ED155" s="117"/>
      <c r="EE155" s="117"/>
      <c r="EF155" s="117"/>
      <c r="EG155" s="117"/>
      <c r="EH155" s="117"/>
      <c r="EI155" s="117"/>
      <c r="EJ155" s="117"/>
      <c r="EK155" s="117"/>
    </row>
    <row r="156" spans="1:141" s="129" customFormat="1" x14ac:dyDescent="0.2">
      <c r="A156" s="141">
        <v>7</v>
      </c>
      <c r="B156" s="146" t="s">
        <v>111</v>
      </c>
      <c r="C156" s="125" t="s">
        <v>17</v>
      </c>
      <c r="D156" s="123">
        <f>28.41*'II-H-3.1-3'!P88</f>
        <v>0</v>
      </c>
      <c r="E156" s="123">
        <f>154.62*'II-H-3.1-3'!P88</f>
        <v>0</v>
      </c>
      <c r="F156" s="123">
        <f>'II-H-4.1 Dist kW'!P116*2.945*(1-$W$24)</f>
        <v>0</v>
      </c>
      <c r="G156" s="123"/>
      <c r="H156" s="123"/>
      <c r="I156" s="123">
        <f>SUM(D156:H156)</f>
        <v>0</v>
      </c>
      <c r="J156" s="142"/>
      <c r="K156" s="196"/>
      <c r="L156" s="196"/>
      <c r="M156" s="196"/>
      <c r="N156" s="196"/>
      <c r="O156" s="196"/>
      <c r="P156" s="196"/>
      <c r="Q156" s="123"/>
      <c r="R156" s="123"/>
      <c r="S156" s="123">
        <f>SUM(K156:Q156)</f>
        <v>0</v>
      </c>
      <c r="T156" s="142"/>
      <c r="U156" s="123">
        <f>S156+I156</f>
        <v>0</v>
      </c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7"/>
      <c r="AL156" s="117"/>
      <c r="AM156" s="117"/>
      <c r="AN156" s="117"/>
      <c r="AO156" s="117"/>
      <c r="AP156" s="117"/>
      <c r="AQ156" s="117"/>
      <c r="AR156" s="117"/>
      <c r="AS156" s="117"/>
      <c r="AT156" s="117"/>
      <c r="AU156" s="117"/>
      <c r="AV156" s="117"/>
      <c r="AW156" s="117"/>
      <c r="AX156" s="117"/>
      <c r="AY156" s="117"/>
      <c r="AZ156" s="117"/>
      <c r="BA156" s="117"/>
      <c r="BB156" s="117"/>
      <c r="BC156" s="117"/>
      <c r="BD156" s="117"/>
      <c r="BE156" s="117"/>
      <c r="BF156" s="117"/>
      <c r="BG156" s="117"/>
      <c r="BH156" s="117"/>
      <c r="BI156" s="117"/>
      <c r="BJ156" s="117"/>
      <c r="BK156" s="117"/>
      <c r="BL156" s="117"/>
      <c r="BM156" s="117"/>
      <c r="BN156" s="117"/>
      <c r="BO156" s="117"/>
      <c r="BP156" s="117"/>
      <c r="BQ156" s="117"/>
      <c r="BR156" s="117"/>
      <c r="BS156" s="117"/>
      <c r="BT156" s="117"/>
      <c r="BU156" s="117"/>
      <c r="BV156" s="117"/>
      <c r="BW156" s="117"/>
      <c r="BX156" s="117"/>
      <c r="BY156" s="117"/>
      <c r="BZ156" s="117"/>
      <c r="CA156" s="117"/>
      <c r="CB156" s="117"/>
      <c r="CC156" s="117"/>
      <c r="CD156" s="117"/>
      <c r="CE156" s="117"/>
      <c r="CF156" s="117"/>
      <c r="CG156" s="117"/>
      <c r="CH156" s="117"/>
      <c r="CI156" s="117"/>
      <c r="CJ156" s="117"/>
      <c r="CK156" s="117"/>
      <c r="CL156" s="117"/>
      <c r="CM156" s="117"/>
      <c r="CN156" s="117"/>
      <c r="CO156" s="117"/>
      <c r="CP156" s="117"/>
      <c r="CQ156" s="117"/>
      <c r="CR156" s="117"/>
      <c r="CS156" s="117"/>
      <c r="CT156" s="117"/>
      <c r="CU156" s="117"/>
      <c r="CV156" s="117"/>
      <c r="CW156" s="117"/>
      <c r="CX156" s="117"/>
      <c r="CY156" s="117"/>
      <c r="CZ156" s="117"/>
      <c r="DA156" s="117"/>
      <c r="DB156" s="117"/>
      <c r="DC156" s="117"/>
      <c r="DD156" s="117"/>
      <c r="DE156" s="117"/>
      <c r="DF156" s="117"/>
      <c r="DG156" s="117"/>
      <c r="DH156" s="117"/>
      <c r="DI156" s="117"/>
      <c r="DJ156" s="117"/>
      <c r="DK156" s="117"/>
      <c r="DL156" s="117"/>
      <c r="DM156" s="117"/>
      <c r="DN156" s="117"/>
      <c r="DO156" s="117"/>
      <c r="DP156" s="117"/>
      <c r="DQ156" s="117"/>
      <c r="DR156" s="117"/>
      <c r="DS156" s="117"/>
      <c r="DT156" s="117"/>
      <c r="DU156" s="117"/>
      <c r="DV156" s="117"/>
      <c r="DW156" s="117"/>
      <c r="DX156" s="117"/>
      <c r="DY156" s="117"/>
      <c r="DZ156" s="117"/>
      <c r="EA156" s="117"/>
      <c r="EB156" s="117"/>
      <c r="EC156" s="117"/>
      <c r="ED156" s="117"/>
      <c r="EE156" s="117"/>
      <c r="EF156" s="117"/>
      <c r="EG156" s="117"/>
      <c r="EH156" s="117"/>
      <c r="EI156" s="117"/>
      <c r="EJ156" s="117"/>
      <c r="EK156" s="117"/>
    </row>
    <row r="157" spans="1:141" s="129" customFormat="1" x14ac:dyDescent="0.2">
      <c r="A157" s="141">
        <v>8</v>
      </c>
      <c r="B157" s="129" t="s">
        <v>31</v>
      </c>
      <c r="C157" s="125"/>
      <c r="D157" s="122">
        <f>SUM(D155:D156)</f>
        <v>0</v>
      </c>
      <c r="E157" s="122">
        <f>SUM(E155:E156)</f>
        <v>0</v>
      </c>
      <c r="F157" s="122">
        <f>SUM(F155:F156)</f>
        <v>0</v>
      </c>
      <c r="G157" s="122">
        <f>SUM(G155:G156)</f>
        <v>0</v>
      </c>
      <c r="H157" s="122">
        <f>SUM(H155:H156)</f>
        <v>0</v>
      </c>
      <c r="I157" s="122">
        <f>SUM(D157:H157)</f>
        <v>0</v>
      </c>
      <c r="J157" s="142"/>
      <c r="K157" s="195">
        <f t="shared" ref="K157:Q157" si="56">SUM(K155:K156)</f>
        <v>0</v>
      </c>
      <c r="L157" s="195">
        <f t="shared" si="56"/>
        <v>0</v>
      </c>
      <c r="M157" s="195"/>
      <c r="N157" s="195">
        <f t="shared" si="56"/>
        <v>0</v>
      </c>
      <c r="O157" s="195">
        <f t="shared" si="56"/>
        <v>0</v>
      </c>
      <c r="P157" s="195">
        <f t="shared" si="56"/>
        <v>0</v>
      </c>
      <c r="Q157" s="195">
        <f t="shared" si="56"/>
        <v>0</v>
      </c>
      <c r="R157" s="195"/>
      <c r="S157" s="144">
        <f>SUM(K157:Q157)</f>
        <v>0</v>
      </c>
      <c r="T157" s="144"/>
      <c r="U157" s="142">
        <f>S157+I157</f>
        <v>0</v>
      </c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  <c r="AJ157" s="117"/>
      <c r="AK157" s="117"/>
      <c r="AL157" s="117"/>
      <c r="AM157" s="117"/>
      <c r="AN157" s="117"/>
      <c r="AO157" s="117"/>
      <c r="AP157" s="117"/>
      <c r="AQ157" s="117"/>
      <c r="AR157" s="117"/>
      <c r="AS157" s="117"/>
      <c r="AT157" s="117"/>
      <c r="AU157" s="117"/>
      <c r="AV157" s="117"/>
      <c r="AW157" s="117"/>
      <c r="AX157" s="117"/>
      <c r="AY157" s="117"/>
      <c r="AZ157" s="117"/>
      <c r="BA157" s="117"/>
      <c r="BB157" s="117"/>
      <c r="BC157" s="117"/>
      <c r="BD157" s="117"/>
      <c r="BE157" s="117"/>
      <c r="BF157" s="117"/>
      <c r="BG157" s="117"/>
      <c r="BH157" s="117"/>
      <c r="BI157" s="117"/>
      <c r="BJ157" s="117"/>
      <c r="BK157" s="117"/>
      <c r="BL157" s="117"/>
      <c r="BM157" s="117"/>
      <c r="BN157" s="117"/>
      <c r="BO157" s="117"/>
      <c r="BP157" s="117"/>
      <c r="BQ157" s="117"/>
      <c r="BR157" s="117"/>
      <c r="BS157" s="117"/>
      <c r="BT157" s="117"/>
      <c r="BU157" s="117"/>
      <c r="BV157" s="117"/>
      <c r="BW157" s="117"/>
      <c r="BX157" s="117"/>
      <c r="BY157" s="117"/>
      <c r="BZ157" s="117"/>
      <c r="CA157" s="117"/>
      <c r="CB157" s="117"/>
      <c r="CC157" s="117"/>
      <c r="CD157" s="117"/>
      <c r="CE157" s="117"/>
      <c r="CF157" s="117"/>
      <c r="CG157" s="117"/>
      <c r="CH157" s="117"/>
      <c r="CI157" s="117"/>
      <c r="CJ157" s="117"/>
      <c r="CK157" s="117"/>
      <c r="CL157" s="117"/>
      <c r="CM157" s="117"/>
      <c r="CN157" s="117"/>
      <c r="CO157" s="117"/>
      <c r="CP157" s="117"/>
      <c r="CQ157" s="117"/>
      <c r="CR157" s="117"/>
      <c r="CS157" s="117"/>
      <c r="CT157" s="117"/>
      <c r="CU157" s="117"/>
      <c r="CV157" s="117"/>
      <c r="CW157" s="117"/>
      <c r="CX157" s="117"/>
      <c r="CY157" s="117"/>
      <c r="CZ157" s="117"/>
      <c r="DA157" s="117"/>
      <c r="DB157" s="117"/>
      <c r="DC157" s="117"/>
      <c r="DD157" s="117"/>
      <c r="DE157" s="117"/>
      <c r="DF157" s="117"/>
      <c r="DG157" s="117"/>
      <c r="DH157" s="117"/>
      <c r="DI157" s="117"/>
      <c r="DJ157" s="117"/>
      <c r="DK157" s="117"/>
      <c r="DL157" s="117"/>
      <c r="DM157" s="117"/>
      <c r="DN157" s="117"/>
      <c r="DO157" s="117"/>
      <c r="DP157" s="117"/>
      <c r="DQ157" s="117"/>
      <c r="DR157" s="117"/>
      <c r="DS157" s="117"/>
      <c r="DT157" s="117"/>
      <c r="DU157" s="117"/>
      <c r="DV157" s="117"/>
      <c r="DW157" s="117"/>
      <c r="DX157" s="117"/>
      <c r="DY157" s="117"/>
      <c r="DZ157" s="117"/>
      <c r="EA157" s="117"/>
      <c r="EB157" s="117"/>
      <c r="EC157" s="117"/>
      <c r="ED157" s="117"/>
      <c r="EE157" s="117"/>
      <c r="EF157" s="117"/>
      <c r="EG157" s="117"/>
      <c r="EH157" s="117"/>
      <c r="EI157" s="117"/>
      <c r="EJ157" s="117"/>
      <c r="EK157" s="117"/>
    </row>
    <row r="158" spans="1:141" s="129" customFormat="1" x14ac:dyDescent="0.2">
      <c r="A158" s="141"/>
      <c r="C158" s="125"/>
      <c r="D158" s="122"/>
      <c r="E158" s="122"/>
      <c r="F158" s="122"/>
      <c r="G158" s="122"/>
      <c r="H158" s="122"/>
      <c r="I158" s="122"/>
      <c r="J158" s="142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42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7"/>
      <c r="AM158" s="117"/>
      <c r="AN158" s="117"/>
      <c r="AO158" s="117"/>
      <c r="AP158" s="117"/>
      <c r="AQ158" s="117"/>
      <c r="AR158" s="117"/>
      <c r="AS158" s="117"/>
      <c r="AT158" s="117"/>
      <c r="AU158" s="117"/>
      <c r="AV158" s="117"/>
      <c r="AW158" s="117"/>
      <c r="AX158" s="117"/>
      <c r="AY158" s="117"/>
      <c r="AZ158" s="117"/>
      <c r="BA158" s="117"/>
      <c r="BB158" s="117"/>
      <c r="BC158" s="117"/>
      <c r="BD158" s="117"/>
      <c r="BE158" s="117"/>
      <c r="BF158" s="117"/>
      <c r="BG158" s="117"/>
      <c r="BH158" s="117"/>
      <c r="BI158" s="117"/>
      <c r="BJ158" s="117"/>
      <c r="BK158" s="117"/>
      <c r="BL158" s="117"/>
      <c r="BM158" s="117"/>
      <c r="BN158" s="117"/>
      <c r="BO158" s="117"/>
      <c r="BP158" s="117"/>
      <c r="BQ158" s="117"/>
      <c r="BR158" s="117"/>
      <c r="BS158" s="117"/>
      <c r="BT158" s="117"/>
      <c r="BU158" s="117"/>
      <c r="BV158" s="117"/>
      <c r="BW158" s="117"/>
      <c r="BX158" s="117"/>
      <c r="BY158" s="117"/>
      <c r="BZ158" s="117"/>
      <c r="CA158" s="117"/>
      <c r="CB158" s="117"/>
      <c r="CC158" s="117"/>
      <c r="CD158" s="117"/>
      <c r="CE158" s="117"/>
      <c r="CF158" s="117"/>
      <c r="CG158" s="117"/>
      <c r="CH158" s="117"/>
      <c r="CI158" s="117"/>
      <c r="CJ158" s="117"/>
      <c r="CK158" s="117"/>
      <c r="CL158" s="117"/>
      <c r="CM158" s="117"/>
      <c r="CN158" s="117"/>
      <c r="CO158" s="117"/>
      <c r="CP158" s="117"/>
      <c r="CQ158" s="117"/>
      <c r="CR158" s="117"/>
      <c r="CS158" s="117"/>
      <c r="CT158" s="117"/>
      <c r="CU158" s="117"/>
      <c r="CV158" s="117"/>
      <c r="CW158" s="117"/>
      <c r="CX158" s="117"/>
      <c r="CY158" s="117"/>
      <c r="CZ158" s="117"/>
      <c r="DA158" s="117"/>
      <c r="DB158" s="117"/>
      <c r="DC158" s="117"/>
      <c r="DD158" s="117"/>
      <c r="DE158" s="117"/>
      <c r="DF158" s="117"/>
      <c r="DG158" s="117"/>
      <c r="DH158" s="117"/>
      <c r="DI158" s="117"/>
      <c r="DJ158" s="117"/>
      <c r="DK158" s="117"/>
      <c r="DL158" s="117"/>
      <c r="DM158" s="117"/>
      <c r="DN158" s="117"/>
      <c r="DO158" s="117"/>
      <c r="DP158" s="117"/>
      <c r="DQ158" s="117"/>
      <c r="DR158" s="117"/>
      <c r="DS158" s="117"/>
      <c r="DT158" s="117"/>
      <c r="DU158" s="117"/>
      <c r="DV158" s="117"/>
      <c r="DW158" s="117"/>
      <c r="DX158" s="117"/>
      <c r="DY158" s="117"/>
      <c r="DZ158" s="117"/>
      <c r="EA158" s="117"/>
      <c r="EB158" s="117"/>
      <c r="EC158" s="117"/>
      <c r="ED158" s="117"/>
      <c r="EE158" s="117"/>
      <c r="EF158" s="117"/>
      <c r="EG158" s="117"/>
      <c r="EH158" s="117"/>
      <c r="EI158" s="117"/>
      <c r="EJ158" s="117"/>
      <c r="EK158" s="117"/>
    </row>
    <row r="159" spans="1:141" s="129" customFormat="1" x14ac:dyDescent="0.2">
      <c r="A159" s="141">
        <v>9</v>
      </c>
      <c r="B159" s="162" t="s">
        <v>115</v>
      </c>
      <c r="C159" s="125" t="s">
        <v>18</v>
      </c>
      <c r="D159" s="122"/>
      <c r="E159" s="122"/>
      <c r="F159" s="122"/>
      <c r="G159" s="122"/>
      <c r="H159" s="122"/>
      <c r="I159" s="122">
        <f>SUM(D159:H159)</f>
        <v>0</v>
      </c>
      <c r="J159" s="142"/>
      <c r="K159" s="195"/>
      <c r="L159" s="195"/>
      <c r="M159" s="195"/>
      <c r="N159" s="195"/>
      <c r="O159" s="195"/>
      <c r="P159" s="195"/>
      <c r="Q159" s="195"/>
      <c r="R159" s="195"/>
      <c r="S159" s="142">
        <f>SUM(K159:Q159)</f>
        <v>0</v>
      </c>
      <c r="T159" s="142"/>
      <c r="U159" s="142">
        <f>S159+I159</f>
        <v>0</v>
      </c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7"/>
      <c r="AK159" s="117"/>
      <c r="AL159" s="117"/>
      <c r="AM159" s="117"/>
      <c r="AN159" s="117"/>
      <c r="AO159" s="117"/>
      <c r="AP159" s="117"/>
      <c r="AQ159" s="117"/>
      <c r="AR159" s="117"/>
      <c r="AS159" s="117"/>
      <c r="AT159" s="117"/>
      <c r="AU159" s="117"/>
      <c r="AV159" s="117"/>
      <c r="AW159" s="117"/>
      <c r="AX159" s="117"/>
      <c r="AY159" s="117"/>
      <c r="AZ159" s="117"/>
      <c r="BA159" s="117"/>
      <c r="BB159" s="117"/>
      <c r="BC159" s="117"/>
      <c r="BD159" s="117"/>
      <c r="BE159" s="117"/>
      <c r="BF159" s="117"/>
      <c r="BG159" s="117"/>
      <c r="BH159" s="117"/>
      <c r="BI159" s="117"/>
      <c r="BJ159" s="117"/>
      <c r="BK159" s="117"/>
      <c r="BL159" s="117"/>
      <c r="BM159" s="117"/>
      <c r="BN159" s="117"/>
      <c r="BO159" s="117"/>
      <c r="BP159" s="117"/>
      <c r="BQ159" s="117"/>
      <c r="BR159" s="117"/>
      <c r="BS159" s="117"/>
      <c r="BT159" s="117"/>
      <c r="BU159" s="117"/>
      <c r="BV159" s="117"/>
      <c r="BW159" s="117"/>
      <c r="BX159" s="117"/>
      <c r="BY159" s="117"/>
      <c r="BZ159" s="117"/>
      <c r="CA159" s="117"/>
      <c r="CB159" s="117"/>
      <c r="CC159" s="117"/>
      <c r="CD159" s="117"/>
      <c r="CE159" s="117"/>
      <c r="CF159" s="117"/>
      <c r="CG159" s="117"/>
      <c r="CH159" s="117"/>
      <c r="CI159" s="117"/>
      <c r="CJ159" s="117"/>
      <c r="CK159" s="117"/>
      <c r="CL159" s="117"/>
      <c r="CM159" s="117"/>
      <c r="CN159" s="117"/>
      <c r="CO159" s="117"/>
      <c r="CP159" s="117"/>
      <c r="CQ159" s="117"/>
      <c r="CR159" s="117"/>
      <c r="CS159" s="117"/>
      <c r="CT159" s="117"/>
      <c r="CU159" s="117"/>
      <c r="CV159" s="117"/>
      <c r="CW159" s="117"/>
      <c r="CX159" s="117"/>
      <c r="CY159" s="117"/>
      <c r="CZ159" s="117"/>
      <c r="DA159" s="117"/>
      <c r="DB159" s="117"/>
      <c r="DC159" s="117"/>
      <c r="DD159" s="117"/>
      <c r="DE159" s="117"/>
      <c r="DF159" s="117"/>
      <c r="DG159" s="117"/>
      <c r="DH159" s="117"/>
      <c r="DI159" s="117"/>
      <c r="DJ159" s="117"/>
      <c r="DK159" s="117"/>
      <c r="DL159" s="117"/>
      <c r="DM159" s="117"/>
      <c r="DN159" s="117"/>
      <c r="DO159" s="117"/>
      <c r="DP159" s="117"/>
      <c r="DQ159" s="117"/>
      <c r="DR159" s="117"/>
      <c r="DS159" s="117"/>
      <c r="DT159" s="117"/>
      <c r="DU159" s="117"/>
      <c r="DV159" s="117"/>
      <c r="DW159" s="117"/>
      <c r="DX159" s="117"/>
      <c r="DY159" s="117"/>
      <c r="DZ159" s="117"/>
      <c r="EA159" s="117"/>
      <c r="EB159" s="117"/>
      <c r="EC159" s="117"/>
      <c r="ED159" s="117"/>
      <c r="EE159" s="117"/>
      <c r="EF159" s="117"/>
      <c r="EG159" s="117"/>
      <c r="EH159" s="117"/>
      <c r="EI159" s="117"/>
      <c r="EJ159" s="117"/>
      <c r="EK159" s="117"/>
    </row>
    <row r="160" spans="1:141" s="129" customFormat="1" x14ac:dyDescent="0.2">
      <c r="C160" s="143"/>
      <c r="D160" s="203"/>
      <c r="E160" s="203"/>
      <c r="F160" s="203"/>
      <c r="G160" s="203"/>
      <c r="H160" s="203"/>
      <c r="I160" s="157"/>
      <c r="J160" s="128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42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  <c r="AI160" s="117"/>
      <c r="AJ160" s="117"/>
      <c r="AK160" s="117"/>
      <c r="AL160" s="117"/>
      <c r="AM160" s="117"/>
      <c r="AN160" s="117"/>
      <c r="AO160" s="117"/>
      <c r="AP160" s="117"/>
      <c r="AQ160" s="117"/>
      <c r="AR160" s="117"/>
      <c r="AS160" s="117"/>
      <c r="AT160" s="117"/>
      <c r="AU160" s="117"/>
      <c r="AV160" s="117"/>
      <c r="AW160" s="117"/>
      <c r="AX160" s="117"/>
      <c r="AY160" s="117"/>
      <c r="AZ160" s="117"/>
      <c r="BA160" s="117"/>
      <c r="BB160" s="117"/>
      <c r="BC160" s="117"/>
      <c r="BD160" s="117"/>
      <c r="BE160" s="117"/>
      <c r="BF160" s="117"/>
      <c r="BG160" s="117"/>
      <c r="BH160" s="117"/>
      <c r="BI160" s="117"/>
      <c r="BJ160" s="117"/>
      <c r="BK160" s="117"/>
      <c r="BL160" s="117"/>
      <c r="BM160" s="117"/>
      <c r="BN160" s="117"/>
      <c r="BO160" s="117"/>
      <c r="BP160" s="117"/>
      <c r="BQ160" s="117"/>
      <c r="BR160" s="117"/>
      <c r="BS160" s="117"/>
      <c r="BT160" s="117"/>
      <c r="BU160" s="117"/>
      <c r="BV160" s="117"/>
      <c r="BW160" s="117"/>
      <c r="BX160" s="117"/>
      <c r="BY160" s="117"/>
      <c r="BZ160" s="117"/>
      <c r="CA160" s="117"/>
      <c r="CB160" s="117"/>
      <c r="CC160" s="117"/>
      <c r="CD160" s="117"/>
      <c r="CE160" s="117"/>
      <c r="CF160" s="117"/>
      <c r="CG160" s="117"/>
      <c r="CH160" s="117"/>
      <c r="CI160" s="117"/>
      <c r="CJ160" s="117"/>
      <c r="CK160" s="117"/>
      <c r="CL160" s="117"/>
      <c r="CM160" s="117"/>
      <c r="CN160" s="117"/>
      <c r="CO160" s="117"/>
      <c r="CP160" s="117"/>
      <c r="CQ160" s="117"/>
      <c r="CR160" s="117"/>
      <c r="CS160" s="117"/>
      <c r="CT160" s="117"/>
      <c r="CU160" s="117"/>
      <c r="CV160" s="117"/>
      <c r="CW160" s="117"/>
      <c r="CX160" s="117"/>
      <c r="CY160" s="117"/>
      <c r="CZ160" s="117"/>
      <c r="DA160" s="117"/>
      <c r="DB160" s="117"/>
      <c r="DC160" s="117"/>
      <c r="DD160" s="117"/>
      <c r="DE160" s="117"/>
      <c r="DF160" s="117"/>
      <c r="DG160" s="117"/>
      <c r="DH160" s="117"/>
      <c r="DI160" s="117"/>
      <c r="DJ160" s="117"/>
      <c r="DK160" s="117"/>
      <c r="DL160" s="117"/>
      <c r="DM160" s="117"/>
      <c r="DN160" s="117"/>
      <c r="DO160" s="117"/>
      <c r="DP160" s="117"/>
      <c r="DQ160" s="117"/>
      <c r="DR160" s="117"/>
      <c r="DS160" s="117"/>
      <c r="DT160" s="117"/>
      <c r="DU160" s="117"/>
      <c r="DV160" s="117"/>
      <c r="DW160" s="117"/>
      <c r="DX160" s="117"/>
      <c r="DY160" s="117"/>
      <c r="DZ160" s="117"/>
      <c r="EA160" s="117"/>
      <c r="EB160" s="117"/>
      <c r="EC160" s="117"/>
      <c r="ED160" s="117"/>
      <c r="EE160" s="117"/>
      <c r="EF160" s="117"/>
      <c r="EG160" s="117"/>
      <c r="EH160" s="117"/>
      <c r="EI160" s="117"/>
      <c r="EJ160" s="117"/>
      <c r="EK160" s="117"/>
    </row>
    <row r="161" spans="1:141" s="129" customFormat="1" x14ac:dyDescent="0.2">
      <c r="A161" s="141">
        <v>10</v>
      </c>
      <c r="B161" s="117" t="s">
        <v>33</v>
      </c>
      <c r="C161" s="125" t="s">
        <v>16</v>
      </c>
      <c r="D161" s="122"/>
      <c r="E161" s="122"/>
      <c r="F161" s="122"/>
      <c r="G161" s="122"/>
      <c r="H161" s="122"/>
      <c r="I161" s="122">
        <f>SUM(D161:H161)</f>
        <v>0</v>
      </c>
      <c r="J161" s="142"/>
      <c r="K161" s="195"/>
      <c r="L161" s="195"/>
      <c r="M161" s="195"/>
      <c r="N161" s="195"/>
      <c r="O161" s="195"/>
      <c r="P161" s="195"/>
      <c r="Q161" s="195"/>
      <c r="R161" s="195"/>
      <c r="S161" s="142">
        <f>SUM(K161:Q161)</f>
        <v>0</v>
      </c>
      <c r="T161" s="142"/>
      <c r="U161" s="142">
        <f>S161+I161</f>
        <v>0</v>
      </c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  <c r="AI161" s="117"/>
      <c r="AJ161" s="117"/>
      <c r="AK161" s="117"/>
      <c r="AL161" s="117"/>
      <c r="AM161" s="117"/>
      <c r="AN161" s="117"/>
      <c r="AO161" s="117"/>
      <c r="AP161" s="117"/>
      <c r="AQ161" s="117"/>
      <c r="AR161" s="117"/>
      <c r="AS161" s="117"/>
      <c r="AT161" s="117"/>
      <c r="AU161" s="117"/>
      <c r="AV161" s="117"/>
      <c r="AW161" s="117"/>
      <c r="AX161" s="117"/>
      <c r="AY161" s="117"/>
      <c r="AZ161" s="117"/>
      <c r="BA161" s="117"/>
      <c r="BB161" s="117"/>
      <c r="BC161" s="117"/>
      <c r="BD161" s="117"/>
      <c r="BE161" s="117"/>
      <c r="BF161" s="117"/>
      <c r="BG161" s="117"/>
      <c r="BH161" s="117"/>
      <c r="BI161" s="117"/>
      <c r="BJ161" s="117"/>
      <c r="BK161" s="117"/>
      <c r="BL161" s="117"/>
      <c r="BM161" s="117"/>
      <c r="BN161" s="117"/>
      <c r="BO161" s="117"/>
      <c r="BP161" s="117"/>
      <c r="BQ161" s="117"/>
      <c r="BR161" s="117"/>
      <c r="BS161" s="117"/>
      <c r="BT161" s="117"/>
      <c r="BU161" s="117"/>
      <c r="BV161" s="117"/>
      <c r="BW161" s="117"/>
      <c r="BX161" s="117"/>
      <c r="BY161" s="117"/>
      <c r="BZ161" s="117"/>
      <c r="CA161" s="117"/>
      <c r="CB161" s="117"/>
      <c r="CC161" s="117"/>
      <c r="CD161" s="117"/>
      <c r="CE161" s="117"/>
      <c r="CF161" s="117"/>
      <c r="CG161" s="117"/>
      <c r="CH161" s="117"/>
      <c r="CI161" s="117"/>
      <c r="CJ161" s="117"/>
      <c r="CK161" s="117"/>
      <c r="CL161" s="117"/>
      <c r="CM161" s="117"/>
      <c r="CN161" s="117"/>
      <c r="CO161" s="117"/>
      <c r="CP161" s="117"/>
      <c r="CQ161" s="117"/>
      <c r="CR161" s="117"/>
      <c r="CS161" s="117"/>
      <c r="CT161" s="117"/>
      <c r="CU161" s="117"/>
      <c r="CV161" s="117"/>
      <c r="CW161" s="117"/>
      <c r="CX161" s="117"/>
      <c r="CY161" s="117"/>
      <c r="CZ161" s="117"/>
      <c r="DA161" s="117"/>
      <c r="DB161" s="117"/>
      <c r="DC161" s="117"/>
      <c r="DD161" s="117"/>
      <c r="DE161" s="117"/>
      <c r="DF161" s="117"/>
      <c r="DG161" s="117"/>
      <c r="DH161" s="117"/>
      <c r="DI161" s="117"/>
      <c r="DJ161" s="117"/>
      <c r="DK161" s="117"/>
      <c r="DL161" s="117"/>
      <c r="DM161" s="117"/>
      <c r="DN161" s="117"/>
      <c r="DO161" s="117"/>
      <c r="DP161" s="117"/>
      <c r="DQ161" s="117"/>
      <c r="DR161" s="117"/>
      <c r="DS161" s="117"/>
      <c r="DT161" s="117"/>
      <c r="DU161" s="117"/>
      <c r="DV161" s="117"/>
      <c r="DW161" s="117"/>
      <c r="DX161" s="117"/>
      <c r="DY161" s="117"/>
      <c r="DZ161" s="117"/>
      <c r="EA161" s="117"/>
      <c r="EB161" s="117"/>
      <c r="EC161" s="117"/>
      <c r="ED161" s="117"/>
      <c r="EE161" s="117"/>
      <c r="EF161" s="117"/>
      <c r="EG161" s="117"/>
      <c r="EH161" s="117"/>
      <c r="EI161" s="117"/>
      <c r="EJ161" s="117"/>
      <c r="EK161" s="117"/>
    </row>
    <row r="162" spans="1:141" s="129" customFormat="1" x14ac:dyDescent="0.2">
      <c r="A162" s="141"/>
      <c r="C162" s="143"/>
      <c r="D162" s="157"/>
      <c r="E162" s="157"/>
      <c r="F162" s="157"/>
      <c r="G162" s="157"/>
      <c r="H162" s="157"/>
      <c r="I162" s="157"/>
      <c r="J162" s="128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42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117"/>
      <c r="AJ162" s="117"/>
      <c r="AK162" s="117"/>
      <c r="AL162" s="117"/>
      <c r="AM162" s="117"/>
      <c r="AN162" s="117"/>
      <c r="AO162" s="117"/>
      <c r="AP162" s="117"/>
      <c r="AQ162" s="117"/>
      <c r="AR162" s="117"/>
      <c r="AS162" s="117"/>
      <c r="AT162" s="117"/>
      <c r="AU162" s="117"/>
      <c r="AV162" s="117"/>
      <c r="AW162" s="117"/>
      <c r="AX162" s="117"/>
      <c r="AY162" s="117"/>
      <c r="AZ162" s="117"/>
      <c r="BA162" s="117"/>
      <c r="BB162" s="117"/>
      <c r="BC162" s="117"/>
      <c r="BD162" s="117"/>
      <c r="BE162" s="117"/>
      <c r="BF162" s="117"/>
      <c r="BG162" s="117"/>
      <c r="BH162" s="117"/>
      <c r="BI162" s="117"/>
      <c r="BJ162" s="117"/>
      <c r="BK162" s="117"/>
      <c r="BL162" s="117"/>
      <c r="BM162" s="117"/>
      <c r="BN162" s="117"/>
      <c r="BO162" s="117"/>
      <c r="BP162" s="117"/>
      <c r="BQ162" s="117"/>
      <c r="BR162" s="117"/>
      <c r="BS162" s="117"/>
      <c r="BT162" s="117"/>
      <c r="BU162" s="117"/>
      <c r="BV162" s="117"/>
      <c r="BW162" s="117"/>
      <c r="BX162" s="117"/>
      <c r="BY162" s="117"/>
      <c r="BZ162" s="117"/>
      <c r="CA162" s="117"/>
      <c r="CB162" s="117"/>
      <c r="CC162" s="117"/>
      <c r="CD162" s="117"/>
      <c r="CE162" s="117"/>
      <c r="CF162" s="117"/>
      <c r="CG162" s="117"/>
      <c r="CH162" s="117"/>
      <c r="CI162" s="117"/>
      <c r="CJ162" s="117"/>
      <c r="CK162" s="117"/>
      <c r="CL162" s="117"/>
      <c r="CM162" s="117"/>
      <c r="CN162" s="117"/>
      <c r="CO162" s="117"/>
      <c r="CP162" s="117"/>
      <c r="CQ162" s="117"/>
      <c r="CR162" s="117"/>
      <c r="CS162" s="117"/>
      <c r="CT162" s="117"/>
      <c r="CU162" s="117"/>
      <c r="CV162" s="117"/>
      <c r="CW162" s="117"/>
      <c r="CX162" s="117"/>
      <c r="CY162" s="117"/>
      <c r="CZ162" s="117"/>
      <c r="DA162" s="117"/>
      <c r="DB162" s="117"/>
      <c r="DC162" s="117"/>
      <c r="DD162" s="117"/>
      <c r="DE162" s="117"/>
      <c r="DF162" s="117"/>
      <c r="DG162" s="117"/>
      <c r="DH162" s="117"/>
      <c r="DI162" s="117"/>
      <c r="DJ162" s="117"/>
      <c r="DK162" s="117"/>
      <c r="DL162" s="117"/>
      <c r="DM162" s="117"/>
      <c r="DN162" s="117"/>
      <c r="DO162" s="117"/>
      <c r="DP162" s="117"/>
      <c r="DQ162" s="117"/>
      <c r="DR162" s="117"/>
      <c r="DS162" s="117"/>
      <c r="DT162" s="117"/>
      <c r="DU162" s="117"/>
      <c r="DV162" s="117"/>
      <c r="DW162" s="117"/>
      <c r="DX162" s="117"/>
      <c r="DY162" s="117"/>
      <c r="DZ162" s="117"/>
      <c r="EA162" s="117"/>
      <c r="EB162" s="117"/>
      <c r="EC162" s="117"/>
      <c r="ED162" s="117"/>
      <c r="EE162" s="117"/>
      <c r="EF162" s="117"/>
      <c r="EG162" s="117"/>
      <c r="EH162" s="117"/>
      <c r="EI162" s="117"/>
      <c r="EJ162" s="117"/>
      <c r="EK162" s="117"/>
    </row>
    <row r="163" spans="1:141" s="129" customFormat="1" x14ac:dyDescent="0.2">
      <c r="A163" s="141">
        <v>11</v>
      </c>
      <c r="B163" s="183" t="s">
        <v>34</v>
      </c>
      <c r="C163" s="374"/>
      <c r="D163" s="184">
        <f>D161+D159+D157+D153+D149+D147</f>
        <v>0</v>
      </c>
      <c r="E163" s="184">
        <f>E161+E159+E157+E153+E149+E147</f>
        <v>0</v>
      </c>
      <c r="F163" s="184">
        <f>F161+F159+F157+F153+F149+F147</f>
        <v>0</v>
      </c>
      <c r="G163" s="184">
        <f>G161+G159+G157+G153+G149+G147</f>
        <v>0</v>
      </c>
      <c r="H163" s="184">
        <f>H161+H159+H157+H153+H149+H147</f>
        <v>0</v>
      </c>
      <c r="I163" s="184">
        <f>SUM(D163:H163)</f>
        <v>0</v>
      </c>
      <c r="J163" s="127"/>
      <c r="K163" s="184">
        <f t="shared" ref="K163:Q163" si="57">K161+K159+K157+K153+K149+K147</f>
        <v>0</v>
      </c>
      <c r="L163" s="184">
        <f t="shared" si="57"/>
        <v>0</v>
      </c>
      <c r="M163" s="184"/>
      <c r="N163" s="184">
        <f t="shared" si="57"/>
        <v>0</v>
      </c>
      <c r="O163" s="184">
        <f t="shared" si="57"/>
        <v>0</v>
      </c>
      <c r="P163" s="184">
        <f t="shared" si="57"/>
        <v>0</v>
      </c>
      <c r="Q163" s="184">
        <f t="shared" si="57"/>
        <v>0</v>
      </c>
      <c r="R163" s="184"/>
      <c r="S163" s="248">
        <f>SUM(K163:Q163)</f>
        <v>0</v>
      </c>
      <c r="T163" s="144"/>
      <c r="U163" s="199">
        <f>S163+I163</f>
        <v>0</v>
      </c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7"/>
      <c r="AM163" s="117"/>
      <c r="AN163" s="117"/>
      <c r="AO163" s="117"/>
      <c r="AP163" s="117"/>
      <c r="AQ163" s="117"/>
      <c r="AR163" s="117"/>
      <c r="AS163" s="117"/>
      <c r="AT163" s="117"/>
      <c r="AU163" s="117"/>
      <c r="AV163" s="117"/>
      <c r="AW163" s="117"/>
      <c r="AX163" s="117"/>
      <c r="AY163" s="117"/>
      <c r="AZ163" s="117"/>
      <c r="BA163" s="117"/>
      <c r="BB163" s="117"/>
      <c r="BC163" s="117"/>
      <c r="BD163" s="117"/>
      <c r="BE163" s="117"/>
      <c r="BF163" s="117"/>
      <c r="BG163" s="117"/>
      <c r="BH163" s="117"/>
      <c r="BI163" s="117"/>
      <c r="BJ163" s="117"/>
      <c r="BK163" s="117"/>
      <c r="BL163" s="117"/>
      <c r="BM163" s="117"/>
      <c r="BN163" s="117"/>
      <c r="BO163" s="117"/>
      <c r="BP163" s="117"/>
      <c r="BQ163" s="117"/>
      <c r="BR163" s="117"/>
      <c r="BS163" s="117"/>
      <c r="BT163" s="117"/>
      <c r="BU163" s="117"/>
      <c r="BV163" s="117"/>
      <c r="BW163" s="117"/>
      <c r="BX163" s="117"/>
      <c r="BY163" s="117"/>
      <c r="BZ163" s="117"/>
      <c r="CA163" s="117"/>
      <c r="CB163" s="117"/>
      <c r="CC163" s="117"/>
      <c r="CD163" s="117"/>
      <c r="CE163" s="117"/>
      <c r="CF163" s="117"/>
      <c r="CG163" s="117"/>
      <c r="CH163" s="117"/>
      <c r="CI163" s="117"/>
      <c r="CJ163" s="117"/>
      <c r="CK163" s="117"/>
      <c r="CL163" s="117"/>
      <c r="CM163" s="117"/>
      <c r="CN163" s="117"/>
      <c r="CO163" s="117"/>
      <c r="CP163" s="117"/>
      <c r="CQ163" s="117"/>
      <c r="CR163" s="117"/>
      <c r="CS163" s="117"/>
      <c r="CT163" s="117"/>
      <c r="CU163" s="117"/>
      <c r="CV163" s="117"/>
      <c r="CW163" s="117"/>
      <c r="CX163" s="117"/>
      <c r="CY163" s="117"/>
      <c r="CZ163" s="117"/>
      <c r="DA163" s="117"/>
      <c r="DB163" s="117"/>
      <c r="DC163" s="117"/>
      <c r="DD163" s="117"/>
      <c r="DE163" s="117"/>
      <c r="DF163" s="117"/>
      <c r="DG163" s="117"/>
      <c r="DH163" s="117"/>
      <c r="DI163" s="117"/>
      <c r="DJ163" s="117"/>
      <c r="DK163" s="117"/>
      <c r="DL163" s="117"/>
      <c r="DM163" s="117"/>
      <c r="DN163" s="117"/>
      <c r="DO163" s="117"/>
      <c r="DP163" s="117"/>
      <c r="DQ163" s="117"/>
      <c r="DR163" s="117"/>
      <c r="DS163" s="117"/>
      <c r="DT163" s="117"/>
      <c r="DU163" s="117"/>
      <c r="DV163" s="117"/>
      <c r="DW163" s="117"/>
      <c r="DX163" s="117"/>
      <c r="DY163" s="117"/>
      <c r="DZ163" s="117"/>
      <c r="EA163" s="117"/>
      <c r="EB163" s="117"/>
      <c r="EC163" s="117"/>
      <c r="ED163" s="117"/>
      <c r="EE163" s="117"/>
      <c r="EF163" s="117"/>
      <c r="EG163" s="117"/>
      <c r="EH163" s="117"/>
      <c r="EI163" s="117"/>
      <c r="EJ163" s="117"/>
      <c r="EK163" s="117"/>
    </row>
    <row r="164" spans="1:141" s="129" customFormat="1" x14ac:dyDescent="0.2">
      <c r="B164" s="374"/>
      <c r="C164" s="374"/>
      <c r="D164" s="169"/>
      <c r="E164" s="169"/>
      <c r="F164" s="169"/>
      <c r="G164" s="169"/>
      <c r="H164" s="169"/>
      <c r="I164" s="169"/>
      <c r="J164" s="127"/>
      <c r="K164" s="117"/>
      <c r="L164" s="117"/>
      <c r="M164" s="117"/>
      <c r="N164" s="117"/>
      <c r="O164" s="117"/>
      <c r="P164" s="117"/>
      <c r="Q164" s="117"/>
      <c r="R164" s="117"/>
      <c r="S164" s="144"/>
      <c r="T164" s="144"/>
      <c r="U164" s="142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  <c r="AJ164" s="117"/>
      <c r="AK164" s="117"/>
      <c r="AL164" s="117"/>
      <c r="AM164" s="117"/>
      <c r="AN164" s="117"/>
      <c r="AO164" s="117"/>
      <c r="AP164" s="117"/>
      <c r="AQ164" s="117"/>
      <c r="AR164" s="117"/>
      <c r="AS164" s="117"/>
      <c r="AT164" s="117"/>
      <c r="AU164" s="117"/>
      <c r="AV164" s="117"/>
      <c r="AW164" s="117"/>
      <c r="AX164" s="117"/>
      <c r="AY164" s="117"/>
      <c r="AZ164" s="117"/>
      <c r="BA164" s="117"/>
      <c r="BB164" s="117"/>
      <c r="BC164" s="117"/>
      <c r="BD164" s="117"/>
      <c r="BE164" s="117"/>
      <c r="BF164" s="117"/>
      <c r="BG164" s="117"/>
      <c r="BH164" s="117"/>
      <c r="BI164" s="117"/>
      <c r="BJ164" s="117"/>
      <c r="BK164" s="117"/>
      <c r="BL164" s="117"/>
      <c r="BM164" s="117"/>
      <c r="BN164" s="117"/>
      <c r="BO164" s="117"/>
      <c r="BP164" s="117"/>
      <c r="BQ164" s="117"/>
      <c r="BR164" s="117"/>
      <c r="BS164" s="117"/>
      <c r="BT164" s="117"/>
      <c r="BU164" s="117"/>
      <c r="BV164" s="117"/>
      <c r="BW164" s="117"/>
      <c r="BX164" s="117"/>
      <c r="BY164" s="117"/>
      <c r="BZ164" s="117"/>
      <c r="CA164" s="117"/>
      <c r="CB164" s="117"/>
      <c r="CC164" s="117"/>
      <c r="CD164" s="117"/>
      <c r="CE164" s="117"/>
      <c r="CF164" s="117"/>
      <c r="CG164" s="117"/>
      <c r="CH164" s="117"/>
      <c r="CI164" s="117"/>
      <c r="CJ164" s="117"/>
      <c r="CK164" s="117"/>
      <c r="CL164" s="117"/>
      <c r="CM164" s="117"/>
      <c r="CN164" s="117"/>
      <c r="CO164" s="117"/>
      <c r="CP164" s="117"/>
      <c r="CQ164" s="117"/>
      <c r="CR164" s="117"/>
      <c r="CS164" s="117"/>
      <c r="CT164" s="117"/>
      <c r="CU164" s="117"/>
      <c r="CV164" s="117"/>
      <c r="CW164" s="117"/>
      <c r="CX164" s="117"/>
      <c r="CY164" s="117"/>
      <c r="CZ164" s="117"/>
      <c r="DA164" s="117"/>
      <c r="DB164" s="117"/>
      <c r="DC164" s="117"/>
      <c r="DD164" s="117"/>
      <c r="DE164" s="117"/>
      <c r="DF164" s="117"/>
      <c r="DG164" s="117"/>
      <c r="DH164" s="117"/>
      <c r="DI164" s="117"/>
      <c r="DJ164" s="117"/>
      <c r="DK164" s="117"/>
      <c r="DL164" s="117"/>
      <c r="DM164" s="117"/>
      <c r="DN164" s="117"/>
      <c r="DO164" s="117"/>
      <c r="DP164" s="117"/>
      <c r="DQ164" s="117"/>
      <c r="DR164" s="117"/>
      <c r="DS164" s="117"/>
      <c r="DT164" s="117"/>
      <c r="DU164" s="117"/>
      <c r="DV164" s="117"/>
      <c r="DW164" s="117"/>
      <c r="DX164" s="117"/>
      <c r="DY164" s="117"/>
      <c r="DZ164" s="117"/>
      <c r="EA164" s="117"/>
      <c r="EB164" s="117"/>
      <c r="EC164" s="117"/>
      <c r="ED164" s="117"/>
      <c r="EE164" s="117"/>
      <c r="EF164" s="117"/>
      <c r="EG164" s="117"/>
      <c r="EH164" s="117"/>
      <c r="EI164" s="117"/>
      <c r="EJ164" s="117"/>
      <c r="EK164" s="117"/>
    </row>
    <row r="165" spans="1:141" s="129" customFormat="1" x14ac:dyDescent="0.2">
      <c r="A165" s="141">
        <v>12</v>
      </c>
      <c r="B165" s="148" t="s">
        <v>91</v>
      </c>
      <c r="C165" s="125" t="s">
        <v>17</v>
      </c>
      <c r="D165" s="122"/>
      <c r="E165" s="122"/>
      <c r="F165" s="122"/>
      <c r="G165" s="122"/>
      <c r="H165" s="122"/>
      <c r="I165" s="122">
        <f>SUM(D165:H165)</f>
        <v>0</v>
      </c>
      <c r="J165" s="142"/>
      <c r="K165" s="195"/>
      <c r="L165" s="195"/>
      <c r="M165" s="195"/>
      <c r="N165" s="195"/>
      <c r="O165" s="195"/>
      <c r="P165" s="195"/>
      <c r="Q165" s="195"/>
      <c r="R165" s="195"/>
      <c r="S165" s="142">
        <f>SUM(K165:Q165)</f>
        <v>0</v>
      </c>
      <c r="T165" s="142"/>
      <c r="U165" s="142">
        <f>S165+I165</f>
        <v>0</v>
      </c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  <c r="AJ165" s="117"/>
      <c r="AK165" s="117"/>
      <c r="AL165" s="117"/>
      <c r="AM165" s="117"/>
      <c r="AN165" s="117"/>
      <c r="AO165" s="117"/>
      <c r="AP165" s="117"/>
      <c r="AQ165" s="117"/>
      <c r="AR165" s="117"/>
      <c r="AS165" s="117"/>
      <c r="AT165" s="117"/>
      <c r="AU165" s="117"/>
      <c r="AV165" s="117"/>
      <c r="AW165" s="117"/>
      <c r="AX165" s="117"/>
      <c r="AY165" s="117"/>
      <c r="AZ165" s="117"/>
      <c r="BA165" s="117"/>
      <c r="BB165" s="117"/>
      <c r="BC165" s="117"/>
      <c r="BD165" s="117"/>
      <c r="BE165" s="117"/>
      <c r="BF165" s="117"/>
      <c r="BG165" s="117"/>
      <c r="BH165" s="117"/>
      <c r="BI165" s="117"/>
      <c r="BJ165" s="117"/>
      <c r="BK165" s="117"/>
      <c r="BL165" s="117"/>
      <c r="BM165" s="117"/>
      <c r="BN165" s="117"/>
      <c r="BO165" s="117"/>
      <c r="BP165" s="117"/>
      <c r="BQ165" s="117"/>
      <c r="BR165" s="117"/>
      <c r="BS165" s="117"/>
      <c r="BT165" s="117"/>
      <c r="BU165" s="117"/>
      <c r="BV165" s="117"/>
      <c r="BW165" s="117"/>
      <c r="BX165" s="117"/>
      <c r="BY165" s="117"/>
      <c r="BZ165" s="117"/>
      <c r="CA165" s="117"/>
      <c r="CB165" s="117"/>
      <c r="CC165" s="117"/>
      <c r="CD165" s="117"/>
      <c r="CE165" s="117"/>
      <c r="CF165" s="117"/>
      <c r="CG165" s="117"/>
      <c r="CH165" s="117"/>
      <c r="CI165" s="117"/>
      <c r="CJ165" s="117"/>
      <c r="CK165" s="117"/>
      <c r="CL165" s="117"/>
      <c r="CM165" s="117"/>
      <c r="CN165" s="117"/>
      <c r="CO165" s="117"/>
      <c r="CP165" s="117"/>
      <c r="CQ165" s="117"/>
      <c r="CR165" s="117"/>
      <c r="CS165" s="117"/>
      <c r="CT165" s="117"/>
      <c r="CU165" s="117"/>
      <c r="CV165" s="117"/>
      <c r="CW165" s="117"/>
      <c r="CX165" s="117"/>
      <c r="CY165" s="117"/>
      <c r="CZ165" s="117"/>
      <c r="DA165" s="117"/>
      <c r="DB165" s="117"/>
      <c r="DC165" s="117"/>
      <c r="DD165" s="117"/>
      <c r="DE165" s="117"/>
      <c r="DF165" s="117"/>
      <c r="DG165" s="117"/>
      <c r="DH165" s="117"/>
      <c r="DI165" s="117"/>
      <c r="DJ165" s="117"/>
      <c r="DK165" s="117"/>
      <c r="DL165" s="117"/>
      <c r="DM165" s="117"/>
      <c r="DN165" s="117"/>
      <c r="DO165" s="117"/>
      <c r="DP165" s="117"/>
      <c r="DQ165" s="117"/>
      <c r="DR165" s="117"/>
      <c r="DS165" s="117"/>
      <c r="DT165" s="117"/>
      <c r="DU165" s="117"/>
      <c r="DV165" s="117"/>
      <c r="DW165" s="117"/>
      <c r="DX165" s="117"/>
      <c r="DY165" s="117"/>
      <c r="DZ165" s="117"/>
      <c r="EA165" s="117"/>
      <c r="EB165" s="117"/>
      <c r="EC165" s="117"/>
      <c r="ED165" s="117"/>
      <c r="EE165" s="117"/>
      <c r="EF165" s="117"/>
      <c r="EG165" s="117"/>
      <c r="EH165" s="117"/>
      <c r="EI165" s="117"/>
      <c r="EJ165" s="117"/>
      <c r="EK165" s="117"/>
    </row>
    <row r="166" spans="1:141" s="129" customFormat="1" x14ac:dyDescent="0.2">
      <c r="A166" s="141">
        <v>13</v>
      </c>
      <c r="B166" s="148" t="s">
        <v>92</v>
      </c>
      <c r="C166" s="125" t="s">
        <v>18</v>
      </c>
      <c r="D166" s="123"/>
      <c r="E166" s="123"/>
      <c r="F166" s="123"/>
      <c r="G166" s="123"/>
      <c r="H166" s="123"/>
      <c r="I166" s="123">
        <f>SUM(D166:H166)</f>
        <v>0</v>
      </c>
      <c r="J166" s="142"/>
      <c r="K166" s="123"/>
      <c r="L166" s="123"/>
      <c r="M166" s="123"/>
      <c r="N166" s="123"/>
      <c r="O166" s="123"/>
      <c r="P166" s="123"/>
      <c r="Q166" s="123"/>
      <c r="R166" s="123"/>
      <c r="S166" s="249">
        <f>SUM(K166:Q166)</f>
        <v>0</v>
      </c>
      <c r="T166" s="117"/>
      <c r="U166" s="123">
        <f>S166+I166</f>
        <v>0</v>
      </c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17"/>
      <c r="AI166" s="117"/>
      <c r="AJ166" s="117"/>
      <c r="AK166" s="117"/>
      <c r="AL166" s="117"/>
      <c r="AM166" s="117"/>
      <c r="AN166" s="117"/>
      <c r="AO166" s="117"/>
      <c r="AP166" s="117"/>
      <c r="AQ166" s="117"/>
      <c r="AR166" s="117"/>
      <c r="AS166" s="117"/>
      <c r="AT166" s="117"/>
      <c r="AU166" s="117"/>
      <c r="AV166" s="117"/>
      <c r="AW166" s="117"/>
      <c r="AX166" s="117"/>
      <c r="AY166" s="117"/>
      <c r="AZ166" s="117"/>
      <c r="BA166" s="117"/>
      <c r="BB166" s="117"/>
      <c r="BC166" s="117"/>
      <c r="BD166" s="117"/>
      <c r="BE166" s="117"/>
      <c r="BF166" s="117"/>
      <c r="BG166" s="117"/>
      <c r="BH166" s="117"/>
      <c r="BI166" s="117"/>
      <c r="BJ166" s="117"/>
      <c r="BK166" s="117"/>
      <c r="BL166" s="117"/>
      <c r="BM166" s="117"/>
      <c r="BN166" s="117"/>
      <c r="BO166" s="117"/>
      <c r="BP166" s="117"/>
      <c r="BQ166" s="117"/>
      <c r="BR166" s="117"/>
      <c r="BS166" s="117"/>
      <c r="BT166" s="117"/>
      <c r="BU166" s="117"/>
      <c r="BV166" s="117"/>
      <c r="BW166" s="117"/>
      <c r="BX166" s="117"/>
      <c r="BY166" s="117"/>
      <c r="BZ166" s="117"/>
      <c r="CA166" s="117"/>
      <c r="CB166" s="117"/>
      <c r="CC166" s="117"/>
      <c r="CD166" s="117"/>
      <c r="CE166" s="117"/>
      <c r="CF166" s="117"/>
      <c r="CG166" s="117"/>
      <c r="CH166" s="117"/>
      <c r="CI166" s="117"/>
      <c r="CJ166" s="117"/>
      <c r="CK166" s="117"/>
      <c r="CL166" s="117"/>
      <c r="CM166" s="117"/>
      <c r="CN166" s="117"/>
      <c r="CO166" s="117"/>
      <c r="CP166" s="117"/>
      <c r="CQ166" s="117"/>
      <c r="CR166" s="117"/>
      <c r="CS166" s="117"/>
      <c r="CT166" s="117"/>
      <c r="CU166" s="117"/>
      <c r="CV166" s="117"/>
      <c r="CW166" s="117"/>
      <c r="CX166" s="117"/>
      <c r="CY166" s="117"/>
      <c r="CZ166" s="117"/>
      <c r="DA166" s="117"/>
      <c r="DB166" s="117"/>
      <c r="DC166" s="117"/>
      <c r="DD166" s="117"/>
      <c r="DE166" s="117"/>
      <c r="DF166" s="117"/>
      <c r="DG166" s="117"/>
      <c r="DH166" s="117"/>
      <c r="DI166" s="117"/>
      <c r="DJ166" s="117"/>
      <c r="DK166" s="117"/>
      <c r="DL166" s="117"/>
      <c r="DM166" s="117"/>
      <c r="DN166" s="117"/>
      <c r="DO166" s="117"/>
      <c r="DP166" s="117"/>
      <c r="DQ166" s="117"/>
      <c r="DR166" s="117"/>
      <c r="DS166" s="117"/>
      <c r="DT166" s="117"/>
      <c r="DU166" s="117"/>
      <c r="DV166" s="117"/>
      <c r="DW166" s="117"/>
      <c r="DX166" s="117"/>
      <c r="DY166" s="117"/>
      <c r="DZ166" s="117"/>
      <c r="EA166" s="117"/>
      <c r="EB166" s="117"/>
      <c r="EC166" s="117"/>
      <c r="ED166" s="117"/>
      <c r="EE166" s="117"/>
      <c r="EF166" s="117"/>
      <c r="EG166" s="117"/>
      <c r="EH166" s="117"/>
      <c r="EI166" s="117"/>
      <c r="EJ166" s="117"/>
      <c r="EK166" s="117"/>
    </row>
    <row r="167" spans="1:141" s="129" customFormat="1" x14ac:dyDescent="0.2">
      <c r="A167" s="141">
        <v>14</v>
      </c>
      <c r="B167" s="183" t="s">
        <v>35</v>
      </c>
      <c r="C167" s="373"/>
      <c r="D167" s="169">
        <f>SUM(D165:D166)</f>
        <v>0</v>
      </c>
      <c r="E167" s="169">
        <f>SUM(E165:E166)</f>
        <v>0</v>
      </c>
      <c r="F167" s="169">
        <f>SUM(F165:F166)</f>
        <v>0</v>
      </c>
      <c r="G167" s="169">
        <f>SUM(G165:G166)</f>
        <v>0</v>
      </c>
      <c r="H167" s="169">
        <f>SUM(H165:H166)</f>
        <v>0</v>
      </c>
      <c r="I167" s="169">
        <f>SUM(D167:H167)</f>
        <v>0</v>
      </c>
      <c r="J167" s="127"/>
      <c r="K167" s="195">
        <f t="shared" ref="K167:Q167" si="58">SUM(K165:K166)</f>
        <v>0</v>
      </c>
      <c r="L167" s="195">
        <f t="shared" si="58"/>
        <v>0</v>
      </c>
      <c r="M167" s="195"/>
      <c r="N167" s="195">
        <f t="shared" si="58"/>
        <v>0</v>
      </c>
      <c r="O167" s="195">
        <f t="shared" si="58"/>
        <v>0</v>
      </c>
      <c r="P167" s="195">
        <f t="shared" si="58"/>
        <v>0</v>
      </c>
      <c r="Q167" s="195">
        <f t="shared" si="58"/>
        <v>0</v>
      </c>
      <c r="R167" s="195"/>
      <c r="S167" s="144">
        <f>SUM(K167:Q167)</f>
        <v>0</v>
      </c>
      <c r="T167" s="144"/>
      <c r="U167" s="142">
        <f>S167+I167</f>
        <v>0</v>
      </c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7"/>
      <c r="AM167" s="117"/>
      <c r="AN167" s="117"/>
      <c r="AO167" s="117"/>
      <c r="AP167" s="117"/>
      <c r="AQ167" s="117"/>
      <c r="AR167" s="117"/>
      <c r="AS167" s="117"/>
      <c r="AT167" s="117"/>
      <c r="AU167" s="117"/>
      <c r="AV167" s="117"/>
      <c r="AW167" s="117"/>
      <c r="AX167" s="117"/>
      <c r="AY167" s="117"/>
      <c r="AZ167" s="117"/>
      <c r="BA167" s="117"/>
      <c r="BB167" s="117"/>
      <c r="BC167" s="117"/>
      <c r="BD167" s="117"/>
      <c r="BE167" s="117"/>
      <c r="BF167" s="117"/>
      <c r="BG167" s="117"/>
      <c r="BH167" s="117"/>
      <c r="BI167" s="117"/>
      <c r="BJ167" s="117"/>
      <c r="BK167" s="117"/>
      <c r="BL167" s="117"/>
      <c r="BM167" s="117"/>
      <c r="BN167" s="117"/>
      <c r="BO167" s="117"/>
      <c r="BP167" s="117"/>
      <c r="BQ167" s="117"/>
      <c r="BR167" s="117"/>
      <c r="BS167" s="117"/>
      <c r="BT167" s="117"/>
      <c r="BU167" s="117"/>
      <c r="BV167" s="117"/>
      <c r="BW167" s="117"/>
      <c r="BX167" s="117"/>
      <c r="BY167" s="117"/>
      <c r="BZ167" s="117"/>
      <c r="CA167" s="117"/>
      <c r="CB167" s="117"/>
      <c r="CC167" s="117"/>
      <c r="CD167" s="117"/>
      <c r="CE167" s="117"/>
      <c r="CF167" s="117"/>
      <c r="CG167" s="117"/>
      <c r="CH167" s="117"/>
      <c r="CI167" s="117"/>
      <c r="CJ167" s="117"/>
      <c r="CK167" s="117"/>
      <c r="CL167" s="117"/>
      <c r="CM167" s="117"/>
      <c r="CN167" s="117"/>
      <c r="CO167" s="117"/>
      <c r="CP167" s="117"/>
      <c r="CQ167" s="117"/>
      <c r="CR167" s="117"/>
      <c r="CS167" s="117"/>
      <c r="CT167" s="117"/>
      <c r="CU167" s="117"/>
      <c r="CV167" s="117"/>
      <c r="CW167" s="117"/>
      <c r="CX167" s="117"/>
      <c r="CY167" s="117"/>
      <c r="CZ167" s="117"/>
      <c r="DA167" s="117"/>
      <c r="DB167" s="117"/>
      <c r="DC167" s="117"/>
      <c r="DD167" s="117"/>
      <c r="DE167" s="117"/>
      <c r="DF167" s="117"/>
      <c r="DG167" s="117"/>
      <c r="DH167" s="117"/>
      <c r="DI167" s="117"/>
      <c r="DJ167" s="117"/>
      <c r="DK167" s="117"/>
      <c r="DL167" s="117"/>
      <c r="DM167" s="117"/>
      <c r="DN167" s="117"/>
      <c r="DO167" s="117"/>
      <c r="DP167" s="117"/>
      <c r="DQ167" s="117"/>
      <c r="DR167" s="117"/>
      <c r="DS167" s="117"/>
      <c r="DT167" s="117"/>
      <c r="DU167" s="117"/>
      <c r="DV167" s="117"/>
      <c r="DW167" s="117"/>
      <c r="DX167" s="117"/>
      <c r="DY167" s="117"/>
      <c r="DZ167" s="117"/>
      <c r="EA167" s="117"/>
      <c r="EB167" s="117"/>
      <c r="EC167" s="117"/>
      <c r="ED167" s="117"/>
      <c r="EE167" s="117"/>
      <c r="EF167" s="117"/>
      <c r="EG167" s="117"/>
      <c r="EH167" s="117"/>
      <c r="EI167" s="117"/>
      <c r="EJ167" s="117"/>
      <c r="EK167" s="117"/>
    </row>
    <row r="168" spans="1:141" s="129" customFormat="1" x14ac:dyDescent="0.2">
      <c r="A168" s="141"/>
      <c r="C168" s="185"/>
      <c r="D168" s="157"/>
      <c r="E168" s="157"/>
      <c r="F168" s="157"/>
      <c r="G168" s="157"/>
      <c r="H168" s="157"/>
      <c r="I168" s="157"/>
      <c r="J168" s="128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42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7"/>
      <c r="AL168" s="117"/>
      <c r="AM168" s="117"/>
      <c r="AN168" s="117"/>
      <c r="AO168" s="117"/>
      <c r="AP168" s="117"/>
      <c r="AQ168" s="117"/>
      <c r="AR168" s="117"/>
      <c r="AS168" s="117"/>
      <c r="AT168" s="117"/>
      <c r="AU168" s="117"/>
      <c r="AV168" s="117"/>
      <c r="AW168" s="117"/>
      <c r="AX168" s="117"/>
      <c r="AY168" s="117"/>
      <c r="AZ168" s="117"/>
      <c r="BA168" s="117"/>
      <c r="BB168" s="117"/>
      <c r="BC168" s="117"/>
      <c r="BD168" s="117"/>
      <c r="BE168" s="117"/>
      <c r="BF168" s="117"/>
      <c r="BG168" s="117"/>
      <c r="BH168" s="117"/>
      <c r="BI168" s="117"/>
      <c r="BJ168" s="117"/>
      <c r="BK168" s="117"/>
      <c r="BL168" s="117"/>
      <c r="BM168" s="117"/>
      <c r="BN168" s="117"/>
      <c r="BO168" s="117"/>
      <c r="BP168" s="117"/>
      <c r="BQ168" s="117"/>
      <c r="BR168" s="117"/>
      <c r="BS168" s="117"/>
      <c r="BT168" s="117"/>
      <c r="BU168" s="117"/>
      <c r="BV168" s="117"/>
      <c r="BW168" s="117"/>
      <c r="BX168" s="117"/>
      <c r="BY168" s="117"/>
      <c r="BZ168" s="117"/>
      <c r="CA168" s="117"/>
      <c r="CB168" s="117"/>
      <c r="CC168" s="117"/>
      <c r="CD168" s="117"/>
      <c r="CE168" s="117"/>
      <c r="CF168" s="117"/>
      <c r="CG168" s="117"/>
      <c r="CH168" s="117"/>
      <c r="CI168" s="117"/>
      <c r="CJ168" s="117"/>
      <c r="CK168" s="117"/>
      <c r="CL168" s="117"/>
      <c r="CM168" s="117"/>
      <c r="CN168" s="117"/>
      <c r="CO168" s="117"/>
      <c r="CP168" s="117"/>
      <c r="CQ168" s="117"/>
      <c r="CR168" s="117"/>
      <c r="CS168" s="117"/>
      <c r="CT168" s="117"/>
      <c r="CU168" s="117"/>
      <c r="CV168" s="117"/>
      <c r="CW168" s="117"/>
      <c r="CX168" s="117"/>
      <c r="CY168" s="117"/>
      <c r="CZ168" s="117"/>
      <c r="DA168" s="117"/>
      <c r="DB168" s="117"/>
      <c r="DC168" s="117"/>
      <c r="DD168" s="117"/>
      <c r="DE168" s="117"/>
      <c r="DF168" s="117"/>
      <c r="DG168" s="117"/>
      <c r="DH168" s="117"/>
      <c r="DI168" s="117"/>
      <c r="DJ168" s="117"/>
      <c r="DK168" s="117"/>
      <c r="DL168" s="117"/>
      <c r="DM168" s="117"/>
      <c r="DN168" s="117"/>
      <c r="DO168" s="117"/>
      <c r="DP168" s="117"/>
      <c r="DQ168" s="117"/>
      <c r="DR168" s="117"/>
      <c r="DS168" s="117"/>
      <c r="DT168" s="117"/>
      <c r="DU168" s="117"/>
      <c r="DV168" s="117"/>
      <c r="DW168" s="117"/>
      <c r="DX168" s="117"/>
      <c r="DY168" s="117"/>
      <c r="DZ168" s="117"/>
      <c r="EA168" s="117"/>
      <c r="EB168" s="117"/>
      <c r="EC168" s="117"/>
      <c r="ED168" s="117"/>
      <c r="EE168" s="117"/>
      <c r="EF168" s="117"/>
      <c r="EG168" s="117"/>
      <c r="EH168" s="117"/>
      <c r="EI168" s="117"/>
      <c r="EJ168" s="117"/>
      <c r="EK168" s="117"/>
    </row>
    <row r="169" spans="1:141" s="129" customFormat="1" ht="12" thickBot="1" x14ac:dyDescent="0.25">
      <c r="A169" s="141">
        <v>15</v>
      </c>
      <c r="B169" s="243" t="s">
        <v>132</v>
      </c>
      <c r="C169" s="373"/>
      <c r="D169" s="186">
        <f>+D167+D163</f>
        <v>0</v>
      </c>
      <c r="E169" s="186">
        <f>+E167+E163</f>
        <v>0</v>
      </c>
      <c r="F169" s="186">
        <f>+F167+F163</f>
        <v>0</v>
      </c>
      <c r="G169" s="186">
        <f>+G167+G163</f>
        <v>0</v>
      </c>
      <c r="H169" s="186">
        <f>+H167+H163</f>
        <v>0</v>
      </c>
      <c r="I169" s="186">
        <f>SUM(D169:H169)</f>
        <v>0</v>
      </c>
      <c r="J169" s="182"/>
      <c r="K169" s="186">
        <f t="shared" ref="K169:Q169" si="59">+K167+K163</f>
        <v>0</v>
      </c>
      <c r="L169" s="186">
        <f t="shared" si="59"/>
        <v>0</v>
      </c>
      <c r="M169" s="186"/>
      <c r="N169" s="186">
        <f t="shared" si="59"/>
        <v>0</v>
      </c>
      <c r="O169" s="186">
        <f t="shared" si="59"/>
        <v>0</v>
      </c>
      <c r="P169" s="186">
        <f t="shared" si="59"/>
        <v>0</v>
      </c>
      <c r="Q169" s="186">
        <f t="shared" si="59"/>
        <v>0</v>
      </c>
      <c r="R169" s="186"/>
      <c r="S169" s="201">
        <f>SUM(K169:Q169)</f>
        <v>0</v>
      </c>
      <c r="T169" s="194"/>
      <c r="U169" s="201">
        <f>S169+I169</f>
        <v>0</v>
      </c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7"/>
      <c r="AK169" s="117"/>
      <c r="AL169" s="117"/>
      <c r="AM169" s="117"/>
      <c r="AN169" s="117"/>
      <c r="AO169" s="117"/>
      <c r="AP169" s="117"/>
      <c r="AQ169" s="117"/>
      <c r="AR169" s="117"/>
      <c r="AS169" s="117"/>
      <c r="AT169" s="117"/>
      <c r="AU169" s="117"/>
      <c r="AV169" s="117"/>
      <c r="AW169" s="117"/>
      <c r="AX169" s="117"/>
      <c r="AY169" s="117"/>
      <c r="AZ169" s="117"/>
      <c r="BA169" s="117"/>
      <c r="BB169" s="117"/>
      <c r="BC169" s="117"/>
      <c r="BD169" s="117"/>
      <c r="BE169" s="117"/>
      <c r="BF169" s="117"/>
      <c r="BG169" s="117"/>
      <c r="BH169" s="117"/>
      <c r="BI169" s="117"/>
      <c r="BJ169" s="117"/>
      <c r="BK169" s="117"/>
      <c r="BL169" s="117"/>
      <c r="BM169" s="117"/>
      <c r="BN169" s="117"/>
      <c r="BO169" s="117"/>
      <c r="BP169" s="117"/>
      <c r="BQ169" s="117"/>
      <c r="BR169" s="117"/>
      <c r="BS169" s="117"/>
      <c r="BT169" s="117"/>
      <c r="BU169" s="117"/>
      <c r="BV169" s="117"/>
      <c r="BW169" s="117"/>
      <c r="BX169" s="117"/>
      <c r="BY169" s="117"/>
      <c r="BZ169" s="117"/>
      <c r="CA169" s="117"/>
      <c r="CB169" s="117"/>
      <c r="CC169" s="117"/>
      <c r="CD169" s="117"/>
      <c r="CE169" s="117"/>
      <c r="CF169" s="117"/>
      <c r="CG169" s="117"/>
      <c r="CH169" s="117"/>
      <c r="CI169" s="117"/>
      <c r="CJ169" s="117"/>
      <c r="CK169" s="117"/>
      <c r="CL169" s="117"/>
      <c r="CM169" s="117"/>
      <c r="CN169" s="117"/>
      <c r="CO169" s="117"/>
      <c r="CP169" s="117"/>
      <c r="CQ169" s="117"/>
      <c r="CR169" s="117"/>
      <c r="CS169" s="117"/>
      <c r="CT169" s="117"/>
      <c r="CU169" s="117"/>
      <c r="CV169" s="117"/>
      <c r="CW169" s="117"/>
      <c r="CX169" s="117"/>
      <c r="CY169" s="117"/>
      <c r="CZ169" s="117"/>
      <c r="DA169" s="117"/>
      <c r="DB169" s="117"/>
      <c r="DC169" s="117"/>
      <c r="DD169" s="117"/>
      <c r="DE169" s="117"/>
      <c r="DF169" s="117"/>
      <c r="DG169" s="117"/>
      <c r="DH169" s="117"/>
      <c r="DI169" s="117"/>
      <c r="DJ169" s="117"/>
      <c r="DK169" s="117"/>
      <c r="DL169" s="117"/>
      <c r="DM169" s="117"/>
      <c r="DN169" s="117"/>
      <c r="DO169" s="117"/>
      <c r="DP169" s="117"/>
      <c r="DQ169" s="117"/>
      <c r="DR169" s="117"/>
      <c r="DS169" s="117"/>
      <c r="DT169" s="117"/>
      <c r="DU169" s="117"/>
      <c r="DV169" s="117"/>
      <c r="DW169" s="117"/>
      <c r="DX169" s="117"/>
      <c r="DY169" s="117"/>
      <c r="DZ169" s="117"/>
      <c r="EA169" s="117"/>
      <c r="EB169" s="117"/>
      <c r="EC169" s="117"/>
      <c r="ED169" s="117"/>
      <c r="EE169" s="117"/>
      <c r="EF169" s="117"/>
      <c r="EG169" s="117"/>
      <c r="EH169" s="117"/>
      <c r="EI169" s="117"/>
      <c r="EJ169" s="117"/>
      <c r="EK169" s="117"/>
    </row>
    <row r="170" spans="1:141" s="129" customFormat="1" ht="12" thickTop="1" x14ac:dyDescent="0.2">
      <c r="A170" s="141"/>
      <c r="B170" s="152"/>
      <c r="C170" s="373"/>
      <c r="D170" s="127"/>
      <c r="E170" s="127"/>
      <c r="F170" s="127"/>
      <c r="G170" s="127"/>
      <c r="H170" s="127"/>
      <c r="I170" s="127"/>
      <c r="J170" s="12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  <c r="AJ170" s="117"/>
      <c r="AK170" s="117"/>
      <c r="AL170" s="117"/>
      <c r="AM170" s="117"/>
      <c r="AN170" s="117"/>
      <c r="AO170" s="117"/>
      <c r="AP170" s="117"/>
      <c r="AQ170" s="117"/>
      <c r="AR170" s="117"/>
      <c r="AS170" s="117"/>
      <c r="AT170" s="117"/>
      <c r="AU170" s="117"/>
      <c r="AV170" s="117"/>
      <c r="AW170" s="117"/>
      <c r="AX170" s="117"/>
      <c r="AY170" s="117"/>
      <c r="AZ170" s="117"/>
      <c r="BA170" s="117"/>
      <c r="BB170" s="117"/>
      <c r="BC170" s="117"/>
      <c r="BD170" s="117"/>
      <c r="BE170" s="117"/>
      <c r="BF170" s="117"/>
      <c r="BG170" s="117"/>
      <c r="BH170" s="117"/>
      <c r="BI170" s="117"/>
      <c r="BJ170" s="117"/>
      <c r="BK170" s="117"/>
      <c r="BL170" s="117"/>
      <c r="BM170" s="117"/>
      <c r="BN170" s="117"/>
      <c r="BO170" s="117"/>
      <c r="BP170" s="117"/>
      <c r="BQ170" s="117"/>
      <c r="BR170" s="117"/>
      <c r="BS170" s="117"/>
      <c r="BT170" s="117"/>
      <c r="BU170" s="117"/>
      <c r="BV170" s="117"/>
      <c r="BW170" s="117"/>
      <c r="BX170" s="117"/>
      <c r="BY170" s="117"/>
      <c r="BZ170" s="117"/>
      <c r="CA170" s="117"/>
      <c r="CB170" s="117"/>
      <c r="CC170" s="117"/>
      <c r="CD170" s="117"/>
      <c r="CE170" s="117"/>
      <c r="CF170" s="117"/>
      <c r="CG170" s="117"/>
      <c r="CH170" s="117"/>
      <c r="CI170" s="117"/>
      <c r="CJ170" s="117"/>
      <c r="CK170" s="117"/>
      <c r="CL170" s="117"/>
      <c r="CM170" s="117"/>
      <c r="CN170" s="117"/>
      <c r="CO170" s="117"/>
      <c r="CP170" s="117"/>
      <c r="CQ170" s="117"/>
      <c r="CR170" s="117"/>
      <c r="CS170" s="117"/>
      <c r="CT170" s="117"/>
      <c r="CU170" s="117"/>
      <c r="CV170" s="117"/>
      <c r="CW170" s="117"/>
      <c r="CX170" s="117"/>
      <c r="CY170" s="117"/>
      <c r="CZ170" s="117"/>
      <c r="DA170" s="117"/>
      <c r="DB170" s="117"/>
      <c r="DC170" s="117"/>
      <c r="DD170" s="117"/>
      <c r="DE170" s="117"/>
      <c r="DF170" s="117"/>
      <c r="DG170" s="117"/>
      <c r="DH170" s="117"/>
      <c r="DI170" s="117"/>
      <c r="DJ170" s="117"/>
      <c r="DK170" s="117"/>
      <c r="DL170" s="117"/>
      <c r="DM170" s="117"/>
      <c r="DN170" s="117"/>
      <c r="DO170" s="117"/>
      <c r="DP170" s="117"/>
      <c r="DQ170" s="117"/>
      <c r="DR170" s="117"/>
      <c r="DS170" s="117"/>
      <c r="DT170" s="117"/>
      <c r="DU170" s="117"/>
      <c r="DV170" s="117"/>
      <c r="DW170" s="117"/>
      <c r="DX170" s="117"/>
      <c r="DY170" s="117"/>
      <c r="DZ170" s="117"/>
      <c r="EA170" s="117"/>
      <c r="EB170" s="117"/>
      <c r="EC170" s="117"/>
      <c r="ED170" s="117"/>
      <c r="EE170" s="117"/>
      <c r="EF170" s="117"/>
      <c r="EG170" s="117"/>
      <c r="EH170" s="117"/>
      <c r="EI170" s="117"/>
      <c r="EJ170" s="117"/>
      <c r="EK170" s="117"/>
    </row>
    <row r="171" spans="1:141" s="126" customFormat="1" ht="12.75" x14ac:dyDescent="0.2">
      <c r="J171" s="192"/>
      <c r="T171" s="192"/>
    </row>
    <row r="172" spans="1:141" ht="12" customHeight="1" x14ac:dyDescent="0.2">
      <c r="A172" s="388" t="str">
        <f>+A8</f>
        <v xml:space="preserve">AEP TEXAS </v>
      </c>
      <c r="B172" s="388"/>
      <c r="C172" s="388"/>
      <c r="D172" s="388"/>
      <c r="E172" s="388"/>
      <c r="F172" s="388"/>
      <c r="G172" s="388"/>
      <c r="H172" s="388"/>
      <c r="I172" s="388"/>
      <c r="J172" s="388"/>
      <c r="K172" s="388"/>
      <c r="L172" s="388"/>
      <c r="M172" s="388"/>
      <c r="N172" s="388"/>
      <c r="O172" s="388"/>
      <c r="P172" s="388"/>
      <c r="Q172" s="388"/>
      <c r="R172" s="388"/>
      <c r="S172" s="388"/>
      <c r="T172" s="388"/>
      <c r="U172" s="388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6"/>
      <c r="AW172" s="146"/>
      <c r="AX172" s="146"/>
      <c r="AY172" s="146"/>
      <c r="AZ172" s="146"/>
      <c r="BA172" s="146"/>
      <c r="BB172" s="146"/>
      <c r="BC172" s="146"/>
      <c r="BD172" s="146"/>
      <c r="BE172" s="146"/>
      <c r="BF172" s="146"/>
      <c r="BG172" s="146"/>
      <c r="BH172" s="146"/>
      <c r="BI172" s="146"/>
      <c r="BJ172" s="146"/>
      <c r="BK172" s="146"/>
      <c r="BL172" s="146"/>
      <c r="BM172" s="146"/>
      <c r="BN172" s="146"/>
      <c r="BO172" s="146"/>
      <c r="BP172" s="146"/>
      <c r="BQ172" s="146"/>
      <c r="BR172" s="146"/>
      <c r="BS172" s="146"/>
      <c r="BT172" s="146"/>
      <c r="BU172" s="146"/>
      <c r="BV172" s="146"/>
      <c r="BW172" s="146"/>
      <c r="BX172" s="146"/>
      <c r="BY172" s="146"/>
      <c r="BZ172" s="146"/>
      <c r="CA172" s="146"/>
      <c r="CB172" s="146"/>
      <c r="CC172" s="146"/>
      <c r="CD172" s="146"/>
      <c r="CE172" s="146"/>
      <c r="CF172" s="146"/>
      <c r="CG172" s="146"/>
      <c r="CH172" s="146"/>
      <c r="CI172" s="146"/>
      <c r="CJ172" s="146"/>
      <c r="CK172" s="146"/>
      <c r="CL172" s="146"/>
      <c r="CM172" s="146"/>
      <c r="CN172" s="146"/>
      <c r="CO172" s="146"/>
      <c r="CP172" s="146"/>
      <c r="CQ172" s="146"/>
      <c r="CR172" s="146"/>
      <c r="CS172" s="146"/>
      <c r="CT172" s="146"/>
      <c r="CU172" s="146"/>
      <c r="CV172" s="146"/>
      <c r="CW172" s="146"/>
      <c r="CX172" s="146"/>
      <c r="CY172" s="146"/>
      <c r="CZ172" s="146"/>
      <c r="DA172" s="146"/>
      <c r="DB172" s="146"/>
      <c r="DC172" s="146"/>
      <c r="DD172" s="146"/>
      <c r="DE172" s="146"/>
      <c r="DF172" s="146"/>
      <c r="DG172" s="146"/>
      <c r="DH172" s="146"/>
      <c r="DI172" s="146"/>
      <c r="DJ172" s="146"/>
      <c r="DK172" s="146"/>
      <c r="DL172" s="146"/>
      <c r="DM172" s="146"/>
      <c r="DN172" s="146"/>
      <c r="DO172" s="146"/>
      <c r="DP172" s="146"/>
      <c r="DQ172" s="146"/>
      <c r="DR172" s="146"/>
      <c r="DS172" s="146"/>
      <c r="DT172" s="146"/>
      <c r="DU172" s="146"/>
      <c r="DV172" s="146"/>
      <c r="DW172" s="146"/>
      <c r="DX172" s="146"/>
      <c r="DY172" s="146"/>
      <c r="DZ172" s="146"/>
      <c r="EA172" s="146"/>
      <c r="EB172" s="146"/>
      <c r="EC172" s="146"/>
      <c r="ED172" s="146"/>
      <c r="EE172" s="146"/>
      <c r="EF172" s="146"/>
      <c r="EG172" s="146"/>
      <c r="EH172" s="146"/>
      <c r="EI172" s="146"/>
      <c r="EJ172" s="146"/>
      <c r="EK172" s="146"/>
    </row>
    <row r="173" spans="1:141" ht="12.75" customHeight="1" x14ac:dyDescent="0.2">
      <c r="A173" s="393" t="s">
        <v>90</v>
      </c>
      <c r="B173" s="388"/>
      <c r="C173" s="388"/>
      <c r="D173" s="388"/>
      <c r="E173" s="388"/>
      <c r="F173" s="388"/>
      <c r="G173" s="388"/>
      <c r="H173" s="388"/>
      <c r="I173" s="388"/>
      <c r="J173" s="388"/>
      <c r="K173" s="388"/>
      <c r="L173" s="388"/>
      <c r="M173" s="388"/>
      <c r="N173" s="388"/>
      <c r="O173" s="388"/>
      <c r="P173" s="388"/>
      <c r="Q173" s="388"/>
      <c r="R173" s="388"/>
      <c r="S173" s="388"/>
      <c r="T173" s="388"/>
      <c r="U173" s="388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6"/>
      <c r="AW173" s="146"/>
      <c r="AX173" s="146"/>
      <c r="AY173" s="146"/>
      <c r="AZ173" s="146"/>
      <c r="BA173" s="146"/>
      <c r="BB173" s="146"/>
      <c r="BC173" s="146"/>
      <c r="BD173" s="146"/>
      <c r="BE173" s="146"/>
      <c r="BF173" s="146"/>
      <c r="BG173" s="146"/>
      <c r="BH173" s="146"/>
      <c r="BI173" s="146"/>
      <c r="BJ173" s="146"/>
      <c r="BK173" s="146"/>
      <c r="BL173" s="146"/>
      <c r="BM173" s="146"/>
      <c r="BN173" s="146"/>
      <c r="BO173" s="146"/>
      <c r="BP173" s="146"/>
      <c r="BQ173" s="146"/>
      <c r="BR173" s="146"/>
      <c r="BS173" s="146"/>
      <c r="BT173" s="146"/>
      <c r="BU173" s="146"/>
      <c r="BV173" s="146"/>
      <c r="BW173" s="146"/>
      <c r="BX173" s="146"/>
      <c r="BY173" s="146"/>
      <c r="BZ173" s="146"/>
      <c r="CA173" s="146"/>
      <c r="CB173" s="146"/>
      <c r="CC173" s="146"/>
      <c r="CD173" s="146"/>
      <c r="CE173" s="146"/>
      <c r="CF173" s="146"/>
      <c r="CG173" s="146"/>
      <c r="CH173" s="146"/>
      <c r="CI173" s="146"/>
      <c r="CJ173" s="146"/>
      <c r="CK173" s="146"/>
      <c r="CL173" s="146"/>
      <c r="CM173" s="146"/>
      <c r="CN173" s="146"/>
      <c r="CO173" s="146"/>
      <c r="CP173" s="146"/>
      <c r="CQ173" s="146"/>
      <c r="CR173" s="146"/>
      <c r="CS173" s="146"/>
      <c r="CT173" s="146"/>
      <c r="CU173" s="146"/>
      <c r="CV173" s="146"/>
      <c r="CW173" s="146"/>
      <c r="CX173" s="146"/>
      <c r="CY173" s="146"/>
      <c r="CZ173" s="146"/>
      <c r="DA173" s="146"/>
      <c r="DB173" s="146"/>
      <c r="DC173" s="146"/>
      <c r="DD173" s="146"/>
      <c r="DE173" s="146"/>
      <c r="DF173" s="146"/>
      <c r="DG173" s="146"/>
      <c r="DH173" s="146"/>
      <c r="DI173" s="146"/>
      <c r="DJ173" s="146"/>
      <c r="DK173" s="146"/>
      <c r="DL173" s="146"/>
      <c r="DM173" s="146"/>
      <c r="DN173" s="146"/>
      <c r="DO173" s="146"/>
      <c r="DP173" s="146"/>
      <c r="DQ173" s="146"/>
      <c r="DR173" s="146"/>
      <c r="DS173" s="146"/>
      <c r="DT173" s="146"/>
      <c r="DU173" s="146"/>
      <c r="DV173" s="146"/>
      <c r="DW173" s="146"/>
      <c r="DX173" s="146"/>
      <c r="DY173" s="146"/>
      <c r="DZ173" s="146"/>
      <c r="EA173" s="146"/>
      <c r="EB173" s="146"/>
      <c r="EC173" s="146"/>
      <c r="ED173" s="146"/>
      <c r="EE173" s="146"/>
      <c r="EF173" s="146"/>
      <c r="EG173" s="146"/>
      <c r="EH173" s="146"/>
      <c r="EI173" s="146"/>
      <c r="EJ173" s="146"/>
      <c r="EK173" s="146"/>
    </row>
    <row r="174" spans="1:141" ht="12.75" customHeight="1" x14ac:dyDescent="0.2">
      <c r="A174" s="388" t="str">
        <f>A10</f>
        <v>FOR TEST YEAR ENDED DECEMBER 31, 2018</v>
      </c>
      <c r="B174" s="388"/>
      <c r="C174" s="388"/>
      <c r="D174" s="388"/>
      <c r="E174" s="388"/>
      <c r="F174" s="388"/>
      <c r="G174" s="388"/>
      <c r="H174" s="388"/>
      <c r="I174" s="388"/>
      <c r="J174" s="388"/>
      <c r="K174" s="388"/>
      <c r="L174" s="388"/>
      <c r="M174" s="388"/>
      <c r="N174" s="388"/>
      <c r="O174" s="388"/>
      <c r="P174" s="388"/>
      <c r="Q174" s="388"/>
      <c r="R174" s="388"/>
      <c r="S174" s="388"/>
      <c r="T174" s="388"/>
      <c r="U174" s="388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  <c r="AW174" s="146"/>
      <c r="AX174" s="146"/>
      <c r="AY174" s="146"/>
      <c r="AZ174" s="146"/>
      <c r="BA174" s="146"/>
      <c r="BB174" s="146"/>
      <c r="BC174" s="146"/>
      <c r="BD174" s="146"/>
      <c r="BE174" s="146"/>
      <c r="BF174" s="146"/>
      <c r="BG174" s="146"/>
      <c r="BH174" s="146"/>
      <c r="BI174" s="146"/>
      <c r="BJ174" s="146"/>
      <c r="BK174" s="146"/>
      <c r="BL174" s="146"/>
      <c r="BM174" s="146"/>
      <c r="BN174" s="146"/>
      <c r="BO174" s="146"/>
      <c r="BP174" s="146"/>
      <c r="BQ174" s="146"/>
      <c r="BR174" s="146"/>
      <c r="BS174" s="146"/>
      <c r="BT174" s="146"/>
      <c r="BU174" s="146"/>
      <c r="BV174" s="146"/>
      <c r="BW174" s="146"/>
      <c r="BX174" s="146"/>
      <c r="BY174" s="146"/>
      <c r="BZ174" s="146"/>
      <c r="CA174" s="146"/>
      <c r="CB174" s="146"/>
      <c r="CC174" s="146"/>
      <c r="CD174" s="146"/>
      <c r="CE174" s="146"/>
      <c r="CF174" s="146"/>
      <c r="CG174" s="146"/>
      <c r="CH174" s="146"/>
      <c r="CI174" s="146"/>
      <c r="CJ174" s="146"/>
      <c r="CK174" s="146"/>
      <c r="CL174" s="146"/>
      <c r="CM174" s="146"/>
      <c r="CN174" s="146"/>
      <c r="CO174" s="146"/>
      <c r="CP174" s="146"/>
      <c r="CQ174" s="146"/>
      <c r="CR174" s="146"/>
      <c r="CS174" s="146"/>
      <c r="CT174" s="146"/>
      <c r="CU174" s="146"/>
      <c r="CV174" s="146"/>
      <c r="CW174" s="146"/>
      <c r="CX174" s="146"/>
      <c r="CY174" s="146"/>
      <c r="CZ174" s="146"/>
      <c r="DA174" s="146"/>
      <c r="DB174" s="146"/>
      <c r="DC174" s="146"/>
      <c r="DD174" s="146"/>
      <c r="DE174" s="146"/>
      <c r="DF174" s="146"/>
      <c r="DG174" s="146"/>
      <c r="DH174" s="146"/>
      <c r="DI174" s="146"/>
      <c r="DJ174" s="146"/>
      <c r="DK174" s="146"/>
      <c r="DL174" s="146"/>
      <c r="DM174" s="146"/>
      <c r="DN174" s="146"/>
      <c r="DO174" s="146"/>
      <c r="DP174" s="146"/>
      <c r="DQ174" s="146"/>
      <c r="DR174" s="146"/>
      <c r="DS174" s="146"/>
      <c r="DT174" s="146"/>
      <c r="DU174" s="146"/>
      <c r="DV174" s="146"/>
      <c r="DW174" s="146"/>
      <c r="DX174" s="146"/>
      <c r="DY174" s="146"/>
      <c r="DZ174" s="146"/>
      <c r="EA174" s="146"/>
      <c r="EB174" s="146"/>
      <c r="EC174" s="146"/>
      <c r="ED174" s="146"/>
      <c r="EE174" s="146"/>
      <c r="EF174" s="146"/>
      <c r="EG174" s="146"/>
      <c r="EH174" s="146"/>
      <c r="EI174" s="146"/>
      <c r="EJ174" s="146"/>
      <c r="EK174" s="146"/>
    </row>
    <row r="175" spans="1:141" s="126" customFormat="1" ht="12.75" x14ac:dyDescent="0.2">
      <c r="J175" s="192"/>
      <c r="T175" s="192"/>
    </row>
    <row r="176" spans="1:141" x14ac:dyDescent="0.2">
      <c r="B176" s="175"/>
      <c r="C176" s="174"/>
      <c r="D176" s="176"/>
      <c r="E176" s="177"/>
      <c r="F176" s="177"/>
      <c r="G176" s="177"/>
      <c r="K176" s="146"/>
      <c r="L176" s="146"/>
      <c r="M176" s="146"/>
      <c r="N176" s="146"/>
      <c r="O176" s="146"/>
      <c r="P176" s="146"/>
      <c r="Q176" s="146"/>
      <c r="R176" s="146"/>
      <c r="S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6"/>
      <c r="AW176" s="146"/>
      <c r="AX176" s="146"/>
      <c r="AY176" s="146"/>
      <c r="AZ176" s="146"/>
      <c r="BA176" s="146"/>
      <c r="BB176" s="146"/>
      <c r="BC176" s="146"/>
      <c r="BD176" s="146"/>
      <c r="BE176" s="146"/>
      <c r="BF176" s="146"/>
      <c r="BG176" s="146"/>
      <c r="BH176" s="146"/>
      <c r="BI176" s="146"/>
      <c r="BJ176" s="146"/>
      <c r="BK176" s="146"/>
      <c r="BL176" s="146"/>
      <c r="BM176" s="146"/>
      <c r="BN176" s="146"/>
      <c r="BO176" s="146"/>
      <c r="BP176" s="146"/>
      <c r="BQ176" s="146"/>
      <c r="BR176" s="146"/>
      <c r="BS176" s="146"/>
      <c r="BT176" s="146"/>
      <c r="BU176" s="146"/>
      <c r="BV176" s="146"/>
      <c r="BW176" s="146"/>
      <c r="BX176" s="146"/>
      <c r="BY176" s="146"/>
      <c r="BZ176" s="146"/>
      <c r="CA176" s="146"/>
      <c r="CB176" s="146"/>
      <c r="CC176" s="146"/>
      <c r="CD176" s="146"/>
      <c r="CE176" s="146"/>
      <c r="CF176" s="146"/>
      <c r="CG176" s="146"/>
      <c r="CH176" s="146"/>
      <c r="CI176" s="146"/>
      <c r="CJ176" s="146"/>
      <c r="CK176" s="146"/>
      <c r="CL176" s="146"/>
      <c r="CM176" s="146"/>
      <c r="CN176" s="146"/>
      <c r="CO176" s="146"/>
      <c r="CP176" s="146"/>
      <c r="CQ176" s="146"/>
      <c r="CR176" s="146"/>
      <c r="CS176" s="146"/>
      <c r="CT176" s="146"/>
      <c r="CU176" s="146"/>
      <c r="CV176" s="146"/>
      <c r="CW176" s="146"/>
      <c r="CX176" s="146"/>
      <c r="CY176" s="146"/>
      <c r="CZ176" s="146"/>
      <c r="DA176" s="146"/>
      <c r="DB176" s="146"/>
      <c r="DC176" s="146"/>
      <c r="DD176" s="146"/>
      <c r="DE176" s="146"/>
      <c r="DF176" s="146"/>
      <c r="DG176" s="146"/>
      <c r="DH176" s="146"/>
      <c r="DI176" s="146"/>
      <c r="DJ176" s="146"/>
      <c r="DK176" s="146"/>
      <c r="DL176" s="146"/>
      <c r="DM176" s="146"/>
      <c r="DN176" s="146"/>
      <c r="DO176" s="146"/>
      <c r="DP176" s="146"/>
      <c r="DQ176" s="146"/>
      <c r="DR176" s="146"/>
      <c r="DS176" s="146"/>
      <c r="DT176" s="146"/>
      <c r="DU176" s="146"/>
      <c r="DV176" s="146"/>
      <c r="DW176" s="146"/>
      <c r="DX176" s="146"/>
      <c r="DY176" s="146"/>
      <c r="DZ176" s="146"/>
      <c r="EA176" s="146"/>
      <c r="EB176" s="146"/>
      <c r="EC176" s="146"/>
      <c r="ED176" s="146"/>
      <c r="EE176" s="146"/>
      <c r="EF176" s="146"/>
      <c r="EG176" s="146"/>
      <c r="EH176" s="146"/>
      <c r="EI176" s="146"/>
      <c r="EJ176" s="146"/>
      <c r="EK176" s="146"/>
    </row>
    <row r="177" spans="1:141" ht="33.75" x14ac:dyDescent="0.2">
      <c r="A177" s="373" t="s">
        <v>20</v>
      </c>
      <c r="B177" s="375" t="s">
        <v>0</v>
      </c>
      <c r="C177" s="375" t="s">
        <v>19</v>
      </c>
      <c r="D177" s="352" t="str">
        <f>$D$13</f>
        <v>Customer Revenue - Base Tariff</v>
      </c>
      <c r="E177" s="352" t="str">
        <f>$E$13</f>
        <v xml:space="preserve">Meter Revenue - Base Tariff </v>
      </c>
      <c r="F177" s="352" t="str">
        <f>$F$13</f>
        <v>Distribution Service Revenue - Base Tariff</v>
      </c>
      <c r="G177" s="352" t="str">
        <f>$G$13</f>
        <v>Facilities Charge</v>
      </c>
      <c r="H177" s="352" t="str">
        <f>$H$13</f>
        <v>Transmission Service Revenue - Base Tariff</v>
      </c>
      <c r="I177" s="352" t="str">
        <f>$I$13</f>
        <v>Total Base Tariff Revenue</v>
      </c>
      <c r="J177" s="353"/>
      <c r="K177" s="352" t="str">
        <f>$K$13</f>
        <v>Energy Efficiency Rider</v>
      </c>
      <c r="L177" s="352" t="str">
        <f>$L$13</f>
        <v>Transition Charge Riders (TC)</v>
      </c>
      <c r="M177" s="347" t="s">
        <v>121</v>
      </c>
      <c r="N177" s="352" t="str">
        <f>$N$13</f>
        <v xml:space="preserve">Competitive Metering Rider </v>
      </c>
      <c r="O177" s="352" t="str">
        <f>$O$13</f>
        <v>Transmission Cost Recovery Rider (TCRF)</v>
      </c>
      <c r="P177" s="352" t="str">
        <f>$P$13</f>
        <v>State Colleges and Universities Discount Rider</v>
      </c>
      <c r="Q177" s="352" t="str">
        <f>$Q$13</f>
        <v>Advanced Metering Recovery Rider</v>
      </c>
      <c r="R177" s="352" t="str">
        <f>+R13</f>
        <v>Misc Riders</v>
      </c>
      <c r="S177" s="352" t="str">
        <f>$S$13</f>
        <v>Total Riders</v>
      </c>
      <c r="T177" s="348"/>
      <c r="U177" s="352" t="str">
        <f>$U$13</f>
        <v>Total Revenue</v>
      </c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6"/>
      <c r="AW177" s="146"/>
      <c r="AX177" s="146"/>
      <c r="AY177" s="146"/>
      <c r="AZ177" s="146"/>
      <c r="BA177" s="146"/>
      <c r="BB177" s="146"/>
      <c r="BC177" s="146"/>
      <c r="BD177" s="146"/>
      <c r="BE177" s="146"/>
      <c r="BF177" s="146"/>
      <c r="BG177" s="146"/>
      <c r="BH177" s="146"/>
      <c r="BI177" s="146"/>
      <c r="BJ177" s="146"/>
      <c r="BK177" s="146"/>
      <c r="BL177" s="146"/>
      <c r="BM177" s="146"/>
      <c r="BN177" s="146"/>
      <c r="BO177" s="146"/>
      <c r="BP177" s="146"/>
      <c r="BQ177" s="146"/>
      <c r="BR177" s="146"/>
      <c r="BS177" s="146"/>
      <c r="BT177" s="146"/>
      <c r="BU177" s="146"/>
      <c r="BV177" s="146"/>
      <c r="BW177" s="146"/>
      <c r="BX177" s="146"/>
      <c r="BY177" s="146"/>
      <c r="BZ177" s="146"/>
      <c r="CA177" s="146"/>
      <c r="CB177" s="146"/>
      <c r="CC177" s="146"/>
      <c r="CD177" s="146"/>
      <c r="CE177" s="146"/>
      <c r="CF177" s="146"/>
      <c r="CG177" s="146"/>
      <c r="CH177" s="146"/>
      <c r="CI177" s="146"/>
      <c r="CJ177" s="146"/>
      <c r="CK177" s="146"/>
      <c r="CL177" s="146"/>
      <c r="CM177" s="146"/>
      <c r="CN177" s="146"/>
      <c r="CO177" s="146"/>
      <c r="CP177" s="146"/>
      <c r="CQ177" s="146"/>
      <c r="CR177" s="146"/>
      <c r="CS177" s="146"/>
      <c r="CT177" s="146"/>
      <c r="CU177" s="146"/>
      <c r="CV177" s="146"/>
      <c r="CW177" s="146"/>
      <c r="CX177" s="146"/>
      <c r="CY177" s="146"/>
      <c r="CZ177" s="146"/>
      <c r="DA177" s="146"/>
      <c r="DB177" s="146"/>
      <c r="DC177" s="146"/>
      <c r="DD177" s="146"/>
      <c r="DE177" s="146"/>
      <c r="DF177" s="146"/>
      <c r="DG177" s="146"/>
      <c r="DH177" s="146"/>
      <c r="DI177" s="146"/>
      <c r="DJ177" s="146"/>
      <c r="DK177" s="146"/>
      <c r="DL177" s="146"/>
      <c r="DM177" s="146"/>
      <c r="DN177" s="146"/>
      <c r="DO177" s="146"/>
      <c r="DP177" s="146"/>
      <c r="DQ177" s="146"/>
      <c r="DR177" s="146"/>
      <c r="DS177" s="146"/>
      <c r="DT177" s="146"/>
      <c r="DU177" s="146"/>
      <c r="DV177" s="146"/>
      <c r="DW177" s="146"/>
      <c r="DX177" s="146"/>
      <c r="DY177" s="146"/>
      <c r="DZ177" s="146"/>
      <c r="EA177" s="146"/>
      <c r="EB177" s="146"/>
      <c r="EC177" s="146"/>
      <c r="ED177" s="146"/>
      <c r="EE177" s="146"/>
      <c r="EF177" s="146"/>
      <c r="EG177" s="146"/>
      <c r="EH177" s="146"/>
      <c r="EI177" s="146"/>
      <c r="EJ177" s="146"/>
      <c r="EK177" s="146"/>
    </row>
    <row r="178" spans="1:141" s="129" customFormat="1" x14ac:dyDescent="0.2">
      <c r="A178" s="141"/>
      <c r="B178" s="180"/>
      <c r="C178" s="181"/>
      <c r="D178" s="164"/>
      <c r="E178" s="164"/>
      <c r="F178" s="164"/>
      <c r="G178" s="164"/>
      <c r="H178" s="164"/>
      <c r="I178" s="164"/>
      <c r="J178" s="127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</row>
    <row r="179" spans="1:141" s="129" customFormat="1" x14ac:dyDescent="0.2">
      <c r="A179" s="141" t="s">
        <v>21</v>
      </c>
      <c r="B179" s="129" t="s">
        <v>29</v>
      </c>
      <c r="C179" s="143" t="s">
        <v>16</v>
      </c>
      <c r="D179" s="149">
        <f>D147+D114+D82+D49+D15</f>
        <v>33095300.400000002</v>
      </c>
      <c r="E179" s="149">
        <f>E147+E114+E82+E49+E15</f>
        <v>40404003.640000001</v>
      </c>
      <c r="F179" s="149">
        <f>F147+F114+F82+F49+F15</f>
        <v>172153838.65321881</v>
      </c>
      <c r="G179" s="149">
        <f>G147+G114+G82+G49+G15</f>
        <v>0</v>
      </c>
      <c r="H179" s="149">
        <f>H147+H114+H82+H49+H15</f>
        <v>0</v>
      </c>
      <c r="I179" s="149">
        <f>SUM(D179:H179)</f>
        <v>245653142.69321883</v>
      </c>
      <c r="J179" s="194"/>
      <c r="K179" s="149">
        <f t="shared" ref="K179:Q184" si="60">K147+K114+K82+K49+K15</f>
        <v>0</v>
      </c>
      <c r="L179" s="149">
        <f t="shared" si="60"/>
        <v>0</v>
      </c>
      <c r="M179" s="149">
        <f t="shared" si="60"/>
        <v>0</v>
      </c>
      <c r="N179" s="149">
        <f t="shared" si="60"/>
        <v>0</v>
      </c>
      <c r="O179" s="149">
        <f t="shared" si="60"/>
        <v>0</v>
      </c>
      <c r="P179" s="149">
        <f t="shared" si="60"/>
        <v>0</v>
      </c>
      <c r="Q179" s="149">
        <f t="shared" si="60"/>
        <v>0</v>
      </c>
      <c r="R179" s="149"/>
      <c r="S179" s="149">
        <f>S114+S82+S49+S15</f>
        <v>0</v>
      </c>
      <c r="T179" s="198"/>
      <c r="U179" s="198">
        <f>S179+I179</f>
        <v>245653142.69321883</v>
      </c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7"/>
      <c r="AK179" s="117"/>
      <c r="AL179" s="117"/>
      <c r="AM179" s="117"/>
      <c r="AN179" s="117"/>
      <c r="AO179" s="117"/>
      <c r="AP179" s="117"/>
      <c r="AQ179" s="117"/>
      <c r="AR179" s="117"/>
      <c r="AS179" s="117"/>
      <c r="AT179" s="117"/>
      <c r="AU179" s="117"/>
      <c r="AV179" s="117"/>
      <c r="AW179" s="117"/>
      <c r="AX179" s="117"/>
      <c r="AY179" s="117"/>
      <c r="AZ179" s="117"/>
      <c r="BA179" s="117"/>
      <c r="BB179" s="117"/>
      <c r="BC179" s="117"/>
      <c r="BD179" s="117"/>
      <c r="BE179" s="117"/>
      <c r="BF179" s="117"/>
      <c r="BG179" s="117"/>
      <c r="BH179" s="117"/>
      <c r="BI179" s="117"/>
      <c r="BJ179" s="117"/>
      <c r="BK179" s="117"/>
      <c r="BL179" s="117"/>
      <c r="BM179" s="117"/>
      <c r="BN179" s="117"/>
      <c r="BO179" s="117"/>
      <c r="BP179" s="117"/>
      <c r="BQ179" s="117"/>
      <c r="BR179" s="117"/>
      <c r="BS179" s="117"/>
      <c r="BT179" s="117"/>
      <c r="BU179" s="117"/>
      <c r="BV179" s="117"/>
      <c r="BW179" s="117"/>
      <c r="BX179" s="117"/>
      <c r="BY179" s="117"/>
      <c r="BZ179" s="117"/>
      <c r="CA179" s="117"/>
      <c r="CB179" s="117"/>
      <c r="CC179" s="117"/>
      <c r="CD179" s="117"/>
      <c r="CE179" s="117"/>
      <c r="CF179" s="117"/>
      <c r="CG179" s="117"/>
      <c r="CH179" s="117"/>
      <c r="CI179" s="117"/>
      <c r="CJ179" s="117"/>
      <c r="CK179" s="117"/>
      <c r="CL179" s="117"/>
      <c r="CM179" s="117"/>
      <c r="CN179" s="117"/>
      <c r="CO179" s="117"/>
      <c r="CP179" s="117"/>
      <c r="CQ179" s="117"/>
      <c r="CR179" s="117"/>
      <c r="CS179" s="117"/>
      <c r="CT179" s="117"/>
      <c r="CU179" s="117"/>
      <c r="CV179" s="117"/>
      <c r="CW179" s="117"/>
      <c r="CX179" s="117"/>
      <c r="CY179" s="117"/>
      <c r="CZ179" s="117"/>
      <c r="DA179" s="117"/>
      <c r="DB179" s="117"/>
      <c r="DC179" s="117"/>
      <c r="DD179" s="117"/>
      <c r="DE179" s="117"/>
      <c r="DF179" s="117"/>
      <c r="DG179" s="117"/>
      <c r="DH179" s="117"/>
      <c r="DI179" s="117"/>
      <c r="DJ179" s="117"/>
      <c r="DK179" s="117"/>
      <c r="DL179" s="117"/>
      <c r="DM179" s="117"/>
      <c r="DN179" s="117"/>
      <c r="DO179" s="117"/>
      <c r="DP179" s="117"/>
      <c r="DQ179" s="117"/>
      <c r="DR179" s="117"/>
      <c r="DS179" s="117"/>
      <c r="DT179" s="117"/>
      <c r="DU179" s="117"/>
      <c r="DV179" s="117"/>
      <c r="DW179" s="117"/>
      <c r="DX179" s="117"/>
      <c r="DY179" s="117"/>
      <c r="DZ179" s="117"/>
      <c r="EA179" s="117"/>
      <c r="EB179" s="117"/>
      <c r="EC179" s="117"/>
      <c r="ED179" s="117"/>
      <c r="EE179" s="117"/>
      <c r="EF179" s="117"/>
      <c r="EG179" s="117"/>
      <c r="EH179" s="117"/>
      <c r="EI179" s="117"/>
      <c r="EJ179" s="117"/>
    </row>
    <row r="180" spans="1:141" s="129" customFormat="1" x14ac:dyDescent="0.2">
      <c r="C180" s="143"/>
      <c r="D180" s="171"/>
      <c r="E180" s="171"/>
      <c r="F180" s="171"/>
      <c r="G180" s="171"/>
      <c r="H180" s="171"/>
      <c r="I180" s="171"/>
      <c r="J180" s="142"/>
      <c r="K180" s="171"/>
      <c r="L180" s="171"/>
      <c r="M180" s="171"/>
      <c r="N180" s="171"/>
      <c r="O180" s="171"/>
      <c r="P180" s="171"/>
      <c r="Q180" s="171"/>
      <c r="R180" s="171"/>
      <c r="S180" s="171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7"/>
      <c r="AK180" s="117"/>
      <c r="AL180" s="117"/>
      <c r="AM180" s="117"/>
      <c r="AN180" s="117"/>
      <c r="AO180" s="117"/>
      <c r="AP180" s="117"/>
      <c r="AQ180" s="117"/>
      <c r="AR180" s="117"/>
      <c r="AS180" s="117"/>
      <c r="AT180" s="117"/>
      <c r="AU180" s="117"/>
      <c r="AV180" s="117"/>
      <c r="AW180" s="117"/>
      <c r="AX180" s="117"/>
      <c r="AY180" s="117"/>
      <c r="AZ180" s="117"/>
      <c r="BA180" s="117"/>
      <c r="BB180" s="117"/>
      <c r="BC180" s="117"/>
      <c r="BD180" s="117"/>
      <c r="BE180" s="117"/>
      <c r="BF180" s="117"/>
      <c r="BG180" s="117"/>
      <c r="BH180" s="117"/>
      <c r="BI180" s="117"/>
      <c r="BJ180" s="117"/>
      <c r="BK180" s="117"/>
      <c r="BL180" s="117"/>
      <c r="BM180" s="117"/>
      <c r="BN180" s="117"/>
      <c r="BO180" s="117"/>
      <c r="BP180" s="117"/>
      <c r="BQ180" s="117"/>
      <c r="BR180" s="117"/>
      <c r="BS180" s="117"/>
      <c r="BT180" s="117"/>
      <c r="BU180" s="117"/>
      <c r="BV180" s="117"/>
      <c r="BW180" s="117"/>
      <c r="BX180" s="117"/>
      <c r="BY180" s="117"/>
      <c r="BZ180" s="117"/>
      <c r="CA180" s="117"/>
      <c r="CB180" s="117"/>
      <c r="CC180" s="117"/>
      <c r="CD180" s="117"/>
      <c r="CE180" s="117"/>
      <c r="CF180" s="117"/>
      <c r="CG180" s="117"/>
      <c r="CH180" s="117"/>
      <c r="CI180" s="117"/>
      <c r="CJ180" s="117"/>
      <c r="CK180" s="117"/>
      <c r="CL180" s="117"/>
      <c r="CM180" s="117"/>
      <c r="CN180" s="117"/>
      <c r="CO180" s="117"/>
      <c r="CP180" s="117"/>
      <c r="CQ180" s="117"/>
      <c r="CR180" s="117"/>
      <c r="CS180" s="117"/>
      <c r="CT180" s="117"/>
      <c r="CU180" s="117"/>
      <c r="CV180" s="117"/>
      <c r="CW180" s="117"/>
      <c r="CX180" s="117"/>
      <c r="CY180" s="117"/>
      <c r="CZ180" s="117"/>
      <c r="DA180" s="117"/>
      <c r="DB180" s="117"/>
      <c r="DC180" s="117"/>
      <c r="DD180" s="117"/>
      <c r="DE180" s="117"/>
      <c r="DF180" s="117"/>
      <c r="DG180" s="117"/>
      <c r="DH180" s="117"/>
      <c r="DI180" s="117"/>
      <c r="DJ180" s="117"/>
      <c r="DK180" s="117"/>
      <c r="DL180" s="117"/>
      <c r="DM180" s="117"/>
      <c r="DN180" s="117"/>
      <c r="DO180" s="117"/>
      <c r="DP180" s="117"/>
      <c r="DQ180" s="117"/>
      <c r="DR180" s="117"/>
      <c r="DS180" s="117"/>
      <c r="DT180" s="117"/>
      <c r="DU180" s="117"/>
      <c r="DV180" s="117"/>
      <c r="DW180" s="117"/>
      <c r="DX180" s="117"/>
      <c r="DY180" s="117"/>
      <c r="DZ180" s="117"/>
      <c r="EA180" s="117"/>
      <c r="EB180" s="117"/>
      <c r="EC180" s="117"/>
      <c r="ED180" s="117"/>
      <c r="EE180" s="117"/>
      <c r="EF180" s="117"/>
      <c r="EG180" s="117"/>
      <c r="EH180" s="117"/>
      <c r="EI180" s="117"/>
      <c r="EJ180" s="117"/>
    </row>
    <row r="181" spans="1:141" s="129" customFormat="1" x14ac:dyDescent="0.2">
      <c r="A181" s="141">
        <v>2</v>
      </c>
      <c r="B181" s="129" t="s">
        <v>32</v>
      </c>
      <c r="C181" s="143" t="s">
        <v>16</v>
      </c>
      <c r="D181" s="122">
        <f>D149+D116+D84+D51+D17</f>
        <v>3734932.4600000004</v>
      </c>
      <c r="E181" s="122">
        <f>E149+E116+E84+E51+E17</f>
        <v>5034677</v>
      </c>
      <c r="F181" s="122">
        <f>F149+F116+F84+F51+F17</f>
        <v>11139353.804537969</v>
      </c>
      <c r="G181" s="122">
        <f>G149+G116+G84+G51+G17</f>
        <v>0</v>
      </c>
      <c r="H181" s="122">
        <f>H149+H116+H84+H51+H17</f>
        <v>0</v>
      </c>
      <c r="I181" s="122">
        <f>SUM(D181:H181)</f>
        <v>19908963.264537968</v>
      </c>
      <c r="J181" s="142"/>
      <c r="K181" s="122">
        <f t="shared" ref="K181:Q181" si="61">K149+K116+K84+K51+K17</f>
        <v>0</v>
      </c>
      <c r="L181" s="122">
        <f t="shared" si="61"/>
        <v>0</v>
      </c>
      <c r="M181" s="149">
        <f t="shared" si="60"/>
        <v>0</v>
      </c>
      <c r="N181" s="122">
        <f t="shared" si="61"/>
        <v>0</v>
      </c>
      <c r="O181" s="122">
        <f t="shared" si="61"/>
        <v>0</v>
      </c>
      <c r="P181" s="122">
        <f t="shared" si="61"/>
        <v>0</v>
      </c>
      <c r="Q181" s="122">
        <f t="shared" si="61"/>
        <v>0</v>
      </c>
      <c r="R181" s="122"/>
      <c r="S181" s="122">
        <f>S116+S84+S51+S17</f>
        <v>0</v>
      </c>
      <c r="T181" s="142"/>
      <c r="U181" s="142">
        <f>S181+I181</f>
        <v>19908963.264537968</v>
      </c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7"/>
      <c r="AM181" s="117"/>
      <c r="AN181" s="117"/>
      <c r="AO181" s="117"/>
      <c r="AP181" s="117"/>
      <c r="AQ181" s="117"/>
      <c r="AR181" s="117"/>
      <c r="AS181" s="117"/>
      <c r="AT181" s="117"/>
      <c r="AU181" s="117"/>
      <c r="AV181" s="117"/>
      <c r="AW181" s="117"/>
      <c r="AX181" s="117"/>
      <c r="AY181" s="117"/>
      <c r="AZ181" s="117"/>
      <c r="BA181" s="117"/>
      <c r="BB181" s="117"/>
      <c r="BC181" s="117"/>
      <c r="BD181" s="117"/>
      <c r="BE181" s="117"/>
      <c r="BF181" s="117"/>
      <c r="BG181" s="117"/>
      <c r="BH181" s="117"/>
      <c r="BI181" s="117"/>
      <c r="BJ181" s="117"/>
      <c r="BK181" s="117"/>
      <c r="BL181" s="117"/>
      <c r="BM181" s="117"/>
      <c r="BN181" s="117"/>
      <c r="BO181" s="117"/>
      <c r="BP181" s="117"/>
      <c r="BQ181" s="117"/>
      <c r="BR181" s="117"/>
      <c r="BS181" s="117"/>
      <c r="BT181" s="117"/>
      <c r="BU181" s="117"/>
      <c r="BV181" s="117"/>
      <c r="BW181" s="117"/>
      <c r="BX181" s="117"/>
      <c r="BY181" s="117"/>
      <c r="BZ181" s="117"/>
      <c r="CA181" s="117"/>
      <c r="CB181" s="117"/>
      <c r="CC181" s="117"/>
      <c r="CD181" s="117"/>
      <c r="CE181" s="117"/>
      <c r="CF181" s="117"/>
      <c r="CG181" s="117"/>
      <c r="CH181" s="117"/>
      <c r="CI181" s="117"/>
      <c r="CJ181" s="117"/>
      <c r="CK181" s="117"/>
      <c r="CL181" s="117"/>
      <c r="CM181" s="117"/>
      <c r="CN181" s="117"/>
      <c r="CO181" s="117"/>
      <c r="CP181" s="117"/>
      <c r="CQ181" s="117"/>
      <c r="CR181" s="117"/>
      <c r="CS181" s="117"/>
      <c r="CT181" s="117"/>
      <c r="CU181" s="117"/>
      <c r="CV181" s="117"/>
      <c r="CW181" s="117"/>
      <c r="CX181" s="117"/>
      <c r="CY181" s="117"/>
      <c r="CZ181" s="117"/>
      <c r="DA181" s="117"/>
      <c r="DB181" s="117"/>
      <c r="DC181" s="117"/>
      <c r="DD181" s="117"/>
      <c r="DE181" s="117"/>
      <c r="DF181" s="117"/>
      <c r="DG181" s="117"/>
      <c r="DH181" s="117"/>
      <c r="DI181" s="117"/>
      <c r="DJ181" s="117"/>
      <c r="DK181" s="117"/>
      <c r="DL181" s="117"/>
      <c r="DM181" s="117"/>
      <c r="DN181" s="117"/>
      <c r="DO181" s="117"/>
      <c r="DP181" s="117"/>
      <c r="DQ181" s="117"/>
      <c r="DR181" s="117"/>
      <c r="DS181" s="117"/>
      <c r="DT181" s="117"/>
      <c r="DU181" s="117"/>
      <c r="DV181" s="117"/>
      <c r="DW181" s="117"/>
      <c r="DX181" s="117"/>
      <c r="DY181" s="117"/>
      <c r="DZ181" s="117"/>
      <c r="EA181" s="117"/>
      <c r="EB181" s="117"/>
      <c r="EC181" s="117"/>
      <c r="ED181" s="117"/>
      <c r="EE181" s="117"/>
      <c r="EF181" s="117"/>
      <c r="EG181" s="117"/>
      <c r="EH181" s="117"/>
      <c r="EI181" s="117"/>
      <c r="EJ181" s="117"/>
    </row>
    <row r="182" spans="1:141" s="129" customFormat="1" x14ac:dyDescent="0.2">
      <c r="A182" s="141"/>
      <c r="C182" s="143"/>
      <c r="D182" s="122"/>
      <c r="E182" s="122"/>
      <c r="F182" s="122"/>
      <c r="G182" s="122"/>
      <c r="H182" s="122"/>
      <c r="I182" s="122"/>
      <c r="J182" s="142"/>
      <c r="K182" s="122"/>
      <c r="L182" s="122"/>
      <c r="M182" s="122"/>
      <c r="N182" s="122"/>
      <c r="O182" s="122"/>
      <c r="P182" s="122"/>
      <c r="Q182" s="122"/>
      <c r="R182" s="122"/>
      <c r="S182" s="122"/>
      <c r="T182" s="117"/>
      <c r="U182" s="142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7"/>
      <c r="AM182" s="117"/>
      <c r="AN182" s="117"/>
      <c r="AO182" s="117"/>
      <c r="AP182" s="117"/>
      <c r="AQ182" s="117"/>
      <c r="AR182" s="117"/>
      <c r="AS182" s="117"/>
      <c r="AT182" s="117"/>
      <c r="AU182" s="117"/>
      <c r="AV182" s="117"/>
      <c r="AW182" s="117"/>
      <c r="AX182" s="117"/>
      <c r="AY182" s="117"/>
      <c r="AZ182" s="117"/>
      <c r="BA182" s="117"/>
      <c r="BB182" s="117"/>
      <c r="BC182" s="117"/>
      <c r="BD182" s="117"/>
      <c r="BE182" s="117"/>
      <c r="BF182" s="117"/>
      <c r="BG182" s="117"/>
      <c r="BH182" s="117"/>
      <c r="BI182" s="117"/>
      <c r="BJ182" s="117"/>
      <c r="BK182" s="117"/>
      <c r="BL182" s="117"/>
      <c r="BM182" s="117"/>
      <c r="BN182" s="117"/>
      <c r="BO182" s="117"/>
      <c r="BP182" s="117"/>
      <c r="BQ182" s="117"/>
      <c r="BR182" s="117"/>
      <c r="BS182" s="117"/>
      <c r="BT182" s="117"/>
      <c r="BU182" s="117"/>
      <c r="BV182" s="117"/>
      <c r="BW182" s="117"/>
      <c r="BX182" s="117"/>
      <c r="BY182" s="117"/>
      <c r="BZ182" s="117"/>
      <c r="CA182" s="117"/>
      <c r="CB182" s="117"/>
      <c r="CC182" s="117"/>
      <c r="CD182" s="117"/>
      <c r="CE182" s="117"/>
      <c r="CF182" s="117"/>
      <c r="CG182" s="117"/>
      <c r="CH182" s="117"/>
      <c r="CI182" s="117"/>
      <c r="CJ182" s="117"/>
      <c r="CK182" s="117"/>
      <c r="CL182" s="117"/>
      <c r="CM182" s="117"/>
      <c r="CN182" s="117"/>
      <c r="CO182" s="117"/>
      <c r="CP182" s="117"/>
      <c r="CQ182" s="117"/>
      <c r="CR182" s="117"/>
      <c r="CS182" s="117"/>
      <c r="CT182" s="117"/>
      <c r="CU182" s="117"/>
      <c r="CV182" s="117"/>
      <c r="CW182" s="117"/>
      <c r="CX182" s="117"/>
      <c r="CY182" s="117"/>
      <c r="CZ182" s="117"/>
      <c r="DA182" s="117"/>
      <c r="DB182" s="117"/>
      <c r="DC182" s="117"/>
      <c r="DD182" s="117"/>
      <c r="DE182" s="117"/>
      <c r="DF182" s="117"/>
      <c r="DG182" s="117"/>
      <c r="DH182" s="117"/>
      <c r="DI182" s="117"/>
      <c r="DJ182" s="117"/>
      <c r="DK182" s="117"/>
      <c r="DL182" s="117"/>
      <c r="DM182" s="117"/>
      <c r="DN182" s="117"/>
      <c r="DO182" s="117"/>
      <c r="DP182" s="117"/>
      <c r="DQ182" s="117"/>
      <c r="DR182" s="117"/>
      <c r="DS182" s="117"/>
      <c r="DT182" s="117"/>
      <c r="DU182" s="117"/>
      <c r="DV182" s="117"/>
      <c r="DW182" s="117"/>
      <c r="DX182" s="117"/>
      <c r="DY182" s="117"/>
      <c r="DZ182" s="117"/>
      <c r="EA182" s="117"/>
      <c r="EB182" s="117"/>
      <c r="EC182" s="117"/>
      <c r="ED182" s="117"/>
      <c r="EE182" s="117"/>
      <c r="EF182" s="117"/>
      <c r="EG182" s="117"/>
      <c r="EH182" s="117"/>
      <c r="EI182" s="117"/>
      <c r="EJ182" s="117"/>
    </row>
    <row r="183" spans="1:141" s="129" customFormat="1" x14ac:dyDescent="0.2">
      <c r="A183" s="141">
        <v>3</v>
      </c>
      <c r="B183" s="146" t="s">
        <v>113</v>
      </c>
      <c r="C183" s="125" t="s">
        <v>16</v>
      </c>
      <c r="D183" s="142">
        <f>+D151+D118+D86+D53+D19</f>
        <v>3001623.27</v>
      </c>
      <c r="E183" s="142">
        <f>+E151+E118+E86+E53+E19</f>
        <v>14236097.83</v>
      </c>
      <c r="F183" s="142">
        <f>+F151+F118+F86+F53+F19</f>
        <v>107366024.54332267</v>
      </c>
      <c r="G183" s="142">
        <f>+G151+G118+G86+G53+G19</f>
        <v>0</v>
      </c>
      <c r="H183" s="142">
        <f>+H151+H118+H86+H53+H19</f>
        <v>0</v>
      </c>
      <c r="I183" s="142">
        <f>SUM(D183:H183)</f>
        <v>124603745.64332268</v>
      </c>
      <c r="J183" s="142"/>
      <c r="K183" s="142">
        <f t="shared" ref="K183:Q183" si="62">+K151+K118+K86+K53+K19</f>
        <v>0</v>
      </c>
      <c r="L183" s="142">
        <f t="shared" si="62"/>
        <v>0</v>
      </c>
      <c r="M183" s="149">
        <f t="shared" si="60"/>
        <v>0</v>
      </c>
      <c r="N183" s="142">
        <f t="shared" si="62"/>
        <v>0</v>
      </c>
      <c r="O183" s="142">
        <f t="shared" si="62"/>
        <v>0</v>
      </c>
      <c r="P183" s="142">
        <f t="shared" si="62"/>
        <v>0</v>
      </c>
      <c r="Q183" s="142">
        <f t="shared" si="62"/>
        <v>0</v>
      </c>
      <c r="R183" s="142"/>
      <c r="S183" s="142">
        <f>S118+S86+S53+S19</f>
        <v>0</v>
      </c>
      <c r="T183" s="142"/>
      <c r="U183" s="142">
        <f>S183+I183</f>
        <v>124603745.64332268</v>
      </c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7"/>
      <c r="AM183" s="117"/>
      <c r="AN183" s="117"/>
      <c r="AO183" s="117"/>
      <c r="AP183" s="117"/>
      <c r="AQ183" s="117"/>
      <c r="AR183" s="117"/>
      <c r="AS183" s="117"/>
      <c r="AT183" s="117"/>
      <c r="AU183" s="117"/>
      <c r="AV183" s="117"/>
      <c r="AW183" s="117"/>
      <c r="AX183" s="117"/>
      <c r="AY183" s="117"/>
      <c r="AZ183" s="117"/>
      <c r="BA183" s="117"/>
      <c r="BB183" s="117"/>
      <c r="BC183" s="117"/>
      <c r="BD183" s="117"/>
      <c r="BE183" s="117"/>
      <c r="BF183" s="117"/>
      <c r="BG183" s="117"/>
      <c r="BH183" s="117"/>
      <c r="BI183" s="117"/>
      <c r="BJ183" s="117"/>
      <c r="BK183" s="117"/>
      <c r="BL183" s="117"/>
      <c r="BM183" s="117"/>
      <c r="BN183" s="117"/>
      <c r="BO183" s="117"/>
      <c r="BP183" s="117"/>
      <c r="BQ183" s="117"/>
      <c r="BR183" s="117"/>
      <c r="BS183" s="117"/>
      <c r="BT183" s="117"/>
      <c r="BU183" s="117"/>
      <c r="BV183" s="117"/>
      <c r="BW183" s="117"/>
      <c r="BX183" s="117"/>
      <c r="BY183" s="117"/>
      <c r="BZ183" s="117"/>
      <c r="CA183" s="117"/>
      <c r="CB183" s="117"/>
      <c r="CC183" s="117"/>
      <c r="CD183" s="117"/>
      <c r="CE183" s="117"/>
      <c r="CF183" s="117"/>
      <c r="CG183" s="117"/>
      <c r="CH183" s="117"/>
      <c r="CI183" s="117"/>
      <c r="CJ183" s="117"/>
      <c r="CK183" s="117"/>
      <c r="CL183" s="117"/>
      <c r="CM183" s="117"/>
      <c r="CN183" s="117"/>
      <c r="CO183" s="117"/>
      <c r="CP183" s="117"/>
      <c r="CQ183" s="117"/>
      <c r="CR183" s="117"/>
      <c r="CS183" s="117"/>
      <c r="CT183" s="117"/>
      <c r="CU183" s="117"/>
      <c r="CV183" s="117"/>
      <c r="CW183" s="117"/>
      <c r="CX183" s="117"/>
      <c r="CY183" s="117"/>
      <c r="CZ183" s="117"/>
      <c r="DA183" s="117"/>
      <c r="DB183" s="117"/>
      <c r="DC183" s="117"/>
      <c r="DD183" s="117"/>
      <c r="DE183" s="117"/>
      <c r="DF183" s="117"/>
      <c r="DG183" s="117"/>
      <c r="DH183" s="117"/>
      <c r="DI183" s="117"/>
      <c r="DJ183" s="117"/>
      <c r="DK183" s="117"/>
      <c r="DL183" s="117"/>
      <c r="DM183" s="117"/>
      <c r="DN183" s="117"/>
      <c r="DO183" s="117"/>
      <c r="DP183" s="117"/>
      <c r="DQ183" s="117"/>
      <c r="DR183" s="117"/>
      <c r="DS183" s="117"/>
      <c r="DT183" s="117"/>
      <c r="DU183" s="117"/>
      <c r="DV183" s="117"/>
      <c r="DW183" s="117"/>
      <c r="DX183" s="117"/>
      <c r="DY183" s="117"/>
      <c r="DZ183" s="117"/>
      <c r="EA183" s="117"/>
      <c r="EB183" s="117"/>
      <c r="EC183" s="117"/>
      <c r="ED183" s="117"/>
      <c r="EE183" s="117"/>
      <c r="EF183" s="117"/>
      <c r="EG183" s="117"/>
      <c r="EH183" s="117"/>
      <c r="EI183" s="117"/>
      <c r="EJ183" s="117"/>
    </row>
    <row r="184" spans="1:141" s="129" customFormat="1" x14ac:dyDescent="0.2">
      <c r="A184" s="141">
        <v>4</v>
      </c>
      <c r="B184" s="146" t="s">
        <v>114</v>
      </c>
      <c r="C184" s="125" t="s">
        <v>16</v>
      </c>
      <c r="D184" s="123">
        <f>D152+D119+D87+D54+D20</f>
        <v>153006.87000000002</v>
      </c>
      <c r="E184" s="123">
        <f>E152+E119+E87+E54+E20</f>
        <v>127921.41</v>
      </c>
      <c r="F184" s="123">
        <f>F152+F119+F87+F54+F20</f>
        <v>10656877.859271195</v>
      </c>
      <c r="G184" s="123">
        <f>G152+G119+G87+G54+G20</f>
        <v>0</v>
      </c>
      <c r="H184" s="123">
        <f>H152+H119+H87+H54+H20</f>
        <v>0</v>
      </c>
      <c r="I184" s="123">
        <f>SUM(D184:H184)</f>
        <v>10937806.139271194</v>
      </c>
      <c r="J184" s="142"/>
      <c r="K184" s="123">
        <f t="shared" ref="K184:Q184" si="63">K152+K119+K87+K54+K20</f>
        <v>0</v>
      </c>
      <c r="L184" s="123">
        <f t="shared" si="63"/>
        <v>0</v>
      </c>
      <c r="M184" s="247">
        <f t="shared" si="60"/>
        <v>0</v>
      </c>
      <c r="N184" s="123">
        <f t="shared" si="63"/>
        <v>0</v>
      </c>
      <c r="O184" s="123">
        <f t="shared" si="63"/>
        <v>0</v>
      </c>
      <c r="P184" s="123">
        <f t="shared" si="63"/>
        <v>0</v>
      </c>
      <c r="Q184" s="123">
        <f t="shared" si="63"/>
        <v>0</v>
      </c>
      <c r="R184" s="123"/>
      <c r="S184" s="123">
        <f>S119+S87+S54+S20</f>
        <v>0</v>
      </c>
      <c r="T184" s="142"/>
      <c r="U184" s="123">
        <f>S184+I184</f>
        <v>10937806.139271194</v>
      </c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  <c r="AI184" s="117"/>
      <c r="AJ184" s="117"/>
      <c r="AK184" s="117"/>
      <c r="AL184" s="117"/>
      <c r="AM184" s="117"/>
      <c r="AN184" s="117"/>
      <c r="AO184" s="117"/>
      <c r="AP184" s="117"/>
      <c r="AQ184" s="117"/>
      <c r="AR184" s="117"/>
      <c r="AS184" s="117"/>
      <c r="AT184" s="117"/>
      <c r="AU184" s="117"/>
      <c r="AV184" s="117"/>
      <c r="AW184" s="117"/>
      <c r="AX184" s="117"/>
      <c r="AY184" s="117"/>
      <c r="AZ184" s="117"/>
      <c r="BA184" s="117"/>
      <c r="BB184" s="117"/>
      <c r="BC184" s="117"/>
      <c r="BD184" s="117"/>
      <c r="BE184" s="117"/>
      <c r="BF184" s="117"/>
      <c r="BG184" s="117"/>
      <c r="BH184" s="117"/>
      <c r="BI184" s="117"/>
      <c r="BJ184" s="117"/>
      <c r="BK184" s="117"/>
      <c r="BL184" s="117"/>
      <c r="BM184" s="117"/>
      <c r="BN184" s="117"/>
      <c r="BO184" s="117"/>
      <c r="BP184" s="117"/>
      <c r="BQ184" s="117"/>
      <c r="BR184" s="117"/>
      <c r="BS184" s="117"/>
      <c r="BT184" s="117"/>
      <c r="BU184" s="117"/>
      <c r="BV184" s="117"/>
      <c r="BW184" s="117"/>
      <c r="BX184" s="117"/>
      <c r="BY184" s="117"/>
      <c r="BZ184" s="117"/>
      <c r="CA184" s="117"/>
      <c r="CB184" s="117"/>
      <c r="CC184" s="117"/>
      <c r="CD184" s="117"/>
      <c r="CE184" s="117"/>
      <c r="CF184" s="117"/>
      <c r="CG184" s="117"/>
      <c r="CH184" s="117"/>
      <c r="CI184" s="117"/>
      <c r="CJ184" s="117"/>
      <c r="CK184" s="117"/>
      <c r="CL184" s="117"/>
      <c r="CM184" s="117"/>
      <c r="CN184" s="117"/>
      <c r="CO184" s="117"/>
      <c r="CP184" s="117"/>
      <c r="CQ184" s="117"/>
      <c r="CR184" s="117"/>
      <c r="CS184" s="117"/>
      <c r="CT184" s="117"/>
      <c r="CU184" s="117"/>
      <c r="CV184" s="117"/>
      <c r="CW184" s="117"/>
      <c r="CX184" s="117"/>
      <c r="CY184" s="117"/>
      <c r="CZ184" s="117"/>
      <c r="DA184" s="117"/>
      <c r="DB184" s="117"/>
      <c r="DC184" s="117"/>
      <c r="DD184" s="117"/>
      <c r="DE184" s="117"/>
      <c r="DF184" s="117"/>
      <c r="DG184" s="117"/>
      <c r="DH184" s="117"/>
      <c r="DI184" s="117"/>
      <c r="DJ184" s="117"/>
      <c r="DK184" s="117"/>
      <c r="DL184" s="117"/>
      <c r="DM184" s="117"/>
      <c r="DN184" s="117"/>
      <c r="DO184" s="117"/>
      <c r="DP184" s="117"/>
      <c r="DQ184" s="117"/>
      <c r="DR184" s="117"/>
      <c r="DS184" s="117"/>
      <c r="DT184" s="117"/>
      <c r="DU184" s="117"/>
      <c r="DV184" s="117"/>
      <c r="DW184" s="117"/>
      <c r="DX184" s="117"/>
      <c r="DY184" s="117"/>
      <c r="DZ184" s="117"/>
      <c r="EA184" s="117"/>
      <c r="EB184" s="117"/>
      <c r="EC184" s="117"/>
      <c r="ED184" s="117"/>
      <c r="EE184" s="117"/>
      <c r="EF184" s="117"/>
      <c r="EG184" s="117"/>
      <c r="EH184" s="117"/>
      <c r="EI184" s="117"/>
      <c r="EJ184" s="117"/>
    </row>
    <row r="185" spans="1:141" s="129" customFormat="1" x14ac:dyDescent="0.2">
      <c r="A185" s="141">
        <v>5</v>
      </c>
      <c r="B185" s="162" t="s">
        <v>30</v>
      </c>
      <c r="C185" s="143"/>
      <c r="D185" s="157">
        <f t="shared" ref="D185:I185" si="64">SUM(D183:D184)</f>
        <v>3154630.14</v>
      </c>
      <c r="E185" s="157">
        <f t="shared" si="64"/>
        <v>14364019.24</v>
      </c>
      <c r="F185" s="157">
        <f t="shared" si="64"/>
        <v>118022902.40259387</v>
      </c>
      <c r="G185" s="157">
        <f t="shared" si="64"/>
        <v>0</v>
      </c>
      <c r="H185" s="157">
        <f t="shared" si="64"/>
        <v>0</v>
      </c>
      <c r="I185" s="157">
        <f t="shared" si="64"/>
        <v>135541551.78259388</v>
      </c>
      <c r="J185" s="128"/>
      <c r="K185" s="157">
        <f t="shared" ref="K185:Q185" si="65">SUM(K183:K184)</f>
        <v>0</v>
      </c>
      <c r="L185" s="157">
        <f t="shared" si="65"/>
        <v>0</v>
      </c>
      <c r="M185" s="157">
        <f>SUM(M183:M184)</f>
        <v>0</v>
      </c>
      <c r="N185" s="157">
        <f t="shared" si="65"/>
        <v>0</v>
      </c>
      <c r="O185" s="157">
        <f t="shared" si="65"/>
        <v>0</v>
      </c>
      <c r="P185" s="157">
        <f t="shared" si="65"/>
        <v>0</v>
      </c>
      <c r="Q185" s="157">
        <f t="shared" si="65"/>
        <v>0</v>
      </c>
      <c r="R185" s="157"/>
      <c r="S185" s="157">
        <f>SUM(S183:S184)</f>
        <v>0</v>
      </c>
      <c r="T185" s="144"/>
      <c r="U185" s="142">
        <f>S185+I185</f>
        <v>135541551.78259388</v>
      </c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  <c r="AI185" s="117"/>
      <c r="AJ185" s="117"/>
      <c r="AK185" s="117"/>
      <c r="AL185" s="117"/>
      <c r="AM185" s="117"/>
      <c r="AN185" s="117"/>
      <c r="AO185" s="117"/>
      <c r="AP185" s="117"/>
      <c r="AQ185" s="117"/>
      <c r="AR185" s="117"/>
      <c r="AS185" s="117"/>
      <c r="AT185" s="117"/>
      <c r="AU185" s="117"/>
      <c r="AV185" s="117"/>
      <c r="AW185" s="117"/>
      <c r="AX185" s="117"/>
      <c r="AY185" s="117"/>
      <c r="AZ185" s="117"/>
      <c r="BA185" s="117"/>
      <c r="BB185" s="117"/>
      <c r="BC185" s="117"/>
      <c r="BD185" s="117"/>
      <c r="BE185" s="117"/>
      <c r="BF185" s="117"/>
      <c r="BG185" s="117"/>
      <c r="BH185" s="117"/>
      <c r="BI185" s="117"/>
      <c r="BJ185" s="117"/>
      <c r="BK185" s="117"/>
      <c r="BL185" s="117"/>
      <c r="BM185" s="117"/>
      <c r="BN185" s="117"/>
      <c r="BO185" s="117"/>
      <c r="BP185" s="117"/>
      <c r="BQ185" s="117"/>
      <c r="BR185" s="117"/>
      <c r="BS185" s="117"/>
      <c r="BT185" s="117"/>
      <c r="BU185" s="117"/>
      <c r="BV185" s="117"/>
      <c r="BW185" s="117"/>
      <c r="BX185" s="117"/>
      <c r="BY185" s="117"/>
      <c r="BZ185" s="117"/>
      <c r="CA185" s="117"/>
      <c r="CB185" s="117"/>
      <c r="CC185" s="117"/>
      <c r="CD185" s="117"/>
      <c r="CE185" s="117"/>
      <c r="CF185" s="117"/>
      <c r="CG185" s="117"/>
      <c r="CH185" s="117"/>
      <c r="CI185" s="117"/>
      <c r="CJ185" s="117"/>
      <c r="CK185" s="117"/>
      <c r="CL185" s="117"/>
      <c r="CM185" s="117"/>
      <c r="CN185" s="117"/>
      <c r="CO185" s="117"/>
      <c r="CP185" s="117"/>
      <c r="CQ185" s="117"/>
      <c r="CR185" s="117"/>
      <c r="CS185" s="117"/>
      <c r="CT185" s="117"/>
      <c r="CU185" s="117"/>
      <c r="CV185" s="117"/>
      <c r="CW185" s="117"/>
      <c r="CX185" s="117"/>
      <c r="CY185" s="117"/>
      <c r="CZ185" s="117"/>
      <c r="DA185" s="117"/>
      <c r="DB185" s="117"/>
      <c r="DC185" s="117"/>
      <c r="DD185" s="117"/>
      <c r="DE185" s="117"/>
      <c r="DF185" s="117"/>
      <c r="DG185" s="117"/>
      <c r="DH185" s="117"/>
      <c r="DI185" s="117"/>
      <c r="DJ185" s="117"/>
      <c r="DK185" s="117"/>
      <c r="DL185" s="117"/>
      <c r="DM185" s="117"/>
      <c r="DN185" s="117"/>
      <c r="DO185" s="117"/>
      <c r="DP185" s="117"/>
      <c r="DQ185" s="117"/>
      <c r="DR185" s="117"/>
      <c r="DS185" s="117"/>
      <c r="DT185" s="117"/>
      <c r="DU185" s="117"/>
      <c r="DV185" s="117"/>
      <c r="DW185" s="117"/>
      <c r="DX185" s="117"/>
      <c r="DY185" s="117"/>
      <c r="DZ185" s="117"/>
      <c r="EA185" s="117"/>
      <c r="EB185" s="117"/>
      <c r="EC185" s="117"/>
      <c r="ED185" s="117"/>
      <c r="EE185" s="117"/>
      <c r="EF185" s="117"/>
      <c r="EG185" s="117"/>
      <c r="EH185" s="117"/>
      <c r="EI185" s="117"/>
      <c r="EJ185" s="117"/>
    </row>
    <row r="186" spans="1:141" s="129" customFormat="1" x14ac:dyDescent="0.2">
      <c r="B186" s="242"/>
      <c r="C186" s="143"/>
      <c r="D186" s="157"/>
      <c r="E186" s="157"/>
      <c r="F186" s="157"/>
      <c r="G186" s="157"/>
      <c r="H186" s="157"/>
      <c r="I186" s="157"/>
      <c r="J186" s="128"/>
      <c r="K186" s="157"/>
      <c r="L186" s="157"/>
      <c r="M186" s="157"/>
      <c r="N186" s="157"/>
      <c r="O186" s="157"/>
      <c r="P186" s="157"/>
      <c r="Q186" s="157"/>
      <c r="R186" s="157"/>
      <c r="S186" s="157"/>
      <c r="T186" s="117"/>
      <c r="U186" s="142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7"/>
      <c r="AL186" s="117"/>
      <c r="AM186" s="117"/>
      <c r="AN186" s="117"/>
      <c r="AO186" s="117"/>
      <c r="AP186" s="117"/>
      <c r="AQ186" s="117"/>
      <c r="AR186" s="117"/>
      <c r="AS186" s="117"/>
      <c r="AT186" s="117"/>
      <c r="AU186" s="117"/>
      <c r="AV186" s="117"/>
      <c r="AW186" s="117"/>
      <c r="AX186" s="117"/>
      <c r="AY186" s="117"/>
      <c r="AZ186" s="117"/>
      <c r="BA186" s="117"/>
      <c r="BB186" s="117"/>
      <c r="BC186" s="117"/>
      <c r="BD186" s="117"/>
      <c r="BE186" s="117"/>
      <c r="BF186" s="117"/>
      <c r="BG186" s="117"/>
      <c r="BH186" s="117"/>
      <c r="BI186" s="117"/>
      <c r="BJ186" s="117"/>
      <c r="BK186" s="117"/>
      <c r="BL186" s="117"/>
      <c r="BM186" s="117"/>
      <c r="BN186" s="117"/>
      <c r="BO186" s="117"/>
      <c r="BP186" s="117"/>
      <c r="BQ186" s="117"/>
      <c r="BR186" s="117"/>
      <c r="BS186" s="117"/>
      <c r="BT186" s="117"/>
      <c r="BU186" s="117"/>
      <c r="BV186" s="117"/>
      <c r="BW186" s="117"/>
      <c r="BX186" s="117"/>
      <c r="BY186" s="117"/>
      <c r="BZ186" s="117"/>
      <c r="CA186" s="117"/>
      <c r="CB186" s="117"/>
      <c r="CC186" s="117"/>
      <c r="CD186" s="117"/>
      <c r="CE186" s="117"/>
      <c r="CF186" s="117"/>
      <c r="CG186" s="117"/>
      <c r="CH186" s="117"/>
      <c r="CI186" s="117"/>
      <c r="CJ186" s="117"/>
      <c r="CK186" s="117"/>
      <c r="CL186" s="117"/>
      <c r="CM186" s="117"/>
      <c r="CN186" s="117"/>
      <c r="CO186" s="117"/>
      <c r="CP186" s="117"/>
      <c r="CQ186" s="117"/>
      <c r="CR186" s="117"/>
      <c r="CS186" s="117"/>
      <c r="CT186" s="117"/>
      <c r="CU186" s="117"/>
      <c r="CV186" s="117"/>
      <c r="CW186" s="117"/>
      <c r="CX186" s="117"/>
      <c r="CY186" s="117"/>
      <c r="CZ186" s="117"/>
      <c r="DA186" s="117"/>
      <c r="DB186" s="117"/>
      <c r="DC186" s="117"/>
      <c r="DD186" s="117"/>
      <c r="DE186" s="117"/>
      <c r="DF186" s="117"/>
      <c r="DG186" s="117"/>
      <c r="DH186" s="117"/>
      <c r="DI186" s="117"/>
      <c r="DJ186" s="117"/>
      <c r="DK186" s="117"/>
      <c r="DL186" s="117"/>
      <c r="DM186" s="117"/>
      <c r="DN186" s="117"/>
      <c r="DO186" s="117"/>
      <c r="DP186" s="117"/>
      <c r="DQ186" s="117"/>
      <c r="DR186" s="117"/>
      <c r="DS186" s="117"/>
      <c r="DT186" s="117"/>
      <c r="DU186" s="117"/>
      <c r="DV186" s="117"/>
      <c r="DW186" s="117"/>
      <c r="DX186" s="117"/>
      <c r="DY186" s="117"/>
      <c r="DZ186" s="117"/>
      <c r="EA186" s="117"/>
      <c r="EB186" s="117"/>
      <c r="EC186" s="117"/>
      <c r="ED186" s="117"/>
      <c r="EE186" s="117"/>
      <c r="EF186" s="117"/>
      <c r="EG186" s="117"/>
      <c r="EH186" s="117"/>
      <c r="EI186" s="117"/>
      <c r="EJ186" s="117"/>
    </row>
    <row r="187" spans="1:141" s="129" customFormat="1" x14ac:dyDescent="0.2">
      <c r="A187" s="141">
        <v>6</v>
      </c>
      <c r="B187" s="146" t="s">
        <v>110</v>
      </c>
      <c r="C187" s="125" t="s">
        <v>17</v>
      </c>
      <c r="D187" s="142">
        <f t="shared" ref="D187:H188" si="66">D155+D122+D90+D57+D23</f>
        <v>28091.079999999991</v>
      </c>
      <c r="E187" s="142">
        <f t="shared" si="66"/>
        <v>1049676.6200000001</v>
      </c>
      <c r="F187" s="142">
        <f t="shared" si="66"/>
        <v>2248145.3309193184</v>
      </c>
      <c r="G187" s="142">
        <f t="shared" si="66"/>
        <v>0</v>
      </c>
      <c r="H187" s="142">
        <f t="shared" si="66"/>
        <v>0</v>
      </c>
      <c r="I187" s="142">
        <f>SUM(D187:H187)</f>
        <v>3325913.0309193186</v>
      </c>
      <c r="J187" s="142"/>
      <c r="K187" s="142">
        <f t="shared" ref="K187:Q188" si="67">K155+K122+K90+K57+K23</f>
        <v>0</v>
      </c>
      <c r="L187" s="142">
        <f t="shared" si="67"/>
        <v>0</v>
      </c>
      <c r="M187" s="149">
        <f t="shared" si="67"/>
        <v>0</v>
      </c>
      <c r="N187" s="142">
        <f t="shared" si="67"/>
        <v>0</v>
      </c>
      <c r="O187" s="142">
        <f t="shared" si="67"/>
        <v>0</v>
      </c>
      <c r="P187" s="142">
        <f t="shared" si="67"/>
        <v>0</v>
      </c>
      <c r="Q187" s="142">
        <f t="shared" si="67"/>
        <v>0</v>
      </c>
      <c r="R187" s="142"/>
      <c r="S187" s="142">
        <f>S122+S90+S57+S23</f>
        <v>0</v>
      </c>
      <c r="T187" s="142"/>
      <c r="U187" s="142">
        <f>S187+I187</f>
        <v>3325913.0309193186</v>
      </c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7"/>
      <c r="AM187" s="117"/>
      <c r="AN187" s="117"/>
      <c r="AO187" s="117"/>
      <c r="AP187" s="117"/>
      <c r="AQ187" s="117"/>
      <c r="AR187" s="117"/>
      <c r="AS187" s="117"/>
      <c r="AT187" s="117"/>
      <c r="AU187" s="117"/>
      <c r="AV187" s="117"/>
      <c r="AW187" s="117"/>
      <c r="AX187" s="117"/>
      <c r="AY187" s="117"/>
      <c r="AZ187" s="117"/>
      <c r="BA187" s="117"/>
      <c r="BB187" s="117"/>
      <c r="BC187" s="117"/>
      <c r="BD187" s="117"/>
      <c r="BE187" s="117"/>
      <c r="BF187" s="117"/>
      <c r="BG187" s="117"/>
      <c r="BH187" s="117"/>
      <c r="BI187" s="117"/>
      <c r="BJ187" s="117"/>
      <c r="BK187" s="117"/>
      <c r="BL187" s="117"/>
      <c r="BM187" s="117"/>
      <c r="BN187" s="117"/>
      <c r="BO187" s="117"/>
      <c r="BP187" s="117"/>
      <c r="BQ187" s="117"/>
      <c r="BR187" s="117"/>
      <c r="BS187" s="117"/>
      <c r="BT187" s="117"/>
      <c r="BU187" s="117"/>
      <c r="BV187" s="117"/>
      <c r="BW187" s="117"/>
      <c r="BX187" s="117"/>
      <c r="BY187" s="117"/>
      <c r="BZ187" s="117"/>
      <c r="CA187" s="117"/>
      <c r="CB187" s="117"/>
      <c r="CC187" s="117"/>
      <c r="CD187" s="117"/>
      <c r="CE187" s="117"/>
      <c r="CF187" s="117"/>
      <c r="CG187" s="117"/>
      <c r="CH187" s="117"/>
      <c r="CI187" s="117"/>
      <c r="CJ187" s="117"/>
      <c r="CK187" s="117"/>
      <c r="CL187" s="117"/>
      <c r="CM187" s="117"/>
      <c r="CN187" s="117"/>
      <c r="CO187" s="117"/>
      <c r="CP187" s="117"/>
      <c r="CQ187" s="117"/>
      <c r="CR187" s="117"/>
      <c r="CS187" s="117"/>
      <c r="CT187" s="117"/>
      <c r="CU187" s="117"/>
      <c r="CV187" s="117"/>
      <c r="CW187" s="117"/>
      <c r="CX187" s="117"/>
      <c r="CY187" s="117"/>
      <c r="CZ187" s="117"/>
      <c r="DA187" s="117"/>
      <c r="DB187" s="117"/>
      <c r="DC187" s="117"/>
      <c r="DD187" s="117"/>
      <c r="DE187" s="117"/>
      <c r="DF187" s="117"/>
      <c r="DG187" s="117"/>
      <c r="DH187" s="117"/>
      <c r="DI187" s="117"/>
      <c r="DJ187" s="117"/>
      <c r="DK187" s="117"/>
      <c r="DL187" s="117"/>
      <c r="DM187" s="117"/>
      <c r="DN187" s="117"/>
      <c r="DO187" s="117"/>
      <c r="DP187" s="117"/>
      <c r="DQ187" s="117"/>
      <c r="DR187" s="117"/>
      <c r="DS187" s="117"/>
      <c r="DT187" s="117"/>
      <c r="DU187" s="117"/>
      <c r="DV187" s="117"/>
      <c r="DW187" s="117"/>
      <c r="DX187" s="117"/>
      <c r="DY187" s="117"/>
      <c r="DZ187" s="117"/>
      <c r="EA187" s="117"/>
      <c r="EB187" s="117"/>
      <c r="EC187" s="117"/>
      <c r="ED187" s="117"/>
      <c r="EE187" s="117"/>
      <c r="EF187" s="117"/>
      <c r="EG187" s="117"/>
      <c r="EH187" s="117"/>
      <c r="EI187" s="117"/>
      <c r="EJ187" s="117"/>
    </row>
    <row r="188" spans="1:141" s="129" customFormat="1" x14ac:dyDescent="0.2">
      <c r="A188" s="141">
        <v>7</v>
      </c>
      <c r="B188" s="146" t="s">
        <v>111</v>
      </c>
      <c r="C188" s="125" t="s">
        <v>17</v>
      </c>
      <c r="D188" s="123">
        <f t="shared" si="66"/>
        <v>156776.95000000001</v>
      </c>
      <c r="E188" s="123">
        <f t="shared" si="66"/>
        <v>893983.94</v>
      </c>
      <c r="F188" s="123">
        <f t="shared" si="66"/>
        <v>23445849.857662056</v>
      </c>
      <c r="G188" s="123">
        <f t="shared" si="66"/>
        <v>0</v>
      </c>
      <c r="H188" s="123">
        <f t="shared" si="66"/>
        <v>0</v>
      </c>
      <c r="I188" s="123">
        <f>SUM(D188:H188)</f>
        <v>24496610.747662056</v>
      </c>
      <c r="J188" s="142"/>
      <c r="K188" s="123">
        <f t="shared" si="67"/>
        <v>0</v>
      </c>
      <c r="L188" s="123">
        <f t="shared" si="67"/>
        <v>0</v>
      </c>
      <c r="M188" s="247">
        <f t="shared" si="67"/>
        <v>0</v>
      </c>
      <c r="N188" s="123">
        <f t="shared" si="67"/>
        <v>0</v>
      </c>
      <c r="O188" s="123">
        <f t="shared" si="67"/>
        <v>0</v>
      </c>
      <c r="P188" s="123">
        <f t="shared" si="67"/>
        <v>0</v>
      </c>
      <c r="Q188" s="123">
        <f t="shared" si="67"/>
        <v>0</v>
      </c>
      <c r="R188" s="123"/>
      <c r="S188" s="123">
        <f>S123+S91+S58+S24</f>
        <v>0</v>
      </c>
      <c r="T188" s="142"/>
      <c r="U188" s="123">
        <f>S188+I188</f>
        <v>24496610.747662056</v>
      </c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  <c r="AJ188" s="117"/>
      <c r="AK188" s="117"/>
      <c r="AL188" s="117"/>
      <c r="AM188" s="117"/>
      <c r="AN188" s="117"/>
      <c r="AO188" s="117"/>
      <c r="AP188" s="117"/>
      <c r="AQ188" s="117"/>
      <c r="AR188" s="117"/>
      <c r="AS188" s="117"/>
      <c r="AT188" s="117"/>
      <c r="AU188" s="117"/>
      <c r="AV188" s="117"/>
      <c r="AW188" s="117"/>
      <c r="AX188" s="117"/>
      <c r="AY188" s="117"/>
      <c r="AZ188" s="117"/>
      <c r="BA188" s="117"/>
      <c r="BB188" s="117"/>
      <c r="BC188" s="117"/>
      <c r="BD188" s="117"/>
      <c r="BE188" s="117"/>
      <c r="BF188" s="117"/>
      <c r="BG188" s="117"/>
      <c r="BH188" s="117"/>
      <c r="BI188" s="117"/>
      <c r="BJ188" s="117"/>
      <c r="BK188" s="117"/>
      <c r="BL188" s="117"/>
      <c r="BM188" s="117"/>
      <c r="BN188" s="117"/>
      <c r="BO188" s="117"/>
      <c r="BP188" s="117"/>
      <c r="BQ188" s="117"/>
      <c r="BR188" s="117"/>
      <c r="BS188" s="117"/>
      <c r="BT188" s="117"/>
      <c r="BU188" s="117"/>
      <c r="BV188" s="117"/>
      <c r="BW188" s="117"/>
      <c r="BX188" s="117"/>
      <c r="BY188" s="117"/>
      <c r="BZ188" s="117"/>
      <c r="CA188" s="117"/>
      <c r="CB188" s="117"/>
      <c r="CC188" s="117"/>
      <c r="CD188" s="117"/>
      <c r="CE188" s="117"/>
      <c r="CF188" s="117"/>
      <c r="CG188" s="117"/>
      <c r="CH188" s="117"/>
      <c r="CI188" s="117"/>
      <c r="CJ188" s="117"/>
      <c r="CK188" s="117"/>
      <c r="CL188" s="117"/>
      <c r="CM188" s="117"/>
      <c r="CN188" s="117"/>
      <c r="CO188" s="117"/>
      <c r="CP188" s="117"/>
      <c r="CQ188" s="117"/>
      <c r="CR188" s="117"/>
      <c r="CS188" s="117"/>
      <c r="CT188" s="117"/>
      <c r="CU188" s="117"/>
      <c r="CV188" s="117"/>
      <c r="CW188" s="117"/>
      <c r="CX188" s="117"/>
      <c r="CY188" s="117"/>
      <c r="CZ188" s="117"/>
      <c r="DA188" s="117"/>
      <c r="DB188" s="117"/>
      <c r="DC188" s="117"/>
      <c r="DD188" s="117"/>
      <c r="DE188" s="117"/>
      <c r="DF188" s="117"/>
      <c r="DG188" s="117"/>
      <c r="DH188" s="117"/>
      <c r="DI188" s="117"/>
      <c r="DJ188" s="117"/>
      <c r="DK188" s="117"/>
      <c r="DL188" s="117"/>
      <c r="DM188" s="117"/>
      <c r="DN188" s="117"/>
      <c r="DO188" s="117"/>
      <c r="DP188" s="117"/>
      <c r="DQ188" s="117"/>
      <c r="DR188" s="117"/>
      <c r="DS188" s="117"/>
      <c r="DT188" s="117"/>
      <c r="DU188" s="117"/>
      <c r="DV188" s="117"/>
      <c r="DW188" s="117"/>
      <c r="DX188" s="117"/>
      <c r="DY188" s="117"/>
      <c r="DZ188" s="117"/>
      <c r="EA188" s="117"/>
      <c r="EB188" s="117"/>
      <c r="EC188" s="117"/>
      <c r="ED188" s="117"/>
      <c r="EE188" s="117"/>
      <c r="EF188" s="117"/>
      <c r="EG188" s="117"/>
      <c r="EH188" s="117"/>
      <c r="EI188" s="117"/>
      <c r="EJ188" s="117"/>
    </row>
    <row r="189" spans="1:141" s="129" customFormat="1" x14ac:dyDescent="0.2">
      <c r="A189" s="141">
        <v>8</v>
      </c>
      <c r="B189" s="129" t="s">
        <v>31</v>
      </c>
      <c r="C189" s="125"/>
      <c r="D189" s="122">
        <f t="shared" ref="D189:I189" si="68">SUM(D187:D188)</f>
        <v>184868.03</v>
      </c>
      <c r="E189" s="122">
        <f t="shared" si="68"/>
        <v>1943660.56</v>
      </c>
      <c r="F189" s="122">
        <f t="shared" si="68"/>
        <v>25693995.188581374</v>
      </c>
      <c r="G189" s="122">
        <f t="shared" si="68"/>
        <v>0</v>
      </c>
      <c r="H189" s="122">
        <f t="shared" si="68"/>
        <v>0</v>
      </c>
      <c r="I189" s="122">
        <f t="shared" si="68"/>
        <v>27822523.778581373</v>
      </c>
      <c r="J189" s="142"/>
      <c r="K189" s="122">
        <f t="shared" ref="K189:Q189" si="69">SUM(K187:K188)</f>
        <v>0</v>
      </c>
      <c r="L189" s="122">
        <f t="shared" si="69"/>
        <v>0</v>
      </c>
      <c r="M189" s="122">
        <f>SUM(M187:M188)</f>
        <v>0</v>
      </c>
      <c r="N189" s="122">
        <f t="shared" si="69"/>
        <v>0</v>
      </c>
      <c r="O189" s="122">
        <f t="shared" si="69"/>
        <v>0</v>
      </c>
      <c r="P189" s="122">
        <f t="shared" si="69"/>
        <v>0</v>
      </c>
      <c r="Q189" s="122">
        <f t="shared" si="69"/>
        <v>0</v>
      </c>
      <c r="R189" s="122"/>
      <c r="S189" s="122">
        <f>SUM(S187:S188)</f>
        <v>0</v>
      </c>
      <c r="T189" s="144"/>
      <c r="U189" s="142">
        <f>S189+I189</f>
        <v>27822523.778581373</v>
      </c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  <c r="AJ189" s="117"/>
      <c r="AK189" s="117"/>
      <c r="AL189" s="117"/>
      <c r="AM189" s="117"/>
      <c r="AN189" s="117"/>
      <c r="AO189" s="117"/>
      <c r="AP189" s="117"/>
      <c r="AQ189" s="117"/>
      <c r="AR189" s="117"/>
      <c r="AS189" s="117"/>
      <c r="AT189" s="117"/>
      <c r="AU189" s="117"/>
      <c r="AV189" s="117"/>
      <c r="AW189" s="117"/>
      <c r="AX189" s="117"/>
      <c r="AY189" s="117"/>
      <c r="AZ189" s="117"/>
      <c r="BA189" s="117"/>
      <c r="BB189" s="117"/>
      <c r="BC189" s="117"/>
      <c r="BD189" s="117"/>
      <c r="BE189" s="117"/>
      <c r="BF189" s="117"/>
      <c r="BG189" s="117"/>
      <c r="BH189" s="117"/>
      <c r="BI189" s="117"/>
      <c r="BJ189" s="117"/>
      <c r="BK189" s="117"/>
      <c r="BL189" s="117"/>
      <c r="BM189" s="117"/>
      <c r="BN189" s="117"/>
      <c r="BO189" s="117"/>
      <c r="BP189" s="117"/>
      <c r="BQ189" s="117"/>
      <c r="BR189" s="117"/>
      <c r="BS189" s="117"/>
      <c r="BT189" s="117"/>
      <c r="BU189" s="117"/>
      <c r="BV189" s="117"/>
      <c r="BW189" s="117"/>
      <c r="BX189" s="117"/>
      <c r="BY189" s="117"/>
      <c r="BZ189" s="117"/>
      <c r="CA189" s="117"/>
      <c r="CB189" s="117"/>
      <c r="CC189" s="117"/>
      <c r="CD189" s="117"/>
      <c r="CE189" s="117"/>
      <c r="CF189" s="117"/>
      <c r="CG189" s="117"/>
      <c r="CH189" s="117"/>
      <c r="CI189" s="117"/>
      <c r="CJ189" s="117"/>
      <c r="CK189" s="117"/>
      <c r="CL189" s="117"/>
      <c r="CM189" s="117"/>
      <c r="CN189" s="117"/>
      <c r="CO189" s="117"/>
      <c r="CP189" s="117"/>
      <c r="CQ189" s="117"/>
      <c r="CR189" s="117"/>
      <c r="CS189" s="117"/>
      <c r="CT189" s="117"/>
      <c r="CU189" s="117"/>
      <c r="CV189" s="117"/>
      <c r="CW189" s="117"/>
      <c r="CX189" s="117"/>
      <c r="CY189" s="117"/>
      <c r="CZ189" s="117"/>
      <c r="DA189" s="117"/>
      <c r="DB189" s="117"/>
      <c r="DC189" s="117"/>
      <c r="DD189" s="117"/>
      <c r="DE189" s="117"/>
      <c r="DF189" s="117"/>
      <c r="DG189" s="117"/>
      <c r="DH189" s="117"/>
      <c r="DI189" s="117"/>
      <c r="DJ189" s="117"/>
      <c r="DK189" s="117"/>
      <c r="DL189" s="117"/>
      <c r="DM189" s="117"/>
      <c r="DN189" s="117"/>
      <c r="DO189" s="117"/>
      <c r="DP189" s="117"/>
      <c r="DQ189" s="117"/>
      <c r="DR189" s="117"/>
      <c r="DS189" s="117"/>
      <c r="DT189" s="117"/>
      <c r="DU189" s="117"/>
      <c r="DV189" s="117"/>
      <c r="DW189" s="117"/>
      <c r="DX189" s="117"/>
      <c r="DY189" s="117"/>
      <c r="DZ189" s="117"/>
      <c r="EA189" s="117"/>
      <c r="EB189" s="117"/>
      <c r="EC189" s="117"/>
      <c r="ED189" s="117"/>
      <c r="EE189" s="117"/>
      <c r="EF189" s="117"/>
      <c r="EG189" s="117"/>
      <c r="EH189" s="117"/>
      <c r="EI189" s="117"/>
      <c r="EJ189" s="117"/>
    </row>
    <row r="190" spans="1:141" s="129" customFormat="1" x14ac:dyDescent="0.2">
      <c r="A190" s="141"/>
      <c r="C190" s="125"/>
      <c r="D190" s="122"/>
      <c r="E190" s="122"/>
      <c r="F190" s="122"/>
      <c r="G190" s="122"/>
      <c r="H190" s="122"/>
      <c r="I190" s="122"/>
      <c r="J190" s="142"/>
      <c r="K190" s="122"/>
      <c r="L190" s="122"/>
      <c r="M190" s="122"/>
      <c r="N190" s="122"/>
      <c r="O190" s="122"/>
      <c r="P190" s="122"/>
      <c r="Q190" s="122"/>
      <c r="R190" s="122"/>
      <c r="S190" s="122"/>
      <c r="T190" s="117"/>
      <c r="U190" s="142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  <c r="AM190" s="117"/>
      <c r="AN190" s="117"/>
      <c r="AO190" s="117"/>
      <c r="AP190" s="117"/>
      <c r="AQ190" s="117"/>
      <c r="AR190" s="117"/>
      <c r="AS190" s="117"/>
      <c r="AT190" s="117"/>
      <c r="AU190" s="117"/>
      <c r="AV190" s="117"/>
      <c r="AW190" s="117"/>
      <c r="AX190" s="117"/>
      <c r="AY190" s="117"/>
      <c r="AZ190" s="117"/>
      <c r="BA190" s="117"/>
      <c r="BB190" s="117"/>
      <c r="BC190" s="117"/>
      <c r="BD190" s="117"/>
      <c r="BE190" s="117"/>
      <c r="BF190" s="117"/>
      <c r="BG190" s="117"/>
      <c r="BH190" s="117"/>
      <c r="BI190" s="117"/>
      <c r="BJ190" s="117"/>
      <c r="BK190" s="117"/>
      <c r="BL190" s="117"/>
      <c r="BM190" s="117"/>
      <c r="BN190" s="117"/>
      <c r="BO190" s="117"/>
      <c r="BP190" s="117"/>
      <c r="BQ190" s="117"/>
      <c r="BR190" s="117"/>
      <c r="BS190" s="117"/>
      <c r="BT190" s="117"/>
      <c r="BU190" s="117"/>
      <c r="BV190" s="117"/>
      <c r="BW190" s="117"/>
      <c r="BX190" s="117"/>
      <c r="BY190" s="117"/>
      <c r="BZ190" s="117"/>
      <c r="CA190" s="117"/>
      <c r="CB190" s="117"/>
      <c r="CC190" s="117"/>
      <c r="CD190" s="117"/>
      <c r="CE190" s="117"/>
      <c r="CF190" s="117"/>
      <c r="CG190" s="117"/>
      <c r="CH190" s="117"/>
      <c r="CI190" s="117"/>
      <c r="CJ190" s="117"/>
      <c r="CK190" s="117"/>
      <c r="CL190" s="117"/>
      <c r="CM190" s="117"/>
      <c r="CN190" s="117"/>
      <c r="CO190" s="117"/>
      <c r="CP190" s="117"/>
      <c r="CQ190" s="117"/>
      <c r="CR190" s="117"/>
      <c r="CS190" s="117"/>
      <c r="CT190" s="117"/>
      <c r="CU190" s="117"/>
      <c r="CV190" s="117"/>
      <c r="CW190" s="117"/>
      <c r="CX190" s="117"/>
      <c r="CY190" s="117"/>
      <c r="CZ190" s="117"/>
      <c r="DA190" s="117"/>
      <c r="DB190" s="117"/>
      <c r="DC190" s="117"/>
      <c r="DD190" s="117"/>
      <c r="DE190" s="117"/>
      <c r="DF190" s="117"/>
      <c r="DG190" s="117"/>
      <c r="DH190" s="117"/>
      <c r="DI190" s="117"/>
      <c r="DJ190" s="117"/>
      <c r="DK190" s="117"/>
      <c r="DL190" s="117"/>
      <c r="DM190" s="117"/>
      <c r="DN190" s="117"/>
      <c r="DO190" s="117"/>
      <c r="DP190" s="117"/>
      <c r="DQ190" s="117"/>
      <c r="DR190" s="117"/>
      <c r="DS190" s="117"/>
      <c r="DT190" s="117"/>
      <c r="DU190" s="117"/>
      <c r="DV190" s="117"/>
      <c r="DW190" s="117"/>
      <c r="DX190" s="117"/>
      <c r="DY190" s="117"/>
      <c r="DZ190" s="117"/>
      <c r="EA190" s="117"/>
      <c r="EB190" s="117"/>
      <c r="EC190" s="117"/>
      <c r="ED190" s="117"/>
      <c r="EE190" s="117"/>
      <c r="EF190" s="117"/>
      <c r="EG190" s="117"/>
      <c r="EH190" s="117"/>
      <c r="EI190" s="117"/>
      <c r="EJ190" s="117"/>
    </row>
    <row r="191" spans="1:141" s="129" customFormat="1" x14ac:dyDescent="0.2">
      <c r="A191" s="141">
        <v>9</v>
      </c>
      <c r="B191" s="162" t="s">
        <v>115</v>
      </c>
      <c r="C191" s="125" t="s">
        <v>18</v>
      </c>
      <c r="D191" s="142">
        <f>D159+D126+D94+D61+D27</f>
        <v>35254.839999999997</v>
      </c>
      <c r="E191" s="142">
        <f>E159+E126+E94+E61+E27</f>
        <v>1571662.47</v>
      </c>
      <c r="F191" s="142">
        <f>F159+F126+F94+F61+F27</f>
        <v>2539800.6639973479</v>
      </c>
      <c r="G191" s="142">
        <f>G159+G126+G94+G61+G27</f>
        <v>0</v>
      </c>
      <c r="H191" s="142">
        <f>H159+H126+H94+H61+H27</f>
        <v>0</v>
      </c>
      <c r="I191" s="142">
        <f>SUM(D191:H191)</f>
        <v>4146717.973997348</v>
      </c>
      <c r="J191" s="142"/>
      <c r="K191" s="142">
        <f t="shared" ref="K191:Q193" si="70">K159+K126+K94+K61+K27</f>
        <v>0</v>
      </c>
      <c r="L191" s="142">
        <f t="shared" si="70"/>
        <v>0</v>
      </c>
      <c r="M191" s="149">
        <f t="shared" si="70"/>
        <v>0</v>
      </c>
      <c r="N191" s="142">
        <f t="shared" si="70"/>
        <v>0</v>
      </c>
      <c r="O191" s="142">
        <f t="shared" si="70"/>
        <v>0</v>
      </c>
      <c r="P191" s="142">
        <f t="shared" si="70"/>
        <v>0</v>
      </c>
      <c r="Q191" s="142">
        <f t="shared" si="70"/>
        <v>0</v>
      </c>
      <c r="R191" s="142"/>
      <c r="S191" s="142">
        <f>S126+S94+S61+S27</f>
        <v>0</v>
      </c>
      <c r="T191" s="142"/>
      <c r="U191" s="142">
        <f>S191+I191</f>
        <v>4146717.973997348</v>
      </c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  <c r="AI191" s="117"/>
      <c r="AJ191" s="117"/>
      <c r="AK191" s="117"/>
      <c r="AL191" s="117"/>
      <c r="AM191" s="117"/>
      <c r="AN191" s="117"/>
      <c r="AO191" s="117"/>
      <c r="AP191" s="117"/>
      <c r="AQ191" s="117"/>
      <c r="AR191" s="117"/>
      <c r="AS191" s="117"/>
      <c r="AT191" s="117"/>
      <c r="AU191" s="117"/>
      <c r="AV191" s="117"/>
      <c r="AW191" s="117"/>
      <c r="AX191" s="117"/>
      <c r="AY191" s="117"/>
      <c r="AZ191" s="117"/>
      <c r="BA191" s="117"/>
      <c r="BB191" s="117"/>
      <c r="BC191" s="117"/>
      <c r="BD191" s="117"/>
      <c r="BE191" s="117"/>
      <c r="BF191" s="117"/>
      <c r="BG191" s="117"/>
      <c r="BH191" s="117"/>
      <c r="BI191" s="117"/>
      <c r="BJ191" s="117"/>
      <c r="BK191" s="117"/>
      <c r="BL191" s="117"/>
      <c r="BM191" s="117"/>
      <c r="BN191" s="117"/>
      <c r="BO191" s="117"/>
      <c r="BP191" s="117"/>
      <c r="BQ191" s="117"/>
      <c r="BR191" s="117"/>
      <c r="BS191" s="117"/>
      <c r="BT191" s="117"/>
      <c r="BU191" s="117"/>
      <c r="BV191" s="117"/>
      <c r="BW191" s="117"/>
      <c r="BX191" s="117"/>
      <c r="BY191" s="117"/>
      <c r="BZ191" s="117"/>
      <c r="CA191" s="117"/>
      <c r="CB191" s="117"/>
      <c r="CC191" s="117"/>
      <c r="CD191" s="117"/>
      <c r="CE191" s="117"/>
      <c r="CF191" s="117"/>
      <c r="CG191" s="117"/>
      <c r="CH191" s="117"/>
      <c r="CI191" s="117"/>
      <c r="CJ191" s="117"/>
      <c r="CK191" s="117"/>
      <c r="CL191" s="117"/>
      <c r="CM191" s="117"/>
      <c r="CN191" s="117"/>
      <c r="CO191" s="117"/>
      <c r="CP191" s="117"/>
      <c r="CQ191" s="117"/>
      <c r="CR191" s="117"/>
      <c r="CS191" s="117"/>
      <c r="CT191" s="117"/>
      <c r="CU191" s="117"/>
      <c r="CV191" s="117"/>
      <c r="CW191" s="117"/>
      <c r="CX191" s="117"/>
      <c r="CY191" s="117"/>
      <c r="CZ191" s="117"/>
      <c r="DA191" s="117"/>
      <c r="DB191" s="117"/>
      <c r="DC191" s="117"/>
      <c r="DD191" s="117"/>
      <c r="DE191" s="117"/>
      <c r="DF191" s="117"/>
      <c r="DG191" s="117"/>
      <c r="DH191" s="117"/>
      <c r="DI191" s="117"/>
      <c r="DJ191" s="117"/>
      <c r="DK191" s="117"/>
      <c r="DL191" s="117"/>
      <c r="DM191" s="117"/>
      <c r="DN191" s="117"/>
      <c r="DO191" s="117"/>
      <c r="DP191" s="117"/>
      <c r="DQ191" s="117"/>
      <c r="DR191" s="117"/>
      <c r="DS191" s="117"/>
      <c r="DT191" s="117"/>
      <c r="DU191" s="117"/>
      <c r="DV191" s="117"/>
      <c r="DW191" s="117"/>
      <c r="DX191" s="117"/>
      <c r="DY191" s="117"/>
      <c r="DZ191" s="117"/>
      <c r="EA191" s="117"/>
      <c r="EB191" s="117"/>
      <c r="EC191" s="117"/>
      <c r="ED191" s="117"/>
      <c r="EE191" s="117"/>
      <c r="EF191" s="117"/>
      <c r="EG191" s="117"/>
      <c r="EH191" s="117"/>
      <c r="EI191" s="117"/>
      <c r="EJ191" s="117"/>
    </row>
    <row r="192" spans="1:141" s="129" customFormat="1" x14ac:dyDescent="0.2">
      <c r="C192" s="143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  <c r="AI192" s="117"/>
      <c r="AJ192" s="117"/>
      <c r="AK192" s="117"/>
      <c r="AL192" s="117"/>
      <c r="AM192" s="117"/>
      <c r="AN192" s="117"/>
      <c r="AO192" s="117"/>
      <c r="AP192" s="117"/>
      <c r="AQ192" s="117"/>
      <c r="AR192" s="117"/>
      <c r="AS192" s="117"/>
      <c r="AT192" s="117"/>
      <c r="AU192" s="117"/>
      <c r="AV192" s="117"/>
      <c r="AW192" s="117"/>
      <c r="AX192" s="117"/>
      <c r="AY192" s="117"/>
      <c r="AZ192" s="117"/>
      <c r="BA192" s="117"/>
      <c r="BB192" s="117"/>
      <c r="BC192" s="117"/>
      <c r="BD192" s="117"/>
      <c r="BE192" s="117"/>
      <c r="BF192" s="117"/>
      <c r="BG192" s="117"/>
      <c r="BH192" s="117"/>
      <c r="BI192" s="117"/>
      <c r="BJ192" s="117"/>
      <c r="BK192" s="117"/>
      <c r="BL192" s="117"/>
      <c r="BM192" s="117"/>
      <c r="BN192" s="117"/>
      <c r="BO192" s="117"/>
      <c r="BP192" s="117"/>
      <c r="BQ192" s="117"/>
      <c r="BR192" s="117"/>
      <c r="BS192" s="117"/>
      <c r="BT192" s="117"/>
      <c r="BU192" s="117"/>
      <c r="BV192" s="117"/>
      <c r="BW192" s="117"/>
      <c r="BX192" s="117"/>
      <c r="BY192" s="117"/>
      <c r="BZ192" s="117"/>
      <c r="CA192" s="117"/>
      <c r="CB192" s="117"/>
      <c r="CC192" s="117"/>
      <c r="CD192" s="117"/>
      <c r="CE192" s="117"/>
      <c r="CF192" s="117"/>
      <c r="CG192" s="117"/>
      <c r="CH192" s="117"/>
      <c r="CI192" s="117"/>
      <c r="CJ192" s="117"/>
      <c r="CK192" s="117"/>
      <c r="CL192" s="117"/>
      <c r="CM192" s="117"/>
      <c r="CN192" s="117"/>
      <c r="CO192" s="117"/>
      <c r="CP192" s="117"/>
      <c r="CQ192" s="117"/>
      <c r="CR192" s="117"/>
      <c r="CS192" s="117"/>
      <c r="CT192" s="117"/>
      <c r="CU192" s="117"/>
      <c r="CV192" s="117"/>
      <c r="CW192" s="117"/>
      <c r="CX192" s="117"/>
      <c r="CY192" s="117"/>
      <c r="CZ192" s="117"/>
      <c r="DA192" s="117"/>
      <c r="DB192" s="117"/>
      <c r="DC192" s="117"/>
      <c r="DD192" s="117"/>
      <c r="DE192" s="117"/>
      <c r="DF192" s="117"/>
      <c r="DG192" s="117"/>
      <c r="DH192" s="117"/>
      <c r="DI192" s="117"/>
      <c r="DJ192" s="117"/>
      <c r="DK192" s="117"/>
      <c r="DL192" s="117"/>
      <c r="DM192" s="117"/>
      <c r="DN192" s="117"/>
      <c r="DO192" s="117"/>
      <c r="DP192" s="117"/>
      <c r="DQ192" s="117"/>
      <c r="DR192" s="117"/>
      <c r="DS192" s="117"/>
      <c r="DT192" s="117"/>
      <c r="DU192" s="117"/>
      <c r="DV192" s="117"/>
      <c r="DW192" s="117"/>
      <c r="DX192" s="117"/>
      <c r="DY192" s="117"/>
      <c r="DZ192" s="117"/>
      <c r="EA192" s="117"/>
      <c r="EB192" s="117"/>
      <c r="EC192" s="117"/>
      <c r="ED192" s="117"/>
      <c r="EE192" s="117"/>
      <c r="EF192" s="117"/>
      <c r="EG192" s="117"/>
      <c r="EH192" s="117"/>
      <c r="EI192" s="117"/>
      <c r="EJ192" s="117"/>
    </row>
    <row r="193" spans="1:140" s="129" customFormat="1" x14ac:dyDescent="0.2">
      <c r="A193" s="141">
        <v>10</v>
      </c>
      <c r="B193" s="117" t="s">
        <v>33</v>
      </c>
      <c r="C193" s="125" t="s">
        <v>16</v>
      </c>
      <c r="D193" s="142">
        <f>D161+D128+D96+D63+D29</f>
        <v>95482.319999999905</v>
      </c>
      <c r="E193" s="142">
        <f>E161+E128+E96+E63+E29</f>
        <v>0</v>
      </c>
      <c r="F193" s="142">
        <f>F161+F128+F96+F63+F29</f>
        <v>17628628.398422215</v>
      </c>
      <c r="G193" s="142">
        <f>G161+G128+G96+G63+G29</f>
        <v>0</v>
      </c>
      <c r="H193" s="142">
        <f>H161+H128+H96+H63+H29</f>
        <v>0</v>
      </c>
      <c r="I193" s="142">
        <f>SUM(D193:H193)</f>
        <v>17724110.718422215</v>
      </c>
      <c r="J193" s="142"/>
      <c r="K193" s="142">
        <f t="shared" ref="K193:Q193" si="71">K161+K128+K96+K63+K29</f>
        <v>0</v>
      </c>
      <c r="L193" s="142">
        <f t="shared" si="71"/>
        <v>0</v>
      </c>
      <c r="M193" s="149">
        <f t="shared" si="70"/>
        <v>0</v>
      </c>
      <c r="N193" s="142">
        <f t="shared" si="71"/>
        <v>0</v>
      </c>
      <c r="O193" s="142">
        <f t="shared" si="71"/>
        <v>0</v>
      </c>
      <c r="P193" s="142">
        <f t="shared" si="71"/>
        <v>0</v>
      </c>
      <c r="Q193" s="142">
        <f t="shared" si="71"/>
        <v>0</v>
      </c>
      <c r="R193" s="142"/>
      <c r="S193" s="142">
        <f>S128+S96+S63+S29</f>
        <v>0</v>
      </c>
      <c r="T193" s="142"/>
      <c r="U193" s="142">
        <f>S193+I193</f>
        <v>17724110.718422215</v>
      </c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  <c r="AJ193" s="117"/>
      <c r="AK193" s="117"/>
      <c r="AL193" s="117"/>
      <c r="AM193" s="117"/>
      <c r="AN193" s="117"/>
      <c r="AO193" s="117"/>
      <c r="AP193" s="117"/>
      <c r="AQ193" s="117"/>
      <c r="AR193" s="117"/>
      <c r="AS193" s="117"/>
      <c r="AT193" s="117"/>
      <c r="AU193" s="117"/>
      <c r="AV193" s="117"/>
      <c r="AW193" s="117"/>
      <c r="AX193" s="117"/>
      <c r="AY193" s="117"/>
      <c r="AZ193" s="117"/>
      <c r="BA193" s="117"/>
      <c r="BB193" s="117"/>
      <c r="BC193" s="117"/>
      <c r="BD193" s="117"/>
      <c r="BE193" s="117"/>
      <c r="BF193" s="117"/>
      <c r="BG193" s="117"/>
      <c r="BH193" s="117"/>
      <c r="BI193" s="117"/>
      <c r="BJ193" s="117"/>
      <c r="BK193" s="117"/>
      <c r="BL193" s="117"/>
      <c r="BM193" s="117"/>
      <c r="BN193" s="117"/>
      <c r="BO193" s="117"/>
      <c r="BP193" s="117"/>
      <c r="BQ193" s="117"/>
      <c r="BR193" s="117"/>
      <c r="BS193" s="117"/>
      <c r="BT193" s="117"/>
      <c r="BU193" s="117"/>
      <c r="BV193" s="117"/>
      <c r="BW193" s="117"/>
      <c r="BX193" s="117"/>
      <c r="BY193" s="117"/>
      <c r="BZ193" s="117"/>
      <c r="CA193" s="117"/>
      <c r="CB193" s="117"/>
      <c r="CC193" s="117"/>
      <c r="CD193" s="117"/>
      <c r="CE193" s="117"/>
      <c r="CF193" s="117"/>
      <c r="CG193" s="117"/>
      <c r="CH193" s="117"/>
      <c r="CI193" s="117"/>
      <c r="CJ193" s="117"/>
      <c r="CK193" s="117"/>
      <c r="CL193" s="117"/>
      <c r="CM193" s="117"/>
      <c r="CN193" s="117"/>
      <c r="CO193" s="117"/>
      <c r="CP193" s="117"/>
      <c r="CQ193" s="117"/>
      <c r="CR193" s="117"/>
      <c r="CS193" s="117"/>
      <c r="CT193" s="117"/>
      <c r="CU193" s="117"/>
      <c r="CV193" s="117"/>
      <c r="CW193" s="117"/>
      <c r="CX193" s="117"/>
      <c r="CY193" s="117"/>
      <c r="CZ193" s="117"/>
      <c r="DA193" s="117"/>
      <c r="DB193" s="117"/>
      <c r="DC193" s="117"/>
      <c r="DD193" s="117"/>
      <c r="DE193" s="117"/>
      <c r="DF193" s="117"/>
      <c r="DG193" s="117"/>
      <c r="DH193" s="117"/>
      <c r="DI193" s="117"/>
      <c r="DJ193" s="117"/>
      <c r="DK193" s="117"/>
      <c r="DL193" s="117"/>
      <c r="DM193" s="117"/>
      <c r="DN193" s="117"/>
      <c r="DO193" s="117"/>
      <c r="DP193" s="117"/>
      <c r="DQ193" s="117"/>
      <c r="DR193" s="117"/>
      <c r="DS193" s="117"/>
      <c r="DT193" s="117"/>
      <c r="DU193" s="117"/>
      <c r="DV193" s="117"/>
      <c r="DW193" s="117"/>
      <c r="DX193" s="117"/>
      <c r="DY193" s="117"/>
      <c r="DZ193" s="117"/>
      <c r="EA193" s="117"/>
      <c r="EB193" s="117"/>
      <c r="EC193" s="117"/>
      <c r="ED193" s="117"/>
      <c r="EE193" s="117"/>
      <c r="EF193" s="117"/>
      <c r="EG193" s="117"/>
      <c r="EH193" s="117"/>
      <c r="EI193" s="117"/>
      <c r="EJ193" s="117"/>
    </row>
    <row r="194" spans="1:140" s="129" customFormat="1" x14ac:dyDescent="0.2">
      <c r="A194" s="141"/>
      <c r="C194" s="143"/>
      <c r="D194" s="157"/>
      <c r="E194" s="157"/>
      <c r="F194" s="157"/>
      <c r="G194" s="157"/>
      <c r="H194" s="157"/>
      <c r="I194" s="157"/>
      <c r="J194" s="128"/>
      <c r="K194" s="157"/>
      <c r="L194" s="157"/>
      <c r="M194" s="157"/>
      <c r="N194" s="157"/>
      <c r="O194" s="157"/>
      <c r="P194" s="157"/>
      <c r="Q194" s="157"/>
      <c r="R194" s="157"/>
      <c r="S194" s="157"/>
      <c r="T194" s="117"/>
      <c r="U194" s="142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  <c r="AJ194" s="117"/>
      <c r="AK194" s="117"/>
      <c r="AL194" s="117"/>
      <c r="AM194" s="117"/>
      <c r="AN194" s="117"/>
      <c r="AO194" s="117"/>
      <c r="AP194" s="117"/>
      <c r="AQ194" s="117"/>
      <c r="AR194" s="117"/>
      <c r="AS194" s="117"/>
      <c r="AT194" s="117"/>
      <c r="AU194" s="117"/>
      <c r="AV194" s="117"/>
      <c r="AW194" s="117"/>
      <c r="AX194" s="117"/>
      <c r="AY194" s="117"/>
      <c r="AZ194" s="117"/>
      <c r="BA194" s="117"/>
      <c r="BB194" s="117"/>
      <c r="BC194" s="117"/>
      <c r="BD194" s="117"/>
      <c r="BE194" s="117"/>
      <c r="BF194" s="117"/>
      <c r="BG194" s="117"/>
      <c r="BH194" s="117"/>
      <c r="BI194" s="117"/>
      <c r="BJ194" s="117"/>
      <c r="BK194" s="117"/>
      <c r="BL194" s="117"/>
      <c r="BM194" s="117"/>
      <c r="BN194" s="117"/>
      <c r="BO194" s="117"/>
      <c r="BP194" s="117"/>
      <c r="BQ194" s="117"/>
      <c r="BR194" s="117"/>
      <c r="BS194" s="117"/>
      <c r="BT194" s="117"/>
      <c r="BU194" s="117"/>
      <c r="BV194" s="117"/>
      <c r="BW194" s="117"/>
      <c r="BX194" s="117"/>
      <c r="BY194" s="117"/>
      <c r="BZ194" s="117"/>
      <c r="CA194" s="117"/>
      <c r="CB194" s="117"/>
      <c r="CC194" s="117"/>
      <c r="CD194" s="117"/>
      <c r="CE194" s="117"/>
      <c r="CF194" s="117"/>
      <c r="CG194" s="117"/>
      <c r="CH194" s="117"/>
      <c r="CI194" s="117"/>
      <c r="CJ194" s="117"/>
      <c r="CK194" s="117"/>
      <c r="CL194" s="117"/>
      <c r="CM194" s="117"/>
      <c r="CN194" s="117"/>
      <c r="CO194" s="117"/>
      <c r="CP194" s="117"/>
      <c r="CQ194" s="117"/>
      <c r="CR194" s="117"/>
      <c r="CS194" s="117"/>
      <c r="CT194" s="117"/>
      <c r="CU194" s="117"/>
      <c r="CV194" s="117"/>
      <c r="CW194" s="117"/>
      <c r="CX194" s="117"/>
      <c r="CY194" s="117"/>
      <c r="CZ194" s="117"/>
      <c r="DA194" s="117"/>
      <c r="DB194" s="117"/>
      <c r="DC194" s="117"/>
      <c r="DD194" s="117"/>
      <c r="DE194" s="117"/>
      <c r="DF194" s="117"/>
      <c r="DG194" s="117"/>
      <c r="DH194" s="117"/>
      <c r="DI194" s="117"/>
      <c r="DJ194" s="117"/>
      <c r="DK194" s="117"/>
      <c r="DL194" s="117"/>
      <c r="DM194" s="117"/>
      <c r="DN194" s="117"/>
      <c r="DO194" s="117"/>
      <c r="DP194" s="117"/>
      <c r="DQ194" s="117"/>
      <c r="DR194" s="117"/>
      <c r="DS194" s="117"/>
      <c r="DT194" s="117"/>
      <c r="DU194" s="117"/>
      <c r="DV194" s="117"/>
      <c r="DW194" s="117"/>
      <c r="DX194" s="117"/>
      <c r="DY194" s="117"/>
      <c r="DZ194" s="117"/>
      <c r="EA194" s="117"/>
      <c r="EB194" s="117"/>
      <c r="EC194" s="117"/>
      <c r="ED194" s="117"/>
      <c r="EE194" s="117"/>
      <c r="EF194" s="117"/>
      <c r="EG194" s="117"/>
      <c r="EH194" s="117"/>
      <c r="EI194" s="117"/>
      <c r="EJ194" s="117"/>
    </row>
    <row r="195" spans="1:140" s="129" customFormat="1" x14ac:dyDescent="0.2">
      <c r="A195" s="141">
        <v>11</v>
      </c>
      <c r="B195" s="183" t="s">
        <v>34</v>
      </c>
      <c r="C195" s="374"/>
      <c r="D195" s="184">
        <f t="shared" ref="D195:I195" si="72">D193+D191+D189+D185+D181+D179</f>
        <v>40300468.190000005</v>
      </c>
      <c r="E195" s="184">
        <f t="shared" si="72"/>
        <v>63318022.909999996</v>
      </c>
      <c r="F195" s="184">
        <f t="shared" si="72"/>
        <v>347178519.11135161</v>
      </c>
      <c r="G195" s="184">
        <f t="shared" si="72"/>
        <v>0</v>
      </c>
      <c r="H195" s="184">
        <f t="shared" si="72"/>
        <v>0</v>
      </c>
      <c r="I195" s="184">
        <f t="shared" si="72"/>
        <v>450797010.21135163</v>
      </c>
      <c r="J195" s="127"/>
      <c r="K195" s="184">
        <f t="shared" ref="K195:Q195" si="73">K193+K191+K189+K185+K181+K179</f>
        <v>0</v>
      </c>
      <c r="L195" s="184">
        <f t="shared" si="73"/>
        <v>0</v>
      </c>
      <c r="M195" s="184">
        <f t="shared" si="73"/>
        <v>0</v>
      </c>
      <c r="N195" s="184">
        <f t="shared" si="73"/>
        <v>0</v>
      </c>
      <c r="O195" s="184">
        <f t="shared" si="73"/>
        <v>0</v>
      </c>
      <c r="P195" s="184">
        <f t="shared" si="73"/>
        <v>0</v>
      </c>
      <c r="Q195" s="184">
        <f t="shared" si="73"/>
        <v>0</v>
      </c>
      <c r="R195" s="184"/>
      <c r="S195" s="184">
        <f>S193+S191+S189+S185+S181+S179</f>
        <v>0</v>
      </c>
      <c r="T195" s="144"/>
      <c r="U195" s="199">
        <f>S195+I195</f>
        <v>450797010.21135163</v>
      </c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  <c r="AI195" s="117"/>
      <c r="AJ195" s="117"/>
      <c r="AK195" s="117"/>
      <c r="AL195" s="117"/>
      <c r="AM195" s="117"/>
      <c r="AN195" s="117"/>
      <c r="AO195" s="117"/>
      <c r="AP195" s="117"/>
      <c r="AQ195" s="117"/>
      <c r="AR195" s="117"/>
      <c r="AS195" s="117"/>
      <c r="AT195" s="117"/>
      <c r="AU195" s="117"/>
      <c r="AV195" s="117"/>
      <c r="AW195" s="117"/>
      <c r="AX195" s="117"/>
      <c r="AY195" s="117"/>
      <c r="AZ195" s="117"/>
      <c r="BA195" s="117"/>
      <c r="BB195" s="117"/>
      <c r="BC195" s="117"/>
      <c r="BD195" s="117"/>
      <c r="BE195" s="117"/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117"/>
      <c r="DB195" s="117"/>
      <c r="DC195" s="117"/>
      <c r="DD195" s="117"/>
      <c r="DE195" s="117"/>
      <c r="DF195" s="117"/>
      <c r="DG195" s="117"/>
      <c r="DH195" s="117"/>
      <c r="DI195" s="117"/>
      <c r="DJ195" s="117"/>
      <c r="DK195" s="117"/>
      <c r="DL195" s="117"/>
      <c r="DM195" s="117"/>
      <c r="DN195" s="117"/>
      <c r="DO195" s="117"/>
      <c r="DP195" s="117"/>
      <c r="DQ195" s="117"/>
      <c r="DR195" s="117"/>
      <c r="DS195" s="117"/>
      <c r="DT195" s="117"/>
      <c r="DU195" s="117"/>
      <c r="DV195" s="117"/>
      <c r="DW195" s="117"/>
      <c r="DX195" s="117"/>
      <c r="DY195" s="117"/>
      <c r="DZ195" s="117"/>
      <c r="EA195" s="117"/>
      <c r="EB195" s="117"/>
      <c r="EC195" s="117"/>
      <c r="ED195" s="117"/>
      <c r="EE195" s="117"/>
      <c r="EF195" s="117"/>
      <c r="EG195" s="117"/>
      <c r="EH195" s="117"/>
      <c r="EI195" s="117"/>
      <c r="EJ195" s="117"/>
    </row>
    <row r="196" spans="1:140" s="129" customFormat="1" x14ac:dyDescent="0.2">
      <c r="B196" s="374"/>
      <c r="C196" s="374"/>
      <c r="D196" s="169"/>
      <c r="E196" s="169"/>
      <c r="F196" s="169"/>
      <c r="G196" s="169"/>
      <c r="H196" s="169"/>
      <c r="I196" s="169"/>
      <c r="J196" s="127"/>
      <c r="K196" s="169"/>
      <c r="L196" s="169"/>
      <c r="M196" s="169"/>
      <c r="N196" s="169"/>
      <c r="O196" s="169"/>
      <c r="P196" s="169"/>
      <c r="Q196" s="169"/>
      <c r="R196" s="169"/>
      <c r="S196" s="169"/>
      <c r="T196" s="144"/>
      <c r="U196" s="142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  <c r="AI196" s="117"/>
      <c r="AJ196" s="117"/>
      <c r="AK196" s="117"/>
      <c r="AL196" s="117"/>
      <c r="AM196" s="117"/>
      <c r="AN196" s="117"/>
      <c r="AO196" s="117"/>
      <c r="AP196" s="117"/>
      <c r="AQ196" s="117"/>
      <c r="AR196" s="117"/>
      <c r="AS196" s="117"/>
      <c r="AT196" s="117"/>
      <c r="AU196" s="117"/>
      <c r="AV196" s="117"/>
      <c r="AW196" s="117"/>
      <c r="AX196" s="117"/>
      <c r="AY196" s="117"/>
      <c r="AZ196" s="117"/>
      <c r="BA196" s="117"/>
      <c r="BB196" s="117"/>
      <c r="BC196" s="117"/>
      <c r="BD196" s="117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117"/>
      <c r="DB196" s="117"/>
      <c r="DC196" s="117"/>
      <c r="DD196" s="117"/>
      <c r="DE196" s="117"/>
      <c r="DF196" s="117"/>
      <c r="DG196" s="117"/>
      <c r="DH196" s="117"/>
      <c r="DI196" s="117"/>
      <c r="DJ196" s="117"/>
      <c r="DK196" s="117"/>
      <c r="DL196" s="117"/>
      <c r="DM196" s="117"/>
      <c r="DN196" s="117"/>
      <c r="DO196" s="117"/>
      <c r="DP196" s="117"/>
      <c r="DQ196" s="117"/>
      <c r="DR196" s="117"/>
      <c r="DS196" s="117"/>
      <c r="DT196" s="117"/>
      <c r="DU196" s="117"/>
      <c r="DV196" s="117"/>
      <c r="DW196" s="117"/>
      <c r="DX196" s="117"/>
      <c r="DY196" s="117"/>
      <c r="DZ196" s="117"/>
      <c r="EA196" s="117"/>
      <c r="EB196" s="117"/>
      <c r="EC196" s="117"/>
      <c r="ED196" s="117"/>
      <c r="EE196" s="117"/>
      <c r="EF196" s="117"/>
      <c r="EG196" s="117"/>
      <c r="EH196" s="117"/>
      <c r="EI196" s="117"/>
      <c r="EJ196" s="117"/>
    </row>
    <row r="197" spans="1:140" s="129" customFormat="1" x14ac:dyDescent="0.2">
      <c r="A197" s="141">
        <v>12</v>
      </c>
      <c r="B197" s="148" t="s">
        <v>91</v>
      </c>
      <c r="C197" s="125" t="s">
        <v>17</v>
      </c>
      <c r="D197" s="122">
        <f t="shared" ref="D197:H198" si="74">D165+D132+D100+D67+D33</f>
        <v>0</v>
      </c>
      <c r="E197" s="122">
        <f t="shared" si="74"/>
        <v>0</v>
      </c>
      <c r="F197" s="122">
        <f t="shared" si="74"/>
        <v>0</v>
      </c>
      <c r="G197" s="122">
        <f t="shared" si="74"/>
        <v>0</v>
      </c>
      <c r="H197" s="122">
        <f t="shared" si="74"/>
        <v>0</v>
      </c>
      <c r="I197" s="122">
        <f>SUM(D197:H197)</f>
        <v>0</v>
      </c>
      <c r="J197" s="142"/>
      <c r="K197" s="122">
        <f t="shared" ref="K197:Q198" si="75">K165+K132+K100+K67+K33</f>
        <v>0</v>
      </c>
      <c r="L197" s="122">
        <f t="shared" si="75"/>
        <v>0</v>
      </c>
      <c r="M197" s="122"/>
      <c r="N197" s="122">
        <f t="shared" si="75"/>
        <v>0</v>
      </c>
      <c r="O197" s="122">
        <f t="shared" si="75"/>
        <v>0</v>
      </c>
      <c r="P197" s="122">
        <f t="shared" si="75"/>
        <v>0</v>
      </c>
      <c r="Q197" s="122">
        <f t="shared" si="75"/>
        <v>0</v>
      </c>
      <c r="R197" s="122"/>
      <c r="S197" s="122">
        <f>S132+S100+S67+S33</f>
        <v>0</v>
      </c>
      <c r="T197" s="142"/>
      <c r="U197" s="142">
        <f>S197+I197</f>
        <v>0</v>
      </c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17"/>
      <c r="AI197" s="117"/>
      <c r="AJ197" s="117"/>
      <c r="AK197" s="117"/>
      <c r="AL197" s="117"/>
      <c r="AM197" s="117"/>
      <c r="AN197" s="117"/>
      <c r="AO197" s="117"/>
      <c r="AP197" s="117"/>
      <c r="AQ197" s="117"/>
      <c r="AR197" s="117"/>
      <c r="AS197" s="117"/>
      <c r="AT197" s="117"/>
      <c r="AU197" s="117"/>
      <c r="AV197" s="117"/>
      <c r="AW197" s="117"/>
      <c r="AX197" s="117"/>
      <c r="AY197" s="117"/>
      <c r="AZ197" s="117"/>
      <c r="BA197" s="117"/>
      <c r="BB197" s="117"/>
      <c r="BC197" s="117"/>
      <c r="BD197" s="117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117"/>
      <c r="DB197" s="117"/>
      <c r="DC197" s="117"/>
      <c r="DD197" s="117"/>
      <c r="DE197" s="117"/>
      <c r="DF197" s="117"/>
      <c r="DG197" s="117"/>
      <c r="DH197" s="117"/>
      <c r="DI197" s="117"/>
      <c r="DJ197" s="117"/>
      <c r="DK197" s="117"/>
      <c r="DL197" s="117"/>
      <c r="DM197" s="117"/>
      <c r="DN197" s="117"/>
      <c r="DO197" s="117"/>
      <c r="DP197" s="117"/>
      <c r="DQ197" s="117"/>
      <c r="DR197" s="117"/>
      <c r="DS197" s="117"/>
      <c r="DT197" s="117"/>
      <c r="DU197" s="117"/>
      <c r="DV197" s="117"/>
      <c r="DW197" s="117"/>
      <c r="DX197" s="117"/>
      <c r="DY197" s="117"/>
      <c r="DZ197" s="117"/>
      <c r="EA197" s="117"/>
      <c r="EB197" s="117"/>
      <c r="EC197" s="117"/>
      <c r="ED197" s="117"/>
      <c r="EE197" s="117"/>
      <c r="EF197" s="117"/>
      <c r="EG197" s="117"/>
      <c r="EH197" s="117"/>
      <c r="EI197" s="117"/>
      <c r="EJ197" s="117"/>
    </row>
    <row r="198" spans="1:140" s="129" customFormat="1" x14ac:dyDescent="0.2">
      <c r="A198" s="141">
        <v>13</v>
      </c>
      <c r="B198" s="148" t="s">
        <v>92</v>
      </c>
      <c r="C198" s="125" t="s">
        <v>18</v>
      </c>
      <c r="D198" s="123">
        <f t="shared" si="74"/>
        <v>0</v>
      </c>
      <c r="E198" s="123">
        <f t="shared" si="74"/>
        <v>0</v>
      </c>
      <c r="F198" s="123">
        <f t="shared" si="74"/>
        <v>0</v>
      </c>
      <c r="G198" s="123">
        <f t="shared" si="74"/>
        <v>0</v>
      </c>
      <c r="H198" s="123">
        <f t="shared" si="74"/>
        <v>0</v>
      </c>
      <c r="I198" s="123">
        <f>SUM(D198:H198)</f>
        <v>0</v>
      </c>
      <c r="J198" s="142"/>
      <c r="K198" s="123">
        <f t="shared" si="75"/>
        <v>0</v>
      </c>
      <c r="L198" s="123">
        <f t="shared" si="75"/>
        <v>0</v>
      </c>
      <c r="M198" s="123"/>
      <c r="N198" s="123">
        <f t="shared" si="75"/>
        <v>0</v>
      </c>
      <c r="O198" s="123">
        <f t="shared" si="75"/>
        <v>0</v>
      </c>
      <c r="P198" s="123">
        <f t="shared" si="75"/>
        <v>0</v>
      </c>
      <c r="Q198" s="123">
        <f t="shared" si="75"/>
        <v>0</v>
      </c>
      <c r="R198" s="123"/>
      <c r="S198" s="123">
        <f>S133+S101+S68+S34</f>
        <v>0</v>
      </c>
      <c r="T198" s="117"/>
      <c r="U198" s="123">
        <f>S198+I198</f>
        <v>0</v>
      </c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  <c r="AJ198" s="117"/>
      <c r="AK198" s="117"/>
      <c r="AL198" s="117"/>
      <c r="AM198" s="117"/>
      <c r="AN198" s="117"/>
      <c r="AO198" s="117"/>
      <c r="AP198" s="117"/>
      <c r="AQ198" s="117"/>
      <c r="AR198" s="117"/>
      <c r="AS198" s="117"/>
      <c r="AT198" s="117"/>
      <c r="AU198" s="117"/>
      <c r="AV198" s="117"/>
      <c r="AW198" s="117"/>
      <c r="AX198" s="117"/>
      <c r="AY198" s="117"/>
      <c r="AZ198" s="117"/>
      <c r="BA198" s="117"/>
      <c r="BB198" s="117"/>
      <c r="BC198" s="117"/>
      <c r="BD198" s="117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117"/>
      <c r="DB198" s="117"/>
      <c r="DC198" s="117"/>
      <c r="DD198" s="117"/>
      <c r="DE198" s="117"/>
      <c r="DF198" s="117"/>
      <c r="DG198" s="117"/>
      <c r="DH198" s="117"/>
      <c r="DI198" s="117"/>
      <c r="DJ198" s="117"/>
      <c r="DK198" s="117"/>
      <c r="DL198" s="117"/>
      <c r="DM198" s="117"/>
      <c r="DN198" s="117"/>
      <c r="DO198" s="117"/>
      <c r="DP198" s="117"/>
      <c r="DQ198" s="117"/>
      <c r="DR198" s="117"/>
      <c r="DS198" s="117"/>
      <c r="DT198" s="117"/>
      <c r="DU198" s="117"/>
      <c r="DV198" s="117"/>
      <c r="DW198" s="117"/>
      <c r="DX198" s="117"/>
      <c r="DY198" s="117"/>
      <c r="DZ198" s="117"/>
      <c r="EA198" s="117"/>
      <c r="EB198" s="117"/>
      <c r="EC198" s="117"/>
      <c r="ED198" s="117"/>
      <c r="EE198" s="117"/>
      <c r="EF198" s="117"/>
      <c r="EG198" s="117"/>
      <c r="EH198" s="117"/>
      <c r="EI198" s="117"/>
      <c r="EJ198" s="117"/>
    </row>
    <row r="199" spans="1:140" s="129" customFormat="1" x14ac:dyDescent="0.2">
      <c r="A199" s="141">
        <v>14</v>
      </c>
      <c r="B199" s="183" t="s">
        <v>35</v>
      </c>
      <c r="C199" s="373"/>
      <c r="D199" s="169">
        <f t="shared" ref="D199:I199" si="76">SUM(D197:D198)</f>
        <v>0</v>
      </c>
      <c r="E199" s="169">
        <f t="shared" si="76"/>
        <v>0</v>
      </c>
      <c r="F199" s="169">
        <f t="shared" si="76"/>
        <v>0</v>
      </c>
      <c r="G199" s="169">
        <f t="shared" si="76"/>
        <v>0</v>
      </c>
      <c r="H199" s="169">
        <f t="shared" si="76"/>
        <v>0</v>
      </c>
      <c r="I199" s="169">
        <f t="shared" si="76"/>
        <v>0</v>
      </c>
      <c r="J199" s="127"/>
      <c r="K199" s="169">
        <f t="shared" ref="K199:S199" si="77">SUM(K197:K198)</f>
        <v>0</v>
      </c>
      <c r="L199" s="169">
        <f t="shared" si="77"/>
        <v>0</v>
      </c>
      <c r="M199" s="169"/>
      <c r="N199" s="169">
        <f t="shared" si="77"/>
        <v>0</v>
      </c>
      <c r="O199" s="169">
        <f t="shared" si="77"/>
        <v>0</v>
      </c>
      <c r="P199" s="169">
        <f t="shared" si="77"/>
        <v>0</v>
      </c>
      <c r="Q199" s="169">
        <f t="shared" si="77"/>
        <v>0</v>
      </c>
      <c r="R199" s="169"/>
      <c r="S199" s="169">
        <f t="shared" si="77"/>
        <v>0</v>
      </c>
      <c r="T199" s="144"/>
      <c r="U199" s="142">
        <f>S199+I199</f>
        <v>0</v>
      </c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  <c r="AI199" s="117"/>
      <c r="AJ199" s="117"/>
      <c r="AK199" s="117"/>
      <c r="AL199" s="117"/>
      <c r="AM199" s="117"/>
      <c r="AN199" s="117"/>
      <c r="AO199" s="117"/>
      <c r="AP199" s="117"/>
      <c r="AQ199" s="117"/>
      <c r="AR199" s="117"/>
      <c r="AS199" s="117"/>
      <c r="AT199" s="117"/>
      <c r="AU199" s="117"/>
      <c r="AV199" s="117"/>
      <c r="AW199" s="117"/>
      <c r="AX199" s="117"/>
      <c r="AY199" s="117"/>
      <c r="AZ199" s="117"/>
      <c r="BA199" s="117"/>
      <c r="BB199" s="117"/>
      <c r="BC199" s="117"/>
      <c r="BD199" s="117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17"/>
      <c r="DB199" s="117"/>
      <c r="DC199" s="117"/>
      <c r="DD199" s="117"/>
      <c r="DE199" s="117"/>
      <c r="DF199" s="117"/>
      <c r="DG199" s="117"/>
      <c r="DH199" s="117"/>
      <c r="DI199" s="117"/>
      <c r="DJ199" s="117"/>
      <c r="DK199" s="117"/>
      <c r="DL199" s="117"/>
      <c r="DM199" s="117"/>
      <c r="DN199" s="117"/>
      <c r="DO199" s="117"/>
      <c r="DP199" s="117"/>
      <c r="DQ199" s="117"/>
      <c r="DR199" s="117"/>
      <c r="DS199" s="117"/>
      <c r="DT199" s="117"/>
      <c r="DU199" s="117"/>
      <c r="DV199" s="117"/>
      <c r="DW199" s="117"/>
      <c r="DX199" s="117"/>
      <c r="DY199" s="117"/>
      <c r="DZ199" s="117"/>
      <c r="EA199" s="117"/>
      <c r="EB199" s="117"/>
      <c r="EC199" s="117"/>
      <c r="ED199" s="117"/>
      <c r="EE199" s="117"/>
      <c r="EF199" s="117"/>
      <c r="EG199" s="117"/>
      <c r="EH199" s="117"/>
      <c r="EI199" s="117"/>
      <c r="EJ199" s="117"/>
    </row>
    <row r="200" spans="1:140" s="129" customFormat="1" x14ac:dyDescent="0.2">
      <c r="A200" s="141"/>
      <c r="C200" s="185"/>
      <c r="D200" s="157"/>
      <c r="E200" s="157"/>
      <c r="F200" s="157"/>
      <c r="G200" s="157"/>
      <c r="H200" s="157"/>
      <c r="I200" s="157"/>
      <c r="J200" s="128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42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7"/>
      <c r="AW200" s="117"/>
      <c r="AX200" s="117"/>
      <c r="AY200" s="117"/>
      <c r="AZ200" s="117"/>
      <c r="BA200" s="117"/>
      <c r="BB200" s="117"/>
      <c r="BC200" s="117"/>
      <c r="BD200" s="117"/>
      <c r="BE200" s="117"/>
      <c r="BF200" s="117"/>
      <c r="BG200" s="117"/>
      <c r="BH200" s="117"/>
      <c r="BI200" s="117"/>
      <c r="BJ200" s="117"/>
      <c r="BK200" s="117"/>
      <c r="BL200" s="117"/>
      <c r="BM200" s="117"/>
      <c r="BN200" s="117"/>
      <c r="BO200" s="117"/>
      <c r="BP200" s="117"/>
      <c r="BQ200" s="117"/>
      <c r="BR200" s="117"/>
      <c r="BS200" s="117"/>
      <c r="BT200" s="117"/>
      <c r="BU200" s="117"/>
      <c r="BV200" s="117"/>
      <c r="BW200" s="117"/>
      <c r="BX200" s="117"/>
      <c r="BY200" s="117"/>
      <c r="BZ200" s="117"/>
      <c r="CA200" s="117"/>
      <c r="CB200" s="117"/>
      <c r="CC200" s="117"/>
      <c r="CD200" s="117"/>
      <c r="CE200" s="117"/>
      <c r="CF200" s="117"/>
      <c r="CG200" s="117"/>
      <c r="CH200" s="117"/>
      <c r="CI200" s="117"/>
      <c r="CJ200" s="117"/>
      <c r="CK200" s="117"/>
      <c r="CL200" s="117"/>
      <c r="CM200" s="117"/>
      <c r="CN200" s="117"/>
      <c r="CO200" s="117"/>
      <c r="CP200" s="117"/>
      <c r="CQ200" s="117"/>
      <c r="CR200" s="117"/>
      <c r="CS200" s="117"/>
      <c r="CT200" s="117"/>
      <c r="CU200" s="117"/>
      <c r="CV200" s="117"/>
      <c r="CW200" s="117"/>
      <c r="CX200" s="117"/>
      <c r="CY200" s="117"/>
      <c r="CZ200" s="117"/>
      <c r="DA200" s="117"/>
      <c r="DB200" s="117"/>
      <c r="DC200" s="117"/>
      <c r="DD200" s="117"/>
      <c r="DE200" s="117"/>
      <c r="DF200" s="117"/>
      <c r="DG200" s="117"/>
      <c r="DH200" s="117"/>
      <c r="DI200" s="117"/>
      <c r="DJ200" s="117"/>
      <c r="DK200" s="117"/>
      <c r="DL200" s="117"/>
      <c r="DM200" s="117"/>
      <c r="DN200" s="117"/>
      <c r="DO200" s="117"/>
      <c r="DP200" s="117"/>
      <c r="DQ200" s="117"/>
      <c r="DR200" s="117"/>
      <c r="DS200" s="117"/>
      <c r="DT200" s="117"/>
      <c r="DU200" s="117"/>
      <c r="DV200" s="117"/>
      <c r="DW200" s="117"/>
      <c r="DX200" s="117"/>
      <c r="DY200" s="117"/>
      <c r="DZ200" s="117"/>
      <c r="EA200" s="117"/>
      <c r="EB200" s="117"/>
      <c r="EC200" s="117"/>
      <c r="ED200" s="117"/>
      <c r="EE200" s="117"/>
      <c r="EF200" s="117"/>
      <c r="EG200" s="117"/>
      <c r="EH200" s="117"/>
      <c r="EI200" s="117"/>
      <c r="EJ200" s="117"/>
    </row>
    <row r="201" spans="1:140" s="129" customFormat="1" ht="13.5" customHeight="1" thickBot="1" x14ac:dyDescent="0.25">
      <c r="A201" s="141">
        <v>15</v>
      </c>
      <c r="B201" s="243" t="s">
        <v>132</v>
      </c>
      <c r="C201" s="373"/>
      <c r="D201" s="186">
        <f t="shared" ref="D201:I201" si="78">+D199+D195</f>
        <v>40300468.190000005</v>
      </c>
      <c r="E201" s="186">
        <f t="shared" si="78"/>
        <v>63318022.909999996</v>
      </c>
      <c r="F201" s="186">
        <f t="shared" si="78"/>
        <v>347178519.11135161</v>
      </c>
      <c r="G201" s="186">
        <f t="shared" si="78"/>
        <v>0</v>
      </c>
      <c r="H201" s="186">
        <f t="shared" si="78"/>
        <v>0</v>
      </c>
      <c r="I201" s="186">
        <f t="shared" si="78"/>
        <v>450797010.21135163</v>
      </c>
      <c r="J201" s="182"/>
      <c r="K201" s="186">
        <f t="shared" ref="K201:Q201" si="79">+K199+K195</f>
        <v>0</v>
      </c>
      <c r="L201" s="186">
        <f t="shared" si="79"/>
        <v>0</v>
      </c>
      <c r="M201" s="186">
        <f t="shared" si="79"/>
        <v>0</v>
      </c>
      <c r="N201" s="186">
        <f t="shared" si="79"/>
        <v>0</v>
      </c>
      <c r="O201" s="186">
        <f t="shared" si="79"/>
        <v>0</v>
      </c>
      <c r="P201" s="186">
        <f t="shared" si="79"/>
        <v>0</v>
      </c>
      <c r="Q201" s="186">
        <f t="shared" si="79"/>
        <v>0</v>
      </c>
      <c r="R201" s="186"/>
      <c r="S201" s="200">
        <f>SUM(K201:Q201)</f>
        <v>0</v>
      </c>
      <c r="T201" s="198"/>
      <c r="U201" s="201">
        <f>S201+I201</f>
        <v>450797010.21135163</v>
      </c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7"/>
      <c r="AM201" s="117"/>
      <c r="AN201" s="117"/>
      <c r="AO201" s="117"/>
      <c r="AP201" s="117"/>
      <c r="AQ201" s="117"/>
      <c r="AR201" s="117"/>
      <c r="AS201" s="117"/>
      <c r="AT201" s="117"/>
      <c r="AU201" s="117"/>
      <c r="AV201" s="117"/>
      <c r="AW201" s="117"/>
      <c r="AX201" s="117"/>
      <c r="AY201" s="117"/>
      <c r="AZ201" s="117"/>
      <c r="BA201" s="117"/>
      <c r="BB201" s="117"/>
      <c r="BC201" s="117"/>
      <c r="BD201" s="117"/>
      <c r="BE201" s="117"/>
      <c r="BF201" s="117"/>
      <c r="BG201" s="117"/>
      <c r="BH201" s="117"/>
      <c r="BI201" s="117"/>
      <c r="BJ201" s="117"/>
      <c r="BK201" s="117"/>
      <c r="BL201" s="117"/>
      <c r="BM201" s="117"/>
      <c r="BN201" s="117"/>
      <c r="BO201" s="117"/>
      <c r="BP201" s="117"/>
      <c r="BQ201" s="117"/>
      <c r="BR201" s="117"/>
      <c r="BS201" s="117"/>
      <c r="BT201" s="117"/>
      <c r="BU201" s="117"/>
      <c r="BV201" s="117"/>
      <c r="BW201" s="117"/>
      <c r="BX201" s="117"/>
      <c r="BY201" s="117"/>
      <c r="BZ201" s="117"/>
      <c r="CA201" s="117"/>
      <c r="CB201" s="117"/>
      <c r="CC201" s="117"/>
      <c r="CD201" s="117"/>
      <c r="CE201" s="117"/>
      <c r="CF201" s="117"/>
      <c r="CG201" s="117"/>
      <c r="CH201" s="117"/>
      <c r="CI201" s="117"/>
      <c r="CJ201" s="117"/>
      <c r="CK201" s="117"/>
      <c r="CL201" s="117"/>
      <c r="CM201" s="117"/>
      <c r="CN201" s="117"/>
      <c r="CO201" s="117"/>
      <c r="CP201" s="117"/>
      <c r="CQ201" s="117"/>
      <c r="CR201" s="117"/>
      <c r="CS201" s="117"/>
      <c r="CT201" s="117"/>
      <c r="CU201" s="117"/>
      <c r="CV201" s="117"/>
      <c r="CW201" s="117"/>
      <c r="CX201" s="117"/>
      <c r="CY201" s="117"/>
      <c r="CZ201" s="117"/>
      <c r="DA201" s="117"/>
      <c r="DB201" s="117"/>
      <c r="DC201" s="117"/>
      <c r="DD201" s="117"/>
      <c r="DE201" s="117"/>
      <c r="DF201" s="117"/>
      <c r="DG201" s="117"/>
      <c r="DH201" s="117"/>
      <c r="DI201" s="117"/>
      <c r="DJ201" s="117"/>
      <c r="DK201" s="117"/>
      <c r="DL201" s="117"/>
      <c r="DM201" s="117"/>
      <c r="DN201" s="117"/>
      <c r="DO201" s="117"/>
      <c r="DP201" s="117"/>
      <c r="DQ201" s="117"/>
      <c r="DR201" s="117"/>
      <c r="DS201" s="117"/>
      <c r="DT201" s="117"/>
      <c r="DU201" s="117"/>
      <c r="DV201" s="117"/>
      <c r="DW201" s="117"/>
      <c r="DX201" s="117"/>
      <c r="DY201" s="117"/>
      <c r="DZ201" s="117"/>
      <c r="EA201" s="117"/>
      <c r="EB201" s="117"/>
      <c r="EC201" s="117"/>
      <c r="ED201" s="117"/>
      <c r="EE201" s="117"/>
      <c r="EF201" s="117"/>
      <c r="EG201" s="117"/>
      <c r="EH201" s="117"/>
      <c r="EI201" s="117"/>
      <c r="EJ201" s="117"/>
    </row>
    <row r="202" spans="1:140" s="126" customFormat="1" ht="13.5" thickTop="1" x14ac:dyDescent="0.2">
      <c r="J202" s="192"/>
      <c r="T202" s="192"/>
    </row>
    <row r="203" spans="1:140" s="126" customFormat="1" ht="15" customHeight="1" x14ac:dyDescent="0.2">
      <c r="I203" s="188"/>
      <c r="J203" s="192"/>
      <c r="T203" s="192"/>
    </row>
    <row r="204" spans="1:140" s="126" customFormat="1" ht="12.75" x14ac:dyDescent="0.2">
      <c r="J204" s="192"/>
      <c r="T204" s="192"/>
    </row>
    <row r="205" spans="1:140" s="126" customFormat="1" ht="12.75" x14ac:dyDescent="0.2">
      <c r="J205" s="192"/>
      <c r="T205" s="192"/>
    </row>
    <row r="206" spans="1:140" s="126" customFormat="1" ht="12.75" x14ac:dyDescent="0.2">
      <c r="J206" s="192"/>
      <c r="T206" s="192"/>
    </row>
    <row r="207" spans="1:140" s="126" customFormat="1" ht="12.75" x14ac:dyDescent="0.2">
      <c r="J207" s="192"/>
      <c r="T207" s="192"/>
    </row>
    <row r="208" spans="1:140" s="126" customFormat="1" ht="12.75" x14ac:dyDescent="0.2">
      <c r="J208" s="192"/>
      <c r="T208" s="192"/>
    </row>
    <row r="209" spans="10:20" s="126" customFormat="1" ht="12.75" x14ac:dyDescent="0.2">
      <c r="J209" s="192"/>
      <c r="T209" s="192"/>
    </row>
    <row r="210" spans="10:20" s="126" customFormat="1" ht="12.75" x14ac:dyDescent="0.2">
      <c r="J210" s="192"/>
      <c r="T210" s="192"/>
    </row>
    <row r="211" spans="10:20" s="126" customFormat="1" ht="12.75" x14ac:dyDescent="0.2">
      <c r="J211" s="192"/>
      <c r="T211" s="192"/>
    </row>
    <row r="212" spans="10:20" s="126" customFormat="1" ht="12.75" x14ac:dyDescent="0.2">
      <c r="J212" s="192"/>
      <c r="T212" s="192"/>
    </row>
    <row r="213" spans="10:20" s="126" customFormat="1" ht="12.75" x14ac:dyDescent="0.2">
      <c r="J213" s="192"/>
      <c r="T213" s="192"/>
    </row>
    <row r="214" spans="10:20" s="126" customFormat="1" ht="12.75" x14ac:dyDescent="0.2">
      <c r="J214" s="192"/>
      <c r="T214" s="192"/>
    </row>
    <row r="215" spans="10:20" s="126" customFormat="1" ht="12.75" x14ac:dyDescent="0.2">
      <c r="J215" s="192"/>
      <c r="T215" s="192"/>
    </row>
    <row r="216" spans="10:20" s="126" customFormat="1" ht="12.75" x14ac:dyDescent="0.2">
      <c r="J216" s="192"/>
      <c r="T216" s="192"/>
    </row>
    <row r="217" spans="10:20" s="126" customFormat="1" ht="12.75" x14ac:dyDescent="0.2">
      <c r="J217" s="192"/>
      <c r="T217" s="192"/>
    </row>
    <row r="218" spans="10:20" s="126" customFormat="1" ht="12.75" x14ac:dyDescent="0.2">
      <c r="J218" s="192"/>
      <c r="T218" s="192"/>
    </row>
    <row r="219" spans="10:20" s="126" customFormat="1" ht="12.75" x14ac:dyDescent="0.2">
      <c r="J219" s="192"/>
      <c r="T219" s="192"/>
    </row>
    <row r="220" spans="10:20" s="126" customFormat="1" ht="12.75" x14ac:dyDescent="0.2">
      <c r="J220" s="192"/>
      <c r="T220" s="192"/>
    </row>
    <row r="221" spans="10:20" s="126" customFormat="1" ht="12.75" x14ac:dyDescent="0.2">
      <c r="J221" s="192"/>
      <c r="T221" s="192"/>
    </row>
    <row r="222" spans="10:20" s="126" customFormat="1" ht="12.75" x14ac:dyDescent="0.2">
      <c r="J222" s="192"/>
      <c r="T222" s="192"/>
    </row>
    <row r="223" spans="10:20" s="126" customFormat="1" ht="12.75" x14ac:dyDescent="0.2">
      <c r="J223" s="192"/>
      <c r="T223" s="192"/>
    </row>
    <row r="224" spans="10:20" s="126" customFormat="1" ht="12.75" x14ac:dyDescent="0.2">
      <c r="J224" s="192"/>
      <c r="T224" s="192"/>
    </row>
    <row r="225" spans="10:20" s="126" customFormat="1" ht="12.75" x14ac:dyDescent="0.2">
      <c r="J225" s="192"/>
      <c r="T225" s="192"/>
    </row>
    <row r="226" spans="10:20" s="126" customFormat="1" ht="12.75" x14ac:dyDescent="0.2">
      <c r="J226" s="192"/>
      <c r="T226" s="192"/>
    </row>
    <row r="227" spans="10:20" s="126" customFormat="1" ht="12.75" x14ac:dyDescent="0.2">
      <c r="J227" s="192"/>
      <c r="T227" s="192"/>
    </row>
    <row r="228" spans="10:20" s="126" customFormat="1" ht="12.75" x14ac:dyDescent="0.2">
      <c r="J228" s="192"/>
      <c r="T228" s="192"/>
    </row>
    <row r="229" spans="10:20" s="126" customFormat="1" ht="12.75" x14ac:dyDescent="0.2">
      <c r="J229" s="192"/>
      <c r="T229" s="192"/>
    </row>
    <row r="230" spans="10:20" s="126" customFormat="1" ht="12.75" x14ac:dyDescent="0.2">
      <c r="J230" s="192"/>
      <c r="T230" s="192"/>
    </row>
    <row r="231" spans="10:20" s="126" customFormat="1" ht="12.75" x14ac:dyDescent="0.2">
      <c r="J231" s="192"/>
      <c r="T231" s="192"/>
    </row>
    <row r="232" spans="10:20" s="126" customFormat="1" ht="12.75" x14ac:dyDescent="0.2">
      <c r="J232" s="192"/>
      <c r="T232" s="192"/>
    </row>
    <row r="233" spans="10:20" s="126" customFormat="1" ht="12.75" x14ac:dyDescent="0.2">
      <c r="J233" s="192"/>
      <c r="T233" s="192"/>
    </row>
    <row r="234" spans="10:20" s="126" customFormat="1" ht="12.75" x14ac:dyDescent="0.2">
      <c r="J234" s="192"/>
      <c r="T234" s="192"/>
    </row>
    <row r="235" spans="10:20" s="126" customFormat="1" ht="12.75" x14ac:dyDescent="0.2">
      <c r="J235" s="192"/>
      <c r="T235" s="192"/>
    </row>
    <row r="236" spans="10:20" s="126" customFormat="1" ht="12.75" x14ac:dyDescent="0.2">
      <c r="J236" s="192"/>
      <c r="T236" s="192"/>
    </row>
    <row r="237" spans="10:20" s="126" customFormat="1" ht="12.75" x14ac:dyDescent="0.2">
      <c r="J237" s="192"/>
      <c r="T237" s="192"/>
    </row>
    <row r="238" spans="10:20" s="126" customFormat="1" ht="13.5" customHeight="1" x14ac:dyDescent="0.2">
      <c r="J238" s="192"/>
      <c r="T238" s="192"/>
    </row>
    <row r="239" spans="10:20" s="126" customFormat="1" ht="12.75" x14ac:dyDescent="0.2">
      <c r="J239" s="192"/>
      <c r="T239" s="192"/>
    </row>
    <row r="240" spans="10:20" s="126" customFormat="1" ht="12.75" x14ac:dyDescent="0.2">
      <c r="J240" s="192"/>
      <c r="T240" s="192"/>
    </row>
    <row r="241" spans="10:20" s="126" customFormat="1" ht="12.75" x14ac:dyDescent="0.2">
      <c r="J241" s="192"/>
      <c r="T241" s="192"/>
    </row>
    <row r="242" spans="10:20" s="126" customFormat="1" ht="12.75" x14ac:dyDescent="0.2">
      <c r="J242" s="192"/>
      <c r="T242" s="192"/>
    </row>
    <row r="243" spans="10:20" s="126" customFormat="1" ht="12.75" x14ac:dyDescent="0.2">
      <c r="J243" s="192"/>
      <c r="T243" s="192"/>
    </row>
    <row r="244" spans="10:20" s="126" customFormat="1" ht="12.75" x14ac:dyDescent="0.2">
      <c r="J244" s="192"/>
      <c r="T244" s="192"/>
    </row>
    <row r="245" spans="10:20" s="126" customFormat="1" ht="12.75" x14ac:dyDescent="0.2">
      <c r="J245" s="192"/>
      <c r="T245" s="192"/>
    </row>
    <row r="246" spans="10:20" s="126" customFormat="1" ht="12.75" x14ac:dyDescent="0.2">
      <c r="J246" s="192"/>
      <c r="T246" s="192"/>
    </row>
    <row r="247" spans="10:20" s="126" customFormat="1" ht="12.75" x14ac:dyDescent="0.2">
      <c r="J247" s="192"/>
      <c r="T247" s="192"/>
    </row>
    <row r="248" spans="10:20" s="126" customFormat="1" ht="12.75" x14ac:dyDescent="0.2">
      <c r="J248" s="192"/>
      <c r="T248" s="192"/>
    </row>
    <row r="249" spans="10:20" s="126" customFormat="1" ht="12.75" x14ac:dyDescent="0.2">
      <c r="J249" s="192"/>
      <c r="T249" s="192"/>
    </row>
    <row r="250" spans="10:20" s="126" customFormat="1" ht="12.75" x14ac:dyDescent="0.2">
      <c r="J250" s="192"/>
      <c r="T250" s="192"/>
    </row>
    <row r="251" spans="10:20" s="126" customFormat="1" ht="12.75" x14ac:dyDescent="0.2">
      <c r="J251" s="192"/>
      <c r="T251" s="192"/>
    </row>
    <row r="252" spans="10:20" s="126" customFormat="1" ht="12.75" x14ac:dyDescent="0.2">
      <c r="J252" s="192"/>
      <c r="T252" s="192"/>
    </row>
    <row r="253" spans="10:20" s="126" customFormat="1" ht="12.75" x14ac:dyDescent="0.2">
      <c r="J253" s="192"/>
      <c r="T253" s="192"/>
    </row>
    <row r="254" spans="10:20" s="126" customFormat="1" ht="12.75" x14ac:dyDescent="0.2">
      <c r="J254" s="192"/>
      <c r="T254" s="192"/>
    </row>
    <row r="255" spans="10:20" s="126" customFormat="1" ht="12.75" x14ac:dyDescent="0.2">
      <c r="J255" s="192"/>
      <c r="T255" s="192"/>
    </row>
    <row r="256" spans="10:20" s="126" customFormat="1" ht="12.75" x14ac:dyDescent="0.2">
      <c r="J256" s="192"/>
      <c r="T256" s="192"/>
    </row>
    <row r="257" spans="10:20" s="126" customFormat="1" ht="12.75" x14ac:dyDescent="0.2">
      <c r="J257" s="192"/>
      <c r="T257" s="192"/>
    </row>
    <row r="258" spans="10:20" s="126" customFormat="1" ht="12.75" x14ac:dyDescent="0.2">
      <c r="J258" s="192"/>
      <c r="T258" s="192"/>
    </row>
    <row r="259" spans="10:20" s="126" customFormat="1" ht="12.75" x14ac:dyDescent="0.2">
      <c r="J259" s="192"/>
      <c r="T259" s="192"/>
    </row>
    <row r="260" spans="10:20" s="126" customFormat="1" ht="12.75" x14ac:dyDescent="0.2">
      <c r="J260" s="192"/>
      <c r="T260" s="192"/>
    </row>
    <row r="261" spans="10:20" s="126" customFormat="1" ht="12.75" x14ac:dyDescent="0.2">
      <c r="J261" s="192"/>
      <c r="T261" s="192"/>
    </row>
    <row r="262" spans="10:20" s="126" customFormat="1" ht="12.75" x14ac:dyDescent="0.2">
      <c r="J262" s="192"/>
      <c r="T262" s="192"/>
    </row>
    <row r="263" spans="10:20" s="126" customFormat="1" ht="12.75" x14ac:dyDescent="0.2">
      <c r="J263" s="192"/>
      <c r="T263" s="192"/>
    </row>
    <row r="264" spans="10:20" s="126" customFormat="1" ht="12.75" x14ac:dyDescent="0.2">
      <c r="J264" s="192"/>
      <c r="T264" s="192"/>
    </row>
    <row r="265" spans="10:20" s="126" customFormat="1" ht="12.75" x14ac:dyDescent="0.2">
      <c r="J265" s="192"/>
      <c r="T265" s="192"/>
    </row>
    <row r="266" spans="10:20" s="126" customFormat="1" ht="12.75" x14ac:dyDescent="0.2">
      <c r="J266" s="192"/>
      <c r="T266" s="192"/>
    </row>
    <row r="267" spans="10:20" s="126" customFormat="1" ht="12.75" x14ac:dyDescent="0.2">
      <c r="J267" s="192"/>
      <c r="T267" s="192"/>
    </row>
    <row r="268" spans="10:20" s="126" customFormat="1" ht="12.75" x14ac:dyDescent="0.2">
      <c r="J268" s="192"/>
      <c r="T268" s="192"/>
    </row>
    <row r="269" spans="10:20" s="126" customFormat="1" ht="12.75" x14ac:dyDescent="0.2">
      <c r="J269" s="192"/>
      <c r="T269" s="192"/>
    </row>
    <row r="270" spans="10:20" s="126" customFormat="1" ht="12.75" x14ac:dyDescent="0.2">
      <c r="J270" s="192"/>
      <c r="T270" s="192"/>
    </row>
    <row r="271" spans="10:20" s="126" customFormat="1" ht="12.75" x14ac:dyDescent="0.2">
      <c r="J271" s="192"/>
      <c r="T271" s="192"/>
    </row>
    <row r="272" spans="10:20" s="126" customFormat="1" ht="12.75" x14ac:dyDescent="0.2">
      <c r="J272" s="192"/>
      <c r="T272" s="192"/>
    </row>
    <row r="273" spans="10:20" s="126" customFormat="1" ht="12.75" x14ac:dyDescent="0.2">
      <c r="J273" s="192"/>
      <c r="T273" s="192"/>
    </row>
    <row r="274" spans="10:20" s="126" customFormat="1" ht="12.75" x14ac:dyDescent="0.2">
      <c r="J274" s="192"/>
      <c r="T274" s="192"/>
    </row>
    <row r="275" spans="10:20" s="126" customFormat="1" ht="12.75" x14ac:dyDescent="0.2">
      <c r="J275" s="192"/>
      <c r="T275" s="192"/>
    </row>
    <row r="276" spans="10:20" s="126" customFormat="1" ht="12.75" x14ac:dyDescent="0.2">
      <c r="J276" s="192"/>
      <c r="T276" s="192"/>
    </row>
    <row r="277" spans="10:20" s="126" customFormat="1" ht="12.75" x14ac:dyDescent="0.2">
      <c r="J277" s="192"/>
      <c r="T277" s="192"/>
    </row>
    <row r="278" spans="10:20" s="126" customFormat="1" ht="12.75" x14ac:dyDescent="0.2">
      <c r="J278" s="192"/>
      <c r="T278" s="192"/>
    </row>
    <row r="279" spans="10:20" s="126" customFormat="1" ht="12.75" x14ac:dyDescent="0.2">
      <c r="J279" s="192"/>
      <c r="T279" s="192"/>
    </row>
    <row r="280" spans="10:20" s="126" customFormat="1" ht="12.75" x14ac:dyDescent="0.2">
      <c r="J280" s="192"/>
      <c r="T280" s="192"/>
    </row>
    <row r="281" spans="10:20" s="126" customFormat="1" ht="12.75" x14ac:dyDescent="0.2">
      <c r="J281" s="192"/>
      <c r="T281" s="192"/>
    </row>
    <row r="282" spans="10:20" s="126" customFormat="1" ht="12.75" x14ac:dyDescent="0.2">
      <c r="J282" s="192"/>
      <c r="T282" s="192"/>
    </row>
    <row r="283" spans="10:20" s="126" customFormat="1" ht="12.75" x14ac:dyDescent="0.2">
      <c r="J283" s="192"/>
      <c r="T283" s="192"/>
    </row>
    <row r="284" spans="10:20" s="126" customFormat="1" ht="12.75" x14ac:dyDescent="0.2">
      <c r="J284" s="192"/>
      <c r="T284" s="192"/>
    </row>
    <row r="285" spans="10:20" s="126" customFormat="1" ht="12.75" x14ac:dyDescent="0.2">
      <c r="J285" s="192"/>
      <c r="T285" s="192"/>
    </row>
    <row r="286" spans="10:20" s="126" customFormat="1" ht="12.75" x14ac:dyDescent="0.2">
      <c r="J286" s="192"/>
      <c r="T286" s="192"/>
    </row>
    <row r="287" spans="10:20" s="126" customFormat="1" ht="12.75" x14ac:dyDescent="0.2">
      <c r="J287" s="192"/>
      <c r="T287" s="192"/>
    </row>
    <row r="288" spans="10:20" s="126" customFormat="1" ht="12.75" x14ac:dyDescent="0.2">
      <c r="J288" s="192"/>
      <c r="T288" s="192"/>
    </row>
    <row r="289" spans="10:20" s="126" customFormat="1" ht="12.75" x14ac:dyDescent="0.2">
      <c r="J289" s="192"/>
      <c r="T289" s="192"/>
    </row>
    <row r="290" spans="10:20" s="126" customFormat="1" ht="12.75" x14ac:dyDescent="0.2">
      <c r="J290" s="192"/>
      <c r="T290" s="192"/>
    </row>
    <row r="291" spans="10:20" s="126" customFormat="1" ht="12.75" x14ac:dyDescent="0.2">
      <c r="J291" s="192"/>
      <c r="T291" s="192"/>
    </row>
    <row r="292" spans="10:20" s="126" customFormat="1" ht="12.75" x14ac:dyDescent="0.2">
      <c r="J292" s="192"/>
      <c r="T292" s="192"/>
    </row>
    <row r="293" spans="10:20" s="126" customFormat="1" ht="12.75" x14ac:dyDescent="0.2">
      <c r="J293" s="192"/>
      <c r="T293" s="192"/>
    </row>
    <row r="294" spans="10:20" s="126" customFormat="1" ht="12.75" x14ac:dyDescent="0.2">
      <c r="J294" s="192"/>
      <c r="T294" s="192"/>
    </row>
    <row r="295" spans="10:20" s="126" customFormat="1" ht="12.75" x14ac:dyDescent="0.2">
      <c r="J295" s="192"/>
      <c r="T295" s="192"/>
    </row>
    <row r="296" spans="10:20" s="126" customFormat="1" ht="12.75" x14ac:dyDescent="0.2">
      <c r="J296" s="192"/>
      <c r="T296" s="192"/>
    </row>
    <row r="297" spans="10:20" s="126" customFormat="1" ht="12.75" x14ac:dyDescent="0.2">
      <c r="J297" s="192"/>
      <c r="T297" s="192"/>
    </row>
    <row r="298" spans="10:20" s="126" customFormat="1" ht="12.75" x14ac:dyDescent="0.2">
      <c r="J298" s="192"/>
      <c r="T298" s="192"/>
    </row>
    <row r="299" spans="10:20" s="126" customFormat="1" ht="12.75" x14ac:dyDescent="0.2">
      <c r="J299" s="192"/>
      <c r="T299" s="192"/>
    </row>
    <row r="300" spans="10:20" s="126" customFormat="1" ht="12.75" x14ac:dyDescent="0.2">
      <c r="J300" s="192"/>
      <c r="T300" s="192"/>
    </row>
    <row r="301" spans="10:20" s="126" customFormat="1" ht="12.75" x14ac:dyDescent="0.2">
      <c r="J301" s="192"/>
      <c r="T301" s="192"/>
    </row>
    <row r="302" spans="10:20" s="126" customFormat="1" ht="12.75" x14ac:dyDescent="0.2">
      <c r="J302" s="192"/>
      <c r="T302" s="192"/>
    </row>
    <row r="303" spans="10:20" s="126" customFormat="1" ht="12.75" x14ac:dyDescent="0.2">
      <c r="J303" s="192"/>
      <c r="T303" s="192"/>
    </row>
    <row r="304" spans="10:20" s="126" customFormat="1" ht="12.75" x14ac:dyDescent="0.2">
      <c r="J304" s="192"/>
      <c r="T304" s="192"/>
    </row>
    <row r="305" spans="10:20" s="126" customFormat="1" ht="12.75" x14ac:dyDescent="0.2">
      <c r="J305" s="192"/>
      <c r="T305" s="192"/>
    </row>
    <row r="306" spans="10:20" s="126" customFormat="1" ht="12.75" x14ac:dyDescent="0.2">
      <c r="J306" s="192"/>
      <c r="T306" s="192"/>
    </row>
    <row r="307" spans="10:20" s="126" customFormat="1" ht="12.75" x14ac:dyDescent="0.2">
      <c r="J307" s="192"/>
      <c r="T307" s="192"/>
    </row>
    <row r="308" spans="10:20" s="126" customFormat="1" ht="12.75" x14ac:dyDescent="0.2">
      <c r="J308" s="192"/>
      <c r="T308" s="192"/>
    </row>
    <row r="309" spans="10:20" s="126" customFormat="1" ht="12.75" x14ac:dyDescent="0.2">
      <c r="J309" s="192"/>
      <c r="T309" s="192"/>
    </row>
    <row r="310" spans="10:20" s="126" customFormat="1" ht="12.75" x14ac:dyDescent="0.2">
      <c r="J310" s="192"/>
      <c r="T310" s="192"/>
    </row>
    <row r="311" spans="10:20" s="126" customFormat="1" ht="12.75" x14ac:dyDescent="0.2">
      <c r="J311" s="192"/>
      <c r="T311" s="192"/>
    </row>
    <row r="312" spans="10:20" s="126" customFormat="1" ht="12.75" x14ac:dyDescent="0.2">
      <c r="J312" s="192"/>
      <c r="T312" s="192"/>
    </row>
    <row r="313" spans="10:20" s="126" customFormat="1" ht="12.75" x14ac:dyDescent="0.2">
      <c r="J313" s="192"/>
      <c r="T313" s="192"/>
    </row>
    <row r="314" spans="10:20" s="126" customFormat="1" ht="12.75" x14ac:dyDescent="0.2">
      <c r="J314" s="192"/>
      <c r="T314" s="192"/>
    </row>
    <row r="315" spans="10:20" s="126" customFormat="1" ht="12.75" x14ac:dyDescent="0.2">
      <c r="J315" s="192"/>
      <c r="T315" s="192"/>
    </row>
    <row r="316" spans="10:20" s="126" customFormat="1" ht="12.75" x14ac:dyDescent="0.2">
      <c r="J316" s="192"/>
      <c r="T316" s="192"/>
    </row>
    <row r="317" spans="10:20" s="126" customFormat="1" ht="12.75" x14ac:dyDescent="0.2">
      <c r="J317" s="192"/>
      <c r="T317" s="192"/>
    </row>
    <row r="318" spans="10:20" s="126" customFormat="1" ht="12.75" x14ac:dyDescent="0.2">
      <c r="J318" s="192"/>
      <c r="T318" s="192"/>
    </row>
    <row r="319" spans="10:20" s="126" customFormat="1" ht="12.75" x14ac:dyDescent="0.2">
      <c r="J319" s="192"/>
      <c r="T319" s="192"/>
    </row>
    <row r="320" spans="10:20" s="126" customFormat="1" ht="12.75" x14ac:dyDescent="0.2">
      <c r="J320" s="192"/>
      <c r="T320" s="192"/>
    </row>
    <row r="321" spans="10:20" s="126" customFormat="1" ht="12.75" x14ac:dyDescent="0.2">
      <c r="J321" s="192"/>
      <c r="T321" s="192"/>
    </row>
    <row r="322" spans="10:20" s="126" customFormat="1" ht="12.75" x14ac:dyDescent="0.2">
      <c r="J322" s="192"/>
      <c r="T322" s="192"/>
    </row>
    <row r="323" spans="10:20" s="126" customFormat="1" ht="12.75" x14ac:dyDescent="0.2">
      <c r="J323" s="192"/>
      <c r="T323" s="192"/>
    </row>
    <row r="324" spans="10:20" s="126" customFormat="1" ht="12.75" x14ac:dyDescent="0.2">
      <c r="J324" s="192"/>
      <c r="T324" s="192"/>
    </row>
    <row r="325" spans="10:20" s="126" customFormat="1" ht="12.75" x14ac:dyDescent="0.2">
      <c r="J325" s="192"/>
      <c r="T325" s="192"/>
    </row>
    <row r="326" spans="10:20" s="126" customFormat="1" ht="12.75" x14ac:dyDescent="0.2">
      <c r="J326" s="192"/>
      <c r="T326" s="192"/>
    </row>
    <row r="327" spans="10:20" s="126" customFormat="1" ht="12.75" x14ac:dyDescent="0.2">
      <c r="J327" s="192"/>
      <c r="T327" s="192"/>
    </row>
    <row r="328" spans="10:20" s="126" customFormat="1" ht="12.75" x14ac:dyDescent="0.2">
      <c r="J328" s="192"/>
      <c r="T328" s="192"/>
    </row>
    <row r="329" spans="10:20" s="126" customFormat="1" ht="12.75" x14ac:dyDescent="0.2">
      <c r="J329" s="192"/>
      <c r="T329" s="192"/>
    </row>
    <row r="330" spans="10:20" s="126" customFormat="1" ht="12.75" x14ac:dyDescent="0.2">
      <c r="J330" s="192"/>
      <c r="T330" s="192"/>
    </row>
    <row r="331" spans="10:20" s="126" customFormat="1" ht="12.75" x14ac:dyDescent="0.2">
      <c r="J331" s="192"/>
      <c r="T331" s="192"/>
    </row>
    <row r="332" spans="10:20" s="126" customFormat="1" ht="12.75" x14ac:dyDescent="0.2">
      <c r="J332" s="192"/>
      <c r="T332" s="192"/>
    </row>
    <row r="333" spans="10:20" s="126" customFormat="1" ht="12.75" x14ac:dyDescent="0.2">
      <c r="J333" s="192"/>
      <c r="T333" s="192"/>
    </row>
    <row r="334" spans="10:20" s="126" customFormat="1" ht="12.75" x14ac:dyDescent="0.2">
      <c r="J334" s="192"/>
      <c r="T334" s="192"/>
    </row>
    <row r="335" spans="10:20" s="126" customFormat="1" ht="12.75" x14ac:dyDescent="0.2">
      <c r="J335" s="192"/>
      <c r="T335" s="192"/>
    </row>
    <row r="336" spans="10:20" s="126" customFormat="1" ht="12.75" x14ac:dyDescent="0.2">
      <c r="J336" s="192"/>
      <c r="T336" s="192"/>
    </row>
    <row r="337" spans="10:20" s="126" customFormat="1" ht="12.75" x14ac:dyDescent="0.2">
      <c r="J337" s="192"/>
      <c r="T337" s="192"/>
    </row>
    <row r="338" spans="10:20" s="126" customFormat="1" ht="12.75" x14ac:dyDescent="0.2">
      <c r="J338" s="192"/>
      <c r="T338" s="192"/>
    </row>
    <row r="339" spans="10:20" s="126" customFormat="1" ht="12.75" x14ac:dyDescent="0.2">
      <c r="J339" s="192"/>
      <c r="T339" s="192"/>
    </row>
    <row r="340" spans="10:20" s="126" customFormat="1" ht="12.75" x14ac:dyDescent="0.2">
      <c r="J340" s="192"/>
      <c r="T340" s="192"/>
    </row>
    <row r="341" spans="10:20" s="126" customFormat="1" ht="12.75" x14ac:dyDescent="0.2">
      <c r="J341" s="192"/>
      <c r="T341" s="192"/>
    </row>
    <row r="342" spans="10:20" s="126" customFormat="1" ht="12.75" x14ac:dyDescent="0.2">
      <c r="J342" s="192"/>
      <c r="T342" s="192"/>
    </row>
    <row r="343" spans="10:20" s="126" customFormat="1" ht="12.75" x14ac:dyDescent="0.2">
      <c r="J343" s="192"/>
      <c r="T343" s="192"/>
    </row>
    <row r="344" spans="10:20" s="126" customFormat="1" ht="12.75" x14ac:dyDescent="0.2">
      <c r="J344" s="192"/>
      <c r="T344" s="192"/>
    </row>
    <row r="345" spans="10:20" s="126" customFormat="1" ht="12.75" x14ac:dyDescent="0.2">
      <c r="J345" s="192"/>
      <c r="T345" s="192"/>
    </row>
    <row r="346" spans="10:20" s="126" customFormat="1" ht="12.75" x14ac:dyDescent="0.2">
      <c r="J346" s="192"/>
      <c r="T346" s="192"/>
    </row>
    <row r="347" spans="10:20" s="126" customFormat="1" ht="12.75" x14ac:dyDescent="0.2">
      <c r="J347" s="192"/>
      <c r="T347" s="192"/>
    </row>
    <row r="348" spans="10:20" s="126" customFormat="1" ht="12.75" x14ac:dyDescent="0.2">
      <c r="J348" s="192"/>
      <c r="T348" s="192"/>
    </row>
    <row r="349" spans="10:20" s="126" customFormat="1" ht="12.75" x14ac:dyDescent="0.2">
      <c r="J349" s="192"/>
      <c r="T349" s="192"/>
    </row>
    <row r="350" spans="10:20" s="126" customFormat="1" ht="12.75" x14ac:dyDescent="0.2">
      <c r="J350" s="192"/>
      <c r="T350" s="192"/>
    </row>
    <row r="351" spans="10:20" s="126" customFormat="1" ht="12.75" x14ac:dyDescent="0.2">
      <c r="J351" s="192"/>
      <c r="T351" s="192"/>
    </row>
    <row r="352" spans="10:20" s="126" customFormat="1" ht="12.75" x14ac:dyDescent="0.2">
      <c r="J352" s="192"/>
      <c r="T352" s="192"/>
    </row>
    <row r="353" spans="10:20" s="126" customFormat="1" ht="12.75" x14ac:dyDescent="0.2">
      <c r="J353" s="192"/>
      <c r="T353" s="192"/>
    </row>
    <row r="354" spans="10:20" s="126" customFormat="1" ht="12.75" x14ac:dyDescent="0.2">
      <c r="J354" s="192"/>
      <c r="T354" s="192"/>
    </row>
    <row r="355" spans="10:20" s="126" customFormat="1" ht="12.75" x14ac:dyDescent="0.2">
      <c r="J355" s="192"/>
      <c r="T355" s="192"/>
    </row>
    <row r="356" spans="10:20" s="126" customFormat="1" ht="12.75" x14ac:dyDescent="0.2">
      <c r="J356" s="192"/>
      <c r="T356" s="192"/>
    </row>
    <row r="357" spans="10:20" s="126" customFormat="1" ht="12.75" x14ac:dyDescent="0.2">
      <c r="J357" s="192"/>
      <c r="T357" s="192"/>
    </row>
    <row r="358" spans="10:20" s="126" customFormat="1" ht="12.75" x14ac:dyDescent="0.2">
      <c r="J358" s="192"/>
      <c r="T358" s="192"/>
    </row>
    <row r="359" spans="10:20" s="126" customFormat="1" ht="12.75" x14ac:dyDescent="0.2">
      <c r="J359" s="192"/>
      <c r="T359" s="192"/>
    </row>
    <row r="360" spans="10:20" s="126" customFormat="1" ht="12.75" x14ac:dyDescent="0.2">
      <c r="J360" s="192"/>
      <c r="T360" s="192"/>
    </row>
    <row r="361" spans="10:20" s="126" customFormat="1" ht="12.75" x14ac:dyDescent="0.2">
      <c r="J361" s="192"/>
      <c r="T361" s="192"/>
    </row>
    <row r="362" spans="10:20" s="126" customFormat="1" ht="12.75" x14ac:dyDescent="0.2">
      <c r="J362" s="192"/>
      <c r="T362" s="192"/>
    </row>
    <row r="363" spans="10:20" s="126" customFormat="1" ht="12.75" x14ac:dyDescent="0.2">
      <c r="J363" s="192"/>
      <c r="T363" s="192"/>
    </row>
    <row r="364" spans="10:20" s="126" customFormat="1" ht="12.75" x14ac:dyDescent="0.2">
      <c r="J364" s="192"/>
      <c r="T364" s="192"/>
    </row>
    <row r="365" spans="10:20" s="126" customFormat="1" ht="12.75" x14ac:dyDescent="0.2">
      <c r="J365" s="192"/>
      <c r="T365" s="192"/>
    </row>
    <row r="366" spans="10:20" s="126" customFormat="1" ht="12.75" x14ac:dyDescent="0.2">
      <c r="J366" s="192"/>
      <c r="T366" s="192"/>
    </row>
    <row r="367" spans="10:20" s="126" customFormat="1" ht="12.75" x14ac:dyDescent="0.2">
      <c r="J367" s="192"/>
      <c r="T367" s="192"/>
    </row>
    <row r="368" spans="10:20" s="126" customFormat="1" ht="12.75" x14ac:dyDescent="0.2">
      <c r="J368" s="192"/>
      <c r="T368" s="192"/>
    </row>
    <row r="369" spans="10:20" s="126" customFormat="1" ht="12.75" x14ac:dyDescent="0.2">
      <c r="J369" s="192"/>
      <c r="T369" s="192"/>
    </row>
    <row r="370" spans="10:20" s="126" customFormat="1" ht="12.75" x14ac:dyDescent="0.2">
      <c r="J370" s="192"/>
      <c r="T370" s="192"/>
    </row>
    <row r="371" spans="10:20" s="126" customFormat="1" ht="12.75" x14ac:dyDescent="0.2">
      <c r="J371" s="192"/>
      <c r="T371" s="192"/>
    </row>
    <row r="372" spans="10:20" s="126" customFormat="1" ht="12.75" x14ac:dyDescent="0.2">
      <c r="J372" s="192"/>
      <c r="T372" s="192"/>
    </row>
    <row r="373" spans="10:20" s="126" customFormat="1" ht="12.75" x14ac:dyDescent="0.2">
      <c r="J373" s="192"/>
      <c r="T373" s="192"/>
    </row>
    <row r="374" spans="10:20" s="126" customFormat="1" ht="12.75" x14ac:dyDescent="0.2">
      <c r="J374" s="192"/>
      <c r="T374" s="192"/>
    </row>
    <row r="375" spans="10:20" s="126" customFormat="1" ht="12.75" x14ac:dyDescent="0.2">
      <c r="J375" s="192"/>
      <c r="T375" s="192"/>
    </row>
    <row r="376" spans="10:20" s="126" customFormat="1" ht="12.75" x14ac:dyDescent="0.2">
      <c r="J376" s="192"/>
      <c r="T376" s="192"/>
    </row>
    <row r="377" spans="10:20" s="126" customFormat="1" ht="12.75" x14ac:dyDescent="0.2">
      <c r="J377" s="192"/>
      <c r="T377" s="192"/>
    </row>
    <row r="378" spans="10:20" s="126" customFormat="1" ht="12.75" x14ac:dyDescent="0.2">
      <c r="J378" s="192"/>
      <c r="T378" s="192"/>
    </row>
    <row r="379" spans="10:20" s="126" customFormat="1" ht="12.75" x14ac:dyDescent="0.2">
      <c r="J379" s="192"/>
      <c r="T379" s="192"/>
    </row>
    <row r="380" spans="10:20" s="126" customFormat="1" ht="12.75" x14ac:dyDescent="0.2">
      <c r="J380" s="192"/>
      <c r="T380" s="192"/>
    </row>
    <row r="381" spans="10:20" s="126" customFormat="1" ht="12.75" x14ac:dyDescent="0.2">
      <c r="J381" s="192"/>
      <c r="T381" s="192"/>
    </row>
    <row r="382" spans="10:20" s="126" customFormat="1" ht="12.75" x14ac:dyDescent="0.2">
      <c r="J382" s="192"/>
      <c r="T382" s="192"/>
    </row>
    <row r="383" spans="10:20" s="126" customFormat="1" ht="12.75" x14ac:dyDescent="0.2">
      <c r="J383" s="192"/>
      <c r="T383" s="192"/>
    </row>
    <row r="384" spans="10:20" s="126" customFormat="1" ht="12.75" x14ac:dyDescent="0.2">
      <c r="J384" s="192"/>
      <c r="T384" s="192"/>
    </row>
    <row r="385" spans="10:20" s="126" customFormat="1" ht="12.75" x14ac:dyDescent="0.2">
      <c r="J385" s="192"/>
      <c r="T385" s="192"/>
    </row>
    <row r="386" spans="10:20" s="126" customFormat="1" ht="12.75" x14ac:dyDescent="0.2">
      <c r="J386" s="192"/>
      <c r="T386" s="192"/>
    </row>
    <row r="387" spans="10:20" s="126" customFormat="1" ht="12.75" x14ac:dyDescent="0.2">
      <c r="J387" s="192"/>
      <c r="T387" s="192"/>
    </row>
    <row r="388" spans="10:20" s="126" customFormat="1" ht="12.75" x14ac:dyDescent="0.2">
      <c r="J388" s="192"/>
      <c r="T388" s="192"/>
    </row>
    <row r="389" spans="10:20" s="126" customFormat="1" ht="12.75" x14ac:dyDescent="0.2">
      <c r="J389" s="192"/>
      <c r="T389" s="192"/>
    </row>
    <row r="390" spans="10:20" s="126" customFormat="1" ht="12.75" x14ac:dyDescent="0.2">
      <c r="J390" s="192"/>
      <c r="T390" s="192"/>
    </row>
    <row r="391" spans="10:20" s="126" customFormat="1" ht="12.75" x14ac:dyDescent="0.2">
      <c r="J391" s="192"/>
      <c r="T391" s="192"/>
    </row>
    <row r="392" spans="10:20" s="126" customFormat="1" ht="12.75" x14ac:dyDescent="0.2">
      <c r="J392" s="192"/>
      <c r="T392" s="192"/>
    </row>
    <row r="393" spans="10:20" s="126" customFormat="1" ht="12.75" x14ac:dyDescent="0.2">
      <c r="J393" s="192"/>
      <c r="T393" s="192"/>
    </row>
    <row r="394" spans="10:20" s="126" customFormat="1" ht="12.75" x14ac:dyDescent="0.2">
      <c r="J394" s="192"/>
      <c r="T394" s="192"/>
    </row>
    <row r="395" spans="10:20" s="126" customFormat="1" ht="12.75" x14ac:dyDescent="0.2">
      <c r="J395" s="192"/>
      <c r="T395" s="192"/>
    </row>
    <row r="396" spans="10:20" s="126" customFormat="1" ht="12.75" x14ac:dyDescent="0.2">
      <c r="J396" s="192"/>
      <c r="T396" s="192"/>
    </row>
    <row r="397" spans="10:20" s="126" customFormat="1" ht="12.75" x14ac:dyDescent="0.2">
      <c r="J397" s="192"/>
      <c r="T397" s="192"/>
    </row>
    <row r="398" spans="10:20" s="126" customFormat="1" ht="12.75" x14ac:dyDescent="0.2">
      <c r="J398" s="192"/>
      <c r="T398" s="192"/>
    </row>
    <row r="399" spans="10:20" s="126" customFormat="1" ht="12.75" x14ac:dyDescent="0.2">
      <c r="J399" s="192"/>
      <c r="T399" s="192"/>
    </row>
    <row r="400" spans="10:20" s="126" customFormat="1" ht="12.75" x14ac:dyDescent="0.2">
      <c r="J400" s="192"/>
      <c r="T400" s="192"/>
    </row>
    <row r="401" spans="10:20" s="126" customFormat="1" ht="12.75" x14ac:dyDescent="0.2">
      <c r="J401" s="192"/>
      <c r="T401" s="192"/>
    </row>
    <row r="402" spans="10:20" s="126" customFormat="1" ht="12.75" x14ac:dyDescent="0.2">
      <c r="J402" s="192"/>
      <c r="T402" s="192"/>
    </row>
    <row r="403" spans="10:20" s="126" customFormat="1" ht="12.75" x14ac:dyDescent="0.2">
      <c r="J403" s="192"/>
      <c r="T403" s="192"/>
    </row>
    <row r="404" spans="10:20" s="126" customFormat="1" ht="12.75" x14ac:dyDescent="0.2">
      <c r="J404" s="192"/>
      <c r="T404" s="192"/>
    </row>
    <row r="405" spans="10:20" s="126" customFormat="1" ht="12.75" x14ac:dyDescent="0.2">
      <c r="J405" s="192"/>
      <c r="T405" s="192"/>
    </row>
    <row r="406" spans="10:20" s="126" customFormat="1" ht="12.75" x14ac:dyDescent="0.2">
      <c r="J406" s="192"/>
      <c r="T406" s="192"/>
    </row>
    <row r="407" spans="10:20" s="126" customFormat="1" ht="12.75" x14ac:dyDescent="0.2">
      <c r="J407" s="192"/>
      <c r="T407" s="192"/>
    </row>
    <row r="408" spans="10:20" s="126" customFormat="1" ht="12.75" x14ac:dyDescent="0.2">
      <c r="J408" s="192"/>
      <c r="T408" s="192"/>
    </row>
    <row r="409" spans="10:20" s="126" customFormat="1" ht="12.75" x14ac:dyDescent="0.2">
      <c r="J409" s="192"/>
      <c r="T409" s="192"/>
    </row>
    <row r="410" spans="10:20" s="126" customFormat="1" ht="12.75" x14ac:dyDescent="0.2">
      <c r="J410" s="192"/>
      <c r="T410" s="192"/>
    </row>
    <row r="411" spans="10:20" s="126" customFormat="1" ht="12.75" x14ac:dyDescent="0.2">
      <c r="J411" s="192"/>
      <c r="T411" s="192"/>
    </row>
    <row r="412" spans="10:20" s="126" customFormat="1" ht="12.75" x14ac:dyDescent="0.2">
      <c r="J412" s="192"/>
      <c r="T412" s="192"/>
    </row>
    <row r="413" spans="10:20" s="126" customFormat="1" ht="12.75" x14ac:dyDescent="0.2">
      <c r="J413" s="192"/>
      <c r="T413" s="192"/>
    </row>
    <row r="414" spans="10:20" s="126" customFormat="1" ht="12.75" x14ac:dyDescent="0.2">
      <c r="J414" s="192"/>
      <c r="T414" s="192"/>
    </row>
    <row r="415" spans="10:20" s="126" customFormat="1" ht="12.75" x14ac:dyDescent="0.2">
      <c r="J415" s="192"/>
      <c r="T415" s="192"/>
    </row>
    <row r="416" spans="10:20" s="126" customFormat="1" ht="12.75" x14ac:dyDescent="0.2">
      <c r="J416" s="192"/>
      <c r="T416" s="192"/>
    </row>
    <row r="417" spans="10:20" s="126" customFormat="1" ht="12.75" x14ac:dyDescent="0.2">
      <c r="J417" s="192"/>
      <c r="T417" s="192"/>
    </row>
    <row r="418" spans="10:20" s="126" customFormat="1" ht="12.75" x14ac:dyDescent="0.2">
      <c r="J418" s="192"/>
      <c r="T418" s="192"/>
    </row>
    <row r="419" spans="10:20" s="126" customFormat="1" ht="12.75" x14ac:dyDescent="0.2">
      <c r="J419" s="192"/>
      <c r="T419" s="192"/>
    </row>
    <row r="420" spans="10:20" s="126" customFormat="1" ht="12.75" x14ac:dyDescent="0.2">
      <c r="J420" s="192"/>
      <c r="T420" s="192"/>
    </row>
    <row r="421" spans="10:20" s="126" customFormat="1" ht="12.75" x14ac:dyDescent="0.2">
      <c r="J421" s="192"/>
      <c r="T421" s="192"/>
    </row>
    <row r="422" spans="10:20" s="126" customFormat="1" ht="12.75" x14ac:dyDescent="0.2">
      <c r="J422" s="192"/>
      <c r="T422" s="192"/>
    </row>
    <row r="423" spans="10:20" s="126" customFormat="1" ht="12.75" x14ac:dyDescent="0.2">
      <c r="J423" s="192"/>
      <c r="T423" s="192"/>
    </row>
    <row r="424" spans="10:20" s="126" customFormat="1" ht="12.75" x14ac:dyDescent="0.2">
      <c r="J424" s="192"/>
      <c r="T424" s="192"/>
    </row>
    <row r="425" spans="10:20" s="126" customFormat="1" ht="12.75" x14ac:dyDescent="0.2">
      <c r="J425" s="192"/>
      <c r="T425" s="192"/>
    </row>
    <row r="426" spans="10:20" s="126" customFormat="1" ht="12.75" x14ac:dyDescent="0.2">
      <c r="J426" s="192"/>
      <c r="T426" s="192"/>
    </row>
    <row r="427" spans="10:20" s="126" customFormat="1" ht="12.75" x14ac:dyDescent="0.2">
      <c r="J427" s="192"/>
      <c r="T427" s="192"/>
    </row>
    <row r="428" spans="10:20" s="126" customFormat="1" ht="12.75" x14ac:dyDescent="0.2">
      <c r="J428" s="192"/>
      <c r="T428" s="192"/>
    </row>
    <row r="429" spans="10:20" s="126" customFormat="1" ht="12.75" x14ac:dyDescent="0.2">
      <c r="J429" s="192"/>
      <c r="T429" s="192"/>
    </row>
    <row r="430" spans="10:20" s="126" customFormat="1" ht="12.75" x14ac:dyDescent="0.2">
      <c r="J430" s="192"/>
      <c r="T430" s="192"/>
    </row>
    <row r="431" spans="10:20" s="126" customFormat="1" ht="12.75" x14ac:dyDescent="0.2">
      <c r="J431" s="192"/>
      <c r="T431" s="192"/>
    </row>
    <row r="432" spans="10:20" s="126" customFormat="1" ht="12.75" x14ac:dyDescent="0.2">
      <c r="J432" s="192"/>
      <c r="T432" s="192"/>
    </row>
    <row r="433" spans="10:20" s="126" customFormat="1" ht="12.75" x14ac:dyDescent="0.2">
      <c r="J433" s="192"/>
      <c r="T433" s="192"/>
    </row>
    <row r="434" spans="10:20" s="126" customFormat="1" ht="12.75" x14ac:dyDescent="0.2">
      <c r="J434" s="192"/>
      <c r="T434" s="192"/>
    </row>
    <row r="435" spans="10:20" s="126" customFormat="1" ht="12.75" x14ac:dyDescent="0.2">
      <c r="J435" s="192"/>
      <c r="T435" s="192"/>
    </row>
    <row r="436" spans="10:20" s="126" customFormat="1" ht="12.75" x14ac:dyDescent="0.2">
      <c r="J436" s="192"/>
      <c r="T436" s="192"/>
    </row>
    <row r="437" spans="10:20" s="126" customFormat="1" ht="12.75" x14ac:dyDescent="0.2">
      <c r="J437" s="192"/>
      <c r="T437" s="192"/>
    </row>
    <row r="438" spans="10:20" s="126" customFormat="1" ht="12.75" x14ac:dyDescent="0.2">
      <c r="J438" s="192"/>
      <c r="T438" s="192"/>
    </row>
    <row r="439" spans="10:20" s="126" customFormat="1" ht="12.75" x14ac:dyDescent="0.2">
      <c r="J439" s="192"/>
      <c r="T439" s="192"/>
    </row>
    <row r="440" spans="10:20" s="126" customFormat="1" ht="12.75" x14ac:dyDescent="0.2">
      <c r="J440" s="192"/>
      <c r="T440" s="192"/>
    </row>
    <row r="441" spans="10:20" s="126" customFormat="1" ht="12.75" x14ac:dyDescent="0.2">
      <c r="J441" s="192"/>
      <c r="T441" s="192"/>
    </row>
    <row r="442" spans="10:20" s="126" customFormat="1" ht="12.75" x14ac:dyDescent="0.2">
      <c r="J442" s="192"/>
      <c r="T442" s="192"/>
    </row>
    <row r="443" spans="10:20" s="126" customFormat="1" ht="12.75" x14ac:dyDescent="0.2">
      <c r="J443" s="192"/>
      <c r="T443" s="192"/>
    </row>
    <row r="444" spans="10:20" s="126" customFormat="1" ht="12.75" x14ac:dyDescent="0.2">
      <c r="J444" s="192"/>
      <c r="T444" s="192"/>
    </row>
    <row r="445" spans="10:20" s="126" customFormat="1" ht="12.75" x14ac:dyDescent="0.2">
      <c r="J445" s="192"/>
      <c r="T445" s="192"/>
    </row>
    <row r="446" spans="10:20" s="126" customFormat="1" ht="12.75" x14ac:dyDescent="0.2">
      <c r="J446" s="192"/>
      <c r="T446" s="192"/>
    </row>
    <row r="447" spans="10:20" s="126" customFormat="1" ht="12.75" x14ac:dyDescent="0.2">
      <c r="J447" s="192"/>
      <c r="T447" s="192"/>
    </row>
    <row r="448" spans="10:20" s="126" customFormat="1" ht="12.75" x14ac:dyDescent="0.2">
      <c r="J448" s="192"/>
      <c r="T448" s="192"/>
    </row>
    <row r="449" spans="10:20" s="126" customFormat="1" ht="12.75" x14ac:dyDescent="0.2">
      <c r="J449" s="192"/>
      <c r="T449" s="192"/>
    </row>
    <row r="450" spans="10:20" s="126" customFormat="1" ht="12.75" x14ac:dyDescent="0.2">
      <c r="J450" s="192"/>
      <c r="T450" s="192"/>
    </row>
    <row r="451" spans="10:20" s="126" customFormat="1" ht="12.75" x14ac:dyDescent="0.2">
      <c r="J451" s="192"/>
      <c r="T451" s="192"/>
    </row>
    <row r="452" spans="10:20" s="126" customFormat="1" ht="12.75" x14ac:dyDescent="0.2">
      <c r="J452" s="192"/>
      <c r="T452" s="192"/>
    </row>
    <row r="453" spans="10:20" s="126" customFormat="1" ht="12.75" x14ac:dyDescent="0.2">
      <c r="J453" s="192"/>
      <c r="T453" s="192"/>
    </row>
    <row r="454" spans="10:20" s="126" customFormat="1" ht="12.75" x14ac:dyDescent="0.2">
      <c r="J454" s="192"/>
      <c r="T454" s="192"/>
    </row>
    <row r="455" spans="10:20" s="126" customFormat="1" ht="12.75" x14ac:dyDescent="0.2">
      <c r="J455" s="192"/>
      <c r="T455" s="192"/>
    </row>
    <row r="456" spans="10:20" s="126" customFormat="1" ht="12.75" x14ac:dyDescent="0.2">
      <c r="J456" s="192"/>
      <c r="T456" s="192"/>
    </row>
    <row r="457" spans="10:20" s="126" customFormat="1" ht="12.75" x14ac:dyDescent="0.2">
      <c r="J457" s="192"/>
      <c r="T457" s="192"/>
    </row>
    <row r="458" spans="10:20" s="126" customFormat="1" ht="12.75" x14ac:dyDescent="0.2">
      <c r="J458" s="192"/>
      <c r="T458" s="192"/>
    </row>
    <row r="459" spans="10:20" s="126" customFormat="1" ht="12.75" x14ac:dyDescent="0.2">
      <c r="J459" s="192"/>
      <c r="T459" s="192"/>
    </row>
    <row r="460" spans="10:20" s="126" customFormat="1" ht="12.75" x14ac:dyDescent="0.2">
      <c r="J460" s="192"/>
      <c r="T460" s="192"/>
    </row>
    <row r="461" spans="10:20" s="126" customFormat="1" ht="12.75" x14ac:dyDescent="0.2">
      <c r="J461" s="192"/>
      <c r="T461" s="192"/>
    </row>
    <row r="462" spans="10:20" s="126" customFormat="1" ht="12.75" x14ac:dyDescent="0.2">
      <c r="J462" s="192"/>
      <c r="T462" s="192"/>
    </row>
    <row r="463" spans="10:20" s="126" customFormat="1" ht="12.75" x14ac:dyDescent="0.2">
      <c r="J463" s="192"/>
      <c r="T463" s="192"/>
    </row>
    <row r="464" spans="10:20" s="126" customFormat="1" ht="12.75" x14ac:dyDescent="0.2">
      <c r="J464" s="192"/>
      <c r="T464" s="192"/>
    </row>
    <row r="465" spans="10:20" s="126" customFormat="1" ht="12.75" x14ac:dyDescent="0.2">
      <c r="J465" s="192"/>
      <c r="T465" s="192"/>
    </row>
    <row r="466" spans="10:20" s="126" customFormat="1" ht="12.75" x14ac:dyDescent="0.2">
      <c r="J466" s="192"/>
      <c r="T466" s="192"/>
    </row>
    <row r="467" spans="10:20" s="126" customFormat="1" ht="12.75" x14ac:dyDescent="0.2">
      <c r="J467" s="192"/>
      <c r="T467" s="192"/>
    </row>
    <row r="468" spans="10:20" s="126" customFormat="1" ht="12.75" x14ac:dyDescent="0.2">
      <c r="J468" s="192"/>
      <c r="T468" s="192"/>
    </row>
    <row r="469" spans="10:20" s="126" customFormat="1" ht="12.75" x14ac:dyDescent="0.2">
      <c r="J469" s="192"/>
      <c r="T469" s="192"/>
    </row>
    <row r="470" spans="10:20" s="126" customFormat="1" ht="12.75" x14ac:dyDescent="0.2">
      <c r="J470" s="192"/>
      <c r="T470" s="192"/>
    </row>
    <row r="471" spans="10:20" s="126" customFormat="1" ht="12.75" x14ac:dyDescent="0.2">
      <c r="J471" s="192"/>
      <c r="T471" s="192"/>
    </row>
    <row r="472" spans="10:20" s="126" customFormat="1" ht="12.75" x14ac:dyDescent="0.2">
      <c r="J472" s="192"/>
      <c r="T472" s="192"/>
    </row>
    <row r="473" spans="10:20" s="126" customFormat="1" ht="12.75" x14ac:dyDescent="0.2">
      <c r="J473" s="192"/>
      <c r="T473" s="192"/>
    </row>
    <row r="474" spans="10:20" s="126" customFormat="1" ht="12.75" x14ac:dyDescent="0.2">
      <c r="J474" s="192"/>
      <c r="T474" s="192"/>
    </row>
    <row r="475" spans="10:20" s="126" customFormat="1" ht="12.75" x14ac:dyDescent="0.2">
      <c r="J475" s="192"/>
      <c r="T475" s="192"/>
    </row>
    <row r="476" spans="10:20" s="126" customFormat="1" ht="12.75" x14ac:dyDescent="0.2">
      <c r="J476" s="192"/>
      <c r="T476" s="192"/>
    </row>
    <row r="477" spans="10:20" s="126" customFormat="1" ht="12.75" x14ac:dyDescent="0.2">
      <c r="J477" s="192"/>
      <c r="T477" s="192"/>
    </row>
    <row r="478" spans="10:20" s="126" customFormat="1" ht="12.75" x14ac:dyDescent="0.2">
      <c r="J478" s="192"/>
      <c r="T478" s="192"/>
    </row>
    <row r="479" spans="10:20" s="126" customFormat="1" ht="12.75" x14ac:dyDescent="0.2">
      <c r="J479" s="192"/>
      <c r="T479" s="192"/>
    </row>
    <row r="480" spans="10:20" s="126" customFormat="1" ht="12.75" x14ac:dyDescent="0.2">
      <c r="J480" s="192"/>
      <c r="T480" s="192"/>
    </row>
    <row r="481" spans="10:20" s="126" customFormat="1" ht="12.75" x14ac:dyDescent="0.2">
      <c r="J481" s="192"/>
      <c r="T481" s="192"/>
    </row>
    <row r="482" spans="10:20" s="126" customFormat="1" ht="12.75" x14ac:dyDescent="0.2">
      <c r="J482" s="192"/>
      <c r="T482" s="192"/>
    </row>
    <row r="483" spans="10:20" s="126" customFormat="1" ht="12.75" x14ac:dyDescent="0.2">
      <c r="J483" s="192"/>
      <c r="T483" s="192"/>
    </row>
    <row r="484" spans="10:20" s="126" customFormat="1" ht="12.75" x14ac:dyDescent="0.2">
      <c r="J484" s="192"/>
      <c r="T484" s="192"/>
    </row>
    <row r="485" spans="10:20" s="126" customFormat="1" ht="12.75" x14ac:dyDescent="0.2">
      <c r="J485" s="192"/>
      <c r="T485" s="192"/>
    </row>
    <row r="486" spans="10:20" s="126" customFormat="1" ht="12.75" x14ac:dyDescent="0.2">
      <c r="J486" s="192"/>
      <c r="T486" s="192"/>
    </row>
    <row r="487" spans="10:20" s="126" customFormat="1" ht="12.75" x14ac:dyDescent="0.2">
      <c r="J487" s="192"/>
      <c r="T487" s="192"/>
    </row>
    <row r="488" spans="10:20" s="126" customFormat="1" ht="12.75" x14ac:dyDescent="0.2">
      <c r="J488" s="192"/>
      <c r="T488" s="192"/>
    </row>
    <row r="489" spans="10:20" s="126" customFormat="1" ht="12.75" x14ac:dyDescent="0.2">
      <c r="J489" s="192"/>
      <c r="T489" s="192"/>
    </row>
    <row r="490" spans="10:20" s="126" customFormat="1" ht="12.75" x14ac:dyDescent="0.2">
      <c r="J490" s="192"/>
      <c r="T490" s="192"/>
    </row>
    <row r="491" spans="10:20" s="126" customFormat="1" ht="12.75" x14ac:dyDescent="0.2">
      <c r="J491" s="192"/>
      <c r="T491" s="192"/>
    </row>
    <row r="492" spans="10:20" s="126" customFormat="1" ht="12.75" x14ac:dyDescent="0.2">
      <c r="J492" s="192"/>
      <c r="T492" s="192"/>
    </row>
    <row r="493" spans="10:20" s="126" customFormat="1" ht="12.75" x14ac:dyDescent="0.2">
      <c r="J493" s="192"/>
      <c r="T493" s="192"/>
    </row>
    <row r="494" spans="10:20" s="126" customFormat="1" ht="12.75" x14ac:dyDescent="0.2">
      <c r="J494" s="192"/>
      <c r="T494" s="192"/>
    </row>
    <row r="495" spans="10:20" s="126" customFormat="1" ht="12.75" x14ac:dyDescent="0.2">
      <c r="J495" s="192"/>
      <c r="T495" s="192"/>
    </row>
    <row r="496" spans="10:20" s="126" customFormat="1" ht="12.75" x14ac:dyDescent="0.2">
      <c r="J496" s="192"/>
      <c r="T496" s="192"/>
    </row>
    <row r="497" spans="10:20" s="126" customFormat="1" ht="12.75" x14ac:dyDescent="0.2">
      <c r="J497" s="192"/>
      <c r="T497" s="192"/>
    </row>
    <row r="498" spans="10:20" s="126" customFormat="1" ht="12.75" x14ac:dyDescent="0.2">
      <c r="J498" s="192"/>
      <c r="T498" s="192"/>
    </row>
    <row r="499" spans="10:20" s="126" customFormat="1" ht="12.75" x14ac:dyDescent="0.2">
      <c r="J499" s="192"/>
      <c r="T499" s="192"/>
    </row>
    <row r="500" spans="10:20" s="126" customFormat="1" ht="12.75" x14ac:dyDescent="0.2">
      <c r="J500" s="192"/>
      <c r="T500" s="192"/>
    </row>
    <row r="501" spans="10:20" s="126" customFormat="1" ht="12.75" x14ac:dyDescent="0.2">
      <c r="J501" s="192"/>
      <c r="T501" s="192"/>
    </row>
    <row r="502" spans="10:20" s="126" customFormat="1" ht="12.75" x14ac:dyDescent="0.2">
      <c r="J502" s="192"/>
      <c r="T502" s="192"/>
    </row>
    <row r="503" spans="10:20" s="126" customFormat="1" ht="12.75" x14ac:dyDescent="0.2">
      <c r="J503" s="192"/>
      <c r="T503" s="192"/>
    </row>
    <row r="504" spans="10:20" s="126" customFormat="1" ht="12.75" x14ac:dyDescent="0.2">
      <c r="J504" s="192"/>
      <c r="T504" s="192"/>
    </row>
    <row r="505" spans="10:20" s="126" customFormat="1" ht="12.75" x14ac:dyDescent="0.2">
      <c r="J505" s="192"/>
      <c r="T505" s="192"/>
    </row>
    <row r="506" spans="10:20" s="126" customFormat="1" ht="12.75" x14ac:dyDescent="0.2">
      <c r="J506" s="192"/>
      <c r="T506" s="192"/>
    </row>
    <row r="507" spans="10:20" s="126" customFormat="1" ht="12.75" x14ac:dyDescent="0.2">
      <c r="J507" s="192"/>
      <c r="T507" s="192"/>
    </row>
    <row r="508" spans="10:20" s="126" customFormat="1" ht="12.75" x14ac:dyDescent="0.2">
      <c r="J508" s="192"/>
      <c r="T508" s="192"/>
    </row>
    <row r="509" spans="10:20" s="126" customFormat="1" ht="12.75" x14ac:dyDescent="0.2">
      <c r="J509" s="192"/>
      <c r="T509" s="192"/>
    </row>
    <row r="510" spans="10:20" s="126" customFormat="1" ht="12.75" x14ac:dyDescent="0.2">
      <c r="J510" s="192"/>
      <c r="T510" s="192"/>
    </row>
    <row r="511" spans="10:20" s="126" customFormat="1" ht="12.75" x14ac:dyDescent="0.2">
      <c r="J511" s="192"/>
      <c r="T511" s="192"/>
    </row>
    <row r="512" spans="10:20" s="126" customFormat="1" ht="12.75" x14ac:dyDescent="0.2">
      <c r="J512" s="192"/>
      <c r="T512" s="192"/>
    </row>
    <row r="513" spans="10:20" s="126" customFormat="1" ht="12.75" x14ac:dyDescent="0.2">
      <c r="J513" s="192"/>
      <c r="T513" s="192"/>
    </row>
    <row r="514" spans="10:20" s="126" customFormat="1" ht="12.75" x14ac:dyDescent="0.2">
      <c r="J514" s="192"/>
      <c r="T514" s="192"/>
    </row>
    <row r="515" spans="10:20" s="126" customFormat="1" ht="12.75" x14ac:dyDescent="0.2">
      <c r="J515" s="192"/>
      <c r="T515" s="192"/>
    </row>
    <row r="516" spans="10:20" s="126" customFormat="1" ht="12.75" x14ac:dyDescent="0.2">
      <c r="J516" s="192"/>
      <c r="T516" s="192"/>
    </row>
    <row r="517" spans="10:20" s="126" customFormat="1" ht="12.75" x14ac:dyDescent="0.2">
      <c r="J517" s="192"/>
      <c r="T517" s="192"/>
    </row>
    <row r="518" spans="10:20" s="126" customFormat="1" ht="12.75" x14ac:dyDescent="0.2">
      <c r="J518" s="192"/>
      <c r="T518" s="192"/>
    </row>
    <row r="519" spans="10:20" s="126" customFormat="1" ht="12.75" x14ac:dyDescent="0.2">
      <c r="J519" s="192"/>
      <c r="T519" s="192"/>
    </row>
    <row r="520" spans="10:20" s="126" customFormat="1" ht="12.75" x14ac:dyDescent="0.2">
      <c r="J520" s="192"/>
      <c r="T520" s="192"/>
    </row>
    <row r="521" spans="10:20" s="126" customFormat="1" ht="12.75" x14ac:dyDescent="0.2">
      <c r="J521" s="192"/>
      <c r="T521" s="192"/>
    </row>
    <row r="522" spans="10:20" s="126" customFormat="1" ht="12.75" x14ac:dyDescent="0.2">
      <c r="J522" s="192"/>
      <c r="T522" s="192"/>
    </row>
    <row r="523" spans="10:20" s="126" customFormat="1" ht="12.75" x14ac:dyDescent="0.2">
      <c r="J523" s="192"/>
      <c r="T523" s="192"/>
    </row>
    <row r="524" spans="10:20" s="126" customFormat="1" ht="12.75" x14ac:dyDescent="0.2">
      <c r="J524" s="192"/>
      <c r="T524" s="192"/>
    </row>
    <row r="525" spans="10:20" s="126" customFormat="1" ht="12.75" x14ac:dyDescent="0.2">
      <c r="J525" s="192"/>
      <c r="T525" s="192"/>
    </row>
    <row r="526" spans="10:20" s="126" customFormat="1" ht="12.75" x14ac:dyDescent="0.2">
      <c r="J526" s="192"/>
      <c r="T526" s="192"/>
    </row>
    <row r="527" spans="10:20" s="126" customFormat="1" ht="12.75" x14ac:dyDescent="0.2">
      <c r="J527" s="192"/>
      <c r="T527" s="192"/>
    </row>
    <row r="528" spans="10:20" s="126" customFormat="1" ht="12.75" x14ac:dyDescent="0.2">
      <c r="J528" s="192"/>
      <c r="T528" s="192"/>
    </row>
    <row r="529" spans="10:20" s="126" customFormat="1" ht="12.75" x14ac:dyDescent="0.2">
      <c r="J529" s="192"/>
      <c r="T529" s="192"/>
    </row>
    <row r="530" spans="10:20" s="126" customFormat="1" ht="12.75" x14ac:dyDescent="0.2">
      <c r="J530" s="192"/>
      <c r="T530" s="192"/>
    </row>
    <row r="531" spans="10:20" s="126" customFormat="1" ht="12.75" x14ac:dyDescent="0.2">
      <c r="J531" s="192"/>
      <c r="T531" s="192"/>
    </row>
    <row r="532" spans="10:20" s="126" customFormat="1" ht="12.75" x14ac:dyDescent="0.2">
      <c r="J532" s="192"/>
      <c r="T532" s="192"/>
    </row>
    <row r="533" spans="10:20" s="126" customFormat="1" ht="12.75" x14ac:dyDescent="0.2">
      <c r="J533" s="192"/>
      <c r="T533" s="192"/>
    </row>
    <row r="534" spans="10:20" s="126" customFormat="1" ht="12.75" x14ac:dyDescent="0.2">
      <c r="J534" s="192"/>
      <c r="T534" s="192"/>
    </row>
    <row r="535" spans="10:20" s="126" customFormat="1" ht="12.75" x14ac:dyDescent="0.2">
      <c r="J535" s="192"/>
      <c r="T535" s="192"/>
    </row>
    <row r="536" spans="10:20" s="126" customFormat="1" ht="12.75" x14ac:dyDescent="0.2">
      <c r="J536" s="192"/>
      <c r="T536" s="192"/>
    </row>
    <row r="537" spans="10:20" s="126" customFormat="1" ht="12.75" x14ac:dyDescent="0.2">
      <c r="J537" s="192"/>
      <c r="T537" s="192"/>
    </row>
    <row r="538" spans="10:20" s="126" customFormat="1" ht="12.75" x14ac:dyDescent="0.2">
      <c r="J538" s="192"/>
      <c r="T538" s="192"/>
    </row>
    <row r="539" spans="10:20" s="126" customFormat="1" ht="12.75" x14ac:dyDescent="0.2">
      <c r="J539" s="192"/>
      <c r="T539" s="192"/>
    </row>
    <row r="540" spans="10:20" s="126" customFormat="1" ht="12.75" x14ac:dyDescent="0.2">
      <c r="J540" s="192"/>
      <c r="T540" s="192"/>
    </row>
    <row r="541" spans="10:20" s="126" customFormat="1" ht="12.75" x14ac:dyDescent="0.2">
      <c r="J541" s="192"/>
      <c r="T541" s="192"/>
    </row>
    <row r="542" spans="10:20" s="126" customFormat="1" ht="12.75" x14ac:dyDescent="0.2">
      <c r="J542" s="192"/>
      <c r="T542" s="192"/>
    </row>
    <row r="543" spans="10:20" s="126" customFormat="1" ht="12.75" x14ac:dyDescent="0.2">
      <c r="J543" s="192"/>
      <c r="T543" s="192"/>
    </row>
    <row r="544" spans="10:20" s="126" customFormat="1" ht="12.75" x14ac:dyDescent="0.2">
      <c r="J544" s="192"/>
      <c r="T544" s="192"/>
    </row>
    <row r="545" spans="10:20" s="126" customFormat="1" ht="12.75" x14ac:dyDescent="0.2">
      <c r="J545" s="192"/>
      <c r="T545" s="192"/>
    </row>
    <row r="546" spans="10:20" s="126" customFormat="1" ht="12.75" x14ac:dyDescent="0.2">
      <c r="J546" s="192"/>
      <c r="T546" s="192"/>
    </row>
    <row r="547" spans="10:20" s="126" customFormat="1" ht="12.75" x14ac:dyDescent="0.2">
      <c r="J547" s="192"/>
      <c r="T547" s="192"/>
    </row>
    <row r="548" spans="10:20" s="126" customFormat="1" ht="12.75" x14ac:dyDescent="0.2">
      <c r="J548" s="192"/>
      <c r="T548" s="192"/>
    </row>
    <row r="549" spans="10:20" s="126" customFormat="1" ht="12.75" x14ac:dyDescent="0.2">
      <c r="J549" s="192"/>
      <c r="T549" s="192"/>
    </row>
    <row r="550" spans="10:20" s="126" customFormat="1" ht="12.75" x14ac:dyDescent="0.2">
      <c r="J550" s="192"/>
      <c r="T550" s="192"/>
    </row>
    <row r="551" spans="10:20" s="126" customFormat="1" ht="12.75" x14ac:dyDescent="0.2">
      <c r="J551" s="192"/>
      <c r="T551" s="192"/>
    </row>
    <row r="552" spans="10:20" s="126" customFormat="1" ht="12.75" x14ac:dyDescent="0.2">
      <c r="J552" s="192"/>
      <c r="T552" s="192"/>
    </row>
    <row r="553" spans="10:20" s="126" customFormat="1" ht="12.75" x14ac:dyDescent="0.2">
      <c r="J553" s="192"/>
      <c r="T553" s="192"/>
    </row>
    <row r="554" spans="10:20" s="126" customFormat="1" ht="12.75" x14ac:dyDescent="0.2">
      <c r="J554" s="192"/>
      <c r="T554" s="192"/>
    </row>
    <row r="555" spans="10:20" s="126" customFormat="1" ht="12.75" x14ac:dyDescent="0.2">
      <c r="J555" s="192"/>
      <c r="T555" s="192"/>
    </row>
    <row r="556" spans="10:20" s="126" customFormat="1" ht="12.75" x14ac:dyDescent="0.2">
      <c r="J556" s="192"/>
      <c r="T556" s="192"/>
    </row>
    <row r="557" spans="10:20" s="126" customFormat="1" ht="12.75" x14ac:dyDescent="0.2">
      <c r="J557" s="192"/>
      <c r="T557" s="192"/>
    </row>
    <row r="558" spans="10:20" s="126" customFormat="1" ht="12.75" x14ac:dyDescent="0.2">
      <c r="J558" s="192"/>
      <c r="T558" s="192"/>
    </row>
    <row r="559" spans="10:20" s="126" customFormat="1" ht="12.75" x14ac:dyDescent="0.2">
      <c r="J559" s="192"/>
      <c r="T559" s="192"/>
    </row>
    <row r="560" spans="10:20" s="126" customFormat="1" ht="12.75" x14ac:dyDescent="0.2">
      <c r="J560" s="192"/>
      <c r="T560" s="192"/>
    </row>
    <row r="561" spans="10:20" s="126" customFormat="1" ht="12.75" x14ac:dyDescent="0.2">
      <c r="J561" s="192"/>
      <c r="T561" s="192"/>
    </row>
    <row r="562" spans="10:20" s="126" customFormat="1" ht="12.75" x14ac:dyDescent="0.2">
      <c r="J562" s="192"/>
      <c r="T562" s="192"/>
    </row>
    <row r="563" spans="10:20" s="126" customFormat="1" ht="12.75" x14ac:dyDescent="0.2">
      <c r="J563" s="192"/>
      <c r="T563" s="192"/>
    </row>
    <row r="564" spans="10:20" s="126" customFormat="1" ht="12.75" x14ac:dyDescent="0.2">
      <c r="J564" s="192"/>
      <c r="T564" s="192"/>
    </row>
    <row r="565" spans="10:20" s="126" customFormat="1" ht="12.75" x14ac:dyDescent="0.2">
      <c r="J565" s="192"/>
      <c r="T565" s="192"/>
    </row>
    <row r="566" spans="10:20" s="126" customFormat="1" ht="12.75" x14ac:dyDescent="0.2">
      <c r="J566" s="192"/>
      <c r="T566" s="192"/>
    </row>
    <row r="567" spans="10:20" s="126" customFormat="1" ht="12.75" x14ac:dyDescent="0.2">
      <c r="J567" s="192"/>
      <c r="T567" s="192"/>
    </row>
    <row r="568" spans="10:20" s="126" customFormat="1" ht="12.75" x14ac:dyDescent="0.2">
      <c r="J568" s="192"/>
      <c r="T568" s="192"/>
    </row>
    <row r="569" spans="10:20" s="126" customFormat="1" ht="12.75" x14ac:dyDescent="0.2">
      <c r="J569" s="192"/>
      <c r="T569" s="192"/>
    </row>
    <row r="570" spans="10:20" s="126" customFormat="1" ht="12.75" x14ac:dyDescent="0.2">
      <c r="J570" s="192"/>
      <c r="T570" s="192"/>
    </row>
    <row r="571" spans="10:20" s="126" customFormat="1" ht="12.75" x14ac:dyDescent="0.2">
      <c r="J571" s="192"/>
      <c r="T571" s="192"/>
    </row>
    <row r="572" spans="10:20" s="126" customFormat="1" ht="12.75" x14ac:dyDescent="0.2">
      <c r="J572" s="192"/>
      <c r="T572" s="192"/>
    </row>
    <row r="573" spans="10:20" s="126" customFormat="1" ht="12.75" x14ac:dyDescent="0.2">
      <c r="J573" s="192"/>
      <c r="T573" s="192"/>
    </row>
    <row r="574" spans="10:20" s="126" customFormat="1" ht="12.75" x14ac:dyDescent="0.2">
      <c r="J574" s="192"/>
      <c r="T574" s="192"/>
    </row>
    <row r="575" spans="10:20" s="126" customFormat="1" ht="12.75" x14ac:dyDescent="0.2">
      <c r="J575" s="192"/>
      <c r="T575" s="192"/>
    </row>
    <row r="576" spans="10:20" s="126" customFormat="1" ht="12.75" x14ac:dyDescent="0.2">
      <c r="J576" s="192"/>
      <c r="T576" s="192"/>
    </row>
    <row r="577" spans="10:20" s="126" customFormat="1" ht="12.75" x14ac:dyDescent="0.2">
      <c r="J577" s="192"/>
      <c r="T577" s="192"/>
    </row>
    <row r="578" spans="10:20" s="126" customFormat="1" ht="12.75" x14ac:dyDescent="0.2">
      <c r="J578" s="192"/>
      <c r="T578" s="192"/>
    </row>
    <row r="579" spans="10:20" s="126" customFormat="1" ht="12.75" x14ac:dyDescent="0.2">
      <c r="J579" s="192"/>
      <c r="T579" s="192"/>
    </row>
    <row r="580" spans="10:20" s="126" customFormat="1" ht="12.75" x14ac:dyDescent="0.2">
      <c r="J580" s="192"/>
      <c r="T580" s="192"/>
    </row>
    <row r="581" spans="10:20" s="126" customFormat="1" ht="12.75" x14ac:dyDescent="0.2">
      <c r="J581" s="192"/>
      <c r="T581" s="192"/>
    </row>
    <row r="582" spans="10:20" s="126" customFormat="1" ht="12.75" x14ac:dyDescent="0.2">
      <c r="J582" s="192"/>
      <c r="T582" s="192"/>
    </row>
    <row r="583" spans="10:20" s="126" customFormat="1" ht="12.75" x14ac:dyDescent="0.2">
      <c r="J583" s="192"/>
      <c r="T583" s="192"/>
    </row>
    <row r="584" spans="10:20" s="126" customFormat="1" ht="12.75" x14ac:dyDescent="0.2">
      <c r="J584" s="192"/>
      <c r="T584" s="192"/>
    </row>
    <row r="585" spans="10:20" s="126" customFormat="1" ht="12.75" x14ac:dyDescent="0.2">
      <c r="J585" s="192"/>
      <c r="T585" s="192"/>
    </row>
    <row r="586" spans="10:20" s="126" customFormat="1" ht="12.75" x14ac:dyDescent="0.2">
      <c r="J586" s="192"/>
      <c r="T586" s="192"/>
    </row>
    <row r="587" spans="10:20" s="126" customFormat="1" ht="12.75" x14ac:dyDescent="0.2">
      <c r="J587" s="192"/>
      <c r="T587" s="192"/>
    </row>
    <row r="588" spans="10:20" s="126" customFormat="1" ht="12.75" x14ac:dyDescent="0.2">
      <c r="J588" s="192"/>
      <c r="T588" s="192"/>
    </row>
    <row r="589" spans="10:20" s="126" customFormat="1" ht="12.75" x14ac:dyDescent="0.2">
      <c r="J589" s="192"/>
      <c r="T589" s="192"/>
    </row>
    <row r="590" spans="10:20" s="126" customFormat="1" ht="12.75" x14ac:dyDescent="0.2">
      <c r="J590" s="192"/>
      <c r="T590" s="192"/>
    </row>
    <row r="591" spans="10:20" s="126" customFormat="1" ht="12.75" x14ac:dyDescent="0.2">
      <c r="J591" s="192"/>
      <c r="T591" s="192"/>
    </row>
    <row r="592" spans="10:20" s="126" customFormat="1" ht="12.75" x14ac:dyDescent="0.2">
      <c r="J592" s="192"/>
      <c r="T592" s="192"/>
    </row>
    <row r="593" spans="10:20" s="126" customFormat="1" ht="12.75" x14ac:dyDescent="0.2">
      <c r="J593" s="192"/>
      <c r="T593" s="192"/>
    </row>
    <row r="594" spans="10:20" s="126" customFormat="1" ht="12.75" x14ac:dyDescent="0.2">
      <c r="J594" s="192"/>
      <c r="T594" s="192"/>
    </row>
    <row r="595" spans="10:20" s="126" customFormat="1" ht="12.75" x14ac:dyDescent="0.2">
      <c r="J595" s="192"/>
      <c r="T595" s="192"/>
    </row>
    <row r="596" spans="10:20" s="126" customFormat="1" ht="12.75" x14ac:dyDescent="0.2">
      <c r="J596" s="192"/>
      <c r="T596" s="192"/>
    </row>
    <row r="597" spans="10:20" s="126" customFormat="1" ht="12.75" x14ac:dyDescent="0.2">
      <c r="J597" s="192"/>
      <c r="T597" s="192"/>
    </row>
    <row r="598" spans="10:20" s="126" customFormat="1" ht="12.75" x14ac:dyDescent="0.2">
      <c r="J598" s="192"/>
      <c r="T598" s="192"/>
    </row>
    <row r="599" spans="10:20" s="126" customFormat="1" ht="12.75" x14ac:dyDescent="0.2">
      <c r="J599" s="192"/>
      <c r="T599" s="192"/>
    </row>
    <row r="600" spans="10:20" s="126" customFormat="1" ht="12.75" x14ac:dyDescent="0.2">
      <c r="J600" s="192"/>
      <c r="T600" s="192"/>
    </row>
    <row r="601" spans="10:20" s="126" customFormat="1" ht="12.75" x14ac:dyDescent="0.2">
      <c r="J601" s="192"/>
      <c r="T601" s="192"/>
    </row>
    <row r="602" spans="10:20" s="126" customFormat="1" ht="12.75" x14ac:dyDescent="0.2">
      <c r="J602" s="192"/>
      <c r="T602" s="192"/>
    </row>
    <row r="603" spans="10:20" s="126" customFormat="1" ht="12.75" x14ac:dyDescent="0.2">
      <c r="J603" s="192"/>
      <c r="T603" s="192"/>
    </row>
    <row r="604" spans="10:20" s="126" customFormat="1" ht="12.75" x14ac:dyDescent="0.2">
      <c r="J604" s="192"/>
      <c r="T604" s="192"/>
    </row>
    <row r="605" spans="10:20" s="126" customFormat="1" ht="12.75" x14ac:dyDescent="0.2">
      <c r="J605" s="192"/>
      <c r="T605" s="192"/>
    </row>
    <row r="606" spans="10:20" s="126" customFormat="1" ht="12.75" x14ac:dyDescent="0.2">
      <c r="J606" s="192"/>
      <c r="T606" s="192"/>
    </row>
    <row r="607" spans="10:20" s="126" customFormat="1" ht="12.75" x14ac:dyDescent="0.2">
      <c r="J607" s="192"/>
      <c r="T607" s="192"/>
    </row>
    <row r="608" spans="10:20" s="126" customFormat="1" ht="12.75" x14ac:dyDescent="0.2">
      <c r="J608" s="192"/>
      <c r="T608" s="192"/>
    </row>
    <row r="609" spans="10:20" s="126" customFormat="1" ht="12.75" x14ac:dyDescent="0.2">
      <c r="J609" s="192"/>
      <c r="T609" s="192"/>
    </row>
    <row r="610" spans="10:20" s="126" customFormat="1" ht="12.75" x14ac:dyDescent="0.2">
      <c r="J610" s="192"/>
      <c r="T610" s="192"/>
    </row>
    <row r="611" spans="10:20" s="126" customFormat="1" ht="12.75" x14ac:dyDescent="0.2">
      <c r="J611" s="192"/>
      <c r="T611" s="192"/>
    </row>
    <row r="612" spans="10:20" s="126" customFormat="1" ht="12.75" x14ac:dyDescent="0.2">
      <c r="J612" s="192"/>
      <c r="T612" s="192"/>
    </row>
    <row r="613" spans="10:20" s="126" customFormat="1" ht="12.75" x14ac:dyDescent="0.2">
      <c r="J613" s="192"/>
      <c r="T613" s="192"/>
    </row>
    <row r="614" spans="10:20" s="126" customFormat="1" ht="12.75" x14ac:dyDescent="0.2">
      <c r="J614" s="192"/>
      <c r="T614" s="192"/>
    </row>
    <row r="615" spans="10:20" s="126" customFormat="1" ht="12.75" x14ac:dyDescent="0.2">
      <c r="J615" s="192"/>
      <c r="T615" s="192"/>
    </row>
    <row r="616" spans="10:20" s="126" customFormat="1" ht="12.75" x14ac:dyDescent="0.2">
      <c r="J616" s="192"/>
      <c r="T616" s="192"/>
    </row>
    <row r="617" spans="10:20" s="126" customFormat="1" ht="12.75" x14ac:dyDescent="0.2">
      <c r="J617" s="192"/>
      <c r="T617" s="192"/>
    </row>
    <row r="618" spans="10:20" s="126" customFormat="1" ht="12.75" x14ac:dyDescent="0.2">
      <c r="J618" s="192"/>
      <c r="T618" s="192"/>
    </row>
    <row r="619" spans="10:20" s="126" customFormat="1" ht="12.75" x14ac:dyDescent="0.2">
      <c r="J619" s="192"/>
      <c r="T619" s="192"/>
    </row>
    <row r="620" spans="10:20" s="126" customFormat="1" ht="12.75" x14ac:dyDescent="0.2">
      <c r="J620" s="192"/>
      <c r="T620" s="192"/>
    </row>
    <row r="621" spans="10:20" s="126" customFormat="1" ht="12.75" x14ac:dyDescent="0.2">
      <c r="J621" s="192"/>
      <c r="T621" s="192"/>
    </row>
    <row r="622" spans="10:20" s="126" customFormat="1" ht="12.75" x14ac:dyDescent="0.2">
      <c r="J622" s="192"/>
      <c r="T622" s="192"/>
    </row>
    <row r="623" spans="10:20" s="126" customFormat="1" ht="12.75" x14ac:dyDescent="0.2">
      <c r="J623" s="192"/>
      <c r="T623" s="192"/>
    </row>
    <row r="624" spans="10:20" s="126" customFormat="1" ht="12.75" x14ac:dyDescent="0.2">
      <c r="J624" s="192"/>
      <c r="T624" s="192"/>
    </row>
    <row r="625" spans="10:20" s="126" customFormat="1" ht="12.75" x14ac:dyDescent="0.2">
      <c r="J625" s="192"/>
      <c r="T625" s="192"/>
    </row>
    <row r="626" spans="10:20" s="126" customFormat="1" ht="12.75" x14ac:dyDescent="0.2">
      <c r="J626" s="192"/>
      <c r="T626" s="192"/>
    </row>
    <row r="627" spans="10:20" s="126" customFormat="1" ht="12.75" x14ac:dyDescent="0.2">
      <c r="J627" s="192"/>
      <c r="T627" s="192"/>
    </row>
    <row r="628" spans="10:20" s="126" customFormat="1" ht="12.75" x14ac:dyDescent="0.2">
      <c r="J628" s="192"/>
      <c r="T628" s="192"/>
    </row>
    <row r="629" spans="10:20" s="126" customFormat="1" ht="12.75" x14ac:dyDescent="0.2">
      <c r="J629" s="192"/>
      <c r="T629" s="192"/>
    </row>
    <row r="630" spans="10:20" s="126" customFormat="1" ht="12.75" x14ac:dyDescent="0.2">
      <c r="J630" s="192"/>
      <c r="T630" s="192"/>
    </row>
    <row r="631" spans="10:20" s="126" customFormat="1" ht="12.75" x14ac:dyDescent="0.2">
      <c r="J631" s="192"/>
      <c r="T631" s="192"/>
    </row>
    <row r="632" spans="10:20" s="126" customFormat="1" ht="12.75" x14ac:dyDescent="0.2">
      <c r="J632" s="192"/>
      <c r="T632" s="192"/>
    </row>
    <row r="633" spans="10:20" s="126" customFormat="1" ht="12.75" x14ac:dyDescent="0.2">
      <c r="J633" s="192"/>
      <c r="T633" s="192"/>
    </row>
    <row r="634" spans="10:20" s="126" customFormat="1" ht="12.75" x14ac:dyDescent="0.2">
      <c r="J634" s="192"/>
      <c r="T634" s="192"/>
    </row>
    <row r="635" spans="10:20" s="126" customFormat="1" ht="12.75" x14ac:dyDescent="0.2">
      <c r="J635" s="192"/>
      <c r="T635" s="192"/>
    </row>
    <row r="636" spans="10:20" s="126" customFormat="1" ht="12.75" x14ac:dyDescent="0.2">
      <c r="J636" s="192"/>
      <c r="T636" s="192"/>
    </row>
    <row r="637" spans="10:20" s="126" customFormat="1" ht="12.75" x14ac:dyDescent="0.2">
      <c r="J637" s="192"/>
      <c r="T637" s="192"/>
    </row>
    <row r="638" spans="10:20" s="126" customFormat="1" ht="12.75" x14ac:dyDescent="0.2">
      <c r="J638" s="192"/>
      <c r="T638" s="192"/>
    </row>
    <row r="639" spans="10:20" s="126" customFormat="1" ht="12.75" x14ac:dyDescent="0.2">
      <c r="J639" s="192"/>
      <c r="T639" s="192"/>
    </row>
    <row r="640" spans="10:20" s="126" customFormat="1" ht="12.75" x14ac:dyDescent="0.2">
      <c r="J640" s="192"/>
      <c r="T640" s="192"/>
    </row>
    <row r="641" spans="10:20" s="126" customFormat="1" ht="12.75" x14ac:dyDescent="0.2">
      <c r="J641" s="192"/>
      <c r="T641" s="192"/>
    </row>
    <row r="642" spans="10:20" s="126" customFormat="1" ht="12.75" x14ac:dyDescent="0.2">
      <c r="J642" s="192"/>
      <c r="T642" s="192"/>
    </row>
    <row r="643" spans="10:20" s="126" customFormat="1" ht="12.75" x14ac:dyDescent="0.2">
      <c r="J643" s="192"/>
      <c r="T643" s="192"/>
    </row>
    <row r="644" spans="10:20" s="126" customFormat="1" ht="12.75" x14ac:dyDescent="0.2">
      <c r="J644" s="192"/>
      <c r="T644" s="192"/>
    </row>
    <row r="645" spans="10:20" s="126" customFormat="1" ht="12.75" x14ac:dyDescent="0.2">
      <c r="J645" s="192"/>
      <c r="T645" s="192"/>
    </row>
    <row r="646" spans="10:20" s="126" customFormat="1" ht="12.75" x14ac:dyDescent="0.2">
      <c r="J646" s="192"/>
      <c r="T646" s="192"/>
    </row>
    <row r="647" spans="10:20" s="126" customFormat="1" ht="12.75" x14ac:dyDescent="0.2">
      <c r="J647" s="192"/>
      <c r="T647" s="192"/>
    </row>
    <row r="648" spans="10:20" s="126" customFormat="1" ht="12.75" x14ac:dyDescent="0.2">
      <c r="J648" s="192"/>
      <c r="T648" s="192"/>
    </row>
    <row r="649" spans="10:20" s="126" customFormat="1" ht="12.75" x14ac:dyDescent="0.2">
      <c r="J649" s="192"/>
      <c r="T649" s="192"/>
    </row>
    <row r="650" spans="10:20" s="126" customFormat="1" ht="12.75" x14ac:dyDescent="0.2">
      <c r="J650" s="192"/>
      <c r="T650" s="192"/>
    </row>
    <row r="651" spans="10:20" s="126" customFormat="1" ht="12.75" x14ac:dyDescent="0.2">
      <c r="J651" s="192"/>
      <c r="T651" s="192"/>
    </row>
    <row r="652" spans="10:20" s="126" customFormat="1" ht="12.75" x14ac:dyDescent="0.2">
      <c r="J652" s="192"/>
      <c r="T652" s="192"/>
    </row>
    <row r="653" spans="10:20" s="126" customFormat="1" ht="12.75" x14ac:dyDescent="0.2">
      <c r="J653" s="192"/>
      <c r="T653" s="192"/>
    </row>
    <row r="654" spans="10:20" s="126" customFormat="1" ht="12.75" x14ac:dyDescent="0.2">
      <c r="J654" s="192"/>
      <c r="T654" s="192"/>
    </row>
    <row r="655" spans="10:20" s="126" customFormat="1" ht="12.75" x14ac:dyDescent="0.2">
      <c r="J655" s="192"/>
      <c r="T655" s="192"/>
    </row>
    <row r="656" spans="10:20" s="126" customFormat="1" ht="12.75" x14ac:dyDescent="0.2">
      <c r="J656" s="192"/>
      <c r="T656" s="192"/>
    </row>
    <row r="657" spans="10:20" s="126" customFormat="1" ht="12.75" x14ac:dyDescent="0.2">
      <c r="J657" s="192"/>
      <c r="T657" s="192"/>
    </row>
    <row r="658" spans="10:20" s="126" customFormat="1" ht="12.75" x14ac:dyDescent="0.2">
      <c r="J658" s="192"/>
      <c r="T658" s="192"/>
    </row>
    <row r="659" spans="10:20" s="126" customFormat="1" ht="12.75" x14ac:dyDescent="0.2">
      <c r="J659" s="192"/>
      <c r="T659" s="192"/>
    </row>
    <row r="660" spans="10:20" s="126" customFormat="1" ht="12.75" x14ac:dyDescent="0.2">
      <c r="J660" s="192"/>
      <c r="T660" s="192"/>
    </row>
    <row r="661" spans="10:20" s="126" customFormat="1" ht="12.75" x14ac:dyDescent="0.2">
      <c r="J661" s="192"/>
      <c r="T661" s="192"/>
    </row>
    <row r="662" spans="10:20" s="126" customFormat="1" ht="12.75" x14ac:dyDescent="0.2">
      <c r="J662" s="192"/>
      <c r="T662" s="192"/>
    </row>
    <row r="663" spans="10:20" s="126" customFormat="1" ht="12.75" x14ac:dyDescent="0.2">
      <c r="J663" s="192"/>
      <c r="T663" s="192"/>
    </row>
    <row r="664" spans="10:20" s="126" customFormat="1" ht="12.75" x14ac:dyDescent="0.2">
      <c r="J664" s="192"/>
      <c r="T664" s="192"/>
    </row>
    <row r="665" spans="10:20" s="126" customFormat="1" ht="12.75" x14ac:dyDescent="0.2">
      <c r="J665" s="192"/>
      <c r="T665" s="192"/>
    </row>
    <row r="666" spans="10:20" s="126" customFormat="1" ht="12.75" x14ac:dyDescent="0.2">
      <c r="J666" s="192"/>
      <c r="T666" s="192"/>
    </row>
    <row r="667" spans="10:20" s="126" customFormat="1" ht="12.75" x14ac:dyDescent="0.2">
      <c r="J667" s="192"/>
      <c r="T667" s="192"/>
    </row>
    <row r="668" spans="10:20" s="126" customFormat="1" ht="12.75" x14ac:dyDescent="0.2">
      <c r="J668" s="192"/>
      <c r="T668" s="192"/>
    </row>
    <row r="669" spans="10:20" s="126" customFormat="1" ht="12.75" x14ac:dyDescent="0.2">
      <c r="J669" s="192"/>
      <c r="T669" s="192"/>
    </row>
    <row r="670" spans="10:20" s="126" customFormat="1" ht="12.75" x14ac:dyDescent="0.2">
      <c r="J670" s="192"/>
      <c r="T670" s="192"/>
    </row>
    <row r="671" spans="10:20" s="126" customFormat="1" ht="12.75" x14ac:dyDescent="0.2">
      <c r="J671" s="192"/>
      <c r="T671" s="192"/>
    </row>
    <row r="672" spans="10:20" s="126" customFormat="1" ht="12.75" x14ac:dyDescent="0.2">
      <c r="J672" s="192"/>
      <c r="T672" s="192"/>
    </row>
    <row r="673" spans="10:20" s="126" customFormat="1" ht="12.75" x14ac:dyDescent="0.2">
      <c r="J673" s="192"/>
      <c r="T673" s="192"/>
    </row>
    <row r="674" spans="10:20" s="126" customFormat="1" ht="12.75" x14ac:dyDescent="0.2">
      <c r="J674" s="192"/>
      <c r="T674" s="192"/>
    </row>
    <row r="675" spans="10:20" s="126" customFormat="1" ht="12.75" x14ac:dyDescent="0.2">
      <c r="J675" s="192"/>
      <c r="T675" s="192"/>
    </row>
    <row r="676" spans="10:20" s="126" customFormat="1" ht="12.75" x14ac:dyDescent="0.2">
      <c r="J676" s="192"/>
      <c r="T676" s="192"/>
    </row>
    <row r="677" spans="10:20" s="126" customFormat="1" ht="12.75" x14ac:dyDescent="0.2">
      <c r="J677" s="192"/>
      <c r="T677" s="192"/>
    </row>
    <row r="678" spans="10:20" s="126" customFormat="1" ht="12.75" x14ac:dyDescent="0.2">
      <c r="J678" s="192"/>
      <c r="T678" s="192"/>
    </row>
    <row r="679" spans="10:20" s="126" customFormat="1" ht="12.75" x14ac:dyDescent="0.2">
      <c r="J679" s="192"/>
      <c r="T679" s="192"/>
    </row>
    <row r="680" spans="10:20" s="126" customFormat="1" ht="12.75" x14ac:dyDescent="0.2">
      <c r="J680" s="192"/>
      <c r="T680" s="192"/>
    </row>
    <row r="681" spans="10:20" s="126" customFormat="1" ht="12.75" x14ac:dyDescent="0.2">
      <c r="J681" s="192"/>
      <c r="T681" s="192"/>
    </row>
    <row r="682" spans="10:20" s="126" customFormat="1" ht="12.75" x14ac:dyDescent="0.2">
      <c r="J682" s="192"/>
      <c r="T682" s="192"/>
    </row>
    <row r="683" spans="10:20" s="126" customFormat="1" ht="12.75" x14ac:dyDescent="0.2">
      <c r="J683" s="192"/>
      <c r="T683" s="192"/>
    </row>
    <row r="684" spans="10:20" s="126" customFormat="1" ht="12.75" x14ac:dyDescent="0.2">
      <c r="J684" s="192"/>
      <c r="T684" s="192"/>
    </row>
    <row r="685" spans="10:20" s="126" customFormat="1" ht="12.75" x14ac:dyDescent="0.2">
      <c r="J685" s="192"/>
      <c r="T685" s="192"/>
    </row>
    <row r="686" spans="10:20" s="126" customFormat="1" ht="12.75" x14ac:dyDescent="0.2">
      <c r="J686" s="192"/>
      <c r="T686" s="192"/>
    </row>
    <row r="687" spans="10:20" s="126" customFormat="1" ht="12.75" x14ac:dyDescent="0.2">
      <c r="J687" s="192"/>
      <c r="T687" s="192"/>
    </row>
    <row r="688" spans="10:20" s="126" customFormat="1" ht="12.75" x14ac:dyDescent="0.2">
      <c r="J688" s="192"/>
      <c r="T688" s="192"/>
    </row>
    <row r="689" spans="10:20" s="126" customFormat="1" ht="12.75" x14ac:dyDescent="0.2">
      <c r="J689" s="192"/>
      <c r="T689" s="192"/>
    </row>
    <row r="690" spans="10:20" s="126" customFormat="1" ht="12.75" x14ac:dyDescent="0.2">
      <c r="J690" s="192"/>
      <c r="T690" s="192"/>
    </row>
    <row r="691" spans="10:20" s="126" customFormat="1" ht="12.75" x14ac:dyDescent="0.2">
      <c r="J691" s="192"/>
      <c r="T691" s="192"/>
    </row>
    <row r="692" spans="10:20" s="126" customFormat="1" ht="12.75" x14ac:dyDescent="0.2">
      <c r="J692" s="192"/>
      <c r="T692" s="192"/>
    </row>
    <row r="693" spans="10:20" s="126" customFormat="1" ht="12.75" x14ac:dyDescent="0.2">
      <c r="J693" s="192"/>
      <c r="T693" s="192"/>
    </row>
    <row r="694" spans="10:20" s="126" customFormat="1" ht="12.75" x14ac:dyDescent="0.2">
      <c r="J694" s="192"/>
      <c r="T694" s="192"/>
    </row>
    <row r="695" spans="10:20" s="126" customFormat="1" ht="12.75" x14ac:dyDescent="0.2">
      <c r="J695" s="192"/>
      <c r="T695" s="192"/>
    </row>
    <row r="696" spans="10:20" s="126" customFormat="1" ht="12.75" x14ac:dyDescent="0.2">
      <c r="J696" s="192"/>
      <c r="T696" s="192"/>
    </row>
    <row r="697" spans="10:20" s="126" customFormat="1" ht="12.75" x14ac:dyDescent="0.2">
      <c r="J697" s="192"/>
      <c r="T697" s="192"/>
    </row>
    <row r="698" spans="10:20" s="126" customFormat="1" ht="12.75" x14ac:dyDescent="0.2">
      <c r="J698" s="192"/>
      <c r="T698" s="192"/>
    </row>
    <row r="699" spans="10:20" s="126" customFormat="1" ht="12.75" x14ac:dyDescent="0.2">
      <c r="J699" s="192"/>
      <c r="T699" s="192"/>
    </row>
    <row r="700" spans="10:20" s="126" customFormat="1" ht="12.75" x14ac:dyDescent="0.2">
      <c r="J700" s="192"/>
      <c r="T700" s="192"/>
    </row>
    <row r="701" spans="10:20" s="126" customFormat="1" ht="12.75" x14ac:dyDescent="0.2">
      <c r="J701" s="192"/>
      <c r="T701" s="192"/>
    </row>
    <row r="702" spans="10:20" s="126" customFormat="1" ht="12.75" x14ac:dyDescent="0.2">
      <c r="J702" s="192"/>
      <c r="T702" s="192"/>
    </row>
    <row r="703" spans="10:20" s="126" customFormat="1" ht="12.75" x14ac:dyDescent="0.2">
      <c r="J703" s="192"/>
      <c r="T703" s="192"/>
    </row>
    <row r="704" spans="10:20" s="126" customFormat="1" ht="12.75" x14ac:dyDescent="0.2">
      <c r="J704" s="192"/>
      <c r="T704" s="192"/>
    </row>
    <row r="705" spans="10:20" s="126" customFormat="1" ht="12.75" x14ac:dyDescent="0.2">
      <c r="J705" s="192"/>
      <c r="T705" s="192"/>
    </row>
    <row r="706" spans="10:20" s="126" customFormat="1" ht="12.75" x14ac:dyDescent="0.2">
      <c r="J706" s="192"/>
      <c r="T706" s="192"/>
    </row>
    <row r="707" spans="10:20" s="126" customFormat="1" ht="12.75" x14ac:dyDescent="0.2">
      <c r="J707" s="192"/>
      <c r="T707" s="192"/>
    </row>
    <row r="708" spans="10:20" s="126" customFormat="1" ht="12.75" x14ac:dyDescent="0.2">
      <c r="J708" s="192"/>
      <c r="T708" s="192"/>
    </row>
    <row r="709" spans="10:20" s="126" customFormat="1" ht="12.75" x14ac:dyDescent="0.2">
      <c r="J709" s="192"/>
      <c r="T709" s="192"/>
    </row>
    <row r="710" spans="10:20" s="126" customFormat="1" ht="12.75" x14ac:dyDescent="0.2">
      <c r="J710" s="192"/>
      <c r="T710" s="192"/>
    </row>
    <row r="711" spans="10:20" s="126" customFormat="1" ht="12.75" x14ac:dyDescent="0.2">
      <c r="J711" s="192"/>
      <c r="T711" s="192"/>
    </row>
    <row r="712" spans="10:20" s="126" customFormat="1" ht="12.75" x14ac:dyDescent="0.2">
      <c r="J712" s="192"/>
      <c r="T712" s="192"/>
    </row>
    <row r="713" spans="10:20" s="126" customFormat="1" ht="12.75" x14ac:dyDescent="0.2">
      <c r="J713" s="192"/>
      <c r="T713" s="192"/>
    </row>
    <row r="714" spans="10:20" s="126" customFormat="1" ht="12.75" x14ac:dyDescent="0.2">
      <c r="J714" s="192"/>
      <c r="T714" s="192"/>
    </row>
    <row r="715" spans="10:20" s="126" customFormat="1" ht="12.75" x14ac:dyDescent="0.2">
      <c r="J715" s="192"/>
      <c r="T715" s="192"/>
    </row>
    <row r="716" spans="10:20" s="126" customFormat="1" ht="12.75" x14ac:dyDescent="0.2">
      <c r="J716" s="192"/>
      <c r="T716" s="192"/>
    </row>
    <row r="717" spans="10:20" s="126" customFormat="1" ht="12.75" x14ac:dyDescent="0.2">
      <c r="J717" s="192"/>
      <c r="T717" s="192"/>
    </row>
    <row r="718" spans="10:20" s="126" customFormat="1" ht="12.75" x14ac:dyDescent="0.2">
      <c r="J718" s="192"/>
      <c r="T718" s="192"/>
    </row>
    <row r="719" spans="10:20" s="126" customFormat="1" ht="12.75" x14ac:dyDescent="0.2">
      <c r="J719" s="192"/>
      <c r="T719" s="192"/>
    </row>
    <row r="720" spans="10:20" s="126" customFormat="1" ht="12.75" x14ac:dyDescent="0.2">
      <c r="J720" s="192"/>
      <c r="T720" s="192"/>
    </row>
    <row r="721" spans="10:20" s="126" customFormat="1" ht="12.75" x14ac:dyDescent="0.2">
      <c r="J721" s="192"/>
      <c r="T721" s="192"/>
    </row>
    <row r="722" spans="10:20" s="126" customFormat="1" ht="12.75" x14ac:dyDescent="0.2">
      <c r="J722" s="192"/>
      <c r="T722" s="192"/>
    </row>
    <row r="723" spans="10:20" s="126" customFormat="1" ht="12.75" x14ac:dyDescent="0.2">
      <c r="J723" s="192"/>
      <c r="T723" s="192"/>
    </row>
    <row r="724" spans="10:20" s="126" customFormat="1" ht="12.75" x14ac:dyDescent="0.2">
      <c r="J724" s="192"/>
      <c r="T724" s="192"/>
    </row>
    <row r="725" spans="10:20" s="126" customFormat="1" ht="12.75" x14ac:dyDescent="0.2">
      <c r="J725" s="192"/>
      <c r="T725" s="192"/>
    </row>
    <row r="726" spans="10:20" s="126" customFormat="1" ht="12.75" x14ac:dyDescent="0.2">
      <c r="J726" s="192"/>
      <c r="T726" s="192"/>
    </row>
    <row r="727" spans="10:20" s="126" customFormat="1" ht="12.75" x14ac:dyDescent="0.2">
      <c r="J727" s="192"/>
      <c r="T727" s="192"/>
    </row>
    <row r="728" spans="10:20" s="126" customFormat="1" ht="12.75" x14ac:dyDescent="0.2">
      <c r="J728" s="192"/>
      <c r="T728" s="192"/>
    </row>
    <row r="729" spans="10:20" s="126" customFormat="1" ht="12.75" x14ac:dyDescent="0.2">
      <c r="J729" s="192"/>
      <c r="T729" s="192"/>
    </row>
    <row r="730" spans="10:20" s="126" customFormat="1" ht="12.75" x14ac:dyDescent="0.2">
      <c r="J730" s="192"/>
      <c r="T730" s="192"/>
    </row>
    <row r="731" spans="10:20" s="126" customFormat="1" ht="12.75" x14ac:dyDescent="0.2">
      <c r="J731" s="192"/>
      <c r="T731" s="192"/>
    </row>
    <row r="732" spans="10:20" s="126" customFormat="1" ht="12.75" x14ac:dyDescent="0.2">
      <c r="J732" s="192"/>
      <c r="T732" s="192"/>
    </row>
    <row r="733" spans="10:20" s="126" customFormat="1" ht="12.75" x14ac:dyDescent="0.2">
      <c r="J733" s="192"/>
      <c r="T733" s="192"/>
    </row>
    <row r="734" spans="10:20" s="126" customFormat="1" ht="12.75" x14ac:dyDescent="0.2">
      <c r="J734" s="192"/>
      <c r="T734" s="192"/>
    </row>
    <row r="735" spans="10:20" s="126" customFormat="1" ht="12.75" x14ac:dyDescent="0.2">
      <c r="J735" s="192"/>
      <c r="T735" s="192"/>
    </row>
    <row r="736" spans="10:20" s="126" customFormat="1" ht="12.75" x14ac:dyDescent="0.2">
      <c r="J736" s="192"/>
      <c r="T736" s="192"/>
    </row>
    <row r="737" spans="10:20" s="126" customFormat="1" ht="12.75" x14ac:dyDescent="0.2">
      <c r="J737" s="192"/>
      <c r="T737" s="192"/>
    </row>
    <row r="738" spans="10:20" s="126" customFormat="1" ht="12.75" x14ac:dyDescent="0.2">
      <c r="J738" s="192"/>
      <c r="T738" s="192"/>
    </row>
    <row r="739" spans="10:20" s="126" customFormat="1" ht="12.75" x14ac:dyDescent="0.2">
      <c r="J739" s="192"/>
      <c r="T739" s="192"/>
    </row>
    <row r="740" spans="10:20" s="126" customFormat="1" ht="12.75" x14ac:dyDescent="0.2">
      <c r="J740" s="192"/>
      <c r="T740" s="192"/>
    </row>
    <row r="741" spans="10:20" s="126" customFormat="1" ht="12.75" x14ac:dyDescent="0.2">
      <c r="J741" s="192"/>
      <c r="T741" s="192"/>
    </row>
    <row r="742" spans="10:20" s="126" customFormat="1" ht="12.75" x14ac:dyDescent="0.2">
      <c r="J742" s="192"/>
      <c r="T742" s="192"/>
    </row>
    <row r="743" spans="10:20" s="126" customFormat="1" ht="12.75" x14ac:dyDescent="0.2">
      <c r="J743" s="192"/>
      <c r="T743" s="192"/>
    </row>
    <row r="744" spans="10:20" s="126" customFormat="1" ht="12.75" x14ac:dyDescent="0.2">
      <c r="J744" s="192"/>
      <c r="T744" s="192"/>
    </row>
    <row r="745" spans="10:20" s="126" customFormat="1" ht="12.75" x14ac:dyDescent="0.2">
      <c r="J745" s="192"/>
      <c r="T745" s="192"/>
    </row>
    <row r="746" spans="10:20" s="126" customFormat="1" ht="12.75" x14ac:dyDescent="0.2">
      <c r="J746" s="192"/>
      <c r="T746" s="192"/>
    </row>
    <row r="747" spans="10:20" s="126" customFormat="1" ht="12.75" x14ac:dyDescent="0.2">
      <c r="J747" s="192"/>
      <c r="T747" s="192"/>
    </row>
    <row r="748" spans="10:20" s="126" customFormat="1" ht="12.75" x14ac:dyDescent="0.2">
      <c r="J748" s="192"/>
      <c r="T748" s="192"/>
    </row>
    <row r="749" spans="10:20" s="126" customFormat="1" ht="12.75" x14ac:dyDescent="0.2">
      <c r="J749" s="192"/>
      <c r="T749" s="192"/>
    </row>
    <row r="750" spans="10:20" s="126" customFormat="1" ht="12.75" x14ac:dyDescent="0.2">
      <c r="J750" s="192"/>
      <c r="T750" s="192"/>
    </row>
    <row r="751" spans="10:20" s="126" customFormat="1" ht="12.75" x14ac:dyDescent="0.2">
      <c r="J751" s="192"/>
      <c r="T751" s="192"/>
    </row>
    <row r="752" spans="10:20" s="126" customFormat="1" ht="12.75" x14ac:dyDescent="0.2">
      <c r="J752" s="192"/>
      <c r="T752" s="192"/>
    </row>
    <row r="753" spans="10:20" s="126" customFormat="1" ht="12.75" x14ac:dyDescent="0.2">
      <c r="J753" s="192"/>
      <c r="T753" s="192"/>
    </row>
    <row r="754" spans="10:20" s="126" customFormat="1" ht="12.75" x14ac:dyDescent="0.2">
      <c r="J754" s="192"/>
      <c r="T754" s="192"/>
    </row>
    <row r="755" spans="10:20" s="126" customFormat="1" ht="12.75" x14ac:dyDescent="0.2">
      <c r="J755" s="192"/>
      <c r="T755" s="192"/>
    </row>
    <row r="756" spans="10:20" s="126" customFormat="1" ht="12.75" x14ac:dyDescent="0.2">
      <c r="J756" s="192"/>
      <c r="T756" s="192"/>
    </row>
    <row r="757" spans="10:20" s="126" customFormat="1" ht="12.75" x14ac:dyDescent="0.2">
      <c r="J757" s="192"/>
      <c r="T757" s="192"/>
    </row>
    <row r="758" spans="10:20" s="126" customFormat="1" ht="12.75" x14ac:dyDescent="0.2">
      <c r="J758" s="192"/>
      <c r="T758" s="192"/>
    </row>
    <row r="759" spans="10:20" s="126" customFormat="1" ht="12.75" x14ac:dyDescent="0.2">
      <c r="J759" s="192"/>
      <c r="T759" s="192"/>
    </row>
    <row r="760" spans="10:20" s="126" customFormat="1" ht="12.75" x14ac:dyDescent="0.2">
      <c r="J760" s="192"/>
      <c r="T760" s="192"/>
    </row>
    <row r="761" spans="10:20" s="126" customFormat="1" ht="12.75" x14ac:dyDescent="0.2">
      <c r="J761" s="192"/>
      <c r="T761" s="192"/>
    </row>
    <row r="762" spans="10:20" s="126" customFormat="1" ht="12.75" x14ac:dyDescent="0.2">
      <c r="J762" s="192"/>
      <c r="T762" s="192"/>
    </row>
    <row r="763" spans="10:20" s="126" customFormat="1" ht="12.75" x14ac:dyDescent="0.2">
      <c r="J763" s="192"/>
      <c r="T763" s="192"/>
    </row>
    <row r="764" spans="10:20" s="126" customFormat="1" ht="12.75" x14ac:dyDescent="0.2">
      <c r="J764" s="192"/>
      <c r="T764" s="192"/>
    </row>
    <row r="765" spans="10:20" s="126" customFormat="1" ht="12.75" x14ac:dyDescent="0.2">
      <c r="J765" s="192"/>
      <c r="T765" s="192"/>
    </row>
    <row r="766" spans="10:20" s="126" customFormat="1" ht="12.75" x14ac:dyDescent="0.2">
      <c r="J766" s="192"/>
      <c r="T766" s="192"/>
    </row>
    <row r="767" spans="10:20" s="126" customFormat="1" ht="12.75" x14ac:dyDescent="0.2">
      <c r="J767" s="192"/>
      <c r="T767" s="192"/>
    </row>
    <row r="768" spans="10:20" s="126" customFormat="1" ht="12.75" x14ac:dyDescent="0.2">
      <c r="J768" s="192"/>
      <c r="T768" s="192"/>
    </row>
    <row r="769" spans="10:20" s="126" customFormat="1" ht="12.75" x14ac:dyDescent="0.2">
      <c r="J769" s="192"/>
      <c r="T769" s="192"/>
    </row>
    <row r="770" spans="10:20" s="126" customFormat="1" ht="12.75" x14ac:dyDescent="0.2">
      <c r="J770" s="192"/>
      <c r="T770" s="192"/>
    </row>
    <row r="771" spans="10:20" s="126" customFormat="1" ht="12.75" x14ac:dyDescent="0.2">
      <c r="J771" s="192"/>
      <c r="T771" s="192"/>
    </row>
    <row r="772" spans="10:20" s="126" customFormat="1" ht="12.75" x14ac:dyDescent="0.2">
      <c r="J772" s="192"/>
      <c r="T772" s="192"/>
    </row>
    <row r="773" spans="10:20" s="126" customFormat="1" ht="12.75" x14ac:dyDescent="0.2">
      <c r="J773" s="192"/>
      <c r="T773" s="192"/>
    </row>
    <row r="774" spans="10:20" s="126" customFormat="1" ht="12.75" x14ac:dyDescent="0.2">
      <c r="J774" s="192"/>
      <c r="T774" s="192"/>
    </row>
    <row r="775" spans="10:20" s="126" customFormat="1" ht="12.75" x14ac:dyDescent="0.2">
      <c r="J775" s="192"/>
      <c r="T775" s="192"/>
    </row>
    <row r="776" spans="10:20" s="126" customFormat="1" ht="12.75" x14ac:dyDescent="0.2">
      <c r="J776" s="192"/>
      <c r="T776" s="192"/>
    </row>
    <row r="777" spans="10:20" s="126" customFormat="1" ht="12.75" x14ac:dyDescent="0.2">
      <c r="J777" s="192"/>
      <c r="T777" s="192"/>
    </row>
    <row r="778" spans="10:20" s="126" customFormat="1" ht="12.75" x14ac:dyDescent="0.2">
      <c r="J778" s="192"/>
      <c r="T778" s="192"/>
    </row>
    <row r="779" spans="10:20" s="126" customFormat="1" ht="12.75" x14ac:dyDescent="0.2">
      <c r="J779" s="192"/>
      <c r="T779" s="192"/>
    </row>
    <row r="780" spans="10:20" s="126" customFormat="1" ht="12.75" x14ac:dyDescent="0.2">
      <c r="J780" s="192"/>
      <c r="T780" s="192"/>
    </row>
    <row r="781" spans="10:20" s="126" customFormat="1" ht="12.75" x14ac:dyDescent="0.2">
      <c r="J781" s="192"/>
      <c r="T781" s="192"/>
    </row>
    <row r="782" spans="10:20" s="126" customFormat="1" ht="12.75" x14ac:dyDescent="0.2">
      <c r="J782" s="192"/>
      <c r="T782" s="192"/>
    </row>
    <row r="783" spans="10:20" s="126" customFormat="1" ht="12.75" x14ac:dyDescent="0.2">
      <c r="J783" s="192"/>
      <c r="T783" s="192"/>
    </row>
    <row r="784" spans="10:20" s="126" customFormat="1" ht="12.75" x14ac:dyDescent="0.2">
      <c r="J784" s="192"/>
      <c r="T784" s="192"/>
    </row>
    <row r="785" spans="10:20" s="126" customFormat="1" ht="12.75" x14ac:dyDescent="0.2">
      <c r="J785" s="192"/>
      <c r="T785" s="192"/>
    </row>
    <row r="786" spans="10:20" s="126" customFormat="1" ht="12.75" x14ac:dyDescent="0.2">
      <c r="J786" s="192"/>
      <c r="T786" s="192"/>
    </row>
    <row r="787" spans="10:20" s="126" customFormat="1" ht="12.75" x14ac:dyDescent="0.2">
      <c r="J787" s="192"/>
      <c r="T787" s="192"/>
    </row>
    <row r="788" spans="10:20" s="126" customFormat="1" ht="12.75" x14ac:dyDescent="0.2">
      <c r="J788" s="192"/>
      <c r="T788" s="192"/>
    </row>
    <row r="789" spans="10:20" s="126" customFormat="1" ht="12.75" x14ac:dyDescent="0.2">
      <c r="J789" s="192"/>
      <c r="T789" s="192"/>
    </row>
    <row r="790" spans="10:20" s="126" customFormat="1" ht="12.75" x14ac:dyDescent="0.2">
      <c r="J790" s="192"/>
      <c r="T790" s="192"/>
    </row>
    <row r="791" spans="10:20" s="126" customFormat="1" ht="12.75" x14ac:dyDescent="0.2">
      <c r="J791" s="192"/>
      <c r="T791" s="192"/>
    </row>
    <row r="792" spans="10:20" s="126" customFormat="1" ht="12.75" x14ac:dyDescent="0.2">
      <c r="J792" s="192"/>
      <c r="T792" s="192"/>
    </row>
    <row r="793" spans="10:20" s="126" customFormat="1" ht="12.75" x14ac:dyDescent="0.2">
      <c r="J793" s="192"/>
      <c r="T793" s="192"/>
    </row>
    <row r="794" spans="10:20" s="126" customFormat="1" ht="12.75" x14ac:dyDescent="0.2">
      <c r="J794" s="192"/>
      <c r="T794" s="192"/>
    </row>
    <row r="795" spans="10:20" s="126" customFormat="1" ht="12.75" x14ac:dyDescent="0.2">
      <c r="J795" s="192"/>
      <c r="T795" s="192"/>
    </row>
    <row r="796" spans="10:20" s="126" customFormat="1" ht="12.75" x14ac:dyDescent="0.2">
      <c r="J796" s="192"/>
      <c r="T796" s="192"/>
    </row>
    <row r="797" spans="10:20" s="126" customFormat="1" ht="12.75" x14ac:dyDescent="0.2">
      <c r="J797" s="192"/>
      <c r="T797" s="192"/>
    </row>
    <row r="798" spans="10:20" s="126" customFormat="1" ht="12.75" x14ac:dyDescent="0.2">
      <c r="J798" s="192"/>
      <c r="T798" s="192"/>
    </row>
    <row r="799" spans="10:20" s="126" customFormat="1" ht="12.75" x14ac:dyDescent="0.2">
      <c r="J799" s="192"/>
      <c r="T799" s="192"/>
    </row>
    <row r="800" spans="10:20" s="126" customFormat="1" ht="12.75" x14ac:dyDescent="0.2">
      <c r="J800" s="192"/>
      <c r="T800" s="192"/>
    </row>
    <row r="801" spans="10:20" s="126" customFormat="1" ht="12.75" x14ac:dyDescent="0.2">
      <c r="J801" s="192"/>
      <c r="T801" s="192"/>
    </row>
    <row r="802" spans="10:20" s="126" customFormat="1" ht="12.75" x14ac:dyDescent="0.2">
      <c r="J802" s="192"/>
      <c r="T802" s="192"/>
    </row>
    <row r="803" spans="10:20" s="126" customFormat="1" ht="12.75" x14ac:dyDescent="0.2">
      <c r="J803" s="192"/>
      <c r="T803" s="192"/>
    </row>
    <row r="804" spans="10:20" s="126" customFormat="1" ht="12.75" x14ac:dyDescent="0.2">
      <c r="J804" s="192"/>
      <c r="T804" s="192"/>
    </row>
    <row r="805" spans="10:20" s="126" customFormat="1" ht="12.75" x14ac:dyDescent="0.2">
      <c r="J805" s="192"/>
      <c r="T805" s="192"/>
    </row>
    <row r="806" spans="10:20" s="126" customFormat="1" ht="12.75" x14ac:dyDescent="0.2">
      <c r="J806" s="192"/>
      <c r="T806" s="192"/>
    </row>
    <row r="807" spans="10:20" s="126" customFormat="1" ht="12.75" x14ac:dyDescent="0.2">
      <c r="J807" s="192"/>
      <c r="T807" s="192"/>
    </row>
    <row r="808" spans="10:20" s="126" customFormat="1" ht="12.75" x14ac:dyDescent="0.2">
      <c r="J808" s="192"/>
      <c r="T808" s="192"/>
    </row>
    <row r="809" spans="10:20" s="126" customFormat="1" ht="12.75" x14ac:dyDescent="0.2">
      <c r="J809" s="192"/>
      <c r="T809" s="192"/>
    </row>
    <row r="810" spans="10:20" s="126" customFormat="1" ht="12.75" x14ac:dyDescent="0.2">
      <c r="J810" s="192"/>
      <c r="T810" s="192"/>
    </row>
    <row r="811" spans="10:20" s="126" customFormat="1" ht="12.75" x14ac:dyDescent="0.2">
      <c r="J811" s="192"/>
      <c r="T811" s="192"/>
    </row>
    <row r="812" spans="10:20" s="126" customFormat="1" ht="12.75" x14ac:dyDescent="0.2">
      <c r="J812" s="192"/>
      <c r="T812" s="192"/>
    </row>
    <row r="813" spans="10:20" s="126" customFormat="1" ht="12.75" x14ac:dyDescent="0.2">
      <c r="J813" s="192"/>
      <c r="T813" s="192"/>
    </row>
    <row r="814" spans="10:20" s="126" customFormat="1" ht="12.75" x14ac:dyDescent="0.2">
      <c r="J814" s="192"/>
      <c r="T814" s="192"/>
    </row>
    <row r="815" spans="10:20" s="126" customFormat="1" ht="12.75" x14ac:dyDescent="0.2">
      <c r="J815" s="192"/>
      <c r="T815" s="192"/>
    </row>
    <row r="816" spans="10:20" s="126" customFormat="1" ht="12.75" x14ac:dyDescent="0.2">
      <c r="J816" s="192"/>
      <c r="T816" s="192"/>
    </row>
    <row r="817" spans="10:20" s="126" customFormat="1" ht="12.75" x14ac:dyDescent="0.2">
      <c r="J817" s="192"/>
      <c r="T817" s="192"/>
    </row>
    <row r="818" spans="10:20" s="126" customFormat="1" ht="12.75" x14ac:dyDescent="0.2">
      <c r="J818" s="192"/>
      <c r="T818" s="192"/>
    </row>
    <row r="819" spans="10:20" s="126" customFormat="1" ht="12.75" x14ac:dyDescent="0.2">
      <c r="J819" s="192"/>
      <c r="T819" s="192"/>
    </row>
    <row r="820" spans="10:20" s="126" customFormat="1" ht="12.75" x14ac:dyDescent="0.2">
      <c r="J820" s="192"/>
      <c r="T820" s="192"/>
    </row>
    <row r="821" spans="10:20" s="126" customFormat="1" ht="12.75" x14ac:dyDescent="0.2">
      <c r="J821" s="192"/>
      <c r="T821" s="192"/>
    </row>
    <row r="822" spans="10:20" s="126" customFormat="1" ht="12.75" x14ac:dyDescent="0.2">
      <c r="J822" s="192"/>
      <c r="T822" s="192"/>
    </row>
    <row r="823" spans="10:20" s="126" customFormat="1" ht="12.75" x14ac:dyDescent="0.2">
      <c r="J823" s="192"/>
      <c r="T823" s="192"/>
    </row>
    <row r="824" spans="10:20" s="126" customFormat="1" ht="12.75" x14ac:dyDescent="0.2">
      <c r="J824" s="192"/>
      <c r="T824" s="192"/>
    </row>
    <row r="825" spans="10:20" s="126" customFormat="1" ht="12.75" x14ac:dyDescent="0.2">
      <c r="J825" s="192"/>
      <c r="T825" s="192"/>
    </row>
    <row r="826" spans="10:20" s="126" customFormat="1" ht="12.75" x14ac:dyDescent="0.2">
      <c r="J826" s="192"/>
      <c r="T826" s="192"/>
    </row>
    <row r="827" spans="10:20" s="126" customFormat="1" ht="12.75" x14ac:dyDescent="0.2">
      <c r="J827" s="192"/>
      <c r="T827" s="192"/>
    </row>
    <row r="828" spans="10:20" s="126" customFormat="1" ht="12.75" x14ac:dyDescent="0.2">
      <c r="J828" s="192"/>
      <c r="T828" s="192"/>
    </row>
    <row r="829" spans="10:20" s="126" customFormat="1" ht="12.75" x14ac:dyDescent="0.2">
      <c r="J829" s="192"/>
      <c r="T829" s="192"/>
    </row>
    <row r="830" spans="10:20" s="126" customFormat="1" ht="12.75" x14ac:dyDescent="0.2">
      <c r="J830" s="192"/>
      <c r="T830" s="192"/>
    </row>
    <row r="831" spans="10:20" s="126" customFormat="1" ht="12.75" x14ac:dyDescent="0.2">
      <c r="J831" s="192"/>
      <c r="T831" s="192"/>
    </row>
    <row r="832" spans="10:20" s="126" customFormat="1" ht="12.75" x14ac:dyDescent="0.2">
      <c r="J832" s="192"/>
      <c r="T832" s="192"/>
    </row>
    <row r="833" spans="10:20" s="126" customFormat="1" ht="12.75" x14ac:dyDescent="0.2">
      <c r="J833" s="192"/>
      <c r="T833" s="192"/>
    </row>
    <row r="834" spans="10:20" s="126" customFormat="1" ht="12.75" x14ac:dyDescent="0.2">
      <c r="J834" s="192"/>
      <c r="T834" s="192"/>
    </row>
    <row r="835" spans="10:20" s="126" customFormat="1" ht="12.75" x14ac:dyDescent="0.2">
      <c r="J835" s="192"/>
      <c r="T835" s="192"/>
    </row>
    <row r="836" spans="10:20" s="126" customFormat="1" ht="12.75" x14ac:dyDescent="0.2">
      <c r="J836" s="192"/>
      <c r="T836" s="192"/>
    </row>
    <row r="837" spans="10:20" s="126" customFormat="1" ht="12.75" x14ac:dyDescent="0.2">
      <c r="J837" s="192"/>
      <c r="T837" s="192"/>
    </row>
    <row r="838" spans="10:20" s="126" customFormat="1" ht="12.75" x14ac:dyDescent="0.2">
      <c r="J838" s="192"/>
      <c r="T838" s="192"/>
    </row>
    <row r="839" spans="10:20" s="126" customFormat="1" ht="12.75" x14ac:dyDescent="0.2">
      <c r="J839" s="192"/>
      <c r="T839" s="192"/>
    </row>
    <row r="840" spans="10:20" s="126" customFormat="1" ht="12.75" x14ac:dyDescent="0.2">
      <c r="J840" s="192"/>
      <c r="T840" s="192"/>
    </row>
    <row r="841" spans="10:20" s="126" customFormat="1" ht="12.75" x14ac:dyDescent="0.2">
      <c r="J841" s="192"/>
      <c r="T841" s="192"/>
    </row>
    <row r="842" spans="10:20" s="126" customFormat="1" ht="12.75" x14ac:dyDescent="0.2">
      <c r="J842" s="192"/>
      <c r="T842" s="192"/>
    </row>
    <row r="843" spans="10:20" s="126" customFormat="1" ht="12.75" x14ac:dyDescent="0.2">
      <c r="J843" s="192"/>
      <c r="T843" s="192"/>
    </row>
    <row r="844" spans="10:20" s="126" customFormat="1" ht="12.75" x14ac:dyDescent="0.2">
      <c r="J844" s="192"/>
      <c r="T844" s="192"/>
    </row>
    <row r="845" spans="10:20" s="126" customFormat="1" ht="12.75" x14ac:dyDescent="0.2">
      <c r="J845" s="192"/>
      <c r="T845" s="192"/>
    </row>
    <row r="846" spans="10:20" s="126" customFormat="1" ht="12.75" x14ac:dyDescent="0.2">
      <c r="J846" s="192"/>
      <c r="T846" s="192"/>
    </row>
    <row r="847" spans="10:20" s="126" customFormat="1" ht="12.75" x14ac:dyDescent="0.2">
      <c r="J847" s="192"/>
      <c r="T847" s="192"/>
    </row>
    <row r="848" spans="10:20" s="126" customFormat="1" ht="12.75" x14ac:dyDescent="0.2">
      <c r="J848" s="192"/>
      <c r="T848" s="192"/>
    </row>
    <row r="849" spans="10:20" s="126" customFormat="1" ht="12.75" x14ac:dyDescent="0.2">
      <c r="J849" s="192"/>
      <c r="T849" s="192"/>
    </row>
    <row r="850" spans="10:20" s="126" customFormat="1" ht="12.75" x14ac:dyDescent="0.2">
      <c r="J850" s="192"/>
      <c r="T850" s="192"/>
    </row>
    <row r="851" spans="10:20" s="126" customFormat="1" ht="12.75" x14ac:dyDescent="0.2">
      <c r="J851" s="192"/>
      <c r="T851" s="192"/>
    </row>
    <row r="852" spans="10:20" s="126" customFormat="1" ht="12.75" x14ac:dyDescent="0.2">
      <c r="J852" s="192"/>
      <c r="T852" s="192"/>
    </row>
    <row r="853" spans="10:20" s="126" customFormat="1" ht="12.75" x14ac:dyDescent="0.2">
      <c r="J853" s="192"/>
      <c r="T853" s="192"/>
    </row>
    <row r="854" spans="10:20" s="126" customFormat="1" ht="12.75" x14ac:dyDescent="0.2">
      <c r="J854" s="192"/>
      <c r="T854" s="192"/>
    </row>
    <row r="855" spans="10:20" s="126" customFormat="1" ht="12.75" x14ac:dyDescent="0.2">
      <c r="J855" s="192"/>
      <c r="T855" s="192"/>
    </row>
    <row r="856" spans="10:20" s="126" customFormat="1" ht="12.75" x14ac:dyDescent="0.2">
      <c r="J856" s="192"/>
      <c r="T856" s="192"/>
    </row>
    <row r="857" spans="10:20" s="126" customFormat="1" ht="12.75" x14ac:dyDescent="0.2">
      <c r="J857" s="192"/>
      <c r="T857" s="192"/>
    </row>
    <row r="858" spans="10:20" s="126" customFormat="1" ht="12.75" x14ac:dyDescent="0.2">
      <c r="J858" s="192"/>
      <c r="T858" s="192"/>
    </row>
    <row r="859" spans="10:20" s="126" customFormat="1" ht="12.75" x14ac:dyDescent="0.2">
      <c r="J859" s="192"/>
      <c r="T859" s="192"/>
    </row>
    <row r="860" spans="10:20" s="126" customFormat="1" ht="12.75" x14ac:dyDescent="0.2">
      <c r="J860" s="192"/>
      <c r="T860" s="192"/>
    </row>
    <row r="861" spans="10:20" s="126" customFormat="1" ht="12.75" x14ac:dyDescent="0.2">
      <c r="J861" s="192"/>
      <c r="T861" s="192"/>
    </row>
    <row r="862" spans="10:20" s="126" customFormat="1" ht="12.75" x14ac:dyDescent="0.2">
      <c r="J862" s="192"/>
      <c r="T862" s="192"/>
    </row>
    <row r="863" spans="10:20" s="126" customFormat="1" ht="12.75" x14ac:dyDescent="0.2">
      <c r="J863" s="192"/>
      <c r="T863" s="192"/>
    </row>
    <row r="864" spans="10:20" s="126" customFormat="1" ht="12.75" x14ac:dyDescent="0.2">
      <c r="J864" s="192"/>
      <c r="T864" s="192"/>
    </row>
    <row r="865" spans="10:20" s="126" customFormat="1" ht="12.75" x14ac:dyDescent="0.2">
      <c r="J865" s="192"/>
      <c r="T865" s="192"/>
    </row>
    <row r="866" spans="10:20" s="126" customFormat="1" ht="12.75" x14ac:dyDescent="0.2">
      <c r="J866" s="192"/>
      <c r="T866" s="192"/>
    </row>
    <row r="867" spans="10:20" s="126" customFormat="1" ht="12.75" x14ac:dyDescent="0.2">
      <c r="J867" s="192"/>
      <c r="T867" s="192"/>
    </row>
    <row r="868" spans="10:20" s="126" customFormat="1" ht="12.75" x14ac:dyDescent="0.2">
      <c r="J868" s="192"/>
      <c r="T868" s="192"/>
    </row>
    <row r="869" spans="10:20" s="126" customFormat="1" ht="12.75" x14ac:dyDescent="0.2">
      <c r="J869" s="192"/>
      <c r="T869" s="192"/>
    </row>
    <row r="870" spans="10:20" s="126" customFormat="1" ht="12.75" x14ac:dyDescent="0.2">
      <c r="J870" s="192"/>
      <c r="T870" s="192"/>
    </row>
    <row r="871" spans="10:20" s="126" customFormat="1" ht="12.75" x14ac:dyDescent="0.2">
      <c r="J871" s="192"/>
      <c r="T871" s="192"/>
    </row>
    <row r="872" spans="10:20" s="126" customFormat="1" ht="12.75" x14ac:dyDescent="0.2">
      <c r="J872" s="192"/>
      <c r="T872" s="192"/>
    </row>
    <row r="873" spans="10:20" s="126" customFormat="1" ht="12.75" x14ac:dyDescent="0.2">
      <c r="J873" s="192"/>
      <c r="T873" s="192"/>
    </row>
    <row r="874" spans="10:20" s="126" customFormat="1" ht="12.75" x14ac:dyDescent="0.2">
      <c r="J874" s="192"/>
      <c r="T874" s="192"/>
    </row>
    <row r="875" spans="10:20" s="126" customFormat="1" ht="12.75" x14ac:dyDescent="0.2">
      <c r="J875" s="192"/>
      <c r="T875" s="192"/>
    </row>
    <row r="876" spans="10:20" s="126" customFormat="1" ht="12.75" x14ac:dyDescent="0.2">
      <c r="J876" s="192"/>
      <c r="T876" s="192"/>
    </row>
    <row r="877" spans="10:20" s="126" customFormat="1" ht="12.75" x14ac:dyDescent="0.2">
      <c r="J877" s="192"/>
      <c r="T877" s="192"/>
    </row>
    <row r="878" spans="10:20" s="126" customFormat="1" ht="12.75" x14ac:dyDescent="0.2">
      <c r="J878" s="192"/>
      <c r="T878" s="192"/>
    </row>
    <row r="879" spans="10:20" s="126" customFormat="1" ht="12.75" x14ac:dyDescent="0.2">
      <c r="J879" s="192"/>
      <c r="T879" s="192"/>
    </row>
    <row r="880" spans="10:20" s="126" customFormat="1" ht="12.75" x14ac:dyDescent="0.2">
      <c r="J880" s="192"/>
      <c r="T880" s="192"/>
    </row>
    <row r="881" spans="10:20" s="126" customFormat="1" ht="12.75" x14ac:dyDescent="0.2">
      <c r="J881" s="192"/>
      <c r="T881" s="192"/>
    </row>
    <row r="882" spans="10:20" s="126" customFormat="1" ht="12.75" x14ac:dyDescent="0.2">
      <c r="J882" s="192"/>
      <c r="T882" s="192"/>
    </row>
    <row r="883" spans="10:20" s="126" customFormat="1" ht="12.75" x14ac:dyDescent="0.2">
      <c r="J883" s="192"/>
      <c r="T883" s="192"/>
    </row>
    <row r="884" spans="10:20" s="126" customFormat="1" ht="12.75" x14ac:dyDescent="0.2">
      <c r="J884" s="192"/>
      <c r="T884" s="192"/>
    </row>
    <row r="885" spans="10:20" s="126" customFormat="1" ht="12.75" x14ac:dyDescent="0.2">
      <c r="J885" s="192"/>
      <c r="T885" s="192"/>
    </row>
    <row r="886" spans="10:20" s="126" customFormat="1" ht="12.75" x14ac:dyDescent="0.2">
      <c r="J886" s="192"/>
      <c r="T886" s="192"/>
    </row>
    <row r="887" spans="10:20" s="126" customFormat="1" ht="12.75" x14ac:dyDescent="0.2">
      <c r="J887" s="192"/>
      <c r="T887" s="192"/>
    </row>
    <row r="888" spans="10:20" s="126" customFormat="1" ht="12.75" x14ac:dyDescent="0.2">
      <c r="J888" s="192"/>
      <c r="T888" s="192"/>
    </row>
    <row r="889" spans="10:20" s="126" customFormat="1" ht="12.75" x14ac:dyDescent="0.2">
      <c r="J889" s="192"/>
      <c r="T889" s="192"/>
    </row>
    <row r="890" spans="10:20" s="126" customFormat="1" ht="12.75" x14ac:dyDescent="0.2">
      <c r="J890" s="192"/>
      <c r="T890" s="192"/>
    </row>
    <row r="891" spans="10:20" s="126" customFormat="1" ht="12.75" x14ac:dyDescent="0.2">
      <c r="J891" s="192"/>
      <c r="T891" s="192"/>
    </row>
    <row r="892" spans="10:20" s="126" customFormat="1" ht="12.75" x14ac:dyDescent="0.2">
      <c r="J892" s="192"/>
      <c r="T892" s="192"/>
    </row>
    <row r="893" spans="10:20" s="126" customFormat="1" ht="12.75" x14ac:dyDescent="0.2">
      <c r="J893" s="192"/>
      <c r="T893" s="192"/>
    </row>
    <row r="894" spans="10:20" s="126" customFormat="1" ht="12.75" x14ac:dyDescent="0.2">
      <c r="J894" s="192"/>
      <c r="T894" s="192"/>
    </row>
    <row r="895" spans="10:20" s="126" customFormat="1" ht="12.75" x14ac:dyDescent="0.2">
      <c r="J895" s="192"/>
      <c r="T895" s="192"/>
    </row>
    <row r="896" spans="10:20" s="126" customFormat="1" ht="12.75" x14ac:dyDescent="0.2">
      <c r="J896" s="192"/>
      <c r="T896" s="192"/>
    </row>
    <row r="897" spans="10:20" s="126" customFormat="1" ht="12.75" x14ac:dyDescent="0.2">
      <c r="J897" s="192"/>
      <c r="T897" s="192"/>
    </row>
    <row r="898" spans="10:20" s="126" customFormat="1" ht="12.75" x14ac:dyDescent="0.2">
      <c r="J898" s="192"/>
      <c r="T898" s="192"/>
    </row>
    <row r="899" spans="10:20" s="126" customFormat="1" ht="12.75" x14ac:dyDescent="0.2">
      <c r="J899" s="192"/>
      <c r="T899" s="192"/>
    </row>
    <row r="900" spans="10:20" s="126" customFormat="1" ht="12.75" x14ac:dyDescent="0.2">
      <c r="J900" s="192"/>
      <c r="T900" s="192"/>
    </row>
    <row r="901" spans="10:20" s="126" customFormat="1" ht="12.75" x14ac:dyDescent="0.2">
      <c r="J901" s="192"/>
      <c r="T901" s="192"/>
    </row>
    <row r="902" spans="10:20" s="126" customFormat="1" ht="12.75" x14ac:dyDescent="0.2">
      <c r="J902" s="192"/>
      <c r="T902" s="192"/>
    </row>
    <row r="903" spans="10:20" s="126" customFormat="1" ht="12.75" x14ac:dyDescent="0.2">
      <c r="J903" s="192"/>
      <c r="T903" s="192"/>
    </row>
    <row r="904" spans="10:20" s="126" customFormat="1" ht="12.75" x14ac:dyDescent="0.2">
      <c r="J904" s="192"/>
      <c r="T904" s="192"/>
    </row>
    <row r="905" spans="10:20" s="126" customFormat="1" ht="12.75" x14ac:dyDescent="0.2">
      <c r="J905" s="192"/>
      <c r="T905" s="192"/>
    </row>
    <row r="906" spans="10:20" s="126" customFormat="1" ht="12.75" x14ac:dyDescent="0.2">
      <c r="J906" s="192"/>
      <c r="T906" s="192"/>
    </row>
    <row r="907" spans="10:20" s="126" customFormat="1" ht="12.75" x14ac:dyDescent="0.2">
      <c r="J907" s="192"/>
      <c r="T907" s="192"/>
    </row>
    <row r="908" spans="10:20" s="126" customFormat="1" ht="12.75" x14ac:dyDescent="0.2">
      <c r="J908" s="192"/>
      <c r="T908" s="192"/>
    </row>
    <row r="909" spans="10:20" s="126" customFormat="1" ht="12.75" x14ac:dyDescent="0.2">
      <c r="J909" s="192"/>
      <c r="T909" s="192"/>
    </row>
    <row r="910" spans="10:20" s="126" customFormat="1" ht="12.75" x14ac:dyDescent="0.2">
      <c r="J910" s="192"/>
      <c r="T910" s="192"/>
    </row>
    <row r="911" spans="10:20" s="126" customFormat="1" ht="12.75" x14ac:dyDescent="0.2">
      <c r="J911" s="192"/>
      <c r="T911" s="192"/>
    </row>
    <row r="912" spans="10:20" s="126" customFormat="1" ht="12.75" x14ac:dyDescent="0.2">
      <c r="J912" s="192"/>
      <c r="T912" s="192"/>
    </row>
    <row r="913" spans="10:20" s="126" customFormat="1" ht="12.75" x14ac:dyDescent="0.2">
      <c r="J913" s="192"/>
      <c r="T913" s="192"/>
    </row>
    <row r="914" spans="10:20" s="126" customFormat="1" ht="12.75" x14ac:dyDescent="0.2">
      <c r="J914" s="192"/>
      <c r="T914" s="192"/>
    </row>
    <row r="915" spans="10:20" s="126" customFormat="1" ht="12.75" x14ac:dyDescent="0.2">
      <c r="J915" s="192"/>
      <c r="T915" s="192"/>
    </row>
    <row r="916" spans="10:20" s="126" customFormat="1" ht="12.75" x14ac:dyDescent="0.2">
      <c r="J916" s="192"/>
      <c r="T916" s="192"/>
    </row>
    <row r="917" spans="10:20" s="126" customFormat="1" ht="12.75" x14ac:dyDescent="0.2">
      <c r="J917" s="192"/>
      <c r="T917" s="192"/>
    </row>
    <row r="918" spans="10:20" s="126" customFormat="1" ht="12.75" x14ac:dyDescent="0.2">
      <c r="J918" s="192"/>
      <c r="T918" s="192"/>
    </row>
    <row r="919" spans="10:20" s="126" customFormat="1" ht="12.75" x14ac:dyDescent="0.2">
      <c r="J919" s="192"/>
      <c r="T919" s="192"/>
    </row>
    <row r="920" spans="10:20" s="126" customFormat="1" ht="12.75" x14ac:dyDescent="0.2">
      <c r="J920" s="192"/>
      <c r="T920" s="192"/>
    </row>
    <row r="921" spans="10:20" s="126" customFormat="1" ht="12.75" x14ac:dyDescent="0.2">
      <c r="J921" s="192"/>
      <c r="T921" s="192"/>
    </row>
    <row r="922" spans="10:20" s="126" customFormat="1" ht="12.75" x14ac:dyDescent="0.2">
      <c r="J922" s="192"/>
      <c r="T922" s="192"/>
    </row>
    <row r="923" spans="10:20" s="126" customFormat="1" ht="12.75" x14ac:dyDescent="0.2">
      <c r="J923" s="192"/>
      <c r="T923" s="192"/>
    </row>
    <row r="924" spans="10:20" s="126" customFormat="1" ht="12.75" x14ac:dyDescent="0.2">
      <c r="J924" s="192"/>
      <c r="T924" s="192"/>
    </row>
    <row r="925" spans="10:20" s="126" customFormat="1" ht="12.75" x14ac:dyDescent="0.2">
      <c r="J925" s="192"/>
      <c r="T925" s="192"/>
    </row>
    <row r="926" spans="10:20" s="126" customFormat="1" ht="12.75" x14ac:dyDescent="0.2">
      <c r="J926" s="192"/>
      <c r="T926" s="192"/>
    </row>
    <row r="927" spans="10:20" s="126" customFormat="1" ht="12.75" x14ac:dyDescent="0.2">
      <c r="J927" s="192"/>
      <c r="T927" s="192"/>
    </row>
    <row r="928" spans="10:20" s="126" customFormat="1" ht="12.75" x14ac:dyDescent="0.2">
      <c r="J928" s="192"/>
      <c r="T928" s="192"/>
    </row>
    <row r="929" spans="10:20" s="126" customFormat="1" ht="12.75" x14ac:dyDescent="0.2">
      <c r="J929" s="192"/>
      <c r="T929" s="192"/>
    </row>
    <row r="930" spans="10:20" s="126" customFormat="1" ht="12.75" x14ac:dyDescent="0.2">
      <c r="J930" s="192"/>
      <c r="T930" s="192"/>
    </row>
    <row r="931" spans="10:20" s="126" customFormat="1" ht="12.75" x14ac:dyDescent="0.2">
      <c r="J931" s="192"/>
      <c r="T931" s="192"/>
    </row>
    <row r="932" spans="10:20" s="126" customFormat="1" ht="12.75" x14ac:dyDescent="0.2">
      <c r="J932" s="192"/>
      <c r="T932" s="192"/>
    </row>
    <row r="933" spans="10:20" s="126" customFormat="1" ht="12.75" x14ac:dyDescent="0.2">
      <c r="J933" s="192"/>
      <c r="T933" s="192"/>
    </row>
    <row r="934" spans="10:20" s="126" customFormat="1" ht="12.75" x14ac:dyDescent="0.2">
      <c r="J934" s="192"/>
      <c r="T934" s="192"/>
    </row>
    <row r="935" spans="10:20" s="126" customFormat="1" ht="12.75" x14ac:dyDescent="0.2">
      <c r="J935" s="192"/>
      <c r="T935" s="192"/>
    </row>
    <row r="936" spans="10:20" s="126" customFormat="1" ht="12.75" x14ac:dyDescent="0.2">
      <c r="J936" s="192"/>
      <c r="T936" s="192"/>
    </row>
    <row r="937" spans="10:20" s="126" customFormat="1" ht="12.75" x14ac:dyDescent="0.2">
      <c r="J937" s="192"/>
      <c r="T937" s="192"/>
    </row>
    <row r="938" spans="10:20" s="126" customFormat="1" ht="12.75" x14ac:dyDescent="0.2">
      <c r="J938" s="192"/>
      <c r="T938" s="192"/>
    </row>
    <row r="939" spans="10:20" s="126" customFormat="1" ht="12.75" x14ac:dyDescent="0.2">
      <c r="J939" s="192"/>
      <c r="T939" s="192"/>
    </row>
    <row r="940" spans="10:20" s="126" customFormat="1" ht="12.75" x14ac:dyDescent="0.2">
      <c r="J940" s="192"/>
      <c r="T940" s="192"/>
    </row>
    <row r="941" spans="10:20" s="126" customFormat="1" ht="12.75" x14ac:dyDescent="0.2">
      <c r="J941" s="192"/>
      <c r="T941" s="192"/>
    </row>
    <row r="942" spans="10:20" s="126" customFormat="1" ht="12.75" x14ac:dyDescent="0.2">
      <c r="J942" s="192"/>
      <c r="T942" s="192"/>
    </row>
    <row r="943" spans="10:20" s="126" customFormat="1" ht="12.75" x14ac:dyDescent="0.2">
      <c r="J943" s="192"/>
      <c r="T943" s="192"/>
    </row>
    <row r="944" spans="10:20" s="126" customFormat="1" ht="12.75" x14ac:dyDescent="0.2">
      <c r="J944" s="192"/>
      <c r="T944" s="192"/>
    </row>
    <row r="945" spans="10:20" s="126" customFormat="1" ht="12.75" x14ac:dyDescent="0.2">
      <c r="J945" s="192"/>
      <c r="T945" s="192"/>
    </row>
    <row r="946" spans="10:20" s="126" customFormat="1" ht="12.75" x14ac:dyDescent="0.2">
      <c r="J946" s="192"/>
      <c r="T946" s="192"/>
    </row>
    <row r="947" spans="10:20" s="126" customFormat="1" ht="12.75" x14ac:dyDescent="0.2">
      <c r="J947" s="192"/>
      <c r="T947" s="192"/>
    </row>
    <row r="948" spans="10:20" s="126" customFormat="1" ht="12.75" x14ac:dyDescent="0.2">
      <c r="J948" s="192"/>
      <c r="T948" s="192"/>
    </row>
    <row r="949" spans="10:20" s="126" customFormat="1" ht="12.75" x14ac:dyDescent="0.2">
      <c r="J949" s="192"/>
      <c r="T949" s="192"/>
    </row>
    <row r="950" spans="10:20" s="126" customFormat="1" ht="12.75" x14ac:dyDescent="0.2">
      <c r="J950" s="192"/>
      <c r="T950" s="192"/>
    </row>
    <row r="951" spans="10:20" s="126" customFormat="1" ht="12.75" x14ac:dyDescent="0.2">
      <c r="J951" s="192"/>
      <c r="T951" s="192"/>
    </row>
    <row r="952" spans="10:20" s="126" customFormat="1" ht="12.75" x14ac:dyDescent="0.2">
      <c r="J952" s="192"/>
      <c r="T952" s="192"/>
    </row>
    <row r="953" spans="10:20" s="126" customFormat="1" ht="12.75" x14ac:dyDescent="0.2">
      <c r="J953" s="192"/>
      <c r="T953" s="192"/>
    </row>
    <row r="954" spans="10:20" s="126" customFormat="1" ht="12.75" x14ac:dyDescent="0.2">
      <c r="J954" s="192"/>
      <c r="T954" s="192"/>
    </row>
    <row r="955" spans="10:20" s="126" customFormat="1" ht="12.75" x14ac:dyDescent="0.2">
      <c r="J955" s="192"/>
      <c r="T955" s="192"/>
    </row>
    <row r="956" spans="10:20" s="126" customFormat="1" ht="12.75" x14ac:dyDescent="0.2">
      <c r="J956" s="192"/>
      <c r="T956" s="192"/>
    </row>
    <row r="957" spans="10:20" s="126" customFormat="1" ht="12.75" x14ac:dyDescent="0.2">
      <c r="J957" s="192"/>
      <c r="T957" s="192"/>
    </row>
    <row r="958" spans="10:20" s="126" customFormat="1" ht="12.75" x14ac:dyDescent="0.2">
      <c r="J958" s="192"/>
      <c r="T958" s="192"/>
    </row>
    <row r="959" spans="10:20" s="126" customFormat="1" ht="12.75" x14ac:dyDescent="0.2">
      <c r="J959" s="192"/>
      <c r="T959" s="192"/>
    </row>
    <row r="960" spans="10:20" s="126" customFormat="1" ht="12.75" x14ac:dyDescent="0.2">
      <c r="J960" s="192"/>
      <c r="T960" s="192"/>
    </row>
    <row r="961" spans="10:20" s="126" customFormat="1" ht="12.75" x14ac:dyDescent="0.2">
      <c r="J961" s="192"/>
      <c r="T961" s="192"/>
    </row>
    <row r="962" spans="10:20" s="126" customFormat="1" ht="12.75" x14ac:dyDescent="0.2">
      <c r="J962" s="192"/>
      <c r="T962" s="192"/>
    </row>
    <row r="963" spans="10:20" s="126" customFormat="1" ht="12.75" x14ac:dyDescent="0.2">
      <c r="J963" s="192"/>
      <c r="T963" s="192"/>
    </row>
    <row r="964" spans="10:20" s="126" customFormat="1" ht="12.75" x14ac:dyDescent="0.2">
      <c r="J964" s="192"/>
      <c r="T964" s="192"/>
    </row>
    <row r="965" spans="10:20" s="126" customFormat="1" ht="12.75" x14ac:dyDescent="0.2">
      <c r="J965" s="192"/>
      <c r="T965" s="192"/>
    </row>
    <row r="966" spans="10:20" s="126" customFormat="1" ht="12.75" x14ac:dyDescent="0.2">
      <c r="J966" s="192"/>
      <c r="T966" s="192"/>
    </row>
    <row r="967" spans="10:20" s="126" customFormat="1" ht="12.75" x14ac:dyDescent="0.2">
      <c r="J967" s="192"/>
      <c r="T967" s="192"/>
    </row>
    <row r="968" spans="10:20" s="126" customFormat="1" ht="12.75" x14ac:dyDescent="0.2">
      <c r="J968" s="192"/>
      <c r="T968" s="192"/>
    </row>
    <row r="969" spans="10:20" s="126" customFormat="1" ht="12.75" x14ac:dyDescent="0.2">
      <c r="J969" s="192"/>
      <c r="T969" s="192"/>
    </row>
    <row r="970" spans="10:20" s="126" customFormat="1" ht="12.75" x14ac:dyDescent="0.2">
      <c r="J970" s="192"/>
      <c r="T970" s="192"/>
    </row>
    <row r="971" spans="10:20" s="126" customFormat="1" ht="12.75" x14ac:dyDescent="0.2">
      <c r="J971" s="192"/>
      <c r="T971" s="192"/>
    </row>
    <row r="972" spans="10:20" s="126" customFormat="1" ht="12.75" x14ac:dyDescent="0.2">
      <c r="J972" s="192"/>
      <c r="T972" s="192"/>
    </row>
    <row r="973" spans="10:20" s="126" customFormat="1" ht="12.75" x14ac:dyDescent="0.2">
      <c r="J973" s="192"/>
      <c r="T973" s="192"/>
    </row>
    <row r="974" spans="10:20" s="126" customFormat="1" ht="12.75" x14ac:dyDescent="0.2">
      <c r="J974" s="192"/>
      <c r="T974" s="192"/>
    </row>
    <row r="975" spans="10:20" s="126" customFormat="1" ht="12.75" x14ac:dyDescent="0.2">
      <c r="J975" s="192"/>
      <c r="T975" s="192"/>
    </row>
    <row r="976" spans="10:20" s="126" customFormat="1" ht="12.75" x14ac:dyDescent="0.2">
      <c r="J976" s="192"/>
      <c r="T976" s="192"/>
    </row>
    <row r="977" spans="10:20" s="126" customFormat="1" ht="12.75" x14ac:dyDescent="0.2">
      <c r="J977" s="192"/>
      <c r="T977" s="192"/>
    </row>
    <row r="978" spans="10:20" s="126" customFormat="1" ht="12.75" x14ac:dyDescent="0.2">
      <c r="J978" s="192"/>
      <c r="T978" s="192"/>
    </row>
    <row r="979" spans="10:20" s="126" customFormat="1" ht="12.75" x14ac:dyDescent="0.2">
      <c r="J979" s="192"/>
      <c r="T979" s="192"/>
    </row>
    <row r="980" spans="10:20" s="126" customFormat="1" ht="12.75" x14ac:dyDescent="0.2">
      <c r="J980" s="192"/>
      <c r="T980" s="192"/>
    </row>
    <row r="981" spans="10:20" s="126" customFormat="1" ht="12.75" x14ac:dyDescent="0.2">
      <c r="J981" s="192"/>
      <c r="T981" s="192"/>
    </row>
    <row r="982" spans="10:20" s="126" customFormat="1" ht="12.75" x14ac:dyDescent="0.2">
      <c r="J982" s="192"/>
      <c r="T982" s="192"/>
    </row>
    <row r="983" spans="10:20" s="126" customFormat="1" ht="12.75" x14ac:dyDescent="0.2">
      <c r="J983" s="192"/>
      <c r="T983" s="192"/>
    </row>
    <row r="984" spans="10:20" s="126" customFormat="1" ht="12.75" x14ac:dyDescent="0.2">
      <c r="J984" s="192"/>
      <c r="T984" s="192"/>
    </row>
    <row r="985" spans="10:20" s="126" customFormat="1" ht="12.75" x14ac:dyDescent="0.2">
      <c r="J985" s="192"/>
      <c r="T985" s="192"/>
    </row>
    <row r="986" spans="10:20" s="126" customFormat="1" ht="12.75" x14ac:dyDescent="0.2">
      <c r="J986" s="192"/>
      <c r="T986" s="192"/>
    </row>
    <row r="987" spans="10:20" s="126" customFormat="1" ht="12.75" x14ac:dyDescent="0.2">
      <c r="J987" s="192"/>
      <c r="T987" s="192"/>
    </row>
    <row r="988" spans="10:20" s="126" customFormat="1" ht="12.75" x14ac:dyDescent="0.2">
      <c r="J988" s="192"/>
      <c r="T988" s="192"/>
    </row>
    <row r="989" spans="10:20" s="126" customFormat="1" ht="12.75" x14ac:dyDescent="0.2">
      <c r="J989" s="192"/>
      <c r="T989" s="192"/>
    </row>
    <row r="990" spans="10:20" s="126" customFormat="1" ht="12.75" x14ac:dyDescent="0.2">
      <c r="J990" s="192"/>
      <c r="T990" s="192"/>
    </row>
    <row r="991" spans="10:20" s="126" customFormat="1" ht="12.75" x14ac:dyDescent="0.2">
      <c r="J991" s="192"/>
      <c r="T991" s="192"/>
    </row>
    <row r="992" spans="10:20" s="126" customFormat="1" ht="12.75" x14ac:dyDescent="0.2">
      <c r="J992" s="192"/>
      <c r="T992" s="192"/>
    </row>
    <row r="993" spans="10:20" s="126" customFormat="1" ht="12.75" x14ac:dyDescent="0.2">
      <c r="J993" s="192"/>
      <c r="T993" s="192"/>
    </row>
    <row r="994" spans="10:20" s="126" customFormat="1" ht="12.75" x14ac:dyDescent="0.2">
      <c r="J994" s="192"/>
      <c r="T994" s="192"/>
    </row>
    <row r="995" spans="10:20" s="126" customFormat="1" ht="12.75" x14ac:dyDescent="0.2">
      <c r="J995" s="192"/>
      <c r="T995" s="192"/>
    </row>
    <row r="996" spans="10:20" s="126" customFormat="1" ht="12.75" x14ac:dyDescent="0.2">
      <c r="J996" s="192"/>
      <c r="T996" s="192"/>
    </row>
    <row r="997" spans="10:20" s="126" customFormat="1" ht="12.75" x14ac:dyDescent="0.2">
      <c r="J997" s="192"/>
      <c r="T997" s="192"/>
    </row>
    <row r="998" spans="10:20" s="126" customFormat="1" ht="12.75" x14ac:dyDescent="0.2">
      <c r="J998" s="192"/>
      <c r="T998" s="192"/>
    </row>
    <row r="999" spans="10:20" s="126" customFormat="1" ht="12.75" x14ac:dyDescent="0.2">
      <c r="J999" s="192"/>
      <c r="T999" s="192"/>
    </row>
    <row r="1000" spans="10:20" s="126" customFormat="1" ht="12.75" x14ac:dyDescent="0.2">
      <c r="J1000" s="192"/>
      <c r="T1000" s="192"/>
    </row>
    <row r="1001" spans="10:20" s="126" customFormat="1" ht="12.75" x14ac:dyDescent="0.2">
      <c r="J1001" s="192"/>
      <c r="T1001" s="192"/>
    </row>
    <row r="1002" spans="10:20" s="126" customFormat="1" ht="12.75" x14ac:dyDescent="0.2">
      <c r="J1002" s="192"/>
      <c r="T1002" s="192"/>
    </row>
    <row r="1003" spans="10:20" s="126" customFormat="1" ht="12.75" x14ac:dyDescent="0.2">
      <c r="J1003" s="192"/>
      <c r="T1003" s="192"/>
    </row>
    <row r="1004" spans="10:20" s="126" customFormat="1" ht="12.75" x14ac:dyDescent="0.2">
      <c r="J1004" s="192"/>
      <c r="T1004" s="192"/>
    </row>
    <row r="1005" spans="10:20" s="126" customFormat="1" ht="12.75" x14ac:dyDescent="0.2">
      <c r="J1005" s="192"/>
      <c r="T1005" s="192"/>
    </row>
    <row r="1006" spans="10:20" s="126" customFormat="1" ht="12.75" x14ac:dyDescent="0.2">
      <c r="J1006" s="192"/>
      <c r="T1006" s="192"/>
    </row>
    <row r="1007" spans="10:20" s="126" customFormat="1" ht="12.75" x14ac:dyDescent="0.2">
      <c r="J1007" s="192"/>
      <c r="T1007" s="192"/>
    </row>
    <row r="1008" spans="10:20" s="126" customFormat="1" ht="12.75" x14ac:dyDescent="0.2">
      <c r="J1008" s="192"/>
      <c r="T1008" s="192"/>
    </row>
    <row r="1009" spans="10:20" s="126" customFormat="1" ht="12.75" x14ac:dyDescent="0.2">
      <c r="J1009" s="192"/>
      <c r="T1009" s="192"/>
    </row>
    <row r="1010" spans="10:20" s="126" customFormat="1" ht="12.75" x14ac:dyDescent="0.2">
      <c r="J1010" s="192"/>
      <c r="T1010" s="192"/>
    </row>
    <row r="1011" spans="10:20" s="126" customFormat="1" ht="12.75" x14ac:dyDescent="0.2">
      <c r="J1011" s="192"/>
      <c r="T1011" s="192"/>
    </row>
    <row r="1012" spans="10:20" s="126" customFormat="1" ht="12.75" x14ac:dyDescent="0.2">
      <c r="J1012" s="192"/>
      <c r="T1012" s="192"/>
    </row>
    <row r="1013" spans="10:20" s="126" customFormat="1" ht="12.75" x14ac:dyDescent="0.2">
      <c r="J1013" s="192"/>
      <c r="T1013" s="192"/>
    </row>
    <row r="1014" spans="10:20" s="126" customFormat="1" ht="12.75" x14ac:dyDescent="0.2">
      <c r="J1014" s="192"/>
      <c r="T1014" s="192"/>
    </row>
    <row r="1015" spans="10:20" s="126" customFormat="1" ht="12.75" x14ac:dyDescent="0.2">
      <c r="J1015" s="192"/>
      <c r="T1015" s="192"/>
    </row>
    <row r="1016" spans="10:20" s="126" customFormat="1" ht="12.75" x14ac:dyDescent="0.2">
      <c r="J1016" s="192"/>
      <c r="T1016" s="192"/>
    </row>
    <row r="1017" spans="10:20" s="126" customFormat="1" ht="12.75" x14ac:dyDescent="0.2">
      <c r="J1017" s="192"/>
      <c r="T1017" s="192"/>
    </row>
    <row r="1018" spans="10:20" s="126" customFormat="1" ht="12.75" x14ac:dyDescent="0.2">
      <c r="J1018" s="192"/>
      <c r="T1018" s="192"/>
    </row>
    <row r="1019" spans="10:20" s="126" customFormat="1" ht="12.75" x14ac:dyDescent="0.2">
      <c r="J1019" s="192"/>
      <c r="T1019" s="192"/>
    </row>
    <row r="1020" spans="10:20" s="126" customFormat="1" ht="12.75" x14ac:dyDescent="0.2">
      <c r="J1020" s="192"/>
      <c r="T1020" s="192"/>
    </row>
    <row r="1021" spans="10:20" s="126" customFormat="1" ht="12.75" x14ac:dyDescent="0.2">
      <c r="J1021" s="192"/>
      <c r="T1021" s="192"/>
    </row>
    <row r="1022" spans="10:20" s="126" customFormat="1" ht="12.75" x14ac:dyDescent="0.2">
      <c r="J1022" s="192"/>
      <c r="T1022" s="192"/>
    </row>
    <row r="1023" spans="10:20" s="126" customFormat="1" ht="12.75" x14ac:dyDescent="0.2">
      <c r="J1023" s="192"/>
      <c r="T1023" s="192"/>
    </row>
    <row r="1024" spans="10:20" s="126" customFormat="1" ht="12.75" x14ac:dyDescent="0.2">
      <c r="J1024" s="192"/>
      <c r="T1024" s="192"/>
    </row>
    <row r="1025" spans="10:20" s="126" customFormat="1" ht="12.75" x14ac:dyDescent="0.2">
      <c r="J1025" s="192"/>
      <c r="T1025" s="192"/>
    </row>
    <row r="1026" spans="10:20" s="126" customFormat="1" ht="12.75" x14ac:dyDescent="0.2">
      <c r="J1026" s="192"/>
      <c r="T1026" s="192"/>
    </row>
    <row r="1027" spans="10:20" s="126" customFormat="1" ht="12.75" x14ac:dyDescent="0.2">
      <c r="J1027" s="192"/>
      <c r="T1027" s="192"/>
    </row>
    <row r="1028" spans="10:20" s="126" customFormat="1" ht="12.75" x14ac:dyDescent="0.2">
      <c r="J1028" s="192"/>
      <c r="T1028" s="192"/>
    </row>
    <row r="1029" spans="10:20" s="126" customFormat="1" ht="12.75" x14ac:dyDescent="0.2">
      <c r="J1029" s="192"/>
      <c r="T1029" s="192"/>
    </row>
    <row r="1030" spans="10:20" s="126" customFormat="1" ht="12.75" x14ac:dyDescent="0.2">
      <c r="J1030" s="192"/>
      <c r="T1030" s="192"/>
    </row>
    <row r="1031" spans="10:20" s="126" customFormat="1" ht="12.75" x14ac:dyDescent="0.2">
      <c r="J1031" s="192"/>
      <c r="T1031" s="192"/>
    </row>
    <row r="1032" spans="10:20" s="126" customFormat="1" ht="12.75" x14ac:dyDescent="0.2">
      <c r="J1032" s="192"/>
      <c r="T1032" s="192"/>
    </row>
    <row r="1033" spans="10:20" s="126" customFormat="1" ht="12.75" x14ac:dyDescent="0.2">
      <c r="J1033" s="192"/>
      <c r="T1033" s="192"/>
    </row>
    <row r="1034" spans="10:20" s="126" customFormat="1" ht="12.75" x14ac:dyDescent="0.2">
      <c r="J1034" s="192"/>
      <c r="T1034" s="192"/>
    </row>
    <row r="1035" spans="10:20" s="126" customFormat="1" ht="12.75" x14ac:dyDescent="0.2">
      <c r="J1035" s="192"/>
      <c r="T1035" s="192"/>
    </row>
    <row r="1036" spans="10:20" s="126" customFormat="1" ht="12.75" x14ac:dyDescent="0.2">
      <c r="J1036" s="192"/>
      <c r="T1036" s="192"/>
    </row>
    <row r="1037" spans="10:20" s="126" customFormat="1" ht="12.75" x14ac:dyDescent="0.2">
      <c r="J1037" s="192"/>
      <c r="T1037" s="192"/>
    </row>
    <row r="1038" spans="10:20" s="126" customFormat="1" ht="12.75" x14ac:dyDescent="0.2">
      <c r="J1038" s="192"/>
      <c r="T1038" s="192"/>
    </row>
    <row r="1039" spans="10:20" s="126" customFormat="1" ht="12.75" x14ac:dyDescent="0.2">
      <c r="J1039" s="192"/>
      <c r="T1039" s="192"/>
    </row>
    <row r="1040" spans="10:20" s="126" customFormat="1" ht="12.75" x14ac:dyDescent="0.2">
      <c r="J1040" s="192"/>
      <c r="T1040" s="192"/>
    </row>
    <row r="1041" spans="10:20" s="126" customFormat="1" ht="12.75" x14ac:dyDescent="0.2">
      <c r="J1041" s="192"/>
      <c r="T1041" s="192"/>
    </row>
    <row r="1042" spans="10:20" s="126" customFormat="1" ht="12.75" x14ac:dyDescent="0.2">
      <c r="J1042" s="192"/>
      <c r="T1042" s="192"/>
    </row>
    <row r="1043" spans="10:20" s="126" customFormat="1" ht="12.75" x14ac:dyDescent="0.2">
      <c r="J1043" s="192"/>
      <c r="T1043" s="192"/>
    </row>
    <row r="1044" spans="10:20" s="126" customFormat="1" ht="12.75" x14ac:dyDescent="0.2">
      <c r="J1044" s="192"/>
      <c r="T1044" s="192"/>
    </row>
    <row r="1045" spans="10:20" s="126" customFormat="1" ht="12.75" x14ac:dyDescent="0.2">
      <c r="J1045" s="192"/>
      <c r="T1045" s="192"/>
    </row>
    <row r="1046" spans="10:20" s="126" customFormat="1" ht="12.75" x14ac:dyDescent="0.2">
      <c r="J1046" s="192"/>
      <c r="T1046" s="192"/>
    </row>
    <row r="1047" spans="10:20" s="126" customFormat="1" ht="12.75" x14ac:dyDescent="0.2">
      <c r="J1047" s="192"/>
      <c r="T1047" s="192"/>
    </row>
    <row r="1048" spans="10:20" s="126" customFormat="1" ht="12.75" x14ac:dyDescent="0.2">
      <c r="J1048" s="192"/>
      <c r="T1048" s="192"/>
    </row>
    <row r="1049" spans="10:20" s="126" customFormat="1" ht="12.75" x14ac:dyDescent="0.2">
      <c r="J1049" s="192"/>
      <c r="T1049" s="192"/>
    </row>
    <row r="1050" spans="10:20" s="126" customFormat="1" ht="12.75" x14ac:dyDescent="0.2">
      <c r="J1050" s="192"/>
      <c r="T1050" s="192"/>
    </row>
    <row r="1051" spans="10:20" s="126" customFormat="1" ht="12.75" x14ac:dyDescent="0.2">
      <c r="J1051" s="192"/>
      <c r="T1051" s="192"/>
    </row>
    <row r="1052" spans="10:20" s="126" customFormat="1" ht="12.75" x14ac:dyDescent="0.2">
      <c r="J1052" s="192"/>
      <c r="T1052" s="192"/>
    </row>
    <row r="1053" spans="10:20" s="126" customFormat="1" ht="12.75" x14ac:dyDescent="0.2">
      <c r="J1053" s="192"/>
      <c r="T1053" s="192"/>
    </row>
    <row r="1054" spans="10:20" s="126" customFormat="1" ht="12.75" x14ac:dyDescent="0.2">
      <c r="J1054" s="192"/>
      <c r="T1054" s="192"/>
    </row>
    <row r="1055" spans="10:20" s="126" customFormat="1" ht="12.75" x14ac:dyDescent="0.2">
      <c r="J1055" s="192"/>
      <c r="T1055" s="192"/>
    </row>
    <row r="1056" spans="10:20" s="126" customFormat="1" ht="12.75" x14ac:dyDescent="0.2">
      <c r="J1056" s="192"/>
      <c r="T1056" s="192"/>
    </row>
    <row r="1057" spans="10:20" s="126" customFormat="1" ht="12.75" x14ac:dyDescent="0.2">
      <c r="J1057" s="192"/>
      <c r="T1057" s="192"/>
    </row>
    <row r="1058" spans="10:20" s="126" customFormat="1" ht="12.75" x14ac:dyDescent="0.2">
      <c r="J1058" s="192"/>
      <c r="T1058" s="192"/>
    </row>
    <row r="1059" spans="10:20" s="126" customFormat="1" ht="12.75" x14ac:dyDescent="0.2">
      <c r="J1059" s="192"/>
      <c r="T1059" s="192"/>
    </row>
    <row r="1060" spans="10:20" s="126" customFormat="1" ht="12.75" x14ac:dyDescent="0.2">
      <c r="J1060" s="192"/>
      <c r="T1060" s="192"/>
    </row>
    <row r="1061" spans="10:20" s="126" customFormat="1" ht="12.75" x14ac:dyDescent="0.2">
      <c r="J1061" s="192"/>
      <c r="T1061" s="192"/>
    </row>
    <row r="1062" spans="10:20" s="126" customFormat="1" ht="12.75" x14ac:dyDescent="0.2">
      <c r="J1062" s="192"/>
      <c r="T1062" s="192"/>
    </row>
    <row r="1063" spans="10:20" s="126" customFormat="1" ht="12.75" x14ac:dyDescent="0.2">
      <c r="J1063" s="192"/>
      <c r="T1063" s="192"/>
    </row>
    <row r="1064" spans="10:20" s="126" customFormat="1" ht="12.75" x14ac:dyDescent="0.2">
      <c r="J1064" s="192"/>
      <c r="T1064" s="192"/>
    </row>
    <row r="1065" spans="10:20" s="126" customFormat="1" ht="12.75" x14ac:dyDescent="0.2">
      <c r="J1065" s="192"/>
      <c r="T1065" s="192"/>
    </row>
    <row r="1066" spans="10:20" s="126" customFormat="1" ht="12.75" x14ac:dyDescent="0.2">
      <c r="J1066" s="192"/>
      <c r="T1066" s="192"/>
    </row>
    <row r="1067" spans="10:20" s="126" customFormat="1" ht="12.75" x14ac:dyDescent="0.2">
      <c r="J1067" s="192"/>
      <c r="T1067" s="192"/>
    </row>
    <row r="1068" spans="10:20" s="126" customFormat="1" ht="12.75" x14ac:dyDescent="0.2">
      <c r="J1068" s="192"/>
      <c r="T1068" s="192"/>
    </row>
    <row r="1069" spans="10:20" s="126" customFormat="1" ht="12.75" x14ac:dyDescent="0.2">
      <c r="J1069" s="192"/>
      <c r="T1069" s="192"/>
    </row>
    <row r="1070" spans="10:20" s="126" customFormat="1" ht="12.75" x14ac:dyDescent="0.2">
      <c r="J1070" s="192"/>
      <c r="T1070" s="192"/>
    </row>
    <row r="1071" spans="10:20" s="126" customFormat="1" ht="12.75" x14ac:dyDescent="0.2">
      <c r="J1071" s="192"/>
      <c r="T1071" s="192"/>
    </row>
    <row r="1072" spans="10:20" s="126" customFormat="1" ht="12.75" x14ac:dyDescent="0.2">
      <c r="J1072" s="192"/>
      <c r="T1072" s="192"/>
    </row>
    <row r="1073" spans="10:20" s="126" customFormat="1" ht="12.75" x14ac:dyDescent="0.2">
      <c r="J1073" s="192"/>
      <c r="T1073" s="192"/>
    </row>
    <row r="1074" spans="10:20" s="126" customFormat="1" ht="12.75" x14ac:dyDescent="0.2">
      <c r="J1074" s="192"/>
      <c r="T1074" s="192"/>
    </row>
    <row r="1075" spans="10:20" s="126" customFormat="1" ht="12.75" x14ac:dyDescent="0.2">
      <c r="J1075" s="192"/>
      <c r="T1075" s="192"/>
    </row>
    <row r="1076" spans="10:20" s="126" customFormat="1" ht="12.75" x14ac:dyDescent="0.2">
      <c r="J1076" s="192"/>
      <c r="T1076" s="192"/>
    </row>
    <row r="1077" spans="10:20" s="126" customFormat="1" ht="12.75" x14ac:dyDescent="0.2">
      <c r="J1077" s="192"/>
      <c r="T1077" s="192"/>
    </row>
    <row r="1078" spans="10:20" s="126" customFormat="1" ht="12.75" x14ac:dyDescent="0.2">
      <c r="J1078" s="192"/>
      <c r="T1078" s="192"/>
    </row>
    <row r="1079" spans="10:20" s="126" customFormat="1" ht="12.75" x14ac:dyDescent="0.2">
      <c r="J1079" s="192"/>
      <c r="T1079" s="192"/>
    </row>
    <row r="1080" spans="10:20" s="126" customFormat="1" ht="12.75" x14ac:dyDescent="0.2">
      <c r="J1080" s="192"/>
      <c r="T1080" s="192"/>
    </row>
    <row r="1081" spans="10:20" s="126" customFormat="1" ht="12.75" x14ac:dyDescent="0.2">
      <c r="J1081" s="192"/>
      <c r="T1081" s="192"/>
    </row>
    <row r="1082" spans="10:20" s="126" customFormat="1" ht="12.75" x14ac:dyDescent="0.2">
      <c r="J1082" s="192"/>
      <c r="T1082" s="192"/>
    </row>
    <row r="1083" spans="10:20" s="126" customFormat="1" ht="12.75" x14ac:dyDescent="0.2">
      <c r="J1083" s="192"/>
      <c r="T1083" s="192"/>
    </row>
    <row r="1084" spans="10:20" s="126" customFormat="1" ht="12.75" x14ac:dyDescent="0.2">
      <c r="J1084" s="192"/>
      <c r="T1084" s="192"/>
    </row>
    <row r="1085" spans="10:20" s="126" customFormat="1" ht="12.75" x14ac:dyDescent="0.2">
      <c r="J1085" s="192"/>
      <c r="T1085" s="192"/>
    </row>
    <row r="1086" spans="10:20" s="126" customFormat="1" ht="12.75" x14ac:dyDescent="0.2">
      <c r="J1086" s="192"/>
      <c r="T1086" s="192"/>
    </row>
    <row r="1087" spans="10:20" s="126" customFormat="1" ht="12.75" x14ac:dyDescent="0.2">
      <c r="J1087" s="192"/>
      <c r="T1087" s="192"/>
    </row>
    <row r="1088" spans="10:20" s="126" customFormat="1" ht="12.75" x14ac:dyDescent="0.2">
      <c r="J1088" s="192"/>
      <c r="T1088" s="192"/>
    </row>
    <row r="1089" spans="10:20" s="126" customFormat="1" ht="12.75" x14ac:dyDescent="0.2">
      <c r="J1089" s="192"/>
      <c r="T1089" s="192"/>
    </row>
    <row r="1090" spans="10:20" s="126" customFormat="1" ht="12.75" x14ac:dyDescent="0.2">
      <c r="J1090" s="192"/>
      <c r="T1090" s="192"/>
    </row>
    <row r="1091" spans="10:20" s="126" customFormat="1" ht="12.75" x14ac:dyDescent="0.2">
      <c r="J1091" s="192"/>
      <c r="T1091" s="192"/>
    </row>
    <row r="1092" spans="10:20" s="126" customFormat="1" ht="12.75" x14ac:dyDescent="0.2">
      <c r="J1092" s="192"/>
      <c r="T1092" s="192"/>
    </row>
    <row r="1093" spans="10:20" s="126" customFormat="1" ht="12.75" x14ac:dyDescent="0.2">
      <c r="J1093" s="192"/>
      <c r="T1093" s="192"/>
    </row>
    <row r="1094" spans="10:20" s="126" customFormat="1" ht="12.75" x14ac:dyDescent="0.2">
      <c r="J1094" s="192"/>
      <c r="T1094" s="192"/>
    </row>
    <row r="1095" spans="10:20" s="126" customFormat="1" ht="12.75" x14ac:dyDescent="0.2">
      <c r="J1095" s="192"/>
      <c r="T1095" s="192"/>
    </row>
    <row r="1096" spans="10:20" s="126" customFormat="1" ht="12.75" x14ac:dyDescent="0.2">
      <c r="J1096" s="192"/>
      <c r="T1096" s="192"/>
    </row>
    <row r="1097" spans="10:20" s="126" customFormat="1" ht="12.75" x14ac:dyDescent="0.2">
      <c r="J1097" s="192"/>
      <c r="T1097" s="192"/>
    </row>
    <row r="1098" spans="10:20" s="126" customFormat="1" ht="12.75" x14ac:dyDescent="0.2">
      <c r="J1098" s="192"/>
      <c r="T1098" s="192"/>
    </row>
    <row r="1099" spans="10:20" s="126" customFormat="1" ht="12.75" x14ac:dyDescent="0.2">
      <c r="J1099" s="192"/>
      <c r="T1099" s="192"/>
    </row>
    <row r="1100" spans="10:20" s="126" customFormat="1" ht="12.75" x14ac:dyDescent="0.2">
      <c r="J1100" s="192"/>
      <c r="T1100" s="192"/>
    </row>
    <row r="1101" spans="10:20" s="126" customFormat="1" ht="12.75" x14ac:dyDescent="0.2">
      <c r="J1101" s="192"/>
      <c r="T1101" s="192"/>
    </row>
    <row r="1102" spans="10:20" s="126" customFormat="1" ht="12.75" x14ac:dyDescent="0.2">
      <c r="J1102" s="192"/>
      <c r="T1102" s="192"/>
    </row>
    <row r="1103" spans="10:20" s="126" customFormat="1" ht="12.75" x14ac:dyDescent="0.2">
      <c r="J1103" s="192"/>
      <c r="T1103" s="192"/>
    </row>
    <row r="1104" spans="10:20" s="126" customFormat="1" ht="12.75" x14ac:dyDescent="0.2">
      <c r="J1104" s="192"/>
      <c r="T1104" s="192"/>
    </row>
    <row r="1105" spans="10:20" s="126" customFormat="1" ht="12.75" x14ac:dyDescent="0.2">
      <c r="J1105" s="192"/>
      <c r="T1105" s="192"/>
    </row>
    <row r="1106" spans="10:20" s="126" customFormat="1" ht="12.75" x14ac:dyDescent="0.2">
      <c r="J1106" s="192"/>
      <c r="T1106" s="192"/>
    </row>
    <row r="1107" spans="10:20" s="126" customFormat="1" ht="12.75" x14ac:dyDescent="0.2">
      <c r="J1107" s="192"/>
      <c r="T1107" s="192"/>
    </row>
    <row r="1108" spans="10:20" s="126" customFormat="1" ht="12.75" x14ac:dyDescent="0.2">
      <c r="J1108" s="192"/>
      <c r="T1108" s="192"/>
    </row>
    <row r="1109" spans="10:20" s="126" customFormat="1" ht="12.75" x14ac:dyDescent="0.2">
      <c r="J1109" s="192"/>
      <c r="T1109" s="192"/>
    </row>
    <row r="1110" spans="10:20" s="126" customFormat="1" ht="12.75" x14ac:dyDescent="0.2">
      <c r="J1110" s="192"/>
      <c r="T1110" s="192"/>
    </row>
    <row r="1111" spans="10:20" s="126" customFormat="1" ht="12.75" x14ac:dyDescent="0.2">
      <c r="J1111" s="192"/>
      <c r="T1111" s="192"/>
    </row>
    <row r="1112" spans="10:20" s="126" customFormat="1" ht="12.75" x14ac:dyDescent="0.2">
      <c r="J1112" s="192"/>
      <c r="T1112" s="192"/>
    </row>
    <row r="1113" spans="10:20" s="126" customFormat="1" ht="12.75" x14ac:dyDescent="0.2">
      <c r="J1113" s="192"/>
      <c r="T1113" s="192"/>
    </row>
    <row r="1114" spans="10:20" s="126" customFormat="1" ht="12.75" x14ac:dyDescent="0.2">
      <c r="J1114" s="192"/>
      <c r="T1114" s="192"/>
    </row>
    <row r="1115" spans="10:20" s="126" customFormat="1" ht="12.75" x14ac:dyDescent="0.2">
      <c r="J1115" s="192"/>
      <c r="T1115" s="192"/>
    </row>
    <row r="1116" spans="10:20" s="126" customFormat="1" ht="12.75" x14ac:dyDescent="0.2">
      <c r="J1116" s="192"/>
      <c r="T1116" s="192"/>
    </row>
    <row r="1117" spans="10:20" s="126" customFormat="1" ht="12.75" x14ac:dyDescent="0.2">
      <c r="J1117" s="192"/>
      <c r="T1117" s="192"/>
    </row>
    <row r="1118" spans="10:20" s="126" customFormat="1" ht="12.75" x14ac:dyDescent="0.2">
      <c r="J1118" s="192"/>
      <c r="T1118" s="192"/>
    </row>
    <row r="1119" spans="10:20" s="126" customFormat="1" ht="12.75" x14ac:dyDescent="0.2">
      <c r="J1119" s="192"/>
      <c r="T1119" s="192"/>
    </row>
    <row r="1120" spans="10:20" s="126" customFormat="1" ht="12.75" x14ac:dyDescent="0.2">
      <c r="J1120" s="192"/>
      <c r="T1120" s="192"/>
    </row>
    <row r="1121" spans="10:20" s="126" customFormat="1" ht="12.75" x14ac:dyDescent="0.2">
      <c r="J1121" s="192"/>
      <c r="T1121" s="192"/>
    </row>
    <row r="1122" spans="10:20" s="126" customFormat="1" ht="12.75" x14ac:dyDescent="0.2">
      <c r="J1122" s="192"/>
      <c r="T1122" s="192"/>
    </row>
    <row r="1123" spans="10:20" s="126" customFormat="1" ht="12.75" x14ac:dyDescent="0.2">
      <c r="J1123" s="192"/>
      <c r="T1123" s="192"/>
    </row>
    <row r="1124" spans="10:20" s="126" customFormat="1" ht="12.75" x14ac:dyDescent="0.2">
      <c r="J1124" s="192"/>
      <c r="T1124" s="192"/>
    </row>
    <row r="1125" spans="10:20" s="126" customFormat="1" ht="12.75" x14ac:dyDescent="0.2">
      <c r="J1125" s="192"/>
      <c r="T1125" s="192"/>
    </row>
    <row r="1126" spans="10:20" s="126" customFormat="1" ht="12.75" x14ac:dyDescent="0.2">
      <c r="J1126" s="192"/>
      <c r="T1126" s="192"/>
    </row>
    <row r="1127" spans="10:20" s="126" customFormat="1" ht="12.75" x14ac:dyDescent="0.2">
      <c r="J1127" s="192"/>
      <c r="T1127" s="192"/>
    </row>
    <row r="1128" spans="10:20" s="126" customFormat="1" ht="12.75" x14ac:dyDescent="0.2">
      <c r="J1128" s="192"/>
      <c r="T1128" s="192"/>
    </row>
    <row r="1129" spans="10:20" s="126" customFormat="1" ht="12.75" x14ac:dyDescent="0.2">
      <c r="J1129" s="192"/>
      <c r="T1129" s="192"/>
    </row>
    <row r="1130" spans="10:20" s="126" customFormat="1" ht="12.75" x14ac:dyDescent="0.2">
      <c r="J1130" s="192"/>
      <c r="T1130" s="192"/>
    </row>
    <row r="1131" spans="10:20" s="126" customFormat="1" ht="12.75" x14ac:dyDescent="0.2">
      <c r="J1131" s="192"/>
      <c r="T1131" s="192"/>
    </row>
    <row r="1132" spans="10:20" s="126" customFormat="1" ht="12.75" x14ac:dyDescent="0.2">
      <c r="J1132" s="192"/>
      <c r="T1132" s="192"/>
    </row>
    <row r="1133" spans="10:20" s="126" customFormat="1" ht="12.75" x14ac:dyDescent="0.2">
      <c r="J1133" s="192"/>
      <c r="T1133" s="192"/>
    </row>
    <row r="1134" spans="10:20" s="126" customFormat="1" ht="12.75" x14ac:dyDescent="0.2">
      <c r="J1134" s="192"/>
      <c r="T1134" s="192"/>
    </row>
    <row r="1135" spans="10:20" s="126" customFormat="1" ht="12.75" x14ac:dyDescent="0.2">
      <c r="J1135" s="192"/>
      <c r="T1135" s="192"/>
    </row>
    <row r="1136" spans="10:20" s="126" customFormat="1" ht="12.75" x14ac:dyDescent="0.2">
      <c r="J1136" s="192"/>
      <c r="T1136" s="192"/>
    </row>
    <row r="1137" spans="10:20" s="126" customFormat="1" ht="12.75" x14ac:dyDescent="0.2">
      <c r="J1137" s="192"/>
      <c r="T1137" s="192"/>
    </row>
    <row r="1138" spans="10:20" s="126" customFormat="1" ht="12.75" x14ac:dyDescent="0.2">
      <c r="J1138" s="192"/>
      <c r="T1138" s="192"/>
    </row>
    <row r="1139" spans="10:20" s="126" customFormat="1" ht="12.75" x14ac:dyDescent="0.2">
      <c r="J1139" s="192"/>
      <c r="T1139" s="192"/>
    </row>
    <row r="1140" spans="10:20" s="126" customFormat="1" ht="12.75" x14ac:dyDescent="0.2">
      <c r="J1140" s="192"/>
      <c r="T1140" s="192"/>
    </row>
    <row r="1141" spans="10:20" s="126" customFormat="1" ht="12.75" x14ac:dyDescent="0.2">
      <c r="J1141" s="192"/>
      <c r="T1141" s="192"/>
    </row>
    <row r="1142" spans="10:20" s="126" customFormat="1" ht="12.75" x14ac:dyDescent="0.2">
      <c r="J1142" s="192"/>
      <c r="T1142" s="192"/>
    </row>
    <row r="1143" spans="10:20" s="126" customFormat="1" ht="12.75" x14ac:dyDescent="0.2">
      <c r="J1143" s="192"/>
      <c r="T1143" s="192"/>
    </row>
    <row r="1144" spans="10:20" s="126" customFormat="1" ht="12.75" x14ac:dyDescent="0.2">
      <c r="J1144" s="192"/>
      <c r="T1144" s="192"/>
    </row>
    <row r="1145" spans="10:20" s="126" customFormat="1" ht="12.75" x14ac:dyDescent="0.2">
      <c r="J1145" s="192"/>
      <c r="T1145" s="192"/>
    </row>
    <row r="1146" spans="10:20" s="126" customFormat="1" ht="12.75" x14ac:dyDescent="0.2">
      <c r="J1146" s="192"/>
      <c r="T1146" s="192"/>
    </row>
    <row r="1147" spans="10:20" s="126" customFormat="1" ht="12.75" x14ac:dyDescent="0.2">
      <c r="J1147" s="192"/>
      <c r="T1147" s="192"/>
    </row>
    <row r="1148" spans="10:20" s="126" customFormat="1" ht="12.75" x14ac:dyDescent="0.2">
      <c r="J1148" s="192"/>
      <c r="T1148" s="192"/>
    </row>
    <row r="1149" spans="10:20" s="126" customFormat="1" ht="12.75" x14ac:dyDescent="0.2">
      <c r="J1149" s="192"/>
      <c r="T1149" s="192"/>
    </row>
    <row r="1150" spans="10:20" s="126" customFormat="1" ht="12.75" x14ac:dyDescent="0.2">
      <c r="J1150" s="192"/>
      <c r="T1150" s="192"/>
    </row>
    <row r="1151" spans="10:20" s="126" customFormat="1" ht="12.75" x14ac:dyDescent="0.2">
      <c r="J1151" s="192"/>
      <c r="T1151" s="192"/>
    </row>
    <row r="1152" spans="10:20" s="126" customFormat="1" ht="12.75" x14ac:dyDescent="0.2">
      <c r="J1152" s="192"/>
      <c r="T1152" s="192"/>
    </row>
    <row r="1153" spans="10:20" s="126" customFormat="1" ht="12.75" x14ac:dyDescent="0.2">
      <c r="J1153" s="192"/>
      <c r="T1153" s="192"/>
    </row>
    <row r="1154" spans="10:20" s="126" customFormat="1" ht="12.75" x14ac:dyDescent="0.2">
      <c r="J1154" s="192"/>
      <c r="T1154" s="192"/>
    </row>
    <row r="1155" spans="10:20" s="126" customFormat="1" ht="12.75" x14ac:dyDescent="0.2">
      <c r="J1155" s="192"/>
      <c r="T1155" s="192"/>
    </row>
    <row r="1156" spans="10:20" s="126" customFormat="1" ht="12.75" x14ac:dyDescent="0.2">
      <c r="J1156" s="192"/>
      <c r="T1156" s="192"/>
    </row>
    <row r="1157" spans="10:20" s="126" customFormat="1" ht="12.75" x14ac:dyDescent="0.2">
      <c r="J1157" s="192"/>
      <c r="T1157" s="192"/>
    </row>
    <row r="1158" spans="10:20" s="126" customFormat="1" ht="12.75" x14ac:dyDescent="0.2">
      <c r="J1158" s="192"/>
      <c r="T1158" s="192"/>
    </row>
    <row r="1159" spans="10:20" s="126" customFormat="1" ht="12.75" x14ac:dyDescent="0.2">
      <c r="J1159" s="192"/>
      <c r="T1159" s="192"/>
    </row>
    <row r="1160" spans="10:20" s="126" customFormat="1" ht="12.75" x14ac:dyDescent="0.2">
      <c r="J1160" s="192"/>
      <c r="T1160" s="192"/>
    </row>
    <row r="1161" spans="10:20" s="126" customFormat="1" ht="12.75" x14ac:dyDescent="0.2">
      <c r="J1161" s="192"/>
      <c r="T1161" s="192"/>
    </row>
    <row r="1162" spans="10:20" s="126" customFormat="1" ht="12.75" x14ac:dyDescent="0.2">
      <c r="J1162" s="192"/>
      <c r="T1162" s="192"/>
    </row>
    <row r="1163" spans="10:20" s="126" customFormat="1" ht="12.75" x14ac:dyDescent="0.2">
      <c r="J1163" s="192"/>
      <c r="T1163" s="192"/>
    </row>
    <row r="1164" spans="10:20" s="126" customFormat="1" ht="12.75" x14ac:dyDescent="0.2">
      <c r="J1164" s="192"/>
      <c r="T1164" s="192"/>
    </row>
    <row r="1165" spans="10:20" s="126" customFormat="1" ht="12.75" x14ac:dyDescent="0.2">
      <c r="J1165" s="192"/>
      <c r="T1165" s="192"/>
    </row>
    <row r="1166" spans="10:20" s="126" customFormat="1" ht="12.75" x14ac:dyDescent="0.2">
      <c r="J1166" s="192"/>
      <c r="T1166" s="192"/>
    </row>
    <row r="1167" spans="10:20" s="126" customFormat="1" ht="12.75" x14ac:dyDescent="0.2">
      <c r="J1167" s="192"/>
      <c r="T1167" s="192"/>
    </row>
    <row r="1168" spans="10:20" s="126" customFormat="1" ht="12.75" x14ac:dyDescent="0.2">
      <c r="J1168" s="192"/>
      <c r="T1168" s="192"/>
    </row>
    <row r="1169" spans="10:20" s="126" customFormat="1" ht="12.75" x14ac:dyDescent="0.2">
      <c r="J1169" s="192"/>
      <c r="T1169" s="192"/>
    </row>
    <row r="1170" spans="10:20" s="126" customFormat="1" ht="12.75" x14ac:dyDescent="0.2">
      <c r="J1170" s="192"/>
      <c r="T1170" s="192"/>
    </row>
    <row r="1171" spans="10:20" s="126" customFormat="1" ht="12.75" x14ac:dyDescent="0.2">
      <c r="J1171" s="192"/>
      <c r="T1171" s="192"/>
    </row>
    <row r="1172" spans="10:20" s="126" customFormat="1" ht="12.75" x14ac:dyDescent="0.2">
      <c r="J1172" s="192"/>
      <c r="T1172" s="192"/>
    </row>
    <row r="1173" spans="10:20" s="126" customFormat="1" ht="12.75" x14ac:dyDescent="0.2">
      <c r="J1173" s="192"/>
      <c r="T1173" s="192"/>
    </row>
    <row r="1174" spans="10:20" s="126" customFormat="1" ht="12.75" x14ac:dyDescent="0.2">
      <c r="J1174" s="192"/>
      <c r="T1174" s="192"/>
    </row>
    <row r="1175" spans="10:20" s="126" customFormat="1" ht="12.75" x14ac:dyDescent="0.2">
      <c r="J1175" s="192"/>
      <c r="T1175" s="192"/>
    </row>
    <row r="1176" spans="10:20" s="126" customFormat="1" ht="12.75" x14ac:dyDescent="0.2">
      <c r="J1176" s="192"/>
      <c r="T1176" s="192"/>
    </row>
    <row r="1177" spans="10:20" s="126" customFormat="1" ht="12.75" x14ac:dyDescent="0.2">
      <c r="J1177" s="192"/>
      <c r="T1177" s="192"/>
    </row>
    <row r="1178" spans="10:20" s="126" customFormat="1" ht="12.75" x14ac:dyDescent="0.2">
      <c r="J1178" s="192"/>
      <c r="T1178" s="192"/>
    </row>
    <row r="1179" spans="10:20" s="126" customFormat="1" ht="12.75" x14ac:dyDescent="0.2">
      <c r="J1179" s="192"/>
      <c r="T1179" s="192"/>
    </row>
    <row r="1180" spans="10:20" s="126" customFormat="1" ht="12.75" x14ac:dyDescent="0.2">
      <c r="J1180" s="192"/>
      <c r="T1180" s="192"/>
    </row>
    <row r="1181" spans="10:20" s="126" customFormat="1" ht="12.75" x14ac:dyDescent="0.2">
      <c r="J1181" s="192"/>
      <c r="T1181" s="192"/>
    </row>
    <row r="1182" spans="10:20" s="126" customFormat="1" ht="12.75" x14ac:dyDescent="0.2">
      <c r="J1182" s="192"/>
      <c r="T1182" s="192"/>
    </row>
    <row r="1183" spans="10:20" s="126" customFormat="1" ht="12.75" x14ac:dyDescent="0.2">
      <c r="J1183" s="192"/>
      <c r="T1183" s="192"/>
    </row>
    <row r="1184" spans="10:20" s="126" customFormat="1" ht="12.75" x14ac:dyDescent="0.2">
      <c r="J1184" s="192"/>
      <c r="T1184" s="192"/>
    </row>
    <row r="1185" spans="10:20" s="126" customFormat="1" ht="12.75" x14ac:dyDescent="0.2">
      <c r="J1185" s="192"/>
      <c r="T1185" s="192"/>
    </row>
    <row r="1186" spans="10:20" s="126" customFormat="1" ht="12.75" x14ac:dyDescent="0.2">
      <c r="J1186" s="192"/>
      <c r="T1186" s="192"/>
    </row>
    <row r="1187" spans="10:20" s="126" customFormat="1" ht="12.75" x14ac:dyDescent="0.2">
      <c r="J1187" s="192"/>
      <c r="T1187" s="192"/>
    </row>
    <row r="1188" spans="10:20" s="126" customFormat="1" ht="12.75" x14ac:dyDescent="0.2">
      <c r="J1188" s="192"/>
      <c r="T1188" s="192"/>
    </row>
    <row r="1189" spans="10:20" s="126" customFormat="1" ht="12.75" x14ac:dyDescent="0.2">
      <c r="J1189" s="192"/>
      <c r="T1189" s="192"/>
    </row>
    <row r="1190" spans="10:20" s="126" customFormat="1" ht="12.75" x14ac:dyDescent="0.2">
      <c r="J1190" s="192"/>
      <c r="T1190" s="192"/>
    </row>
    <row r="1191" spans="10:20" s="126" customFormat="1" ht="12.75" x14ac:dyDescent="0.2">
      <c r="J1191" s="192"/>
      <c r="T1191" s="192"/>
    </row>
    <row r="1192" spans="10:20" s="126" customFormat="1" ht="12.75" x14ac:dyDescent="0.2">
      <c r="J1192" s="192"/>
      <c r="T1192" s="192"/>
    </row>
    <row r="1193" spans="10:20" s="126" customFormat="1" ht="12.75" x14ac:dyDescent="0.2">
      <c r="J1193" s="192"/>
      <c r="T1193" s="192"/>
    </row>
    <row r="1194" spans="10:20" s="126" customFormat="1" ht="12.75" x14ac:dyDescent="0.2">
      <c r="J1194" s="192"/>
      <c r="T1194" s="192"/>
    </row>
    <row r="1195" spans="10:20" s="126" customFormat="1" ht="12.75" x14ac:dyDescent="0.2">
      <c r="J1195" s="192"/>
      <c r="T1195" s="192"/>
    </row>
    <row r="1196" spans="10:20" s="126" customFormat="1" ht="12.75" x14ac:dyDescent="0.2">
      <c r="J1196" s="192"/>
      <c r="T1196" s="192"/>
    </row>
    <row r="1197" spans="10:20" s="126" customFormat="1" ht="12.75" x14ac:dyDescent="0.2">
      <c r="J1197" s="192"/>
      <c r="T1197" s="192"/>
    </row>
    <row r="1198" spans="10:20" s="126" customFormat="1" ht="12.75" x14ac:dyDescent="0.2">
      <c r="J1198" s="192"/>
      <c r="T1198" s="192"/>
    </row>
    <row r="1199" spans="10:20" s="126" customFormat="1" ht="12.75" x14ac:dyDescent="0.2">
      <c r="J1199" s="192"/>
      <c r="T1199" s="192"/>
    </row>
    <row r="1200" spans="10:20" s="126" customFormat="1" ht="12.75" x14ac:dyDescent="0.2">
      <c r="J1200" s="192"/>
      <c r="T1200" s="192"/>
    </row>
    <row r="1201" spans="10:20" s="126" customFormat="1" ht="12.75" x14ac:dyDescent="0.2">
      <c r="J1201" s="192"/>
      <c r="T1201" s="192"/>
    </row>
    <row r="1202" spans="10:20" s="126" customFormat="1" ht="12.75" x14ac:dyDescent="0.2">
      <c r="J1202" s="192"/>
      <c r="T1202" s="192"/>
    </row>
    <row r="1203" spans="10:20" s="126" customFormat="1" ht="12.75" x14ac:dyDescent="0.2">
      <c r="J1203" s="192"/>
      <c r="T1203" s="192"/>
    </row>
    <row r="1204" spans="10:20" s="126" customFormat="1" ht="12.75" x14ac:dyDescent="0.2">
      <c r="J1204" s="192"/>
      <c r="T1204" s="192"/>
    </row>
    <row r="1205" spans="10:20" s="126" customFormat="1" ht="12.75" x14ac:dyDescent="0.2">
      <c r="J1205" s="192"/>
      <c r="T1205" s="192"/>
    </row>
    <row r="1206" spans="10:20" s="126" customFormat="1" ht="12.75" x14ac:dyDescent="0.2">
      <c r="J1206" s="192"/>
      <c r="T1206" s="192"/>
    </row>
    <row r="1207" spans="10:20" s="126" customFormat="1" ht="12.75" x14ac:dyDescent="0.2">
      <c r="J1207" s="192"/>
      <c r="T1207" s="192"/>
    </row>
    <row r="1208" spans="10:20" s="126" customFormat="1" ht="12.75" x14ac:dyDescent="0.2">
      <c r="J1208" s="192"/>
      <c r="T1208" s="192"/>
    </row>
    <row r="1209" spans="10:20" s="126" customFormat="1" ht="12.75" x14ac:dyDescent="0.2">
      <c r="J1209" s="192"/>
      <c r="T1209" s="192"/>
    </row>
    <row r="1210" spans="10:20" s="126" customFormat="1" ht="12.75" x14ac:dyDescent="0.2">
      <c r="J1210" s="192"/>
      <c r="T1210" s="192"/>
    </row>
  </sheetData>
  <mergeCells count="18">
    <mergeCell ref="A108:U108"/>
    <mergeCell ref="A109:U109"/>
    <mergeCell ref="A172:U172"/>
    <mergeCell ref="A173:U173"/>
    <mergeCell ref="A174:U174"/>
    <mergeCell ref="A140:U140"/>
    <mergeCell ref="A141:U141"/>
    <mergeCell ref="A142:U142"/>
    <mergeCell ref="A44:U44"/>
    <mergeCell ref="A75:U75"/>
    <mergeCell ref="A76:U76"/>
    <mergeCell ref="A77:U77"/>
    <mergeCell ref="A107:U107"/>
    <mergeCell ref="A8:U8"/>
    <mergeCell ref="A9:U9"/>
    <mergeCell ref="A10:U10"/>
    <mergeCell ref="A42:U42"/>
    <mergeCell ref="A43:U43"/>
  </mergeCells>
  <printOptions horizontalCentered="1"/>
  <pageMargins left="0.04" right="0.04" top="1.02" bottom="0.21" header="0.92" footer="0.21"/>
  <pageSetup scale="50" orientation="landscape" horizontalDpi="4294967292" r:id="rId1"/>
  <headerFooter alignWithMargins="0">
    <oddHeader>&amp;RSchedule II-H-4.1
Page &amp;P of &amp;N</oddHeader>
    <oddFooter>&amp;LPrepared by Regulated Pricing and Analysis</oddFooter>
  </headerFooter>
  <rowBreaks count="5" manualBreakCount="5">
    <brk id="40" max="16383" man="1"/>
    <brk id="74" max="16383" man="1"/>
    <brk id="106" max="16383" man="1"/>
    <brk id="137" max="16383" man="1"/>
    <brk id="171" max="16383" man="1"/>
  </rowBreaks>
  <colBreaks count="1" manualBreakCount="1">
    <brk id="21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46"/>
  <sheetViews>
    <sheetView workbookViewId="0">
      <selection activeCell="B7" sqref="B7"/>
    </sheetView>
  </sheetViews>
  <sheetFormatPr defaultRowHeight="12.75" x14ac:dyDescent="0.2"/>
  <cols>
    <col min="1" max="1" width="4.28515625" style="1" bestFit="1" customWidth="1"/>
    <col min="2" max="2" width="32.28515625" style="17" customWidth="1"/>
    <col min="3" max="3" width="7.42578125" style="17" bestFit="1" customWidth="1"/>
    <col min="4" max="4" width="11.42578125" style="10" bestFit="1" customWidth="1"/>
    <col min="5" max="5" width="11.7109375" style="10" customWidth="1"/>
    <col min="6" max="7" width="11.7109375" style="9" customWidth="1"/>
    <col min="8" max="8" width="11.7109375" style="10" customWidth="1"/>
    <col min="9" max="14" width="11.7109375" style="12" customWidth="1"/>
    <col min="15" max="15" width="10.42578125" style="6" customWidth="1"/>
    <col min="16" max="16" width="12.28515625" style="97" bestFit="1" customWidth="1"/>
    <col min="17" max="17" width="8" customWidth="1"/>
    <col min="18" max="18" width="25.42578125" customWidth="1"/>
    <col min="19" max="19" width="6.85546875" customWidth="1"/>
    <col min="20" max="20" width="8.28515625" customWidth="1"/>
    <col min="21" max="32" width="10.85546875" customWidth="1"/>
    <col min="33" max="33" width="11.85546875" customWidth="1"/>
    <col min="34" max="34" width="13.7109375" customWidth="1"/>
  </cols>
  <sheetData>
    <row r="1" spans="1:144" ht="13.5" thickBot="1" x14ac:dyDescent="0.25"/>
    <row r="2" spans="1:144" x14ac:dyDescent="0.2">
      <c r="B2" s="376" t="s">
        <v>142</v>
      </c>
    </row>
    <row r="3" spans="1:144" x14ac:dyDescent="0.2">
      <c r="B3" s="377" t="s">
        <v>143</v>
      </c>
    </row>
    <row r="4" spans="1:144" x14ac:dyDescent="0.2">
      <c r="B4" s="378" t="s">
        <v>185</v>
      </c>
    </row>
    <row r="5" spans="1:144" x14ac:dyDescent="0.2">
      <c r="B5" s="378" t="s">
        <v>145</v>
      </c>
    </row>
    <row r="6" spans="1:144" ht="13.5" thickBot="1" x14ac:dyDescent="0.25">
      <c r="B6" s="379" t="s">
        <v>188</v>
      </c>
    </row>
    <row r="8" spans="1:144" x14ac:dyDescent="0.2">
      <c r="B8" s="28" t="str">
        <f>'II-H-1.2'!B7:O7</f>
        <v>AEP TEXAS</v>
      </c>
      <c r="C8" s="4"/>
      <c r="D8" s="7"/>
      <c r="E8" s="7"/>
      <c r="F8" s="8"/>
      <c r="G8" s="8"/>
      <c r="H8" s="7"/>
      <c r="I8" s="11"/>
      <c r="J8" s="11"/>
      <c r="K8" s="11"/>
      <c r="L8" s="11"/>
      <c r="M8" s="11"/>
      <c r="N8" s="11"/>
      <c r="O8" s="5"/>
      <c r="P8" s="95"/>
    </row>
    <row r="9" spans="1:144" x14ac:dyDescent="0.2">
      <c r="B9" s="389" t="s">
        <v>54</v>
      </c>
      <c r="C9" s="389"/>
      <c r="D9" s="389"/>
      <c r="E9" s="389"/>
      <c r="F9" s="389"/>
      <c r="G9" s="389"/>
      <c r="H9" s="389"/>
      <c r="I9" s="389"/>
      <c r="J9" s="389"/>
      <c r="K9" s="389"/>
      <c r="L9" s="389"/>
      <c r="M9" s="389"/>
      <c r="N9" s="389"/>
      <c r="O9" s="389"/>
      <c r="P9" s="1" t="s">
        <v>1</v>
      </c>
    </row>
    <row r="10" spans="1:144" x14ac:dyDescent="0.2">
      <c r="B10" s="389" t="str">
        <f>'II-H-1.2'!B9:O9</f>
        <v>FOR TEST YEAR ENDED DECEMBER 31, 2018</v>
      </c>
      <c r="C10" s="389"/>
      <c r="D10" s="389"/>
      <c r="E10" s="389"/>
      <c r="F10" s="389"/>
      <c r="G10" s="389"/>
      <c r="H10" s="389"/>
      <c r="I10" s="389"/>
      <c r="J10" s="389"/>
      <c r="K10" s="389"/>
      <c r="L10" s="389"/>
      <c r="M10" s="389"/>
      <c r="N10" s="389"/>
      <c r="O10" s="389"/>
      <c r="P10" s="1" t="s">
        <v>1</v>
      </c>
    </row>
    <row r="11" spans="1:144" x14ac:dyDescent="0.2">
      <c r="A11" s="151"/>
      <c r="B11" s="152"/>
      <c r="C11" s="153"/>
      <c r="D11" s="154"/>
      <c r="E11" s="120"/>
      <c r="F11" s="155"/>
    </row>
    <row r="12" spans="1:144" x14ac:dyDescent="0.2">
      <c r="B12" s="31"/>
      <c r="C12" s="21"/>
      <c r="D12" s="50"/>
      <c r="E12" s="39"/>
      <c r="F12" s="39"/>
      <c r="G12" s="50"/>
      <c r="H12" s="39"/>
      <c r="I12" s="39"/>
      <c r="K12" s="39"/>
      <c r="L12" s="39"/>
      <c r="M12" s="39"/>
      <c r="N12" s="39"/>
      <c r="O12" s="39"/>
      <c r="P12" s="40"/>
    </row>
    <row r="13" spans="1:144" s="3" customFormat="1" x14ac:dyDescent="0.2">
      <c r="A13" s="38" t="s">
        <v>20</v>
      </c>
      <c r="B13" s="24" t="s">
        <v>0</v>
      </c>
      <c r="C13" s="24" t="s">
        <v>19</v>
      </c>
      <c r="D13" s="41" t="s">
        <v>2</v>
      </c>
      <c r="E13" s="41" t="s">
        <v>3</v>
      </c>
      <c r="F13" s="41" t="s">
        <v>4</v>
      </c>
      <c r="G13" s="41" t="s">
        <v>5</v>
      </c>
      <c r="H13" s="41" t="s">
        <v>6</v>
      </c>
      <c r="I13" s="41" t="s">
        <v>7</v>
      </c>
      <c r="J13" s="41" t="s">
        <v>8</v>
      </c>
      <c r="K13" s="41" t="s">
        <v>9</v>
      </c>
      <c r="L13" s="41" t="s">
        <v>10</v>
      </c>
      <c r="M13" s="41" t="s">
        <v>11</v>
      </c>
      <c r="N13" s="41" t="s">
        <v>12</v>
      </c>
      <c r="O13" s="41" t="s">
        <v>13</v>
      </c>
      <c r="P13" s="42" t="s">
        <v>14</v>
      </c>
      <c r="Q13" s="18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 spans="1:144" s="3" customFormat="1" x14ac:dyDescent="0.2">
      <c r="A14" s="64"/>
      <c r="B14" s="24"/>
      <c r="C14" s="24"/>
      <c r="D14" s="32"/>
      <c r="E14" s="32"/>
      <c r="F14" s="33"/>
      <c r="G14" s="33"/>
      <c r="H14" s="32"/>
      <c r="I14" s="34"/>
      <c r="J14" s="34"/>
      <c r="K14" s="34"/>
      <c r="L14" s="34"/>
      <c r="M14" s="34"/>
      <c r="N14" s="34"/>
      <c r="O14" s="35"/>
      <c r="P14" s="96"/>
      <c r="Q14" s="18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</row>
    <row r="15" spans="1:144" s="62" customFormat="1" ht="11.25" x14ac:dyDescent="0.2">
      <c r="A15" s="74" t="s">
        <v>21</v>
      </c>
      <c r="B15" s="129" t="s">
        <v>29</v>
      </c>
      <c r="C15" s="143" t="s">
        <v>16</v>
      </c>
      <c r="D15" s="122">
        <f>'[5]II-H-1.6 Dist'!D8</f>
        <v>0</v>
      </c>
      <c r="E15" s="122">
        <f>'[5]II-H-1.6 Dist'!E8</f>
        <v>0</v>
      </c>
      <c r="F15" s="122">
        <f>'[5]II-H-1.6 Dist'!F8</f>
        <v>0</v>
      </c>
      <c r="G15" s="122">
        <f>'[5]II-H-1.6 Dist'!G8</f>
        <v>0</v>
      </c>
      <c r="H15" s="122">
        <f>'[5]II-H-1.6 Dist'!H8</f>
        <v>0</v>
      </c>
      <c r="I15" s="122">
        <f>'[5]II-H-1.6 Dist'!I8</f>
        <v>0</v>
      </c>
      <c r="J15" s="122">
        <f>'[5]II-H-1.6 Dist'!J8</f>
        <v>0</v>
      </c>
      <c r="K15" s="122">
        <f>'[5]II-H-1.6 Dist'!K8</f>
        <v>0</v>
      </c>
      <c r="L15" s="122">
        <f>'[5]II-H-1.6 Dist'!L8</f>
        <v>0</v>
      </c>
      <c r="M15" s="122">
        <f>'[5]II-H-1.6 Dist'!M8</f>
        <v>0</v>
      </c>
      <c r="N15" s="122">
        <f>'[5]II-H-1.6 Dist'!N8</f>
        <v>0</v>
      </c>
      <c r="O15" s="122">
        <f>'[5]II-H-1.6 Dist'!O8</f>
        <v>0</v>
      </c>
      <c r="P15" s="127">
        <f>SUM(D15:O15)</f>
        <v>0</v>
      </c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</row>
    <row r="16" spans="1:144" s="62" customFormat="1" ht="11.25" x14ac:dyDescent="0.2">
      <c r="B16" s="129"/>
      <c r="C16" s="143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27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</row>
    <row r="17" spans="1:144" s="62" customFormat="1" ht="11.25" x14ac:dyDescent="0.2">
      <c r="A17" s="74">
        <v>2</v>
      </c>
      <c r="B17" s="129" t="s">
        <v>32</v>
      </c>
      <c r="C17" s="143" t="s">
        <v>16</v>
      </c>
      <c r="D17" s="122">
        <f>'[5]II-H-1.6 Dist'!D10</f>
        <v>0</v>
      </c>
      <c r="E17" s="122">
        <f>'[5]II-H-1.6 Dist'!E10</f>
        <v>0</v>
      </c>
      <c r="F17" s="122">
        <f>'[5]II-H-1.6 Dist'!F10</f>
        <v>0</v>
      </c>
      <c r="G17" s="122">
        <f>'[5]II-H-1.6 Dist'!G10</f>
        <v>0</v>
      </c>
      <c r="H17" s="122">
        <f>'[5]II-H-1.6 Dist'!H10</f>
        <v>0</v>
      </c>
      <c r="I17" s="122">
        <f>'[5]II-H-1.6 Dist'!I10</f>
        <v>0</v>
      </c>
      <c r="J17" s="122">
        <f>'[5]II-H-1.6 Dist'!J10</f>
        <v>0</v>
      </c>
      <c r="K17" s="122">
        <f>'[5]II-H-1.6 Dist'!K10</f>
        <v>0</v>
      </c>
      <c r="L17" s="122">
        <f>'[5]II-H-1.6 Dist'!L10</f>
        <v>0</v>
      </c>
      <c r="M17" s="122">
        <f>'[5]II-H-1.6 Dist'!M10</f>
        <v>0</v>
      </c>
      <c r="N17" s="122">
        <f>'[5]II-H-1.6 Dist'!N10</f>
        <v>0</v>
      </c>
      <c r="O17" s="122">
        <f>'[5]II-H-1.6 Dist'!O10</f>
        <v>0</v>
      </c>
      <c r="P17" s="127">
        <f>SUM(D17:O17)</f>
        <v>0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</row>
    <row r="18" spans="1:144" s="62" customFormat="1" ht="11.25" x14ac:dyDescent="0.2">
      <c r="A18" s="74"/>
      <c r="B18" s="129"/>
      <c r="C18" s="143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7"/>
      <c r="Q18" s="148" t="s">
        <v>98</v>
      </c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</row>
    <row r="19" spans="1:144" s="62" customFormat="1" ht="11.25" x14ac:dyDescent="0.2">
      <c r="A19" s="74">
        <v>3</v>
      </c>
      <c r="B19" s="146" t="s">
        <v>113</v>
      </c>
      <c r="C19" s="125" t="s">
        <v>16</v>
      </c>
      <c r="D19" s="142">
        <f>'[6]Billed kW-Dist'!F30+'[5]II-H-1.6 Dist'!D12</f>
        <v>2829305.9000000004</v>
      </c>
      <c r="E19" s="142">
        <f>'[6]Billed kW-Dist'!G30+'[5]II-H-1.6 Dist'!E12</f>
        <v>2802751.5</v>
      </c>
      <c r="F19" s="142">
        <f>'[6]Billed kW-Dist'!H30+'[5]II-H-1.6 Dist'!F12</f>
        <v>2716427.8000000003</v>
      </c>
      <c r="G19" s="142">
        <f>'[6]Billed kW-Dist'!I30+'[5]II-H-1.6 Dist'!G12</f>
        <v>2710056.6</v>
      </c>
      <c r="H19" s="142">
        <f>'[6]Billed kW-Dist'!J30+'[5]II-H-1.6 Dist'!H12</f>
        <v>2758623.2</v>
      </c>
      <c r="I19" s="142">
        <f>'[6]Billed kW-Dist'!K30+'[5]II-H-1.6 Dist'!I12</f>
        <v>2848000.1999999997</v>
      </c>
      <c r="J19" s="142">
        <f>'[6]Billed kW-Dist'!L30+'[5]II-H-1.6 Dist'!J12</f>
        <v>2843044</v>
      </c>
      <c r="K19" s="142">
        <f>'[6]Billed kW-Dist'!M30+'[5]II-H-1.6 Dist'!K12</f>
        <v>2858847.3</v>
      </c>
      <c r="L19" s="142">
        <f>'[6]Billed kW-Dist'!N30+'[5]II-H-1.6 Dist'!L12</f>
        <v>2850919.6999999997</v>
      </c>
      <c r="M19" s="142">
        <f>'[6]Billed kW-Dist'!O30+'[5]II-H-1.6 Dist'!M12</f>
        <v>2772724.3</v>
      </c>
      <c r="N19" s="142">
        <f>'[6]Billed kW-Dist'!P30+'[5]II-H-1.6 Dist'!N12</f>
        <v>2734345.9</v>
      </c>
      <c r="O19" s="142">
        <f>'[6]Billed kW-Dist'!Q30+'[5]II-H-1.6 Dist'!O12</f>
        <v>2749743.0999999996</v>
      </c>
      <c r="P19" s="127">
        <f>SUM(D19:O19)</f>
        <v>33474789.5</v>
      </c>
      <c r="Q19" s="341">
        <f>'II-H-4.1 Functions'!F19/'II-H-4.1 Dist kW'!P19</f>
        <v>3.2548577848413358</v>
      </c>
      <c r="R19" s="70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</row>
    <row r="20" spans="1:144" s="62" customFormat="1" ht="11.25" x14ac:dyDescent="0.2">
      <c r="A20" s="74">
        <v>4</v>
      </c>
      <c r="B20" s="146" t="s">
        <v>114</v>
      </c>
      <c r="C20" s="125" t="s">
        <v>16</v>
      </c>
      <c r="D20" s="123">
        <f>'[6]Billed kW-Dist'!F21+'[5]II-H-1.6 Dist'!D13</f>
        <v>300319.2</v>
      </c>
      <c r="E20" s="123">
        <f>'[6]Billed kW-Dist'!G21+'[5]II-H-1.6 Dist'!E13</f>
        <v>288995.5</v>
      </c>
      <c r="F20" s="123">
        <f>'[6]Billed kW-Dist'!H21+'[5]II-H-1.6 Dist'!F13</f>
        <v>282945.59999999998</v>
      </c>
      <c r="G20" s="123">
        <f>'[6]Billed kW-Dist'!I21+'[5]II-H-1.6 Dist'!G13</f>
        <v>271404.80000000005</v>
      </c>
      <c r="H20" s="123">
        <f>'[6]Billed kW-Dist'!J21+'[5]II-H-1.6 Dist'!H13</f>
        <v>275660.40000000002</v>
      </c>
      <c r="I20" s="123">
        <f>'[6]Billed kW-Dist'!K21+'[5]II-H-1.6 Dist'!I13</f>
        <v>277583.90000000002</v>
      </c>
      <c r="J20" s="123">
        <f>'[6]Billed kW-Dist'!L21+'[5]II-H-1.6 Dist'!J13</f>
        <v>287628.90000000002</v>
      </c>
      <c r="K20" s="123">
        <f>'[6]Billed kW-Dist'!M21+'[5]II-H-1.6 Dist'!K13</f>
        <v>293163.2</v>
      </c>
      <c r="L20" s="123">
        <f>'[6]Billed kW-Dist'!N21+'[5]II-H-1.6 Dist'!L13</f>
        <v>306071.3</v>
      </c>
      <c r="M20" s="123">
        <f>'[6]Billed kW-Dist'!O21+'[5]II-H-1.6 Dist'!M13</f>
        <v>296450</v>
      </c>
      <c r="N20" s="123">
        <f>'[6]Billed kW-Dist'!P21+'[5]II-H-1.6 Dist'!N13</f>
        <v>293682.40000000002</v>
      </c>
      <c r="O20" s="123">
        <f>'[6]Billed kW-Dist'!Q21+'[5]II-H-1.6 Dist'!O13</f>
        <v>287412</v>
      </c>
      <c r="P20" s="167">
        <f>SUM(D20:O20)</f>
        <v>3461317.1999999997</v>
      </c>
      <c r="Q20" s="341">
        <f>'II-H-4.1 Functions'!F20/'II-H-4.1 Dist kW'!P20</f>
        <v>3.2482082659168023</v>
      </c>
      <c r="R20" s="70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</row>
    <row r="21" spans="1:144" s="62" customFormat="1" ht="11.25" x14ac:dyDescent="0.2">
      <c r="A21" s="74">
        <v>5</v>
      </c>
      <c r="B21" s="162" t="s">
        <v>30</v>
      </c>
      <c r="C21" s="143"/>
      <c r="D21" s="157">
        <f>SUM(D19:D20)</f>
        <v>3129625.1000000006</v>
      </c>
      <c r="E21" s="157">
        <f t="shared" ref="E21:O21" si="0">SUM(E19:E20)</f>
        <v>3091747</v>
      </c>
      <c r="F21" s="157">
        <f t="shared" si="0"/>
        <v>2999373.4000000004</v>
      </c>
      <c r="G21" s="157">
        <f t="shared" si="0"/>
        <v>2981461.4000000004</v>
      </c>
      <c r="H21" s="157">
        <f t="shared" si="0"/>
        <v>3034283.6</v>
      </c>
      <c r="I21" s="157">
        <f t="shared" si="0"/>
        <v>3125584.0999999996</v>
      </c>
      <c r="J21" s="157">
        <f t="shared" si="0"/>
        <v>3130672.9</v>
      </c>
      <c r="K21" s="157">
        <f t="shared" si="0"/>
        <v>3152010.5</v>
      </c>
      <c r="L21" s="157">
        <f t="shared" si="0"/>
        <v>3156990.9999999995</v>
      </c>
      <c r="M21" s="157">
        <f t="shared" si="0"/>
        <v>3069174.3</v>
      </c>
      <c r="N21" s="157">
        <f t="shared" si="0"/>
        <v>3028028.3</v>
      </c>
      <c r="O21" s="157">
        <f t="shared" si="0"/>
        <v>3037155.0999999996</v>
      </c>
      <c r="P21" s="157">
        <f>SUM(P19:P20)</f>
        <v>36936106.700000003</v>
      </c>
      <c r="Q21" s="117"/>
      <c r="R21" s="70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</row>
    <row r="22" spans="1:144" s="62" customFormat="1" ht="11.25" x14ac:dyDescent="0.2">
      <c r="B22" s="242"/>
      <c r="C22" s="143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22"/>
      <c r="O22" s="122"/>
      <c r="P22" s="127"/>
      <c r="Q22" s="117"/>
      <c r="R22" s="70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</row>
    <row r="23" spans="1:144" s="62" customFormat="1" ht="11.25" x14ac:dyDescent="0.2">
      <c r="A23" s="74">
        <v>6</v>
      </c>
      <c r="B23" s="146" t="s">
        <v>110</v>
      </c>
      <c r="C23" s="125" t="s">
        <v>17</v>
      </c>
      <c r="D23" s="122">
        <f>'[6]Billed kW-Dist'!F82+'[5]II-H-1.6 Dist'!D16</f>
        <v>73330.5</v>
      </c>
      <c r="E23" s="122">
        <f>'[6]Billed kW-Dist'!G82+'[5]II-H-1.6 Dist'!E16</f>
        <v>76239.3</v>
      </c>
      <c r="F23" s="122">
        <f>'[6]Billed kW-Dist'!H82+'[5]II-H-1.6 Dist'!F16</f>
        <v>72461.399999999994</v>
      </c>
      <c r="G23" s="122">
        <f>'[6]Billed kW-Dist'!I82+'[5]II-H-1.6 Dist'!G16</f>
        <v>73920.600000000006</v>
      </c>
      <c r="H23" s="122">
        <f>'[6]Billed kW-Dist'!J82+'[5]II-H-1.6 Dist'!H16</f>
        <v>78775.7</v>
      </c>
      <c r="I23" s="122">
        <f>'[6]Billed kW-Dist'!K82+'[5]II-H-1.6 Dist'!I16</f>
        <v>81317.600000000006</v>
      </c>
      <c r="J23" s="122">
        <f>'[6]Billed kW-Dist'!L82+'[5]II-H-1.6 Dist'!J16</f>
        <v>77028.5</v>
      </c>
      <c r="K23" s="122">
        <f>'[6]Billed kW-Dist'!M82+'[5]II-H-1.6 Dist'!K16</f>
        <v>86742.8</v>
      </c>
      <c r="L23" s="122">
        <f>'[6]Billed kW-Dist'!N82+'[5]II-H-1.6 Dist'!L16</f>
        <v>77243.199999999997</v>
      </c>
      <c r="M23" s="122">
        <f>'[6]Billed kW-Dist'!O82+'[5]II-H-1.6 Dist'!M16</f>
        <v>86238.200000000012</v>
      </c>
      <c r="N23" s="122">
        <f>'[6]Billed kW-Dist'!P82+'[5]II-H-1.6 Dist'!N16</f>
        <v>89189.1</v>
      </c>
      <c r="O23" s="122">
        <f>'[6]Billed kW-Dist'!Q82+'[5]II-H-1.6 Dist'!O16</f>
        <v>78343.600000000006</v>
      </c>
      <c r="P23" s="127">
        <f>SUM(D23:O23)</f>
        <v>950830.5</v>
      </c>
      <c r="Q23" s="341">
        <f>'II-H-4.1 Functions'!F23/'II-H-4.1 Dist kW'!P23</f>
        <v>2.4366240670655808</v>
      </c>
      <c r="R23" s="70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</row>
    <row r="24" spans="1:144" s="62" customFormat="1" ht="11.25" x14ac:dyDescent="0.2">
      <c r="A24" s="74">
        <v>7</v>
      </c>
      <c r="B24" s="146" t="s">
        <v>111</v>
      </c>
      <c r="C24" s="125" t="s">
        <v>17</v>
      </c>
      <c r="D24" s="123">
        <f>'[6]Billed kW-Dist'!F77+'[5]II-H-1.6 Dist'!D17</f>
        <v>788868.8</v>
      </c>
      <c r="E24" s="123">
        <f>'[6]Billed kW-Dist'!G77+'[5]II-H-1.6 Dist'!E17</f>
        <v>762911.7</v>
      </c>
      <c r="F24" s="123">
        <f>'[6]Billed kW-Dist'!H77+'[5]II-H-1.6 Dist'!F17</f>
        <v>767659</v>
      </c>
      <c r="G24" s="123">
        <f>'[6]Billed kW-Dist'!I77+'[5]II-H-1.6 Dist'!G17</f>
        <v>756983</v>
      </c>
      <c r="H24" s="123">
        <f>'[6]Billed kW-Dist'!J77+'[5]II-H-1.6 Dist'!H17</f>
        <v>813894.6</v>
      </c>
      <c r="I24" s="123">
        <f>'[6]Billed kW-Dist'!K77+'[5]II-H-1.6 Dist'!I17</f>
        <v>827804.9</v>
      </c>
      <c r="J24" s="123">
        <f>'[6]Billed kW-Dist'!L77+'[5]II-H-1.6 Dist'!J17</f>
        <v>808234.6</v>
      </c>
      <c r="K24" s="123">
        <f>'[6]Billed kW-Dist'!M77+'[5]II-H-1.6 Dist'!K17</f>
        <v>805878</v>
      </c>
      <c r="L24" s="123">
        <f>'[6]Billed kW-Dist'!N77+'[5]II-H-1.6 Dist'!L17</f>
        <v>821930.5</v>
      </c>
      <c r="M24" s="123">
        <f>'[6]Billed kW-Dist'!O77+'[5]II-H-1.6 Dist'!M17</f>
        <v>790586.5</v>
      </c>
      <c r="N24" s="123">
        <f>'[6]Billed kW-Dist'!P77+'[5]II-H-1.6 Dist'!N17</f>
        <v>805809.79999999993</v>
      </c>
      <c r="O24" s="123">
        <f>'[6]Billed kW-Dist'!Q77+'[5]II-H-1.6 Dist'!O17</f>
        <v>765944.5</v>
      </c>
      <c r="P24" s="167">
        <f>SUM(D24:O24)</f>
        <v>9516505.9000000004</v>
      </c>
      <c r="Q24" s="341">
        <f>'II-H-4.1 Functions'!F24/'II-H-4.1 Dist kW'!P24</f>
        <v>2.5568657820093397</v>
      </c>
      <c r="R24" s="70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</row>
    <row r="25" spans="1:144" s="62" customFormat="1" ht="11.25" x14ac:dyDescent="0.2">
      <c r="A25" s="74">
        <v>8</v>
      </c>
      <c r="B25" s="129" t="s">
        <v>31</v>
      </c>
      <c r="C25" s="125"/>
      <c r="D25" s="122">
        <f>SUM(D23:D24)</f>
        <v>862199.3</v>
      </c>
      <c r="E25" s="122">
        <f t="shared" ref="E25:O25" si="1">SUM(E23:E24)</f>
        <v>839151</v>
      </c>
      <c r="F25" s="122">
        <f t="shared" si="1"/>
        <v>840120.4</v>
      </c>
      <c r="G25" s="122">
        <f t="shared" si="1"/>
        <v>830903.6</v>
      </c>
      <c r="H25" s="122">
        <f t="shared" si="1"/>
        <v>892670.29999999993</v>
      </c>
      <c r="I25" s="122">
        <f t="shared" si="1"/>
        <v>909122.5</v>
      </c>
      <c r="J25" s="122">
        <f t="shared" si="1"/>
        <v>885263.1</v>
      </c>
      <c r="K25" s="122">
        <f t="shared" si="1"/>
        <v>892620.80000000005</v>
      </c>
      <c r="L25" s="122">
        <f t="shared" si="1"/>
        <v>899173.7</v>
      </c>
      <c r="M25" s="122">
        <f t="shared" si="1"/>
        <v>876824.7</v>
      </c>
      <c r="N25" s="122">
        <f t="shared" si="1"/>
        <v>894998.89999999991</v>
      </c>
      <c r="O25" s="122">
        <f t="shared" si="1"/>
        <v>844288.1</v>
      </c>
      <c r="P25" s="122">
        <f>SUM(P23:P24)</f>
        <v>10467336.4</v>
      </c>
      <c r="Q25" s="117"/>
      <c r="R25" s="70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</row>
    <row r="26" spans="1:144" s="62" customFormat="1" ht="11.25" x14ac:dyDescent="0.2">
      <c r="A26" s="74"/>
      <c r="B26" s="129"/>
      <c r="C26" s="125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7"/>
      <c r="Q26" s="117"/>
      <c r="R26" s="70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</row>
    <row r="27" spans="1:144" s="62" customFormat="1" ht="11.25" x14ac:dyDescent="0.2">
      <c r="A27" s="74">
        <v>9</v>
      </c>
      <c r="B27" s="162" t="s">
        <v>115</v>
      </c>
      <c r="C27" s="125" t="s">
        <v>18</v>
      </c>
      <c r="D27" s="122">
        <f>'[6]Billed kW-Dist'!F97+'[5]II-H-1.6 Dist'!D20</f>
        <v>1475068.7000000002</v>
      </c>
      <c r="E27" s="122">
        <f>'[6]Billed kW-Dist'!G97+'[5]II-H-1.6 Dist'!E20</f>
        <v>1215296.7000000002</v>
      </c>
      <c r="F27" s="122">
        <f>'[6]Billed kW-Dist'!H97+'[5]II-H-1.6 Dist'!F20</f>
        <v>1391560.6</v>
      </c>
      <c r="G27" s="122">
        <f>'[6]Billed kW-Dist'!I97+'[5]II-H-1.6 Dist'!G20</f>
        <v>1366589.8</v>
      </c>
      <c r="H27" s="122">
        <f>'[6]Billed kW-Dist'!J97+'[5]II-H-1.6 Dist'!H20</f>
        <v>1380170.5</v>
      </c>
      <c r="I27" s="122">
        <f>'[6]Billed kW-Dist'!K97+'[5]II-H-1.6 Dist'!I20</f>
        <v>1456934.9000000001</v>
      </c>
      <c r="J27" s="122">
        <f>'[6]Billed kW-Dist'!L97+'[5]II-H-1.6 Dist'!J20</f>
        <v>1276583.7</v>
      </c>
      <c r="K27" s="122">
        <f>'[6]Billed kW-Dist'!M97+'[5]II-H-1.6 Dist'!K20</f>
        <v>1275192.5</v>
      </c>
      <c r="L27" s="122">
        <f>'[6]Billed kW-Dist'!N97+'[5]II-H-1.6 Dist'!L20</f>
        <v>1432044</v>
      </c>
      <c r="M27" s="122">
        <f>'[6]Billed kW-Dist'!O97+'[5]II-H-1.6 Dist'!M20</f>
        <v>790584.60000000009</v>
      </c>
      <c r="N27" s="122">
        <f>'[6]Billed kW-Dist'!P97+'[5]II-H-1.6 Dist'!N20</f>
        <v>1930574.7</v>
      </c>
      <c r="O27" s="122">
        <f>'[6]Billed kW-Dist'!Q97+'[5]II-H-1.6 Dist'!O20</f>
        <v>1031409.7</v>
      </c>
      <c r="P27" s="127">
        <f>SUM(D27:O27)</f>
        <v>16022010.399999999</v>
      </c>
      <c r="Q27" s="341">
        <f>'II-H-4.1 Functions'!F27/'II-H-4.1 Dist kW'!P27</f>
        <v>0.19004607998506856</v>
      </c>
      <c r="R27" s="70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</row>
    <row r="28" spans="1:144" s="62" customFormat="1" ht="11.25" x14ac:dyDescent="0.2">
      <c r="B28" s="129"/>
      <c r="C28" s="143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22"/>
      <c r="O28" s="122"/>
      <c r="P28" s="127"/>
      <c r="Q28" s="210"/>
      <c r="R28" s="70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</row>
    <row r="29" spans="1:144" s="62" customFormat="1" ht="11.25" x14ac:dyDescent="0.2">
      <c r="A29" s="74">
        <v>10</v>
      </c>
      <c r="B29" s="117" t="s">
        <v>33</v>
      </c>
      <c r="C29" s="125" t="s">
        <v>16</v>
      </c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7">
        <f>SUM(D29:O29)</f>
        <v>0</v>
      </c>
      <c r="Q29" s="65"/>
      <c r="R29" s="70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</row>
    <row r="30" spans="1:144" s="62" customFormat="1" ht="11.25" x14ac:dyDescent="0.2">
      <c r="A30" s="74"/>
      <c r="B30" s="129"/>
      <c r="C30" s="143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22"/>
      <c r="O30" s="122"/>
      <c r="P30" s="127"/>
      <c r="Q30" s="65"/>
      <c r="R30" s="70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</row>
    <row r="31" spans="1:144" s="62" customFormat="1" ht="11.25" x14ac:dyDescent="0.2">
      <c r="A31" s="74">
        <v>11</v>
      </c>
      <c r="B31" s="183" t="s">
        <v>34</v>
      </c>
      <c r="C31" s="236"/>
      <c r="D31" s="184">
        <f>D29+D27+D25+D21+D17+D15</f>
        <v>5466893.1000000006</v>
      </c>
      <c r="E31" s="184">
        <f t="shared" ref="E31:O31" si="2">E29+E27+E25+E21+E17+E15</f>
        <v>5146194.7</v>
      </c>
      <c r="F31" s="184">
        <f t="shared" si="2"/>
        <v>5231054.4000000004</v>
      </c>
      <c r="G31" s="184">
        <f t="shared" si="2"/>
        <v>5178954.8000000007</v>
      </c>
      <c r="H31" s="184">
        <f t="shared" si="2"/>
        <v>5307124.4000000004</v>
      </c>
      <c r="I31" s="184">
        <f t="shared" si="2"/>
        <v>5491641.5</v>
      </c>
      <c r="J31" s="184">
        <f t="shared" si="2"/>
        <v>5292519.6999999993</v>
      </c>
      <c r="K31" s="184">
        <f t="shared" si="2"/>
        <v>5319823.8</v>
      </c>
      <c r="L31" s="184">
        <f t="shared" si="2"/>
        <v>5488208.6999999993</v>
      </c>
      <c r="M31" s="184">
        <f t="shared" si="2"/>
        <v>4736583.5999999996</v>
      </c>
      <c r="N31" s="184">
        <f t="shared" si="2"/>
        <v>5853601.8999999994</v>
      </c>
      <c r="O31" s="184">
        <f t="shared" si="2"/>
        <v>4912852.8999999994</v>
      </c>
      <c r="P31" s="184">
        <f>P29+P27+P25+P21+P17+P15</f>
        <v>63425453.5</v>
      </c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</row>
    <row r="32" spans="1:144" s="115" customFormat="1" ht="11.25" x14ac:dyDescent="0.2">
      <c r="B32" s="320"/>
      <c r="C32" s="320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2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6"/>
      <c r="DV32" s="116"/>
      <c r="DW32" s="116"/>
      <c r="DX32" s="116"/>
      <c r="DY32" s="116"/>
      <c r="DZ32" s="116"/>
      <c r="EA32" s="116"/>
      <c r="EB32" s="116"/>
      <c r="EC32" s="116"/>
      <c r="ED32" s="116"/>
      <c r="EE32" s="116"/>
      <c r="EF32" s="116"/>
      <c r="EG32" s="116"/>
      <c r="EH32" s="116"/>
      <c r="EI32" s="116"/>
      <c r="EJ32" s="116"/>
      <c r="EK32" s="116"/>
      <c r="EL32" s="116"/>
      <c r="EM32" s="116"/>
      <c r="EN32" s="116"/>
    </row>
    <row r="33" spans="1:144" s="62" customFormat="1" ht="11.25" x14ac:dyDescent="0.2">
      <c r="A33" s="74">
        <v>12</v>
      </c>
      <c r="B33" s="148" t="s">
        <v>91</v>
      </c>
      <c r="C33" s="125" t="s">
        <v>17</v>
      </c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7">
        <f>SUM(D33:O33)</f>
        <v>0</v>
      </c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</row>
    <row r="34" spans="1:144" s="62" customFormat="1" ht="11.25" x14ac:dyDescent="0.2">
      <c r="A34" s="74">
        <v>13</v>
      </c>
      <c r="B34" s="148" t="s">
        <v>92</v>
      </c>
      <c r="C34" s="125" t="s">
        <v>18</v>
      </c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67">
        <f>SUM(D34:O34)</f>
        <v>0</v>
      </c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</row>
    <row r="35" spans="1:144" s="62" customFormat="1" ht="11.25" x14ac:dyDescent="0.2">
      <c r="A35" s="74">
        <v>14</v>
      </c>
      <c r="B35" s="183" t="s">
        <v>35</v>
      </c>
      <c r="C35" s="238"/>
      <c r="D35" s="169">
        <f t="shared" ref="D35:P35" si="3">SUM(D33:D34)</f>
        <v>0</v>
      </c>
      <c r="E35" s="169">
        <f t="shared" si="3"/>
        <v>0</v>
      </c>
      <c r="F35" s="169">
        <f t="shared" si="3"/>
        <v>0</v>
      </c>
      <c r="G35" s="169">
        <f t="shared" si="3"/>
        <v>0</v>
      </c>
      <c r="H35" s="169">
        <f t="shared" si="3"/>
        <v>0</v>
      </c>
      <c r="I35" s="169">
        <f t="shared" si="3"/>
        <v>0</v>
      </c>
      <c r="J35" s="169">
        <f t="shared" si="3"/>
        <v>0</v>
      </c>
      <c r="K35" s="169">
        <f t="shared" si="3"/>
        <v>0</v>
      </c>
      <c r="L35" s="169">
        <f t="shared" si="3"/>
        <v>0</v>
      </c>
      <c r="M35" s="169">
        <f t="shared" si="3"/>
        <v>0</v>
      </c>
      <c r="N35" s="156">
        <f t="shared" si="3"/>
        <v>0</v>
      </c>
      <c r="O35" s="156">
        <f t="shared" si="3"/>
        <v>0</v>
      </c>
      <c r="P35" s="156">
        <f t="shared" si="3"/>
        <v>0</v>
      </c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</row>
    <row r="36" spans="1:144" s="62" customFormat="1" ht="11.25" x14ac:dyDescent="0.2">
      <c r="A36" s="74"/>
      <c r="B36" s="129"/>
      <c r="C36" s="185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22"/>
      <c r="O36" s="122"/>
      <c r="P36" s="127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</row>
    <row r="37" spans="1:144" s="62" customFormat="1" ht="12" thickBot="1" x14ac:dyDescent="0.25">
      <c r="A37" s="74">
        <v>15</v>
      </c>
      <c r="B37" s="243" t="s">
        <v>132</v>
      </c>
      <c r="C37" s="238"/>
      <c r="D37" s="244">
        <f t="shared" ref="D37:P37" si="4">+D35+D31</f>
        <v>5466893.1000000006</v>
      </c>
      <c r="E37" s="244">
        <f t="shared" si="4"/>
        <v>5146194.7</v>
      </c>
      <c r="F37" s="244">
        <f t="shared" si="4"/>
        <v>5231054.4000000004</v>
      </c>
      <c r="G37" s="244">
        <f t="shared" si="4"/>
        <v>5178954.8000000007</v>
      </c>
      <c r="H37" s="244">
        <f t="shared" si="4"/>
        <v>5307124.4000000004</v>
      </c>
      <c r="I37" s="244">
        <f t="shared" si="4"/>
        <v>5491641.5</v>
      </c>
      <c r="J37" s="244">
        <f t="shared" si="4"/>
        <v>5292519.6999999993</v>
      </c>
      <c r="K37" s="244">
        <f t="shared" si="4"/>
        <v>5319823.8</v>
      </c>
      <c r="L37" s="244">
        <f t="shared" si="4"/>
        <v>5488208.6999999993</v>
      </c>
      <c r="M37" s="244">
        <f t="shared" si="4"/>
        <v>4736583.5999999996</v>
      </c>
      <c r="N37" s="244">
        <f t="shared" si="4"/>
        <v>5853601.8999999994</v>
      </c>
      <c r="O37" s="244">
        <f t="shared" si="4"/>
        <v>4912852.8999999994</v>
      </c>
      <c r="P37" s="244">
        <f t="shared" si="4"/>
        <v>63425453.5</v>
      </c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</row>
    <row r="38" spans="1:144" ht="13.5" thickTop="1" x14ac:dyDescent="0.2">
      <c r="A38" s="64"/>
      <c r="B38" s="146"/>
      <c r="C38" s="168"/>
      <c r="D38" s="302"/>
      <c r="E38" s="302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4"/>
      <c r="Q38" s="59"/>
      <c r="R38" s="19"/>
      <c r="S38" s="19"/>
      <c r="T38" s="19"/>
      <c r="U38" s="19"/>
      <c r="V38" s="19"/>
    </row>
    <row r="39" spans="1:144" s="3" customFormat="1" x14ac:dyDescent="0.2">
      <c r="A39" s="2"/>
      <c r="B39" s="305" t="str">
        <f>+B8</f>
        <v>AEP TEXAS</v>
      </c>
      <c r="C39" s="306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8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 spans="1:144" s="136" customFormat="1" x14ac:dyDescent="0.2">
      <c r="A40" s="131"/>
      <c r="B40" s="132" t="s">
        <v>64</v>
      </c>
      <c r="C40" s="133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5" t="s">
        <v>1</v>
      </c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</row>
    <row r="41" spans="1:144" s="3" customFormat="1" x14ac:dyDescent="0.2">
      <c r="A41" s="2"/>
      <c r="B41" s="388" t="str">
        <f>+B10</f>
        <v>FOR TEST YEAR ENDED DECEMBER 31, 2018</v>
      </c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107" t="s">
        <v>1</v>
      </c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</row>
    <row r="42" spans="1:144" s="3" customFormat="1" x14ac:dyDescent="0.2">
      <c r="A42" s="2"/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107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</row>
    <row r="43" spans="1:144" s="3" customFormat="1" x14ac:dyDescent="0.2">
      <c r="A43" s="2"/>
      <c r="B43" s="175"/>
      <c r="C43" s="146"/>
      <c r="D43" s="287"/>
      <c r="E43" s="177"/>
      <c r="F43" s="177"/>
      <c r="G43" s="287"/>
      <c r="H43" s="177"/>
      <c r="I43" s="177"/>
      <c r="J43" s="136"/>
      <c r="K43" s="177"/>
      <c r="L43" s="177"/>
      <c r="M43" s="177"/>
      <c r="N43" s="177"/>
      <c r="O43" s="177"/>
      <c r="P43" s="178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</row>
    <row r="44" spans="1:144" s="3" customFormat="1" x14ac:dyDescent="0.2">
      <c r="A44" s="38" t="s">
        <v>20</v>
      </c>
      <c r="B44" s="237" t="s">
        <v>0</v>
      </c>
      <c r="C44" s="237" t="s">
        <v>19</v>
      </c>
      <c r="D44" s="287" t="str">
        <f>+D13</f>
        <v>JANUARY</v>
      </c>
      <c r="E44" s="287" t="str">
        <f t="shared" ref="E44:P44" si="5">+E13</f>
        <v>FEBRUARY</v>
      </c>
      <c r="F44" s="287" t="str">
        <f t="shared" si="5"/>
        <v>MARCH</v>
      </c>
      <c r="G44" s="287" t="str">
        <f t="shared" si="5"/>
        <v>APRIL</v>
      </c>
      <c r="H44" s="287" t="str">
        <f t="shared" si="5"/>
        <v>MAY</v>
      </c>
      <c r="I44" s="287" t="str">
        <f t="shared" si="5"/>
        <v>JUNE</v>
      </c>
      <c r="J44" s="287" t="str">
        <f t="shared" si="5"/>
        <v>JULY</v>
      </c>
      <c r="K44" s="287" t="str">
        <f t="shared" si="5"/>
        <v>AUGUST</v>
      </c>
      <c r="L44" s="287" t="str">
        <f t="shared" si="5"/>
        <v>SEPTEMBER</v>
      </c>
      <c r="M44" s="287" t="str">
        <f t="shared" si="5"/>
        <v>OCTOBER</v>
      </c>
      <c r="N44" s="287" t="str">
        <f t="shared" si="5"/>
        <v>NOVEMBER</v>
      </c>
      <c r="O44" s="287" t="str">
        <f t="shared" si="5"/>
        <v>DECEMBER</v>
      </c>
      <c r="P44" s="309" t="str">
        <f t="shared" si="5"/>
        <v>TOTAL</v>
      </c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</row>
    <row r="45" spans="1:144" s="3" customFormat="1" x14ac:dyDescent="0.2">
      <c r="A45" s="2"/>
      <c r="B45" s="146"/>
      <c r="C45" s="146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304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144" s="62" customFormat="1" ht="11.25" x14ac:dyDescent="0.2">
      <c r="A46" s="74" t="s">
        <v>21</v>
      </c>
      <c r="B46" s="129" t="s">
        <v>29</v>
      </c>
      <c r="C46" s="143" t="s">
        <v>16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7">
        <f>SUM(D46:O46)</f>
        <v>0</v>
      </c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65"/>
      <c r="EJ46" s="65"/>
      <c r="EK46" s="65"/>
      <c r="EL46" s="65"/>
      <c r="EM46" s="65"/>
      <c r="EN46" s="65"/>
    </row>
    <row r="47" spans="1:144" s="62" customFormat="1" ht="11.25" x14ac:dyDescent="0.2">
      <c r="B47" s="129"/>
      <c r="C47" s="143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56"/>
      <c r="O47" s="156"/>
      <c r="P47" s="127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</row>
    <row r="48" spans="1:144" s="62" customFormat="1" ht="11.25" x14ac:dyDescent="0.2">
      <c r="A48" s="74">
        <v>2</v>
      </c>
      <c r="B48" s="129" t="s">
        <v>32</v>
      </c>
      <c r="C48" s="143" t="s">
        <v>16</v>
      </c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7">
        <f>SUM(D48:O48)</f>
        <v>0</v>
      </c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</row>
    <row r="49" spans="1:144" s="62" customFormat="1" ht="11.25" x14ac:dyDescent="0.2">
      <c r="A49" s="74"/>
      <c r="B49" s="129"/>
      <c r="C49" s="143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7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</row>
    <row r="50" spans="1:144" s="62" customFormat="1" ht="11.25" x14ac:dyDescent="0.2">
      <c r="A50" s="74">
        <v>3</v>
      </c>
      <c r="B50" s="146" t="s">
        <v>113</v>
      </c>
      <c r="C50" s="125" t="s">
        <v>16</v>
      </c>
      <c r="D50" s="142">
        <f>+'[4]II-H-1.6 Dist'!D43+'[5]II-H-1.6 Dist'!D44</f>
        <v>-35269.073089818135</v>
      </c>
      <c r="E50" s="142">
        <f>+'[4]II-H-1.6 Dist'!E43+'[5]II-H-1.6 Dist'!E44</f>
        <v>-12575.643800002112</v>
      </c>
      <c r="F50" s="142">
        <f>+'[4]II-H-1.6 Dist'!F43+'[5]II-H-1.6 Dist'!F44</f>
        <v>-44327.8122573859</v>
      </c>
      <c r="G50" s="142">
        <f>+'[4]II-H-1.6 Dist'!G43+'[5]II-H-1.6 Dist'!G44</f>
        <v>-18713.588790754304</v>
      </c>
      <c r="H50" s="142">
        <f>+'[4]II-H-1.6 Dist'!H43+'[5]II-H-1.6 Dist'!H44</f>
        <v>53020.511059184886</v>
      </c>
      <c r="I50" s="142">
        <f>+'[4]II-H-1.6 Dist'!I43+'[5]II-H-1.6 Dist'!I44</f>
        <v>-82531.626760075625</v>
      </c>
      <c r="J50" s="142">
        <f>+'[4]II-H-1.6 Dist'!J43+'[5]II-H-1.6 Dist'!J44</f>
        <v>6725.2430434557227</v>
      </c>
      <c r="K50" s="142">
        <f>+'[4]II-H-1.6 Dist'!K43+'[5]II-H-1.6 Dist'!K44</f>
        <v>22917.070931196315</v>
      </c>
      <c r="L50" s="142">
        <f>+'[4]II-H-1.6 Dist'!L43+'[5]II-H-1.6 Dist'!L44</f>
        <v>2959.8961606752491</v>
      </c>
      <c r="M50" s="142">
        <f>+'[4]II-H-1.6 Dist'!M43+'[5]II-H-1.6 Dist'!M44</f>
        <v>13179.160600288678</v>
      </c>
      <c r="N50" s="142">
        <f>+'[4]II-H-1.6 Dist'!N43+'[5]II-H-1.6 Dist'!N44</f>
        <v>56268.158584309233</v>
      </c>
      <c r="O50" s="142">
        <f>+'[4]II-H-1.6 Dist'!O43+'[5]II-H-1.6 Dist'!O44</f>
        <v>35761.081934689741</v>
      </c>
      <c r="P50" s="127">
        <f>SUM(D50:O50)</f>
        <v>-2586.6223842362451</v>
      </c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</row>
    <row r="51" spans="1:144" s="62" customFormat="1" ht="11.25" x14ac:dyDescent="0.2">
      <c r="A51" s="74">
        <v>4</v>
      </c>
      <c r="B51" s="146" t="s">
        <v>114</v>
      </c>
      <c r="C51" s="125" t="s">
        <v>16</v>
      </c>
      <c r="D51" s="123">
        <f>+'[4]II-H-1.6 Dist'!D44+'[5]II-H-1.6 Dist'!D45</f>
        <v>-3616.1764726999363</v>
      </c>
      <c r="E51" s="123">
        <f>+'[4]II-H-1.6 Dist'!E44+'[5]II-H-1.6 Dist'!E45</f>
        <v>-1503.1345583337488</v>
      </c>
      <c r="F51" s="123">
        <f>+'[4]II-H-1.6 Dist'!F44+'[5]II-H-1.6 Dist'!F45</f>
        <v>-3467.1485568762678</v>
      </c>
      <c r="G51" s="123">
        <f>+'[4]II-H-1.6 Dist'!G44+'[5]II-H-1.6 Dist'!G45</f>
        <v>-1212.0608757522982</v>
      </c>
      <c r="H51" s="123">
        <f>+'[4]II-H-1.6 Dist'!H44+'[5]II-H-1.6 Dist'!H45</f>
        <v>4385.1688349416772</v>
      </c>
      <c r="I51" s="123">
        <f>+'[4]II-H-1.6 Dist'!I44+'[5]II-H-1.6 Dist'!I45</f>
        <v>-9053.8679800192767</v>
      </c>
      <c r="J51" s="123">
        <f>+'[4]II-H-1.6 Dist'!J44+'[5]II-H-1.6 Dist'!J45</f>
        <v>-245.53186872091214</v>
      </c>
      <c r="K51" s="123">
        <f>+'[4]II-H-1.6 Dist'!K44+'[5]II-H-1.6 Dist'!K45</f>
        <v>2147.2832020396077</v>
      </c>
      <c r="L51" s="123">
        <f>+'[4]II-H-1.6 Dist'!L44+'[5]II-H-1.6 Dist'!L45</f>
        <v>575.1007377008051</v>
      </c>
      <c r="M51" s="123">
        <f>+'[4]II-H-1.6 Dist'!M44+'[5]II-H-1.6 Dist'!M45</f>
        <v>1423.1891176429074</v>
      </c>
      <c r="N51" s="123">
        <f>+'[4]II-H-1.6 Dist'!N44+'[5]II-H-1.6 Dist'!N45</f>
        <v>4422.5237932137743</v>
      </c>
      <c r="O51" s="123">
        <f>+'[4]II-H-1.6 Dist'!O44+'[5]II-H-1.6 Dist'!O45</f>
        <v>2426.6879175173626</v>
      </c>
      <c r="P51" s="167">
        <f>SUM(D51:O51)</f>
        <v>-3717.9667093463086</v>
      </c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</row>
    <row r="52" spans="1:144" s="62" customFormat="1" ht="11.25" x14ac:dyDescent="0.2">
      <c r="A52" s="74">
        <v>5</v>
      </c>
      <c r="B52" s="162" t="s">
        <v>30</v>
      </c>
      <c r="C52" s="143"/>
      <c r="D52" s="157">
        <f t="shared" ref="D52:P52" si="6">SUM(D50:D51)</f>
        <v>-38885.249562518075</v>
      </c>
      <c r="E52" s="157">
        <f t="shared" si="6"/>
        <v>-14078.778358335861</v>
      </c>
      <c r="F52" s="157">
        <f t="shared" si="6"/>
        <v>-47794.960814262166</v>
      </c>
      <c r="G52" s="157">
        <f t="shared" si="6"/>
        <v>-19925.649666506601</v>
      </c>
      <c r="H52" s="157">
        <f t="shared" si="6"/>
        <v>57405.679894126566</v>
      </c>
      <c r="I52" s="157">
        <f t="shared" si="6"/>
        <v>-91585.494740094902</v>
      </c>
      <c r="J52" s="157">
        <f t="shared" si="6"/>
        <v>6479.7111747348108</v>
      </c>
      <c r="K52" s="157">
        <f t="shared" si="6"/>
        <v>25064.354133235924</v>
      </c>
      <c r="L52" s="157">
        <f t="shared" si="6"/>
        <v>3534.9968983760541</v>
      </c>
      <c r="M52" s="157">
        <f t="shared" si="6"/>
        <v>14602.349717931585</v>
      </c>
      <c r="N52" s="157">
        <f t="shared" si="6"/>
        <v>60690.682377523008</v>
      </c>
      <c r="O52" s="157">
        <f t="shared" si="6"/>
        <v>38187.7698522071</v>
      </c>
      <c r="P52" s="157">
        <f t="shared" si="6"/>
        <v>-6304.5890935825537</v>
      </c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</row>
    <row r="53" spans="1:144" s="62" customFormat="1" ht="11.25" x14ac:dyDescent="0.2">
      <c r="B53" s="242"/>
      <c r="C53" s="143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22"/>
      <c r="O53" s="122"/>
      <c r="P53" s="127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</row>
    <row r="54" spans="1:144" s="62" customFormat="1" ht="11.25" x14ac:dyDescent="0.2">
      <c r="A54" s="74">
        <v>6</v>
      </c>
      <c r="B54" s="146" t="s">
        <v>110</v>
      </c>
      <c r="C54" s="125" t="s">
        <v>17</v>
      </c>
      <c r="D54" s="142">
        <f>+'[4]II-H-1.6 Dist'!D47+'[5]II-H-1.6 Dist'!D48</f>
        <v>-4916.7955046747329</v>
      </c>
      <c r="E54" s="142">
        <f>+'[4]II-H-1.6 Dist'!E47+'[5]II-H-1.6 Dist'!E48</f>
        <v>-1568.3231957440239</v>
      </c>
      <c r="F54" s="142">
        <f>+'[4]II-H-1.6 Dist'!F47+'[5]II-H-1.6 Dist'!F48</f>
        <v>-8186.4066641363333</v>
      </c>
      <c r="G54" s="142">
        <f>+'[4]II-H-1.6 Dist'!G47+'[5]II-H-1.6 Dist'!G48</f>
        <v>-3591.956680859194</v>
      </c>
      <c r="H54" s="142">
        <f>+'[4]II-H-1.6 Dist'!H47+'[5]II-H-1.6 Dist'!H48</f>
        <v>10078.261164297763</v>
      </c>
      <c r="I54" s="142">
        <f>+'[4]II-H-1.6 Dist'!I47+'[5]II-H-1.6 Dist'!I48</f>
        <v>-14688.897106065617</v>
      </c>
      <c r="J54" s="142">
        <f>+'[4]II-H-1.6 Dist'!J47+'[5]II-H-1.6 Dist'!J48</f>
        <v>1112.6182904368757</v>
      </c>
      <c r="K54" s="142">
        <f>+'[4]II-H-1.6 Dist'!K47+'[5]II-H-1.6 Dist'!K48</f>
        <v>4108.556090016682</v>
      </c>
      <c r="L54" s="142">
        <f>+'[4]II-H-1.6 Dist'!L47+'[5]II-H-1.6 Dist'!L48</f>
        <v>391.45142559408805</v>
      </c>
      <c r="M54" s="142">
        <f>+'[4]II-H-1.6 Dist'!M47+'[5]II-H-1.6 Dist'!M48</f>
        <v>1679.2056086616819</v>
      </c>
      <c r="N54" s="142">
        <f>+'[4]II-H-1.6 Dist'!N47+'[5]II-H-1.6 Dist'!N48</f>
        <v>11037.310910943894</v>
      </c>
      <c r="O54" s="142">
        <f>+'[4]II-H-1.6 Dist'!O47+'[5]II-H-1.6 Dist'!O48</f>
        <v>6677.7505106756744</v>
      </c>
      <c r="P54" s="127">
        <f>SUM(D54:O54)</f>
        <v>2132.7748491467555</v>
      </c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</row>
    <row r="55" spans="1:144" s="62" customFormat="1" ht="11.25" x14ac:dyDescent="0.2">
      <c r="A55" s="74">
        <v>7</v>
      </c>
      <c r="B55" s="146" t="s">
        <v>111</v>
      </c>
      <c r="C55" s="125" t="s">
        <v>17</v>
      </c>
      <c r="D55" s="123">
        <f>+'[4]II-H-1.6 Dist'!D48+'[5]II-H-1.6 Dist'!D49</f>
        <v>0</v>
      </c>
      <c r="E55" s="123">
        <f>+'[4]II-H-1.6 Dist'!E48+'[5]II-H-1.6 Dist'!E49</f>
        <v>0</v>
      </c>
      <c r="F55" s="123">
        <f>+'[4]II-H-1.6 Dist'!F48+'[5]II-H-1.6 Dist'!F49</f>
        <v>0</v>
      </c>
      <c r="G55" s="123">
        <f>+'[4]II-H-1.6 Dist'!G48+'[5]II-H-1.6 Dist'!G49</f>
        <v>0</v>
      </c>
      <c r="H55" s="123">
        <f>+'[4]II-H-1.6 Dist'!H48+'[5]II-H-1.6 Dist'!H49</f>
        <v>0</v>
      </c>
      <c r="I55" s="123">
        <f>+'[4]II-H-1.6 Dist'!I48+'[5]II-H-1.6 Dist'!I49</f>
        <v>0</v>
      </c>
      <c r="J55" s="123">
        <f>+'[4]II-H-1.6 Dist'!J48+'[5]II-H-1.6 Dist'!J49</f>
        <v>0</v>
      </c>
      <c r="K55" s="123">
        <f>+'[4]II-H-1.6 Dist'!K48+'[5]II-H-1.6 Dist'!K49</f>
        <v>0</v>
      </c>
      <c r="L55" s="123">
        <f>+'[4]II-H-1.6 Dist'!L48+'[5]II-H-1.6 Dist'!L49</f>
        <v>0</v>
      </c>
      <c r="M55" s="123">
        <f>+'[4]II-H-1.6 Dist'!M48+'[5]II-H-1.6 Dist'!M49</f>
        <v>0</v>
      </c>
      <c r="N55" s="123">
        <f>+'[4]II-H-1.6 Dist'!N48+'[5]II-H-1.6 Dist'!N49</f>
        <v>0</v>
      </c>
      <c r="O55" s="123">
        <f>+'[4]II-H-1.6 Dist'!O48+'[5]II-H-1.6 Dist'!O49</f>
        <v>0</v>
      </c>
      <c r="P55" s="167">
        <f>SUM(D55:O55)</f>
        <v>0</v>
      </c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</row>
    <row r="56" spans="1:144" s="62" customFormat="1" ht="11.25" x14ac:dyDescent="0.2">
      <c r="A56" s="74">
        <v>8</v>
      </c>
      <c r="B56" s="129" t="s">
        <v>31</v>
      </c>
      <c r="C56" s="125"/>
      <c r="D56" s="122">
        <f t="shared" ref="D56:N56" si="7">SUM(D54:D55)</f>
        <v>-4916.7955046747329</v>
      </c>
      <c r="E56" s="122">
        <f t="shared" si="7"/>
        <v>-1568.3231957440239</v>
      </c>
      <c r="F56" s="122">
        <f t="shared" si="7"/>
        <v>-8186.4066641363333</v>
      </c>
      <c r="G56" s="122">
        <f t="shared" si="7"/>
        <v>-3591.956680859194</v>
      </c>
      <c r="H56" s="122">
        <f t="shared" si="7"/>
        <v>10078.261164297763</v>
      </c>
      <c r="I56" s="122">
        <f t="shared" si="7"/>
        <v>-14688.897106065617</v>
      </c>
      <c r="J56" s="122">
        <f t="shared" si="7"/>
        <v>1112.6182904368757</v>
      </c>
      <c r="K56" s="122">
        <f t="shared" si="7"/>
        <v>4108.556090016682</v>
      </c>
      <c r="L56" s="122">
        <f t="shared" si="7"/>
        <v>391.45142559408805</v>
      </c>
      <c r="M56" s="122">
        <f t="shared" si="7"/>
        <v>1679.2056086616819</v>
      </c>
      <c r="N56" s="122">
        <f t="shared" si="7"/>
        <v>11037.310910943894</v>
      </c>
      <c r="O56" s="122">
        <f>SUM(O54:O55)</f>
        <v>6677.7505106756744</v>
      </c>
      <c r="P56" s="122">
        <f>SUM(P54:P55)</f>
        <v>2132.7748491467555</v>
      </c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</row>
    <row r="57" spans="1:144" s="62" customFormat="1" ht="11.25" x14ac:dyDescent="0.2">
      <c r="A57" s="74"/>
      <c r="B57" s="129"/>
      <c r="C57" s="125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7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</row>
    <row r="58" spans="1:144" s="62" customFormat="1" ht="11.25" x14ac:dyDescent="0.2">
      <c r="A58" s="74">
        <v>9</v>
      </c>
      <c r="B58" s="162" t="s">
        <v>115</v>
      </c>
      <c r="C58" s="125" t="s">
        <v>18</v>
      </c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7">
        <f>SUM(D58:O58)</f>
        <v>0</v>
      </c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</row>
    <row r="59" spans="1:144" s="62" customFormat="1" ht="11.25" x14ac:dyDescent="0.2">
      <c r="B59" s="129"/>
      <c r="C59" s="143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22"/>
      <c r="O59" s="122"/>
      <c r="P59" s="127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</row>
    <row r="60" spans="1:144" s="62" customFormat="1" ht="11.25" x14ac:dyDescent="0.2">
      <c r="A60" s="74">
        <v>10</v>
      </c>
      <c r="B60" s="117" t="s">
        <v>33</v>
      </c>
      <c r="C60" s="125" t="s">
        <v>16</v>
      </c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7">
        <f>SUM(D60:O60)</f>
        <v>0</v>
      </c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</row>
    <row r="61" spans="1:144" s="62" customFormat="1" ht="11.25" x14ac:dyDescent="0.2">
      <c r="A61" s="74"/>
      <c r="B61" s="129"/>
      <c r="C61" s="143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22"/>
      <c r="O61" s="122"/>
      <c r="P61" s="127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</row>
    <row r="62" spans="1:144" s="62" customFormat="1" ht="11.25" x14ac:dyDescent="0.2">
      <c r="A62" s="74">
        <v>11</v>
      </c>
      <c r="B62" s="183" t="s">
        <v>34</v>
      </c>
      <c r="C62" s="236"/>
      <c r="D62" s="184">
        <f t="shared" ref="D62:N62" si="8">D60+D58+D56+D52+D48+D46</f>
        <v>-43802.045067192805</v>
      </c>
      <c r="E62" s="184">
        <f t="shared" si="8"/>
        <v>-15647.101554079885</v>
      </c>
      <c r="F62" s="184">
        <f t="shared" si="8"/>
        <v>-55981.367478398497</v>
      </c>
      <c r="G62" s="184">
        <f t="shared" si="8"/>
        <v>-23517.606347365796</v>
      </c>
      <c r="H62" s="184">
        <f t="shared" si="8"/>
        <v>67483.941058424331</v>
      </c>
      <c r="I62" s="184">
        <f t="shared" si="8"/>
        <v>-106274.39184616052</v>
      </c>
      <c r="J62" s="184">
        <f t="shared" si="8"/>
        <v>7592.329465171686</v>
      </c>
      <c r="K62" s="184">
        <f t="shared" si="8"/>
        <v>29172.910223252606</v>
      </c>
      <c r="L62" s="184">
        <f t="shared" si="8"/>
        <v>3926.4483239701422</v>
      </c>
      <c r="M62" s="184">
        <f t="shared" si="8"/>
        <v>16281.555326593267</v>
      </c>
      <c r="N62" s="184">
        <f t="shared" si="8"/>
        <v>71727.993288466896</v>
      </c>
      <c r="O62" s="184">
        <f>O60+O58+O56+O52+O48+O46</f>
        <v>44865.520362882773</v>
      </c>
      <c r="P62" s="184">
        <f>P60+P58+P56+P52+P48+P46</f>
        <v>-4171.8142444357982</v>
      </c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</row>
    <row r="63" spans="1:144" s="62" customFormat="1" ht="11.25" x14ac:dyDescent="0.2">
      <c r="B63" s="236"/>
      <c r="C63" s="236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56"/>
      <c r="O63" s="156"/>
      <c r="P63" s="127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</row>
    <row r="64" spans="1:144" s="62" customFormat="1" ht="11.25" x14ac:dyDescent="0.2">
      <c r="A64" s="74">
        <v>12</v>
      </c>
      <c r="B64" s="148" t="s">
        <v>91</v>
      </c>
      <c r="C64" s="125" t="s">
        <v>17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7">
        <f>SUM(D64:O64)</f>
        <v>0</v>
      </c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</row>
    <row r="65" spans="1:144" s="62" customFormat="1" ht="11.25" x14ac:dyDescent="0.2">
      <c r="A65" s="74">
        <v>13</v>
      </c>
      <c r="B65" s="148" t="s">
        <v>92</v>
      </c>
      <c r="C65" s="125" t="s">
        <v>18</v>
      </c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67">
        <f>SUM(D65:O65)</f>
        <v>0</v>
      </c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</row>
    <row r="66" spans="1:144" s="62" customFormat="1" ht="11.25" x14ac:dyDescent="0.2">
      <c r="A66" s="74">
        <v>14</v>
      </c>
      <c r="B66" s="183" t="s">
        <v>35</v>
      </c>
      <c r="C66" s="238"/>
      <c r="D66" s="169">
        <f t="shared" ref="D66:P66" si="9">SUM(D64:D65)</f>
        <v>0</v>
      </c>
      <c r="E66" s="169">
        <f t="shared" si="9"/>
        <v>0</v>
      </c>
      <c r="F66" s="169">
        <f t="shared" si="9"/>
        <v>0</v>
      </c>
      <c r="G66" s="169">
        <f t="shared" si="9"/>
        <v>0</v>
      </c>
      <c r="H66" s="169">
        <f t="shared" si="9"/>
        <v>0</v>
      </c>
      <c r="I66" s="169">
        <f t="shared" si="9"/>
        <v>0</v>
      </c>
      <c r="J66" s="169">
        <f t="shared" si="9"/>
        <v>0</v>
      </c>
      <c r="K66" s="169">
        <f t="shared" si="9"/>
        <v>0</v>
      </c>
      <c r="L66" s="169">
        <f t="shared" si="9"/>
        <v>0</v>
      </c>
      <c r="M66" s="169">
        <f t="shared" si="9"/>
        <v>0</v>
      </c>
      <c r="N66" s="156">
        <f t="shared" si="9"/>
        <v>0</v>
      </c>
      <c r="O66" s="156">
        <f t="shared" si="9"/>
        <v>0</v>
      </c>
      <c r="P66" s="156">
        <f t="shared" si="9"/>
        <v>0</v>
      </c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</row>
    <row r="67" spans="1:144" s="62" customFormat="1" ht="11.25" x14ac:dyDescent="0.2">
      <c r="A67" s="74"/>
      <c r="B67" s="129"/>
      <c r="C67" s="185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22"/>
      <c r="O67" s="122"/>
      <c r="P67" s="127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</row>
    <row r="68" spans="1:144" s="62" customFormat="1" ht="12" thickBot="1" x14ac:dyDescent="0.25">
      <c r="A68" s="74">
        <v>15</v>
      </c>
      <c r="B68" s="243" t="str">
        <f>B37</f>
        <v>TOTAL AEP TEXAS</v>
      </c>
      <c r="C68" s="238"/>
      <c r="D68" s="244">
        <f t="shared" ref="D68:P68" si="10">+D66+D62</f>
        <v>-43802.045067192805</v>
      </c>
      <c r="E68" s="244">
        <f t="shared" si="10"/>
        <v>-15647.101554079885</v>
      </c>
      <c r="F68" s="244">
        <f t="shared" si="10"/>
        <v>-55981.367478398497</v>
      </c>
      <c r="G68" s="244">
        <f t="shared" si="10"/>
        <v>-23517.606347365796</v>
      </c>
      <c r="H68" s="244">
        <f t="shared" si="10"/>
        <v>67483.941058424331</v>
      </c>
      <c r="I68" s="244">
        <f t="shared" si="10"/>
        <v>-106274.39184616052</v>
      </c>
      <c r="J68" s="244">
        <f t="shared" si="10"/>
        <v>7592.329465171686</v>
      </c>
      <c r="K68" s="244">
        <f t="shared" si="10"/>
        <v>29172.910223252606</v>
      </c>
      <c r="L68" s="244">
        <f t="shared" si="10"/>
        <v>3926.4483239701422</v>
      </c>
      <c r="M68" s="244">
        <f t="shared" si="10"/>
        <v>16281.555326593267</v>
      </c>
      <c r="N68" s="244">
        <f t="shared" si="10"/>
        <v>71727.993288466896</v>
      </c>
      <c r="O68" s="244">
        <f t="shared" si="10"/>
        <v>44865.520362882773</v>
      </c>
      <c r="P68" s="244">
        <f t="shared" si="10"/>
        <v>-4171.8142444357982</v>
      </c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</row>
    <row r="69" spans="1:144" s="3" customFormat="1" ht="31.5" customHeight="1" thickTop="1" x14ac:dyDescent="0.2">
      <c r="A69" s="2"/>
      <c r="B69" s="306" t="str">
        <f>+B8</f>
        <v>AEP TEXAS</v>
      </c>
      <c r="C69" s="306"/>
      <c r="D69" s="310"/>
      <c r="E69" s="310"/>
      <c r="F69" s="311"/>
      <c r="G69" s="311"/>
      <c r="H69" s="310"/>
      <c r="I69" s="312"/>
      <c r="J69" s="312"/>
      <c r="K69" s="312"/>
      <c r="L69" s="312"/>
      <c r="M69" s="312"/>
      <c r="N69" s="312"/>
      <c r="O69" s="310"/>
      <c r="P69" s="308"/>
      <c r="Q69" s="44"/>
      <c r="R69" s="43"/>
      <c r="S69" s="43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</row>
    <row r="70" spans="1:144" s="126" customFormat="1" x14ac:dyDescent="0.2">
      <c r="A70" s="107"/>
      <c r="B70" s="132" t="s">
        <v>23</v>
      </c>
      <c r="C70" s="133"/>
      <c r="D70" s="137"/>
      <c r="E70" s="137"/>
      <c r="F70" s="138"/>
      <c r="G70" s="138"/>
      <c r="H70" s="137"/>
      <c r="I70" s="139"/>
      <c r="J70" s="139"/>
      <c r="K70" s="139"/>
      <c r="L70" s="139"/>
      <c r="M70" s="139"/>
      <c r="N70" s="139"/>
      <c r="O70" s="137"/>
      <c r="P70" s="135" t="s">
        <v>1</v>
      </c>
      <c r="Q70" s="140"/>
      <c r="R70" s="140"/>
      <c r="S70" s="140"/>
    </row>
    <row r="71" spans="1:144" x14ac:dyDescent="0.2">
      <c r="B71" s="388" t="str">
        <f>+B10</f>
        <v>FOR TEST YEAR ENDED DECEMBER 31, 2018</v>
      </c>
      <c r="C71" s="388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107"/>
      <c r="Q71" s="43"/>
      <c r="R71" s="43"/>
      <c r="S71" s="43"/>
    </row>
    <row r="72" spans="1:144" x14ac:dyDescent="0.2"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107"/>
      <c r="Q72" s="43"/>
      <c r="R72" s="43"/>
      <c r="S72" s="43"/>
    </row>
    <row r="73" spans="1:144" x14ac:dyDescent="0.2">
      <c r="B73" s="175"/>
      <c r="C73" s="146"/>
      <c r="D73" s="287"/>
      <c r="E73" s="287"/>
      <c r="F73" s="287"/>
      <c r="G73" s="287"/>
      <c r="H73" s="287"/>
      <c r="I73" s="177"/>
      <c r="J73" s="313"/>
      <c r="K73" s="177"/>
      <c r="L73" s="177"/>
      <c r="M73" s="177"/>
      <c r="N73" s="177"/>
      <c r="O73" s="177"/>
      <c r="P73" s="178"/>
      <c r="Q73" s="43"/>
      <c r="R73" s="43"/>
      <c r="S73" s="43"/>
    </row>
    <row r="74" spans="1:144" s="3" customFormat="1" x14ac:dyDescent="0.2">
      <c r="A74" s="68" t="s">
        <v>20</v>
      </c>
      <c r="B74" s="237" t="s">
        <v>0</v>
      </c>
      <c r="C74" s="237" t="s">
        <v>19</v>
      </c>
      <c r="D74" s="287" t="str">
        <f>+D13</f>
        <v>JANUARY</v>
      </c>
      <c r="E74" s="287" t="str">
        <f t="shared" ref="E74:O74" si="11">+E13</f>
        <v>FEBRUARY</v>
      </c>
      <c r="F74" s="287" t="str">
        <f t="shared" si="11"/>
        <v>MARCH</v>
      </c>
      <c r="G74" s="287" t="str">
        <f t="shared" si="11"/>
        <v>APRIL</v>
      </c>
      <c r="H74" s="287" t="str">
        <f t="shared" si="11"/>
        <v>MAY</v>
      </c>
      <c r="I74" s="287" t="str">
        <f t="shared" si="11"/>
        <v>JUNE</v>
      </c>
      <c r="J74" s="287" t="str">
        <f t="shared" si="11"/>
        <v>JULY</v>
      </c>
      <c r="K74" s="287" t="str">
        <f t="shared" si="11"/>
        <v>AUGUST</v>
      </c>
      <c r="L74" s="287" t="str">
        <f t="shared" si="11"/>
        <v>SEPTEMBER</v>
      </c>
      <c r="M74" s="287" t="str">
        <f t="shared" si="11"/>
        <v>OCTOBER</v>
      </c>
      <c r="N74" s="287" t="str">
        <f t="shared" si="11"/>
        <v>NOVEMBER</v>
      </c>
      <c r="O74" s="287" t="str">
        <f t="shared" si="11"/>
        <v>DECEMBER</v>
      </c>
      <c r="P74" s="179" t="s">
        <v>14</v>
      </c>
      <c r="Q74" s="44"/>
      <c r="R74" s="43"/>
      <c r="S74" s="43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</row>
    <row r="75" spans="1:144" s="3" customFormat="1" x14ac:dyDescent="0.2">
      <c r="A75" s="2"/>
      <c r="B75" s="237"/>
      <c r="C75" s="237"/>
      <c r="D75" s="314"/>
      <c r="E75" s="314"/>
      <c r="F75" s="315"/>
      <c r="G75" s="315"/>
      <c r="H75" s="314"/>
      <c r="I75" s="316"/>
      <c r="J75" s="316"/>
      <c r="K75" s="316"/>
      <c r="L75" s="316"/>
      <c r="M75" s="316"/>
      <c r="N75" s="316"/>
      <c r="O75" s="314"/>
      <c r="P75" s="317"/>
      <c r="Q75" s="44"/>
      <c r="R75" s="43"/>
      <c r="S75" s="43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144" s="62" customFormat="1" ht="11.25" x14ac:dyDescent="0.2">
      <c r="A76" s="74" t="s">
        <v>21</v>
      </c>
      <c r="B76" s="129" t="s">
        <v>29</v>
      </c>
      <c r="C76" s="143" t="s">
        <v>16</v>
      </c>
      <c r="D76" s="122">
        <f>+'[5]II-H-1.6 Dist'!D71+'[4]II-H-1.6 Dist'!D69</f>
        <v>0</v>
      </c>
      <c r="E76" s="122">
        <f>+'[5]II-H-1.6 Dist'!E71+'[4]II-H-1.6 Dist'!E69</f>
        <v>0</v>
      </c>
      <c r="F76" s="122">
        <f>+'[5]II-H-1.6 Dist'!F71+'[4]II-H-1.6 Dist'!F69</f>
        <v>0</v>
      </c>
      <c r="G76" s="122">
        <f>+'[5]II-H-1.6 Dist'!G71+'[4]II-H-1.6 Dist'!G69</f>
        <v>0</v>
      </c>
      <c r="H76" s="122">
        <f>+'[5]II-H-1.6 Dist'!H71+'[4]II-H-1.6 Dist'!H69</f>
        <v>0</v>
      </c>
      <c r="I76" s="122">
        <f>+'[5]II-H-1.6 Dist'!I71+'[4]II-H-1.6 Dist'!I69</f>
        <v>0</v>
      </c>
      <c r="J76" s="122">
        <f>+'[5]II-H-1.6 Dist'!J71+'[4]II-H-1.6 Dist'!J69</f>
        <v>0</v>
      </c>
      <c r="K76" s="122">
        <f>+'[5]II-H-1.6 Dist'!K71+'[4]II-H-1.6 Dist'!K69</f>
        <v>0</v>
      </c>
      <c r="L76" s="122">
        <f>+'[5]II-H-1.6 Dist'!L71+'[4]II-H-1.6 Dist'!L69</f>
        <v>0</v>
      </c>
      <c r="M76" s="122">
        <f>+'[5]II-H-1.6 Dist'!M71+'[4]II-H-1.6 Dist'!M69</f>
        <v>0</v>
      </c>
      <c r="N76" s="122">
        <f>+'[5]II-H-1.6 Dist'!N71+'[4]II-H-1.6 Dist'!N69</f>
        <v>0</v>
      </c>
      <c r="O76" s="122">
        <f>+'[5]II-H-1.6 Dist'!O71+'[4]II-H-1.6 Dist'!O69</f>
        <v>0</v>
      </c>
      <c r="P76" s="127">
        <f>SUM(D76:O76)</f>
        <v>0</v>
      </c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</row>
    <row r="77" spans="1:144" s="62" customFormat="1" ht="11.25" x14ac:dyDescent="0.2">
      <c r="B77" s="129"/>
      <c r="C77" s="143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27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</row>
    <row r="78" spans="1:144" s="62" customFormat="1" ht="11.25" x14ac:dyDescent="0.2">
      <c r="A78" s="74">
        <v>2</v>
      </c>
      <c r="B78" s="129" t="s">
        <v>32</v>
      </c>
      <c r="C78" s="143" t="s">
        <v>16</v>
      </c>
      <c r="D78" s="122">
        <f>+'[5]II-H-1.6 Dist'!D73+'[4]II-H-1.6 Dist'!D71</f>
        <v>0</v>
      </c>
      <c r="E78" s="122">
        <f>+'[5]II-H-1.6 Dist'!E73+'[4]II-H-1.6 Dist'!E71</f>
        <v>0</v>
      </c>
      <c r="F78" s="122">
        <f>+'[5]II-H-1.6 Dist'!F73+'[4]II-H-1.6 Dist'!F71</f>
        <v>0</v>
      </c>
      <c r="G78" s="122">
        <f>+'[5]II-H-1.6 Dist'!G73+'[4]II-H-1.6 Dist'!G71</f>
        <v>0</v>
      </c>
      <c r="H78" s="122">
        <f>+'[5]II-H-1.6 Dist'!H73+'[4]II-H-1.6 Dist'!H71</f>
        <v>0</v>
      </c>
      <c r="I78" s="122">
        <f>+'[5]II-H-1.6 Dist'!I73+'[4]II-H-1.6 Dist'!I71</f>
        <v>0</v>
      </c>
      <c r="J78" s="122">
        <f>+'[5]II-H-1.6 Dist'!J73+'[4]II-H-1.6 Dist'!J71</f>
        <v>0</v>
      </c>
      <c r="K78" s="122">
        <f>+'[5]II-H-1.6 Dist'!K73+'[4]II-H-1.6 Dist'!K71</f>
        <v>0</v>
      </c>
      <c r="L78" s="122">
        <f>+'[5]II-H-1.6 Dist'!L73+'[4]II-H-1.6 Dist'!L71</f>
        <v>0</v>
      </c>
      <c r="M78" s="122">
        <f>+'[5]II-H-1.6 Dist'!M73+'[4]II-H-1.6 Dist'!M71</f>
        <v>0</v>
      </c>
      <c r="N78" s="122">
        <f>+'[5]II-H-1.6 Dist'!N73+'[4]II-H-1.6 Dist'!N71</f>
        <v>0</v>
      </c>
      <c r="O78" s="122">
        <f>+'[5]II-H-1.6 Dist'!O73+'[4]II-H-1.6 Dist'!O71</f>
        <v>0</v>
      </c>
      <c r="P78" s="127">
        <f>SUM(D78:O78)</f>
        <v>0</v>
      </c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</row>
    <row r="79" spans="1:144" s="62" customFormat="1" ht="11.25" x14ac:dyDescent="0.2">
      <c r="A79" s="74"/>
      <c r="B79" s="129"/>
      <c r="C79" s="143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7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</row>
    <row r="80" spans="1:144" s="62" customFormat="1" ht="11.25" x14ac:dyDescent="0.2">
      <c r="A80" s="74">
        <v>3</v>
      </c>
      <c r="B80" s="146" t="s">
        <v>113</v>
      </c>
      <c r="C80" s="125" t="s">
        <v>16</v>
      </c>
      <c r="D80" s="122">
        <f>+'[5]II-H-1.6 Dist'!D75+'[4]II-H-1.6 Dist'!D73</f>
        <v>104934.88001279175</v>
      </c>
      <c r="E80" s="122">
        <f>+'[5]II-H-1.6 Dist'!E75+'[4]II-H-1.6 Dist'!E73</f>
        <v>53165.86153252262</v>
      </c>
      <c r="F80" s="122">
        <f>+'[5]II-H-1.6 Dist'!F75+'[4]II-H-1.6 Dist'!F73</f>
        <v>23060.093479528572</v>
      </c>
      <c r="G80" s="122">
        <f>+'[5]II-H-1.6 Dist'!G75+'[4]II-H-1.6 Dist'!G73</f>
        <v>20468.361071585459</v>
      </c>
      <c r="H80" s="122">
        <f>+'[5]II-H-1.6 Dist'!H75+'[4]II-H-1.6 Dist'!H73</f>
        <v>24702.729844138186</v>
      </c>
      <c r="I80" s="122">
        <f>+'[5]II-H-1.6 Dist'!I75+'[4]II-H-1.6 Dist'!I73</f>
        <v>21647.577932220898</v>
      </c>
      <c r="J80" s="122">
        <f>+'[5]II-H-1.6 Dist'!J75+'[4]II-H-1.6 Dist'!J73</f>
        <v>16736.609908470509</v>
      </c>
      <c r="K80" s="122">
        <f>+'[5]II-H-1.6 Dist'!K75+'[4]II-H-1.6 Dist'!K73</f>
        <v>4880.6396226905654</v>
      </c>
      <c r="L80" s="122">
        <f>+'[5]II-H-1.6 Dist'!L75+'[4]II-H-1.6 Dist'!L73</f>
        <v>14676.236785477955</v>
      </c>
      <c r="M80" s="122">
        <f>+'[5]II-H-1.6 Dist'!M75+'[4]II-H-1.6 Dist'!M73</f>
        <v>13770.20029463691</v>
      </c>
      <c r="N80" s="122">
        <f>+'[5]II-H-1.6 Dist'!N75+'[4]II-H-1.6 Dist'!N73</f>
        <v>5659.705302123225</v>
      </c>
      <c r="O80" s="122">
        <f>+'[5]II-H-1.6 Dist'!O75+'[4]II-H-1.6 Dist'!O73</f>
        <v>0</v>
      </c>
      <c r="P80" s="127">
        <f>SUM(D80:O80)</f>
        <v>303702.89578618662</v>
      </c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</row>
    <row r="81" spans="1:144" s="62" customFormat="1" ht="11.25" x14ac:dyDescent="0.2">
      <c r="A81" s="74">
        <v>4</v>
      </c>
      <c r="B81" s="146" t="s">
        <v>114</v>
      </c>
      <c r="C81" s="125" t="s">
        <v>16</v>
      </c>
      <c r="D81" s="123">
        <f>+'[5]II-H-1.6 Dist'!D76+'[4]II-H-1.6 Dist'!D74</f>
        <v>-15258.241850130042</v>
      </c>
      <c r="E81" s="123">
        <f>+'[5]II-H-1.6 Dist'!E76+'[4]II-H-1.6 Dist'!E74</f>
        <v>-15122.516244636585</v>
      </c>
      <c r="F81" s="123">
        <f>+'[5]II-H-1.6 Dist'!F76+'[4]II-H-1.6 Dist'!F74</f>
        <v>-14391.584205352683</v>
      </c>
      <c r="G81" s="123">
        <f>+'[5]II-H-1.6 Dist'!G76+'[4]II-H-1.6 Dist'!G74</f>
        <v>-12442.335672883841</v>
      </c>
      <c r="H81" s="123">
        <f>+'[5]II-H-1.6 Dist'!H76+'[4]II-H-1.6 Dist'!H74</f>
        <v>-13799.638413646491</v>
      </c>
      <c r="I81" s="123">
        <f>+'[5]II-H-1.6 Dist'!I76+'[4]II-H-1.6 Dist'!I74</f>
        <v>-8842.2231655752548</v>
      </c>
      <c r="J81" s="123">
        <f>+'[5]II-H-1.6 Dist'!J76+'[4]II-H-1.6 Dist'!J74</f>
        <v>-9776.8934078174007</v>
      </c>
      <c r="K81" s="123">
        <f>+'[5]II-H-1.6 Dist'!K76+'[4]II-H-1.6 Dist'!K74</f>
        <v>-11509.272243095897</v>
      </c>
      <c r="L81" s="123">
        <f>+'[5]II-H-1.6 Dist'!L76+'[4]II-H-1.6 Dist'!L74</f>
        <v>673.14526776216076</v>
      </c>
      <c r="M81" s="123">
        <f>+'[5]II-H-1.6 Dist'!M76+'[4]II-H-1.6 Dist'!M74</f>
        <v>1230.3086397598922</v>
      </c>
      <c r="N81" s="123">
        <f>+'[5]II-H-1.6 Dist'!N76+'[4]II-H-1.6 Dist'!N74</f>
        <v>0</v>
      </c>
      <c r="O81" s="123">
        <f>+'[5]II-H-1.6 Dist'!O76+'[4]II-H-1.6 Dist'!O74</f>
        <v>0</v>
      </c>
      <c r="P81" s="167">
        <f>SUM(D81:O81)</f>
        <v>-99239.251295616152</v>
      </c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</row>
    <row r="82" spans="1:144" s="62" customFormat="1" ht="11.25" x14ac:dyDescent="0.2">
      <c r="A82" s="74">
        <v>5</v>
      </c>
      <c r="B82" s="162" t="s">
        <v>30</v>
      </c>
      <c r="C82" s="143"/>
      <c r="D82" s="157">
        <f t="shared" ref="D82:P82" si="12">SUM(D80:D81)</f>
        <v>89676.638162661708</v>
      </c>
      <c r="E82" s="157">
        <f t="shared" ref="E82:O82" si="13">SUM(E80:E81)</f>
        <v>38043.345287886033</v>
      </c>
      <c r="F82" s="157">
        <f t="shared" si="13"/>
        <v>8668.509274175889</v>
      </c>
      <c r="G82" s="157">
        <f t="shared" si="13"/>
        <v>8026.0253987016185</v>
      </c>
      <c r="H82" s="157">
        <f t="shared" si="13"/>
        <v>10903.091430491695</v>
      </c>
      <c r="I82" s="157">
        <f t="shared" si="13"/>
        <v>12805.354766645643</v>
      </c>
      <c r="J82" s="157">
        <f t="shared" si="13"/>
        <v>6959.7165006531086</v>
      </c>
      <c r="K82" s="157">
        <f t="shared" si="13"/>
        <v>-6628.6326204053312</v>
      </c>
      <c r="L82" s="157">
        <f t="shared" si="13"/>
        <v>15349.382053240115</v>
      </c>
      <c r="M82" s="157">
        <f t="shared" si="13"/>
        <v>15000.508934396803</v>
      </c>
      <c r="N82" s="157">
        <f t="shared" si="13"/>
        <v>5659.705302123225</v>
      </c>
      <c r="O82" s="157">
        <f t="shared" si="13"/>
        <v>0</v>
      </c>
      <c r="P82" s="157">
        <f t="shared" si="12"/>
        <v>204463.64449057047</v>
      </c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</row>
    <row r="83" spans="1:144" s="62" customFormat="1" ht="11.25" x14ac:dyDescent="0.2">
      <c r="B83" s="242"/>
      <c r="C83" s="143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27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</row>
    <row r="84" spans="1:144" s="62" customFormat="1" ht="11.25" x14ac:dyDescent="0.2">
      <c r="A84" s="74">
        <v>6</v>
      </c>
      <c r="B84" s="146" t="s">
        <v>110</v>
      </c>
      <c r="C84" s="125" t="s">
        <v>17</v>
      </c>
      <c r="D84" s="122">
        <f>+'[5]II-H-1.6 Dist'!D79+'[4]II-H-1.6 Dist'!D77</f>
        <v>667.3535798984077</v>
      </c>
      <c r="E84" s="122">
        <f>+'[5]II-H-1.6 Dist'!E79+'[4]II-H-1.6 Dist'!E77</f>
        <v>1490.5765540009327</v>
      </c>
      <c r="F84" s="122">
        <f>+'[5]II-H-1.6 Dist'!F79+'[4]II-H-1.6 Dist'!F77</f>
        <v>1081.3027276141152</v>
      </c>
      <c r="G84" s="122">
        <f>+'[5]II-H-1.6 Dist'!G79+'[4]II-H-1.6 Dist'!G77</f>
        <v>1857.0479440642712</v>
      </c>
      <c r="H84" s="122">
        <f>+'[5]II-H-1.6 Dist'!H79+'[4]II-H-1.6 Dist'!H77</f>
        <v>1649.6012463667321</v>
      </c>
      <c r="I84" s="122">
        <f>+'[5]II-H-1.6 Dist'!I79+'[4]II-H-1.6 Dist'!I77</f>
        <v>530.41225398835843</v>
      </c>
      <c r="J84" s="122">
        <f>+'[5]II-H-1.6 Dist'!J79+'[4]II-H-1.6 Dist'!J77</f>
        <v>879.28927025563144</v>
      </c>
      <c r="K84" s="122">
        <f>+'[5]II-H-1.6 Dist'!K79+'[4]II-H-1.6 Dist'!K77</f>
        <v>-669.14764305695314</v>
      </c>
      <c r="L84" s="122">
        <f>+'[5]II-H-1.6 Dist'!L79+'[4]II-H-1.6 Dist'!L77</f>
        <v>-825.50282366624197</v>
      </c>
      <c r="M84" s="122">
        <f>+'[5]II-H-1.6 Dist'!M79+'[4]II-H-1.6 Dist'!M77</f>
        <v>-442.36235847949922</v>
      </c>
      <c r="N84" s="122">
        <f>+'[5]II-H-1.6 Dist'!N79+'[4]II-H-1.6 Dist'!N77</f>
        <v>-310.55114049505977</v>
      </c>
      <c r="O84" s="122">
        <f>+'[5]II-H-1.6 Dist'!O79+'[4]II-H-1.6 Dist'!O77</f>
        <v>0</v>
      </c>
      <c r="P84" s="127">
        <f>SUM(D84:O84)</f>
        <v>5908.0196104906945</v>
      </c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</row>
    <row r="85" spans="1:144" s="62" customFormat="1" ht="11.25" x14ac:dyDescent="0.2">
      <c r="A85" s="74">
        <v>7</v>
      </c>
      <c r="B85" s="146" t="s">
        <v>111</v>
      </c>
      <c r="C85" s="125" t="s">
        <v>17</v>
      </c>
      <c r="D85" s="123">
        <f>+'[5]II-H-1.6 Dist'!D80+'[4]II-H-1.6 Dist'!D78</f>
        <v>5317.1399999999985</v>
      </c>
      <c r="E85" s="123">
        <f>+'[5]II-H-1.6 Dist'!E80+'[4]II-H-1.6 Dist'!E78</f>
        <v>3905.9154983983422</v>
      </c>
      <c r="F85" s="123">
        <f>+'[5]II-H-1.6 Dist'!F80+'[4]II-H-1.6 Dist'!F78</f>
        <v>-7874.4421717399136</v>
      </c>
      <c r="G85" s="123">
        <f>+'[5]II-H-1.6 Dist'!G80+'[4]II-H-1.6 Dist'!G78</f>
        <v>13211.438602028771</v>
      </c>
      <c r="H85" s="123">
        <f>+'[5]II-H-1.6 Dist'!H80+'[4]II-H-1.6 Dist'!H78</f>
        <v>-7017.0112903225809</v>
      </c>
      <c r="I85" s="123">
        <f>+'[5]II-H-1.6 Dist'!I80+'[4]II-H-1.6 Dist'!I78</f>
        <v>-16615.555277280859</v>
      </c>
      <c r="J85" s="123">
        <f>+'[5]II-H-1.6 Dist'!J80+'[4]II-H-1.6 Dist'!J78</f>
        <v>-793.89713570634058</v>
      </c>
      <c r="K85" s="123">
        <f>+'[5]II-H-1.6 Dist'!K80+'[4]II-H-1.6 Dist'!K78</f>
        <v>3877.3474937343358</v>
      </c>
      <c r="L85" s="123">
        <f>+'[5]II-H-1.6 Dist'!L80+'[4]II-H-1.6 Dist'!L78</f>
        <v>-1530.4593659942364</v>
      </c>
      <c r="M85" s="123">
        <f>+'[5]II-H-1.6 Dist'!M80+'[4]II-H-1.6 Dist'!M78</f>
        <v>-6460.6335949764534</v>
      </c>
      <c r="N85" s="123">
        <f>+'[5]II-H-1.6 Dist'!N80+'[4]II-H-1.6 Dist'!N78</f>
        <v>226.29557631826628</v>
      </c>
      <c r="O85" s="123">
        <f>+'[5]II-H-1.6 Dist'!O80+'[4]II-H-1.6 Dist'!O78</f>
        <v>0</v>
      </c>
      <c r="P85" s="167">
        <f>SUM(D85:O85)</f>
        <v>-13753.861665540673</v>
      </c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</row>
    <row r="86" spans="1:144" s="62" customFormat="1" ht="11.25" x14ac:dyDescent="0.2">
      <c r="A86" s="74">
        <v>8</v>
      </c>
      <c r="B86" s="129" t="s">
        <v>31</v>
      </c>
      <c r="C86" s="125"/>
      <c r="D86" s="122">
        <f t="shared" ref="D86:P86" si="14">SUM(D84:D85)</f>
        <v>5984.4935798984061</v>
      </c>
      <c r="E86" s="122">
        <f t="shared" ref="E86:O86" si="15">SUM(E84:E85)</f>
        <v>5396.4920523992751</v>
      </c>
      <c r="F86" s="122">
        <f t="shared" si="15"/>
        <v>-6793.139444125798</v>
      </c>
      <c r="G86" s="122">
        <f t="shared" si="15"/>
        <v>15068.486546093041</v>
      </c>
      <c r="H86" s="122">
        <f t="shared" si="15"/>
        <v>-5367.4100439558488</v>
      </c>
      <c r="I86" s="122">
        <f t="shared" si="15"/>
        <v>-16085.143023292499</v>
      </c>
      <c r="J86" s="122">
        <f t="shared" si="15"/>
        <v>85.392134549290859</v>
      </c>
      <c r="K86" s="122">
        <f t="shared" si="15"/>
        <v>3208.1998506773825</v>
      </c>
      <c r="L86" s="122">
        <f t="shared" si="15"/>
        <v>-2355.9621896604785</v>
      </c>
      <c r="M86" s="122">
        <f t="shared" si="15"/>
        <v>-6902.995953455953</v>
      </c>
      <c r="N86" s="122">
        <f t="shared" si="15"/>
        <v>-84.255564176793484</v>
      </c>
      <c r="O86" s="122">
        <f t="shared" si="15"/>
        <v>0</v>
      </c>
      <c r="P86" s="122">
        <f t="shared" si="14"/>
        <v>-7845.8420550499786</v>
      </c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</row>
    <row r="87" spans="1:144" s="62" customFormat="1" ht="11.25" x14ac:dyDescent="0.2">
      <c r="A87" s="74"/>
      <c r="B87" s="129"/>
      <c r="C87" s="125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7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</row>
    <row r="88" spans="1:144" s="62" customFormat="1" ht="11.25" x14ac:dyDescent="0.2">
      <c r="A88" s="74">
        <v>9</v>
      </c>
      <c r="B88" s="162" t="s">
        <v>115</v>
      </c>
      <c r="C88" s="125" t="s">
        <v>18</v>
      </c>
      <c r="D88" s="122">
        <f>+'[5]II-H-1.6 Dist'!D83+'[4]II-H-1.6 Dist'!D81</f>
        <v>-41291.478401122018</v>
      </c>
      <c r="E88" s="122">
        <f>+'[5]II-H-1.6 Dist'!E83+'[4]II-H-1.6 Dist'!E81</f>
        <v>68094.834688995223</v>
      </c>
      <c r="F88" s="122">
        <f>+'[5]II-H-1.6 Dist'!F83+'[4]II-H-1.6 Dist'!F81</f>
        <v>123946.87272727274</v>
      </c>
      <c r="G88" s="122">
        <f>+'[5]II-H-1.6 Dist'!G83+'[4]II-H-1.6 Dist'!G81</f>
        <v>71372.213157894745</v>
      </c>
      <c r="H88" s="122">
        <f>+'[5]II-H-1.6 Dist'!H83+'[4]II-H-1.6 Dist'!H81</f>
        <v>43518.227453580905</v>
      </c>
      <c r="I88" s="122">
        <f>+'[5]II-H-1.6 Dist'!I83+'[4]II-H-1.6 Dist'!I81</f>
        <v>2519.4208333333331</v>
      </c>
      <c r="J88" s="122">
        <f>+'[5]II-H-1.6 Dist'!J83+'[4]II-H-1.6 Dist'!J81</f>
        <v>112987.28446969698</v>
      </c>
      <c r="K88" s="122">
        <f>+'[5]II-H-1.6 Dist'!K83+'[4]II-H-1.6 Dist'!K81</f>
        <v>66504.567982456138</v>
      </c>
      <c r="L88" s="122">
        <f>+'[5]II-H-1.6 Dist'!L83+'[4]II-H-1.6 Dist'!L81</f>
        <v>4781.4086956521733</v>
      </c>
      <c r="M88" s="122">
        <f>+'[5]II-H-1.6 Dist'!M83+'[4]II-H-1.6 Dist'!M81</f>
        <v>336623.62748592871</v>
      </c>
      <c r="N88" s="122">
        <f>+'[5]II-H-1.6 Dist'!N83+'[4]II-H-1.6 Dist'!N81</f>
        <v>-504168.23189493432</v>
      </c>
      <c r="O88" s="122">
        <f>+'[5]II-H-1.6 Dist'!O83+'[4]II-H-1.6 Dist'!O81</f>
        <v>522678.69230769225</v>
      </c>
      <c r="P88" s="127">
        <f>SUM(D88:O88)</f>
        <v>807567.43950644683</v>
      </c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</row>
    <row r="89" spans="1:144" s="62" customFormat="1" ht="11.25" x14ac:dyDescent="0.2">
      <c r="B89" s="129"/>
      <c r="C89" s="143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27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</row>
    <row r="90" spans="1:144" s="62" customFormat="1" ht="11.25" x14ac:dyDescent="0.2">
      <c r="A90" s="74">
        <v>10</v>
      </c>
      <c r="B90" s="117" t="s">
        <v>33</v>
      </c>
      <c r="C90" s="125" t="s">
        <v>16</v>
      </c>
      <c r="D90" s="142">
        <f>D29*'II-H-3.1-3'!D159</f>
        <v>0</v>
      </c>
      <c r="E90" s="142">
        <f>E29*'II-H-3.1-3'!E159</f>
        <v>0</v>
      </c>
      <c r="F90" s="142">
        <f>F29*'II-H-3.1-3'!F159</f>
        <v>0</v>
      </c>
      <c r="G90" s="142">
        <f>G29*'II-H-3.1-3'!G159</f>
        <v>0</v>
      </c>
      <c r="H90" s="142">
        <f>H29*'II-H-3.1-3'!H159</f>
        <v>0</v>
      </c>
      <c r="I90" s="142">
        <f>I29*'II-H-3.1-3'!I159</f>
        <v>0</v>
      </c>
      <c r="J90" s="142">
        <f>J29*'II-H-3.1-3'!J159</f>
        <v>0</v>
      </c>
      <c r="K90" s="142">
        <f>K29*'II-H-3.1-3'!K159</f>
        <v>0</v>
      </c>
      <c r="L90" s="142">
        <f>L29*'II-H-3.1-3'!L159</f>
        <v>0</v>
      </c>
      <c r="M90" s="142">
        <f>M29*'II-H-3.1-3'!M159</f>
        <v>0</v>
      </c>
      <c r="N90" s="142">
        <f>N29*'II-H-3.1-3'!N159</f>
        <v>0</v>
      </c>
      <c r="O90" s="142">
        <f>O29*'II-H-3.1-3'!O159</f>
        <v>0</v>
      </c>
      <c r="P90" s="127">
        <f>SUM(D90:O90)</f>
        <v>0</v>
      </c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</row>
    <row r="91" spans="1:144" s="62" customFormat="1" ht="11.25" x14ac:dyDescent="0.2">
      <c r="A91" s="74"/>
      <c r="B91" s="129"/>
      <c r="C91" s="143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22"/>
      <c r="O91" s="122"/>
      <c r="P91" s="127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</row>
    <row r="92" spans="1:144" s="62" customFormat="1" ht="11.25" x14ac:dyDescent="0.2">
      <c r="A92" s="74">
        <v>11</v>
      </c>
      <c r="B92" s="183" t="s">
        <v>34</v>
      </c>
      <c r="C92" s="236"/>
      <c r="D92" s="184">
        <f t="shared" ref="D92:P92" si="16">D90+D88+D86+D82+D78+D76</f>
        <v>54369.653341438097</v>
      </c>
      <c r="E92" s="184">
        <f t="shared" si="16"/>
        <v>111534.67202928054</v>
      </c>
      <c r="F92" s="184">
        <f t="shared" si="16"/>
        <v>125822.24255732282</v>
      </c>
      <c r="G92" s="184">
        <f t="shared" si="16"/>
        <v>94466.725102689408</v>
      </c>
      <c r="H92" s="184">
        <f t="shared" si="16"/>
        <v>49053.908840116754</v>
      </c>
      <c r="I92" s="184">
        <f t="shared" si="16"/>
        <v>-760.36742331352252</v>
      </c>
      <c r="J92" s="184">
        <f t="shared" si="16"/>
        <v>120032.39310489938</v>
      </c>
      <c r="K92" s="184">
        <f t="shared" si="16"/>
        <v>63084.135212728186</v>
      </c>
      <c r="L92" s="184">
        <f t="shared" si="16"/>
        <v>17774.82855923181</v>
      </c>
      <c r="M92" s="184">
        <f t="shared" si="16"/>
        <v>344721.14046686952</v>
      </c>
      <c r="N92" s="184">
        <f t="shared" si="16"/>
        <v>-498592.78215698787</v>
      </c>
      <c r="O92" s="184">
        <f t="shared" si="16"/>
        <v>522678.69230769225</v>
      </c>
      <c r="P92" s="184">
        <f t="shared" si="16"/>
        <v>1004185.2419419673</v>
      </c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</row>
    <row r="93" spans="1:144" s="62" customFormat="1" ht="11.25" x14ac:dyDescent="0.2">
      <c r="B93" s="236"/>
      <c r="C93" s="236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56"/>
      <c r="O93" s="156"/>
      <c r="P93" s="127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</row>
    <row r="94" spans="1:144" s="62" customFormat="1" ht="11.25" x14ac:dyDescent="0.2">
      <c r="A94" s="74">
        <v>12</v>
      </c>
      <c r="B94" s="148" t="s">
        <v>91</v>
      </c>
      <c r="C94" s="125" t="s">
        <v>17</v>
      </c>
      <c r="D94" s="142">
        <f>D33*'II-H-3.1-3'!D163</f>
        <v>0</v>
      </c>
      <c r="E94" s="142">
        <f>E33*'II-H-3.1-3'!E163</f>
        <v>0</v>
      </c>
      <c r="F94" s="142">
        <f>F33*'II-H-3.1-3'!F163</f>
        <v>0</v>
      </c>
      <c r="G94" s="142">
        <f>G33*'II-H-3.1-3'!G163</f>
        <v>0</v>
      </c>
      <c r="H94" s="142">
        <f>H33*'II-H-3.1-3'!H163</f>
        <v>0</v>
      </c>
      <c r="I94" s="142">
        <f>I33*'II-H-3.1-3'!I163</f>
        <v>0</v>
      </c>
      <c r="J94" s="142">
        <f>J33*'II-H-3.1-3'!J163</f>
        <v>0</v>
      </c>
      <c r="K94" s="142">
        <f>K33*'II-H-3.1-3'!K163</f>
        <v>0</v>
      </c>
      <c r="L94" s="142">
        <f>L33*'II-H-3.1-3'!L163</f>
        <v>0</v>
      </c>
      <c r="M94" s="142">
        <f>M33*'II-H-3.1-3'!M163</f>
        <v>0</v>
      </c>
      <c r="N94" s="142">
        <f>N33*'II-H-3.1-3'!N163</f>
        <v>0</v>
      </c>
      <c r="O94" s="142">
        <f>O33*'II-H-3.1-3'!O163</f>
        <v>0</v>
      </c>
      <c r="P94" s="127">
        <f>SUM(D94:O94)</f>
        <v>0</v>
      </c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</row>
    <row r="95" spans="1:144" s="62" customFormat="1" ht="11.25" x14ac:dyDescent="0.2">
      <c r="A95" s="74">
        <v>13</v>
      </c>
      <c r="B95" s="148" t="s">
        <v>92</v>
      </c>
      <c r="C95" s="125" t="s">
        <v>18</v>
      </c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67">
        <f>SUM(D95:O95)</f>
        <v>0</v>
      </c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</row>
    <row r="96" spans="1:144" s="62" customFormat="1" ht="11.25" x14ac:dyDescent="0.2">
      <c r="A96" s="74">
        <v>14</v>
      </c>
      <c r="B96" s="183" t="s">
        <v>35</v>
      </c>
      <c r="C96" s="238"/>
      <c r="D96" s="169">
        <f t="shared" ref="D96:P96" si="17">SUM(D94:D95)</f>
        <v>0</v>
      </c>
      <c r="E96" s="169">
        <f t="shared" si="17"/>
        <v>0</v>
      </c>
      <c r="F96" s="169">
        <f t="shared" si="17"/>
        <v>0</v>
      </c>
      <c r="G96" s="169">
        <f t="shared" si="17"/>
        <v>0</v>
      </c>
      <c r="H96" s="169">
        <f t="shared" si="17"/>
        <v>0</v>
      </c>
      <c r="I96" s="169">
        <f t="shared" si="17"/>
        <v>0</v>
      </c>
      <c r="J96" s="169">
        <f t="shared" si="17"/>
        <v>0</v>
      </c>
      <c r="K96" s="169">
        <f t="shared" si="17"/>
        <v>0</v>
      </c>
      <c r="L96" s="169">
        <f t="shared" si="17"/>
        <v>0</v>
      </c>
      <c r="M96" s="169">
        <f t="shared" si="17"/>
        <v>0</v>
      </c>
      <c r="N96" s="156">
        <f t="shared" si="17"/>
        <v>0</v>
      </c>
      <c r="O96" s="156">
        <f t="shared" si="17"/>
        <v>0</v>
      </c>
      <c r="P96" s="156">
        <f t="shared" si="17"/>
        <v>0</v>
      </c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</row>
    <row r="97" spans="1:144" s="62" customFormat="1" ht="11.25" x14ac:dyDescent="0.2">
      <c r="A97" s="74"/>
      <c r="B97" s="129"/>
      <c r="C97" s="185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22"/>
      <c r="O97" s="122"/>
      <c r="P97" s="127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</row>
    <row r="98" spans="1:144" s="62" customFormat="1" ht="12" thickBot="1" x14ac:dyDescent="0.25">
      <c r="A98" s="74">
        <v>15</v>
      </c>
      <c r="B98" s="243" t="str">
        <f>B37</f>
        <v>TOTAL AEP TEXAS</v>
      </c>
      <c r="C98" s="238"/>
      <c r="D98" s="244">
        <f t="shared" ref="D98:P98" si="18">+D96+D92</f>
        <v>54369.653341438097</v>
      </c>
      <c r="E98" s="244">
        <f t="shared" si="18"/>
        <v>111534.67202928054</v>
      </c>
      <c r="F98" s="244">
        <f t="shared" si="18"/>
        <v>125822.24255732282</v>
      </c>
      <c r="G98" s="244">
        <f t="shared" si="18"/>
        <v>94466.725102689408</v>
      </c>
      <c r="H98" s="244">
        <f t="shared" si="18"/>
        <v>49053.908840116754</v>
      </c>
      <c r="I98" s="244">
        <f t="shared" si="18"/>
        <v>-760.36742331352252</v>
      </c>
      <c r="J98" s="244">
        <f t="shared" si="18"/>
        <v>120032.39310489938</v>
      </c>
      <c r="K98" s="244">
        <f t="shared" si="18"/>
        <v>63084.135212728186</v>
      </c>
      <c r="L98" s="244">
        <f t="shared" si="18"/>
        <v>17774.82855923181</v>
      </c>
      <c r="M98" s="244">
        <f t="shared" si="18"/>
        <v>344721.14046686952</v>
      </c>
      <c r="N98" s="244">
        <f t="shared" si="18"/>
        <v>-498592.78215698787</v>
      </c>
      <c r="O98" s="244">
        <f t="shared" si="18"/>
        <v>522678.69230769225</v>
      </c>
      <c r="P98" s="244">
        <f t="shared" si="18"/>
        <v>1004185.2419419673</v>
      </c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</row>
    <row r="99" spans="1:144" ht="14.25" customHeight="1" thickTop="1" x14ac:dyDescent="0.2">
      <c r="B99" s="395"/>
      <c r="C99" s="388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388"/>
      <c r="P99" s="388"/>
      <c r="Q99" s="43"/>
      <c r="R99" s="43"/>
      <c r="S99" s="43"/>
    </row>
    <row r="100" spans="1:144" ht="13.5" customHeight="1" x14ac:dyDescent="0.2">
      <c r="B100" s="388" t="str">
        <f>+B69</f>
        <v>AEP TEXAS</v>
      </c>
      <c r="C100" s="388"/>
      <c r="D100" s="388"/>
      <c r="E100" s="388"/>
      <c r="F100" s="388"/>
      <c r="G100" s="388"/>
      <c r="H100" s="388"/>
      <c r="I100" s="388"/>
      <c r="J100" s="388"/>
      <c r="K100" s="388"/>
      <c r="L100" s="388"/>
      <c r="M100" s="388"/>
      <c r="N100" s="388"/>
      <c r="O100" s="388"/>
      <c r="P100" s="388"/>
      <c r="Q100" s="43"/>
      <c r="R100" s="43"/>
      <c r="S100" s="43"/>
    </row>
    <row r="101" spans="1:144" x14ac:dyDescent="0.2">
      <c r="B101" s="388" t="s">
        <v>66</v>
      </c>
      <c r="C101" s="388"/>
      <c r="D101" s="388"/>
      <c r="E101" s="388"/>
      <c r="F101" s="388"/>
      <c r="G101" s="388"/>
      <c r="H101" s="388"/>
      <c r="I101" s="388"/>
      <c r="J101" s="388"/>
      <c r="K101" s="388"/>
      <c r="L101" s="388"/>
      <c r="M101" s="388"/>
      <c r="N101" s="388"/>
      <c r="O101" s="388"/>
      <c r="P101" s="388"/>
      <c r="Q101" s="43"/>
      <c r="R101" s="43"/>
      <c r="S101" s="43"/>
    </row>
    <row r="102" spans="1:144" x14ac:dyDescent="0.2">
      <c r="B102" s="395" t="str">
        <f>B71</f>
        <v>FOR TEST YEAR ENDED DECEMBER 31, 2018</v>
      </c>
      <c r="C102" s="388"/>
      <c r="D102" s="388"/>
      <c r="E102" s="388"/>
      <c r="F102" s="388"/>
      <c r="G102" s="388"/>
      <c r="H102" s="388"/>
      <c r="I102" s="388"/>
      <c r="J102" s="388"/>
      <c r="K102" s="388"/>
      <c r="L102" s="388"/>
      <c r="M102" s="388"/>
      <c r="N102" s="388"/>
      <c r="O102" s="388"/>
      <c r="P102" s="388"/>
      <c r="Q102" s="43"/>
      <c r="R102" s="43"/>
      <c r="S102" s="43"/>
    </row>
    <row r="103" spans="1:144" x14ac:dyDescent="0.2">
      <c r="B103" s="388"/>
      <c r="C103" s="388"/>
      <c r="D103" s="388"/>
      <c r="E103" s="388"/>
      <c r="F103" s="388"/>
      <c r="G103" s="388"/>
      <c r="H103" s="388"/>
      <c r="I103" s="388"/>
      <c r="J103" s="388"/>
      <c r="K103" s="388"/>
      <c r="L103" s="388"/>
      <c r="M103" s="388"/>
      <c r="N103" s="388"/>
      <c r="O103" s="388"/>
      <c r="P103" s="388"/>
      <c r="Q103" s="43"/>
      <c r="R103" s="43"/>
      <c r="S103" s="43"/>
    </row>
    <row r="104" spans="1:144" x14ac:dyDescent="0.2">
      <c r="B104" s="243"/>
      <c r="C104" s="168"/>
      <c r="D104" s="287"/>
      <c r="E104" s="177"/>
      <c r="F104" s="177"/>
      <c r="G104" s="287"/>
      <c r="H104" s="177"/>
      <c r="I104" s="177"/>
      <c r="J104" s="313"/>
      <c r="K104" s="177"/>
      <c r="L104" s="177"/>
      <c r="M104" s="177"/>
      <c r="N104" s="177"/>
      <c r="O104" s="177"/>
      <c r="P104" s="178"/>
      <c r="Q104" s="43"/>
      <c r="R104" s="43"/>
      <c r="S104" s="43"/>
    </row>
    <row r="105" spans="1:144" x14ac:dyDescent="0.2">
      <c r="A105" s="38" t="s">
        <v>20</v>
      </c>
      <c r="B105" s="237" t="s">
        <v>0</v>
      </c>
      <c r="C105" s="237" t="s">
        <v>19</v>
      </c>
      <c r="D105" s="164" t="str">
        <f>D13</f>
        <v>JANUARY</v>
      </c>
      <c r="E105" s="164" t="str">
        <f>E13</f>
        <v>FEBRUARY</v>
      </c>
      <c r="F105" s="164" t="str">
        <f>F13</f>
        <v>MARCH</v>
      </c>
      <c r="G105" s="164" t="str">
        <f>G13</f>
        <v>APRIL</v>
      </c>
      <c r="H105" s="164" t="str">
        <f t="shared" ref="H105:O105" si="19">H13</f>
        <v>MAY</v>
      </c>
      <c r="I105" s="164" t="str">
        <f t="shared" si="19"/>
        <v>JUNE</v>
      </c>
      <c r="J105" s="164" t="str">
        <f t="shared" si="19"/>
        <v>JULY</v>
      </c>
      <c r="K105" s="164" t="str">
        <f t="shared" si="19"/>
        <v>AUGUST</v>
      </c>
      <c r="L105" s="164" t="str">
        <f t="shared" si="19"/>
        <v>SEPTEMBER</v>
      </c>
      <c r="M105" s="164" t="str">
        <f t="shared" si="19"/>
        <v>OCTOBER</v>
      </c>
      <c r="N105" s="164" t="str">
        <f t="shared" si="19"/>
        <v>NOVEMBER</v>
      </c>
      <c r="O105" s="164" t="str">
        <f t="shared" si="19"/>
        <v>DECEMBER</v>
      </c>
      <c r="P105" s="179" t="s">
        <v>14</v>
      </c>
      <c r="Q105" s="43"/>
      <c r="R105" s="43"/>
      <c r="S105" s="43"/>
    </row>
    <row r="106" spans="1:144" x14ac:dyDescent="0.2">
      <c r="A106" s="38"/>
      <c r="B106" s="237"/>
      <c r="C106" s="237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79"/>
      <c r="Q106" s="43"/>
      <c r="R106" s="43"/>
      <c r="S106" s="43"/>
    </row>
    <row r="107" spans="1:144" s="62" customFormat="1" ht="11.25" x14ac:dyDescent="0.2">
      <c r="A107" s="74" t="s">
        <v>21</v>
      </c>
      <c r="B107" s="129" t="s">
        <v>29</v>
      </c>
      <c r="C107" s="143" t="s">
        <v>16</v>
      </c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7">
        <f>SUM(D107:O107)</f>
        <v>0</v>
      </c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65"/>
      <c r="EJ107" s="65"/>
      <c r="EK107" s="65"/>
      <c r="EL107" s="65"/>
      <c r="EM107" s="65"/>
      <c r="EN107" s="65"/>
    </row>
    <row r="108" spans="1:144" s="62" customFormat="1" ht="11.25" x14ac:dyDescent="0.2">
      <c r="B108" s="129"/>
      <c r="C108" s="143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56"/>
      <c r="O108" s="156"/>
      <c r="P108" s="127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/>
      <c r="EJ108" s="65"/>
      <c r="EK108" s="65"/>
      <c r="EL108" s="65"/>
      <c r="EM108" s="65"/>
      <c r="EN108" s="65"/>
    </row>
    <row r="109" spans="1:144" s="62" customFormat="1" ht="11.25" x14ac:dyDescent="0.2">
      <c r="A109" s="74">
        <v>2</v>
      </c>
      <c r="B109" s="129" t="s">
        <v>32</v>
      </c>
      <c r="C109" s="143" t="s">
        <v>16</v>
      </c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7">
        <f>SUM(D109:O109)</f>
        <v>0</v>
      </c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65"/>
      <c r="EJ109" s="65"/>
      <c r="EK109" s="65"/>
      <c r="EL109" s="65"/>
      <c r="EM109" s="65"/>
      <c r="EN109" s="65"/>
    </row>
    <row r="110" spans="1:144" s="62" customFormat="1" ht="11.25" x14ac:dyDescent="0.2">
      <c r="A110" s="74"/>
      <c r="B110" s="129"/>
      <c r="C110" s="143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7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65"/>
      <c r="EJ110" s="65"/>
      <c r="EK110" s="65"/>
      <c r="EL110" s="65"/>
      <c r="EM110" s="65"/>
      <c r="EN110" s="65"/>
    </row>
    <row r="111" spans="1:144" s="62" customFormat="1" ht="11.25" x14ac:dyDescent="0.2">
      <c r="A111" s="74">
        <v>3</v>
      </c>
      <c r="B111" s="146" t="s">
        <v>113</v>
      </c>
      <c r="C111" s="125" t="s">
        <v>16</v>
      </c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27">
        <f>SUM(D111:O111)</f>
        <v>0</v>
      </c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</row>
    <row r="112" spans="1:144" s="62" customFormat="1" ht="11.25" x14ac:dyDescent="0.2">
      <c r="A112" s="74">
        <v>4</v>
      </c>
      <c r="B112" s="146" t="s">
        <v>114</v>
      </c>
      <c r="C112" s="125" t="s">
        <v>16</v>
      </c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67">
        <f>SUM(D112:O112)</f>
        <v>0</v>
      </c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</row>
    <row r="113" spans="1:144" s="62" customFormat="1" ht="11.25" x14ac:dyDescent="0.2">
      <c r="A113" s="74">
        <v>5</v>
      </c>
      <c r="B113" s="162" t="s">
        <v>30</v>
      </c>
      <c r="C113" s="143"/>
      <c r="D113" s="157">
        <f t="shared" ref="D113:P113" si="20">SUM(D111:D112)</f>
        <v>0</v>
      </c>
      <c r="E113" s="157">
        <f t="shared" si="20"/>
        <v>0</v>
      </c>
      <c r="F113" s="157">
        <f t="shared" si="20"/>
        <v>0</v>
      </c>
      <c r="G113" s="157">
        <f t="shared" si="20"/>
        <v>0</v>
      </c>
      <c r="H113" s="157">
        <f t="shared" si="20"/>
        <v>0</v>
      </c>
      <c r="I113" s="157">
        <f t="shared" si="20"/>
        <v>0</v>
      </c>
      <c r="J113" s="157">
        <f t="shared" si="20"/>
        <v>0</v>
      </c>
      <c r="K113" s="157">
        <f t="shared" si="20"/>
        <v>0</v>
      </c>
      <c r="L113" s="157">
        <f t="shared" si="20"/>
        <v>0</v>
      </c>
      <c r="M113" s="157">
        <f t="shared" si="20"/>
        <v>0</v>
      </c>
      <c r="N113" s="157">
        <f t="shared" si="20"/>
        <v>0</v>
      </c>
      <c r="O113" s="157">
        <f t="shared" si="20"/>
        <v>0</v>
      </c>
      <c r="P113" s="157">
        <f t="shared" si="20"/>
        <v>0</v>
      </c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</row>
    <row r="114" spans="1:144" s="62" customFormat="1" ht="11.25" x14ac:dyDescent="0.2">
      <c r="B114" s="242"/>
      <c r="C114" s="143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22"/>
      <c r="O114" s="122"/>
      <c r="P114" s="127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</row>
    <row r="115" spans="1:144" s="62" customFormat="1" ht="11.25" x14ac:dyDescent="0.2">
      <c r="A115" s="74">
        <v>6</v>
      </c>
      <c r="B115" s="146" t="s">
        <v>110</v>
      </c>
      <c r="C115" s="125" t="s">
        <v>17</v>
      </c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7">
        <f>SUM(D115:O115)</f>
        <v>0</v>
      </c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</row>
    <row r="116" spans="1:144" s="62" customFormat="1" ht="11.25" x14ac:dyDescent="0.2">
      <c r="A116" s="74">
        <v>7</v>
      </c>
      <c r="B116" s="146" t="s">
        <v>111</v>
      </c>
      <c r="C116" s="125" t="s">
        <v>17</v>
      </c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67">
        <f>SUM(D116:O116)</f>
        <v>0</v>
      </c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</row>
    <row r="117" spans="1:144" s="62" customFormat="1" ht="11.25" x14ac:dyDescent="0.2">
      <c r="A117" s="74">
        <v>8</v>
      </c>
      <c r="B117" s="129" t="s">
        <v>31</v>
      </c>
      <c r="C117" s="125"/>
      <c r="D117" s="122">
        <f t="shared" ref="D117:P117" si="21">SUM(D115:D116)</f>
        <v>0</v>
      </c>
      <c r="E117" s="122">
        <f t="shared" si="21"/>
        <v>0</v>
      </c>
      <c r="F117" s="122">
        <f t="shared" si="21"/>
        <v>0</v>
      </c>
      <c r="G117" s="122">
        <f t="shared" si="21"/>
        <v>0</v>
      </c>
      <c r="H117" s="122">
        <f t="shared" si="21"/>
        <v>0</v>
      </c>
      <c r="I117" s="122">
        <f t="shared" si="21"/>
        <v>0</v>
      </c>
      <c r="J117" s="122">
        <f t="shared" si="21"/>
        <v>0</v>
      </c>
      <c r="K117" s="122">
        <f t="shared" si="21"/>
        <v>0</v>
      </c>
      <c r="L117" s="122">
        <f t="shared" si="21"/>
        <v>0</v>
      </c>
      <c r="M117" s="122">
        <f t="shared" si="21"/>
        <v>0</v>
      </c>
      <c r="N117" s="122">
        <f t="shared" si="21"/>
        <v>0</v>
      </c>
      <c r="O117" s="122">
        <f t="shared" si="21"/>
        <v>0</v>
      </c>
      <c r="P117" s="122">
        <f t="shared" si="21"/>
        <v>0</v>
      </c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</row>
    <row r="118" spans="1:144" s="62" customFormat="1" ht="11.25" x14ac:dyDescent="0.2">
      <c r="A118" s="74"/>
      <c r="B118" s="129"/>
      <c r="C118" s="125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7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</row>
    <row r="119" spans="1:144" s="62" customFormat="1" ht="11.25" x14ac:dyDescent="0.2">
      <c r="A119" s="74">
        <v>9</v>
      </c>
      <c r="B119" s="162" t="s">
        <v>115</v>
      </c>
      <c r="C119" s="125" t="s">
        <v>18</v>
      </c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7">
        <f>SUM(D119:O119)</f>
        <v>0</v>
      </c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</row>
    <row r="120" spans="1:144" s="62" customFormat="1" ht="11.25" x14ac:dyDescent="0.2">
      <c r="B120" s="129"/>
      <c r="C120" s="143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22"/>
      <c r="O120" s="122"/>
      <c r="P120" s="127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</row>
    <row r="121" spans="1:144" s="62" customFormat="1" ht="11.25" x14ac:dyDescent="0.2">
      <c r="A121" s="74">
        <v>10</v>
      </c>
      <c r="B121" s="117" t="s">
        <v>33</v>
      </c>
      <c r="C121" s="125" t="s">
        <v>16</v>
      </c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7">
        <f>SUM(D121:O121)</f>
        <v>0</v>
      </c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</row>
    <row r="122" spans="1:144" s="62" customFormat="1" ht="11.25" x14ac:dyDescent="0.2">
      <c r="A122" s="74"/>
      <c r="B122" s="129"/>
      <c r="C122" s="143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22"/>
      <c r="O122" s="122"/>
      <c r="P122" s="127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</row>
    <row r="123" spans="1:144" s="62" customFormat="1" ht="11.25" x14ac:dyDescent="0.2">
      <c r="A123" s="74">
        <v>11</v>
      </c>
      <c r="B123" s="183" t="s">
        <v>34</v>
      </c>
      <c r="C123" s="236"/>
      <c r="D123" s="184">
        <f t="shared" ref="D123:P123" si="22">D121+D119+D117+D113+D109+D107</f>
        <v>0</v>
      </c>
      <c r="E123" s="184">
        <f t="shared" si="22"/>
        <v>0</v>
      </c>
      <c r="F123" s="184">
        <f t="shared" si="22"/>
        <v>0</v>
      </c>
      <c r="G123" s="184">
        <f t="shared" si="22"/>
        <v>0</v>
      </c>
      <c r="H123" s="184">
        <f t="shared" si="22"/>
        <v>0</v>
      </c>
      <c r="I123" s="184">
        <f t="shared" si="22"/>
        <v>0</v>
      </c>
      <c r="J123" s="184">
        <f t="shared" si="22"/>
        <v>0</v>
      </c>
      <c r="K123" s="184">
        <f t="shared" si="22"/>
        <v>0</v>
      </c>
      <c r="L123" s="184">
        <f t="shared" si="22"/>
        <v>0</v>
      </c>
      <c r="M123" s="184">
        <f t="shared" si="22"/>
        <v>0</v>
      </c>
      <c r="N123" s="184">
        <f t="shared" si="22"/>
        <v>0</v>
      </c>
      <c r="O123" s="184">
        <f t="shared" si="22"/>
        <v>0</v>
      </c>
      <c r="P123" s="184">
        <f t="shared" si="22"/>
        <v>0</v>
      </c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</row>
    <row r="124" spans="1:144" s="62" customFormat="1" ht="11.25" x14ac:dyDescent="0.2">
      <c r="B124" s="236"/>
      <c r="C124" s="236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56"/>
      <c r="O124" s="156"/>
      <c r="P124" s="127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</row>
    <row r="125" spans="1:144" s="62" customFormat="1" ht="11.25" x14ac:dyDescent="0.2">
      <c r="A125" s="74">
        <v>12</v>
      </c>
      <c r="B125" s="148" t="s">
        <v>91</v>
      </c>
      <c r="C125" s="125" t="s">
        <v>17</v>
      </c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7">
        <f>SUM(D125:O125)</f>
        <v>0</v>
      </c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</row>
    <row r="126" spans="1:144" s="62" customFormat="1" ht="11.25" x14ac:dyDescent="0.2">
      <c r="A126" s="74">
        <v>13</v>
      </c>
      <c r="B126" s="148" t="s">
        <v>92</v>
      </c>
      <c r="C126" s="125" t="s">
        <v>18</v>
      </c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67">
        <f>SUM(D126:O126)</f>
        <v>0</v>
      </c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/>
      <c r="EJ126" s="65"/>
      <c r="EK126" s="65"/>
      <c r="EL126" s="65"/>
      <c r="EM126" s="65"/>
      <c r="EN126" s="65"/>
    </row>
    <row r="127" spans="1:144" s="62" customFormat="1" ht="11.25" x14ac:dyDescent="0.2">
      <c r="A127" s="74">
        <v>14</v>
      </c>
      <c r="B127" s="183" t="s">
        <v>35</v>
      </c>
      <c r="C127" s="238"/>
      <c r="D127" s="169">
        <f t="shared" ref="D127:P127" si="23">SUM(D125:D126)</f>
        <v>0</v>
      </c>
      <c r="E127" s="169">
        <f t="shared" si="23"/>
        <v>0</v>
      </c>
      <c r="F127" s="169">
        <f t="shared" si="23"/>
        <v>0</v>
      </c>
      <c r="G127" s="169">
        <f t="shared" si="23"/>
        <v>0</v>
      </c>
      <c r="H127" s="169">
        <f t="shared" si="23"/>
        <v>0</v>
      </c>
      <c r="I127" s="169">
        <f t="shared" si="23"/>
        <v>0</v>
      </c>
      <c r="J127" s="169">
        <f t="shared" si="23"/>
        <v>0</v>
      </c>
      <c r="K127" s="169">
        <f t="shared" si="23"/>
        <v>0</v>
      </c>
      <c r="L127" s="169">
        <f t="shared" si="23"/>
        <v>0</v>
      </c>
      <c r="M127" s="169">
        <f t="shared" si="23"/>
        <v>0</v>
      </c>
      <c r="N127" s="156">
        <f t="shared" si="23"/>
        <v>0</v>
      </c>
      <c r="O127" s="156">
        <f t="shared" si="23"/>
        <v>0</v>
      </c>
      <c r="P127" s="156">
        <f t="shared" si="23"/>
        <v>0</v>
      </c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</row>
    <row r="128" spans="1:144" s="62" customFormat="1" ht="11.25" x14ac:dyDescent="0.2">
      <c r="A128" s="74"/>
      <c r="B128" s="129"/>
      <c r="C128" s="185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22"/>
      <c r="O128" s="122"/>
      <c r="P128" s="127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/>
      <c r="EJ128" s="65"/>
      <c r="EK128" s="65"/>
      <c r="EL128" s="65"/>
      <c r="EM128" s="65"/>
      <c r="EN128" s="65"/>
    </row>
    <row r="129" spans="1:144" s="62" customFormat="1" ht="12" thickBot="1" x14ac:dyDescent="0.25">
      <c r="A129" s="74">
        <v>15</v>
      </c>
      <c r="B129" s="243" t="str">
        <f>B37</f>
        <v>TOTAL AEP TEXAS</v>
      </c>
      <c r="C129" s="238"/>
      <c r="D129" s="244">
        <f t="shared" ref="D129:P129" si="24">+D127+D123</f>
        <v>0</v>
      </c>
      <c r="E129" s="244">
        <f t="shared" si="24"/>
        <v>0</v>
      </c>
      <c r="F129" s="244">
        <f t="shared" si="24"/>
        <v>0</v>
      </c>
      <c r="G129" s="244">
        <f t="shared" si="24"/>
        <v>0</v>
      </c>
      <c r="H129" s="244">
        <f t="shared" si="24"/>
        <v>0</v>
      </c>
      <c r="I129" s="244">
        <f t="shared" si="24"/>
        <v>0</v>
      </c>
      <c r="J129" s="244">
        <f t="shared" si="24"/>
        <v>0</v>
      </c>
      <c r="K129" s="244">
        <f t="shared" si="24"/>
        <v>0</v>
      </c>
      <c r="L129" s="244">
        <f t="shared" si="24"/>
        <v>0</v>
      </c>
      <c r="M129" s="244">
        <f t="shared" si="24"/>
        <v>0</v>
      </c>
      <c r="N129" s="244">
        <f t="shared" si="24"/>
        <v>0</v>
      </c>
      <c r="O129" s="244">
        <f t="shared" si="24"/>
        <v>0</v>
      </c>
      <c r="P129" s="244">
        <f t="shared" si="24"/>
        <v>0</v>
      </c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</row>
    <row r="130" spans="1:144" ht="8.25" customHeight="1" thickTop="1" x14ac:dyDescent="0.2">
      <c r="A130" s="64"/>
      <c r="B130" s="202"/>
      <c r="C130" s="168"/>
      <c r="D130" s="318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</row>
    <row r="131" spans="1:144" x14ac:dyDescent="0.2">
      <c r="A131" s="64"/>
      <c r="B131" s="388" t="str">
        <f>B8</f>
        <v>AEP TEXAS</v>
      </c>
      <c r="C131" s="388"/>
      <c r="D131" s="388"/>
      <c r="E131" s="388"/>
      <c r="F131" s="388"/>
      <c r="G131" s="388"/>
      <c r="H131" s="388"/>
      <c r="I131" s="388"/>
      <c r="J131" s="388"/>
      <c r="K131" s="388"/>
      <c r="L131" s="388"/>
      <c r="M131" s="388"/>
      <c r="N131" s="388"/>
      <c r="O131" s="388"/>
      <c r="P131" s="388"/>
    </row>
    <row r="132" spans="1:144" x14ac:dyDescent="0.2">
      <c r="B132" s="388" t="s">
        <v>52</v>
      </c>
      <c r="C132" s="388"/>
      <c r="D132" s="388"/>
      <c r="E132" s="388"/>
      <c r="F132" s="388"/>
      <c r="G132" s="388"/>
      <c r="H132" s="388"/>
      <c r="I132" s="388"/>
      <c r="J132" s="388"/>
      <c r="K132" s="388"/>
      <c r="L132" s="388"/>
      <c r="M132" s="388"/>
      <c r="N132" s="388"/>
      <c r="O132" s="388"/>
      <c r="P132" s="388"/>
    </row>
    <row r="133" spans="1:144" x14ac:dyDescent="0.2">
      <c r="B133" s="388" t="str">
        <f>B102</f>
        <v>FOR TEST YEAR ENDED DECEMBER 31, 2018</v>
      </c>
      <c r="C133" s="388"/>
      <c r="D133" s="388"/>
      <c r="E133" s="388"/>
      <c r="F133" s="388"/>
      <c r="G133" s="388"/>
      <c r="H133" s="388"/>
      <c r="I133" s="388"/>
      <c r="J133" s="388"/>
      <c r="K133" s="388"/>
      <c r="L133" s="388"/>
      <c r="M133" s="388"/>
      <c r="N133" s="388"/>
      <c r="O133" s="388"/>
      <c r="P133" s="388"/>
    </row>
    <row r="134" spans="1:144" x14ac:dyDescent="0.2">
      <c r="B134" s="388"/>
      <c r="C134" s="388"/>
      <c r="D134" s="388"/>
      <c r="E134" s="388"/>
      <c r="F134" s="388"/>
      <c r="G134" s="388"/>
      <c r="H134" s="388"/>
      <c r="I134" s="388"/>
      <c r="J134" s="388"/>
      <c r="K134" s="388"/>
      <c r="L134" s="388"/>
      <c r="M134" s="388"/>
      <c r="N134" s="388"/>
      <c r="O134" s="388"/>
      <c r="P134" s="388"/>
    </row>
    <row r="135" spans="1:144" x14ac:dyDescent="0.2">
      <c r="B135" s="243"/>
      <c r="C135" s="168"/>
      <c r="D135" s="287"/>
      <c r="E135" s="177"/>
      <c r="F135" s="177"/>
      <c r="G135" s="287"/>
      <c r="H135" s="177"/>
      <c r="I135" s="177"/>
      <c r="J135" s="313"/>
      <c r="K135" s="177"/>
      <c r="L135" s="177"/>
      <c r="M135" s="177"/>
      <c r="N135" s="177"/>
      <c r="O135" s="177"/>
      <c r="P135" s="178"/>
    </row>
    <row r="136" spans="1:144" x14ac:dyDescent="0.2">
      <c r="A136" s="38" t="s">
        <v>20</v>
      </c>
      <c r="B136" s="237" t="s">
        <v>0</v>
      </c>
      <c r="C136" s="237" t="s">
        <v>19</v>
      </c>
      <c r="D136" s="164" t="str">
        <f>D13</f>
        <v>JANUARY</v>
      </c>
      <c r="E136" s="164" t="str">
        <f>E13</f>
        <v>FEBRUARY</v>
      </c>
      <c r="F136" s="164" t="str">
        <f>F13</f>
        <v>MARCH</v>
      </c>
      <c r="G136" s="164" t="str">
        <f>G13</f>
        <v>APRIL</v>
      </c>
      <c r="H136" s="164" t="str">
        <f t="shared" ref="H136:O136" si="25">H13</f>
        <v>MAY</v>
      </c>
      <c r="I136" s="164" t="str">
        <f t="shared" si="25"/>
        <v>JUNE</v>
      </c>
      <c r="J136" s="164" t="str">
        <f t="shared" si="25"/>
        <v>JULY</v>
      </c>
      <c r="K136" s="164" t="str">
        <f t="shared" si="25"/>
        <v>AUGUST</v>
      </c>
      <c r="L136" s="164" t="str">
        <f t="shared" si="25"/>
        <v>SEPTEMBER</v>
      </c>
      <c r="M136" s="164" t="str">
        <f t="shared" si="25"/>
        <v>OCTOBER</v>
      </c>
      <c r="N136" s="164" t="str">
        <f t="shared" si="25"/>
        <v>NOVEMBER</v>
      </c>
      <c r="O136" s="164" t="str">
        <f t="shared" si="25"/>
        <v>DECEMBER</v>
      </c>
      <c r="P136" s="179" t="s">
        <v>14</v>
      </c>
    </row>
    <row r="137" spans="1:144" x14ac:dyDescent="0.2">
      <c r="A137" s="38"/>
      <c r="B137" s="237"/>
      <c r="C137" s="237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79"/>
    </row>
    <row r="138" spans="1:144" s="62" customFormat="1" ht="11.25" x14ac:dyDescent="0.2">
      <c r="A138" s="74" t="s">
        <v>21</v>
      </c>
      <c r="B138" s="129" t="s">
        <v>29</v>
      </c>
      <c r="C138" s="143" t="s">
        <v>16</v>
      </c>
      <c r="D138" s="122">
        <f t="shared" ref="D138:O138" si="26">D107+D76+D46+D15</f>
        <v>0</v>
      </c>
      <c r="E138" s="122">
        <f t="shared" si="26"/>
        <v>0</v>
      </c>
      <c r="F138" s="122">
        <f t="shared" si="26"/>
        <v>0</v>
      </c>
      <c r="G138" s="122">
        <f t="shared" si="26"/>
        <v>0</v>
      </c>
      <c r="H138" s="122">
        <f t="shared" si="26"/>
        <v>0</v>
      </c>
      <c r="I138" s="122">
        <f t="shared" si="26"/>
        <v>0</v>
      </c>
      <c r="J138" s="122">
        <f t="shared" si="26"/>
        <v>0</v>
      </c>
      <c r="K138" s="122">
        <f t="shared" si="26"/>
        <v>0</v>
      </c>
      <c r="L138" s="122">
        <f t="shared" si="26"/>
        <v>0</v>
      </c>
      <c r="M138" s="122">
        <f t="shared" si="26"/>
        <v>0</v>
      </c>
      <c r="N138" s="122">
        <f t="shared" si="26"/>
        <v>0</v>
      </c>
      <c r="O138" s="122">
        <f t="shared" si="26"/>
        <v>0</v>
      </c>
      <c r="P138" s="127">
        <f>SUM(D138:O138)</f>
        <v>0</v>
      </c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  <c r="EH138" s="65"/>
      <c r="EI138" s="65"/>
      <c r="EJ138" s="65"/>
      <c r="EK138" s="65"/>
      <c r="EL138" s="65"/>
      <c r="EM138" s="65"/>
      <c r="EN138" s="65"/>
    </row>
    <row r="139" spans="1:144" s="62" customFormat="1" ht="11.25" x14ac:dyDescent="0.2">
      <c r="B139" s="129"/>
      <c r="C139" s="143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7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/>
      <c r="EJ139" s="65"/>
      <c r="EK139" s="65"/>
      <c r="EL139" s="65"/>
      <c r="EM139" s="65"/>
      <c r="EN139" s="65"/>
    </row>
    <row r="140" spans="1:144" s="62" customFormat="1" ht="11.25" x14ac:dyDescent="0.2">
      <c r="A140" s="74">
        <v>2</v>
      </c>
      <c r="B140" s="129" t="s">
        <v>32</v>
      </c>
      <c r="C140" s="143" t="s">
        <v>16</v>
      </c>
      <c r="D140" s="122">
        <f t="shared" ref="D140:O140" si="27">D109+D78+D48+D17</f>
        <v>0</v>
      </c>
      <c r="E140" s="122">
        <f t="shared" si="27"/>
        <v>0</v>
      </c>
      <c r="F140" s="122">
        <f t="shared" si="27"/>
        <v>0</v>
      </c>
      <c r="G140" s="122">
        <f t="shared" si="27"/>
        <v>0</v>
      </c>
      <c r="H140" s="122">
        <f t="shared" si="27"/>
        <v>0</v>
      </c>
      <c r="I140" s="122">
        <f t="shared" si="27"/>
        <v>0</v>
      </c>
      <c r="J140" s="122">
        <f t="shared" si="27"/>
        <v>0</v>
      </c>
      <c r="K140" s="122">
        <f t="shared" si="27"/>
        <v>0</v>
      </c>
      <c r="L140" s="122">
        <f t="shared" si="27"/>
        <v>0</v>
      </c>
      <c r="M140" s="122">
        <f t="shared" si="27"/>
        <v>0</v>
      </c>
      <c r="N140" s="122">
        <f t="shared" si="27"/>
        <v>0</v>
      </c>
      <c r="O140" s="122">
        <f t="shared" si="27"/>
        <v>0</v>
      </c>
      <c r="P140" s="127">
        <f>SUM(D140:O140)</f>
        <v>0</v>
      </c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  <c r="CW140" s="65"/>
      <c r="CX140" s="65"/>
      <c r="CY140" s="65"/>
      <c r="CZ140" s="65"/>
      <c r="DA140" s="65"/>
      <c r="DB140" s="65"/>
      <c r="DC140" s="65"/>
      <c r="DD140" s="65"/>
      <c r="DE140" s="65"/>
      <c r="DF140" s="65"/>
      <c r="DG140" s="65"/>
      <c r="DH140" s="65"/>
      <c r="DI140" s="65"/>
      <c r="DJ140" s="65"/>
      <c r="DK140" s="65"/>
      <c r="DL140" s="65"/>
      <c r="DM140" s="65"/>
      <c r="DN140" s="65"/>
      <c r="DO140" s="65"/>
      <c r="DP140" s="65"/>
      <c r="DQ140" s="65"/>
      <c r="DR140" s="65"/>
      <c r="DS140" s="65"/>
      <c r="DT140" s="65"/>
      <c r="DU140" s="65"/>
      <c r="DV140" s="65"/>
      <c r="DW140" s="65"/>
      <c r="DX140" s="65"/>
      <c r="DY140" s="65"/>
      <c r="DZ140" s="65"/>
      <c r="EA140" s="65"/>
      <c r="EB140" s="65"/>
      <c r="EC140" s="65"/>
      <c r="ED140" s="65"/>
      <c r="EE140" s="65"/>
      <c r="EF140" s="65"/>
      <c r="EG140" s="65"/>
      <c r="EH140" s="65"/>
      <c r="EI140" s="65"/>
      <c r="EJ140" s="65"/>
      <c r="EK140" s="65"/>
      <c r="EL140" s="65"/>
      <c r="EM140" s="65"/>
      <c r="EN140" s="65"/>
    </row>
    <row r="141" spans="1:144" s="62" customFormat="1" ht="11.25" x14ac:dyDescent="0.2">
      <c r="A141" s="74"/>
      <c r="B141" s="129"/>
      <c r="C141" s="143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7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65"/>
      <c r="CQ141" s="65"/>
      <c r="CR141" s="65"/>
      <c r="CS141" s="65"/>
      <c r="CT141" s="65"/>
      <c r="CU141" s="65"/>
      <c r="CV141" s="65"/>
      <c r="CW141" s="65"/>
      <c r="CX141" s="65"/>
      <c r="CY141" s="65"/>
      <c r="CZ141" s="65"/>
      <c r="DA141" s="65"/>
      <c r="DB141" s="65"/>
      <c r="DC141" s="65"/>
      <c r="DD141" s="65"/>
      <c r="DE141" s="65"/>
      <c r="DF141" s="65"/>
      <c r="DG141" s="65"/>
      <c r="DH141" s="65"/>
      <c r="DI141" s="65"/>
      <c r="DJ141" s="65"/>
      <c r="DK141" s="65"/>
      <c r="DL141" s="65"/>
      <c r="DM141" s="65"/>
      <c r="DN141" s="65"/>
      <c r="DO141" s="65"/>
      <c r="DP141" s="65"/>
      <c r="DQ141" s="65"/>
      <c r="DR141" s="65"/>
      <c r="DS141" s="65"/>
      <c r="DT141" s="65"/>
      <c r="DU141" s="65"/>
      <c r="DV141" s="65"/>
      <c r="DW141" s="65"/>
      <c r="DX141" s="65"/>
      <c r="DY141" s="65"/>
      <c r="DZ141" s="65"/>
      <c r="EA141" s="65"/>
      <c r="EB141" s="65"/>
      <c r="EC141" s="65"/>
      <c r="ED141" s="65"/>
      <c r="EE141" s="65"/>
      <c r="EF141" s="65"/>
      <c r="EG141" s="65"/>
      <c r="EH141" s="65"/>
      <c r="EI141" s="65"/>
      <c r="EJ141" s="65"/>
      <c r="EK141" s="65"/>
      <c r="EL141" s="65"/>
      <c r="EM141" s="65"/>
      <c r="EN141" s="65"/>
    </row>
    <row r="142" spans="1:144" s="62" customFormat="1" ht="11.25" x14ac:dyDescent="0.2">
      <c r="A142" s="74">
        <v>3</v>
      </c>
      <c r="B142" s="146" t="s">
        <v>113</v>
      </c>
      <c r="C142" s="125" t="s">
        <v>16</v>
      </c>
      <c r="D142" s="122">
        <f t="shared" ref="D142:O142" si="28">D111+D80+D50+D19</f>
        <v>2898971.706922974</v>
      </c>
      <c r="E142" s="122">
        <f t="shared" si="28"/>
        <v>2843341.7177325203</v>
      </c>
      <c r="F142" s="122">
        <f t="shared" si="28"/>
        <v>2695160.081222143</v>
      </c>
      <c r="G142" s="122">
        <f t="shared" si="28"/>
        <v>2711811.3722808314</v>
      </c>
      <c r="H142" s="122">
        <f t="shared" si="28"/>
        <v>2836346.4409033232</v>
      </c>
      <c r="I142" s="122">
        <f t="shared" si="28"/>
        <v>2787116.1511721448</v>
      </c>
      <c r="J142" s="122">
        <f t="shared" si="28"/>
        <v>2866505.8529519262</v>
      </c>
      <c r="K142" s="122">
        <f t="shared" si="28"/>
        <v>2886645.0105538866</v>
      </c>
      <c r="L142" s="122">
        <f t="shared" si="28"/>
        <v>2868555.8329461529</v>
      </c>
      <c r="M142" s="122">
        <f t="shared" si="28"/>
        <v>2799673.6608949252</v>
      </c>
      <c r="N142" s="122">
        <f t="shared" si="28"/>
        <v>2796273.7638864322</v>
      </c>
      <c r="O142" s="122">
        <f t="shared" si="28"/>
        <v>2785504.1819346892</v>
      </c>
      <c r="P142" s="127">
        <f>SUM(D142:O142)</f>
        <v>33775905.773401946</v>
      </c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5"/>
      <c r="CT142" s="65"/>
      <c r="CU142" s="65"/>
      <c r="CV142" s="65"/>
      <c r="CW142" s="65"/>
      <c r="CX142" s="65"/>
      <c r="CY142" s="65"/>
      <c r="CZ142" s="65"/>
      <c r="DA142" s="65"/>
      <c r="DB142" s="65"/>
      <c r="DC142" s="65"/>
      <c r="DD142" s="65"/>
      <c r="DE142" s="65"/>
      <c r="DF142" s="65"/>
      <c r="DG142" s="65"/>
      <c r="DH142" s="65"/>
      <c r="DI142" s="65"/>
      <c r="DJ142" s="65"/>
      <c r="DK142" s="65"/>
      <c r="DL142" s="65"/>
      <c r="DM142" s="65"/>
      <c r="DN142" s="65"/>
      <c r="DO142" s="65"/>
      <c r="DP142" s="65"/>
      <c r="DQ142" s="65"/>
      <c r="DR142" s="65"/>
      <c r="DS142" s="65"/>
      <c r="DT142" s="65"/>
      <c r="DU142" s="65"/>
      <c r="DV142" s="65"/>
      <c r="DW142" s="65"/>
      <c r="DX142" s="65"/>
      <c r="DY142" s="65"/>
      <c r="DZ142" s="65"/>
      <c r="EA142" s="65"/>
      <c r="EB142" s="65"/>
      <c r="EC142" s="65"/>
      <c r="ED142" s="65"/>
      <c r="EE142" s="65"/>
      <c r="EF142" s="65"/>
      <c r="EG142" s="65"/>
      <c r="EH142" s="65"/>
      <c r="EI142" s="65"/>
      <c r="EJ142" s="65"/>
      <c r="EK142" s="65"/>
      <c r="EL142" s="65"/>
      <c r="EM142" s="65"/>
      <c r="EN142" s="65"/>
    </row>
    <row r="143" spans="1:144" s="62" customFormat="1" ht="11.25" x14ac:dyDescent="0.2">
      <c r="A143" s="74">
        <v>4</v>
      </c>
      <c r="B143" s="146" t="s">
        <v>114</v>
      </c>
      <c r="C143" s="125" t="s">
        <v>16</v>
      </c>
      <c r="D143" s="123">
        <f t="shared" ref="D143:O143" si="29">D112+D81+D51+D20</f>
        <v>281444.78167717002</v>
      </c>
      <c r="E143" s="123">
        <f t="shared" si="29"/>
        <v>272369.84919702966</v>
      </c>
      <c r="F143" s="123">
        <f t="shared" si="29"/>
        <v>265086.86723777105</v>
      </c>
      <c r="G143" s="123">
        <f t="shared" si="29"/>
        <v>257750.40345136391</v>
      </c>
      <c r="H143" s="123">
        <f t="shared" si="29"/>
        <v>266245.93042129523</v>
      </c>
      <c r="I143" s="123">
        <f t="shared" si="29"/>
        <v>259687.80885440548</v>
      </c>
      <c r="J143" s="123">
        <f t="shared" si="29"/>
        <v>277606.47472346172</v>
      </c>
      <c r="K143" s="123">
        <f t="shared" si="29"/>
        <v>283801.2109589437</v>
      </c>
      <c r="L143" s="123">
        <f t="shared" si="29"/>
        <v>307319.54600546294</v>
      </c>
      <c r="M143" s="123">
        <f t="shared" si="29"/>
        <v>299103.49775740277</v>
      </c>
      <c r="N143" s="123">
        <f t="shared" si="29"/>
        <v>298104.92379321379</v>
      </c>
      <c r="O143" s="123">
        <f t="shared" si="29"/>
        <v>289838.68791751738</v>
      </c>
      <c r="P143" s="167">
        <f>SUM(D143:O143)</f>
        <v>3358359.9819950378</v>
      </c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5"/>
      <c r="CT143" s="65"/>
      <c r="CU143" s="65"/>
      <c r="CV143" s="65"/>
      <c r="CW143" s="65"/>
      <c r="CX143" s="65"/>
      <c r="CY143" s="65"/>
      <c r="CZ143" s="65"/>
      <c r="DA143" s="65"/>
      <c r="DB143" s="65"/>
      <c r="DC143" s="65"/>
      <c r="DD143" s="65"/>
      <c r="DE143" s="65"/>
      <c r="DF143" s="65"/>
      <c r="DG143" s="65"/>
      <c r="DH143" s="65"/>
      <c r="DI143" s="65"/>
      <c r="DJ143" s="65"/>
      <c r="DK143" s="65"/>
      <c r="DL143" s="65"/>
      <c r="DM143" s="65"/>
      <c r="DN143" s="65"/>
      <c r="DO143" s="65"/>
      <c r="DP143" s="65"/>
      <c r="DQ143" s="65"/>
      <c r="DR143" s="65"/>
      <c r="DS143" s="65"/>
      <c r="DT143" s="65"/>
      <c r="DU143" s="65"/>
      <c r="DV143" s="65"/>
      <c r="DW143" s="65"/>
      <c r="DX143" s="65"/>
      <c r="DY143" s="65"/>
      <c r="DZ143" s="65"/>
      <c r="EA143" s="65"/>
      <c r="EB143" s="65"/>
      <c r="EC143" s="65"/>
      <c r="ED143" s="65"/>
      <c r="EE143" s="65"/>
      <c r="EF143" s="65"/>
      <c r="EG143" s="65"/>
      <c r="EH143" s="65"/>
      <c r="EI143" s="65"/>
      <c r="EJ143" s="65"/>
      <c r="EK143" s="65"/>
      <c r="EL143" s="65"/>
      <c r="EM143" s="65"/>
      <c r="EN143" s="65"/>
    </row>
    <row r="144" spans="1:144" s="62" customFormat="1" ht="11.25" x14ac:dyDescent="0.2">
      <c r="A144" s="74">
        <v>5</v>
      </c>
      <c r="B144" s="162" t="s">
        <v>30</v>
      </c>
      <c r="C144" s="143"/>
      <c r="D144" s="157">
        <f t="shared" ref="D144:P144" si="30">SUM(D142:D143)</f>
        <v>3180416.4886001442</v>
      </c>
      <c r="E144" s="157">
        <f t="shared" si="30"/>
        <v>3115711.5669295499</v>
      </c>
      <c r="F144" s="157">
        <f t="shared" si="30"/>
        <v>2960246.948459914</v>
      </c>
      <c r="G144" s="157">
        <f t="shared" si="30"/>
        <v>2969561.7757321955</v>
      </c>
      <c r="H144" s="157">
        <f t="shared" si="30"/>
        <v>3102592.3713246183</v>
      </c>
      <c r="I144" s="157">
        <f t="shared" si="30"/>
        <v>3046803.9600265501</v>
      </c>
      <c r="J144" s="157">
        <f t="shared" si="30"/>
        <v>3144112.3276753877</v>
      </c>
      <c r="K144" s="157">
        <f t="shared" si="30"/>
        <v>3170446.2215128304</v>
      </c>
      <c r="L144" s="157">
        <f t="shared" si="30"/>
        <v>3175875.3789516157</v>
      </c>
      <c r="M144" s="157">
        <f t="shared" si="30"/>
        <v>3098777.158652328</v>
      </c>
      <c r="N144" s="157">
        <f t="shared" si="30"/>
        <v>3094378.6876796461</v>
      </c>
      <c r="O144" s="157">
        <f t="shared" si="30"/>
        <v>3075342.8698522067</v>
      </c>
      <c r="P144" s="157">
        <f t="shared" si="30"/>
        <v>37134265.755396985</v>
      </c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5"/>
      <c r="CT144" s="65"/>
      <c r="CU144" s="65"/>
      <c r="CV144" s="65"/>
      <c r="CW144" s="65"/>
      <c r="CX144" s="65"/>
      <c r="CY144" s="65"/>
      <c r="CZ144" s="65"/>
      <c r="DA144" s="65"/>
      <c r="DB144" s="65"/>
      <c r="DC144" s="65"/>
      <c r="DD144" s="65"/>
      <c r="DE144" s="65"/>
      <c r="DF144" s="65"/>
      <c r="DG144" s="65"/>
      <c r="DH144" s="65"/>
      <c r="DI144" s="65"/>
      <c r="DJ144" s="65"/>
      <c r="DK144" s="65"/>
      <c r="DL144" s="65"/>
      <c r="DM144" s="65"/>
      <c r="DN144" s="65"/>
      <c r="DO144" s="65"/>
      <c r="DP144" s="65"/>
      <c r="DQ144" s="65"/>
      <c r="DR144" s="65"/>
      <c r="DS144" s="65"/>
      <c r="DT144" s="65"/>
      <c r="DU144" s="65"/>
      <c r="DV144" s="65"/>
      <c r="DW144" s="65"/>
      <c r="DX144" s="65"/>
      <c r="DY144" s="65"/>
      <c r="DZ144" s="65"/>
      <c r="EA144" s="65"/>
      <c r="EB144" s="65"/>
      <c r="EC144" s="65"/>
      <c r="ED144" s="65"/>
      <c r="EE144" s="65"/>
      <c r="EF144" s="65"/>
      <c r="EG144" s="65"/>
      <c r="EH144" s="65"/>
      <c r="EI144" s="65"/>
      <c r="EJ144" s="65"/>
      <c r="EK144" s="65"/>
      <c r="EL144" s="65"/>
      <c r="EM144" s="65"/>
      <c r="EN144" s="65"/>
    </row>
    <row r="145" spans="1:144" s="62" customFormat="1" ht="11.25" x14ac:dyDescent="0.2">
      <c r="B145" s="242"/>
      <c r="C145" s="143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22"/>
      <c r="O145" s="122"/>
      <c r="P145" s="127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  <c r="CW145" s="65"/>
      <c r="CX145" s="65"/>
      <c r="CY145" s="65"/>
      <c r="CZ145" s="65"/>
      <c r="DA145" s="65"/>
      <c r="DB145" s="65"/>
      <c r="DC145" s="65"/>
      <c r="DD145" s="65"/>
      <c r="DE145" s="65"/>
      <c r="DF145" s="65"/>
      <c r="DG145" s="65"/>
      <c r="DH145" s="65"/>
      <c r="DI145" s="65"/>
      <c r="DJ145" s="65"/>
      <c r="DK145" s="65"/>
      <c r="DL145" s="65"/>
      <c r="DM145" s="65"/>
      <c r="DN145" s="65"/>
      <c r="DO145" s="65"/>
      <c r="DP145" s="65"/>
      <c r="DQ145" s="65"/>
      <c r="DR145" s="65"/>
      <c r="DS145" s="65"/>
      <c r="DT145" s="65"/>
      <c r="DU145" s="65"/>
      <c r="DV145" s="65"/>
      <c r="DW145" s="65"/>
      <c r="DX145" s="65"/>
      <c r="DY145" s="65"/>
      <c r="DZ145" s="65"/>
      <c r="EA145" s="65"/>
      <c r="EB145" s="65"/>
      <c r="EC145" s="65"/>
      <c r="ED145" s="65"/>
      <c r="EE145" s="65"/>
      <c r="EF145" s="65"/>
      <c r="EG145" s="65"/>
      <c r="EH145" s="65"/>
      <c r="EI145" s="65"/>
      <c r="EJ145" s="65"/>
      <c r="EK145" s="65"/>
      <c r="EL145" s="65"/>
      <c r="EM145" s="65"/>
      <c r="EN145" s="65"/>
    </row>
    <row r="146" spans="1:144" s="62" customFormat="1" ht="11.25" x14ac:dyDescent="0.2">
      <c r="A146" s="74">
        <v>6</v>
      </c>
      <c r="B146" s="146" t="s">
        <v>110</v>
      </c>
      <c r="C146" s="125" t="s">
        <v>17</v>
      </c>
      <c r="D146" s="122">
        <f t="shared" ref="D146:O146" si="31">D115+D84+D54+D23</f>
        <v>69081.058075223671</v>
      </c>
      <c r="E146" s="122">
        <f t="shared" si="31"/>
        <v>76161.553358256919</v>
      </c>
      <c r="F146" s="122">
        <f t="shared" si="31"/>
        <v>65356.296063477777</v>
      </c>
      <c r="G146" s="122">
        <f t="shared" si="31"/>
        <v>72185.691263205081</v>
      </c>
      <c r="H146" s="122">
        <f t="shared" si="31"/>
        <v>90503.562410664497</v>
      </c>
      <c r="I146" s="122">
        <f t="shared" si="31"/>
        <v>67159.115147922741</v>
      </c>
      <c r="J146" s="122">
        <f t="shared" si="31"/>
        <v>79020.407560692503</v>
      </c>
      <c r="K146" s="122">
        <f t="shared" si="31"/>
        <v>90182.208446959732</v>
      </c>
      <c r="L146" s="122">
        <f t="shared" si="31"/>
        <v>76809.148601927838</v>
      </c>
      <c r="M146" s="122">
        <f t="shared" si="31"/>
        <v>87475.043250182192</v>
      </c>
      <c r="N146" s="122">
        <f t="shared" si="31"/>
        <v>99915.859770448835</v>
      </c>
      <c r="O146" s="122">
        <f t="shared" si="31"/>
        <v>85021.350510675678</v>
      </c>
      <c r="P146" s="127">
        <f>SUM(D146:O146)</f>
        <v>958871.29445963749</v>
      </c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  <c r="EH146" s="65"/>
      <c r="EI146" s="65"/>
      <c r="EJ146" s="65"/>
      <c r="EK146" s="65"/>
      <c r="EL146" s="65"/>
      <c r="EM146" s="65"/>
      <c r="EN146" s="65"/>
    </row>
    <row r="147" spans="1:144" s="62" customFormat="1" ht="11.25" x14ac:dyDescent="0.2">
      <c r="A147" s="74">
        <v>7</v>
      </c>
      <c r="B147" s="146" t="s">
        <v>111</v>
      </c>
      <c r="C147" s="125" t="s">
        <v>17</v>
      </c>
      <c r="D147" s="123">
        <f t="shared" ref="D147:O147" si="32">D116+D85+D55+D24</f>
        <v>794185.94000000006</v>
      </c>
      <c r="E147" s="123">
        <f t="shared" si="32"/>
        <v>766817.61549839831</v>
      </c>
      <c r="F147" s="123">
        <f t="shared" si="32"/>
        <v>759784.55782826012</v>
      </c>
      <c r="G147" s="123">
        <f t="shared" si="32"/>
        <v>770194.43860202876</v>
      </c>
      <c r="H147" s="123">
        <f t="shared" si="32"/>
        <v>806877.58870967745</v>
      </c>
      <c r="I147" s="123">
        <f t="shared" si="32"/>
        <v>811189.34472271916</v>
      </c>
      <c r="J147" s="123">
        <f t="shared" si="32"/>
        <v>807440.70286429359</v>
      </c>
      <c r="K147" s="123">
        <f t="shared" si="32"/>
        <v>809755.34749373433</v>
      </c>
      <c r="L147" s="123">
        <f t="shared" si="32"/>
        <v>820400.0406340058</v>
      </c>
      <c r="M147" s="123">
        <f t="shared" si="32"/>
        <v>784125.86640502349</v>
      </c>
      <c r="N147" s="123">
        <f t="shared" si="32"/>
        <v>806036.09557631821</v>
      </c>
      <c r="O147" s="123">
        <f t="shared" si="32"/>
        <v>765944.5</v>
      </c>
      <c r="P147" s="167">
        <f>SUM(D147:O147)</f>
        <v>9502752.0383344591</v>
      </c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/>
      <c r="EJ147" s="65"/>
      <c r="EK147" s="65"/>
      <c r="EL147" s="65"/>
      <c r="EM147" s="65"/>
      <c r="EN147" s="65"/>
    </row>
    <row r="148" spans="1:144" s="62" customFormat="1" ht="11.25" x14ac:dyDescent="0.2">
      <c r="A148" s="74">
        <v>8</v>
      </c>
      <c r="B148" s="129" t="s">
        <v>31</v>
      </c>
      <c r="C148" s="125"/>
      <c r="D148" s="122">
        <f t="shared" ref="D148:P148" si="33">SUM(D146:D147)</f>
        <v>863266.99807522376</v>
      </c>
      <c r="E148" s="122">
        <f t="shared" si="33"/>
        <v>842979.16885665525</v>
      </c>
      <c r="F148" s="122">
        <f t="shared" si="33"/>
        <v>825140.85389173788</v>
      </c>
      <c r="G148" s="122">
        <f t="shared" si="33"/>
        <v>842380.12986523379</v>
      </c>
      <c r="H148" s="122">
        <f t="shared" si="33"/>
        <v>897381.15112034196</v>
      </c>
      <c r="I148" s="122">
        <f t="shared" si="33"/>
        <v>878348.45987064193</v>
      </c>
      <c r="J148" s="122">
        <f t="shared" si="33"/>
        <v>886461.11042498611</v>
      </c>
      <c r="K148" s="122">
        <f t="shared" si="33"/>
        <v>899937.55594069406</v>
      </c>
      <c r="L148" s="122">
        <f t="shared" si="33"/>
        <v>897209.18923593359</v>
      </c>
      <c r="M148" s="122">
        <f t="shared" si="33"/>
        <v>871600.90965520567</v>
      </c>
      <c r="N148" s="122">
        <f t="shared" si="33"/>
        <v>905951.95534676709</v>
      </c>
      <c r="O148" s="122">
        <f t="shared" si="33"/>
        <v>850965.85051067569</v>
      </c>
      <c r="P148" s="122">
        <f t="shared" si="33"/>
        <v>10461623.332794096</v>
      </c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/>
      <c r="DJ148" s="65"/>
      <c r="DK148" s="65"/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  <c r="EH148" s="65"/>
      <c r="EI148" s="65"/>
      <c r="EJ148" s="65"/>
      <c r="EK148" s="65"/>
      <c r="EL148" s="65"/>
      <c r="EM148" s="65"/>
      <c r="EN148" s="65"/>
    </row>
    <row r="149" spans="1:144" s="62" customFormat="1" ht="11.25" x14ac:dyDescent="0.2">
      <c r="A149" s="74"/>
      <c r="B149" s="129"/>
      <c r="C149" s="125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7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/>
      <c r="DJ149" s="65"/>
      <c r="DK149" s="65"/>
      <c r="DL149" s="65"/>
      <c r="DM149" s="65"/>
      <c r="DN149" s="65"/>
      <c r="DO149" s="65"/>
      <c r="DP149" s="65"/>
      <c r="DQ149" s="65"/>
      <c r="DR149" s="65"/>
      <c r="DS149" s="65"/>
      <c r="DT149" s="65"/>
      <c r="DU149" s="65"/>
      <c r="DV149" s="65"/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  <c r="EH149" s="65"/>
      <c r="EI149" s="65"/>
      <c r="EJ149" s="65"/>
      <c r="EK149" s="65"/>
      <c r="EL149" s="65"/>
      <c r="EM149" s="65"/>
      <c r="EN149" s="65"/>
    </row>
    <row r="150" spans="1:144" s="62" customFormat="1" ht="11.25" x14ac:dyDescent="0.2">
      <c r="A150" s="74">
        <v>9</v>
      </c>
      <c r="B150" s="162" t="s">
        <v>115</v>
      </c>
      <c r="C150" s="125" t="s">
        <v>18</v>
      </c>
      <c r="D150" s="122">
        <f t="shared" ref="D150:O150" si="34">D119+D88+D58+D27</f>
        <v>1433777.2215988783</v>
      </c>
      <c r="E150" s="122">
        <f t="shared" si="34"/>
        <v>1283391.5346889955</v>
      </c>
      <c r="F150" s="122">
        <f t="shared" si="34"/>
        <v>1515507.4727272729</v>
      </c>
      <c r="G150" s="122">
        <f t="shared" si="34"/>
        <v>1437962.0131578948</v>
      </c>
      <c r="H150" s="122">
        <f t="shared" si="34"/>
        <v>1423688.7274535808</v>
      </c>
      <c r="I150" s="122">
        <f t="shared" si="34"/>
        <v>1459454.3208333335</v>
      </c>
      <c r="J150" s="122">
        <f t="shared" si="34"/>
        <v>1389570.9844696969</v>
      </c>
      <c r="K150" s="122">
        <f t="shared" si="34"/>
        <v>1341697.0679824562</v>
      </c>
      <c r="L150" s="122">
        <f t="shared" si="34"/>
        <v>1436825.4086956521</v>
      </c>
      <c r="M150" s="122">
        <f t="shared" si="34"/>
        <v>1127208.2274859287</v>
      </c>
      <c r="N150" s="122">
        <f t="shared" si="34"/>
        <v>1426406.4681050656</v>
      </c>
      <c r="O150" s="122">
        <f t="shared" si="34"/>
        <v>1554088.3923076922</v>
      </c>
      <c r="P150" s="127">
        <f>SUM(D150:O150)</f>
        <v>16829577.839506447</v>
      </c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/>
      <c r="DJ150" s="65"/>
      <c r="DK150" s="65"/>
      <c r="DL150" s="65"/>
      <c r="DM150" s="65"/>
      <c r="DN150" s="65"/>
      <c r="DO150" s="65"/>
      <c r="DP150" s="65"/>
      <c r="DQ150" s="65"/>
      <c r="DR150" s="65"/>
      <c r="DS150" s="65"/>
      <c r="DT150" s="65"/>
      <c r="DU150" s="65"/>
      <c r="DV150" s="65"/>
      <c r="DW150" s="65"/>
      <c r="DX150" s="65"/>
      <c r="DY150" s="65"/>
      <c r="DZ150" s="65"/>
      <c r="EA150" s="65"/>
      <c r="EB150" s="65"/>
      <c r="EC150" s="65"/>
      <c r="ED150" s="65"/>
      <c r="EE150" s="65"/>
      <c r="EF150" s="65"/>
      <c r="EG150" s="65"/>
      <c r="EH150" s="65"/>
      <c r="EI150" s="65"/>
      <c r="EJ150" s="65"/>
      <c r="EK150" s="65"/>
      <c r="EL150" s="65"/>
      <c r="EM150" s="65"/>
      <c r="EN150" s="65"/>
    </row>
    <row r="151" spans="1:144" s="62" customFormat="1" ht="11.25" x14ac:dyDescent="0.2">
      <c r="B151" s="129"/>
      <c r="C151" s="143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7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5"/>
      <c r="DI151" s="65"/>
      <c r="DJ151" s="65"/>
      <c r="DK151" s="65"/>
      <c r="DL151" s="65"/>
      <c r="DM151" s="65"/>
      <c r="DN151" s="65"/>
      <c r="DO151" s="65"/>
      <c r="DP151" s="65"/>
      <c r="DQ151" s="65"/>
      <c r="DR151" s="65"/>
      <c r="DS151" s="65"/>
      <c r="DT151" s="65"/>
      <c r="DU151" s="65"/>
      <c r="DV151" s="65"/>
      <c r="DW151" s="65"/>
      <c r="DX151" s="65"/>
      <c r="DY151" s="65"/>
      <c r="DZ151" s="65"/>
      <c r="EA151" s="65"/>
      <c r="EB151" s="65"/>
      <c r="EC151" s="65"/>
      <c r="ED151" s="65"/>
      <c r="EE151" s="65"/>
      <c r="EF151" s="65"/>
      <c r="EG151" s="65"/>
      <c r="EH151" s="65"/>
      <c r="EI151" s="65"/>
      <c r="EJ151" s="65"/>
      <c r="EK151" s="65"/>
      <c r="EL151" s="65"/>
      <c r="EM151" s="65"/>
      <c r="EN151" s="65"/>
    </row>
    <row r="152" spans="1:144" s="62" customFormat="1" ht="11.25" x14ac:dyDescent="0.2">
      <c r="A152" s="74">
        <v>10</v>
      </c>
      <c r="B152" s="117" t="s">
        <v>33</v>
      </c>
      <c r="C152" s="125" t="s">
        <v>16</v>
      </c>
      <c r="D152" s="122">
        <f t="shared" ref="D152:O152" si="35">D121+D90+D60+D29</f>
        <v>0</v>
      </c>
      <c r="E152" s="122">
        <f t="shared" si="35"/>
        <v>0</v>
      </c>
      <c r="F152" s="122">
        <f t="shared" si="35"/>
        <v>0</v>
      </c>
      <c r="G152" s="122">
        <f t="shared" si="35"/>
        <v>0</v>
      </c>
      <c r="H152" s="122">
        <f t="shared" si="35"/>
        <v>0</v>
      </c>
      <c r="I152" s="122">
        <f t="shared" si="35"/>
        <v>0</v>
      </c>
      <c r="J152" s="122">
        <f t="shared" si="35"/>
        <v>0</v>
      </c>
      <c r="K152" s="122">
        <f t="shared" si="35"/>
        <v>0</v>
      </c>
      <c r="L152" s="122">
        <f t="shared" si="35"/>
        <v>0</v>
      </c>
      <c r="M152" s="122">
        <f t="shared" si="35"/>
        <v>0</v>
      </c>
      <c r="N152" s="122">
        <f t="shared" si="35"/>
        <v>0</v>
      </c>
      <c r="O152" s="122">
        <f t="shared" si="35"/>
        <v>0</v>
      </c>
      <c r="P152" s="127">
        <f>SUM(D152:O152)</f>
        <v>0</v>
      </c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/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5"/>
      <c r="DI152" s="65"/>
      <c r="DJ152" s="65"/>
      <c r="DK152" s="65"/>
      <c r="DL152" s="65"/>
      <c r="DM152" s="65"/>
      <c r="DN152" s="65"/>
      <c r="DO152" s="65"/>
      <c r="DP152" s="65"/>
      <c r="DQ152" s="65"/>
      <c r="DR152" s="65"/>
      <c r="DS152" s="65"/>
      <c r="DT152" s="65"/>
      <c r="DU152" s="65"/>
      <c r="DV152" s="65"/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  <c r="EH152" s="65"/>
      <c r="EI152" s="65"/>
      <c r="EJ152" s="65"/>
      <c r="EK152" s="65"/>
      <c r="EL152" s="65"/>
      <c r="EM152" s="65"/>
      <c r="EN152" s="65"/>
    </row>
    <row r="153" spans="1:144" s="62" customFormat="1" ht="11.25" x14ac:dyDescent="0.2">
      <c r="A153" s="74"/>
      <c r="B153" s="129"/>
      <c r="C153" s="143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22"/>
      <c r="O153" s="122"/>
      <c r="P153" s="127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65"/>
      <c r="CQ153" s="65"/>
      <c r="CR153" s="65"/>
      <c r="CS153" s="65"/>
      <c r="CT153" s="65"/>
      <c r="CU153" s="65"/>
      <c r="CV153" s="65"/>
      <c r="CW153" s="65"/>
      <c r="CX153" s="65"/>
      <c r="CY153" s="65"/>
      <c r="CZ153" s="65"/>
      <c r="DA153" s="65"/>
      <c r="DB153" s="65"/>
      <c r="DC153" s="65"/>
      <c r="DD153" s="65"/>
      <c r="DE153" s="65"/>
      <c r="DF153" s="65"/>
      <c r="DG153" s="65"/>
      <c r="DH153" s="65"/>
      <c r="DI153" s="65"/>
      <c r="DJ153" s="65"/>
      <c r="DK153" s="65"/>
      <c r="DL153" s="65"/>
      <c r="DM153" s="65"/>
      <c r="DN153" s="65"/>
      <c r="DO153" s="65"/>
      <c r="DP153" s="65"/>
      <c r="DQ153" s="65"/>
      <c r="DR153" s="65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  <c r="EF153" s="65"/>
      <c r="EG153" s="65"/>
      <c r="EH153" s="65"/>
      <c r="EI153" s="65"/>
      <c r="EJ153" s="65"/>
      <c r="EK153" s="65"/>
      <c r="EL153" s="65"/>
      <c r="EM153" s="65"/>
      <c r="EN153" s="65"/>
    </row>
    <row r="154" spans="1:144" s="62" customFormat="1" ht="11.25" x14ac:dyDescent="0.2">
      <c r="A154" s="74">
        <v>11</v>
      </c>
      <c r="B154" s="183" t="s">
        <v>34</v>
      </c>
      <c r="C154" s="236"/>
      <c r="D154" s="184">
        <f t="shared" ref="D154:N154" si="36">D152+D150+D148+D144+D140+D138</f>
        <v>5477460.7082742462</v>
      </c>
      <c r="E154" s="184">
        <f t="shared" si="36"/>
        <v>5242082.2704752004</v>
      </c>
      <c r="F154" s="184">
        <f t="shared" si="36"/>
        <v>5300895.2750789244</v>
      </c>
      <c r="G154" s="184">
        <f t="shared" si="36"/>
        <v>5249903.9187553246</v>
      </c>
      <c r="H154" s="184">
        <f t="shared" si="36"/>
        <v>5423662.2498985417</v>
      </c>
      <c r="I154" s="184">
        <f t="shared" si="36"/>
        <v>5384606.7407305259</v>
      </c>
      <c r="J154" s="184">
        <f t="shared" si="36"/>
        <v>5420144.4225700703</v>
      </c>
      <c r="K154" s="184">
        <f t="shared" si="36"/>
        <v>5412080.8454359807</v>
      </c>
      <c r="L154" s="184">
        <f t="shared" si="36"/>
        <v>5509909.9768832009</v>
      </c>
      <c r="M154" s="184">
        <f t="shared" si="36"/>
        <v>5097586.2957934625</v>
      </c>
      <c r="N154" s="184">
        <f t="shared" si="36"/>
        <v>5426737.1111314781</v>
      </c>
      <c r="O154" s="184">
        <f>O152+O150+O148+O144+O140+O138</f>
        <v>5480397.1126705743</v>
      </c>
      <c r="P154" s="184">
        <f>P152+P150+P148+P144+P140+P138</f>
        <v>64425466.927697524</v>
      </c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65"/>
      <c r="CQ154" s="65"/>
      <c r="CR154" s="65"/>
      <c r="CS154" s="65"/>
      <c r="CT154" s="65"/>
      <c r="CU154" s="65"/>
      <c r="CV154" s="65"/>
      <c r="CW154" s="65"/>
      <c r="CX154" s="65"/>
      <c r="CY154" s="65"/>
      <c r="CZ154" s="65"/>
      <c r="DA154" s="65"/>
      <c r="DB154" s="65"/>
      <c r="DC154" s="65"/>
      <c r="DD154" s="65"/>
      <c r="DE154" s="65"/>
      <c r="DF154" s="65"/>
      <c r="DG154" s="65"/>
      <c r="DH154" s="65"/>
      <c r="DI154" s="65"/>
      <c r="DJ154" s="65"/>
      <c r="DK154" s="65"/>
      <c r="DL154" s="65"/>
      <c r="DM154" s="65"/>
      <c r="DN154" s="65"/>
      <c r="DO154" s="65"/>
      <c r="DP154" s="65"/>
      <c r="DQ154" s="65"/>
      <c r="DR154" s="65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  <c r="EF154" s="65"/>
      <c r="EG154" s="65"/>
      <c r="EH154" s="65"/>
      <c r="EI154" s="65"/>
      <c r="EJ154" s="65"/>
      <c r="EK154" s="65"/>
      <c r="EL154" s="65"/>
      <c r="EM154" s="65"/>
      <c r="EN154" s="65"/>
    </row>
    <row r="155" spans="1:144" s="62" customFormat="1" ht="11.25" x14ac:dyDescent="0.2">
      <c r="B155" s="236"/>
      <c r="C155" s="236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56"/>
      <c r="O155" s="156"/>
      <c r="P155" s="127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5"/>
      <c r="DI155" s="65"/>
      <c r="DJ155" s="65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/>
      <c r="EM155" s="65"/>
      <c r="EN155" s="65"/>
    </row>
    <row r="156" spans="1:144" s="62" customFormat="1" ht="11.25" x14ac:dyDescent="0.2">
      <c r="A156" s="74">
        <v>12</v>
      </c>
      <c r="B156" s="148" t="s">
        <v>91</v>
      </c>
      <c r="C156" s="125" t="s">
        <v>17</v>
      </c>
      <c r="D156" s="122">
        <f t="shared" ref="D156:O156" si="37">D125+D94+D64+D33</f>
        <v>0</v>
      </c>
      <c r="E156" s="122">
        <f t="shared" si="37"/>
        <v>0</v>
      </c>
      <c r="F156" s="122">
        <f t="shared" si="37"/>
        <v>0</v>
      </c>
      <c r="G156" s="122">
        <f t="shared" si="37"/>
        <v>0</v>
      </c>
      <c r="H156" s="122">
        <f t="shared" si="37"/>
        <v>0</v>
      </c>
      <c r="I156" s="122">
        <f t="shared" si="37"/>
        <v>0</v>
      </c>
      <c r="J156" s="122">
        <f t="shared" si="37"/>
        <v>0</v>
      </c>
      <c r="K156" s="122">
        <f t="shared" si="37"/>
        <v>0</v>
      </c>
      <c r="L156" s="122">
        <f t="shared" si="37"/>
        <v>0</v>
      </c>
      <c r="M156" s="122">
        <f t="shared" si="37"/>
        <v>0</v>
      </c>
      <c r="N156" s="122">
        <f t="shared" si="37"/>
        <v>0</v>
      </c>
      <c r="O156" s="122">
        <f t="shared" si="37"/>
        <v>0</v>
      </c>
      <c r="P156" s="127">
        <f>SUM(D156:O156)</f>
        <v>0</v>
      </c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5"/>
      <c r="DI156" s="65"/>
      <c r="DJ156" s="65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  <c r="EH156" s="65"/>
      <c r="EI156" s="65"/>
      <c r="EJ156" s="65"/>
      <c r="EK156" s="65"/>
      <c r="EL156" s="65"/>
      <c r="EM156" s="65"/>
      <c r="EN156" s="65"/>
    </row>
    <row r="157" spans="1:144" s="62" customFormat="1" ht="11.25" x14ac:dyDescent="0.2">
      <c r="A157" s="74">
        <v>13</v>
      </c>
      <c r="B157" s="148" t="s">
        <v>92</v>
      </c>
      <c r="C157" s="125" t="s">
        <v>18</v>
      </c>
      <c r="D157" s="123">
        <f t="shared" ref="D157:O157" si="38">D126+D95+D65+D34</f>
        <v>0</v>
      </c>
      <c r="E157" s="123">
        <f t="shared" si="38"/>
        <v>0</v>
      </c>
      <c r="F157" s="123">
        <f t="shared" si="38"/>
        <v>0</v>
      </c>
      <c r="G157" s="123">
        <f t="shared" si="38"/>
        <v>0</v>
      </c>
      <c r="H157" s="123">
        <f t="shared" si="38"/>
        <v>0</v>
      </c>
      <c r="I157" s="123">
        <f t="shared" si="38"/>
        <v>0</v>
      </c>
      <c r="J157" s="123">
        <f t="shared" si="38"/>
        <v>0</v>
      </c>
      <c r="K157" s="123">
        <f t="shared" si="38"/>
        <v>0</v>
      </c>
      <c r="L157" s="123">
        <f t="shared" si="38"/>
        <v>0</v>
      </c>
      <c r="M157" s="123">
        <f t="shared" si="38"/>
        <v>0</v>
      </c>
      <c r="N157" s="123">
        <f t="shared" si="38"/>
        <v>0</v>
      </c>
      <c r="O157" s="123">
        <f t="shared" si="38"/>
        <v>0</v>
      </c>
      <c r="P157" s="167">
        <f>SUM(D157:O157)</f>
        <v>0</v>
      </c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65"/>
      <c r="CQ157" s="65"/>
      <c r="CR157" s="65"/>
      <c r="CS157" s="65"/>
      <c r="CT157" s="65"/>
      <c r="CU157" s="65"/>
      <c r="CV157" s="65"/>
      <c r="CW157" s="65"/>
      <c r="CX157" s="65"/>
      <c r="CY157" s="65"/>
      <c r="CZ157" s="65"/>
      <c r="DA157" s="65"/>
      <c r="DB157" s="65"/>
      <c r="DC157" s="65"/>
      <c r="DD157" s="65"/>
      <c r="DE157" s="65"/>
      <c r="DF157" s="65"/>
      <c r="DG157" s="65"/>
      <c r="DH157" s="65"/>
      <c r="DI157" s="65"/>
      <c r="DJ157" s="65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  <c r="EF157" s="65"/>
      <c r="EG157" s="65"/>
      <c r="EH157" s="65"/>
      <c r="EI157" s="65"/>
      <c r="EJ157" s="65"/>
      <c r="EK157" s="65"/>
      <c r="EL157" s="65"/>
      <c r="EM157" s="65"/>
      <c r="EN157" s="65"/>
    </row>
    <row r="158" spans="1:144" s="62" customFormat="1" ht="11.25" x14ac:dyDescent="0.2">
      <c r="A158" s="74">
        <v>14</v>
      </c>
      <c r="B158" s="183" t="s">
        <v>35</v>
      </c>
      <c r="C158" s="238"/>
      <c r="D158" s="169">
        <f t="shared" ref="D158:P158" si="39">SUM(D156:D157)</f>
        <v>0</v>
      </c>
      <c r="E158" s="169">
        <f t="shared" si="39"/>
        <v>0</v>
      </c>
      <c r="F158" s="169">
        <f t="shared" si="39"/>
        <v>0</v>
      </c>
      <c r="G158" s="169">
        <f t="shared" si="39"/>
        <v>0</v>
      </c>
      <c r="H158" s="169">
        <f t="shared" si="39"/>
        <v>0</v>
      </c>
      <c r="I158" s="169">
        <f t="shared" si="39"/>
        <v>0</v>
      </c>
      <c r="J158" s="169">
        <f t="shared" si="39"/>
        <v>0</v>
      </c>
      <c r="K158" s="169">
        <f t="shared" si="39"/>
        <v>0</v>
      </c>
      <c r="L158" s="169">
        <f t="shared" si="39"/>
        <v>0</v>
      </c>
      <c r="M158" s="169">
        <f t="shared" si="39"/>
        <v>0</v>
      </c>
      <c r="N158" s="156">
        <f t="shared" si="39"/>
        <v>0</v>
      </c>
      <c r="O158" s="156">
        <f t="shared" si="39"/>
        <v>0</v>
      </c>
      <c r="P158" s="156">
        <f t="shared" si="39"/>
        <v>0</v>
      </c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65"/>
      <c r="CQ158" s="65"/>
      <c r="CR158" s="65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65"/>
      <c r="DH158" s="65"/>
      <c r="DI158" s="65"/>
      <c r="DJ158" s="65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  <c r="EF158" s="65"/>
      <c r="EG158" s="65"/>
      <c r="EH158" s="65"/>
      <c r="EI158" s="65"/>
      <c r="EJ158" s="65"/>
      <c r="EK158" s="65"/>
      <c r="EL158" s="65"/>
      <c r="EM158" s="65"/>
      <c r="EN158" s="65"/>
    </row>
    <row r="159" spans="1:144" s="62" customFormat="1" ht="11.25" x14ac:dyDescent="0.2">
      <c r="A159" s="74"/>
      <c r="B159" s="129"/>
      <c r="C159" s="185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22"/>
      <c r="O159" s="122"/>
      <c r="P159" s="127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65"/>
      <c r="CQ159" s="65"/>
      <c r="CR159" s="65"/>
      <c r="CS159" s="65"/>
      <c r="CT159" s="65"/>
      <c r="CU159" s="65"/>
      <c r="CV159" s="65"/>
      <c r="CW159" s="65"/>
      <c r="CX159" s="65"/>
      <c r="CY159" s="65"/>
      <c r="CZ159" s="65"/>
      <c r="DA159" s="65"/>
      <c r="DB159" s="65"/>
      <c r="DC159" s="65"/>
      <c r="DD159" s="65"/>
      <c r="DE159" s="65"/>
      <c r="DF159" s="65"/>
      <c r="DG159" s="65"/>
      <c r="DH159" s="65"/>
      <c r="DI159" s="65"/>
      <c r="DJ159" s="65"/>
      <c r="DK159" s="65"/>
      <c r="DL159" s="65"/>
      <c r="DM159" s="65"/>
      <c r="DN159" s="65"/>
      <c r="DO159" s="65"/>
      <c r="DP159" s="65"/>
      <c r="DQ159" s="65"/>
      <c r="DR159" s="65"/>
      <c r="DS159" s="65"/>
      <c r="DT159" s="65"/>
      <c r="DU159" s="65"/>
      <c r="DV159" s="65"/>
      <c r="DW159" s="65"/>
      <c r="DX159" s="65"/>
      <c r="DY159" s="65"/>
      <c r="DZ159" s="65"/>
      <c r="EA159" s="65"/>
      <c r="EB159" s="65"/>
      <c r="EC159" s="65"/>
      <c r="ED159" s="65"/>
      <c r="EE159" s="65"/>
      <c r="EF159" s="65"/>
      <c r="EG159" s="65"/>
      <c r="EH159" s="65"/>
      <c r="EI159" s="65"/>
      <c r="EJ159" s="65"/>
      <c r="EK159" s="65"/>
      <c r="EL159" s="65"/>
      <c r="EM159" s="65"/>
      <c r="EN159" s="65"/>
    </row>
    <row r="160" spans="1:144" s="62" customFormat="1" ht="12" thickBot="1" x14ac:dyDescent="0.25">
      <c r="A160" s="74">
        <v>15</v>
      </c>
      <c r="B160" s="243" t="str">
        <f>B37</f>
        <v>TOTAL AEP TEXAS</v>
      </c>
      <c r="C160" s="238"/>
      <c r="D160" s="244">
        <f t="shared" ref="D160:P160" si="40">+D158+D154</f>
        <v>5477460.7082742462</v>
      </c>
      <c r="E160" s="244">
        <f t="shared" si="40"/>
        <v>5242082.2704752004</v>
      </c>
      <c r="F160" s="244">
        <f t="shared" si="40"/>
        <v>5300895.2750789244</v>
      </c>
      <c r="G160" s="244">
        <f t="shared" si="40"/>
        <v>5249903.9187553246</v>
      </c>
      <c r="H160" s="244">
        <f t="shared" si="40"/>
        <v>5423662.2498985417</v>
      </c>
      <c r="I160" s="244">
        <f t="shared" si="40"/>
        <v>5384606.7407305259</v>
      </c>
      <c r="J160" s="244">
        <f t="shared" si="40"/>
        <v>5420144.4225700703</v>
      </c>
      <c r="K160" s="244">
        <f t="shared" si="40"/>
        <v>5412080.8454359807</v>
      </c>
      <c r="L160" s="244">
        <f t="shared" si="40"/>
        <v>5509909.9768832009</v>
      </c>
      <c r="M160" s="244">
        <f t="shared" si="40"/>
        <v>5097586.2957934625</v>
      </c>
      <c r="N160" s="244">
        <f t="shared" si="40"/>
        <v>5426737.1111314781</v>
      </c>
      <c r="O160" s="244">
        <f t="shared" si="40"/>
        <v>5480397.1126705743</v>
      </c>
      <c r="P160" s="244">
        <f t="shared" si="40"/>
        <v>64425466.927697524</v>
      </c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/>
      <c r="CB160" s="65"/>
      <c r="CC160" s="65"/>
      <c r="CD160" s="65"/>
      <c r="CE160" s="65"/>
      <c r="CF160" s="65"/>
      <c r="CG160" s="65"/>
      <c r="CH160" s="65"/>
      <c r="CI160" s="65"/>
      <c r="CJ160" s="65"/>
      <c r="CK160" s="65"/>
      <c r="CL160" s="65"/>
      <c r="CM160" s="65"/>
      <c r="CN160" s="65"/>
      <c r="CO160" s="65"/>
      <c r="CP160" s="65"/>
      <c r="CQ160" s="65"/>
      <c r="CR160" s="65"/>
      <c r="CS160" s="65"/>
      <c r="CT160" s="65"/>
      <c r="CU160" s="65"/>
      <c r="CV160" s="65"/>
      <c r="CW160" s="65"/>
      <c r="CX160" s="65"/>
      <c r="CY160" s="65"/>
      <c r="CZ160" s="65"/>
      <c r="DA160" s="65"/>
      <c r="DB160" s="65"/>
      <c r="DC160" s="65"/>
      <c r="DD160" s="65"/>
      <c r="DE160" s="65"/>
      <c r="DF160" s="65"/>
      <c r="DG160" s="65"/>
      <c r="DH160" s="65"/>
      <c r="DI160" s="65"/>
      <c r="DJ160" s="65"/>
      <c r="DK160" s="65"/>
      <c r="DL160" s="65"/>
      <c r="DM160" s="65"/>
      <c r="DN160" s="65"/>
      <c r="DO160" s="65"/>
      <c r="DP160" s="65"/>
      <c r="DQ160" s="65"/>
      <c r="DR160" s="65"/>
      <c r="DS160" s="65"/>
      <c r="DT160" s="65"/>
      <c r="DU160" s="65"/>
      <c r="DV160" s="65"/>
      <c r="DW160" s="65"/>
      <c r="DX160" s="65"/>
      <c r="DY160" s="65"/>
      <c r="DZ160" s="65"/>
      <c r="EA160" s="65"/>
      <c r="EB160" s="65"/>
      <c r="EC160" s="65"/>
      <c r="ED160" s="65"/>
      <c r="EE160" s="65"/>
      <c r="EF160" s="65"/>
      <c r="EG160" s="65"/>
      <c r="EH160" s="65"/>
      <c r="EI160" s="65"/>
      <c r="EJ160" s="65"/>
      <c r="EK160" s="65"/>
      <c r="EL160" s="65"/>
      <c r="EM160" s="65"/>
      <c r="EN160" s="65"/>
    </row>
    <row r="161" spans="2:16" ht="13.5" thickTop="1" x14ac:dyDescent="0.2">
      <c r="B161" s="323"/>
      <c r="C161" s="323"/>
      <c r="D161" s="120"/>
      <c r="E161" s="120"/>
      <c r="F161" s="155"/>
      <c r="G161" s="155"/>
      <c r="H161" s="120"/>
      <c r="I161" s="313"/>
      <c r="J161" s="313"/>
      <c r="K161" s="313"/>
      <c r="L161" s="313"/>
      <c r="M161" s="313"/>
      <c r="N161" s="313"/>
      <c r="O161" s="319"/>
      <c r="P161" s="304"/>
    </row>
    <row r="162" spans="2:16" x14ac:dyDescent="0.2">
      <c r="B162" s="323"/>
      <c r="C162" s="323"/>
      <c r="D162" s="120"/>
      <c r="E162" s="120"/>
      <c r="F162" s="155"/>
      <c r="G162" s="155"/>
      <c r="H162" s="120"/>
      <c r="I162" s="313"/>
      <c r="J162" s="313"/>
      <c r="K162" s="313"/>
      <c r="L162" s="313"/>
      <c r="M162" s="313"/>
      <c r="N162" s="313"/>
      <c r="O162" s="319"/>
      <c r="P162" s="318"/>
    </row>
    <row r="163" spans="2:16" x14ac:dyDescent="0.2">
      <c r="B163" s="323"/>
      <c r="C163" s="323"/>
      <c r="D163" s="120"/>
      <c r="E163" s="120"/>
      <c r="F163" s="155"/>
      <c r="G163" s="155"/>
      <c r="H163" s="120"/>
      <c r="I163" s="313"/>
      <c r="J163" s="313"/>
      <c r="K163" s="313"/>
      <c r="L163" s="313"/>
      <c r="M163" s="313"/>
      <c r="N163" s="313"/>
      <c r="O163" s="319"/>
      <c r="P163" s="318"/>
    </row>
    <row r="164" spans="2:16" x14ac:dyDescent="0.2">
      <c r="B164" s="323"/>
      <c r="C164" s="323"/>
      <c r="D164" s="120"/>
      <c r="E164" s="120"/>
      <c r="F164" s="155"/>
      <c r="G164" s="155"/>
      <c r="H164" s="120"/>
      <c r="I164" s="313"/>
      <c r="J164" s="313"/>
      <c r="K164" s="313"/>
      <c r="L164" s="313"/>
      <c r="M164" s="313"/>
      <c r="N164" s="313"/>
      <c r="O164" s="319"/>
      <c r="P164" s="318"/>
    </row>
    <row r="165" spans="2:16" x14ac:dyDescent="0.2">
      <c r="B165" s="323"/>
      <c r="C165" s="323"/>
      <c r="D165" s="120"/>
      <c r="E165" s="120"/>
      <c r="F165" s="155"/>
      <c r="G165" s="155"/>
      <c r="H165" s="120"/>
      <c r="I165" s="313"/>
      <c r="J165" s="313"/>
      <c r="K165" s="313"/>
      <c r="L165" s="313"/>
      <c r="M165" s="313"/>
      <c r="N165" s="313"/>
      <c r="O165" s="319"/>
      <c r="P165" s="318"/>
    </row>
    <row r="166" spans="2:16" x14ac:dyDescent="0.2">
      <c r="B166" s="323"/>
      <c r="C166" s="323"/>
      <c r="D166" s="120"/>
      <c r="E166" s="120"/>
      <c r="F166" s="155"/>
      <c r="G166" s="155"/>
      <c r="H166" s="120"/>
      <c r="I166" s="313"/>
      <c r="J166" s="313"/>
      <c r="K166" s="313"/>
      <c r="L166" s="313"/>
      <c r="M166" s="313"/>
      <c r="N166" s="313"/>
      <c r="O166" s="319"/>
      <c r="P166" s="318"/>
    </row>
    <row r="167" spans="2:16" x14ac:dyDescent="0.2">
      <c r="B167" s="323"/>
      <c r="C167" s="323"/>
      <c r="D167" s="120"/>
      <c r="E167" s="120"/>
      <c r="F167" s="155"/>
      <c r="G167" s="155"/>
      <c r="H167" s="120"/>
      <c r="I167" s="313"/>
      <c r="J167" s="313"/>
      <c r="K167" s="313"/>
      <c r="L167" s="313"/>
      <c r="M167" s="313"/>
      <c r="N167" s="313"/>
      <c r="O167" s="319"/>
      <c r="P167" s="318"/>
    </row>
    <row r="168" spans="2:16" x14ac:dyDescent="0.2">
      <c r="B168" s="323"/>
      <c r="C168" s="323"/>
      <c r="D168" s="120"/>
      <c r="E168" s="120"/>
      <c r="F168" s="155"/>
      <c r="G168" s="155"/>
      <c r="H168" s="120"/>
      <c r="I168" s="313"/>
      <c r="J168" s="313"/>
      <c r="K168" s="313"/>
      <c r="L168" s="313"/>
      <c r="M168" s="313"/>
      <c r="N168" s="313"/>
      <c r="O168" s="319"/>
      <c r="P168" s="318"/>
    </row>
    <row r="169" spans="2:16" x14ac:dyDescent="0.2">
      <c r="B169" s="323"/>
      <c r="C169" s="323"/>
      <c r="D169" s="120"/>
      <c r="E169" s="120"/>
      <c r="F169" s="155"/>
      <c r="G169" s="155"/>
      <c r="H169" s="120"/>
      <c r="I169" s="313"/>
      <c r="J169" s="313"/>
      <c r="K169" s="313"/>
      <c r="L169" s="313"/>
      <c r="M169" s="313"/>
      <c r="N169" s="313"/>
      <c r="O169" s="319"/>
      <c r="P169" s="318"/>
    </row>
    <row r="170" spans="2:16" x14ac:dyDescent="0.2">
      <c r="B170" s="323"/>
      <c r="C170" s="323"/>
      <c r="D170" s="120"/>
      <c r="E170" s="120"/>
      <c r="F170" s="155"/>
      <c r="G170" s="155"/>
      <c r="H170" s="120"/>
      <c r="I170" s="313"/>
      <c r="J170" s="313"/>
      <c r="K170" s="313"/>
      <c r="L170" s="313"/>
      <c r="M170" s="313"/>
      <c r="N170" s="313"/>
      <c r="O170" s="319"/>
      <c r="P170" s="318"/>
    </row>
    <row r="171" spans="2:16" x14ac:dyDescent="0.2">
      <c r="B171" s="323"/>
      <c r="C171" s="323"/>
      <c r="D171" s="120"/>
      <c r="E171" s="120"/>
      <c r="F171" s="155"/>
      <c r="G171" s="155"/>
      <c r="H171" s="120"/>
      <c r="I171" s="313"/>
      <c r="J171" s="313"/>
      <c r="K171" s="313"/>
      <c r="L171" s="313"/>
      <c r="M171" s="313"/>
      <c r="N171" s="313"/>
      <c r="O171" s="319"/>
      <c r="P171" s="318"/>
    </row>
    <row r="172" spans="2:16" x14ac:dyDescent="0.2">
      <c r="B172" s="323"/>
      <c r="C172" s="323"/>
      <c r="D172" s="120"/>
      <c r="E172" s="120"/>
      <c r="F172" s="155"/>
      <c r="G172" s="155"/>
      <c r="H172" s="120"/>
      <c r="I172" s="313"/>
      <c r="J172" s="313"/>
      <c r="K172" s="313"/>
      <c r="L172" s="313"/>
      <c r="M172" s="313"/>
      <c r="N172" s="313"/>
      <c r="O172" s="319"/>
      <c r="P172" s="318"/>
    </row>
    <row r="173" spans="2:16" x14ac:dyDescent="0.2">
      <c r="B173" s="323"/>
      <c r="C173" s="323"/>
      <c r="D173" s="120"/>
      <c r="E173" s="120"/>
      <c r="F173" s="155"/>
      <c r="G173" s="155"/>
      <c r="H173" s="120"/>
      <c r="I173" s="313"/>
      <c r="J173" s="313"/>
      <c r="K173" s="313"/>
      <c r="L173" s="313"/>
      <c r="M173" s="313"/>
      <c r="N173" s="313"/>
      <c r="O173" s="319"/>
      <c r="P173" s="318"/>
    </row>
    <row r="174" spans="2:16" x14ac:dyDescent="0.2">
      <c r="B174" s="323"/>
      <c r="C174" s="323"/>
      <c r="D174" s="120"/>
      <c r="E174" s="120"/>
      <c r="F174" s="155"/>
      <c r="G174" s="155"/>
      <c r="H174" s="120"/>
      <c r="I174" s="313"/>
      <c r="J174" s="313"/>
      <c r="K174" s="313"/>
      <c r="L174" s="313"/>
      <c r="M174" s="313"/>
      <c r="N174" s="313"/>
      <c r="O174" s="319"/>
      <c r="P174" s="318"/>
    </row>
    <row r="175" spans="2:16" x14ac:dyDescent="0.2">
      <c r="B175" s="323"/>
      <c r="C175" s="323"/>
      <c r="D175" s="120"/>
      <c r="E175" s="120"/>
      <c r="F175" s="155"/>
      <c r="G175" s="155"/>
      <c r="H175" s="120"/>
      <c r="I175" s="313"/>
      <c r="J175" s="313"/>
      <c r="K175" s="313"/>
      <c r="L175" s="313"/>
      <c r="M175" s="313"/>
      <c r="N175" s="313"/>
      <c r="O175" s="319"/>
      <c r="P175" s="318"/>
    </row>
    <row r="176" spans="2:16" x14ac:dyDescent="0.2">
      <c r="B176" s="323"/>
      <c r="C176" s="323"/>
      <c r="D176" s="120"/>
      <c r="E176" s="120"/>
      <c r="F176" s="155"/>
      <c r="G176" s="155"/>
      <c r="H176" s="120"/>
      <c r="I176" s="313"/>
      <c r="J176" s="313"/>
      <c r="K176" s="313"/>
      <c r="L176" s="313"/>
      <c r="M176" s="313"/>
      <c r="N176" s="313"/>
      <c r="O176" s="319"/>
      <c r="P176" s="318"/>
    </row>
    <row r="177" spans="2:16" x14ac:dyDescent="0.2">
      <c r="B177" s="323"/>
      <c r="C177" s="323"/>
      <c r="D177" s="120"/>
      <c r="E177" s="120"/>
      <c r="F177" s="155"/>
      <c r="G177" s="155"/>
      <c r="H177" s="120"/>
      <c r="I177" s="313"/>
      <c r="J177" s="313"/>
      <c r="K177" s="313"/>
      <c r="L177" s="313"/>
      <c r="M177" s="313"/>
      <c r="N177" s="313"/>
      <c r="O177" s="319"/>
      <c r="P177" s="318"/>
    </row>
    <row r="178" spans="2:16" x14ac:dyDescent="0.2">
      <c r="B178" s="323"/>
      <c r="C178" s="323"/>
      <c r="D178" s="120"/>
      <c r="E178" s="120"/>
      <c r="F178" s="155"/>
      <c r="G178" s="155"/>
      <c r="H178" s="120"/>
      <c r="I178" s="313"/>
      <c r="J178" s="313"/>
      <c r="K178" s="313"/>
      <c r="L178" s="313"/>
      <c r="M178" s="313"/>
      <c r="N178" s="313"/>
      <c r="O178" s="319"/>
      <c r="P178" s="318"/>
    </row>
    <row r="179" spans="2:16" x14ac:dyDescent="0.2">
      <c r="B179" s="323"/>
      <c r="C179" s="323"/>
      <c r="D179" s="120"/>
      <c r="E179" s="120"/>
      <c r="F179" s="155"/>
      <c r="G179" s="155"/>
      <c r="H179" s="120"/>
      <c r="I179" s="313"/>
      <c r="J179" s="313"/>
      <c r="K179" s="313"/>
      <c r="L179" s="313"/>
      <c r="M179" s="313"/>
      <c r="N179" s="313"/>
      <c r="O179" s="319"/>
      <c r="P179" s="318"/>
    </row>
    <row r="180" spans="2:16" x14ac:dyDescent="0.2">
      <c r="B180" s="323"/>
      <c r="C180" s="323"/>
      <c r="D180" s="120"/>
      <c r="E180" s="120"/>
      <c r="F180" s="155"/>
      <c r="G180" s="155"/>
      <c r="H180" s="120"/>
      <c r="I180" s="313"/>
      <c r="J180" s="313"/>
      <c r="K180" s="313"/>
      <c r="L180" s="313"/>
      <c r="M180" s="313"/>
      <c r="N180" s="313"/>
      <c r="O180" s="319"/>
      <c r="P180" s="318"/>
    </row>
    <row r="181" spans="2:16" x14ac:dyDescent="0.2">
      <c r="B181" s="323"/>
      <c r="C181" s="323"/>
      <c r="D181" s="120"/>
      <c r="E181" s="120"/>
      <c r="F181" s="155"/>
      <c r="G181" s="155"/>
      <c r="H181" s="120"/>
      <c r="I181" s="313"/>
      <c r="J181" s="313"/>
      <c r="K181" s="313"/>
      <c r="L181" s="313"/>
      <c r="M181" s="313"/>
      <c r="N181" s="313"/>
      <c r="O181" s="319"/>
      <c r="P181" s="318"/>
    </row>
    <row r="182" spans="2:16" x14ac:dyDescent="0.2">
      <c r="B182" s="323"/>
      <c r="C182" s="323"/>
      <c r="D182" s="120"/>
      <c r="E182" s="120"/>
      <c r="F182" s="155"/>
      <c r="G182" s="155"/>
      <c r="H182" s="120"/>
      <c r="I182" s="313"/>
      <c r="J182" s="313"/>
      <c r="K182" s="313"/>
      <c r="L182" s="313"/>
      <c r="M182" s="313"/>
      <c r="N182" s="313"/>
      <c r="O182" s="319"/>
      <c r="P182" s="318"/>
    </row>
    <row r="183" spans="2:16" x14ac:dyDescent="0.2">
      <c r="B183" s="323"/>
      <c r="C183" s="323"/>
      <c r="D183" s="120"/>
      <c r="E183" s="120"/>
      <c r="F183" s="155"/>
      <c r="G183" s="155"/>
      <c r="H183" s="120"/>
      <c r="I183" s="313"/>
      <c r="J183" s="313"/>
      <c r="K183" s="313"/>
      <c r="L183" s="313"/>
      <c r="M183" s="313"/>
      <c r="N183" s="313"/>
      <c r="O183" s="319"/>
      <c r="P183" s="318"/>
    </row>
    <row r="184" spans="2:16" x14ac:dyDescent="0.2">
      <c r="B184" s="323"/>
      <c r="C184" s="323"/>
      <c r="D184" s="120"/>
      <c r="E184" s="120"/>
      <c r="F184" s="155"/>
      <c r="G184" s="155"/>
      <c r="H184" s="120"/>
      <c r="I184" s="313"/>
      <c r="J184" s="313"/>
      <c r="K184" s="313"/>
      <c r="L184" s="313"/>
      <c r="M184" s="313"/>
      <c r="N184" s="313"/>
      <c r="O184" s="319"/>
      <c r="P184" s="318"/>
    </row>
    <row r="185" spans="2:16" x14ac:dyDescent="0.2">
      <c r="B185" s="323"/>
      <c r="C185" s="323"/>
      <c r="D185" s="120"/>
      <c r="E185" s="120"/>
      <c r="F185" s="155"/>
      <c r="G185" s="155"/>
      <c r="H185" s="120"/>
      <c r="I185" s="313"/>
      <c r="J185" s="313"/>
      <c r="K185" s="313"/>
      <c r="L185" s="313"/>
      <c r="M185" s="313"/>
      <c r="N185" s="313"/>
      <c r="O185" s="319"/>
      <c r="P185" s="318"/>
    </row>
    <row r="186" spans="2:16" x14ac:dyDescent="0.2">
      <c r="B186" s="323"/>
      <c r="C186" s="323"/>
      <c r="D186" s="120"/>
      <c r="E186" s="120"/>
      <c r="F186" s="155"/>
      <c r="G186" s="155"/>
      <c r="H186" s="120"/>
      <c r="I186" s="313"/>
      <c r="J186" s="313"/>
      <c r="K186" s="313"/>
      <c r="L186" s="313"/>
      <c r="M186" s="313"/>
      <c r="N186" s="313"/>
      <c r="O186" s="319"/>
      <c r="P186" s="318"/>
    </row>
    <row r="187" spans="2:16" x14ac:dyDescent="0.2">
      <c r="B187" s="323"/>
      <c r="C187" s="323"/>
      <c r="D187" s="120"/>
      <c r="E187" s="120"/>
      <c r="F187" s="155"/>
      <c r="G187" s="155"/>
      <c r="H187" s="120"/>
      <c r="I187" s="313"/>
      <c r="J187" s="313"/>
      <c r="K187" s="313"/>
      <c r="L187" s="313"/>
      <c r="M187" s="313"/>
      <c r="N187" s="313"/>
      <c r="O187" s="319"/>
      <c r="P187" s="318"/>
    </row>
    <row r="188" spans="2:16" x14ac:dyDescent="0.2">
      <c r="B188" s="323"/>
      <c r="C188" s="323"/>
      <c r="D188" s="120"/>
      <c r="E188" s="120"/>
      <c r="F188" s="155"/>
      <c r="G188" s="155"/>
      <c r="H188" s="120"/>
      <c r="I188" s="313"/>
      <c r="J188" s="313"/>
      <c r="K188" s="313"/>
      <c r="L188" s="313"/>
      <c r="M188" s="313"/>
      <c r="N188" s="313"/>
      <c r="O188" s="319"/>
      <c r="P188" s="318"/>
    </row>
    <row r="189" spans="2:16" x14ac:dyDescent="0.2">
      <c r="B189" s="323"/>
      <c r="C189" s="323"/>
      <c r="D189" s="120"/>
      <c r="E189" s="120"/>
      <c r="F189" s="155"/>
      <c r="G189" s="155"/>
      <c r="H189" s="120"/>
      <c r="I189" s="313"/>
      <c r="J189" s="313"/>
      <c r="K189" s="313"/>
      <c r="L189" s="313"/>
      <c r="M189" s="313"/>
      <c r="N189" s="313"/>
      <c r="O189" s="319"/>
      <c r="P189" s="318"/>
    </row>
    <row r="190" spans="2:16" x14ac:dyDescent="0.2">
      <c r="B190" s="323"/>
      <c r="C190" s="323"/>
      <c r="D190" s="120"/>
      <c r="E190" s="120"/>
      <c r="F190" s="155"/>
      <c r="G190" s="155"/>
      <c r="H190" s="120"/>
      <c r="I190" s="313"/>
      <c r="J190" s="313"/>
      <c r="K190" s="313"/>
      <c r="L190" s="313"/>
      <c r="M190" s="313"/>
      <c r="N190" s="313"/>
      <c r="O190" s="319"/>
      <c r="P190" s="318"/>
    </row>
    <row r="191" spans="2:16" x14ac:dyDescent="0.2">
      <c r="B191" s="323"/>
      <c r="C191" s="323"/>
      <c r="D191" s="120"/>
      <c r="E191" s="120"/>
      <c r="F191" s="155"/>
      <c r="G191" s="155"/>
      <c r="H191" s="120"/>
      <c r="I191" s="313"/>
      <c r="J191" s="313"/>
      <c r="K191" s="313"/>
      <c r="L191" s="313"/>
      <c r="M191" s="313"/>
      <c r="N191" s="313"/>
      <c r="O191" s="319"/>
      <c r="P191" s="318"/>
    </row>
    <row r="192" spans="2:16" x14ac:dyDescent="0.2">
      <c r="B192" s="323"/>
      <c r="C192" s="323"/>
      <c r="D192" s="120"/>
      <c r="E192" s="120"/>
      <c r="F192" s="155"/>
      <c r="G192" s="155"/>
      <c r="H192" s="120"/>
      <c r="I192" s="313"/>
      <c r="J192" s="313"/>
      <c r="K192" s="313"/>
      <c r="L192" s="313"/>
      <c r="M192" s="313"/>
      <c r="N192" s="313"/>
      <c r="O192" s="319"/>
      <c r="P192" s="318"/>
    </row>
    <row r="193" spans="2:16" x14ac:dyDescent="0.2">
      <c r="B193" s="323"/>
      <c r="C193" s="323"/>
      <c r="D193" s="120"/>
      <c r="E193" s="120"/>
      <c r="F193" s="155"/>
      <c r="G193" s="155"/>
      <c r="H193" s="120"/>
      <c r="I193" s="313"/>
      <c r="J193" s="313"/>
      <c r="K193" s="313"/>
      <c r="L193" s="313"/>
      <c r="M193" s="313"/>
      <c r="N193" s="313"/>
      <c r="O193" s="319"/>
      <c r="P193" s="318"/>
    </row>
    <row r="194" spans="2:16" x14ac:dyDescent="0.2">
      <c r="B194" s="323"/>
      <c r="C194" s="323"/>
      <c r="D194" s="120"/>
      <c r="E194" s="120"/>
      <c r="F194" s="155"/>
      <c r="G194" s="155"/>
      <c r="H194" s="120"/>
      <c r="I194" s="313"/>
      <c r="J194" s="313"/>
      <c r="K194" s="313"/>
      <c r="L194" s="313"/>
      <c r="M194" s="313"/>
      <c r="N194" s="313"/>
      <c r="O194" s="319"/>
      <c r="P194" s="318"/>
    </row>
    <row r="195" spans="2:16" x14ac:dyDescent="0.2">
      <c r="B195" s="323"/>
      <c r="C195" s="323"/>
      <c r="D195" s="120"/>
      <c r="E195" s="120"/>
      <c r="F195" s="155"/>
      <c r="G195" s="155"/>
      <c r="H195" s="120"/>
      <c r="I195" s="313"/>
      <c r="J195" s="313"/>
      <c r="K195" s="313"/>
      <c r="L195" s="313"/>
      <c r="M195" s="313"/>
      <c r="N195" s="313"/>
      <c r="O195" s="319"/>
      <c r="P195" s="318"/>
    </row>
    <row r="196" spans="2:16" x14ac:dyDescent="0.2">
      <c r="B196" s="323"/>
      <c r="C196" s="323"/>
      <c r="D196" s="120"/>
      <c r="E196" s="120"/>
      <c r="F196" s="155"/>
      <c r="G196" s="155"/>
      <c r="H196" s="120"/>
      <c r="I196" s="313"/>
      <c r="J196" s="313"/>
      <c r="K196" s="313"/>
      <c r="L196" s="313"/>
      <c r="M196" s="313"/>
      <c r="N196" s="313"/>
      <c r="O196" s="319"/>
      <c r="P196" s="318"/>
    </row>
    <row r="197" spans="2:16" x14ac:dyDescent="0.2">
      <c r="B197" s="323"/>
      <c r="C197" s="323"/>
      <c r="D197" s="120"/>
      <c r="E197" s="120"/>
      <c r="F197" s="155"/>
      <c r="G197" s="155"/>
      <c r="H197" s="120"/>
      <c r="I197" s="313"/>
      <c r="J197" s="313"/>
      <c r="K197" s="313"/>
      <c r="L197" s="313"/>
      <c r="M197" s="313"/>
      <c r="N197" s="313"/>
      <c r="O197" s="319"/>
      <c r="P197" s="318"/>
    </row>
    <row r="198" spans="2:16" x14ac:dyDescent="0.2">
      <c r="B198" s="323"/>
      <c r="C198" s="323"/>
      <c r="D198" s="120"/>
      <c r="E198" s="120"/>
      <c r="F198" s="155"/>
      <c r="G198" s="155"/>
      <c r="H198" s="120"/>
      <c r="I198" s="313"/>
      <c r="J198" s="313"/>
      <c r="K198" s="313"/>
      <c r="L198" s="313"/>
      <c r="M198" s="313"/>
      <c r="N198" s="313"/>
      <c r="O198" s="319"/>
      <c r="P198" s="318"/>
    </row>
    <row r="199" spans="2:16" x14ac:dyDescent="0.2">
      <c r="B199" s="323"/>
      <c r="C199" s="323"/>
      <c r="D199" s="120"/>
      <c r="E199" s="120"/>
      <c r="F199" s="155"/>
      <c r="G199" s="155"/>
      <c r="H199" s="120"/>
      <c r="I199" s="313"/>
      <c r="J199" s="313"/>
      <c r="K199" s="313"/>
      <c r="L199" s="313"/>
      <c r="M199" s="313"/>
      <c r="N199" s="313"/>
      <c r="O199" s="319"/>
      <c r="P199" s="318"/>
    </row>
    <row r="200" spans="2:16" x14ac:dyDescent="0.2">
      <c r="B200" s="323"/>
      <c r="C200" s="323"/>
      <c r="D200" s="120"/>
      <c r="E200" s="120"/>
      <c r="F200" s="155"/>
      <c r="G200" s="155"/>
      <c r="H200" s="120"/>
      <c r="I200" s="313"/>
      <c r="J200" s="313"/>
      <c r="K200" s="313"/>
      <c r="L200" s="313"/>
      <c r="M200" s="313"/>
      <c r="N200" s="313"/>
      <c r="O200" s="319"/>
      <c r="P200" s="318"/>
    </row>
    <row r="201" spans="2:16" x14ac:dyDescent="0.2">
      <c r="B201" s="323"/>
      <c r="C201" s="323"/>
      <c r="D201" s="120"/>
      <c r="E201" s="120"/>
      <c r="F201" s="155"/>
      <c r="G201" s="155"/>
      <c r="H201" s="120"/>
      <c r="I201" s="313"/>
      <c r="J201" s="313"/>
      <c r="K201" s="313"/>
      <c r="L201" s="313"/>
      <c r="M201" s="313"/>
      <c r="N201" s="313"/>
      <c r="O201" s="319"/>
      <c r="P201" s="318"/>
    </row>
    <row r="202" spans="2:16" x14ac:dyDescent="0.2">
      <c r="B202" s="323"/>
      <c r="C202" s="323"/>
      <c r="D202" s="120"/>
      <c r="E202" s="120"/>
      <c r="F202" s="155"/>
      <c r="G202" s="155"/>
      <c r="H202" s="120"/>
      <c r="I202" s="313"/>
      <c r="J202" s="313"/>
      <c r="K202" s="313"/>
      <c r="L202" s="313"/>
      <c r="M202" s="313"/>
      <c r="N202" s="313"/>
      <c r="O202" s="319"/>
      <c r="P202" s="318"/>
    </row>
    <row r="203" spans="2:16" x14ac:dyDescent="0.2">
      <c r="B203" s="323"/>
      <c r="C203" s="323"/>
      <c r="D203" s="120"/>
      <c r="E203" s="120"/>
      <c r="F203" s="155"/>
      <c r="G203" s="155"/>
      <c r="H203" s="120"/>
      <c r="I203" s="313"/>
      <c r="J203" s="313"/>
      <c r="K203" s="313"/>
      <c r="L203" s="313"/>
      <c r="M203" s="313"/>
      <c r="N203" s="313"/>
      <c r="O203" s="319"/>
      <c r="P203" s="318"/>
    </row>
    <row r="204" spans="2:16" x14ac:dyDescent="0.2">
      <c r="B204" s="323"/>
      <c r="C204" s="323"/>
      <c r="D204" s="120"/>
      <c r="E204" s="120"/>
      <c r="F204" s="155"/>
      <c r="G204" s="155"/>
      <c r="H204" s="120"/>
      <c r="I204" s="313"/>
      <c r="J204" s="313"/>
      <c r="K204" s="313"/>
      <c r="L204" s="313"/>
      <c r="M204" s="313"/>
      <c r="N204" s="313"/>
      <c r="O204" s="319"/>
      <c r="P204" s="318"/>
    </row>
    <row r="205" spans="2:16" x14ac:dyDescent="0.2">
      <c r="B205" s="323"/>
      <c r="C205" s="323"/>
      <c r="D205" s="120"/>
      <c r="E205" s="120"/>
      <c r="F205" s="155"/>
      <c r="G205" s="155"/>
      <c r="H205" s="120"/>
      <c r="I205" s="313"/>
      <c r="J205" s="313"/>
      <c r="K205" s="313"/>
      <c r="L205" s="313"/>
      <c r="M205" s="313"/>
      <c r="N205" s="313"/>
      <c r="O205" s="319"/>
      <c r="P205" s="318"/>
    </row>
    <row r="206" spans="2:16" x14ac:dyDescent="0.2">
      <c r="B206" s="323"/>
      <c r="C206" s="323"/>
      <c r="D206" s="120"/>
      <c r="E206" s="120"/>
      <c r="F206" s="155"/>
      <c r="G206" s="155"/>
      <c r="H206" s="120"/>
      <c r="I206" s="313"/>
      <c r="J206" s="313"/>
      <c r="K206" s="313"/>
      <c r="L206" s="313"/>
      <c r="M206" s="313"/>
      <c r="N206" s="313"/>
      <c r="O206" s="319"/>
      <c r="P206" s="318"/>
    </row>
    <row r="207" spans="2:16" x14ac:dyDescent="0.2">
      <c r="B207" s="323"/>
      <c r="C207" s="323"/>
      <c r="D207" s="120"/>
      <c r="E207" s="120"/>
      <c r="F207" s="155"/>
      <c r="G207" s="155"/>
      <c r="H207" s="120"/>
      <c r="I207" s="313"/>
      <c r="J207" s="313"/>
      <c r="K207" s="313"/>
      <c r="L207" s="313"/>
      <c r="M207" s="313"/>
      <c r="N207" s="313"/>
      <c r="O207" s="319"/>
      <c r="P207" s="318"/>
    </row>
    <row r="208" spans="2:16" x14ac:dyDescent="0.2">
      <c r="B208" s="323"/>
      <c r="C208" s="323"/>
      <c r="D208" s="120"/>
      <c r="E208" s="120"/>
      <c r="F208" s="155"/>
      <c r="G208" s="155"/>
      <c r="H208" s="120"/>
      <c r="I208" s="313"/>
      <c r="J208" s="313"/>
      <c r="K208" s="313"/>
      <c r="L208" s="313"/>
      <c r="M208" s="313"/>
      <c r="N208" s="313"/>
      <c r="O208" s="319"/>
      <c r="P208" s="318"/>
    </row>
    <row r="209" spans="2:16" x14ac:dyDescent="0.2">
      <c r="B209" s="323"/>
      <c r="C209" s="323"/>
      <c r="D209" s="120"/>
      <c r="E209" s="120"/>
      <c r="F209" s="155"/>
      <c r="G209" s="155"/>
      <c r="H209" s="120"/>
      <c r="I209" s="313"/>
      <c r="J209" s="313"/>
      <c r="K209" s="313"/>
      <c r="L209" s="313"/>
      <c r="M209" s="313"/>
      <c r="N209" s="313"/>
      <c r="O209" s="319"/>
      <c r="P209" s="318"/>
    </row>
    <row r="210" spans="2:16" x14ac:dyDescent="0.2">
      <c r="B210" s="323"/>
      <c r="C210" s="323"/>
      <c r="D210" s="120"/>
      <c r="E210" s="120"/>
      <c r="F210" s="155"/>
      <c r="G210" s="155"/>
      <c r="H210" s="120"/>
      <c r="I210" s="313"/>
      <c r="J210" s="313"/>
      <c r="K210" s="313"/>
      <c r="L210" s="313"/>
      <c r="M210" s="313"/>
      <c r="N210" s="313"/>
      <c r="O210" s="319"/>
      <c r="P210" s="318"/>
    </row>
    <row r="211" spans="2:16" x14ac:dyDescent="0.2">
      <c r="B211" s="323"/>
      <c r="C211" s="323"/>
      <c r="D211" s="120"/>
      <c r="E211" s="120"/>
      <c r="F211" s="155"/>
      <c r="G211" s="155"/>
      <c r="H211" s="120"/>
      <c r="I211" s="313"/>
      <c r="J211" s="313"/>
      <c r="K211" s="313"/>
      <c r="L211" s="313"/>
      <c r="M211" s="313"/>
      <c r="N211" s="313"/>
      <c r="O211" s="319"/>
      <c r="P211" s="318"/>
    </row>
    <row r="212" spans="2:16" x14ac:dyDescent="0.2">
      <c r="B212" s="323"/>
      <c r="C212" s="323"/>
      <c r="D212" s="120"/>
      <c r="E212" s="120"/>
      <c r="F212" s="155"/>
      <c r="G212" s="155"/>
      <c r="H212" s="120"/>
      <c r="I212" s="313"/>
      <c r="J212" s="313"/>
      <c r="K212" s="313"/>
      <c r="L212" s="313"/>
      <c r="M212" s="313"/>
      <c r="N212" s="313"/>
      <c r="O212" s="319"/>
      <c r="P212" s="318"/>
    </row>
    <row r="213" spans="2:16" x14ac:dyDescent="0.2">
      <c r="B213" s="323"/>
      <c r="C213" s="323"/>
      <c r="D213" s="120"/>
      <c r="E213" s="120"/>
      <c r="F213" s="155"/>
      <c r="G213" s="155"/>
      <c r="H213" s="120"/>
      <c r="I213" s="313"/>
      <c r="J213" s="313"/>
      <c r="K213" s="313"/>
      <c r="L213" s="313"/>
      <c r="M213" s="313"/>
      <c r="N213" s="313"/>
      <c r="O213" s="319"/>
      <c r="P213" s="318"/>
    </row>
    <row r="214" spans="2:16" x14ac:dyDescent="0.2">
      <c r="B214" s="323"/>
      <c r="C214" s="323"/>
      <c r="D214" s="120"/>
      <c r="E214" s="120"/>
      <c r="F214" s="155"/>
      <c r="G214" s="155"/>
      <c r="H214" s="120"/>
      <c r="I214" s="313"/>
      <c r="J214" s="313"/>
      <c r="K214" s="313"/>
      <c r="L214" s="313"/>
      <c r="M214" s="313"/>
      <c r="N214" s="313"/>
      <c r="O214" s="319"/>
      <c r="P214" s="318"/>
    </row>
    <row r="215" spans="2:16" x14ac:dyDescent="0.2">
      <c r="B215" s="323"/>
      <c r="C215" s="323"/>
      <c r="D215" s="120"/>
      <c r="E215" s="120"/>
      <c r="F215" s="155"/>
      <c r="G215" s="155"/>
      <c r="H215" s="120"/>
      <c r="I215" s="313"/>
      <c r="J215" s="313"/>
      <c r="K215" s="313"/>
      <c r="L215" s="313"/>
      <c r="M215" s="313"/>
      <c r="N215" s="313"/>
      <c r="O215" s="319"/>
      <c r="P215" s="318"/>
    </row>
    <row r="216" spans="2:16" x14ac:dyDescent="0.2">
      <c r="B216" s="323"/>
      <c r="C216" s="323"/>
      <c r="D216" s="120"/>
      <c r="E216" s="120"/>
      <c r="F216" s="155"/>
      <c r="G216" s="155"/>
      <c r="H216" s="120"/>
      <c r="I216" s="313"/>
      <c r="J216" s="313"/>
      <c r="K216" s="313"/>
      <c r="L216" s="313"/>
      <c r="M216" s="313"/>
      <c r="N216" s="313"/>
      <c r="O216" s="319"/>
      <c r="P216" s="318"/>
    </row>
    <row r="217" spans="2:16" x14ac:dyDescent="0.2">
      <c r="B217" s="323"/>
      <c r="C217" s="323"/>
      <c r="D217" s="120"/>
      <c r="E217" s="120"/>
      <c r="F217" s="155"/>
      <c r="G217" s="155"/>
      <c r="H217" s="120"/>
      <c r="I217" s="313"/>
      <c r="J217" s="313"/>
      <c r="K217" s="313"/>
      <c r="L217" s="313"/>
      <c r="M217" s="313"/>
      <c r="N217" s="313"/>
      <c r="O217" s="319"/>
      <c r="P217" s="318"/>
    </row>
    <row r="218" spans="2:16" x14ac:dyDescent="0.2">
      <c r="B218" s="323"/>
      <c r="C218" s="323"/>
      <c r="D218" s="120"/>
      <c r="E218" s="120"/>
      <c r="F218" s="155"/>
      <c r="G218" s="155"/>
      <c r="H218" s="120"/>
      <c r="I218" s="313"/>
      <c r="J218" s="313"/>
      <c r="K218" s="313"/>
      <c r="L218" s="313"/>
      <c r="M218" s="313"/>
      <c r="N218" s="313"/>
      <c r="O218" s="319"/>
      <c r="P218" s="318"/>
    </row>
    <row r="219" spans="2:16" x14ac:dyDescent="0.2">
      <c r="B219" s="323"/>
      <c r="C219" s="323"/>
      <c r="D219" s="120"/>
      <c r="E219" s="120"/>
      <c r="F219" s="155"/>
      <c r="G219" s="155"/>
      <c r="H219" s="120"/>
      <c r="I219" s="313"/>
      <c r="J219" s="313"/>
      <c r="K219" s="313"/>
      <c r="L219" s="313"/>
      <c r="M219" s="313"/>
      <c r="N219" s="313"/>
      <c r="O219" s="319"/>
      <c r="P219" s="318"/>
    </row>
    <row r="220" spans="2:16" x14ac:dyDescent="0.2">
      <c r="B220" s="323"/>
      <c r="C220" s="323"/>
      <c r="D220" s="120"/>
      <c r="E220" s="120"/>
      <c r="F220" s="155"/>
      <c r="G220" s="155"/>
      <c r="H220" s="120"/>
      <c r="I220" s="313"/>
      <c r="J220" s="313"/>
      <c r="K220" s="313"/>
      <c r="L220" s="313"/>
      <c r="M220" s="313"/>
      <c r="N220" s="313"/>
      <c r="O220" s="319"/>
      <c r="P220" s="318"/>
    </row>
    <row r="221" spans="2:16" x14ac:dyDescent="0.2">
      <c r="B221" s="323"/>
      <c r="C221" s="323"/>
      <c r="D221" s="120"/>
      <c r="E221" s="120"/>
      <c r="F221" s="155"/>
      <c r="G221" s="155"/>
      <c r="H221" s="120"/>
      <c r="I221" s="313"/>
      <c r="J221" s="313"/>
      <c r="K221" s="313"/>
      <c r="L221" s="313"/>
      <c r="M221" s="313"/>
      <c r="N221" s="313"/>
      <c r="O221" s="319"/>
      <c r="P221" s="318"/>
    </row>
    <row r="222" spans="2:16" x14ac:dyDescent="0.2">
      <c r="B222" s="323"/>
      <c r="C222" s="323"/>
      <c r="D222" s="120"/>
      <c r="E222" s="120"/>
      <c r="F222" s="155"/>
      <c r="G222" s="155"/>
      <c r="H222" s="120"/>
      <c r="I222" s="313"/>
      <c r="J222" s="313"/>
      <c r="K222" s="313"/>
      <c r="L222" s="313"/>
      <c r="M222" s="313"/>
      <c r="N222" s="313"/>
      <c r="O222" s="319"/>
      <c r="P222" s="318"/>
    </row>
    <row r="223" spans="2:16" x14ac:dyDescent="0.2">
      <c r="B223" s="323"/>
      <c r="C223" s="323"/>
      <c r="D223" s="120"/>
      <c r="E223" s="120"/>
      <c r="F223" s="155"/>
      <c r="G223" s="155"/>
      <c r="H223" s="120"/>
      <c r="I223" s="313"/>
      <c r="J223" s="313"/>
      <c r="K223" s="313"/>
      <c r="L223" s="313"/>
      <c r="M223" s="313"/>
      <c r="N223" s="313"/>
      <c r="O223" s="319"/>
      <c r="P223" s="318"/>
    </row>
    <row r="224" spans="2:16" x14ac:dyDescent="0.2">
      <c r="B224" s="323"/>
      <c r="C224" s="323"/>
      <c r="D224" s="120"/>
      <c r="E224" s="120"/>
      <c r="F224" s="155"/>
      <c r="G224" s="155"/>
      <c r="H224" s="120"/>
      <c r="I224" s="313"/>
      <c r="J224" s="313"/>
      <c r="K224" s="313"/>
      <c r="L224" s="313"/>
      <c r="M224" s="313"/>
      <c r="N224" s="313"/>
      <c r="O224" s="319"/>
      <c r="P224" s="318"/>
    </row>
    <row r="225" spans="2:16" x14ac:dyDescent="0.2">
      <c r="B225" s="323"/>
      <c r="C225" s="323"/>
      <c r="D225" s="120"/>
      <c r="E225" s="120"/>
      <c r="F225" s="155"/>
      <c r="G225" s="155"/>
      <c r="H225" s="120"/>
      <c r="I225" s="313"/>
      <c r="J225" s="313"/>
      <c r="K225" s="313"/>
      <c r="L225" s="313"/>
      <c r="M225" s="313"/>
      <c r="N225" s="313"/>
      <c r="O225" s="319"/>
      <c r="P225" s="318"/>
    </row>
    <row r="226" spans="2:16" x14ac:dyDescent="0.2">
      <c r="B226" s="323"/>
      <c r="C226" s="323"/>
      <c r="D226" s="120"/>
      <c r="E226" s="120"/>
      <c r="F226" s="155"/>
      <c r="G226" s="155"/>
      <c r="H226" s="120"/>
      <c r="I226" s="313"/>
      <c r="J226" s="313"/>
      <c r="K226" s="313"/>
      <c r="L226" s="313"/>
      <c r="M226" s="313"/>
      <c r="N226" s="313"/>
      <c r="O226" s="319"/>
      <c r="P226" s="318"/>
    </row>
    <row r="227" spans="2:16" x14ac:dyDescent="0.2">
      <c r="B227" s="323"/>
      <c r="C227" s="323"/>
      <c r="D227" s="120"/>
      <c r="E227" s="120"/>
      <c r="F227" s="155"/>
      <c r="G227" s="155"/>
      <c r="H227" s="120"/>
      <c r="I227" s="313"/>
      <c r="J227" s="313"/>
      <c r="K227" s="313"/>
      <c r="L227" s="313"/>
      <c r="M227" s="313"/>
      <c r="N227" s="313"/>
      <c r="O227" s="319"/>
      <c r="P227" s="318"/>
    </row>
    <row r="228" spans="2:16" x14ac:dyDescent="0.2">
      <c r="B228" s="323"/>
      <c r="C228" s="323"/>
      <c r="D228" s="120"/>
      <c r="E228" s="120"/>
      <c r="F228" s="155"/>
      <c r="G228" s="155"/>
      <c r="H228" s="120"/>
      <c r="I228" s="313"/>
      <c r="J228" s="313"/>
      <c r="K228" s="313"/>
      <c r="L228" s="313"/>
      <c r="M228" s="313"/>
      <c r="N228" s="313"/>
      <c r="O228" s="319"/>
      <c r="P228" s="318"/>
    </row>
    <row r="229" spans="2:16" x14ac:dyDescent="0.2">
      <c r="B229" s="323"/>
      <c r="C229" s="323"/>
      <c r="D229" s="120"/>
      <c r="E229" s="120"/>
      <c r="F229" s="155"/>
      <c r="G229" s="155"/>
      <c r="H229" s="120"/>
      <c r="I229" s="313"/>
      <c r="J229" s="313"/>
      <c r="K229" s="313"/>
      <c r="L229" s="313"/>
      <c r="M229" s="313"/>
      <c r="N229" s="313"/>
      <c r="O229" s="319"/>
      <c r="P229" s="318"/>
    </row>
    <row r="230" spans="2:16" x14ac:dyDescent="0.2">
      <c r="B230" s="323"/>
      <c r="C230" s="323"/>
      <c r="D230" s="120"/>
      <c r="E230" s="120"/>
      <c r="F230" s="155"/>
      <c r="G230" s="155"/>
      <c r="H230" s="120"/>
      <c r="I230" s="313"/>
      <c r="J230" s="313"/>
      <c r="K230" s="313"/>
      <c r="L230" s="313"/>
      <c r="M230" s="313"/>
      <c r="N230" s="313"/>
      <c r="O230" s="319"/>
      <c r="P230" s="318"/>
    </row>
    <row r="231" spans="2:16" x14ac:dyDescent="0.2">
      <c r="B231" s="323"/>
      <c r="C231" s="323"/>
      <c r="D231" s="120"/>
      <c r="E231" s="120"/>
      <c r="F231" s="155"/>
      <c r="G231" s="155"/>
      <c r="H231" s="120"/>
      <c r="I231" s="313"/>
      <c r="J231" s="313"/>
      <c r="K231" s="313"/>
      <c r="L231" s="313"/>
      <c r="M231" s="313"/>
      <c r="N231" s="313"/>
      <c r="O231" s="319"/>
      <c r="P231" s="318"/>
    </row>
    <row r="232" spans="2:16" x14ac:dyDescent="0.2">
      <c r="B232" s="323"/>
      <c r="C232" s="323"/>
      <c r="D232" s="120"/>
      <c r="E232" s="120"/>
      <c r="F232" s="155"/>
      <c r="G232" s="155"/>
      <c r="H232" s="120"/>
      <c r="I232" s="313"/>
      <c r="J232" s="313"/>
      <c r="K232" s="313"/>
      <c r="L232" s="313"/>
      <c r="M232" s="313"/>
      <c r="N232" s="313"/>
      <c r="O232" s="319"/>
      <c r="P232" s="318"/>
    </row>
    <row r="233" spans="2:16" x14ac:dyDescent="0.2">
      <c r="B233" s="323"/>
      <c r="C233" s="323"/>
      <c r="D233" s="120"/>
      <c r="E233" s="120"/>
      <c r="F233" s="155"/>
      <c r="G233" s="155"/>
      <c r="H233" s="120"/>
      <c r="I233" s="313"/>
      <c r="J233" s="313"/>
      <c r="K233" s="313"/>
      <c r="L233" s="313"/>
      <c r="M233" s="313"/>
      <c r="N233" s="313"/>
      <c r="O233" s="319"/>
      <c r="P233" s="318"/>
    </row>
    <row r="234" spans="2:16" x14ac:dyDescent="0.2">
      <c r="B234" s="323"/>
      <c r="C234" s="323"/>
      <c r="D234" s="120"/>
      <c r="E234" s="120"/>
      <c r="F234" s="155"/>
      <c r="G234" s="155"/>
      <c r="H234" s="120"/>
      <c r="I234" s="313"/>
      <c r="J234" s="313"/>
      <c r="K234" s="313"/>
      <c r="L234" s="313"/>
      <c r="M234" s="313"/>
      <c r="N234" s="313"/>
      <c r="O234" s="319"/>
      <c r="P234" s="318"/>
    </row>
    <row r="235" spans="2:16" x14ac:dyDescent="0.2">
      <c r="B235" s="323"/>
      <c r="C235" s="323"/>
      <c r="D235" s="120"/>
      <c r="E235" s="120"/>
      <c r="F235" s="155"/>
      <c r="G235" s="155"/>
      <c r="H235" s="120"/>
      <c r="I235" s="313"/>
      <c r="J235" s="313"/>
      <c r="K235" s="313"/>
      <c r="L235" s="313"/>
      <c r="M235" s="313"/>
      <c r="N235" s="313"/>
      <c r="O235" s="319"/>
      <c r="P235" s="318"/>
    </row>
    <row r="236" spans="2:16" x14ac:dyDescent="0.2">
      <c r="B236" s="323"/>
      <c r="C236" s="323"/>
      <c r="D236" s="120"/>
      <c r="E236" s="120"/>
      <c r="F236" s="155"/>
      <c r="G236" s="155"/>
      <c r="H236" s="120"/>
      <c r="I236" s="313"/>
      <c r="J236" s="313"/>
      <c r="K236" s="313"/>
      <c r="L236" s="313"/>
      <c r="M236" s="313"/>
      <c r="N236" s="313"/>
      <c r="O236" s="319"/>
      <c r="P236" s="318"/>
    </row>
    <row r="237" spans="2:16" x14ac:dyDescent="0.2">
      <c r="B237" s="323"/>
      <c r="C237" s="323"/>
      <c r="D237" s="120"/>
      <c r="E237" s="120"/>
      <c r="F237" s="155"/>
      <c r="G237" s="155"/>
      <c r="H237" s="120"/>
      <c r="I237" s="313"/>
      <c r="J237" s="313"/>
      <c r="K237" s="313"/>
      <c r="L237" s="313"/>
      <c r="M237" s="313"/>
      <c r="N237" s="313"/>
      <c r="O237" s="319"/>
      <c r="P237" s="318"/>
    </row>
    <row r="238" spans="2:16" x14ac:dyDescent="0.2">
      <c r="B238" s="323"/>
      <c r="C238" s="323"/>
      <c r="D238" s="120"/>
      <c r="E238" s="120"/>
      <c r="F238" s="155"/>
      <c r="G238" s="155"/>
      <c r="H238" s="120"/>
      <c r="I238" s="313"/>
      <c r="J238" s="313"/>
      <c r="K238" s="313"/>
      <c r="L238" s="313"/>
      <c r="M238" s="313"/>
      <c r="N238" s="313"/>
      <c r="O238" s="319"/>
      <c r="P238" s="318"/>
    </row>
    <row r="239" spans="2:16" x14ac:dyDescent="0.2">
      <c r="B239" s="323"/>
      <c r="C239" s="323"/>
      <c r="D239" s="120"/>
      <c r="E239" s="120"/>
      <c r="F239" s="155"/>
      <c r="G239" s="155"/>
      <c r="H239" s="120"/>
      <c r="I239" s="313"/>
      <c r="J239" s="313"/>
      <c r="K239" s="313"/>
      <c r="L239" s="313"/>
      <c r="M239" s="313"/>
      <c r="N239" s="313"/>
      <c r="O239" s="319"/>
      <c r="P239" s="318"/>
    </row>
    <row r="240" spans="2:16" x14ac:dyDescent="0.2">
      <c r="B240" s="323"/>
      <c r="C240" s="323"/>
      <c r="D240" s="120"/>
      <c r="E240" s="120"/>
      <c r="F240" s="155"/>
      <c r="G240" s="155"/>
      <c r="H240" s="120"/>
      <c r="I240" s="313"/>
      <c r="J240" s="313"/>
      <c r="K240" s="313"/>
      <c r="L240" s="313"/>
      <c r="M240" s="313"/>
      <c r="N240" s="313"/>
      <c r="O240" s="319"/>
      <c r="P240" s="318"/>
    </row>
    <row r="241" spans="2:16" x14ac:dyDescent="0.2">
      <c r="B241" s="323"/>
      <c r="C241" s="323"/>
      <c r="D241" s="120"/>
      <c r="E241" s="120"/>
      <c r="F241" s="155"/>
      <c r="G241" s="155"/>
      <c r="H241" s="120"/>
      <c r="I241" s="313"/>
      <c r="J241" s="313"/>
      <c r="K241" s="313"/>
      <c r="L241" s="313"/>
      <c r="M241" s="313"/>
      <c r="N241" s="313"/>
      <c r="O241" s="319"/>
      <c r="P241" s="318"/>
    </row>
    <row r="242" spans="2:16" x14ac:dyDescent="0.2">
      <c r="B242" s="323"/>
      <c r="C242" s="323"/>
      <c r="D242" s="120"/>
      <c r="E242" s="120"/>
      <c r="F242" s="155"/>
      <c r="G242" s="155"/>
      <c r="H242" s="120"/>
      <c r="I242" s="313"/>
      <c r="J242" s="313"/>
      <c r="K242" s="313"/>
      <c r="L242" s="313"/>
      <c r="M242" s="313"/>
      <c r="N242" s="313"/>
      <c r="O242" s="319"/>
      <c r="P242" s="318"/>
    </row>
    <row r="243" spans="2:16" x14ac:dyDescent="0.2">
      <c r="B243" s="323"/>
      <c r="C243" s="323"/>
      <c r="D243" s="120"/>
      <c r="E243" s="120"/>
      <c r="F243" s="155"/>
      <c r="G243" s="155"/>
      <c r="H243" s="120"/>
      <c r="I243" s="313"/>
      <c r="J243" s="313"/>
      <c r="K243" s="313"/>
      <c r="L243" s="313"/>
      <c r="M243" s="313"/>
      <c r="N243" s="313"/>
      <c r="O243" s="319"/>
      <c r="P243" s="318"/>
    </row>
    <row r="244" spans="2:16" x14ac:dyDescent="0.2">
      <c r="B244" s="323"/>
      <c r="C244" s="323"/>
      <c r="D244" s="120"/>
      <c r="E244" s="120"/>
      <c r="F244" s="155"/>
      <c r="G244" s="155"/>
      <c r="H244" s="120"/>
      <c r="I244" s="313"/>
      <c r="J244" s="313"/>
      <c r="K244" s="313"/>
      <c r="L244" s="313"/>
      <c r="M244" s="313"/>
      <c r="N244" s="313"/>
      <c r="O244" s="319"/>
      <c r="P244" s="318"/>
    </row>
    <row r="245" spans="2:16" x14ac:dyDescent="0.2">
      <c r="B245" s="323"/>
      <c r="C245" s="323"/>
      <c r="D245" s="120"/>
      <c r="E245" s="120"/>
      <c r="F245" s="155"/>
      <c r="G245" s="155"/>
      <c r="H245" s="120"/>
      <c r="I245" s="313"/>
      <c r="J245" s="313"/>
      <c r="K245" s="313"/>
      <c r="L245" s="313"/>
      <c r="M245" s="313"/>
      <c r="N245" s="313"/>
      <c r="O245" s="319"/>
      <c r="P245" s="318"/>
    </row>
    <row r="246" spans="2:16" x14ac:dyDescent="0.2">
      <c r="B246" s="323"/>
      <c r="C246" s="323"/>
      <c r="D246" s="120"/>
      <c r="E246" s="120"/>
      <c r="F246" s="155"/>
      <c r="G246" s="155"/>
      <c r="H246" s="120"/>
      <c r="I246" s="313"/>
      <c r="J246" s="313"/>
      <c r="K246" s="313"/>
      <c r="L246" s="313"/>
      <c r="M246" s="313"/>
      <c r="N246" s="313"/>
      <c r="O246" s="319"/>
      <c r="P246" s="318"/>
    </row>
  </sheetData>
  <mergeCells count="13">
    <mergeCell ref="B134:P134"/>
    <mergeCell ref="B71:O71"/>
    <mergeCell ref="B9:O9"/>
    <mergeCell ref="B10:O10"/>
    <mergeCell ref="B41:O41"/>
    <mergeCell ref="B99:P99"/>
    <mergeCell ref="B101:P101"/>
    <mergeCell ref="B102:P102"/>
    <mergeCell ref="B103:P103"/>
    <mergeCell ref="B131:P131"/>
    <mergeCell ref="B132:P132"/>
    <mergeCell ref="B133:P133"/>
    <mergeCell ref="B100:P100"/>
  </mergeCells>
  <phoneticPr fontId="10" type="noConversion"/>
  <printOptions horizontalCentered="1"/>
  <pageMargins left="0.25" right="0.28999999999999998" top="0.7" bottom="0.24" header="0.77" footer="0.2"/>
  <pageSetup scale="70" orientation="landscape" r:id="rId1"/>
  <headerFooter alignWithMargins="0">
    <oddHeader>&amp;RSchedule II-H-4.1
Page &amp;P of &amp;N</oddHeader>
    <oddFooter>&amp;LPrepared by Regulated Pricing and Analysis</oddFooter>
  </headerFooter>
  <rowBreaks count="4" manualBreakCount="4">
    <brk id="38" max="16383" man="1"/>
    <brk id="68" max="16383" man="1"/>
    <brk id="98" max="16383" man="1"/>
    <brk id="130" max="16383" man="1"/>
  </rowBreaks>
  <colBreaks count="1" manualBreakCount="1">
    <brk id="1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N160"/>
  <sheetViews>
    <sheetView view="pageLayout" zoomScaleNormal="100" workbookViewId="0">
      <selection activeCell="B7" sqref="B7"/>
    </sheetView>
  </sheetViews>
  <sheetFormatPr defaultColWidth="9.140625" defaultRowHeight="12.75" x14ac:dyDescent="0.2"/>
  <cols>
    <col min="1" max="1" width="4.28515625" style="107" bestFit="1" customWidth="1"/>
    <col min="2" max="2" width="32.5703125" style="119" customWidth="1"/>
    <col min="3" max="3" width="7.42578125" style="119" bestFit="1" customWidth="1"/>
    <col min="4" max="4" width="10.85546875" style="120" customWidth="1"/>
    <col min="5" max="5" width="11.7109375" style="120" customWidth="1"/>
    <col min="6" max="7" width="11.7109375" style="155" customWidth="1"/>
    <col min="8" max="8" width="11.7109375" style="120" customWidth="1"/>
    <col min="9" max="14" width="11.7109375" style="313" customWidth="1"/>
    <col min="15" max="15" width="10.42578125" style="319" customWidth="1"/>
    <col min="16" max="16" width="12.28515625" style="318" bestFit="1" customWidth="1"/>
    <col min="17" max="17" width="9.28515625" style="126" bestFit="1" customWidth="1"/>
    <col min="18" max="18" width="25.42578125" style="126" customWidth="1"/>
    <col min="19" max="19" width="6.85546875" style="126" customWidth="1"/>
    <col min="20" max="20" width="8.28515625" style="126" customWidth="1"/>
    <col min="21" max="32" width="10.85546875" style="126" customWidth="1"/>
    <col min="33" max="33" width="11.85546875" style="126" customWidth="1"/>
    <col min="34" max="34" width="13.7109375" style="126" customWidth="1"/>
    <col min="35" max="16384" width="9.140625" style="126"/>
  </cols>
  <sheetData>
    <row r="1" spans="1:144" ht="13.5" thickBot="1" x14ac:dyDescent="0.25"/>
    <row r="2" spans="1:144" x14ac:dyDescent="0.2">
      <c r="B2" s="376" t="s">
        <v>142</v>
      </c>
    </row>
    <row r="3" spans="1:144" x14ac:dyDescent="0.2">
      <c r="B3" s="377" t="s">
        <v>143</v>
      </c>
    </row>
    <row r="4" spans="1:144" x14ac:dyDescent="0.2">
      <c r="B4" s="378" t="s">
        <v>186</v>
      </c>
    </row>
    <row r="5" spans="1:144" x14ac:dyDescent="0.2">
      <c r="B5" s="378" t="s">
        <v>145</v>
      </c>
    </row>
    <row r="6" spans="1:144" ht="13.5" thickBot="1" x14ac:dyDescent="0.25">
      <c r="B6" s="379" t="s">
        <v>188</v>
      </c>
    </row>
    <row r="8" spans="1:144" x14ac:dyDescent="0.2">
      <c r="B8" s="306" t="str">
        <f>'II-H-1.2'!B7:O7</f>
        <v>AEP TEXAS</v>
      </c>
      <c r="C8" s="331"/>
      <c r="D8" s="332"/>
      <c r="E8" s="332"/>
      <c r="F8" s="333"/>
      <c r="G8" s="333"/>
      <c r="H8" s="332"/>
      <c r="I8" s="334"/>
      <c r="J8" s="334"/>
      <c r="K8" s="334"/>
      <c r="L8" s="334"/>
      <c r="M8" s="334"/>
      <c r="N8" s="334"/>
      <c r="O8" s="335"/>
      <c r="P8" s="308"/>
    </row>
    <row r="9" spans="1:144" x14ac:dyDescent="0.2">
      <c r="B9" s="388" t="s">
        <v>53</v>
      </c>
      <c r="C9" s="388"/>
      <c r="D9" s="388"/>
      <c r="E9" s="388"/>
      <c r="F9" s="388"/>
      <c r="G9" s="388"/>
      <c r="H9" s="388"/>
      <c r="I9" s="388"/>
      <c r="J9" s="388"/>
      <c r="K9" s="388"/>
      <c r="L9" s="388"/>
      <c r="M9" s="388"/>
      <c r="N9" s="388"/>
      <c r="O9" s="388"/>
      <c r="P9" s="107" t="s">
        <v>1</v>
      </c>
    </row>
    <row r="10" spans="1:144" x14ac:dyDescent="0.2">
      <c r="B10" s="388" t="str">
        <f>'II-H-1.2'!B9:O9</f>
        <v>FOR TEST YEAR ENDED DECEMBER 31, 2018</v>
      </c>
      <c r="C10" s="388"/>
      <c r="D10" s="388"/>
      <c r="E10" s="388"/>
      <c r="F10" s="388"/>
      <c r="G10" s="388"/>
      <c r="H10" s="388"/>
      <c r="I10" s="388"/>
      <c r="J10" s="388"/>
      <c r="K10" s="388"/>
      <c r="L10" s="388"/>
      <c r="M10" s="388"/>
      <c r="N10" s="388"/>
      <c r="O10" s="388"/>
      <c r="P10" s="107" t="s">
        <v>1</v>
      </c>
    </row>
    <row r="12" spans="1:144" x14ac:dyDescent="0.2">
      <c r="B12" s="243"/>
      <c r="C12" s="168"/>
      <c r="D12" s="287"/>
      <c r="E12" s="177"/>
      <c r="F12" s="177"/>
      <c r="G12" s="287"/>
      <c r="H12" s="177"/>
      <c r="I12" s="177"/>
      <c r="K12" s="177"/>
      <c r="L12" s="177"/>
      <c r="M12" s="177"/>
      <c r="N12" s="177"/>
      <c r="O12" s="177"/>
      <c r="P12" s="178"/>
    </row>
    <row r="13" spans="1:144" s="136" customFormat="1" x14ac:dyDescent="0.2">
      <c r="A13" s="328" t="s">
        <v>20</v>
      </c>
      <c r="B13" s="330" t="s">
        <v>0</v>
      </c>
      <c r="C13" s="330" t="s">
        <v>19</v>
      </c>
      <c r="D13" s="164" t="s">
        <v>2</v>
      </c>
      <c r="E13" s="164" t="s">
        <v>3</v>
      </c>
      <c r="F13" s="164" t="s">
        <v>4</v>
      </c>
      <c r="G13" s="164" t="s">
        <v>5</v>
      </c>
      <c r="H13" s="164" t="s">
        <v>6</v>
      </c>
      <c r="I13" s="164" t="s">
        <v>7</v>
      </c>
      <c r="J13" s="164" t="s">
        <v>8</v>
      </c>
      <c r="K13" s="164" t="s">
        <v>9</v>
      </c>
      <c r="L13" s="164" t="s">
        <v>10</v>
      </c>
      <c r="M13" s="164" t="s">
        <v>11</v>
      </c>
      <c r="N13" s="164" t="s">
        <v>12</v>
      </c>
      <c r="O13" s="164" t="s">
        <v>13</v>
      </c>
      <c r="P13" s="179" t="s">
        <v>14</v>
      </c>
      <c r="Q13" s="33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</row>
    <row r="14" spans="1:144" s="136" customFormat="1" x14ac:dyDescent="0.2">
      <c r="A14" s="143"/>
      <c r="B14" s="330"/>
      <c r="C14" s="330"/>
      <c r="D14" s="337"/>
      <c r="E14" s="337"/>
      <c r="F14" s="338"/>
      <c r="G14" s="338"/>
      <c r="H14" s="337"/>
      <c r="I14" s="339"/>
      <c r="J14" s="339"/>
      <c r="K14" s="339"/>
      <c r="L14" s="339"/>
      <c r="M14" s="339"/>
      <c r="N14" s="339"/>
      <c r="O14" s="340"/>
      <c r="P14" s="317"/>
      <c r="Q14" s="33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</row>
    <row r="15" spans="1:144" s="129" customFormat="1" ht="11.25" x14ac:dyDescent="0.2">
      <c r="A15" s="141" t="s">
        <v>21</v>
      </c>
      <c r="B15" s="129" t="s">
        <v>29</v>
      </c>
      <c r="C15" s="143" t="s">
        <v>16</v>
      </c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7"/>
      <c r="BR15" s="117"/>
      <c r="BS15" s="117"/>
      <c r="BT15" s="117"/>
      <c r="BU15" s="117"/>
      <c r="BV15" s="117"/>
      <c r="BW15" s="117"/>
      <c r="BX15" s="117"/>
      <c r="BY15" s="117"/>
      <c r="BZ15" s="117"/>
      <c r="CA15" s="117"/>
      <c r="CB15" s="117"/>
      <c r="CC15" s="117"/>
      <c r="CD15" s="117"/>
      <c r="CE15" s="117"/>
      <c r="CF15" s="117"/>
      <c r="CG15" s="117"/>
      <c r="CH15" s="117"/>
      <c r="CI15" s="117"/>
      <c r="CJ15" s="117"/>
      <c r="CK15" s="117"/>
      <c r="CL15" s="117"/>
      <c r="CM15" s="117"/>
      <c r="CN15" s="117"/>
      <c r="CO15" s="117"/>
      <c r="CP15" s="117"/>
      <c r="CQ15" s="117"/>
      <c r="CR15" s="117"/>
      <c r="CS15" s="117"/>
      <c r="CT15" s="117"/>
      <c r="CU15" s="117"/>
      <c r="CV15" s="117"/>
      <c r="CW15" s="117"/>
      <c r="CX15" s="117"/>
      <c r="CY15" s="117"/>
      <c r="CZ15" s="117"/>
      <c r="DA15" s="117"/>
      <c r="DB15" s="117"/>
      <c r="DC15" s="117"/>
      <c r="DD15" s="117"/>
      <c r="DE15" s="117"/>
      <c r="DF15" s="117"/>
      <c r="DG15" s="117"/>
      <c r="DH15" s="117"/>
      <c r="DI15" s="117"/>
      <c r="DJ15" s="117"/>
      <c r="DK15" s="117"/>
      <c r="DL15" s="117"/>
      <c r="DM15" s="117"/>
      <c r="DN15" s="117"/>
      <c r="DO15" s="117"/>
      <c r="DP15" s="117"/>
      <c r="DQ15" s="117"/>
      <c r="DR15" s="117"/>
      <c r="DS15" s="117"/>
      <c r="DT15" s="117"/>
      <c r="DU15" s="117"/>
      <c r="DV15" s="117"/>
      <c r="DW15" s="117"/>
      <c r="DX15" s="117"/>
      <c r="DY15" s="117"/>
      <c r="DZ15" s="117"/>
      <c r="EA15" s="117"/>
      <c r="EB15" s="117"/>
      <c r="EC15" s="117"/>
      <c r="ED15" s="117"/>
      <c r="EE15" s="117"/>
      <c r="EF15" s="117"/>
      <c r="EG15" s="117"/>
      <c r="EH15" s="117"/>
      <c r="EI15" s="117"/>
      <c r="EJ15" s="117"/>
      <c r="EK15" s="117"/>
      <c r="EL15" s="117"/>
      <c r="EM15" s="117"/>
      <c r="EN15" s="117"/>
    </row>
    <row r="16" spans="1:144" s="129" customFormat="1" ht="11.25" x14ac:dyDescent="0.2">
      <c r="C16" s="143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56"/>
      <c r="O16" s="156"/>
      <c r="P16" s="12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  <c r="BY16" s="117"/>
      <c r="BZ16" s="117"/>
      <c r="CA16" s="117"/>
      <c r="CB16" s="117"/>
      <c r="CC16" s="117"/>
      <c r="CD16" s="117"/>
      <c r="CE16" s="117"/>
      <c r="CF16" s="117"/>
      <c r="CG16" s="117"/>
      <c r="CH16" s="117"/>
      <c r="CI16" s="117"/>
      <c r="CJ16" s="117"/>
      <c r="CK16" s="117"/>
      <c r="CL16" s="117"/>
      <c r="CM16" s="117"/>
      <c r="CN16" s="117"/>
      <c r="CO16" s="117"/>
      <c r="CP16" s="117"/>
      <c r="CQ16" s="117"/>
      <c r="CR16" s="117"/>
      <c r="CS16" s="117"/>
      <c r="CT16" s="117"/>
      <c r="CU16" s="117"/>
      <c r="CV16" s="117"/>
      <c r="CW16" s="117"/>
      <c r="CX16" s="117"/>
      <c r="CY16" s="117"/>
      <c r="CZ16" s="117"/>
      <c r="DA16" s="117"/>
      <c r="DB16" s="117"/>
      <c r="DC16" s="117"/>
      <c r="DD16" s="117"/>
      <c r="DE16" s="117"/>
      <c r="DF16" s="117"/>
      <c r="DG16" s="117"/>
      <c r="DH16" s="117"/>
      <c r="DI16" s="117"/>
      <c r="DJ16" s="117"/>
      <c r="DK16" s="117"/>
      <c r="DL16" s="117"/>
      <c r="DM16" s="117"/>
      <c r="DN16" s="117"/>
      <c r="DO16" s="117"/>
      <c r="DP16" s="117"/>
      <c r="DQ16" s="117"/>
      <c r="DR16" s="117"/>
      <c r="DS16" s="117"/>
      <c r="DT16" s="117"/>
      <c r="DU16" s="117"/>
      <c r="DV16" s="117"/>
      <c r="DW16" s="117"/>
      <c r="DX16" s="117"/>
      <c r="DY16" s="117"/>
      <c r="DZ16" s="117"/>
      <c r="EA16" s="117"/>
      <c r="EB16" s="117"/>
      <c r="EC16" s="117"/>
      <c r="ED16" s="117"/>
      <c r="EE16" s="117"/>
      <c r="EF16" s="117"/>
      <c r="EG16" s="117"/>
      <c r="EH16" s="117"/>
      <c r="EI16" s="117"/>
      <c r="EJ16" s="117"/>
      <c r="EK16" s="117"/>
      <c r="EL16" s="117"/>
      <c r="EM16" s="117"/>
      <c r="EN16" s="117"/>
    </row>
    <row r="17" spans="1:144" s="129" customFormat="1" ht="11.25" x14ac:dyDescent="0.2">
      <c r="A17" s="141">
        <v>2</v>
      </c>
      <c r="B17" s="129" t="s">
        <v>32</v>
      </c>
      <c r="C17" s="143" t="s">
        <v>16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A17" s="117"/>
      <c r="CB17" s="117"/>
      <c r="CC17" s="117"/>
      <c r="CD17" s="117"/>
      <c r="CE17" s="117"/>
      <c r="CF17" s="117"/>
      <c r="CG17" s="117"/>
      <c r="CH17" s="117"/>
      <c r="CI17" s="117"/>
      <c r="CJ17" s="117"/>
      <c r="CK17" s="117"/>
      <c r="CL17" s="117"/>
      <c r="CM17" s="117"/>
      <c r="CN17" s="117"/>
      <c r="CO17" s="117"/>
      <c r="CP17" s="117"/>
      <c r="CQ17" s="117"/>
      <c r="CR17" s="117"/>
      <c r="CS17" s="117"/>
      <c r="CT17" s="117"/>
      <c r="CU17" s="117"/>
      <c r="CV17" s="117"/>
      <c r="CW17" s="117"/>
      <c r="CX17" s="117"/>
      <c r="CY17" s="117"/>
      <c r="CZ17" s="117"/>
      <c r="DA17" s="117"/>
      <c r="DB17" s="117"/>
      <c r="DC17" s="117"/>
      <c r="DD17" s="117"/>
      <c r="DE17" s="117"/>
      <c r="DF17" s="117"/>
      <c r="DG17" s="117"/>
      <c r="DH17" s="117"/>
      <c r="DI17" s="117"/>
      <c r="DJ17" s="117"/>
      <c r="DK17" s="117"/>
      <c r="DL17" s="117"/>
      <c r="DM17" s="117"/>
      <c r="DN17" s="117"/>
      <c r="DO17" s="117"/>
      <c r="DP17" s="117"/>
      <c r="DQ17" s="117"/>
      <c r="DR17" s="117"/>
      <c r="DS17" s="117"/>
      <c r="DT17" s="117"/>
      <c r="DU17" s="117"/>
      <c r="DV17" s="117"/>
      <c r="DW17" s="117"/>
      <c r="DX17" s="117"/>
      <c r="DY17" s="117"/>
      <c r="DZ17" s="117"/>
      <c r="EA17" s="117"/>
      <c r="EB17" s="117"/>
      <c r="EC17" s="117"/>
      <c r="ED17" s="117"/>
      <c r="EE17" s="117"/>
      <c r="EF17" s="117"/>
      <c r="EG17" s="117"/>
      <c r="EH17" s="117"/>
      <c r="EI17" s="117"/>
      <c r="EJ17" s="117"/>
      <c r="EK17" s="117"/>
      <c r="EL17" s="117"/>
      <c r="EM17" s="117"/>
      <c r="EN17" s="117"/>
    </row>
    <row r="18" spans="1:144" s="129" customFormat="1" ht="11.25" x14ac:dyDescent="0.2">
      <c r="A18" s="141"/>
      <c r="C18" s="143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7"/>
      <c r="Q18" s="148" t="s">
        <v>97</v>
      </c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117"/>
      <c r="BT18" s="117"/>
      <c r="BU18" s="117"/>
      <c r="BV18" s="117"/>
      <c r="BW18" s="117"/>
      <c r="BX18" s="117"/>
      <c r="BY18" s="117"/>
      <c r="BZ18" s="117"/>
      <c r="CA18" s="117"/>
      <c r="CB18" s="117"/>
      <c r="CC18" s="117"/>
      <c r="CD18" s="117"/>
      <c r="CE18" s="117"/>
      <c r="CF18" s="117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/>
      <c r="CS18" s="117"/>
      <c r="CT18" s="117"/>
      <c r="CU18" s="117"/>
      <c r="CV18" s="117"/>
      <c r="CW18" s="117"/>
      <c r="CX18" s="117"/>
      <c r="CY18" s="117"/>
      <c r="CZ18" s="117"/>
      <c r="DA18" s="117"/>
      <c r="DB18" s="117"/>
      <c r="DC18" s="117"/>
      <c r="DD18" s="117"/>
      <c r="DE18" s="117"/>
      <c r="DF18" s="117"/>
      <c r="DG18" s="117"/>
      <c r="DH18" s="117"/>
      <c r="DI18" s="117"/>
      <c r="DJ18" s="117"/>
      <c r="DK18" s="117"/>
      <c r="DL18" s="117"/>
      <c r="DM18" s="117"/>
      <c r="DN18" s="117"/>
      <c r="DO18" s="117"/>
      <c r="DP18" s="117"/>
      <c r="DQ18" s="117"/>
      <c r="DR18" s="117"/>
      <c r="DS18" s="117"/>
      <c r="DT18" s="117"/>
      <c r="DU18" s="117"/>
      <c r="DV18" s="117"/>
      <c r="DW18" s="117"/>
      <c r="DX18" s="117"/>
      <c r="DY18" s="117"/>
      <c r="DZ18" s="117"/>
      <c r="EA18" s="117"/>
      <c r="EB18" s="117"/>
      <c r="EC18" s="117"/>
      <c r="ED18" s="117"/>
      <c r="EE18" s="117"/>
      <c r="EF18" s="117"/>
      <c r="EG18" s="117"/>
      <c r="EH18" s="117"/>
      <c r="EI18" s="117"/>
      <c r="EJ18" s="117"/>
      <c r="EK18" s="117"/>
      <c r="EL18" s="117"/>
      <c r="EM18" s="117"/>
      <c r="EN18" s="117"/>
    </row>
    <row r="19" spans="1:144" s="129" customFormat="1" ht="11.25" x14ac:dyDescent="0.2">
      <c r="A19" s="141">
        <v>3</v>
      </c>
      <c r="B19" s="146" t="s">
        <v>113</v>
      </c>
      <c r="C19" s="125" t="s">
        <v>16</v>
      </c>
      <c r="D19" s="142">
        <f>+'[4]II-H-1.6 Tran'!D12+'[5]II-H-1.6 Tran'!D12</f>
        <v>2536920.2999999998</v>
      </c>
      <c r="E19" s="142">
        <f>+'[4]II-H-1.6 Tran'!E12+'[5]II-H-1.6 Tran'!E12</f>
        <v>2486843.1</v>
      </c>
      <c r="F19" s="142">
        <f>+'[4]II-H-1.6 Tran'!F12+'[5]II-H-1.6 Tran'!F12</f>
        <v>2338364.2999999998</v>
      </c>
      <c r="G19" s="142">
        <f>+'[4]II-H-1.6 Tran'!G12+'[5]II-H-1.6 Tran'!G12</f>
        <v>2260370.1</v>
      </c>
      <c r="H19" s="142">
        <f>+'[4]II-H-1.6 Tran'!H12+'[5]II-H-1.6 Tran'!H12</f>
        <v>2330821.6</v>
      </c>
      <c r="I19" s="142">
        <f>+'[4]II-H-1.6 Tran'!I12+'[5]II-H-1.6 Tran'!I12</f>
        <v>2483015.6</v>
      </c>
      <c r="J19" s="142">
        <f>+'[4]II-H-1.6 Tran'!J12+'[5]II-H-1.6 Tran'!J12</f>
        <v>2449704.7000000002</v>
      </c>
      <c r="K19" s="142">
        <f>+'[4]II-H-1.6 Tran'!K12+'[5]II-H-1.6 Tran'!K12</f>
        <v>2484158.7999999998</v>
      </c>
      <c r="L19" s="142">
        <f>+'[4]II-H-1.6 Tran'!L12+'[5]II-H-1.6 Tran'!L12</f>
        <v>2510621.2000000002</v>
      </c>
      <c r="M19" s="142">
        <f>+'[4]II-H-1.6 Tran'!M12+'[5]II-H-1.6 Tran'!M12</f>
        <v>2402834.6</v>
      </c>
      <c r="N19" s="142">
        <f>+'[4]II-H-1.6 Tran'!N12+'[5]II-H-1.6 Tran'!N12</f>
        <v>2380127.7000000002</v>
      </c>
      <c r="O19" s="142">
        <f>+'[4]II-H-1.6 Tran'!O12+'[5]II-H-1.6 Tran'!O12</f>
        <v>2380118.4</v>
      </c>
      <c r="P19" s="127">
        <f>SUM(D19:O19)</f>
        <v>29043900.399999999</v>
      </c>
      <c r="Q19" s="341">
        <f>'II-H-4.1 Functions'!H19/'II-H-4.1 Tran kW'!P19</f>
        <v>1.2636446095235887</v>
      </c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117"/>
      <c r="BT19" s="117"/>
      <c r="BU19" s="117"/>
      <c r="BV19" s="117"/>
      <c r="BW19" s="117"/>
      <c r="BX19" s="117"/>
      <c r="BY19" s="117"/>
      <c r="BZ19" s="117"/>
      <c r="CA19" s="117"/>
      <c r="CB19" s="117"/>
      <c r="CC19" s="117"/>
      <c r="CD19" s="117"/>
      <c r="CE19" s="117"/>
      <c r="CF19" s="117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/>
      <c r="CR19" s="117"/>
      <c r="CS19" s="117"/>
      <c r="CT19" s="117"/>
      <c r="CU19" s="117"/>
      <c r="CV19" s="117"/>
      <c r="CW19" s="117"/>
      <c r="CX19" s="117"/>
      <c r="CY19" s="117"/>
      <c r="CZ19" s="117"/>
      <c r="DA19" s="117"/>
      <c r="DB19" s="117"/>
      <c r="DC19" s="117"/>
      <c r="DD19" s="117"/>
      <c r="DE19" s="117"/>
      <c r="DF19" s="117"/>
      <c r="DG19" s="117"/>
      <c r="DH19" s="117"/>
      <c r="DI19" s="117"/>
      <c r="DJ19" s="117"/>
      <c r="DK19" s="117"/>
      <c r="DL19" s="117"/>
      <c r="DM19" s="117"/>
      <c r="DN19" s="117"/>
      <c r="DO19" s="117"/>
      <c r="DP19" s="117"/>
      <c r="DQ19" s="117"/>
      <c r="DR19" s="117"/>
      <c r="DS19" s="117"/>
      <c r="DT19" s="117"/>
      <c r="DU19" s="117"/>
      <c r="DV19" s="117"/>
      <c r="DW19" s="117"/>
      <c r="DX19" s="117"/>
      <c r="DY19" s="117"/>
      <c r="DZ19" s="117"/>
      <c r="EA19" s="117"/>
      <c r="EB19" s="117"/>
      <c r="EC19" s="117"/>
      <c r="ED19" s="117"/>
      <c r="EE19" s="117"/>
      <c r="EF19" s="117"/>
      <c r="EG19" s="117"/>
      <c r="EH19" s="117"/>
      <c r="EI19" s="117"/>
      <c r="EJ19" s="117"/>
      <c r="EK19" s="117"/>
      <c r="EL19" s="117"/>
      <c r="EM19" s="117"/>
      <c r="EN19" s="117"/>
    </row>
    <row r="20" spans="1:144" s="129" customFormat="1" ht="11.25" x14ac:dyDescent="0.2">
      <c r="A20" s="141">
        <v>4</v>
      </c>
      <c r="B20" s="146" t="s">
        <v>114</v>
      </c>
      <c r="C20" s="125" t="s">
        <v>16</v>
      </c>
      <c r="D20" s="123">
        <f>+'[4]II-H-1.6 Tran'!D13+'[5]II-H-1.6 Tran'!D13</f>
        <v>192667.2</v>
      </c>
      <c r="E20" s="123">
        <f>+'[4]II-H-1.6 Tran'!E13+'[5]II-H-1.6 Tran'!E13</f>
        <v>188386.6</v>
      </c>
      <c r="F20" s="123">
        <f>+'[4]II-H-1.6 Tran'!F13+'[5]II-H-1.6 Tran'!F13</f>
        <v>191665</v>
      </c>
      <c r="G20" s="123">
        <f>+'[4]II-H-1.6 Tran'!G13+'[5]II-H-1.6 Tran'!G13</f>
        <v>187445.8</v>
      </c>
      <c r="H20" s="123">
        <f>+'[4]II-H-1.6 Tran'!H13+'[5]II-H-1.6 Tran'!H13</f>
        <v>191674.59999999998</v>
      </c>
      <c r="I20" s="123">
        <f>+'[4]II-H-1.6 Tran'!I13+'[5]II-H-1.6 Tran'!I13</f>
        <v>185912.6</v>
      </c>
      <c r="J20" s="123">
        <f>+'[4]II-H-1.6 Tran'!J13+'[5]II-H-1.6 Tran'!J13</f>
        <v>192497.6</v>
      </c>
      <c r="K20" s="123">
        <f>+'[4]II-H-1.6 Tran'!K13+'[5]II-H-1.6 Tran'!K13</f>
        <v>185292.59999999998</v>
      </c>
      <c r="L20" s="123">
        <f>+'[4]II-H-1.6 Tran'!L13+'[5]II-H-1.6 Tran'!L13</f>
        <v>186292.59999999998</v>
      </c>
      <c r="M20" s="123">
        <f>+'[4]II-H-1.6 Tran'!M13+'[5]II-H-1.6 Tran'!M13</f>
        <v>184178.9</v>
      </c>
      <c r="N20" s="123">
        <f>+'[4]II-H-1.6 Tran'!N13+'[5]II-H-1.6 Tran'!N13</f>
        <v>189310.6</v>
      </c>
      <c r="O20" s="123">
        <f>+'[4]II-H-1.6 Tran'!O13+'[5]II-H-1.6 Tran'!O13</f>
        <v>186247.9</v>
      </c>
      <c r="P20" s="167">
        <f>SUM(D20:O20)</f>
        <v>2261572</v>
      </c>
      <c r="Q20" s="341">
        <f>'II-H-4.1 Functions'!H20/'II-H-4.1 Tran kW'!P20</f>
        <v>1.8278644500374075</v>
      </c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17"/>
      <c r="BS20" s="117"/>
      <c r="BT20" s="117"/>
      <c r="BU20" s="117"/>
      <c r="BV20" s="117"/>
      <c r="BW20" s="117"/>
      <c r="BX20" s="117"/>
      <c r="BY20" s="117"/>
      <c r="BZ20" s="117"/>
      <c r="CA20" s="117"/>
      <c r="CB20" s="117"/>
      <c r="CC20" s="117"/>
      <c r="CD20" s="117"/>
      <c r="CE20" s="117"/>
      <c r="CF20" s="117"/>
      <c r="CG20" s="117"/>
      <c r="CH20" s="117"/>
      <c r="CI20" s="117"/>
      <c r="CJ20" s="117"/>
      <c r="CK20" s="117"/>
      <c r="CL20" s="117"/>
      <c r="CM20" s="117"/>
      <c r="CN20" s="117"/>
      <c r="CO20" s="117"/>
      <c r="CP20" s="117"/>
      <c r="CQ20" s="117"/>
      <c r="CR20" s="117"/>
      <c r="CS20" s="117"/>
      <c r="CT20" s="117"/>
      <c r="CU20" s="117"/>
      <c r="CV20" s="117"/>
      <c r="CW20" s="117"/>
      <c r="CX20" s="117"/>
      <c r="CY20" s="117"/>
      <c r="CZ20" s="117"/>
      <c r="DA20" s="117"/>
      <c r="DB20" s="117"/>
      <c r="DC20" s="117"/>
      <c r="DD20" s="117"/>
      <c r="DE20" s="117"/>
      <c r="DF20" s="117"/>
      <c r="DG20" s="117"/>
      <c r="DH20" s="117"/>
      <c r="DI20" s="117"/>
      <c r="DJ20" s="117"/>
      <c r="DK20" s="117"/>
      <c r="DL20" s="117"/>
      <c r="DM20" s="117"/>
      <c r="DN20" s="117"/>
      <c r="DO20" s="117"/>
      <c r="DP20" s="117"/>
      <c r="DQ20" s="117"/>
      <c r="DR20" s="117"/>
      <c r="DS20" s="117"/>
      <c r="DT20" s="117"/>
      <c r="DU20" s="117"/>
      <c r="DV20" s="117"/>
      <c r="DW20" s="117"/>
      <c r="DX20" s="117"/>
      <c r="DY20" s="117"/>
      <c r="DZ20" s="117"/>
      <c r="EA20" s="117"/>
      <c r="EB20" s="117"/>
      <c r="EC20" s="117"/>
      <c r="ED20" s="117"/>
      <c r="EE20" s="117"/>
      <c r="EF20" s="117"/>
      <c r="EG20" s="117"/>
      <c r="EH20" s="117"/>
      <c r="EI20" s="117"/>
      <c r="EJ20" s="117"/>
      <c r="EK20" s="117"/>
      <c r="EL20" s="117"/>
      <c r="EM20" s="117"/>
      <c r="EN20" s="117"/>
    </row>
    <row r="21" spans="1:144" s="129" customFormat="1" ht="11.25" x14ac:dyDescent="0.2">
      <c r="A21" s="141">
        <v>5</v>
      </c>
      <c r="B21" s="162" t="s">
        <v>30</v>
      </c>
      <c r="C21" s="143"/>
      <c r="D21" s="157">
        <f>SUM(D19:D20)</f>
        <v>2729587.5</v>
      </c>
      <c r="E21" s="157">
        <f t="shared" ref="E21:O21" si="0">SUM(E19:E20)</f>
        <v>2675229.7000000002</v>
      </c>
      <c r="F21" s="157">
        <f t="shared" si="0"/>
        <v>2530029.2999999998</v>
      </c>
      <c r="G21" s="157">
        <f t="shared" si="0"/>
        <v>2447815.9</v>
      </c>
      <c r="H21" s="157">
        <f t="shared" si="0"/>
        <v>2522496.2000000002</v>
      </c>
      <c r="I21" s="157">
        <f t="shared" si="0"/>
        <v>2668928.2000000002</v>
      </c>
      <c r="J21" s="157">
        <f t="shared" si="0"/>
        <v>2642202.3000000003</v>
      </c>
      <c r="K21" s="157">
        <f t="shared" si="0"/>
        <v>2669451.4</v>
      </c>
      <c r="L21" s="157">
        <f t="shared" si="0"/>
        <v>2696913.8000000003</v>
      </c>
      <c r="M21" s="157">
        <f t="shared" si="0"/>
        <v>2587013.5</v>
      </c>
      <c r="N21" s="157">
        <f t="shared" si="0"/>
        <v>2569438.3000000003</v>
      </c>
      <c r="O21" s="157">
        <f t="shared" si="0"/>
        <v>2566366.2999999998</v>
      </c>
      <c r="P21" s="157">
        <f>SUM(P19:P20)</f>
        <v>31305472.399999999</v>
      </c>
      <c r="Q21" s="341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117"/>
      <c r="BS21" s="117"/>
      <c r="BT21" s="117"/>
      <c r="BU21" s="117"/>
      <c r="BV21" s="117"/>
      <c r="BW21" s="117"/>
      <c r="BX21" s="117"/>
      <c r="BY21" s="117"/>
      <c r="BZ21" s="117"/>
      <c r="CA21" s="117"/>
      <c r="CB21" s="117"/>
      <c r="CC21" s="117"/>
      <c r="CD21" s="117"/>
      <c r="CE21" s="117"/>
      <c r="CF21" s="117"/>
      <c r="CG21" s="117"/>
      <c r="CH21" s="117"/>
      <c r="CI21" s="117"/>
      <c r="CJ21" s="117"/>
      <c r="CK21" s="117"/>
      <c r="CL21" s="117"/>
      <c r="CM21" s="117"/>
      <c r="CN21" s="117"/>
      <c r="CO21" s="117"/>
      <c r="CP21" s="117"/>
      <c r="CQ21" s="117"/>
      <c r="CR21" s="117"/>
      <c r="CS21" s="117"/>
      <c r="CT21" s="117"/>
      <c r="CU21" s="117"/>
      <c r="CV21" s="117"/>
      <c r="CW21" s="117"/>
      <c r="CX21" s="117"/>
      <c r="CY21" s="117"/>
      <c r="CZ21" s="117"/>
      <c r="DA21" s="117"/>
      <c r="DB21" s="117"/>
      <c r="DC21" s="117"/>
      <c r="DD21" s="117"/>
      <c r="DE21" s="117"/>
      <c r="DF21" s="117"/>
      <c r="DG21" s="117"/>
      <c r="DH21" s="117"/>
      <c r="DI21" s="117"/>
      <c r="DJ21" s="117"/>
      <c r="DK21" s="117"/>
      <c r="DL21" s="117"/>
      <c r="DM21" s="117"/>
      <c r="DN21" s="117"/>
      <c r="DO21" s="117"/>
      <c r="DP21" s="117"/>
      <c r="DQ21" s="117"/>
      <c r="DR21" s="117"/>
      <c r="DS21" s="117"/>
      <c r="DT21" s="117"/>
      <c r="DU21" s="117"/>
      <c r="DV21" s="117"/>
      <c r="DW21" s="117"/>
      <c r="DX21" s="117"/>
      <c r="DY21" s="117"/>
      <c r="DZ21" s="117"/>
      <c r="EA21" s="117"/>
      <c r="EB21" s="117"/>
      <c r="EC21" s="117"/>
      <c r="ED21" s="117"/>
      <c r="EE21" s="117"/>
      <c r="EF21" s="117"/>
      <c r="EG21" s="117"/>
      <c r="EH21" s="117"/>
      <c r="EI21" s="117"/>
      <c r="EJ21" s="117"/>
      <c r="EK21" s="117"/>
      <c r="EL21" s="117"/>
      <c r="EM21" s="117"/>
      <c r="EN21" s="117"/>
    </row>
    <row r="22" spans="1:144" s="129" customFormat="1" ht="11.25" x14ac:dyDescent="0.2">
      <c r="B22" s="242"/>
      <c r="C22" s="143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27"/>
      <c r="Q22" s="341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/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7"/>
      <c r="CA22" s="117"/>
      <c r="CB22" s="117"/>
      <c r="CC22" s="117"/>
      <c r="CD22" s="117"/>
      <c r="CE22" s="117"/>
      <c r="CF22" s="117"/>
      <c r="CG22" s="117"/>
      <c r="CH22" s="117"/>
      <c r="CI22" s="117"/>
      <c r="CJ22" s="117"/>
      <c r="CK22" s="117"/>
      <c r="CL22" s="117"/>
      <c r="CM22" s="117"/>
      <c r="CN22" s="117"/>
      <c r="CO22" s="117"/>
      <c r="CP22" s="117"/>
      <c r="CQ22" s="117"/>
      <c r="CR22" s="117"/>
      <c r="CS22" s="117"/>
      <c r="CT22" s="117"/>
      <c r="CU22" s="117"/>
      <c r="CV22" s="117"/>
      <c r="CW22" s="117"/>
      <c r="CX22" s="117"/>
      <c r="CY22" s="117"/>
      <c r="CZ22" s="117"/>
      <c r="DA22" s="117"/>
      <c r="DB22" s="117"/>
      <c r="DC22" s="117"/>
      <c r="DD22" s="117"/>
      <c r="DE22" s="117"/>
      <c r="DF22" s="117"/>
      <c r="DG22" s="117"/>
      <c r="DH22" s="117"/>
      <c r="DI22" s="117"/>
      <c r="DJ22" s="117"/>
      <c r="DK22" s="117"/>
      <c r="DL22" s="117"/>
      <c r="DM22" s="117"/>
      <c r="DN22" s="117"/>
      <c r="DO22" s="117"/>
      <c r="DP22" s="117"/>
      <c r="DQ22" s="117"/>
      <c r="DR22" s="117"/>
      <c r="DS22" s="117"/>
      <c r="DT22" s="117"/>
      <c r="DU22" s="117"/>
      <c r="DV22" s="117"/>
      <c r="DW22" s="117"/>
      <c r="DX22" s="117"/>
      <c r="DY22" s="117"/>
      <c r="DZ22" s="117"/>
      <c r="EA22" s="117"/>
      <c r="EB22" s="117"/>
      <c r="EC22" s="117"/>
      <c r="ED22" s="117"/>
      <c r="EE22" s="117"/>
      <c r="EF22" s="117"/>
      <c r="EG22" s="117"/>
      <c r="EH22" s="117"/>
      <c r="EI22" s="117"/>
      <c r="EJ22" s="117"/>
      <c r="EK22" s="117"/>
      <c r="EL22" s="117"/>
      <c r="EM22" s="117"/>
      <c r="EN22" s="117"/>
    </row>
    <row r="23" spans="1:144" s="129" customFormat="1" ht="11.25" x14ac:dyDescent="0.2">
      <c r="A23" s="141">
        <v>6</v>
      </c>
      <c r="B23" s="146" t="s">
        <v>110</v>
      </c>
      <c r="C23" s="125" t="s">
        <v>17</v>
      </c>
      <c r="D23" s="142">
        <f>+'[4]II-H-1.6 Tran'!D16+'[5]II-H-1.6 Tran'!D16</f>
        <v>55958.700000000004</v>
      </c>
      <c r="E23" s="142">
        <f>+'[4]II-H-1.6 Tran'!E16+'[5]II-H-1.6 Tran'!E16</f>
        <v>63885.4</v>
      </c>
      <c r="F23" s="142">
        <f>+'[4]II-H-1.6 Tran'!F16+'[5]II-H-1.6 Tran'!F16</f>
        <v>58063.1</v>
      </c>
      <c r="G23" s="142">
        <f>+'[4]II-H-1.6 Tran'!G16+'[5]II-H-1.6 Tran'!G16</f>
        <v>60147.600000000006</v>
      </c>
      <c r="H23" s="142">
        <f>+'[4]II-H-1.6 Tran'!H16+'[5]II-H-1.6 Tran'!H16</f>
        <v>67149.899999999994</v>
      </c>
      <c r="I23" s="142">
        <f>+'[4]II-H-1.6 Tran'!I16+'[5]II-H-1.6 Tran'!I16</f>
        <v>70338.600000000006</v>
      </c>
      <c r="J23" s="142">
        <f>+'[4]II-H-1.6 Tran'!J16+'[5]II-H-1.6 Tran'!J16</f>
        <v>66817.299999999988</v>
      </c>
      <c r="K23" s="142">
        <f>+'[4]II-H-1.6 Tran'!K16+'[5]II-H-1.6 Tran'!K16</f>
        <v>75430.600000000006</v>
      </c>
      <c r="L23" s="142">
        <f>+'[4]II-H-1.6 Tran'!L16+'[5]II-H-1.6 Tran'!L16</f>
        <v>64877.599999999999</v>
      </c>
      <c r="M23" s="142">
        <f>+'[4]II-H-1.6 Tran'!M16+'[5]II-H-1.6 Tran'!M16</f>
        <v>73389.899999999994</v>
      </c>
      <c r="N23" s="142">
        <f>+'[4]II-H-1.6 Tran'!N16+'[5]II-H-1.6 Tran'!N16</f>
        <v>77933.399999999994</v>
      </c>
      <c r="O23" s="142">
        <f>+'[4]II-H-1.6 Tran'!O16+'[5]II-H-1.6 Tran'!O16</f>
        <v>65045.7</v>
      </c>
      <c r="P23" s="127">
        <f>SUM(D23:O23)</f>
        <v>799037.8</v>
      </c>
      <c r="Q23" s="341">
        <f>'II-H-4.1 Functions'!H23/'II-H-4.1 Tran kW'!P23</f>
        <v>1.4113357215390812</v>
      </c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117"/>
      <c r="BS23" s="117"/>
      <c r="BT23" s="117"/>
      <c r="BU23" s="117"/>
      <c r="BV23" s="117"/>
      <c r="BW23" s="117"/>
      <c r="BX23" s="117"/>
      <c r="BY23" s="117"/>
      <c r="BZ23" s="117"/>
      <c r="CA23" s="117"/>
      <c r="CB23" s="117"/>
      <c r="CC23" s="117"/>
      <c r="CD23" s="117"/>
      <c r="CE23" s="117"/>
      <c r="CF23" s="117"/>
      <c r="CG23" s="117"/>
      <c r="CH23" s="117"/>
      <c r="CI23" s="117"/>
      <c r="CJ23" s="117"/>
      <c r="CK23" s="117"/>
      <c r="CL23" s="117"/>
      <c r="CM23" s="117"/>
      <c r="CN23" s="117"/>
      <c r="CO23" s="117"/>
      <c r="CP23" s="117"/>
      <c r="CQ23" s="117"/>
      <c r="CR23" s="117"/>
      <c r="CS23" s="117"/>
      <c r="CT23" s="117"/>
      <c r="CU23" s="117"/>
      <c r="CV23" s="117"/>
      <c r="CW23" s="117"/>
      <c r="CX23" s="117"/>
      <c r="CY23" s="117"/>
      <c r="CZ23" s="117"/>
      <c r="DA23" s="117"/>
      <c r="DB23" s="117"/>
      <c r="DC23" s="117"/>
      <c r="DD23" s="117"/>
      <c r="DE23" s="117"/>
      <c r="DF23" s="117"/>
      <c r="DG23" s="117"/>
      <c r="DH23" s="117"/>
      <c r="DI23" s="117"/>
      <c r="DJ23" s="117"/>
      <c r="DK23" s="117"/>
      <c r="DL23" s="117"/>
      <c r="DM23" s="117"/>
      <c r="DN23" s="117"/>
      <c r="DO23" s="117"/>
      <c r="DP23" s="117"/>
      <c r="DQ23" s="117"/>
      <c r="DR23" s="117"/>
      <c r="DS23" s="117"/>
      <c r="DT23" s="117"/>
      <c r="DU23" s="117"/>
      <c r="DV23" s="117"/>
      <c r="DW23" s="117"/>
      <c r="DX23" s="117"/>
      <c r="DY23" s="117"/>
      <c r="DZ23" s="117"/>
      <c r="EA23" s="117"/>
      <c r="EB23" s="117"/>
      <c r="EC23" s="117"/>
      <c r="ED23" s="117"/>
      <c r="EE23" s="117"/>
      <c r="EF23" s="117"/>
      <c r="EG23" s="117"/>
      <c r="EH23" s="117"/>
      <c r="EI23" s="117"/>
      <c r="EJ23" s="117"/>
      <c r="EK23" s="117"/>
      <c r="EL23" s="117"/>
      <c r="EM23" s="117"/>
      <c r="EN23" s="117"/>
    </row>
    <row r="24" spans="1:144" s="129" customFormat="1" ht="11.25" x14ac:dyDescent="0.2">
      <c r="A24" s="141">
        <v>7</v>
      </c>
      <c r="B24" s="146" t="s">
        <v>111</v>
      </c>
      <c r="C24" s="125" t="s">
        <v>17</v>
      </c>
      <c r="D24" s="123">
        <f>+'[4]II-H-1.6 Tran'!D17+'[5]II-H-1.6 Tran'!D17</f>
        <v>578426.4</v>
      </c>
      <c r="E24" s="123">
        <f>+'[4]II-H-1.6 Tran'!E17+'[5]II-H-1.6 Tran'!E17</f>
        <v>561116.80000000005</v>
      </c>
      <c r="F24" s="123">
        <f>+'[4]II-H-1.6 Tran'!F17+'[5]II-H-1.6 Tran'!F17</f>
        <v>556090.1</v>
      </c>
      <c r="G24" s="123">
        <f>+'[4]II-H-1.6 Tran'!G17+'[5]II-H-1.6 Tran'!G17</f>
        <v>536697.30000000005</v>
      </c>
      <c r="H24" s="123">
        <f>+'[4]II-H-1.6 Tran'!H17+'[5]II-H-1.6 Tran'!H17</f>
        <v>577907.30000000005</v>
      </c>
      <c r="I24" s="123">
        <f>+'[4]II-H-1.6 Tran'!I17+'[5]II-H-1.6 Tran'!I17</f>
        <v>571709.4</v>
      </c>
      <c r="J24" s="123">
        <f>+'[4]II-H-1.6 Tran'!J17+'[5]II-H-1.6 Tran'!J17</f>
        <v>558624.30000000005</v>
      </c>
      <c r="K24" s="123">
        <f>+'[4]II-H-1.6 Tran'!K17+'[5]II-H-1.6 Tran'!K17</f>
        <v>556119.1</v>
      </c>
      <c r="L24" s="123">
        <f>+'[4]II-H-1.6 Tran'!L17+'[5]II-H-1.6 Tran'!L17</f>
        <v>567747.69999999995</v>
      </c>
      <c r="M24" s="123">
        <f>+'[4]II-H-1.6 Tran'!M17+'[5]II-H-1.6 Tran'!M17</f>
        <v>547095.89999999991</v>
      </c>
      <c r="N24" s="123">
        <f>+'[4]II-H-1.6 Tran'!N17+'[5]II-H-1.6 Tran'!N17</f>
        <v>576482.19999999995</v>
      </c>
      <c r="O24" s="123">
        <f>+'[4]II-H-1.6 Tran'!O17+'[5]II-H-1.6 Tran'!O17</f>
        <v>546207.1</v>
      </c>
      <c r="P24" s="167">
        <f>SUM(D24:O24)</f>
        <v>6734223.6000000006</v>
      </c>
      <c r="Q24" s="341">
        <f>'II-H-4.1 Functions'!H24/'II-H-4.1 Tran kW'!P24</f>
        <v>1.9289390138456344</v>
      </c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  <c r="BU24" s="117"/>
      <c r="BV24" s="117"/>
      <c r="BW24" s="117"/>
      <c r="BX24" s="117"/>
      <c r="BY24" s="117"/>
      <c r="BZ24" s="117"/>
      <c r="CA24" s="117"/>
      <c r="CB24" s="117"/>
      <c r="CC24" s="117"/>
      <c r="CD24" s="117"/>
      <c r="CE24" s="117"/>
      <c r="CF24" s="117"/>
      <c r="CG24" s="117"/>
      <c r="CH24" s="117"/>
      <c r="CI24" s="117"/>
      <c r="CJ24" s="117"/>
      <c r="CK24" s="117"/>
      <c r="CL24" s="117"/>
      <c r="CM24" s="117"/>
      <c r="CN24" s="117"/>
      <c r="CO24" s="117"/>
      <c r="CP24" s="117"/>
      <c r="CQ24" s="117"/>
      <c r="CR24" s="117"/>
      <c r="CS24" s="117"/>
      <c r="CT24" s="117"/>
      <c r="CU24" s="117"/>
      <c r="CV24" s="117"/>
      <c r="CW24" s="117"/>
      <c r="CX24" s="117"/>
      <c r="CY24" s="117"/>
      <c r="CZ24" s="117"/>
      <c r="DA24" s="117"/>
      <c r="DB24" s="117"/>
      <c r="DC24" s="117"/>
      <c r="DD24" s="117"/>
      <c r="DE24" s="117"/>
      <c r="DF24" s="117"/>
      <c r="DG24" s="117"/>
      <c r="DH24" s="117"/>
      <c r="DI24" s="117"/>
      <c r="DJ24" s="117"/>
      <c r="DK24" s="117"/>
      <c r="DL24" s="117"/>
      <c r="DM24" s="117"/>
      <c r="DN24" s="117"/>
      <c r="DO24" s="117"/>
      <c r="DP24" s="117"/>
      <c r="DQ24" s="117"/>
      <c r="DR24" s="117"/>
      <c r="DS24" s="117"/>
      <c r="DT24" s="117"/>
      <c r="DU24" s="117"/>
      <c r="DV24" s="117"/>
      <c r="DW24" s="117"/>
      <c r="DX24" s="117"/>
      <c r="DY24" s="117"/>
      <c r="DZ24" s="117"/>
      <c r="EA24" s="117"/>
      <c r="EB24" s="117"/>
      <c r="EC24" s="117"/>
      <c r="ED24" s="117"/>
      <c r="EE24" s="117"/>
      <c r="EF24" s="117"/>
      <c r="EG24" s="117"/>
      <c r="EH24" s="117"/>
      <c r="EI24" s="117"/>
      <c r="EJ24" s="117"/>
      <c r="EK24" s="117"/>
      <c r="EL24" s="117"/>
      <c r="EM24" s="117"/>
      <c r="EN24" s="117"/>
    </row>
    <row r="25" spans="1:144" s="129" customFormat="1" ht="11.25" x14ac:dyDescent="0.2">
      <c r="A25" s="141">
        <v>8</v>
      </c>
      <c r="B25" s="129" t="s">
        <v>31</v>
      </c>
      <c r="C25" s="125"/>
      <c r="D25" s="122">
        <f>SUM(D23:D24)</f>
        <v>634385.1</v>
      </c>
      <c r="E25" s="122">
        <f t="shared" ref="E25:O25" si="1">SUM(E23:E24)</f>
        <v>625002.20000000007</v>
      </c>
      <c r="F25" s="122">
        <f t="shared" si="1"/>
        <v>614153.19999999995</v>
      </c>
      <c r="G25" s="122">
        <f t="shared" si="1"/>
        <v>596844.9</v>
      </c>
      <c r="H25" s="122">
        <f t="shared" si="1"/>
        <v>645057.20000000007</v>
      </c>
      <c r="I25" s="122">
        <f t="shared" si="1"/>
        <v>642048</v>
      </c>
      <c r="J25" s="122">
        <f t="shared" si="1"/>
        <v>625441.60000000009</v>
      </c>
      <c r="K25" s="122">
        <f t="shared" si="1"/>
        <v>631549.69999999995</v>
      </c>
      <c r="L25" s="122">
        <f t="shared" si="1"/>
        <v>632625.29999999993</v>
      </c>
      <c r="M25" s="122">
        <f t="shared" si="1"/>
        <v>620485.79999999993</v>
      </c>
      <c r="N25" s="122">
        <f t="shared" si="1"/>
        <v>654415.6</v>
      </c>
      <c r="O25" s="122">
        <f t="shared" si="1"/>
        <v>611252.79999999993</v>
      </c>
      <c r="P25" s="122">
        <f>SUM(P23:P24)</f>
        <v>7533261.4000000004</v>
      </c>
      <c r="Q25" s="341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17"/>
      <c r="BS25" s="117"/>
      <c r="BT25" s="117"/>
      <c r="BU25" s="117"/>
      <c r="BV25" s="117"/>
      <c r="BW25" s="117"/>
      <c r="BX25" s="117"/>
      <c r="BY25" s="117"/>
      <c r="BZ25" s="117"/>
      <c r="CA25" s="117"/>
      <c r="CB25" s="117"/>
      <c r="CC25" s="117"/>
      <c r="CD25" s="117"/>
      <c r="CE25" s="117"/>
      <c r="CF25" s="117"/>
      <c r="CG25" s="117"/>
      <c r="CH25" s="117"/>
      <c r="CI25" s="117"/>
      <c r="CJ25" s="117"/>
      <c r="CK25" s="117"/>
      <c r="CL25" s="117"/>
      <c r="CM25" s="117"/>
      <c r="CN25" s="117"/>
      <c r="CO25" s="117"/>
      <c r="CP25" s="117"/>
      <c r="CQ25" s="117"/>
      <c r="CR25" s="117"/>
      <c r="CS25" s="117"/>
      <c r="CT25" s="117"/>
      <c r="CU25" s="117"/>
      <c r="CV25" s="117"/>
      <c r="CW25" s="117"/>
      <c r="CX25" s="117"/>
      <c r="CY25" s="117"/>
      <c r="CZ25" s="117"/>
      <c r="DA25" s="117"/>
      <c r="DB25" s="117"/>
      <c r="DC25" s="117"/>
      <c r="DD25" s="117"/>
      <c r="DE25" s="117"/>
      <c r="DF25" s="117"/>
      <c r="DG25" s="117"/>
      <c r="DH25" s="117"/>
      <c r="DI25" s="117"/>
      <c r="DJ25" s="117"/>
      <c r="DK25" s="117"/>
      <c r="DL25" s="117"/>
      <c r="DM25" s="117"/>
      <c r="DN25" s="117"/>
      <c r="DO25" s="117"/>
      <c r="DP25" s="117"/>
      <c r="DQ25" s="117"/>
      <c r="DR25" s="117"/>
      <c r="DS25" s="117"/>
      <c r="DT25" s="117"/>
      <c r="DU25" s="117"/>
      <c r="DV25" s="117"/>
      <c r="DW25" s="117"/>
      <c r="DX25" s="117"/>
      <c r="DY25" s="117"/>
      <c r="DZ25" s="117"/>
      <c r="EA25" s="117"/>
      <c r="EB25" s="117"/>
      <c r="EC25" s="117"/>
      <c r="ED25" s="117"/>
      <c r="EE25" s="117"/>
      <c r="EF25" s="117"/>
      <c r="EG25" s="117"/>
      <c r="EH25" s="117"/>
      <c r="EI25" s="117"/>
      <c r="EJ25" s="117"/>
      <c r="EK25" s="117"/>
      <c r="EL25" s="117"/>
      <c r="EM25" s="117"/>
      <c r="EN25" s="117"/>
    </row>
    <row r="26" spans="1:144" s="129" customFormat="1" ht="11.25" x14ac:dyDescent="0.2">
      <c r="A26" s="141"/>
      <c r="C26" s="125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7"/>
      <c r="Q26" s="341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  <c r="BH26" s="117"/>
      <c r="BI26" s="117"/>
      <c r="BJ26" s="117"/>
      <c r="BK26" s="117"/>
      <c r="BL26" s="117"/>
      <c r="BM26" s="117"/>
      <c r="BN26" s="117"/>
      <c r="BO26" s="117"/>
      <c r="BP26" s="117"/>
      <c r="BQ26" s="117"/>
      <c r="BR26" s="117"/>
      <c r="BS26" s="117"/>
      <c r="BT26" s="117"/>
      <c r="BU26" s="117"/>
      <c r="BV26" s="117"/>
      <c r="BW26" s="117"/>
      <c r="BX26" s="117"/>
      <c r="BY26" s="117"/>
      <c r="BZ26" s="117"/>
      <c r="CA26" s="117"/>
      <c r="CB26" s="117"/>
      <c r="CC26" s="117"/>
      <c r="CD26" s="117"/>
      <c r="CE26" s="117"/>
      <c r="CF26" s="117"/>
      <c r="CG26" s="117"/>
      <c r="CH26" s="117"/>
      <c r="CI26" s="117"/>
      <c r="CJ26" s="117"/>
      <c r="CK26" s="117"/>
      <c r="CL26" s="117"/>
      <c r="CM26" s="117"/>
      <c r="CN26" s="117"/>
      <c r="CO26" s="117"/>
      <c r="CP26" s="117"/>
      <c r="CQ26" s="117"/>
      <c r="CR26" s="117"/>
      <c r="CS26" s="117"/>
      <c r="CT26" s="117"/>
      <c r="CU26" s="117"/>
      <c r="CV26" s="117"/>
      <c r="CW26" s="117"/>
      <c r="CX26" s="117"/>
      <c r="CY26" s="117"/>
      <c r="CZ26" s="117"/>
      <c r="DA26" s="117"/>
      <c r="DB26" s="117"/>
      <c r="DC26" s="117"/>
      <c r="DD26" s="117"/>
      <c r="DE26" s="117"/>
      <c r="DF26" s="117"/>
      <c r="DG26" s="117"/>
      <c r="DH26" s="117"/>
      <c r="DI26" s="117"/>
      <c r="DJ26" s="117"/>
      <c r="DK26" s="117"/>
      <c r="DL26" s="117"/>
      <c r="DM26" s="117"/>
      <c r="DN26" s="117"/>
      <c r="DO26" s="117"/>
      <c r="DP26" s="117"/>
      <c r="DQ26" s="117"/>
      <c r="DR26" s="117"/>
      <c r="DS26" s="117"/>
      <c r="DT26" s="117"/>
      <c r="DU26" s="117"/>
      <c r="DV26" s="117"/>
      <c r="DW26" s="117"/>
      <c r="DX26" s="117"/>
      <c r="DY26" s="117"/>
      <c r="DZ26" s="117"/>
      <c r="EA26" s="117"/>
      <c r="EB26" s="117"/>
      <c r="EC26" s="117"/>
      <c r="ED26" s="117"/>
      <c r="EE26" s="117"/>
      <c r="EF26" s="117"/>
      <c r="EG26" s="117"/>
      <c r="EH26" s="117"/>
      <c r="EI26" s="117"/>
      <c r="EJ26" s="117"/>
      <c r="EK26" s="117"/>
      <c r="EL26" s="117"/>
      <c r="EM26" s="117"/>
      <c r="EN26" s="117"/>
    </row>
    <row r="27" spans="1:144" s="129" customFormat="1" ht="11.25" x14ac:dyDescent="0.2">
      <c r="A27" s="141">
        <v>9</v>
      </c>
      <c r="B27" s="162" t="s">
        <v>115</v>
      </c>
      <c r="C27" s="125" t="s">
        <v>18</v>
      </c>
      <c r="D27" s="142">
        <f>+'[4]II-H-1.6 Tran'!D20+'[5]II-H-1.6 Tran'!D20</f>
        <v>668538.6</v>
      </c>
      <c r="E27" s="142">
        <f>+'[4]II-H-1.6 Tran'!E20+'[5]II-H-1.6 Tran'!E20</f>
        <v>469680.5</v>
      </c>
      <c r="F27" s="142">
        <f>+'[4]II-H-1.6 Tran'!F20+'[5]II-H-1.6 Tran'!F20</f>
        <v>563808.5</v>
      </c>
      <c r="G27" s="142">
        <f>+'[4]II-H-1.6 Tran'!G20+'[5]II-H-1.6 Tran'!G20</f>
        <v>492900.30000000005</v>
      </c>
      <c r="H27" s="142">
        <f>+'[4]II-H-1.6 Tran'!H20+'[5]II-H-1.6 Tran'!H20</f>
        <v>524218.5</v>
      </c>
      <c r="I27" s="142">
        <f>+'[4]II-H-1.6 Tran'!I20+'[5]II-H-1.6 Tran'!I20</f>
        <v>591086.69999999995</v>
      </c>
      <c r="J27" s="142">
        <f>+'[4]II-H-1.6 Tran'!J20+'[5]II-H-1.6 Tran'!J20</f>
        <v>438690.89999999997</v>
      </c>
      <c r="K27" s="142">
        <f>+'[4]II-H-1.6 Tran'!K20+'[5]II-H-1.6 Tran'!K20</f>
        <v>450844.7</v>
      </c>
      <c r="L27" s="142">
        <f>+'[4]II-H-1.6 Tran'!L20+'[5]II-H-1.6 Tran'!L20</f>
        <v>607365.5</v>
      </c>
      <c r="M27" s="142">
        <f>+'[4]II-H-1.6 Tran'!M20+'[5]II-H-1.6 Tran'!M20</f>
        <v>395688.60000000003</v>
      </c>
      <c r="N27" s="142">
        <f>+'[4]II-H-1.6 Tran'!N20+'[5]II-H-1.6 Tran'!N20</f>
        <v>664675</v>
      </c>
      <c r="O27" s="142">
        <f>+'[4]II-H-1.6 Tran'!O20+'[5]II-H-1.6 Tran'!O20</f>
        <v>357494.6</v>
      </c>
      <c r="P27" s="127">
        <f>SUM(D27:O27)</f>
        <v>6224992.3999999994</v>
      </c>
      <c r="Q27" s="341">
        <f>'II-H-4.1 Functions'!H27/'II-H-4.1 Tran kW'!P27</f>
        <v>1.6915213197690011</v>
      </c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117"/>
      <c r="BS27" s="117"/>
      <c r="BT27" s="117"/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7"/>
      <c r="CF27" s="117"/>
      <c r="CG27" s="117"/>
      <c r="CH27" s="117"/>
      <c r="CI27" s="117"/>
      <c r="CJ27" s="117"/>
      <c r="CK27" s="117"/>
      <c r="CL27" s="117"/>
      <c r="CM27" s="117"/>
      <c r="CN27" s="117"/>
      <c r="CO27" s="117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7"/>
      <c r="DA27" s="117"/>
      <c r="DB27" s="117"/>
      <c r="DC27" s="117"/>
      <c r="DD27" s="117"/>
      <c r="DE27" s="117"/>
      <c r="DF27" s="117"/>
      <c r="DG27" s="117"/>
      <c r="DH27" s="117"/>
      <c r="DI27" s="117"/>
      <c r="DJ27" s="117"/>
      <c r="DK27" s="117"/>
      <c r="DL27" s="117"/>
      <c r="DM27" s="117"/>
      <c r="DN27" s="117"/>
      <c r="DO27" s="117"/>
      <c r="DP27" s="117"/>
      <c r="DQ27" s="117"/>
      <c r="DR27" s="117"/>
      <c r="DS27" s="117"/>
      <c r="DT27" s="117"/>
      <c r="DU27" s="117"/>
      <c r="DV27" s="117"/>
      <c r="DW27" s="117"/>
      <c r="DX27" s="117"/>
      <c r="DY27" s="117"/>
      <c r="DZ27" s="117"/>
      <c r="EA27" s="117"/>
      <c r="EB27" s="117"/>
      <c r="EC27" s="117"/>
      <c r="ED27" s="117"/>
      <c r="EE27" s="117"/>
      <c r="EF27" s="117"/>
      <c r="EG27" s="117"/>
      <c r="EH27" s="117"/>
      <c r="EI27" s="117"/>
      <c r="EJ27" s="117"/>
      <c r="EK27" s="117"/>
      <c r="EL27" s="117"/>
      <c r="EM27" s="117"/>
      <c r="EN27" s="117"/>
    </row>
    <row r="28" spans="1:144" s="129" customFormat="1" ht="11.25" x14ac:dyDescent="0.2">
      <c r="C28" s="143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22"/>
      <c r="O28" s="122"/>
      <c r="P28" s="12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17"/>
      <c r="BF28" s="117"/>
      <c r="BG28" s="117"/>
      <c r="BH28" s="117"/>
      <c r="BI28" s="117"/>
      <c r="BJ28" s="117"/>
      <c r="BK28" s="117"/>
      <c r="BL28" s="117"/>
      <c r="BM28" s="117"/>
      <c r="BN28" s="117"/>
      <c r="BO28" s="117"/>
      <c r="BP28" s="117"/>
      <c r="BQ28" s="117"/>
      <c r="BR28" s="117"/>
      <c r="BS28" s="117"/>
      <c r="BT28" s="117"/>
      <c r="BU28" s="117"/>
      <c r="BV28" s="117"/>
      <c r="BW28" s="117"/>
      <c r="BX28" s="117"/>
      <c r="BY28" s="117"/>
      <c r="BZ28" s="117"/>
      <c r="CA28" s="117"/>
      <c r="CB28" s="117"/>
      <c r="CC28" s="117"/>
      <c r="CD28" s="117"/>
      <c r="CE28" s="117"/>
      <c r="CF28" s="117"/>
      <c r="CG28" s="117"/>
      <c r="CH28" s="117"/>
      <c r="CI28" s="117"/>
      <c r="CJ28" s="117"/>
      <c r="CK28" s="117"/>
      <c r="CL28" s="117"/>
      <c r="CM28" s="117"/>
      <c r="CN28" s="117"/>
      <c r="CO28" s="117"/>
      <c r="CP28" s="117"/>
      <c r="CQ28" s="117"/>
      <c r="CR28" s="117"/>
      <c r="CS28" s="117"/>
      <c r="CT28" s="117"/>
      <c r="CU28" s="117"/>
      <c r="CV28" s="117"/>
      <c r="CW28" s="117"/>
      <c r="CX28" s="117"/>
      <c r="CY28" s="117"/>
      <c r="CZ28" s="117"/>
      <c r="DA28" s="117"/>
      <c r="DB28" s="117"/>
      <c r="DC28" s="117"/>
      <c r="DD28" s="117"/>
      <c r="DE28" s="117"/>
      <c r="DF28" s="117"/>
      <c r="DG28" s="117"/>
      <c r="DH28" s="117"/>
      <c r="DI28" s="117"/>
      <c r="DJ28" s="117"/>
      <c r="DK28" s="117"/>
      <c r="DL28" s="117"/>
      <c r="DM28" s="117"/>
      <c r="DN28" s="117"/>
      <c r="DO28" s="117"/>
      <c r="DP28" s="117"/>
      <c r="DQ28" s="117"/>
      <c r="DR28" s="117"/>
      <c r="DS28" s="117"/>
      <c r="DT28" s="117"/>
      <c r="DU28" s="117"/>
      <c r="DV28" s="117"/>
      <c r="DW28" s="117"/>
      <c r="DX28" s="117"/>
      <c r="DY28" s="117"/>
      <c r="DZ28" s="117"/>
      <c r="EA28" s="117"/>
      <c r="EB28" s="117"/>
      <c r="EC28" s="117"/>
      <c r="ED28" s="117"/>
      <c r="EE28" s="117"/>
      <c r="EF28" s="117"/>
      <c r="EG28" s="117"/>
      <c r="EH28" s="117"/>
      <c r="EI28" s="117"/>
      <c r="EJ28" s="117"/>
      <c r="EK28" s="117"/>
      <c r="EL28" s="117"/>
      <c r="EM28" s="117"/>
      <c r="EN28" s="117"/>
    </row>
    <row r="29" spans="1:144" s="129" customFormat="1" ht="11.25" x14ac:dyDescent="0.2">
      <c r="A29" s="141">
        <v>10</v>
      </c>
      <c r="B29" s="117" t="s">
        <v>33</v>
      </c>
      <c r="C29" s="125" t="s">
        <v>16</v>
      </c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7">
        <f>SUM(D29:O29)</f>
        <v>0</v>
      </c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17"/>
      <c r="BF29" s="117"/>
      <c r="BG29" s="117"/>
      <c r="BH29" s="117"/>
      <c r="BI29" s="117"/>
      <c r="BJ29" s="117"/>
      <c r="BK29" s="117"/>
      <c r="BL29" s="117"/>
      <c r="BM29" s="117"/>
      <c r="BN29" s="117"/>
      <c r="BO29" s="117"/>
      <c r="BP29" s="117"/>
      <c r="BQ29" s="117"/>
      <c r="BR29" s="117"/>
      <c r="BS29" s="117"/>
      <c r="BT29" s="117"/>
      <c r="BU29" s="117"/>
      <c r="BV29" s="117"/>
      <c r="BW29" s="117"/>
      <c r="BX29" s="117"/>
      <c r="BY29" s="117"/>
      <c r="BZ29" s="117"/>
      <c r="CA29" s="117"/>
      <c r="CB29" s="117"/>
      <c r="CC29" s="117"/>
      <c r="CD29" s="117"/>
      <c r="CE29" s="117"/>
      <c r="CF29" s="117"/>
      <c r="CG29" s="117"/>
      <c r="CH29" s="117"/>
      <c r="CI29" s="117"/>
      <c r="CJ29" s="117"/>
      <c r="CK29" s="117"/>
      <c r="CL29" s="117"/>
      <c r="CM29" s="117"/>
      <c r="CN29" s="117"/>
      <c r="CO29" s="117"/>
      <c r="CP29" s="117"/>
      <c r="CQ29" s="117"/>
      <c r="CR29" s="117"/>
      <c r="CS29" s="117"/>
      <c r="CT29" s="117"/>
      <c r="CU29" s="117"/>
      <c r="CV29" s="117"/>
      <c r="CW29" s="117"/>
      <c r="CX29" s="117"/>
      <c r="CY29" s="117"/>
      <c r="CZ29" s="117"/>
      <c r="DA29" s="117"/>
      <c r="DB29" s="117"/>
      <c r="DC29" s="117"/>
      <c r="DD29" s="117"/>
      <c r="DE29" s="117"/>
      <c r="DF29" s="117"/>
      <c r="DG29" s="117"/>
      <c r="DH29" s="117"/>
      <c r="DI29" s="117"/>
      <c r="DJ29" s="117"/>
      <c r="DK29" s="117"/>
      <c r="DL29" s="117"/>
      <c r="DM29" s="117"/>
      <c r="DN29" s="117"/>
      <c r="DO29" s="117"/>
      <c r="DP29" s="117"/>
      <c r="DQ29" s="117"/>
      <c r="DR29" s="117"/>
      <c r="DS29" s="117"/>
      <c r="DT29" s="117"/>
      <c r="DU29" s="117"/>
      <c r="DV29" s="117"/>
      <c r="DW29" s="117"/>
      <c r="DX29" s="117"/>
      <c r="DY29" s="117"/>
      <c r="DZ29" s="117"/>
      <c r="EA29" s="117"/>
      <c r="EB29" s="117"/>
      <c r="EC29" s="117"/>
      <c r="ED29" s="117"/>
      <c r="EE29" s="117"/>
      <c r="EF29" s="117"/>
      <c r="EG29" s="117"/>
      <c r="EH29" s="117"/>
      <c r="EI29" s="117"/>
      <c r="EJ29" s="117"/>
      <c r="EK29" s="117"/>
      <c r="EL29" s="117"/>
      <c r="EM29" s="117"/>
      <c r="EN29" s="117"/>
    </row>
    <row r="30" spans="1:144" s="129" customFormat="1" ht="11.25" x14ac:dyDescent="0.2">
      <c r="A30" s="141"/>
      <c r="C30" s="143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22"/>
      <c r="O30" s="122"/>
      <c r="P30" s="12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BW30" s="117"/>
      <c r="BX30" s="117"/>
      <c r="BY30" s="117"/>
      <c r="BZ30" s="117"/>
      <c r="CA30" s="117"/>
      <c r="CB30" s="117"/>
      <c r="CC30" s="117"/>
      <c r="CD30" s="117"/>
      <c r="CE30" s="117"/>
      <c r="CF30" s="117"/>
      <c r="CG30" s="117"/>
      <c r="CH30" s="117"/>
      <c r="CI30" s="117"/>
      <c r="CJ30" s="117"/>
      <c r="CK30" s="117"/>
      <c r="CL30" s="117"/>
      <c r="CM30" s="117"/>
      <c r="CN30" s="117"/>
      <c r="CO30" s="117"/>
      <c r="CP30" s="117"/>
      <c r="CQ30" s="117"/>
      <c r="CR30" s="117"/>
      <c r="CS30" s="117"/>
      <c r="CT30" s="117"/>
      <c r="CU30" s="117"/>
      <c r="CV30" s="117"/>
      <c r="CW30" s="117"/>
      <c r="CX30" s="117"/>
      <c r="CY30" s="117"/>
      <c r="CZ30" s="117"/>
      <c r="DA30" s="117"/>
      <c r="DB30" s="117"/>
      <c r="DC30" s="117"/>
      <c r="DD30" s="117"/>
      <c r="DE30" s="117"/>
      <c r="DF30" s="117"/>
      <c r="DG30" s="117"/>
      <c r="DH30" s="117"/>
      <c r="DI30" s="117"/>
      <c r="DJ30" s="117"/>
      <c r="DK30" s="117"/>
      <c r="DL30" s="117"/>
      <c r="DM30" s="117"/>
      <c r="DN30" s="117"/>
      <c r="DO30" s="117"/>
      <c r="DP30" s="117"/>
      <c r="DQ30" s="117"/>
      <c r="DR30" s="117"/>
      <c r="DS30" s="117"/>
      <c r="DT30" s="117"/>
      <c r="DU30" s="117"/>
      <c r="DV30" s="117"/>
      <c r="DW30" s="117"/>
      <c r="DX30" s="117"/>
      <c r="DY30" s="117"/>
      <c r="DZ30" s="117"/>
      <c r="EA30" s="117"/>
      <c r="EB30" s="117"/>
      <c r="EC30" s="117"/>
      <c r="ED30" s="117"/>
      <c r="EE30" s="117"/>
      <c r="EF30" s="117"/>
      <c r="EG30" s="117"/>
      <c r="EH30" s="117"/>
      <c r="EI30" s="117"/>
      <c r="EJ30" s="117"/>
      <c r="EK30" s="117"/>
      <c r="EL30" s="117"/>
      <c r="EM30" s="117"/>
      <c r="EN30" s="117"/>
    </row>
    <row r="31" spans="1:144" s="129" customFormat="1" ht="11.25" x14ac:dyDescent="0.2">
      <c r="A31" s="141">
        <v>11</v>
      </c>
      <c r="B31" s="183" t="s">
        <v>34</v>
      </c>
      <c r="C31" s="329"/>
      <c r="D31" s="184">
        <f t="shared" ref="D31:P31" si="2">D29+D27+D25+D21+D17+D15</f>
        <v>4032511.2</v>
      </c>
      <c r="E31" s="184">
        <f t="shared" si="2"/>
        <v>3769912.4000000004</v>
      </c>
      <c r="F31" s="184">
        <f t="shared" si="2"/>
        <v>3707991</v>
      </c>
      <c r="G31" s="184">
        <f t="shared" si="2"/>
        <v>3537561.1</v>
      </c>
      <c r="H31" s="184">
        <f t="shared" si="2"/>
        <v>3691771.9000000004</v>
      </c>
      <c r="I31" s="184">
        <f t="shared" si="2"/>
        <v>3902062.9000000004</v>
      </c>
      <c r="J31" s="184">
        <f t="shared" si="2"/>
        <v>3706334.8000000003</v>
      </c>
      <c r="K31" s="184">
        <f t="shared" si="2"/>
        <v>3751845.8</v>
      </c>
      <c r="L31" s="184">
        <f t="shared" si="2"/>
        <v>3936904.6</v>
      </c>
      <c r="M31" s="184">
        <f t="shared" si="2"/>
        <v>3603187.9</v>
      </c>
      <c r="N31" s="184">
        <f t="shared" si="2"/>
        <v>3888528.9000000004</v>
      </c>
      <c r="O31" s="184">
        <f t="shared" si="2"/>
        <v>3535113.6999999997</v>
      </c>
      <c r="P31" s="184">
        <f t="shared" si="2"/>
        <v>45063726.200000003</v>
      </c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17"/>
      <c r="BF31" s="117"/>
      <c r="BG31" s="117"/>
      <c r="BH31" s="117"/>
      <c r="BI31" s="117"/>
      <c r="BJ31" s="117"/>
      <c r="BK31" s="117"/>
      <c r="BL31" s="117"/>
      <c r="BM31" s="117"/>
      <c r="BN31" s="117"/>
      <c r="BO31" s="117"/>
      <c r="BP31" s="117"/>
      <c r="BQ31" s="117"/>
      <c r="BR31" s="117"/>
      <c r="BS31" s="117"/>
      <c r="BT31" s="117"/>
      <c r="BU31" s="117"/>
      <c r="BV31" s="117"/>
      <c r="BW31" s="117"/>
      <c r="BX31" s="117"/>
      <c r="BY31" s="117"/>
      <c r="BZ31" s="117"/>
      <c r="CA31" s="117"/>
      <c r="CB31" s="117"/>
      <c r="CC31" s="117"/>
      <c r="CD31" s="117"/>
      <c r="CE31" s="117"/>
      <c r="CF31" s="117"/>
      <c r="CG31" s="117"/>
      <c r="CH31" s="117"/>
      <c r="CI31" s="117"/>
      <c r="CJ31" s="117"/>
      <c r="CK31" s="117"/>
      <c r="CL31" s="117"/>
      <c r="CM31" s="117"/>
      <c r="CN31" s="117"/>
      <c r="CO31" s="117"/>
      <c r="CP31" s="117"/>
      <c r="CQ31" s="117"/>
      <c r="CR31" s="117"/>
      <c r="CS31" s="117"/>
      <c r="CT31" s="117"/>
      <c r="CU31" s="117"/>
      <c r="CV31" s="117"/>
      <c r="CW31" s="117"/>
      <c r="CX31" s="117"/>
      <c r="CY31" s="117"/>
      <c r="CZ31" s="117"/>
      <c r="DA31" s="117"/>
      <c r="DB31" s="117"/>
      <c r="DC31" s="117"/>
      <c r="DD31" s="117"/>
      <c r="DE31" s="117"/>
      <c r="DF31" s="117"/>
      <c r="DG31" s="117"/>
      <c r="DH31" s="117"/>
      <c r="DI31" s="117"/>
      <c r="DJ31" s="117"/>
      <c r="DK31" s="117"/>
      <c r="DL31" s="117"/>
      <c r="DM31" s="117"/>
      <c r="DN31" s="117"/>
      <c r="DO31" s="117"/>
      <c r="DP31" s="117"/>
      <c r="DQ31" s="117"/>
      <c r="DR31" s="117"/>
      <c r="DS31" s="117"/>
      <c r="DT31" s="117"/>
      <c r="DU31" s="117"/>
      <c r="DV31" s="117"/>
      <c r="DW31" s="117"/>
      <c r="DX31" s="117"/>
      <c r="DY31" s="117"/>
      <c r="DZ31" s="117"/>
      <c r="EA31" s="117"/>
      <c r="EB31" s="117"/>
      <c r="EC31" s="117"/>
      <c r="ED31" s="117"/>
      <c r="EE31" s="117"/>
      <c r="EF31" s="117"/>
      <c r="EG31" s="117"/>
      <c r="EH31" s="117"/>
      <c r="EI31" s="117"/>
      <c r="EJ31" s="117"/>
      <c r="EK31" s="117"/>
      <c r="EL31" s="117"/>
      <c r="EM31" s="117"/>
      <c r="EN31" s="117"/>
    </row>
    <row r="32" spans="1:144" s="129" customFormat="1" ht="11.25" x14ac:dyDescent="0.2">
      <c r="B32" s="329"/>
      <c r="C32" s="32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56"/>
      <c r="O32" s="156"/>
      <c r="P32" s="12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7"/>
      <c r="DD32" s="117"/>
      <c r="DE32" s="117"/>
      <c r="DF32" s="117"/>
      <c r="DG32" s="117"/>
      <c r="DH32" s="117"/>
      <c r="DI32" s="117"/>
      <c r="DJ32" s="117"/>
      <c r="DK32" s="117"/>
      <c r="DL32" s="117"/>
      <c r="DM32" s="117"/>
      <c r="DN32" s="117"/>
      <c r="DO32" s="117"/>
      <c r="DP32" s="117"/>
      <c r="DQ32" s="117"/>
      <c r="DR32" s="117"/>
      <c r="DS32" s="117"/>
      <c r="DT32" s="117"/>
      <c r="DU32" s="117"/>
      <c r="DV32" s="117"/>
      <c r="DW32" s="117"/>
      <c r="DX32" s="117"/>
      <c r="DY32" s="117"/>
      <c r="DZ32" s="117"/>
      <c r="EA32" s="117"/>
      <c r="EB32" s="117"/>
      <c r="EC32" s="117"/>
      <c r="ED32" s="117"/>
      <c r="EE32" s="117"/>
      <c r="EF32" s="117"/>
      <c r="EG32" s="117"/>
      <c r="EH32" s="117"/>
      <c r="EI32" s="117"/>
      <c r="EJ32" s="117"/>
      <c r="EK32" s="117"/>
      <c r="EL32" s="117"/>
      <c r="EM32" s="117"/>
      <c r="EN32" s="117"/>
    </row>
    <row r="33" spans="1:144" s="129" customFormat="1" ht="11.25" x14ac:dyDescent="0.2">
      <c r="A33" s="141">
        <v>12</v>
      </c>
      <c r="B33" s="148" t="s">
        <v>91</v>
      </c>
      <c r="C33" s="125" t="s">
        <v>17</v>
      </c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7">
        <f>SUM(D33:O33)</f>
        <v>0</v>
      </c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  <c r="DC33" s="117"/>
      <c r="DD33" s="117"/>
      <c r="DE33" s="117"/>
      <c r="DF33" s="117"/>
      <c r="DG33" s="117"/>
      <c r="DH33" s="117"/>
      <c r="DI33" s="117"/>
      <c r="DJ33" s="117"/>
      <c r="DK33" s="117"/>
      <c r="DL33" s="117"/>
      <c r="DM33" s="117"/>
      <c r="DN33" s="117"/>
      <c r="DO33" s="117"/>
      <c r="DP33" s="117"/>
      <c r="DQ33" s="117"/>
      <c r="DR33" s="117"/>
      <c r="DS33" s="117"/>
      <c r="DT33" s="117"/>
      <c r="DU33" s="117"/>
      <c r="DV33" s="117"/>
      <c r="DW33" s="117"/>
      <c r="DX33" s="117"/>
      <c r="DY33" s="117"/>
      <c r="DZ33" s="117"/>
      <c r="EA33" s="117"/>
      <c r="EB33" s="117"/>
      <c r="EC33" s="117"/>
      <c r="ED33" s="117"/>
      <c r="EE33" s="117"/>
      <c r="EF33" s="117"/>
      <c r="EG33" s="117"/>
      <c r="EH33" s="117"/>
      <c r="EI33" s="117"/>
      <c r="EJ33" s="117"/>
      <c r="EK33" s="117"/>
      <c r="EL33" s="117"/>
      <c r="EM33" s="117"/>
      <c r="EN33" s="117"/>
    </row>
    <row r="34" spans="1:144" s="129" customFormat="1" ht="11.25" x14ac:dyDescent="0.2">
      <c r="A34" s="141">
        <v>13</v>
      </c>
      <c r="B34" s="148" t="s">
        <v>92</v>
      </c>
      <c r="C34" s="125" t="s">
        <v>18</v>
      </c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67">
        <f>SUM(D34:O34)</f>
        <v>0</v>
      </c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  <c r="DC34" s="117"/>
      <c r="DD34" s="117"/>
      <c r="DE34" s="117"/>
      <c r="DF34" s="117"/>
      <c r="DG34" s="117"/>
      <c r="DH34" s="117"/>
      <c r="DI34" s="117"/>
      <c r="DJ34" s="117"/>
      <c r="DK34" s="117"/>
      <c r="DL34" s="117"/>
      <c r="DM34" s="117"/>
      <c r="DN34" s="117"/>
      <c r="DO34" s="117"/>
      <c r="DP34" s="117"/>
      <c r="DQ34" s="117"/>
      <c r="DR34" s="117"/>
      <c r="DS34" s="117"/>
      <c r="DT34" s="117"/>
      <c r="DU34" s="117"/>
      <c r="DV34" s="117"/>
      <c r="DW34" s="117"/>
      <c r="DX34" s="117"/>
      <c r="DY34" s="117"/>
      <c r="DZ34" s="117"/>
      <c r="EA34" s="117"/>
      <c r="EB34" s="117"/>
      <c r="EC34" s="117"/>
      <c r="ED34" s="117"/>
      <c r="EE34" s="117"/>
      <c r="EF34" s="117"/>
      <c r="EG34" s="117"/>
      <c r="EH34" s="117"/>
      <c r="EI34" s="117"/>
      <c r="EJ34" s="117"/>
      <c r="EK34" s="117"/>
      <c r="EL34" s="117"/>
      <c r="EM34" s="117"/>
      <c r="EN34" s="117"/>
    </row>
    <row r="35" spans="1:144" s="129" customFormat="1" ht="11.25" x14ac:dyDescent="0.2">
      <c r="A35" s="141">
        <v>14</v>
      </c>
      <c r="B35" s="183" t="s">
        <v>35</v>
      </c>
      <c r="C35" s="328"/>
      <c r="D35" s="169">
        <f t="shared" ref="D35:P35" si="3">SUM(D33:D34)</f>
        <v>0</v>
      </c>
      <c r="E35" s="169">
        <f t="shared" si="3"/>
        <v>0</v>
      </c>
      <c r="F35" s="169">
        <f t="shared" si="3"/>
        <v>0</v>
      </c>
      <c r="G35" s="169">
        <f t="shared" si="3"/>
        <v>0</v>
      </c>
      <c r="H35" s="169">
        <f t="shared" si="3"/>
        <v>0</v>
      </c>
      <c r="I35" s="169">
        <f t="shared" si="3"/>
        <v>0</v>
      </c>
      <c r="J35" s="169">
        <f t="shared" si="3"/>
        <v>0</v>
      </c>
      <c r="K35" s="169">
        <f t="shared" si="3"/>
        <v>0</v>
      </c>
      <c r="L35" s="169">
        <f t="shared" si="3"/>
        <v>0</v>
      </c>
      <c r="M35" s="169">
        <f t="shared" si="3"/>
        <v>0</v>
      </c>
      <c r="N35" s="156">
        <f t="shared" si="3"/>
        <v>0</v>
      </c>
      <c r="O35" s="156">
        <f t="shared" si="3"/>
        <v>0</v>
      </c>
      <c r="P35" s="156">
        <f t="shared" si="3"/>
        <v>0</v>
      </c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17"/>
      <c r="BF35" s="117"/>
      <c r="BG35" s="117"/>
      <c r="BH35" s="117"/>
      <c r="BI35" s="117"/>
      <c r="BJ35" s="117"/>
      <c r="BK35" s="117"/>
      <c r="BL35" s="117"/>
      <c r="BM35" s="117"/>
      <c r="BN35" s="117"/>
      <c r="BO35" s="117"/>
      <c r="BP35" s="117"/>
      <c r="BQ35" s="117"/>
      <c r="BR35" s="117"/>
      <c r="BS35" s="117"/>
      <c r="BT35" s="117"/>
      <c r="BU35" s="117"/>
      <c r="BV35" s="117"/>
      <c r="BW35" s="117"/>
      <c r="BX35" s="117"/>
      <c r="BY35" s="117"/>
      <c r="BZ35" s="117"/>
      <c r="CA35" s="117"/>
      <c r="CB35" s="117"/>
      <c r="CC35" s="117"/>
      <c r="CD35" s="117"/>
      <c r="CE35" s="117"/>
      <c r="CF35" s="117"/>
      <c r="CG35" s="117"/>
      <c r="CH35" s="117"/>
      <c r="CI35" s="117"/>
      <c r="CJ35" s="117"/>
      <c r="CK35" s="117"/>
      <c r="CL35" s="117"/>
      <c r="CM35" s="117"/>
      <c r="CN35" s="117"/>
      <c r="CO35" s="117"/>
      <c r="CP35" s="117"/>
      <c r="CQ35" s="117"/>
      <c r="CR35" s="117"/>
      <c r="CS35" s="117"/>
      <c r="CT35" s="117"/>
      <c r="CU35" s="117"/>
      <c r="CV35" s="117"/>
      <c r="CW35" s="117"/>
      <c r="CX35" s="117"/>
      <c r="CY35" s="117"/>
      <c r="CZ35" s="117"/>
      <c r="DA35" s="117"/>
      <c r="DB35" s="117"/>
      <c r="DC35" s="117"/>
      <c r="DD35" s="117"/>
      <c r="DE35" s="117"/>
      <c r="DF35" s="117"/>
      <c r="DG35" s="117"/>
      <c r="DH35" s="117"/>
      <c r="DI35" s="117"/>
      <c r="DJ35" s="117"/>
      <c r="DK35" s="117"/>
      <c r="DL35" s="117"/>
      <c r="DM35" s="117"/>
      <c r="DN35" s="117"/>
      <c r="DO35" s="117"/>
      <c r="DP35" s="117"/>
      <c r="DQ35" s="117"/>
      <c r="DR35" s="117"/>
      <c r="DS35" s="117"/>
      <c r="DT35" s="117"/>
      <c r="DU35" s="117"/>
      <c r="DV35" s="117"/>
      <c r="DW35" s="117"/>
      <c r="DX35" s="117"/>
      <c r="DY35" s="117"/>
      <c r="DZ35" s="117"/>
      <c r="EA35" s="117"/>
      <c r="EB35" s="117"/>
      <c r="EC35" s="117"/>
      <c r="ED35" s="117"/>
      <c r="EE35" s="117"/>
      <c r="EF35" s="117"/>
      <c r="EG35" s="117"/>
      <c r="EH35" s="117"/>
      <c r="EI35" s="117"/>
      <c r="EJ35" s="117"/>
      <c r="EK35" s="117"/>
      <c r="EL35" s="117"/>
      <c r="EM35" s="117"/>
      <c r="EN35" s="117"/>
    </row>
    <row r="36" spans="1:144" s="129" customFormat="1" ht="11.25" x14ac:dyDescent="0.2">
      <c r="A36" s="141"/>
      <c r="C36" s="185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22"/>
      <c r="O36" s="122"/>
      <c r="P36" s="12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7"/>
      <c r="BD36" s="117"/>
      <c r="BE36" s="117"/>
      <c r="BF36" s="117"/>
      <c r="BG36" s="117"/>
      <c r="BH36" s="117"/>
      <c r="BI36" s="117"/>
      <c r="BJ36" s="117"/>
      <c r="BK36" s="117"/>
      <c r="BL36" s="117"/>
      <c r="BM36" s="117"/>
      <c r="BN36" s="117"/>
      <c r="BO36" s="117"/>
      <c r="BP36" s="117"/>
      <c r="BQ36" s="117"/>
      <c r="BR36" s="117"/>
      <c r="BS36" s="117"/>
      <c r="BT36" s="117"/>
      <c r="BU36" s="117"/>
      <c r="BV36" s="117"/>
      <c r="BW36" s="117"/>
      <c r="BX36" s="117"/>
      <c r="BY36" s="117"/>
      <c r="BZ36" s="117"/>
      <c r="CA36" s="117"/>
      <c r="CB36" s="117"/>
      <c r="CC36" s="117"/>
      <c r="CD36" s="117"/>
      <c r="CE36" s="117"/>
      <c r="CF36" s="117"/>
      <c r="CG36" s="117"/>
      <c r="CH36" s="117"/>
      <c r="CI36" s="117"/>
      <c r="CJ36" s="117"/>
      <c r="CK36" s="117"/>
      <c r="CL36" s="117"/>
      <c r="CM36" s="117"/>
      <c r="CN36" s="117"/>
      <c r="CO36" s="117"/>
      <c r="CP36" s="117"/>
      <c r="CQ36" s="117"/>
      <c r="CR36" s="117"/>
      <c r="CS36" s="117"/>
      <c r="CT36" s="117"/>
      <c r="CU36" s="117"/>
      <c r="CV36" s="117"/>
      <c r="CW36" s="117"/>
      <c r="CX36" s="117"/>
      <c r="CY36" s="117"/>
      <c r="CZ36" s="117"/>
      <c r="DA36" s="117"/>
      <c r="DB36" s="117"/>
      <c r="DC36" s="117"/>
      <c r="DD36" s="117"/>
      <c r="DE36" s="117"/>
      <c r="DF36" s="117"/>
      <c r="DG36" s="117"/>
      <c r="DH36" s="117"/>
      <c r="DI36" s="117"/>
      <c r="DJ36" s="117"/>
      <c r="DK36" s="117"/>
      <c r="DL36" s="117"/>
      <c r="DM36" s="117"/>
      <c r="DN36" s="117"/>
      <c r="DO36" s="117"/>
      <c r="DP36" s="117"/>
      <c r="DQ36" s="117"/>
      <c r="DR36" s="117"/>
      <c r="DS36" s="117"/>
      <c r="DT36" s="117"/>
      <c r="DU36" s="117"/>
      <c r="DV36" s="117"/>
      <c r="DW36" s="117"/>
      <c r="DX36" s="117"/>
      <c r="DY36" s="117"/>
      <c r="DZ36" s="117"/>
      <c r="EA36" s="117"/>
      <c r="EB36" s="117"/>
      <c r="EC36" s="117"/>
      <c r="ED36" s="117"/>
      <c r="EE36" s="117"/>
      <c r="EF36" s="117"/>
      <c r="EG36" s="117"/>
      <c r="EH36" s="117"/>
      <c r="EI36" s="117"/>
      <c r="EJ36" s="117"/>
      <c r="EK36" s="117"/>
      <c r="EL36" s="117"/>
      <c r="EM36" s="117"/>
      <c r="EN36" s="117"/>
    </row>
    <row r="37" spans="1:144" s="129" customFormat="1" ht="12" thickBot="1" x14ac:dyDescent="0.25">
      <c r="A37" s="141">
        <v>15</v>
      </c>
      <c r="B37" s="243" t="s">
        <v>132</v>
      </c>
      <c r="C37" s="328"/>
      <c r="D37" s="244">
        <f t="shared" ref="D37:P37" si="4">+D35+D31</f>
        <v>4032511.2</v>
      </c>
      <c r="E37" s="244">
        <f t="shared" si="4"/>
        <v>3769912.4000000004</v>
      </c>
      <c r="F37" s="244">
        <f t="shared" si="4"/>
        <v>3707991</v>
      </c>
      <c r="G37" s="244">
        <f t="shared" si="4"/>
        <v>3537561.1</v>
      </c>
      <c r="H37" s="244">
        <f t="shared" si="4"/>
        <v>3691771.9000000004</v>
      </c>
      <c r="I37" s="244">
        <f t="shared" si="4"/>
        <v>3902062.9000000004</v>
      </c>
      <c r="J37" s="244">
        <f t="shared" si="4"/>
        <v>3706334.8000000003</v>
      </c>
      <c r="K37" s="244">
        <f t="shared" si="4"/>
        <v>3751845.8</v>
      </c>
      <c r="L37" s="244">
        <f t="shared" si="4"/>
        <v>3936904.6</v>
      </c>
      <c r="M37" s="244">
        <f t="shared" si="4"/>
        <v>3603187.9</v>
      </c>
      <c r="N37" s="244">
        <f t="shared" si="4"/>
        <v>3888528.9000000004</v>
      </c>
      <c r="O37" s="244">
        <f t="shared" si="4"/>
        <v>3535113.6999999997</v>
      </c>
      <c r="P37" s="244">
        <f t="shared" si="4"/>
        <v>45063726.200000003</v>
      </c>
      <c r="Q37" s="195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  <c r="BY37" s="117"/>
      <c r="BZ37" s="117"/>
      <c r="CA37" s="117"/>
      <c r="CB37" s="117"/>
      <c r="CC37" s="117"/>
      <c r="CD37" s="117"/>
      <c r="CE37" s="117"/>
      <c r="CF37" s="117"/>
      <c r="CG37" s="117"/>
      <c r="CH37" s="117"/>
      <c r="CI37" s="117"/>
      <c r="CJ37" s="117"/>
      <c r="CK37" s="117"/>
      <c r="CL37" s="117"/>
      <c r="CM37" s="117"/>
      <c r="CN37" s="117"/>
      <c r="CO37" s="117"/>
      <c r="CP37" s="117"/>
      <c r="CQ37" s="117"/>
      <c r="CR37" s="117"/>
      <c r="CS37" s="117"/>
      <c r="CT37" s="117"/>
      <c r="CU37" s="117"/>
      <c r="CV37" s="117"/>
      <c r="CW37" s="117"/>
      <c r="CX37" s="117"/>
      <c r="CY37" s="117"/>
      <c r="CZ37" s="117"/>
      <c r="DA37" s="117"/>
      <c r="DB37" s="117"/>
      <c r="DC37" s="117"/>
      <c r="DD37" s="117"/>
      <c r="DE37" s="117"/>
      <c r="DF37" s="117"/>
      <c r="DG37" s="117"/>
      <c r="DH37" s="117"/>
      <c r="DI37" s="117"/>
      <c r="DJ37" s="117"/>
      <c r="DK37" s="117"/>
      <c r="DL37" s="117"/>
      <c r="DM37" s="117"/>
      <c r="DN37" s="117"/>
      <c r="DO37" s="117"/>
      <c r="DP37" s="117"/>
      <c r="DQ37" s="117"/>
      <c r="DR37" s="117"/>
      <c r="DS37" s="117"/>
      <c r="DT37" s="117"/>
      <c r="DU37" s="117"/>
      <c r="DV37" s="117"/>
      <c r="DW37" s="117"/>
      <c r="DX37" s="117"/>
      <c r="DY37" s="117"/>
      <c r="DZ37" s="117"/>
      <c r="EA37" s="117"/>
      <c r="EB37" s="117"/>
      <c r="EC37" s="117"/>
      <c r="ED37" s="117"/>
      <c r="EE37" s="117"/>
      <c r="EF37" s="117"/>
      <c r="EG37" s="117"/>
      <c r="EH37" s="117"/>
      <c r="EI37" s="117"/>
      <c r="EJ37" s="117"/>
      <c r="EK37" s="117"/>
      <c r="EL37" s="117"/>
      <c r="EM37" s="117"/>
      <c r="EN37" s="117"/>
    </row>
    <row r="38" spans="1:144" ht="13.5" thickTop="1" x14ac:dyDescent="0.2">
      <c r="A38" s="143"/>
      <c r="B38" s="146"/>
      <c r="C38" s="168"/>
      <c r="D38" s="302"/>
      <c r="E38" s="302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4"/>
      <c r="Q38" s="342"/>
      <c r="R38" s="192"/>
      <c r="S38" s="192"/>
      <c r="T38" s="192"/>
      <c r="U38" s="192"/>
      <c r="V38" s="192"/>
    </row>
    <row r="39" spans="1:144" s="136" customFormat="1" x14ac:dyDescent="0.2">
      <c r="A39" s="131"/>
      <c r="B39" s="305" t="str">
        <f>+B8</f>
        <v>AEP TEXAS</v>
      </c>
      <c r="C39" s="306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8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</row>
    <row r="40" spans="1:144" s="136" customFormat="1" x14ac:dyDescent="0.2">
      <c r="A40" s="131"/>
      <c r="B40" s="132" t="s">
        <v>64</v>
      </c>
      <c r="C40" s="133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5" t="s">
        <v>1</v>
      </c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</row>
    <row r="41" spans="1:144" s="136" customFormat="1" x14ac:dyDescent="0.2">
      <c r="A41" s="131"/>
      <c r="B41" s="388" t="str">
        <f>+B10</f>
        <v>FOR TEST YEAR ENDED DECEMBER 31, 2018</v>
      </c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107" t="s">
        <v>1</v>
      </c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</row>
    <row r="42" spans="1:144" s="136" customFormat="1" x14ac:dyDescent="0.2">
      <c r="A42" s="131"/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107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</row>
    <row r="43" spans="1:144" s="136" customFormat="1" x14ac:dyDescent="0.2">
      <c r="A43" s="131"/>
      <c r="B43" s="175"/>
      <c r="C43" s="146"/>
      <c r="D43" s="287"/>
      <c r="E43" s="177"/>
      <c r="F43" s="177"/>
      <c r="G43" s="287"/>
      <c r="H43" s="177"/>
      <c r="I43" s="177"/>
      <c r="K43" s="177"/>
      <c r="L43" s="177"/>
      <c r="M43" s="177"/>
      <c r="N43" s="177"/>
      <c r="O43" s="177"/>
      <c r="P43" s="178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</row>
    <row r="44" spans="1:144" s="136" customFormat="1" x14ac:dyDescent="0.2">
      <c r="A44" s="328" t="s">
        <v>20</v>
      </c>
      <c r="B44" s="330" t="s">
        <v>0</v>
      </c>
      <c r="C44" s="330" t="s">
        <v>19</v>
      </c>
      <c r="D44" s="287" t="str">
        <f>+D13</f>
        <v>JANUARY</v>
      </c>
      <c r="E44" s="287" t="str">
        <f t="shared" ref="E44:P44" si="5">+E13</f>
        <v>FEBRUARY</v>
      </c>
      <c r="F44" s="287" t="str">
        <f t="shared" si="5"/>
        <v>MARCH</v>
      </c>
      <c r="G44" s="287" t="str">
        <f t="shared" si="5"/>
        <v>APRIL</v>
      </c>
      <c r="H44" s="287" t="str">
        <f t="shared" si="5"/>
        <v>MAY</v>
      </c>
      <c r="I44" s="287" t="str">
        <f t="shared" si="5"/>
        <v>JUNE</v>
      </c>
      <c r="J44" s="287" t="str">
        <f t="shared" si="5"/>
        <v>JULY</v>
      </c>
      <c r="K44" s="287" t="str">
        <f t="shared" si="5"/>
        <v>AUGUST</v>
      </c>
      <c r="L44" s="287" t="str">
        <f t="shared" si="5"/>
        <v>SEPTEMBER</v>
      </c>
      <c r="M44" s="287" t="str">
        <f t="shared" si="5"/>
        <v>OCTOBER</v>
      </c>
      <c r="N44" s="287" t="str">
        <f t="shared" si="5"/>
        <v>NOVEMBER</v>
      </c>
      <c r="O44" s="287" t="str">
        <f t="shared" si="5"/>
        <v>DECEMBER</v>
      </c>
      <c r="P44" s="309" t="str">
        <f t="shared" si="5"/>
        <v>TOTAL</v>
      </c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</row>
    <row r="45" spans="1:144" s="136" customFormat="1" x14ac:dyDescent="0.2">
      <c r="A45" s="131"/>
      <c r="B45" s="146"/>
      <c r="C45" s="146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304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</row>
    <row r="46" spans="1:144" s="129" customFormat="1" ht="11.25" x14ac:dyDescent="0.2">
      <c r="A46" s="141" t="s">
        <v>21</v>
      </c>
      <c r="B46" s="129" t="s">
        <v>29</v>
      </c>
      <c r="C46" s="143" t="s">
        <v>16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N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A46" s="117"/>
      <c r="CB46" s="117"/>
      <c r="CC46" s="117"/>
      <c r="CD46" s="117"/>
      <c r="CE46" s="117"/>
      <c r="CF46" s="117"/>
      <c r="CG46" s="117"/>
      <c r="CH46" s="117"/>
      <c r="CI46" s="117"/>
      <c r="CJ46" s="117"/>
      <c r="CK46" s="117"/>
      <c r="CL46" s="117"/>
      <c r="CM46" s="117"/>
      <c r="CN46" s="117"/>
      <c r="CO46" s="117"/>
      <c r="CP46" s="117"/>
      <c r="CQ46" s="117"/>
      <c r="CR46" s="117"/>
      <c r="CS46" s="117"/>
      <c r="CT46" s="117"/>
      <c r="CU46" s="117"/>
      <c r="CV46" s="117"/>
      <c r="CW46" s="117"/>
      <c r="CX46" s="117"/>
      <c r="CY46" s="117"/>
      <c r="CZ46" s="117"/>
      <c r="DA46" s="117"/>
      <c r="DB46" s="117"/>
      <c r="DC46" s="117"/>
      <c r="DD46" s="117"/>
      <c r="DE46" s="117"/>
      <c r="DF46" s="117"/>
      <c r="DG46" s="117"/>
      <c r="DH46" s="117"/>
      <c r="DI46" s="117"/>
      <c r="DJ46" s="117"/>
      <c r="DK46" s="117"/>
      <c r="DL46" s="117"/>
      <c r="DM46" s="117"/>
      <c r="DN46" s="117"/>
      <c r="DO46" s="117"/>
      <c r="DP46" s="117"/>
      <c r="DQ46" s="117"/>
      <c r="DR46" s="117"/>
      <c r="DS46" s="117"/>
      <c r="DT46" s="117"/>
      <c r="DU46" s="117"/>
      <c r="DV46" s="117"/>
      <c r="DW46" s="117"/>
      <c r="DX46" s="117"/>
      <c r="DY46" s="117"/>
      <c r="DZ46" s="117"/>
      <c r="EA46" s="117"/>
      <c r="EB46" s="117"/>
      <c r="EC46" s="117"/>
      <c r="ED46" s="117"/>
      <c r="EE46" s="117"/>
      <c r="EF46" s="117"/>
      <c r="EG46" s="117"/>
      <c r="EH46" s="117"/>
      <c r="EI46" s="117"/>
      <c r="EJ46" s="117"/>
      <c r="EK46" s="117"/>
      <c r="EL46" s="117"/>
      <c r="EM46" s="117"/>
      <c r="EN46" s="117"/>
    </row>
    <row r="47" spans="1:144" s="129" customFormat="1" ht="11.25" x14ac:dyDescent="0.2">
      <c r="C47" s="143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56"/>
      <c r="O47" s="156"/>
      <c r="P47" s="12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C47" s="117"/>
      <c r="BD47" s="117"/>
      <c r="BE47" s="117"/>
      <c r="BF47" s="117"/>
      <c r="BG47" s="117"/>
      <c r="BH47" s="117"/>
      <c r="BI47" s="117"/>
      <c r="BJ47" s="117"/>
      <c r="BK47" s="117"/>
      <c r="BL47" s="117"/>
      <c r="BM47" s="117"/>
      <c r="BN47" s="117"/>
      <c r="BO47" s="117"/>
      <c r="BP47" s="117"/>
      <c r="BQ47" s="117"/>
      <c r="BR47" s="117"/>
      <c r="BS47" s="117"/>
      <c r="BT47" s="117"/>
      <c r="BU47" s="117"/>
      <c r="BV47" s="117"/>
      <c r="BW47" s="117"/>
      <c r="BX47" s="117"/>
      <c r="BY47" s="117"/>
      <c r="BZ47" s="117"/>
      <c r="CA47" s="117"/>
      <c r="CB47" s="117"/>
      <c r="CC47" s="117"/>
      <c r="CD47" s="117"/>
      <c r="CE47" s="117"/>
      <c r="CF47" s="117"/>
      <c r="CG47" s="117"/>
      <c r="CH47" s="117"/>
      <c r="CI47" s="117"/>
      <c r="CJ47" s="117"/>
      <c r="CK47" s="117"/>
      <c r="CL47" s="117"/>
      <c r="CM47" s="117"/>
      <c r="CN47" s="117"/>
      <c r="CO47" s="117"/>
      <c r="CP47" s="117"/>
      <c r="CQ47" s="117"/>
      <c r="CR47" s="117"/>
      <c r="CS47" s="117"/>
      <c r="CT47" s="117"/>
      <c r="CU47" s="117"/>
      <c r="CV47" s="117"/>
      <c r="CW47" s="117"/>
      <c r="CX47" s="117"/>
      <c r="CY47" s="117"/>
      <c r="CZ47" s="117"/>
      <c r="DA47" s="117"/>
      <c r="DB47" s="117"/>
      <c r="DC47" s="117"/>
      <c r="DD47" s="117"/>
      <c r="DE47" s="117"/>
      <c r="DF47" s="117"/>
      <c r="DG47" s="117"/>
      <c r="DH47" s="117"/>
      <c r="DI47" s="117"/>
      <c r="DJ47" s="117"/>
      <c r="DK47" s="117"/>
      <c r="DL47" s="117"/>
      <c r="DM47" s="117"/>
      <c r="DN47" s="117"/>
      <c r="DO47" s="117"/>
      <c r="DP47" s="117"/>
      <c r="DQ47" s="117"/>
      <c r="DR47" s="117"/>
      <c r="DS47" s="117"/>
      <c r="DT47" s="117"/>
      <c r="DU47" s="117"/>
      <c r="DV47" s="117"/>
      <c r="DW47" s="117"/>
      <c r="DX47" s="117"/>
      <c r="DY47" s="117"/>
      <c r="DZ47" s="117"/>
      <c r="EA47" s="117"/>
      <c r="EB47" s="117"/>
      <c r="EC47" s="117"/>
      <c r="ED47" s="117"/>
      <c r="EE47" s="117"/>
      <c r="EF47" s="117"/>
      <c r="EG47" s="117"/>
      <c r="EH47" s="117"/>
      <c r="EI47" s="117"/>
      <c r="EJ47" s="117"/>
      <c r="EK47" s="117"/>
      <c r="EL47" s="117"/>
      <c r="EM47" s="117"/>
      <c r="EN47" s="117"/>
    </row>
    <row r="48" spans="1:144" s="129" customFormat="1" ht="11.25" x14ac:dyDescent="0.2">
      <c r="A48" s="141">
        <v>2</v>
      </c>
      <c r="B48" s="129" t="s">
        <v>32</v>
      </c>
      <c r="C48" s="143" t="s">
        <v>16</v>
      </c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C48" s="117"/>
      <c r="BD48" s="117"/>
      <c r="BE48" s="117"/>
      <c r="BF48" s="117"/>
      <c r="BG48" s="117"/>
      <c r="BH48" s="117"/>
      <c r="BI48" s="117"/>
      <c r="BJ48" s="117"/>
      <c r="BK48" s="117"/>
      <c r="BL48" s="117"/>
      <c r="BM48" s="117"/>
      <c r="BN48" s="117"/>
      <c r="BO48" s="117"/>
      <c r="BP48" s="117"/>
      <c r="BQ48" s="117"/>
      <c r="BR48" s="117"/>
      <c r="BS48" s="117"/>
      <c r="BT48" s="117"/>
      <c r="BU48" s="117"/>
      <c r="BV48" s="117"/>
      <c r="BW48" s="117"/>
      <c r="BX48" s="117"/>
      <c r="BY48" s="117"/>
      <c r="BZ48" s="117"/>
      <c r="CA48" s="117"/>
      <c r="CB48" s="117"/>
      <c r="CC48" s="117"/>
      <c r="CD48" s="117"/>
      <c r="CE48" s="117"/>
      <c r="CF48" s="117"/>
      <c r="CG48" s="117"/>
      <c r="CH48" s="117"/>
      <c r="CI48" s="117"/>
      <c r="CJ48" s="117"/>
      <c r="CK48" s="117"/>
      <c r="CL48" s="117"/>
      <c r="CM48" s="117"/>
      <c r="CN48" s="117"/>
      <c r="CO48" s="117"/>
      <c r="CP48" s="117"/>
      <c r="CQ48" s="117"/>
      <c r="CR48" s="117"/>
      <c r="CS48" s="117"/>
      <c r="CT48" s="117"/>
      <c r="CU48" s="117"/>
      <c r="CV48" s="117"/>
      <c r="CW48" s="117"/>
      <c r="CX48" s="117"/>
      <c r="CY48" s="117"/>
      <c r="CZ48" s="117"/>
      <c r="DA48" s="117"/>
      <c r="DB48" s="117"/>
      <c r="DC48" s="117"/>
      <c r="DD48" s="117"/>
      <c r="DE48" s="117"/>
      <c r="DF48" s="117"/>
      <c r="DG48" s="117"/>
      <c r="DH48" s="117"/>
      <c r="DI48" s="117"/>
      <c r="DJ48" s="117"/>
      <c r="DK48" s="117"/>
      <c r="DL48" s="117"/>
      <c r="DM48" s="117"/>
      <c r="DN48" s="117"/>
      <c r="DO48" s="117"/>
      <c r="DP48" s="117"/>
      <c r="DQ48" s="117"/>
      <c r="DR48" s="117"/>
      <c r="DS48" s="117"/>
      <c r="DT48" s="117"/>
      <c r="DU48" s="117"/>
      <c r="DV48" s="117"/>
      <c r="DW48" s="117"/>
      <c r="DX48" s="117"/>
      <c r="DY48" s="117"/>
      <c r="DZ48" s="117"/>
      <c r="EA48" s="117"/>
      <c r="EB48" s="117"/>
      <c r="EC48" s="117"/>
      <c r="ED48" s="117"/>
      <c r="EE48" s="117"/>
      <c r="EF48" s="117"/>
      <c r="EG48" s="117"/>
      <c r="EH48" s="117"/>
      <c r="EI48" s="117"/>
      <c r="EJ48" s="117"/>
      <c r="EK48" s="117"/>
      <c r="EL48" s="117"/>
      <c r="EM48" s="117"/>
      <c r="EN48" s="117"/>
    </row>
    <row r="49" spans="1:144" s="129" customFormat="1" ht="11.25" x14ac:dyDescent="0.2">
      <c r="A49" s="141"/>
      <c r="C49" s="143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17"/>
      <c r="BG49" s="117"/>
      <c r="BH49" s="117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117"/>
      <c r="BT49" s="117"/>
      <c r="BU49" s="117"/>
      <c r="BV49" s="117"/>
      <c r="BW49" s="117"/>
      <c r="BX49" s="117"/>
      <c r="BY49" s="117"/>
      <c r="BZ49" s="117"/>
      <c r="CA49" s="117"/>
      <c r="CB49" s="117"/>
      <c r="CC49" s="117"/>
      <c r="CD49" s="117"/>
      <c r="CE49" s="117"/>
      <c r="CF49" s="117"/>
      <c r="CG49" s="117"/>
      <c r="CH49" s="117"/>
      <c r="CI49" s="117"/>
      <c r="CJ49" s="117"/>
      <c r="CK49" s="117"/>
      <c r="CL49" s="117"/>
      <c r="CM49" s="117"/>
      <c r="CN49" s="117"/>
      <c r="CO49" s="117"/>
      <c r="CP49" s="117"/>
      <c r="CQ49" s="117"/>
      <c r="CR49" s="117"/>
      <c r="CS49" s="117"/>
      <c r="CT49" s="117"/>
      <c r="CU49" s="117"/>
      <c r="CV49" s="117"/>
      <c r="CW49" s="117"/>
      <c r="CX49" s="117"/>
      <c r="CY49" s="117"/>
      <c r="CZ49" s="117"/>
      <c r="DA49" s="117"/>
      <c r="DB49" s="117"/>
      <c r="DC49" s="117"/>
      <c r="DD49" s="117"/>
      <c r="DE49" s="117"/>
      <c r="DF49" s="117"/>
      <c r="DG49" s="117"/>
      <c r="DH49" s="117"/>
      <c r="DI49" s="117"/>
      <c r="DJ49" s="117"/>
      <c r="DK49" s="117"/>
      <c r="DL49" s="117"/>
      <c r="DM49" s="117"/>
      <c r="DN49" s="117"/>
      <c r="DO49" s="117"/>
      <c r="DP49" s="117"/>
      <c r="DQ49" s="117"/>
      <c r="DR49" s="117"/>
      <c r="DS49" s="117"/>
      <c r="DT49" s="117"/>
      <c r="DU49" s="117"/>
      <c r="DV49" s="117"/>
      <c r="DW49" s="117"/>
      <c r="DX49" s="117"/>
      <c r="DY49" s="117"/>
      <c r="DZ49" s="117"/>
      <c r="EA49" s="117"/>
      <c r="EB49" s="117"/>
      <c r="EC49" s="117"/>
      <c r="ED49" s="117"/>
      <c r="EE49" s="117"/>
      <c r="EF49" s="117"/>
      <c r="EG49" s="117"/>
      <c r="EH49" s="117"/>
      <c r="EI49" s="117"/>
      <c r="EJ49" s="117"/>
      <c r="EK49" s="117"/>
      <c r="EL49" s="117"/>
      <c r="EM49" s="117"/>
      <c r="EN49" s="117"/>
    </row>
    <row r="50" spans="1:144" s="129" customFormat="1" ht="11.25" x14ac:dyDescent="0.2">
      <c r="A50" s="141">
        <v>3</v>
      </c>
      <c r="B50" s="146" t="s">
        <v>113</v>
      </c>
      <c r="C50" s="125" t="s">
        <v>16</v>
      </c>
      <c r="D50" s="142">
        <f>+'[4]II-H-1.6 Tran'!D43+'[5]II-H-1.6 Tran'!D44</f>
        <v>-31514.853248646152</v>
      </c>
      <c r="E50" s="142">
        <f>+'[4]II-H-1.6 Tran'!E43+'[5]II-H-1.6 Tran'!E44</f>
        <v>-11048.871924974273</v>
      </c>
      <c r="F50" s="142">
        <f>+'[4]II-H-1.6 Tran'!F43+'[5]II-H-1.6 Tran'!F44</f>
        <v>-38327.116840623239</v>
      </c>
      <c r="G50" s="142">
        <f>+'[4]II-H-1.6 Tran'!G43+'[5]II-H-1.6 Tran'!G44</f>
        <v>-15656.652115360459</v>
      </c>
      <c r="H50" s="142">
        <f>+'[4]II-H-1.6 Tran'!H43+'[5]II-H-1.6 Tran'!H44</f>
        <v>44739.677640437883</v>
      </c>
      <c r="I50" s="142">
        <f>+'[4]II-H-1.6 Tran'!I43+'[5]II-H-1.6 Tran'!I44</f>
        <v>-71933.396584069109</v>
      </c>
      <c r="J50" s="142">
        <f>+'[4]II-H-1.6 Tran'!J43+'[5]II-H-1.6 Tran'!J44</f>
        <v>5962.3409932282884</v>
      </c>
      <c r="K50" s="142">
        <f>+'[4]II-H-1.6 Tran'!K43+'[5]II-H-1.6 Tran'!K44</f>
        <v>19916.635388287683</v>
      </c>
      <c r="L50" s="142">
        <f>+'[4]II-H-1.6 Tran'!L43+'[5]II-H-1.6 Tran'!L44</f>
        <v>2517.1828651238338</v>
      </c>
      <c r="M50" s="142">
        <f>+'[4]II-H-1.6 Tran'!M43+'[5]II-H-1.6 Tran'!M44</f>
        <v>11244.934358980114</v>
      </c>
      <c r="N50" s="142">
        <f>+'[4]II-H-1.6 Tran'!N43+'[5]II-H-1.6 Tran'!N44</f>
        <v>49259.548396764338</v>
      </c>
      <c r="O50" s="142">
        <f>+'[4]II-H-1.6 Tran'!O43+'[5]II-H-1.6 Tran'!O44</f>
        <v>31437.289738176016</v>
      </c>
      <c r="P50" s="127">
        <f>SUM(D50:O50)</f>
        <v>-3403.2813326750875</v>
      </c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7"/>
      <c r="BQ50" s="117"/>
      <c r="BR50" s="117"/>
      <c r="BS50" s="117"/>
      <c r="BT50" s="117"/>
      <c r="BU50" s="117"/>
      <c r="BV50" s="117"/>
      <c r="BW50" s="117"/>
      <c r="BX50" s="117"/>
      <c r="BY50" s="117"/>
      <c r="BZ50" s="117"/>
      <c r="CA50" s="117"/>
      <c r="CB50" s="117"/>
      <c r="CC50" s="117"/>
      <c r="CD50" s="117"/>
      <c r="CE50" s="117"/>
      <c r="CF50" s="117"/>
      <c r="CG50" s="117"/>
      <c r="CH50" s="117"/>
      <c r="CI50" s="117"/>
      <c r="CJ50" s="117"/>
      <c r="CK50" s="117"/>
      <c r="CL50" s="117"/>
      <c r="CM50" s="117"/>
      <c r="CN50" s="117"/>
      <c r="CO50" s="117"/>
      <c r="CP50" s="117"/>
      <c r="CQ50" s="117"/>
      <c r="CR50" s="117"/>
      <c r="CS50" s="117"/>
      <c r="CT50" s="117"/>
      <c r="CU50" s="117"/>
      <c r="CV50" s="117"/>
      <c r="CW50" s="117"/>
      <c r="CX50" s="117"/>
      <c r="CY50" s="117"/>
      <c r="CZ50" s="117"/>
      <c r="DA50" s="117"/>
      <c r="DB50" s="117"/>
      <c r="DC50" s="117"/>
      <c r="DD50" s="117"/>
      <c r="DE50" s="117"/>
      <c r="DF50" s="117"/>
      <c r="DG50" s="117"/>
      <c r="DH50" s="117"/>
      <c r="DI50" s="117"/>
      <c r="DJ50" s="117"/>
      <c r="DK50" s="117"/>
      <c r="DL50" s="117"/>
      <c r="DM50" s="117"/>
      <c r="DN50" s="117"/>
      <c r="DO50" s="117"/>
      <c r="DP50" s="117"/>
      <c r="DQ50" s="117"/>
      <c r="DR50" s="117"/>
      <c r="DS50" s="117"/>
      <c r="DT50" s="117"/>
      <c r="DU50" s="117"/>
      <c r="DV50" s="117"/>
      <c r="DW50" s="117"/>
      <c r="DX50" s="117"/>
      <c r="DY50" s="117"/>
      <c r="DZ50" s="117"/>
      <c r="EA50" s="117"/>
      <c r="EB50" s="117"/>
      <c r="EC50" s="117"/>
      <c r="ED50" s="117"/>
      <c r="EE50" s="117"/>
      <c r="EF50" s="117"/>
      <c r="EG50" s="117"/>
      <c r="EH50" s="117"/>
      <c r="EI50" s="117"/>
      <c r="EJ50" s="117"/>
      <c r="EK50" s="117"/>
      <c r="EL50" s="117"/>
      <c r="EM50" s="117"/>
      <c r="EN50" s="117"/>
    </row>
    <row r="51" spans="1:144" s="129" customFormat="1" ht="11.25" x14ac:dyDescent="0.2">
      <c r="A51" s="141">
        <v>4</v>
      </c>
      <c r="B51" s="146" t="s">
        <v>114</v>
      </c>
      <c r="C51" s="125" t="s">
        <v>16</v>
      </c>
      <c r="D51" s="123">
        <f>+'[4]II-H-1.6 Tran'!D44+'[5]II-H-1.6 Tran'!D45</f>
        <v>-2310.2062194946675</v>
      </c>
      <c r="E51" s="123">
        <f>+'[4]II-H-1.6 Tran'!E44+'[5]II-H-1.6 Tran'!E45</f>
        <v>-926.11568556123177</v>
      </c>
      <c r="F51" s="123">
        <f>+'[4]II-H-1.6 Tran'!F44+'[5]II-H-1.6 Tran'!F45</f>
        <v>-2586.5340320058926</v>
      </c>
      <c r="G51" s="123">
        <f>+'[4]II-H-1.6 Tran'!G44+'[5]II-H-1.6 Tran'!G45</f>
        <v>-944.73036124963664</v>
      </c>
      <c r="H51" s="123">
        <f>+'[4]II-H-1.6 Tran'!H44+'[5]II-H-1.6 Tran'!H45</f>
        <v>3117.3738369866478</v>
      </c>
      <c r="I51" s="123">
        <f>+'[4]II-H-1.6 Tran'!I44+'[5]II-H-1.6 Tran'!I45</f>
        <v>-5994.3913855278452</v>
      </c>
      <c r="J51" s="123">
        <f>+'[4]II-H-1.6 Tran'!J44+'[5]II-H-1.6 Tran'!J45</f>
        <v>-43.132451792440179</v>
      </c>
      <c r="K51" s="123">
        <f>+'[4]II-H-1.6 Tran'!K44+'[5]II-H-1.6 Tran'!K45</f>
        <v>1354.0169526715815</v>
      </c>
      <c r="L51" s="123">
        <f>+'[4]II-H-1.6 Tran'!L44+'[5]II-H-1.6 Tran'!L45</f>
        <v>391.07028161267044</v>
      </c>
      <c r="M51" s="123">
        <f>+'[4]II-H-1.6 Tran'!M44+'[5]II-H-1.6 Tran'!M45</f>
        <v>909.27987652851664</v>
      </c>
      <c r="N51" s="123">
        <f>+'[4]II-H-1.6 Tran'!N44+'[5]II-H-1.6 Tran'!N45</f>
        <v>2906.8050999444058</v>
      </c>
      <c r="O51" s="123">
        <f>+'[4]II-H-1.6 Tran'!O44+'[5]II-H-1.6 Tran'!O45</f>
        <v>1789.3002359981856</v>
      </c>
      <c r="P51" s="167">
        <f>SUM(D51:O51)</f>
        <v>-2337.2638518897038</v>
      </c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7"/>
      <c r="BQ51" s="117"/>
      <c r="BR51" s="117"/>
      <c r="BS51" s="117"/>
      <c r="BT51" s="117"/>
      <c r="BU51" s="117"/>
      <c r="BV51" s="117"/>
      <c r="BW51" s="117"/>
      <c r="BX51" s="117"/>
      <c r="BY51" s="117"/>
      <c r="BZ51" s="117"/>
      <c r="CA51" s="117"/>
      <c r="CB51" s="117"/>
      <c r="CC51" s="117"/>
      <c r="CD51" s="117"/>
      <c r="CE51" s="117"/>
      <c r="CF51" s="117"/>
      <c r="CG51" s="117"/>
      <c r="CH51" s="117"/>
      <c r="CI51" s="117"/>
      <c r="CJ51" s="117"/>
      <c r="CK51" s="117"/>
      <c r="CL51" s="117"/>
      <c r="CM51" s="117"/>
      <c r="CN51" s="117"/>
      <c r="CO51" s="117"/>
      <c r="CP51" s="117"/>
      <c r="CQ51" s="117"/>
      <c r="CR51" s="117"/>
      <c r="CS51" s="117"/>
      <c r="CT51" s="117"/>
      <c r="CU51" s="117"/>
      <c r="CV51" s="117"/>
      <c r="CW51" s="117"/>
      <c r="CX51" s="117"/>
      <c r="CY51" s="117"/>
      <c r="CZ51" s="117"/>
      <c r="DA51" s="117"/>
      <c r="DB51" s="117"/>
      <c r="DC51" s="117"/>
      <c r="DD51" s="117"/>
      <c r="DE51" s="117"/>
      <c r="DF51" s="117"/>
      <c r="DG51" s="117"/>
      <c r="DH51" s="117"/>
      <c r="DI51" s="117"/>
      <c r="DJ51" s="117"/>
      <c r="DK51" s="117"/>
      <c r="DL51" s="117"/>
      <c r="DM51" s="117"/>
      <c r="DN51" s="117"/>
      <c r="DO51" s="117"/>
      <c r="DP51" s="117"/>
      <c r="DQ51" s="117"/>
      <c r="DR51" s="117"/>
      <c r="DS51" s="117"/>
      <c r="DT51" s="117"/>
      <c r="DU51" s="117"/>
      <c r="DV51" s="117"/>
      <c r="DW51" s="117"/>
      <c r="DX51" s="117"/>
      <c r="DY51" s="117"/>
      <c r="DZ51" s="117"/>
      <c r="EA51" s="117"/>
      <c r="EB51" s="117"/>
      <c r="EC51" s="117"/>
      <c r="ED51" s="117"/>
      <c r="EE51" s="117"/>
      <c r="EF51" s="117"/>
      <c r="EG51" s="117"/>
      <c r="EH51" s="117"/>
      <c r="EI51" s="117"/>
      <c r="EJ51" s="117"/>
      <c r="EK51" s="117"/>
      <c r="EL51" s="117"/>
      <c r="EM51" s="117"/>
      <c r="EN51" s="117"/>
    </row>
    <row r="52" spans="1:144" s="129" customFormat="1" ht="11.25" x14ac:dyDescent="0.2">
      <c r="A52" s="141">
        <v>5</v>
      </c>
      <c r="B52" s="162" t="s">
        <v>30</v>
      </c>
      <c r="C52" s="143"/>
      <c r="D52" s="157">
        <f t="shared" ref="D52:P52" si="6">SUM(D50:D51)</f>
        <v>-33825.059468140818</v>
      </c>
      <c r="E52" s="157">
        <f t="shared" si="6"/>
        <v>-11974.987610535505</v>
      </c>
      <c r="F52" s="157">
        <f t="shared" si="6"/>
        <v>-40913.650872629129</v>
      </c>
      <c r="G52" s="157">
        <f t="shared" si="6"/>
        <v>-16601.382476610095</v>
      </c>
      <c r="H52" s="157">
        <f t="shared" si="6"/>
        <v>47857.051477424531</v>
      </c>
      <c r="I52" s="157">
        <f t="shared" si="6"/>
        <v>-77927.78796959696</v>
      </c>
      <c r="J52" s="157">
        <f t="shared" si="6"/>
        <v>5919.208541435848</v>
      </c>
      <c r="K52" s="157">
        <f t="shared" si="6"/>
        <v>21270.652340959263</v>
      </c>
      <c r="L52" s="157">
        <f t="shared" si="6"/>
        <v>2908.2531467365043</v>
      </c>
      <c r="M52" s="157">
        <f t="shared" si="6"/>
        <v>12154.214235508631</v>
      </c>
      <c r="N52" s="157">
        <f t="shared" si="6"/>
        <v>52166.353496708747</v>
      </c>
      <c r="O52" s="157">
        <f t="shared" si="6"/>
        <v>33226.589974174203</v>
      </c>
      <c r="P52" s="157">
        <f t="shared" si="6"/>
        <v>-5740.5451845647913</v>
      </c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C52" s="117"/>
      <c r="BD52" s="117"/>
      <c r="BE52" s="117"/>
      <c r="BF52" s="117"/>
      <c r="BG52" s="117"/>
      <c r="BH52" s="117"/>
      <c r="BI52" s="117"/>
      <c r="BJ52" s="117"/>
      <c r="BK52" s="117"/>
      <c r="BL52" s="117"/>
      <c r="BM52" s="117"/>
      <c r="BN52" s="117"/>
      <c r="BO52" s="117"/>
      <c r="BP52" s="117"/>
      <c r="BQ52" s="117"/>
      <c r="BR52" s="117"/>
      <c r="BS52" s="117"/>
      <c r="BT52" s="117"/>
      <c r="BU52" s="117"/>
      <c r="BV52" s="117"/>
      <c r="BW52" s="117"/>
      <c r="BX52" s="117"/>
      <c r="BY52" s="117"/>
      <c r="BZ52" s="117"/>
      <c r="CA52" s="117"/>
      <c r="CB52" s="117"/>
      <c r="CC52" s="117"/>
      <c r="CD52" s="117"/>
      <c r="CE52" s="117"/>
      <c r="CF52" s="117"/>
      <c r="CG52" s="117"/>
      <c r="CH52" s="117"/>
      <c r="CI52" s="117"/>
      <c r="CJ52" s="117"/>
      <c r="CK52" s="117"/>
      <c r="CL52" s="117"/>
      <c r="CM52" s="117"/>
      <c r="CN52" s="117"/>
      <c r="CO52" s="117"/>
      <c r="CP52" s="117"/>
      <c r="CQ52" s="117"/>
      <c r="CR52" s="117"/>
      <c r="CS52" s="117"/>
      <c r="CT52" s="117"/>
      <c r="CU52" s="117"/>
      <c r="CV52" s="117"/>
      <c r="CW52" s="117"/>
      <c r="CX52" s="117"/>
      <c r="CY52" s="117"/>
      <c r="CZ52" s="117"/>
      <c r="DA52" s="117"/>
      <c r="DB52" s="117"/>
      <c r="DC52" s="117"/>
      <c r="DD52" s="117"/>
      <c r="DE52" s="117"/>
      <c r="DF52" s="117"/>
      <c r="DG52" s="117"/>
      <c r="DH52" s="117"/>
      <c r="DI52" s="117"/>
      <c r="DJ52" s="117"/>
      <c r="DK52" s="117"/>
      <c r="DL52" s="117"/>
      <c r="DM52" s="117"/>
      <c r="DN52" s="117"/>
      <c r="DO52" s="117"/>
      <c r="DP52" s="117"/>
      <c r="DQ52" s="117"/>
      <c r="DR52" s="117"/>
      <c r="DS52" s="117"/>
      <c r="DT52" s="117"/>
      <c r="DU52" s="117"/>
      <c r="DV52" s="117"/>
      <c r="DW52" s="117"/>
      <c r="DX52" s="117"/>
      <c r="DY52" s="117"/>
      <c r="DZ52" s="117"/>
      <c r="EA52" s="117"/>
      <c r="EB52" s="117"/>
      <c r="EC52" s="117"/>
      <c r="ED52" s="117"/>
      <c r="EE52" s="117"/>
      <c r="EF52" s="117"/>
      <c r="EG52" s="117"/>
      <c r="EH52" s="117"/>
      <c r="EI52" s="117"/>
      <c r="EJ52" s="117"/>
      <c r="EK52" s="117"/>
      <c r="EL52" s="117"/>
      <c r="EM52" s="117"/>
      <c r="EN52" s="117"/>
    </row>
    <row r="53" spans="1:144" s="129" customFormat="1" ht="11.25" x14ac:dyDescent="0.2">
      <c r="B53" s="242"/>
      <c r="C53" s="143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22"/>
      <c r="O53" s="122"/>
      <c r="P53" s="12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17"/>
      <c r="BF53" s="117"/>
      <c r="BG53" s="117"/>
      <c r="BH53" s="117"/>
      <c r="BI53" s="117"/>
      <c r="BJ53" s="117"/>
      <c r="BK53" s="117"/>
      <c r="BL53" s="117"/>
      <c r="BM53" s="117"/>
      <c r="BN53" s="117"/>
      <c r="BO53" s="117"/>
      <c r="BP53" s="117"/>
      <c r="BQ53" s="117"/>
      <c r="BR53" s="117"/>
      <c r="BS53" s="117"/>
      <c r="BT53" s="117"/>
      <c r="BU53" s="117"/>
      <c r="BV53" s="117"/>
      <c r="BW53" s="117"/>
      <c r="BX53" s="117"/>
      <c r="BY53" s="117"/>
      <c r="BZ53" s="117"/>
      <c r="CA53" s="117"/>
      <c r="CB53" s="117"/>
      <c r="CC53" s="117"/>
      <c r="CD53" s="117"/>
      <c r="CE53" s="117"/>
      <c r="CF53" s="117"/>
      <c r="CG53" s="117"/>
      <c r="CH53" s="117"/>
      <c r="CI53" s="117"/>
      <c r="CJ53" s="117"/>
      <c r="CK53" s="117"/>
      <c r="CL53" s="117"/>
      <c r="CM53" s="117"/>
      <c r="CN53" s="117"/>
      <c r="CO53" s="117"/>
      <c r="CP53" s="117"/>
      <c r="CQ53" s="117"/>
      <c r="CR53" s="117"/>
      <c r="CS53" s="117"/>
      <c r="CT53" s="117"/>
      <c r="CU53" s="117"/>
      <c r="CV53" s="117"/>
      <c r="CW53" s="117"/>
      <c r="CX53" s="117"/>
      <c r="CY53" s="117"/>
      <c r="CZ53" s="117"/>
      <c r="DA53" s="117"/>
      <c r="DB53" s="117"/>
      <c r="DC53" s="117"/>
      <c r="DD53" s="117"/>
      <c r="DE53" s="117"/>
      <c r="DF53" s="117"/>
      <c r="DG53" s="117"/>
      <c r="DH53" s="117"/>
      <c r="DI53" s="117"/>
      <c r="DJ53" s="117"/>
      <c r="DK53" s="117"/>
      <c r="DL53" s="117"/>
      <c r="DM53" s="117"/>
      <c r="DN53" s="117"/>
      <c r="DO53" s="117"/>
      <c r="DP53" s="117"/>
      <c r="DQ53" s="117"/>
      <c r="DR53" s="117"/>
      <c r="DS53" s="117"/>
      <c r="DT53" s="117"/>
      <c r="DU53" s="117"/>
      <c r="DV53" s="117"/>
      <c r="DW53" s="117"/>
      <c r="DX53" s="117"/>
      <c r="DY53" s="117"/>
      <c r="DZ53" s="117"/>
      <c r="EA53" s="117"/>
      <c r="EB53" s="117"/>
      <c r="EC53" s="117"/>
      <c r="ED53" s="117"/>
      <c r="EE53" s="117"/>
      <c r="EF53" s="117"/>
      <c r="EG53" s="117"/>
      <c r="EH53" s="117"/>
      <c r="EI53" s="117"/>
      <c r="EJ53" s="117"/>
      <c r="EK53" s="117"/>
      <c r="EL53" s="117"/>
      <c r="EM53" s="117"/>
      <c r="EN53" s="117"/>
    </row>
    <row r="54" spans="1:144" s="129" customFormat="1" ht="11.25" x14ac:dyDescent="0.2">
      <c r="A54" s="141">
        <v>6</v>
      </c>
      <c r="B54" s="146" t="s">
        <v>110</v>
      </c>
      <c r="C54" s="125" t="s">
        <v>17</v>
      </c>
      <c r="D54" s="142">
        <f>+'[4]II-H-1.6 Tran'!D47+'[5]II-H-1.6 Tran'!D48</f>
        <v>-4009.9581049069006</v>
      </c>
      <c r="E54" s="142">
        <f>+'[4]II-H-1.6 Tran'!E47+'[5]II-H-1.6 Tran'!E48</f>
        <v>-1290.7214885951309</v>
      </c>
      <c r="F54" s="142">
        <f>+'[4]II-H-1.6 Tran'!F47+'[5]II-H-1.6 Tran'!F48</f>
        <v>-6429.4268554286609</v>
      </c>
      <c r="G54" s="142">
        <f>+'[4]II-H-1.6 Tran'!G47+'[5]II-H-1.6 Tran'!G48</f>
        <v>-2931.6878041857608</v>
      </c>
      <c r="H54" s="142">
        <f>+'[4]II-H-1.6 Tran'!H47+'[5]II-H-1.6 Tran'!H48</f>
        <v>8560.8078442769129</v>
      </c>
      <c r="I54" s="142">
        <f>+'[4]II-H-1.6 Tran'!I47+'[5]II-H-1.6 Tran'!I48</f>
        <v>-12772.613128482692</v>
      </c>
      <c r="J54" s="142">
        <f>+'[4]II-H-1.6 Tran'!J47+'[5]II-H-1.6 Tran'!J48</f>
        <v>1073.3317653825834</v>
      </c>
      <c r="K54" s="142">
        <f>+'[4]II-H-1.6 Tran'!K47+'[5]II-H-1.6 Tran'!K48</f>
        <v>3592.1903364369373</v>
      </c>
      <c r="L54" s="142">
        <f>+'[4]II-H-1.6 Tran'!L47+'[5]II-H-1.6 Tran'!L48</f>
        <v>212.7024793633534</v>
      </c>
      <c r="M54" s="142">
        <f>+'[4]II-H-1.6 Tran'!M47+'[5]II-H-1.6 Tran'!M48</f>
        <v>1415.0490196173107</v>
      </c>
      <c r="N54" s="142">
        <f>+'[4]II-H-1.6 Tran'!N47+'[5]II-H-1.6 Tran'!N48</f>
        <v>9701.5259997157809</v>
      </c>
      <c r="O54" s="142">
        <f>+'[4]II-H-1.6 Tran'!O47+'[5]II-H-1.6 Tran'!O48</f>
        <v>5541.5440896369028</v>
      </c>
      <c r="P54" s="127">
        <f>SUM(D54:O54)</f>
        <v>2662.7441528306363</v>
      </c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7"/>
      <c r="BH54" s="117"/>
      <c r="BI54" s="117"/>
      <c r="BJ54" s="117"/>
      <c r="BK54" s="117"/>
      <c r="BL54" s="117"/>
      <c r="BM54" s="117"/>
      <c r="BN54" s="117"/>
      <c r="BO54" s="117"/>
      <c r="BP54" s="117"/>
      <c r="BQ54" s="117"/>
      <c r="BR54" s="117"/>
      <c r="BS54" s="117"/>
      <c r="BT54" s="117"/>
      <c r="BU54" s="117"/>
      <c r="BV54" s="117"/>
      <c r="BW54" s="117"/>
      <c r="BX54" s="117"/>
      <c r="BY54" s="117"/>
      <c r="BZ54" s="117"/>
      <c r="CA54" s="117"/>
      <c r="CB54" s="117"/>
      <c r="CC54" s="117"/>
      <c r="CD54" s="117"/>
      <c r="CE54" s="117"/>
      <c r="CF54" s="117"/>
      <c r="CG54" s="117"/>
      <c r="CH54" s="117"/>
      <c r="CI54" s="117"/>
      <c r="CJ54" s="117"/>
      <c r="CK54" s="117"/>
      <c r="CL54" s="117"/>
      <c r="CM54" s="117"/>
      <c r="CN54" s="117"/>
      <c r="CO54" s="117"/>
      <c r="CP54" s="117"/>
      <c r="CQ54" s="117"/>
      <c r="CR54" s="117"/>
      <c r="CS54" s="117"/>
      <c r="CT54" s="117"/>
      <c r="CU54" s="117"/>
      <c r="CV54" s="117"/>
      <c r="CW54" s="117"/>
      <c r="CX54" s="117"/>
      <c r="CY54" s="117"/>
      <c r="CZ54" s="117"/>
      <c r="DA54" s="117"/>
      <c r="DB54" s="117"/>
      <c r="DC54" s="117"/>
      <c r="DD54" s="117"/>
      <c r="DE54" s="117"/>
      <c r="DF54" s="117"/>
      <c r="DG54" s="117"/>
      <c r="DH54" s="117"/>
      <c r="DI54" s="117"/>
      <c r="DJ54" s="117"/>
      <c r="DK54" s="117"/>
      <c r="DL54" s="117"/>
      <c r="DM54" s="117"/>
      <c r="DN54" s="117"/>
      <c r="DO54" s="117"/>
      <c r="DP54" s="117"/>
      <c r="DQ54" s="117"/>
      <c r="DR54" s="117"/>
      <c r="DS54" s="117"/>
      <c r="DT54" s="117"/>
      <c r="DU54" s="117"/>
      <c r="DV54" s="117"/>
      <c r="DW54" s="117"/>
      <c r="DX54" s="117"/>
      <c r="DY54" s="117"/>
      <c r="DZ54" s="117"/>
      <c r="EA54" s="117"/>
      <c r="EB54" s="117"/>
      <c r="EC54" s="117"/>
      <c r="ED54" s="117"/>
      <c r="EE54" s="117"/>
      <c r="EF54" s="117"/>
      <c r="EG54" s="117"/>
      <c r="EH54" s="117"/>
      <c r="EI54" s="117"/>
      <c r="EJ54" s="117"/>
      <c r="EK54" s="117"/>
      <c r="EL54" s="117"/>
      <c r="EM54" s="117"/>
      <c r="EN54" s="117"/>
    </row>
    <row r="55" spans="1:144" s="129" customFormat="1" ht="11.25" x14ac:dyDescent="0.2">
      <c r="A55" s="141">
        <v>7</v>
      </c>
      <c r="B55" s="146" t="s">
        <v>111</v>
      </c>
      <c r="C55" s="125" t="s">
        <v>17</v>
      </c>
      <c r="D55" s="123">
        <f>+'[4]II-H-1.6 Tran'!D48+'[5]II-H-1.6 Tran'!D49</f>
        <v>0</v>
      </c>
      <c r="E55" s="123">
        <f>+'[4]II-H-1.6 Tran'!E48+'[5]II-H-1.6 Tran'!E49</f>
        <v>0</v>
      </c>
      <c r="F55" s="123">
        <f>+'[4]II-H-1.6 Tran'!F48+'[5]II-H-1.6 Tran'!F49</f>
        <v>0</v>
      </c>
      <c r="G55" s="123">
        <f>+'[4]II-H-1.6 Tran'!G48+'[5]II-H-1.6 Tran'!G49</f>
        <v>0</v>
      </c>
      <c r="H55" s="123">
        <f>+'[4]II-H-1.6 Tran'!H48+'[5]II-H-1.6 Tran'!H49</f>
        <v>0</v>
      </c>
      <c r="I55" s="123">
        <f>+'[4]II-H-1.6 Tran'!I48+'[5]II-H-1.6 Tran'!I49</f>
        <v>0</v>
      </c>
      <c r="J55" s="123">
        <f>+'[4]II-H-1.6 Tran'!J48+'[5]II-H-1.6 Tran'!J49</f>
        <v>0</v>
      </c>
      <c r="K55" s="123">
        <f>+'[4]II-H-1.6 Tran'!K48+'[5]II-H-1.6 Tran'!K49</f>
        <v>0</v>
      </c>
      <c r="L55" s="123">
        <f>+'[4]II-H-1.6 Tran'!L48+'[5]II-H-1.6 Tran'!L49</f>
        <v>0</v>
      </c>
      <c r="M55" s="123">
        <f>+'[4]II-H-1.6 Tran'!M48+'[5]II-H-1.6 Tran'!M49</f>
        <v>0</v>
      </c>
      <c r="N55" s="123">
        <f>+'[4]II-H-1.6 Tran'!N48+'[5]II-H-1.6 Tran'!N49</f>
        <v>0</v>
      </c>
      <c r="O55" s="123">
        <f>+'[4]II-H-1.6 Tran'!O48+'[5]II-H-1.6 Tran'!O49</f>
        <v>0</v>
      </c>
      <c r="P55" s="167">
        <f>SUM(D55:O55)</f>
        <v>0</v>
      </c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117"/>
      <c r="BS55" s="117"/>
      <c r="BT55" s="117"/>
      <c r="BU55" s="117"/>
      <c r="BV55" s="117"/>
      <c r="BW55" s="117"/>
      <c r="BX55" s="117"/>
      <c r="BY55" s="117"/>
      <c r="BZ55" s="117"/>
      <c r="CA55" s="117"/>
      <c r="CB55" s="117"/>
      <c r="CC55" s="117"/>
      <c r="CD55" s="117"/>
      <c r="CE55" s="117"/>
      <c r="CF55" s="117"/>
      <c r="CG55" s="117"/>
      <c r="CH55" s="117"/>
      <c r="CI55" s="117"/>
      <c r="CJ55" s="117"/>
      <c r="CK55" s="117"/>
      <c r="CL55" s="117"/>
      <c r="CM55" s="117"/>
      <c r="CN55" s="117"/>
      <c r="CO55" s="117"/>
      <c r="CP55" s="117"/>
      <c r="CQ55" s="117"/>
      <c r="CR55" s="117"/>
      <c r="CS55" s="117"/>
      <c r="CT55" s="117"/>
      <c r="CU55" s="117"/>
      <c r="CV55" s="117"/>
      <c r="CW55" s="117"/>
      <c r="CX55" s="117"/>
      <c r="CY55" s="117"/>
      <c r="CZ55" s="117"/>
      <c r="DA55" s="117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7"/>
      <c r="DO55" s="117"/>
      <c r="DP55" s="117"/>
      <c r="DQ55" s="117"/>
      <c r="DR55" s="117"/>
      <c r="DS55" s="117"/>
      <c r="DT55" s="117"/>
      <c r="DU55" s="117"/>
      <c r="DV55" s="117"/>
      <c r="DW55" s="117"/>
      <c r="DX55" s="117"/>
      <c r="DY55" s="117"/>
      <c r="DZ55" s="117"/>
      <c r="EA55" s="117"/>
      <c r="EB55" s="117"/>
      <c r="EC55" s="117"/>
      <c r="ED55" s="117"/>
      <c r="EE55" s="117"/>
      <c r="EF55" s="117"/>
      <c r="EG55" s="117"/>
      <c r="EH55" s="117"/>
      <c r="EI55" s="117"/>
      <c r="EJ55" s="117"/>
      <c r="EK55" s="117"/>
      <c r="EL55" s="117"/>
      <c r="EM55" s="117"/>
      <c r="EN55" s="117"/>
    </row>
    <row r="56" spans="1:144" s="129" customFormat="1" ht="11.25" x14ac:dyDescent="0.2">
      <c r="A56" s="141">
        <v>8</v>
      </c>
      <c r="B56" s="129" t="s">
        <v>31</v>
      </c>
      <c r="C56" s="125"/>
      <c r="D56" s="122">
        <f t="shared" ref="D56:P56" si="7">SUM(D54:D55)</f>
        <v>-4009.9581049069006</v>
      </c>
      <c r="E56" s="122">
        <f t="shared" si="7"/>
        <v>-1290.7214885951309</v>
      </c>
      <c r="F56" s="122">
        <f t="shared" si="7"/>
        <v>-6429.4268554286609</v>
      </c>
      <c r="G56" s="122">
        <f t="shared" si="7"/>
        <v>-2931.6878041857608</v>
      </c>
      <c r="H56" s="122">
        <f t="shared" si="7"/>
        <v>8560.8078442769129</v>
      </c>
      <c r="I56" s="122">
        <f t="shared" si="7"/>
        <v>-12772.613128482692</v>
      </c>
      <c r="J56" s="122">
        <f t="shared" si="7"/>
        <v>1073.3317653825834</v>
      </c>
      <c r="K56" s="122">
        <f t="shared" si="7"/>
        <v>3592.1903364369373</v>
      </c>
      <c r="L56" s="122">
        <f t="shared" si="7"/>
        <v>212.7024793633534</v>
      </c>
      <c r="M56" s="122">
        <f t="shared" si="7"/>
        <v>1415.0490196173107</v>
      </c>
      <c r="N56" s="122">
        <f t="shared" si="7"/>
        <v>9701.5259997157809</v>
      </c>
      <c r="O56" s="122">
        <f t="shared" si="7"/>
        <v>5541.5440896369028</v>
      </c>
      <c r="P56" s="122">
        <f t="shared" si="7"/>
        <v>2662.7441528306363</v>
      </c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  <c r="BE56" s="117"/>
      <c r="BF56" s="117"/>
      <c r="BG56" s="11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  <c r="BR56" s="117"/>
      <c r="BS56" s="117"/>
      <c r="BT56" s="117"/>
      <c r="BU56" s="117"/>
      <c r="BV56" s="117"/>
      <c r="BW56" s="117"/>
      <c r="BX56" s="117"/>
      <c r="BY56" s="117"/>
      <c r="BZ56" s="117"/>
      <c r="CA56" s="117"/>
      <c r="CB56" s="117"/>
      <c r="CC56" s="117"/>
      <c r="CD56" s="117"/>
      <c r="CE56" s="117"/>
      <c r="CF56" s="117"/>
      <c r="CG56" s="117"/>
      <c r="CH56" s="117"/>
      <c r="CI56" s="117"/>
      <c r="CJ56" s="117"/>
      <c r="CK56" s="117"/>
      <c r="CL56" s="117"/>
      <c r="CM56" s="117"/>
      <c r="CN56" s="117"/>
      <c r="CO56" s="117"/>
      <c r="CP56" s="117"/>
      <c r="CQ56" s="117"/>
      <c r="CR56" s="117"/>
      <c r="CS56" s="117"/>
      <c r="CT56" s="117"/>
      <c r="CU56" s="117"/>
      <c r="CV56" s="117"/>
      <c r="CW56" s="117"/>
      <c r="CX56" s="117"/>
      <c r="CY56" s="117"/>
      <c r="CZ56" s="117"/>
      <c r="DA56" s="117"/>
      <c r="DB56" s="117"/>
      <c r="DC56" s="117"/>
      <c r="DD56" s="117"/>
      <c r="DE56" s="117"/>
      <c r="DF56" s="117"/>
      <c r="DG56" s="117"/>
      <c r="DH56" s="117"/>
      <c r="DI56" s="117"/>
      <c r="DJ56" s="117"/>
      <c r="DK56" s="117"/>
      <c r="DL56" s="117"/>
      <c r="DM56" s="117"/>
      <c r="DN56" s="117"/>
      <c r="DO56" s="117"/>
      <c r="DP56" s="117"/>
      <c r="DQ56" s="117"/>
      <c r="DR56" s="117"/>
      <c r="DS56" s="117"/>
      <c r="DT56" s="117"/>
      <c r="DU56" s="117"/>
      <c r="DV56" s="117"/>
      <c r="DW56" s="117"/>
      <c r="DX56" s="117"/>
      <c r="DY56" s="117"/>
      <c r="DZ56" s="117"/>
      <c r="EA56" s="117"/>
      <c r="EB56" s="117"/>
      <c r="EC56" s="117"/>
      <c r="ED56" s="117"/>
      <c r="EE56" s="117"/>
      <c r="EF56" s="117"/>
      <c r="EG56" s="117"/>
      <c r="EH56" s="117"/>
      <c r="EI56" s="117"/>
      <c r="EJ56" s="117"/>
      <c r="EK56" s="117"/>
      <c r="EL56" s="117"/>
      <c r="EM56" s="117"/>
      <c r="EN56" s="117"/>
    </row>
    <row r="57" spans="1:144" s="129" customFormat="1" ht="11.25" x14ac:dyDescent="0.2">
      <c r="A57" s="141"/>
      <c r="C57" s="125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  <c r="BG57" s="11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  <c r="BR57" s="117"/>
      <c r="BS57" s="117"/>
      <c r="BT57" s="117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CI57" s="117"/>
      <c r="CJ57" s="117"/>
      <c r="CK57" s="117"/>
      <c r="CL57" s="117"/>
      <c r="CM57" s="117"/>
      <c r="CN57" s="117"/>
      <c r="CO57" s="117"/>
      <c r="CP57" s="117"/>
      <c r="CQ57" s="117"/>
      <c r="CR57" s="117"/>
      <c r="CS57" s="117"/>
      <c r="CT57" s="117"/>
      <c r="CU57" s="117"/>
      <c r="CV57" s="117"/>
      <c r="CW57" s="117"/>
      <c r="CX57" s="117"/>
      <c r="CY57" s="117"/>
      <c r="CZ57" s="117"/>
      <c r="DA57" s="117"/>
      <c r="DB57" s="117"/>
      <c r="DC57" s="117"/>
      <c r="DD57" s="117"/>
      <c r="DE57" s="117"/>
      <c r="DF57" s="117"/>
      <c r="DG57" s="117"/>
      <c r="DH57" s="117"/>
      <c r="DI57" s="117"/>
      <c r="DJ57" s="117"/>
      <c r="DK57" s="117"/>
      <c r="DL57" s="117"/>
      <c r="DM57" s="117"/>
      <c r="DN57" s="117"/>
      <c r="DO57" s="117"/>
      <c r="DP57" s="117"/>
      <c r="DQ57" s="117"/>
      <c r="DR57" s="117"/>
      <c r="DS57" s="117"/>
      <c r="DT57" s="117"/>
      <c r="DU57" s="117"/>
      <c r="DV57" s="117"/>
      <c r="DW57" s="117"/>
      <c r="DX57" s="117"/>
      <c r="DY57" s="117"/>
      <c r="DZ57" s="117"/>
      <c r="EA57" s="117"/>
      <c r="EB57" s="117"/>
      <c r="EC57" s="117"/>
      <c r="ED57" s="117"/>
      <c r="EE57" s="117"/>
      <c r="EF57" s="117"/>
      <c r="EG57" s="117"/>
      <c r="EH57" s="117"/>
      <c r="EI57" s="117"/>
      <c r="EJ57" s="117"/>
      <c r="EK57" s="117"/>
      <c r="EL57" s="117"/>
      <c r="EM57" s="117"/>
      <c r="EN57" s="117"/>
    </row>
    <row r="58" spans="1:144" s="129" customFormat="1" ht="11.25" x14ac:dyDescent="0.2">
      <c r="A58" s="141">
        <v>9</v>
      </c>
      <c r="B58" s="162" t="s">
        <v>115</v>
      </c>
      <c r="C58" s="125" t="s">
        <v>18</v>
      </c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7">
        <f>SUM(D58:O58)</f>
        <v>0</v>
      </c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7"/>
      <c r="BE58" s="117"/>
      <c r="BF58" s="117"/>
      <c r="BG58" s="11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117"/>
      <c r="BS58" s="117"/>
      <c r="BT58" s="117"/>
      <c r="BU58" s="117"/>
      <c r="BV58" s="117"/>
      <c r="BW58" s="117"/>
      <c r="BX58" s="117"/>
      <c r="BY58" s="117"/>
      <c r="BZ58" s="117"/>
      <c r="CA58" s="117"/>
      <c r="CB58" s="117"/>
      <c r="CC58" s="117"/>
      <c r="CD58" s="117"/>
      <c r="CE58" s="117"/>
      <c r="CF58" s="117"/>
      <c r="CG58" s="117"/>
      <c r="CH58" s="117"/>
      <c r="CI58" s="117"/>
      <c r="CJ58" s="117"/>
      <c r="CK58" s="117"/>
      <c r="CL58" s="117"/>
      <c r="CM58" s="117"/>
      <c r="CN58" s="117"/>
      <c r="CO58" s="117"/>
      <c r="CP58" s="117"/>
      <c r="CQ58" s="117"/>
      <c r="CR58" s="117"/>
      <c r="CS58" s="117"/>
      <c r="CT58" s="117"/>
      <c r="CU58" s="117"/>
      <c r="CV58" s="117"/>
      <c r="CW58" s="117"/>
      <c r="CX58" s="117"/>
      <c r="CY58" s="117"/>
      <c r="CZ58" s="117"/>
      <c r="DA58" s="117"/>
      <c r="DB58" s="117"/>
      <c r="DC58" s="117"/>
      <c r="DD58" s="117"/>
      <c r="DE58" s="117"/>
      <c r="DF58" s="117"/>
      <c r="DG58" s="117"/>
      <c r="DH58" s="117"/>
      <c r="DI58" s="117"/>
      <c r="DJ58" s="117"/>
      <c r="DK58" s="117"/>
      <c r="DL58" s="117"/>
      <c r="DM58" s="117"/>
      <c r="DN58" s="117"/>
      <c r="DO58" s="117"/>
      <c r="DP58" s="117"/>
      <c r="DQ58" s="117"/>
      <c r="DR58" s="117"/>
      <c r="DS58" s="117"/>
      <c r="DT58" s="117"/>
      <c r="DU58" s="117"/>
      <c r="DV58" s="117"/>
      <c r="DW58" s="117"/>
      <c r="DX58" s="117"/>
      <c r="DY58" s="117"/>
      <c r="DZ58" s="117"/>
      <c r="EA58" s="117"/>
      <c r="EB58" s="117"/>
      <c r="EC58" s="117"/>
      <c r="ED58" s="117"/>
      <c r="EE58" s="117"/>
      <c r="EF58" s="117"/>
      <c r="EG58" s="117"/>
      <c r="EH58" s="117"/>
      <c r="EI58" s="117"/>
      <c r="EJ58" s="117"/>
      <c r="EK58" s="117"/>
      <c r="EL58" s="117"/>
      <c r="EM58" s="117"/>
      <c r="EN58" s="117"/>
    </row>
    <row r="59" spans="1:144" s="129" customFormat="1" ht="11.25" x14ac:dyDescent="0.2">
      <c r="C59" s="143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22"/>
      <c r="O59" s="122"/>
      <c r="P59" s="12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117"/>
      <c r="BD59" s="117"/>
      <c r="BE59" s="117"/>
      <c r="BF59" s="117"/>
      <c r="BG59" s="117"/>
      <c r="BH59" s="117"/>
      <c r="BI59" s="117"/>
      <c r="BJ59" s="117"/>
      <c r="BK59" s="117"/>
      <c r="BL59" s="117"/>
      <c r="BM59" s="117"/>
      <c r="BN59" s="117"/>
      <c r="BO59" s="117"/>
      <c r="BP59" s="117"/>
      <c r="BQ59" s="117"/>
      <c r="BR59" s="117"/>
      <c r="BS59" s="117"/>
      <c r="BT59" s="117"/>
      <c r="BU59" s="117"/>
      <c r="BV59" s="117"/>
      <c r="BW59" s="117"/>
      <c r="BX59" s="117"/>
      <c r="BY59" s="117"/>
      <c r="BZ59" s="117"/>
      <c r="CA59" s="117"/>
      <c r="CB59" s="117"/>
      <c r="CC59" s="117"/>
      <c r="CD59" s="117"/>
      <c r="CE59" s="117"/>
      <c r="CF59" s="117"/>
      <c r="CG59" s="117"/>
      <c r="CH59" s="117"/>
      <c r="CI59" s="117"/>
      <c r="CJ59" s="117"/>
      <c r="CK59" s="117"/>
      <c r="CL59" s="117"/>
      <c r="CM59" s="117"/>
      <c r="CN59" s="117"/>
      <c r="CO59" s="117"/>
      <c r="CP59" s="117"/>
      <c r="CQ59" s="117"/>
      <c r="CR59" s="117"/>
      <c r="CS59" s="117"/>
      <c r="CT59" s="117"/>
      <c r="CU59" s="117"/>
      <c r="CV59" s="117"/>
      <c r="CW59" s="117"/>
      <c r="CX59" s="117"/>
      <c r="CY59" s="117"/>
      <c r="CZ59" s="117"/>
      <c r="DA59" s="117"/>
      <c r="DB59" s="117"/>
      <c r="DC59" s="117"/>
      <c r="DD59" s="117"/>
      <c r="DE59" s="117"/>
      <c r="DF59" s="117"/>
      <c r="DG59" s="117"/>
      <c r="DH59" s="117"/>
      <c r="DI59" s="117"/>
      <c r="DJ59" s="117"/>
      <c r="DK59" s="117"/>
      <c r="DL59" s="117"/>
      <c r="DM59" s="117"/>
      <c r="DN59" s="117"/>
      <c r="DO59" s="117"/>
      <c r="DP59" s="117"/>
      <c r="DQ59" s="117"/>
      <c r="DR59" s="117"/>
      <c r="DS59" s="117"/>
      <c r="DT59" s="117"/>
      <c r="DU59" s="117"/>
      <c r="DV59" s="117"/>
      <c r="DW59" s="117"/>
      <c r="DX59" s="117"/>
      <c r="DY59" s="117"/>
      <c r="DZ59" s="117"/>
      <c r="EA59" s="117"/>
      <c r="EB59" s="117"/>
      <c r="EC59" s="117"/>
      <c r="ED59" s="117"/>
      <c r="EE59" s="117"/>
      <c r="EF59" s="117"/>
      <c r="EG59" s="117"/>
      <c r="EH59" s="117"/>
      <c r="EI59" s="117"/>
      <c r="EJ59" s="117"/>
      <c r="EK59" s="117"/>
      <c r="EL59" s="117"/>
      <c r="EM59" s="117"/>
      <c r="EN59" s="117"/>
    </row>
    <row r="60" spans="1:144" s="129" customFormat="1" ht="11.25" x14ac:dyDescent="0.2">
      <c r="A60" s="141">
        <v>10</v>
      </c>
      <c r="B60" s="117" t="s">
        <v>33</v>
      </c>
      <c r="C60" s="125" t="s">
        <v>16</v>
      </c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7">
        <f>SUM(D60:O60)</f>
        <v>0</v>
      </c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/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7"/>
      <c r="CA60" s="117"/>
      <c r="CB60" s="117"/>
      <c r="CC60" s="117"/>
      <c r="CD60" s="117"/>
      <c r="CE60" s="117"/>
      <c r="CF60" s="117"/>
      <c r="CG60" s="117"/>
      <c r="CH60" s="117"/>
      <c r="CI60" s="117"/>
      <c r="CJ60" s="117"/>
      <c r="CK60" s="117"/>
      <c r="CL60" s="117"/>
      <c r="CM60" s="117"/>
      <c r="CN60" s="117"/>
      <c r="CO60" s="117"/>
      <c r="CP60" s="117"/>
      <c r="CQ60" s="117"/>
      <c r="CR60" s="117"/>
      <c r="CS60" s="117"/>
      <c r="CT60" s="117"/>
      <c r="CU60" s="117"/>
      <c r="CV60" s="117"/>
      <c r="CW60" s="117"/>
      <c r="CX60" s="117"/>
      <c r="CY60" s="117"/>
      <c r="CZ60" s="117"/>
      <c r="DA60" s="117"/>
      <c r="DB60" s="117"/>
      <c r="DC60" s="117"/>
      <c r="DD60" s="117"/>
      <c r="DE60" s="117"/>
      <c r="DF60" s="117"/>
      <c r="DG60" s="117"/>
      <c r="DH60" s="117"/>
      <c r="DI60" s="117"/>
      <c r="DJ60" s="117"/>
      <c r="DK60" s="117"/>
      <c r="DL60" s="117"/>
      <c r="DM60" s="117"/>
      <c r="DN60" s="117"/>
      <c r="DO60" s="117"/>
      <c r="DP60" s="117"/>
      <c r="DQ60" s="117"/>
      <c r="DR60" s="117"/>
      <c r="DS60" s="117"/>
      <c r="DT60" s="117"/>
      <c r="DU60" s="117"/>
      <c r="DV60" s="117"/>
      <c r="DW60" s="117"/>
      <c r="DX60" s="117"/>
      <c r="DY60" s="117"/>
      <c r="DZ60" s="117"/>
      <c r="EA60" s="117"/>
      <c r="EB60" s="117"/>
      <c r="EC60" s="117"/>
      <c r="ED60" s="117"/>
      <c r="EE60" s="117"/>
      <c r="EF60" s="117"/>
      <c r="EG60" s="117"/>
      <c r="EH60" s="117"/>
      <c r="EI60" s="117"/>
      <c r="EJ60" s="117"/>
      <c r="EK60" s="117"/>
      <c r="EL60" s="117"/>
      <c r="EM60" s="117"/>
      <c r="EN60" s="117"/>
    </row>
    <row r="61" spans="1:144" s="129" customFormat="1" ht="11.25" x14ac:dyDescent="0.2">
      <c r="A61" s="141"/>
      <c r="C61" s="143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22"/>
      <c r="O61" s="122"/>
      <c r="P61" s="12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117"/>
      <c r="BG61" s="117"/>
      <c r="BH61" s="117"/>
      <c r="BI61" s="117"/>
      <c r="BJ61" s="117"/>
      <c r="BK61" s="117"/>
      <c r="BL61" s="117"/>
      <c r="BM61" s="117"/>
      <c r="BN61" s="117"/>
      <c r="BO61" s="117"/>
      <c r="BP61" s="117"/>
      <c r="BQ61" s="117"/>
      <c r="BR61" s="117"/>
      <c r="BS61" s="117"/>
      <c r="BT61" s="117"/>
      <c r="BU61" s="117"/>
      <c r="BV61" s="117"/>
      <c r="BW61" s="117"/>
      <c r="BX61" s="117"/>
      <c r="BY61" s="117"/>
      <c r="BZ61" s="117"/>
      <c r="CA61" s="117"/>
      <c r="CB61" s="117"/>
      <c r="CC61" s="117"/>
      <c r="CD61" s="117"/>
      <c r="CE61" s="117"/>
      <c r="CF61" s="117"/>
      <c r="CG61" s="117"/>
      <c r="CH61" s="117"/>
      <c r="CI61" s="117"/>
      <c r="CJ61" s="117"/>
      <c r="CK61" s="117"/>
      <c r="CL61" s="117"/>
      <c r="CM61" s="117"/>
      <c r="CN61" s="117"/>
      <c r="CO61" s="117"/>
      <c r="CP61" s="117"/>
      <c r="CQ61" s="117"/>
      <c r="CR61" s="117"/>
      <c r="CS61" s="117"/>
      <c r="CT61" s="117"/>
      <c r="CU61" s="117"/>
      <c r="CV61" s="117"/>
      <c r="CW61" s="117"/>
      <c r="CX61" s="117"/>
      <c r="CY61" s="117"/>
      <c r="CZ61" s="117"/>
      <c r="DA61" s="117"/>
      <c r="DB61" s="117"/>
      <c r="DC61" s="117"/>
      <c r="DD61" s="117"/>
      <c r="DE61" s="117"/>
      <c r="DF61" s="117"/>
      <c r="DG61" s="117"/>
      <c r="DH61" s="117"/>
      <c r="DI61" s="117"/>
      <c r="DJ61" s="117"/>
      <c r="DK61" s="117"/>
      <c r="DL61" s="117"/>
      <c r="DM61" s="117"/>
      <c r="DN61" s="117"/>
      <c r="DO61" s="117"/>
      <c r="DP61" s="117"/>
      <c r="DQ61" s="117"/>
      <c r="DR61" s="117"/>
      <c r="DS61" s="117"/>
      <c r="DT61" s="117"/>
      <c r="DU61" s="117"/>
      <c r="DV61" s="117"/>
      <c r="DW61" s="117"/>
      <c r="DX61" s="117"/>
      <c r="DY61" s="117"/>
      <c r="DZ61" s="117"/>
      <c r="EA61" s="117"/>
      <c r="EB61" s="117"/>
      <c r="EC61" s="117"/>
      <c r="ED61" s="117"/>
      <c r="EE61" s="117"/>
      <c r="EF61" s="117"/>
      <c r="EG61" s="117"/>
      <c r="EH61" s="117"/>
      <c r="EI61" s="117"/>
      <c r="EJ61" s="117"/>
      <c r="EK61" s="117"/>
      <c r="EL61" s="117"/>
      <c r="EM61" s="117"/>
      <c r="EN61" s="117"/>
    </row>
    <row r="62" spans="1:144" s="129" customFormat="1" ht="11.25" x14ac:dyDescent="0.2">
      <c r="A62" s="141">
        <v>11</v>
      </c>
      <c r="B62" s="183" t="s">
        <v>34</v>
      </c>
      <c r="C62" s="329"/>
      <c r="D62" s="184">
        <f t="shared" ref="D62:P62" si="8">D60+D58+D56+D52+D48+D46</f>
        <v>-37835.01757304772</v>
      </c>
      <c r="E62" s="184">
        <f t="shared" si="8"/>
        <v>-13265.709099130636</v>
      </c>
      <c r="F62" s="184">
        <f t="shared" si="8"/>
        <v>-47343.077728057789</v>
      </c>
      <c r="G62" s="184">
        <f t="shared" si="8"/>
        <v>-19533.070280795855</v>
      </c>
      <c r="H62" s="184">
        <f t="shared" si="8"/>
        <v>56417.859321701442</v>
      </c>
      <c r="I62" s="184">
        <f t="shared" si="8"/>
        <v>-90700.401098079659</v>
      </c>
      <c r="J62" s="184">
        <f t="shared" si="8"/>
        <v>6992.5403068184314</v>
      </c>
      <c r="K62" s="184">
        <f t="shared" si="8"/>
        <v>24862.842677396198</v>
      </c>
      <c r="L62" s="184">
        <f t="shared" si="8"/>
        <v>3120.9556260998579</v>
      </c>
      <c r="M62" s="184">
        <f t="shared" si="8"/>
        <v>13569.263255125941</v>
      </c>
      <c r="N62" s="184">
        <f t="shared" si="8"/>
        <v>61867.879496424532</v>
      </c>
      <c r="O62" s="184">
        <f t="shared" si="8"/>
        <v>38768.134063811107</v>
      </c>
      <c r="P62" s="184">
        <f t="shared" si="8"/>
        <v>-3077.801031734155</v>
      </c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7"/>
      <c r="BE62" s="117"/>
      <c r="BF62" s="117"/>
      <c r="BG62" s="117"/>
      <c r="BH62" s="117"/>
      <c r="BI62" s="117"/>
      <c r="BJ62" s="117"/>
      <c r="BK62" s="117"/>
      <c r="BL62" s="117"/>
      <c r="BM62" s="117"/>
      <c r="BN62" s="117"/>
      <c r="BO62" s="117"/>
      <c r="BP62" s="117"/>
      <c r="BQ62" s="117"/>
      <c r="BR62" s="117"/>
      <c r="BS62" s="117"/>
      <c r="BT62" s="117"/>
      <c r="BU62" s="117"/>
      <c r="BV62" s="117"/>
      <c r="BW62" s="117"/>
      <c r="BX62" s="117"/>
      <c r="BY62" s="117"/>
      <c r="BZ62" s="117"/>
      <c r="CA62" s="117"/>
      <c r="CB62" s="117"/>
      <c r="CC62" s="117"/>
      <c r="CD62" s="117"/>
      <c r="CE62" s="117"/>
      <c r="CF62" s="117"/>
      <c r="CG62" s="117"/>
      <c r="CH62" s="117"/>
      <c r="CI62" s="117"/>
      <c r="CJ62" s="117"/>
      <c r="CK62" s="117"/>
      <c r="CL62" s="117"/>
      <c r="CM62" s="117"/>
      <c r="CN62" s="117"/>
      <c r="CO62" s="117"/>
      <c r="CP62" s="117"/>
      <c r="CQ62" s="117"/>
      <c r="CR62" s="117"/>
      <c r="CS62" s="117"/>
      <c r="CT62" s="117"/>
      <c r="CU62" s="117"/>
      <c r="CV62" s="117"/>
      <c r="CW62" s="117"/>
      <c r="CX62" s="117"/>
      <c r="CY62" s="117"/>
      <c r="CZ62" s="117"/>
      <c r="DA62" s="117"/>
      <c r="DB62" s="117"/>
      <c r="DC62" s="117"/>
      <c r="DD62" s="117"/>
      <c r="DE62" s="117"/>
      <c r="DF62" s="117"/>
      <c r="DG62" s="117"/>
      <c r="DH62" s="117"/>
      <c r="DI62" s="117"/>
      <c r="DJ62" s="117"/>
      <c r="DK62" s="117"/>
      <c r="DL62" s="117"/>
      <c r="DM62" s="117"/>
      <c r="DN62" s="117"/>
      <c r="DO62" s="117"/>
      <c r="DP62" s="117"/>
      <c r="DQ62" s="117"/>
      <c r="DR62" s="117"/>
      <c r="DS62" s="117"/>
      <c r="DT62" s="117"/>
      <c r="DU62" s="117"/>
      <c r="DV62" s="117"/>
      <c r="DW62" s="117"/>
      <c r="DX62" s="117"/>
      <c r="DY62" s="117"/>
      <c r="DZ62" s="117"/>
      <c r="EA62" s="117"/>
      <c r="EB62" s="117"/>
      <c r="EC62" s="117"/>
      <c r="ED62" s="117"/>
      <c r="EE62" s="117"/>
      <c r="EF62" s="117"/>
      <c r="EG62" s="117"/>
      <c r="EH62" s="117"/>
      <c r="EI62" s="117"/>
      <c r="EJ62" s="117"/>
      <c r="EK62" s="117"/>
      <c r="EL62" s="117"/>
      <c r="EM62" s="117"/>
      <c r="EN62" s="117"/>
    </row>
    <row r="63" spans="1:144" s="129" customFormat="1" ht="11.25" x14ac:dyDescent="0.2">
      <c r="B63" s="329"/>
      <c r="C63" s="32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56"/>
      <c r="O63" s="156"/>
      <c r="P63" s="12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  <c r="BE63" s="117"/>
      <c r="BF63" s="117"/>
      <c r="BG63" s="117"/>
      <c r="BH63" s="117"/>
      <c r="BI63" s="117"/>
      <c r="BJ63" s="117"/>
      <c r="BK63" s="117"/>
      <c r="BL63" s="117"/>
      <c r="BM63" s="117"/>
      <c r="BN63" s="117"/>
      <c r="BO63" s="117"/>
      <c r="BP63" s="117"/>
      <c r="BQ63" s="117"/>
      <c r="BR63" s="117"/>
      <c r="BS63" s="117"/>
      <c r="BT63" s="117"/>
      <c r="BU63" s="117"/>
      <c r="BV63" s="117"/>
      <c r="BW63" s="117"/>
      <c r="BX63" s="117"/>
      <c r="BY63" s="117"/>
      <c r="BZ63" s="117"/>
      <c r="CA63" s="117"/>
      <c r="CB63" s="117"/>
      <c r="CC63" s="117"/>
      <c r="CD63" s="117"/>
      <c r="CE63" s="117"/>
      <c r="CF63" s="117"/>
      <c r="CG63" s="117"/>
      <c r="CH63" s="117"/>
      <c r="CI63" s="117"/>
      <c r="CJ63" s="117"/>
      <c r="CK63" s="117"/>
      <c r="CL63" s="117"/>
      <c r="CM63" s="117"/>
      <c r="CN63" s="117"/>
      <c r="CO63" s="117"/>
      <c r="CP63" s="117"/>
      <c r="CQ63" s="117"/>
      <c r="CR63" s="117"/>
      <c r="CS63" s="117"/>
      <c r="CT63" s="117"/>
      <c r="CU63" s="117"/>
      <c r="CV63" s="117"/>
      <c r="CW63" s="117"/>
      <c r="CX63" s="117"/>
      <c r="CY63" s="117"/>
      <c r="CZ63" s="117"/>
      <c r="DA63" s="117"/>
      <c r="DB63" s="117"/>
      <c r="DC63" s="117"/>
      <c r="DD63" s="117"/>
      <c r="DE63" s="117"/>
      <c r="DF63" s="117"/>
      <c r="DG63" s="117"/>
      <c r="DH63" s="117"/>
      <c r="DI63" s="117"/>
      <c r="DJ63" s="117"/>
      <c r="DK63" s="117"/>
      <c r="DL63" s="117"/>
      <c r="DM63" s="117"/>
      <c r="DN63" s="117"/>
      <c r="DO63" s="117"/>
      <c r="DP63" s="117"/>
      <c r="DQ63" s="117"/>
      <c r="DR63" s="117"/>
      <c r="DS63" s="117"/>
      <c r="DT63" s="117"/>
      <c r="DU63" s="117"/>
      <c r="DV63" s="117"/>
      <c r="DW63" s="117"/>
      <c r="DX63" s="117"/>
      <c r="DY63" s="117"/>
      <c r="DZ63" s="117"/>
      <c r="EA63" s="117"/>
      <c r="EB63" s="117"/>
      <c r="EC63" s="117"/>
      <c r="ED63" s="117"/>
      <c r="EE63" s="117"/>
      <c r="EF63" s="117"/>
      <c r="EG63" s="117"/>
      <c r="EH63" s="117"/>
      <c r="EI63" s="117"/>
      <c r="EJ63" s="117"/>
      <c r="EK63" s="117"/>
      <c r="EL63" s="117"/>
      <c r="EM63" s="117"/>
      <c r="EN63" s="117"/>
    </row>
    <row r="64" spans="1:144" s="129" customFormat="1" ht="11.25" x14ac:dyDescent="0.2">
      <c r="A64" s="141">
        <v>12</v>
      </c>
      <c r="B64" s="148" t="s">
        <v>91</v>
      </c>
      <c r="C64" s="125" t="s">
        <v>17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7">
        <f>SUM(D64:O64)</f>
        <v>0</v>
      </c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17"/>
      <c r="BE64" s="117"/>
      <c r="BF64" s="117"/>
      <c r="BG64" s="117"/>
      <c r="BH64" s="117"/>
      <c r="BI64" s="117"/>
      <c r="BJ64" s="117"/>
      <c r="BK64" s="117"/>
      <c r="BL64" s="117"/>
      <c r="BM64" s="117"/>
      <c r="BN64" s="117"/>
      <c r="BO64" s="117"/>
      <c r="BP64" s="117"/>
      <c r="BQ64" s="117"/>
      <c r="BR64" s="117"/>
      <c r="BS64" s="117"/>
      <c r="BT64" s="117"/>
      <c r="BU64" s="117"/>
      <c r="BV64" s="117"/>
      <c r="BW64" s="117"/>
      <c r="BX64" s="117"/>
      <c r="BY64" s="117"/>
      <c r="BZ64" s="117"/>
      <c r="CA64" s="117"/>
      <c r="CB64" s="117"/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  <c r="DL64" s="117"/>
      <c r="DM64" s="117"/>
      <c r="DN64" s="117"/>
      <c r="DO64" s="117"/>
      <c r="DP64" s="117"/>
      <c r="DQ64" s="117"/>
      <c r="DR64" s="117"/>
      <c r="DS64" s="117"/>
      <c r="DT64" s="117"/>
      <c r="DU64" s="117"/>
      <c r="DV64" s="117"/>
      <c r="DW64" s="117"/>
      <c r="DX64" s="117"/>
      <c r="DY64" s="117"/>
      <c r="DZ64" s="117"/>
      <c r="EA64" s="117"/>
      <c r="EB64" s="117"/>
      <c r="EC64" s="117"/>
      <c r="ED64" s="117"/>
      <c r="EE64" s="117"/>
      <c r="EF64" s="117"/>
      <c r="EG64" s="117"/>
      <c r="EH64" s="117"/>
      <c r="EI64" s="117"/>
      <c r="EJ64" s="117"/>
      <c r="EK64" s="117"/>
      <c r="EL64" s="117"/>
      <c r="EM64" s="117"/>
      <c r="EN64" s="117"/>
    </row>
    <row r="65" spans="1:144" s="129" customFormat="1" ht="11.25" x14ac:dyDescent="0.2">
      <c r="A65" s="141">
        <v>13</v>
      </c>
      <c r="B65" s="148" t="s">
        <v>92</v>
      </c>
      <c r="C65" s="125" t="s">
        <v>18</v>
      </c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67">
        <f>SUM(D65:O65)</f>
        <v>0</v>
      </c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17"/>
      <c r="BE65" s="117"/>
      <c r="BF65" s="117"/>
      <c r="BG65" s="117"/>
      <c r="BH65" s="117"/>
      <c r="BI65" s="117"/>
      <c r="BJ65" s="117"/>
      <c r="BK65" s="117"/>
      <c r="BL65" s="117"/>
      <c r="BM65" s="117"/>
      <c r="BN65" s="117"/>
      <c r="BO65" s="117"/>
      <c r="BP65" s="117"/>
      <c r="BQ65" s="117"/>
      <c r="BR65" s="117"/>
      <c r="BS65" s="117"/>
      <c r="BT65" s="117"/>
      <c r="BU65" s="117"/>
      <c r="BV65" s="117"/>
      <c r="BW65" s="117"/>
      <c r="BX65" s="117"/>
      <c r="BY65" s="117"/>
      <c r="BZ65" s="117"/>
      <c r="CA65" s="117"/>
      <c r="CB65" s="117"/>
      <c r="CC65" s="117"/>
      <c r="CD65" s="117"/>
      <c r="CE65" s="117"/>
      <c r="CF65" s="117"/>
      <c r="CG65" s="117"/>
      <c r="CH65" s="117"/>
      <c r="CI65" s="117"/>
      <c r="CJ65" s="117"/>
      <c r="CK65" s="117"/>
      <c r="CL65" s="117"/>
      <c r="CM65" s="117"/>
      <c r="CN65" s="117"/>
      <c r="CO65" s="117"/>
      <c r="CP65" s="117"/>
      <c r="CQ65" s="117"/>
      <c r="CR65" s="117"/>
      <c r="CS65" s="117"/>
      <c r="CT65" s="117"/>
      <c r="CU65" s="117"/>
      <c r="CV65" s="117"/>
      <c r="CW65" s="117"/>
      <c r="CX65" s="117"/>
      <c r="CY65" s="117"/>
      <c r="CZ65" s="117"/>
      <c r="DA65" s="117"/>
      <c r="DB65" s="117"/>
      <c r="DC65" s="117"/>
      <c r="DD65" s="117"/>
      <c r="DE65" s="117"/>
      <c r="DF65" s="117"/>
      <c r="DG65" s="117"/>
      <c r="DH65" s="117"/>
      <c r="DI65" s="117"/>
      <c r="DJ65" s="117"/>
      <c r="DK65" s="117"/>
      <c r="DL65" s="117"/>
      <c r="DM65" s="117"/>
      <c r="DN65" s="117"/>
      <c r="DO65" s="117"/>
      <c r="DP65" s="117"/>
      <c r="DQ65" s="117"/>
      <c r="DR65" s="117"/>
      <c r="DS65" s="117"/>
      <c r="DT65" s="117"/>
      <c r="DU65" s="117"/>
      <c r="DV65" s="117"/>
      <c r="DW65" s="117"/>
      <c r="DX65" s="117"/>
      <c r="DY65" s="117"/>
      <c r="DZ65" s="117"/>
      <c r="EA65" s="117"/>
      <c r="EB65" s="117"/>
      <c r="EC65" s="117"/>
      <c r="ED65" s="117"/>
      <c r="EE65" s="117"/>
      <c r="EF65" s="117"/>
      <c r="EG65" s="117"/>
      <c r="EH65" s="117"/>
      <c r="EI65" s="117"/>
      <c r="EJ65" s="117"/>
      <c r="EK65" s="117"/>
      <c r="EL65" s="117"/>
      <c r="EM65" s="117"/>
      <c r="EN65" s="117"/>
    </row>
    <row r="66" spans="1:144" s="129" customFormat="1" ht="11.25" x14ac:dyDescent="0.2">
      <c r="A66" s="141">
        <v>14</v>
      </c>
      <c r="B66" s="183" t="s">
        <v>35</v>
      </c>
      <c r="C66" s="328"/>
      <c r="D66" s="169">
        <f t="shared" ref="D66:P66" si="9">SUM(D64:D65)</f>
        <v>0</v>
      </c>
      <c r="E66" s="169">
        <f t="shared" si="9"/>
        <v>0</v>
      </c>
      <c r="F66" s="169">
        <f t="shared" si="9"/>
        <v>0</v>
      </c>
      <c r="G66" s="169">
        <f t="shared" si="9"/>
        <v>0</v>
      </c>
      <c r="H66" s="169">
        <f t="shared" si="9"/>
        <v>0</v>
      </c>
      <c r="I66" s="169">
        <f t="shared" si="9"/>
        <v>0</v>
      </c>
      <c r="J66" s="169">
        <f t="shared" si="9"/>
        <v>0</v>
      </c>
      <c r="K66" s="169">
        <f t="shared" si="9"/>
        <v>0</v>
      </c>
      <c r="L66" s="169">
        <f t="shared" si="9"/>
        <v>0</v>
      </c>
      <c r="M66" s="169">
        <f t="shared" si="9"/>
        <v>0</v>
      </c>
      <c r="N66" s="156">
        <f t="shared" si="9"/>
        <v>0</v>
      </c>
      <c r="O66" s="156">
        <f t="shared" si="9"/>
        <v>0</v>
      </c>
      <c r="P66" s="156">
        <f t="shared" si="9"/>
        <v>0</v>
      </c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  <c r="BB66" s="117"/>
      <c r="BC66" s="117"/>
      <c r="BD66" s="117"/>
      <c r="BE66" s="117"/>
      <c r="BF66" s="117"/>
      <c r="BG66" s="117"/>
      <c r="BH66" s="117"/>
      <c r="BI66" s="117"/>
      <c r="BJ66" s="117"/>
      <c r="BK66" s="117"/>
      <c r="BL66" s="117"/>
      <c r="BM66" s="117"/>
      <c r="BN66" s="117"/>
      <c r="BO66" s="117"/>
      <c r="BP66" s="117"/>
      <c r="BQ66" s="117"/>
      <c r="BR66" s="117"/>
      <c r="BS66" s="117"/>
      <c r="BT66" s="117"/>
      <c r="BU66" s="117"/>
      <c r="BV66" s="117"/>
      <c r="BW66" s="117"/>
      <c r="BX66" s="117"/>
      <c r="BY66" s="117"/>
      <c r="BZ66" s="117"/>
      <c r="CA66" s="117"/>
      <c r="CB66" s="117"/>
      <c r="CC66" s="117"/>
      <c r="CD66" s="117"/>
      <c r="CE66" s="117"/>
      <c r="CF66" s="117"/>
      <c r="CG66" s="117"/>
      <c r="CH66" s="117"/>
      <c r="CI66" s="117"/>
      <c r="CJ66" s="117"/>
      <c r="CK66" s="117"/>
      <c r="CL66" s="117"/>
      <c r="CM66" s="117"/>
      <c r="CN66" s="117"/>
      <c r="CO66" s="117"/>
      <c r="CP66" s="117"/>
      <c r="CQ66" s="117"/>
      <c r="CR66" s="117"/>
      <c r="CS66" s="117"/>
      <c r="CT66" s="117"/>
      <c r="CU66" s="117"/>
      <c r="CV66" s="117"/>
      <c r="CW66" s="117"/>
      <c r="CX66" s="117"/>
      <c r="CY66" s="117"/>
      <c r="CZ66" s="117"/>
      <c r="DA66" s="117"/>
      <c r="DB66" s="117"/>
      <c r="DC66" s="117"/>
      <c r="DD66" s="117"/>
      <c r="DE66" s="117"/>
      <c r="DF66" s="117"/>
      <c r="DG66" s="117"/>
      <c r="DH66" s="117"/>
      <c r="DI66" s="117"/>
      <c r="DJ66" s="117"/>
      <c r="DK66" s="117"/>
      <c r="DL66" s="117"/>
      <c r="DM66" s="117"/>
      <c r="DN66" s="117"/>
      <c r="DO66" s="117"/>
      <c r="DP66" s="117"/>
      <c r="DQ66" s="117"/>
      <c r="DR66" s="117"/>
      <c r="DS66" s="117"/>
      <c r="DT66" s="117"/>
      <c r="DU66" s="117"/>
      <c r="DV66" s="117"/>
      <c r="DW66" s="117"/>
      <c r="DX66" s="117"/>
      <c r="DY66" s="117"/>
      <c r="DZ66" s="117"/>
      <c r="EA66" s="117"/>
      <c r="EB66" s="117"/>
      <c r="EC66" s="117"/>
      <c r="ED66" s="117"/>
      <c r="EE66" s="117"/>
      <c r="EF66" s="117"/>
      <c r="EG66" s="117"/>
      <c r="EH66" s="117"/>
      <c r="EI66" s="117"/>
      <c r="EJ66" s="117"/>
      <c r="EK66" s="117"/>
      <c r="EL66" s="117"/>
      <c r="EM66" s="117"/>
      <c r="EN66" s="117"/>
    </row>
    <row r="67" spans="1:144" s="129" customFormat="1" ht="11.25" x14ac:dyDescent="0.2">
      <c r="A67" s="141"/>
      <c r="C67" s="185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22"/>
      <c r="O67" s="122"/>
      <c r="P67" s="12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7"/>
      <c r="BE67" s="117"/>
      <c r="BF67" s="117"/>
      <c r="BG67" s="117"/>
      <c r="BH67" s="117"/>
      <c r="BI67" s="117"/>
      <c r="BJ67" s="117"/>
      <c r="BK67" s="117"/>
      <c r="BL67" s="117"/>
      <c r="BM67" s="117"/>
      <c r="BN67" s="117"/>
      <c r="BO67" s="117"/>
      <c r="BP67" s="117"/>
      <c r="BQ67" s="117"/>
      <c r="BR67" s="117"/>
      <c r="BS67" s="117"/>
      <c r="BT67" s="117"/>
      <c r="BU67" s="117"/>
      <c r="BV67" s="117"/>
      <c r="BW67" s="117"/>
      <c r="BX67" s="117"/>
      <c r="BY67" s="117"/>
      <c r="BZ67" s="117"/>
      <c r="CA67" s="117"/>
      <c r="CB67" s="117"/>
      <c r="CC67" s="117"/>
      <c r="CD67" s="117"/>
      <c r="CE67" s="117"/>
      <c r="CF67" s="117"/>
      <c r="CG67" s="117"/>
      <c r="CH67" s="117"/>
      <c r="CI67" s="117"/>
      <c r="CJ67" s="117"/>
      <c r="CK67" s="117"/>
      <c r="CL67" s="117"/>
      <c r="CM67" s="117"/>
      <c r="CN67" s="117"/>
      <c r="CO67" s="117"/>
      <c r="CP67" s="117"/>
      <c r="CQ67" s="117"/>
      <c r="CR67" s="117"/>
      <c r="CS67" s="117"/>
      <c r="CT67" s="117"/>
      <c r="CU67" s="117"/>
      <c r="CV67" s="117"/>
      <c r="CW67" s="117"/>
      <c r="CX67" s="117"/>
      <c r="CY67" s="117"/>
      <c r="CZ67" s="117"/>
      <c r="DA67" s="117"/>
      <c r="DB67" s="117"/>
      <c r="DC67" s="117"/>
      <c r="DD67" s="117"/>
      <c r="DE67" s="117"/>
      <c r="DF67" s="117"/>
      <c r="DG67" s="117"/>
      <c r="DH67" s="117"/>
      <c r="DI67" s="117"/>
      <c r="DJ67" s="117"/>
      <c r="DK67" s="117"/>
      <c r="DL67" s="117"/>
      <c r="DM67" s="117"/>
      <c r="DN67" s="117"/>
      <c r="DO67" s="117"/>
      <c r="DP67" s="117"/>
      <c r="DQ67" s="117"/>
      <c r="DR67" s="117"/>
      <c r="DS67" s="117"/>
      <c r="DT67" s="117"/>
      <c r="DU67" s="117"/>
      <c r="DV67" s="117"/>
      <c r="DW67" s="117"/>
      <c r="DX67" s="117"/>
      <c r="DY67" s="117"/>
      <c r="DZ67" s="117"/>
      <c r="EA67" s="117"/>
      <c r="EB67" s="117"/>
      <c r="EC67" s="117"/>
      <c r="ED67" s="117"/>
      <c r="EE67" s="117"/>
      <c r="EF67" s="117"/>
      <c r="EG67" s="117"/>
      <c r="EH67" s="117"/>
      <c r="EI67" s="117"/>
      <c r="EJ67" s="117"/>
      <c r="EK67" s="117"/>
      <c r="EL67" s="117"/>
      <c r="EM67" s="117"/>
      <c r="EN67" s="117"/>
    </row>
    <row r="68" spans="1:144" s="129" customFormat="1" ht="12" thickBot="1" x14ac:dyDescent="0.25">
      <c r="A68" s="141">
        <v>15</v>
      </c>
      <c r="B68" s="243" t="str">
        <f>B37</f>
        <v>TOTAL AEP TEXAS</v>
      </c>
      <c r="C68" s="328"/>
      <c r="D68" s="244">
        <f t="shared" ref="D68:P68" si="10">+D66+D62</f>
        <v>-37835.01757304772</v>
      </c>
      <c r="E68" s="244">
        <f t="shared" si="10"/>
        <v>-13265.709099130636</v>
      </c>
      <c r="F68" s="244">
        <f t="shared" si="10"/>
        <v>-47343.077728057789</v>
      </c>
      <c r="G68" s="244">
        <f t="shared" si="10"/>
        <v>-19533.070280795855</v>
      </c>
      <c r="H68" s="244">
        <f t="shared" si="10"/>
        <v>56417.859321701442</v>
      </c>
      <c r="I68" s="244">
        <f t="shared" si="10"/>
        <v>-90700.401098079659</v>
      </c>
      <c r="J68" s="244">
        <f t="shared" si="10"/>
        <v>6992.5403068184314</v>
      </c>
      <c r="K68" s="244">
        <f t="shared" si="10"/>
        <v>24862.842677396198</v>
      </c>
      <c r="L68" s="244">
        <f t="shared" si="10"/>
        <v>3120.9556260998579</v>
      </c>
      <c r="M68" s="244">
        <f t="shared" si="10"/>
        <v>13569.263255125941</v>
      </c>
      <c r="N68" s="244">
        <f t="shared" si="10"/>
        <v>61867.879496424532</v>
      </c>
      <c r="O68" s="244">
        <f t="shared" si="10"/>
        <v>38768.134063811107</v>
      </c>
      <c r="P68" s="244">
        <f t="shared" si="10"/>
        <v>-3077.801031734155</v>
      </c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7"/>
      <c r="AX68" s="117"/>
      <c r="AY68" s="117"/>
      <c r="AZ68" s="117"/>
      <c r="BA68" s="117"/>
      <c r="BB68" s="117"/>
      <c r="BC68" s="117"/>
      <c r="BD68" s="117"/>
      <c r="BE68" s="117"/>
      <c r="BF68" s="117"/>
      <c r="BG68" s="117"/>
      <c r="BH68" s="117"/>
      <c r="BI68" s="117"/>
      <c r="BJ68" s="117"/>
      <c r="BK68" s="117"/>
      <c r="BL68" s="117"/>
      <c r="BM68" s="117"/>
      <c r="BN68" s="117"/>
      <c r="BO68" s="117"/>
      <c r="BP68" s="117"/>
      <c r="BQ68" s="117"/>
      <c r="BR68" s="117"/>
      <c r="BS68" s="117"/>
      <c r="BT68" s="117"/>
      <c r="BU68" s="117"/>
      <c r="BV68" s="117"/>
      <c r="BW68" s="117"/>
      <c r="BX68" s="117"/>
      <c r="BY68" s="117"/>
      <c r="BZ68" s="117"/>
      <c r="CA68" s="117"/>
      <c r="CB68" s="117"/>
      <c r="CC68" s="117"/>
      <c r="CD68" s="117"/>
      <c r="CE68" s="117"/>
      <c r="CF68" s="117"/>
      <c r="CG68" s="117"/>
      <c r="CH68" s="117"/>
      <c r="CI68" s="117"/>
      <c r="CJ68" s="117"/>
      <c r="CK68" s="117"/>
      <c r="CL68" s="117"/>
      <c r="CM68" s="117"/>
      <c r="CN68" s="117"/>
      <c r="CO68" s="117"/>
      <c r="CP68" s="117"/>
      <c r="CQ68" s="117"/>
      <c r="CR68" s="117"/>
      <c r="CS68" s="117"/>
      <c r="CT68" s="117"/>
      <c r="CU68" s="117"/>
      <c r="CV68" s="117"/>
      <c r="CW68" s="117"/>
      <c r="CX68" s="117"/>
      <c r="CY68" s="117"/>
      <c r="CZ68" s="117"/>
      <c r="DA68" s="117"/>
      <c r="DB68" s="117"/>
      <c r="DC68" s="117"/>
      <c r="DD68" s="117"/>
      <c r="DE68" s="117"/>
      <c r="DF68" s="117"/>
      <c r="DG68" s="117"/>
      <c r="DH68" s="117"/>
      <c r="DI68" s="117"/>
      <c r="DJ68" s="117"/>
      <c r="DK68" s="117"/>
      <c r="DL68" s="117"/>
      <c r="DM68" s="117"/>
      <c r="DN68" s="117"/>
      <c r="DO68" s="117"/>
      <c r="DP68" s="117"/>
      <c r="DQ68" s="117"/>
      <c r="DR68" s="117"/>
      <c r="DS68" s="117"/>
      <c r="DT68" s="117"/>
      <c r="DU68" s="117"/>
      <c r="DV68" s="117"/>
      <c r="DW68" s="117"/>
      <c r="DX68" s="117"/>
      <c r="DY68" s="117"/>
      <c r="DZ68" s="117"/>
      <c r="EA68" s="117"/>
      <c r="EB68" s="117"/>
      <c r="EC68" s="117"/>
      <c r="ED68" s="117"/>
      <c r="EE68" s="117"/>
      <c r="EF68" s="117"/>
      <c r="EG68" s="117"/>
      <c r="EH68" s="117"/>
      <c r="EI68" s="117"/>
      <c r="EJ68" s="117"/>
      <c r="EK68" s="117"/>
      <c r="EL68" s="117"/>
      <c r="EM68" s="117"/>
      <c r="EN68" s="117"/>
    </row>
    <row r="69" spans="1:144" s="136" customFormat="1" ht="13.5" thickTop="1" x14ac:dyDescent="0.2">
      <c r="A69" s="131"/>
      <c r="B69" s="306" t="str">
        <f>+B8</f>
        <v>AEP TEXAS</v>
      </c>
      <c r="C69" s="306"/>
      <c r="D69" s="310"/>
      <c r="E69" s="310"/>
      <c r="F69" s="311"/>
      <c r="G69" s="311"/>
      <c r="H69" s="310"/>
      <c r="I69" s="312"/>
      <c r="J69" s="312"/>
      <c r="K69" s="312"/>
      <c r="L69" s="312"/>
      <c r="M69" s="312"/>
      <c r="N69" s="312"/>
      <c r="O69" s="310"/>
      <c r="P69" s="308"/>
      <c r="Q69" s="343"/>
      <c r="R69" s="140"/>
      <c r="S69" s="140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</row>
    <row r="70" spans="1:144" x14ac:dyDescent="0.2">
      <c r="B70" s="132" t="s">
        <v>23</v>
      </c>
      <c r="C70" s="133"/>
      <c r="D70" s="137"/>
      <c r="E70" s="137"/>
      <c r="F70" s="138"/>
      <c r="G70" s="138"/>
      <c r="H70" s="137"/>
      <c r="I70" s="139"/>
      <c r="J70" s="139"/>
      <c r="K70" s="139"/>
      <c r="L70" s="139"/>
      <c r="M70" s="139"/>
      <c r="N70" s="139"/>
      <c r="O70" s="137"/>
      <c r="P70" s="135" t="s">
        <v>1</v>
      </c>
      <c r="Q70" s="140"/>
      <c r="R70" s="140"/>
      <c r="S70" s="140"/>
    </row>
    <row r="71" spans="1:144" x14ac:dyDescent="0.2">
      <c r="B71" s="388" t="str">
        <f>+B10</f>
        <v>FOR TEST YEAR ENDED DECEMBER 31, 2018</v>
      </c>
      <c r="C71" s="388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107"/>
      <c r="Q71" s="140"/>
      <c r="R71" s="140"/>
      <c r="S71" s="140"/>
    </row>
    <row r="72" spans="1:144" x14ac:dyDescent="0.2"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107"/>
      <c r="Q72" s="140"/>
      <c r="R72" s="140"/>
      <c r="S72" s="140"/>
    </row>
    <row r="73" spans="1:144" x14ac:dyDescent="0.2">
      <c r="B73" s="175"/>
      <c r="C73" s="146"/>
      <c r="D73" s="287"/>
      <c r="E73" s="287"/>
      <c r="F73" s="287"/>
      <c r="G73" s="287"/>
      <c r="H73" s="287"/>
      <c r="I73" s="177"/>
      <c r="K73" s="177"/>
      <c r="L73" s="177"/>
      <c r="M73" s="177"/>
      <c r="N73" s="177"/>
      <c r="O73" s="177"/>
      <c r="P73" s="178"/>
      <c r="Q73" s="140"/>
      <c r="R73" s="140"/>
      <c r="S73" s="140"/>
    </row>
    <row r="74" spans="1:144" s="136" customFormat="1" x14ac:dyDescent="0.2">
      <c r="A74" s="344" t="s">
        <v>20</v>
      </c>
      <c r="B74" s="330" t="s">
        <v>0</v>
      </c>
      <c r="C74" s="330" t="s">
        <v>19</v>
      </c>
      <c r="D74" s="287" t="str">
        <f>+D13</f>
        <v>JANUARY</v>
      </c>
      <c r="E74" s="287" t="str">
        <f t="shared" ref="E74:O74" si="11">+E13</f>
        <v>FEBRUARY</v>
      </c>
      <c r="F74" s="287" t="str">
        <f t="shared" si="11"/>
        <v>MARCH</v>
      </c>
      <c r="G74" s="287" t="str">
        <f t="shared" si="11"/>
        <v>APRIL</v>
      </c>
      <c r="H74" s="287" t="str">
        <f t="shared" si="11"/>
        <v>MAY</v>
      </c>
      <c r="I74" s="287" t="str">
        <f t="shared" si="11"/>
        <v>JUNE</v>
      </c>
      <c r="J74" s="287" t="str">
        <f t="shared" si="11"/>
        <v>JULY</v>
      </c>
      <c r="K74" s="287" t="str">
        <f t="shared" si="11"/>
        <v>AUGUST</v>
      </c>
      <c r="L74" s="287" t="str">
        <f t="shared" si="11"/>
        <v>SEPTEMBER</v>
      </c>
      <c r="M74" s="287" t="str">
        <f t="shared" si="11"/>
        <v>OCTOBER</v>
      </c>
      <c r="N74" s="287" t="str">
        <f t="shared" si="11"/>
        <v>NOVEMBER</v>
      </c>
      <c r="O74" s="287" t="str">
        <f t="shared" si="11"/>
        <v>DECEMBER</v>
      </c>
      <c r="P74" s="179" t="s">
        <v>14</v>
      </c>
      <c r="Q74" s="343"/>
      <c r="R74" s="140"/>
      <c r="S74" s="140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</row>
    <row r="75" spans="1:144" s="136" customFormat="1" x14ac:dyDescent="0.2">
      <c r="A75" s="131"/>
      <c r="B75" s="330"/>
      <c r="C75" s="330"/>
      <c r="D75" s="314"/>
      <c r="E75" s="314"/>
      <c r="F75" s="315"/>
      <c r="G75" s="315"/>
      <c r="H75" s="314"/>
      <c r="I75" s="316"/>
      <c r="J75" s="316"/>
      <c r="K75" s="316"/>
      <c r="L75" s="316"/>
      <c r="M75" s="316"/>
      <c r="N75" s="316"/>
      <c r="O75" s="314"/>
      <c r="P75" s="317"/>
      <c r="Q75" s="343"/>
      <c r="R75" s="140"/>
      <c r="S75" s="140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</row>
    <row r="76" spans="1:144" s="129" customFormat="1" ht="11.25" x14ac:dyDescent="0.2">
      <c r="A76" s="141" t="s">
        <v>21</v>
      </c>
      <c r="B76" s="129" t="s">
        <v>29</v>
      </c>
      <c r="C76" s="143" t="s">
        <v>16</v>
      </c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7"/>
      <c r="AM76" s="117"/>
      <c r="AN76" s="117"/>
      <c r="AO76" s="117"/>
      <c r="AP76" s="117"/>
      <c r="AQ76" s="117"/>
      <c r="AR76" s="117"/>
      <c r="AS76" s="117"/>
      <c r="AT76" s="117"/>
      <c r="AU76" s="117"/>
      <c r="AV76" s="117"/>
      <c r="AW76" s="117"/>
      <c r="AX76" s="117"/>
      <c r="AY76" s="117"/>
      <c r="AZ76" s="117"/>
      <c r="BA76" s="117"/>
      <c r="BB76" s="117"/>
      <c r="BC76" s="117"/>
      <c r="BD76" s="117"/>
      <c r="BE76" s="117"/>
      <c r="BF76" s="117"/>
      <c r="BG76" s="117"/>
      <c r="BH76" s="117"/>
      <c r="BI76" s="117"/>
      <c r="BJ76" s="117"/>
      <c r="BK76" s="117"/>
      <c r="BL76" s="117"/>
      <c r="BM76" s="117"/>
      <c r="BN76" s="117"/>
      <c r="BO76" s="117"/>
      <c r="BP76" s="117"/>
      <c r="BQ76" s="117"/>
      <c r="BR76" s="117"/>
      <c r="BS76" s="117"/>
      <c r="BT76" s="117"/>
      <c r="BU76" s="117"/>
      <c r="BV76" s="117"/>
      <c r="BW76" s="117"/>
      <c r="BX76" s="117"/>
      <c r="BY76" s="117"/>
      <c r="BZ76" s="117"/>
      <c r="CA76" s="117"/>
      <c r="CB76" s="117"/>
      <c r="CC76" s="117"/>
      <c r="CD76" s="117"/>
      <c r="CE76" s="117"/>
      <c r="CF76" s="117"/>
      <c r="CG76" s="117"/>
      <c r="CH76" s="117"/>
      <c r="CI76" s="117"/>
      <c r="CJ76" s="117"/>
      <c r="CK76" s="117"/>
      <c r="CL76" s="117"/>
      <c r="CM76" s="117"/>
      <c r="CN76" s="117"/>
      <c r="CO76" s="117"/>
      <c r="CP76" s="117"/>
      <c r="CQ76" s="117"/>
      <c r="CR76" s="117"/>
      <c r="CS76" s="117"/>
      <c r="CT76" s="117"/>
      <c r="CU76" s="117"/>
      <c r="CV76" s="117"/>
      <c r="CW76" s="117"/>
      <c r="CX76" s="117"/>
      <c r="CY76" s="117"/>
      <c r="CZ76" s="117"/>
      <c r="DA76" s="117"/>
      <c r="DB76" s="117"/>
      <c r="DC76" s="117"/>
      <c r="DD76" s="117"/>
      <c r="DE76" s="117"/>
      <c r="DF76" s="117"/>
      <c r="DG76" s="117"/>
      <c r="DH76" s="117"/>
      <c r="DI76" s="117"/>
      <c r="DJ76" s="117"/>
      <c r="DK76" s="117"/>
      <c r="DL76" s="117"/>
      <c r="DM76" s="117"/>
      <c r="DN76" s="117"/>
      <c r="DO76" s="117"/>
      <c r="DP76" s="117"/>
      <c r="DQ76" s="117"/>
      <c r="DR76" s="117"/>
      <c r="DS76" s="117"/>
      <c r="DT76" s="117"/>
      <c r="DU76" s="117"/>
      <c r="DV76" s="117"/>
      <c r="DW76" s="117"/>
      <c r="DX76" s="117"/>
      <c r="DY76" s="117"/>
      <c r="DZ76" s="117"/>
      <c r="EA76" s="117"/>
      <c r="EB76" s="117"/>
      <c r="EC76" s="117"/>
      <c r="ED76" s="117"/>
      <c r="EE76" s="117"/>
      <c r="EF76" s="117"/>
      <c r="EG76" s="117"/>
      <c r="EH76" s="117"/>
      <c r="EI76" s="117"/>
      <c r="EJ76" s="117"/>
      <c r="EK76" s="117"/>
      <c r="EL76" s="117"/>
      <c r="EM76" s="117"/>
      <c r="EN76" s="117"/>
    </row>
    <row r="77" spans="1:144" s="129" customFormat="1" ht="11.25" x14ac:dyDescent="0.2">
      <c r="C77" s="143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56"/>
      <c r="O77" s="156"/>
      <c r="P77" s="12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117"/>
      <c r="BF77" s="117"/>
      <c r="BG77" s="117"/>
      <c r="BH77" s="117"/>
      <c r="BI77" s="117"/>
      <c r="BJ77" s="117"/>
      <c r="BK77" s="117"/>
      <c r="BL77" s="117"/>
      <c r="BM77" s="117"/>
      <c r="BN77" s="117"/>
      <c r="BO77" s="117"/>
      <c r="BP77" s="117"/>
      <c r="BQ77" s="117"/>
      <c r="BR77" s="117"/>
      <c r="BS77" s="117"/>
      <c r="BT77" s="117"/>
      <c r="BU77" s="117"/>
      <c r="BV77" s="117"/>
      <c r="BW77" s="117"/>
      <c r="BX77" s="117"/>
      <c r="BY77" s="117"/>
      <c r="BZ77" s="117"/>
      <c r="CA77" s="117"/>
      <c r="CB77" s="117"/>
      <c r="CC77" s="117"/>
      <c r="CD77" s="117"/>
      <c r="CE77" s="117"/>
      <c r="CF77" s="117"/>
      <c r="CG77" s="117"/>
      <c r="CH77" s="117"/>
      <c r="CI77" s="117"/>
      <c r="CJ77" s="117"/>
      <c r="CK77" s="117"/>
      <c r="CL77" s="117"/>
      <c r="CM77" s="117"/>
      <c r="CN77" s="117"/>
      <c r="CO77" s="117"/>
      <c r="CP77" s="117"/>
      <c r="CQ77" s="117"/>
      <c r="CR77" s="117"/>
      <c r="CS77" s="117"/>
      <c r="CT77" s="117"/>
      <c r="CU77" s="117"/>
      <c r="CV77" s="117"/>
      <c r="CW77" s="117"/>
      <c r="CX77" s="117"/>
      <c r="CY77" s="117"/>
      <c r="CZ77" s="117"/>
      <c r="DA77" s="117"/>
      <c r="DB77" s="117"/>
      <c r="DC77" s="117"/>
      <c r="DD77" s="117"/>
      <c r="DE77" s="117"/>
      <c r="DF77" s="117"/>
      <c r="DG77" s="117"/>
      <c r="DH77" s="117"/>
      <c r="DI77" s="117"/>
      <c r="DJ77" s="117"/>
      <c r="DK77" s="117"/>
      <c r="DL77" s="117"/>
      <c r="DM77" s="117"/>
      <c r="DN77" s="117"/>
      <c r="DO77" s="117"/>
      <c r="DP77" s="117"/>
      <c r="DQ77" s="117"/>
      <c r="DR77" s="117"/>
      <c r="DS77" s="117"/>
      <c r="DT77" s="117"/>
      <c r="DU77" s="117"/>
      <c r="DV77" s="117"/>
      <c r="DW77" s="117"/>
      <c r="DX77" s="117"/>
      <c r="DY77" s="117"/>
      <c r="DZ77" s="117"/>
      <c r="EA77" s="117"/>
      <c r="EB77" s="117"/>
      <c r="EC77" s="117"/>
      <c r="ED77" s="117"/>
      <c r="EE77" s="117"/>
      <c r="EF77" s="117"/>
      <c r="EG77" s="117"/>
      <c r="EH77" s="117"/>
      <c r="EI77" s="117"/>
      <c r="EJ77" s="117"/>
      <c r="EK77" s="117"/>
      <c r="EL77" s="117"/>
      <c r="EM77" s="117"/>
      <c r="EN77" s="117"/>
    </row>
    <row r="78" spans="1:144" s="129" customFormat="1" ht="11.25" x14ac:dyDescent="0.2">
      <c r="A78" s="141">
        <v>2</v>
      </c>
      <c r="B78" s="129" t="s">
        <v>32</v>
      </c>
      <c r="C78" s="143" t="s">
        <v>16</v>
      </c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7"/>
      <c r="AM78" s="117"/>
      <c r="AN78" s="117"/>
      <c r="AO78" s="117"/>
      <c r="AP78" s="117"/>
      <c r="AQ78" s="117"/>
      <c r="AR78" s="117"/>
      <c r="AS78" s="117"/>
      <c r="AT78" s="117"/>
      <c r="AU78" s="117"/>
      <c r="AV78" s="117"/>
      <c r="AW78" s="117"/>
      <c r="AX78" s="117"/>
      <c r="AY78" s="117"/>
      <c r="AZ78" s="117"/>
      <c r="BA78" s="117"/>
      <c r="BB78" s="117"/>
      <c r="BC78" s="117"/>
      <c r="BD78" s="117"/>
      <c r="BE78" s="117"/>
      <c r="BF78" s="117"/>
      <c r="BG78" s="117"/>
      <c r="BH78" s="117"/>
      <c r="BI78" s="117"/>
      <c r="BJ78" s="117"/>
      <c r="BK78" s="117"/>
      <c r="BL78" s="117"/>
      <c r="BM78" s="117"/>
      <c r="BN78" s="117"/>
      <c r="BO78" s="117"/>
      <c r="BP78" s="117"/>
      <c r="BQ78" s="117"/>
      <c r="BR78" s="117"/>
      <c r="BS78" s="117"/>
      <c r="BT78" s="117"/>
      <c r="BU78" s="117"/>
      <c r="BV78" s="117"/>
      <c r="BW78" s="117"/>
      <c r="BX78" s="117"/>
      <c r="BY78" s="117"/>
      <c r="BZ78" s="117"/>
      <c r="CA78" s="117"/>
      <c r="CB78" s="117"/>
      <c r="CC78" s="117"/>
      <c r="CD78" s="117"/>
      <c r="CE78" s="117"/>
      <c r="CF78" s="117"/>
      <c r="CG78" s="117"/>
      <c r="CH78" s="117"/>
      <c r="CI78" s="117"/>
      <c r="CJ78" s="117"/>
      <c r="CK78" s="117"/>
      <c r="CL78" s="117"/>
      <c r="CM78" s="117"/>
      <c r="CN78" s="117"/>
      <c r="CO78" s="117"/>
      <c r="CP78" s="117"/>
      <c r="CQ78" s="117"/>
      <c r="CR78" s="117"/>
      <c r="CS78" s="117"/>
      <c r="CT78" s="117"/>
      <c r="CU78" s="117"/>
      <c r="CV78" s="117"/>
      <c r="CW78" s="117"/>
      <c r="CX78" s="117"/>
      <c r="CY78" s="117"/>
      <c r="CZ78" s="117"/>
      <c r="DA78" s="117"/>
      <c r="DB78" s="117"/>
      <c r="DC78" s="117"/>
      <c r="DD78" s="117"/>
      <c r="DE78" s="117"/>
      <c r="DF78" s="117"/>
      <c r="DG78" s="117"/>
      <c r="DH78" s="117"/>
      <c r="DI78" s="117"/>
      <c r="DJ78" s="117"/>
      <c r="DK78" s="117"/>
      <c r="DL78" s="117"/>
      <c r="DM78" s="117"/>
      <c r="DN78" s="117"/>
      <c r="DO78" s="117"/>
      <c r="DP78" s="117"/>
      <c r="DQ78" s="117"/>
      <c r="DR78" s="117"/>
      <c r="DS78" s="117"/>
      <c r="DT78" s="117"/>
      <c r="DU78" s="117"/>
      <c r="DV78" s="117"/>
      <c r="DW78" s="117"/>
      <c r="DX78" s="117"/>
      <c r="DY78" s="117"/>
      <c r="DZ78" s="117"/>
      <c r="EA78" s="117"/>
      <c r="EB78" s="117"/>
      <c r="EC78" s="117"/>
      <c r="ED78" s="117"/>
      <c r="EE78" s="117"/>
      <c r="EF78" s="117"/>
      <c r="EG78" s="117"/>
      <c r="EH78" s="117"/>
      <c r="EI78" s="117"/>
      <c r="EJ78" s="117"/>
      <c r="EK78" s="117"/>
      <c r="EL78" s="117"/>
      <c r="EM78" s="117"/>
      <c r="EN78" s="117"/>
    </row>
    <row r="79" spans="1:144" s="129" customFormat="1" ht="11.25" x14ac:dyDescent="0.2">
      <c r="A79" s="141"/>
      <c r="C79" s="143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117"/>
      <c r="BC79" s="117"/>
      <c r="BD79" s="117"/>
      <c r="BE79" s="117"/>
      <c r="BF79" s="117"/>
      <c r="BG79" s="117"/>
      <c r="BH79" s="117"/>
      <c r="BI79" s="117"/>
      <c r="BJ79" s="117"/>
      <c r="BK79" s="117"/>
      <c r="BL79" s="117"/>
      <c r="BM79" s="117"/>
      <c r="BN79" s="117"/>
      <c r="BO79" s="117"/>
      <c r="BP79" s="117"/>
      <c r="BQ79" s="117"/>
      <c r="BR79" s="117"/>
      <c r="BS79" s="117"/>
      <c r="BT79" s="117"/>
      <c r="BU79" s="117"/>
      <c r="BV79" s="117"/>
      <c r="BW79" s="117"/>
      <c r="BX79" s="117"/>
      <c r="BY79" s="117"/>
      <c r="BZ79" s="117"/>
      <c r="CA79" s="117"/>
      <c r="CB79" s="117"/>
      <c r="CC79" s="117"/>
      <c r="CD79" s="117"/>
      <c r="CE79" s="117"/>
      <c r="CF79" s="117"/>
      <c r="CG79" s="117"/>
      <c r="CH79" s="117"/>
      <c r="CI79" s="117"/>
      <c r="CJ79" s="117"/>
      <c r="CK79" s="117"/>
      <c r="CL79" s="117"/>
      <c r="CM79" s="117"/>
      <c r="CN79" s="117"/>
      <c r="CO79" s="117"/>
      <c r="CP79" s="117"/>
      <c r="CQ79" s="117"/>
      <c r="CR79" s="117"/>
      <c r="CS79" s="117"/>
      <c r="CT79" s="117"/>
      <c r="CU79" s="117"/>
      <c r="CV79" s="117"/>
      <c r="CW79" s="117"/>
      <c r="CX79" s="117"/>
      <c r="CY79" s="117"/>
      <c r="CZ79" s="117"/>
      <c r="DA79" s="117"/>
      <c r="DB79" s="117"/>
      <c r="DC79" s="117"/>
      <c r="DD79" s="117"/>
      <c r="DE79" s="117"/>
      <c r="DF79" s="117"/>
      <c r="DG79" s="117"/>
      <c r="DH79" s="117"/>
      <c r="DI79" s="117"/>
      <c r="DJ79" s="117"/>
      <c r="DK79" s="117"/>
      <c r="DL79" s="117"/>
      <c r="DM79" s="117"/>
      <c r="DN79" s="117"/>
      <c r="DO79" s="117"/>
      <c r="DP79" s="117"/>
      <c r="DQ79" s="117"/>
      <c r="DR79" s="117"/>
      <c r="DS79" s="117"/>
      <c r="DT79" s="117"/>
      <c r="DU79" s="117"/>
      <c r="DV79" s="117"/>
      <c r="DW79" s="117"/>
      <c r="DX79" s="117"/>
      <c r="DY79" s="117"/>
      <c r="DZ79" s="117"/>
      <c r="EA79" s="117"/>
      <c r="EB79" s="117"/>
      <c r="EC79" s="117"/>
      <c r="ED79" s="117"/>
      <c r="EE79" s="117"/>
      <c r="EF79" s="117"/>
      <c r="EG79" s="117"/>
      <c r="EH79" s="117"/>
      <c r="EI79" s="117"/>
      <c r="EJ79" s="117"/>
      <c r="EK79" s="117"/>
      <c r="EL79" s="117"/>
      <c r="EM79" s="117"/>
      <c r="EN79" s="117"/>
    </row>
    <row r="80" spans="1:144" s="129" customFormat="1" ht="11.25" x14ac:dyDescent="0.2">
      <c r="A80" s="141">
        <v>3</v>
      </c>
      <c r="B80" s="146" t="s">
        <v>113</v>
      </c>
      <c r="C80" s="125" t="s">
        <v>16</v>
      </c>
      <c r="D80" s="142">
        <f>+'[5]II-H-1.6 Tran'!D75+'[4]II-H-1.6 Tran'!D73</f>
        <v>94497.44975615578</v>
      </c>
      <c r="E80" s="142">
        <f>+'[5]II-H-1.6 Tran'!E75+'[4]II-H-1.6 Tran'!E73</f>
        <v>47124.189122892407</v>
      </c>
      <c r="F80" s="142">
        <f>+'[5]II-H-1.6 Tran'!F75+'[4]II-H-1.6 Tran'!F73</f>
        <v>19765.400165353447</v>
      </c>
      <c r="G80" s="142">
        <f>+'[5]II-H-1.6 Tran'!G75+'[4]II-H-1.6 Tran'!G73</f>
        <v>17040.730761319795</v>
      </c>
      <c r="H80" s="142">
        <f>+'[5]II-H-1.6 Tran'!H75+'[4]II-H-1.6 Tran'!H73</f>
        <v>20888.857688817883</v>
      </c>
      <c r="I80" s="142">
        <f>+'[5]II-H-1.6 Tran'!I75+'[4]II-H-1.6 Tran'!I73</f>
        <v>18868.652510750566</v>
      </c>
      <c r="J80" s="142">
        <f>+'[5]II-H-1.6 Tran'!J75+'[4]II-H-1.6 Tran'!J73</f>
        <v>14412.392658446744</v>
      </c>
      <c r="K80" s="142">
        <f>+'[5]II-H-1.6 Tran'!K75+'[4]II-H-1.6 Tran'!K73</f>
        <v>4232.4779718725595</v>
      </c>
      <c r="L80" s="142">
        <f>+'[5]II-H-1.6 Tran'!L75+'[4]II-H-1.6 Tran'!L73</f>
        <v>12909.26486822868</v>
      </c>
      <c r="M80" s="142">
        <f>+'[5]II-H-1.6 Tran'!M75+'[4]II-H-1.6 Tran'!M73</f>
        <v>11931.085153097174</v>
      </c>
      <c r="N80" s="142">
        <f>+'[5]II-H-1.6 Tran'!N75+'[4]II-H-1.6 Tran'!N73</f>
        <v>4923.8802125449238</v>
      </c>
      <c r="O80" s="142">
        <f>+'[5]II-H-1.6 Tran'!O75+'[4]II-H-1.6 Tran'!O73</f>
        <v>0</v>
      </c>
      <c r="P80" s="127">
        <f>SUM(D80:O80)</f>
        <v>266594.38086947991</v>
      </c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7"/>
      <c r="AM80" s="117"/>
      <c r="AN80" s="117"/>
      <c r="AO80" s="117"/>
      <c r="AP80" s="117"/>
      <c r="AQ80" s="117"/>
      <c r="AR80" s="117"/>
      <c r="AS80" s="117"/>
      <c r="AT80" s="117"/>
      <c r="AU80" s="117"/>
      <c r="AV80" s="117"/>
      <c r="AW80" s="117"/>
      <c r="AX80" s="117"/>
      <c r="AY80" s="117"/>
      <c r="AZ80" s="117"/>
      <c r="BA80" s="117"/>
      <c r="BB80" s="117"/>
      <c r="BC80" s="117"/>
      <c r="BD80" s="117"/>
      <c r="BE80" s="117"/>
      <c r="BF80" s="117"/>
      <c r="BG80" s="117"/>
      <c r="BH80" s="117"/>
      <c r="BI80" s="117"/>
      <c r="BJ80" s="117"/>
      <c r="BK80" s="117"/>
      <c r="BL80" s="117"/>
      <c r="BM80" s="117"/>
      <c r="BN80" s="117"/>
      <c r="BO80" s="117"/>
      <c r="BP80" s="117"/>
      <c r="BQ80" s="117"/>
      <c r="BR80" s="117"/>
      <c r="BS80" s="117"/>
      <c r="BT80" s="117"/>
      <c r="BU80" s="117"/>
      <c r="BV80" s="117"/>
      <c r="BW80" s="117"/>
      <c r="BX80" s="117"/>
      <c r="BY80" s="117"/>
      <c r="BZ80" s="117"/>
      <c r="CA80" s="117"/>
      <c r="CB80" s="117"/>
      <c r="CC80" s="117"/>
      <c r="CD80" s="117"/>
      <c r="CE80" s="117"/>
      <c r="CF80" s="117"/>
      <c r="CG80" s="117"/>
      <c r="CH80" s="117"/>
      <c r="CI80" s="117"/>
      <c r="CJ80" s="117"/>
      <c r="CK80" s="117"/>
      <c r="CL80" s="117"/>
      <c r="CM80" s="117"/>
      <c r="CN80" s="117"/>
      <c r="CO80" s="117"/>
      <c r="CP80" s="117"/>
      <c r="CQ80" s="117"/>
      <c r="CR80" s="117"/>
      <c r="CS80" s="117"/>
      <c r="CT80" s="117"/>
      <c r="CU80" s="117"/>
      <c r="CV80" s="117"/>
      <c r="CW80" s="117"/>
      <c r="CX80" s="117"/>
      <c r="CY80" s="117"/>
      <c r="CZ80" s="117"/>
      <c r="DA80" s="117"/>
      <c r="DB80" s="117"/>
      <c r="DC80" s="117"/>
      <c r="DD80" s="117"/>
      <c r="DE80" s="117"/>
      <c r="DF80" s="117"/>
      <c r="DG80" s="117"/>
      <c r="DH80" s="117"/>
      <c r="DI80" s="117"/>
      <c r="DJ80" s="117"/>
      <c r="DK80" s="117"/>
      <c r="DL80" s="117"/>
      <c r="DM80" s="117"/>
      <c r="DN80" s="117"/>
      <c r="DO80" s="117"/>
      <c r="DP80" s="117"/>
      <c r="DQ80" s="117"/>
      <c r="DR80" s="117"/>
      <c r="DS80" s="117"/>
      <c r="DT80" s="117"/>
      <c r="DU80" s="117"/>
      <c r="DV80" s="117"/>
      <c r="DW80" s="117"/>
      <c r="DX80" s="117"/>
      <c r="DY80" s="117"/>
      <c r="DZ80" s="117"/>
      <c r="EA80" s="117"/>
      <c r="EB80" s="117"/>
      <c r="EC80" s="117"/>
      <c r="ED80" s="117"/>
      <c r="EE80" s="117"/>
      <c r="EF80" s="117"/>
      <c r="EG80" s="117"/>
      <c r="EH80" s="117"/>
      <c r="EI80" s="117"/>
      <c r="EJ80" s="117"/>
      <c r="EK80" s="117"/>
      <c r="EL80" s="117"/>
      <c r="EM80" s="117"/>
      <c r="EN80" s="117"/>
    </row>
    <row r="81" spans="1:144" s="129" customFormat="1" ht="11.25" x14ac:dyDescent="0.2">
      <c r="A81" s="141">
        <v>4</v>
      </c>
      <c r="B81" s="146" t="s">
        <v>114</v>
      </c>
      <c r="C81" s="125" t="s">
        <v>16</v>
      </c>
      <c r="D81" s="123">
        <f>+'[5]II-H-1.6 Tran'!D76+'[4]II-H-1.6 Tran'!D74</f>
        <v>-10188.717526362167</v>
      </c>
      <c r="E81" s="123">
        <f>+'[5]II-H-1.6 Tran'!E76+'[4]II-H-1.6 Tran'!E74</f>
        <v>-10356.728736505882</v>
      </c>
      <c r="F81" s="123">
        <f>+'[5]II-H-1.6 Tran'!F76+'[4]II-H-1.6 Tran'!F74</f>
        <v>-10088.423555334259</v>
      </c>
      <c r="G81" s="123">
        <f>+'[5]II-H-1.6 Tran'!G76+'[4]II-H-1.6 Tran'!G74</f>
        <v>-8867.1782306394362</v>
      </c>
      <c r="H81" s="123">
        <f>+'[5]II-H-1.6 Tran'!H76+'[4]II-H-1.6 Tran'!H74</f>
        <v>-9664.5730518035562</v>
      </c>
      <c r="I81" s="123">
        <f>+'[5]II-H-1.6 Tran'!I76+'[4]II-H-1.6 Tran'!I74</f>
        <v>-6015.3242832700626</v>
      </c>
      <c r="J81" s="123">
        <f>+'[5]II-H-1.6 Tran'!J76+'[4]II-H-1.6 Tran'!J74</f>
        <v>-6604.3222391455583</v>
      </c>
      <c r="K81" s="123">
        <f>+'[5]II-H-1.6 Tran'!K76+'[4]II-H-1.6 Tran'!K74</f>
        <v>-7186.4881545865928</v>
      </c>
      <c r="L81" s="123">
        <f>+'[5]II-H-1.6 Tran'!L76+'[4]II-H-1.6 Tran'!L74</f>
        <v>401.02370760137342</v>
      </c>
      <c r="M81" s="123">
        <f>+'[5]II-H-1.6 Tran'!M76+'[4]II-H-1.6 Tran'!M74</f>
        <v>770.02833920309058</v>
      </c>
      <c r="N81" s="123">
        <f>+'[5]II-H-1.6 Tran'!N76+'[4]II-H-1.6 Tran'!N74</f>
        <v>0</v>
      </c>
      <c r="O81" s="123">
        <f>+'[5]II-H-1.6 Tran'!O76+'[4]II-H-1.6 Tran'!O74</f>
        <v>0</v>
      </c>
      <c r="P81" s="167">
        <f>SUM(D81:O81)</f>
        <v>-67800.703730843059</v>
      </c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1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117"/>
      <c r="BS81" s="117"/>
      <c r="BT81" s="117"/>
      <c r="BU81" s="117"/>
      <c r="BV81" s="117"/>
      <c r="BW81" s="117"/>
      <c r="BX81" s="117"/>
      <c r="BY81" s="117"/>
      <c r="BZ81" s="117"/>
      <c r="CA81" s="117"/>
      <c r="CB81" s="117"/>
      <c r="CC81" s="117"/>
      <c r="CD81" s="117"/>
      <c r="CE81" s="117"/>
      <c r="CF81" s="117"/>
      <c r="CG81" s="117"/>
      <c r="CH81" s="117"/>
      <c r="CI81" s="117"/>
      <c r="CJ81" s="117"/>
      <c r="CK81" s="117"/>
      <c r="CL81" s="117"/>
      <c r="CM81" s="117"/>
      <c r="CN81" s="117"/>
      <c r="CO81" s="117"/>
      <c r="CP81" s="117"/>
      <c r="CQ81" s="117"/>
      <c r="CR81" s="117"/>
      <c r="CS81" s="117"/>
      <c r="CT81" s="117"/>
      <c r="CU81" s="117"/>
      <c r="CV81" s="117"/>
      <c r="CW81" s="117"/>
      <c r="CX81" s="117"/>
      <c r="CY81" s="117"/>
      <c r="CZ81" s="117"/>
      <c r="DA81" s="117"/>
      <c r="DB81" s="117"/>
      <c r="DC81" s="117"/>
      <c r="DD81" s="117"/>
      <c r="DE81" s="117"/>
      <c r="DF81" s="117"/>
      <c r="DG81" s="117"/>
      <c r="DH81" s="117"/>
      <c r="DI81" s="117"/>
      <c r="DJ81" s="117"/>
      <c r="DK81" s="117"/>
      <c r="DL81" s="117"/>
      <c r="DM81" s="117"/>
      <c r="DN81" s="117"/>
      <c r="DO81" s="117"/>
      <c r="DP81" s="117"/>
      <c r="DQ81" s="117"/>
      <c r="DR81" s="117"/>
      <c r="DS81" s="117"/>
      <c r="DT81" s="117"/>
      <c r="DU81" s="117"/>
      <c r="DV81" s="117"/>
      <c r="DW81" s="117"/>
      <c r="DX81" s="117"/>
      <c r="DY81" s="117"/>
      <c r="DZ81" s="117"/>
      <c r="EA81" s="117"/>
      <c r="EB81" s="117"/>
      <c r="EC81" s="117"/>
      <c r="ED81" s="117"/>
      <c r="EE81" s="117"/>
      <c r="EF81" s="117"/>
      <c r="EG81" s="117"/>
      <c r="EH81" s="117"/>
      <c r="EI81" s="117"/>
      <c r="EJ81" s="117"/>
      <c r="EK81" s="117"/>
      <c r="EL81" s="117"/>
      <c r="EM81" s="117"/>
      <c r="EN81" s="117"/>
    </row>
    <row r="82" spans="1:144" s="129" customFormat="1" ht="11.25" x14ac:dyDescent="0.2">
      <c r="A82" s="141">
        <v>5</v>
      </c>
      <c r="B82" s="162" t="s">
        <v>30</v>
      </c>
      <c r="C82" s="143"/>
      <c r="D82" s="157">
        <f t="shared" ref="D82:P82" si="12">SUM(D80:D81)</f>
        <v>84308.732229793619</v>
      </c>
      <c r="E82" s="157">
        <f t="shared" si="12"/>
        <v>36767.460386386527</v>
      </c>
      <c r="F82" s="157">
        <f t="shared" si="12"/>
        <v>9676.9766100191882</v>
      </c>
      <c r="G82" s="157">
        <f t="shared" si="12"/>
        <v>8173.5525306803593</v>
      </c>
      <c r="H82" s="157">
        <f t="shared" si="12"/>
        <v>11224.284637014327</v>
      </c>
      <c r="I82" s="157">
        <f t="shared" si="12"/>
        <v>12853.328227480502</v>
      </c>
      <c r="J82" s="157">
        <f t="shared" si="12"/>
        <v>7808.0704193011861</v>
      </c>
      <c r="K82" s="157">
        <f t="shared" si="12"/>
        <v>-2954.0101827140334</v>
      </c>
      <c r="L82" s="157">
        <f t="shared" si="12"/>
        <v>13310.288575830053</v>
      </c>
      <c r="M82" s="157">
        <f t="shared" si="12"/>
        <v>12701.113492300265</v>
      </c>
      <c r="N82" s="157">
        <f t="shared" si="12"/>
        <v>4923.8802125449238</v>
      </c>
      <c r="O82" s="157">
        <f t="shared" si="12"/>
        <v>0</v>
      </c>
      <c r="P82" s="157">
        <f t="shared" si="12"/>
        <v>198793.67713863685</v>
      </c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  <c r="AM82" s="117"/>
      <c r="AN82" s="117"/>
      <c r="AO82" s="117"/>
      <c r="AP82" s="117"/>
      <c r="AQ82" s="117"/>
      <c r="AR82" s="117"/>
      <c r="AS82" s="117"/>
      <c r="AT82" s="117"/>
      <c r="AU82" s="117"/>
      <c r="AV82" s="117"/>
      <c r="AW82" s="117"/>
      <c r="AX82" s="117"/>
      <c r="AY82" s="117"/>
      <c r="AZ82" s="117"/>
      <c r="BA82" s="117"/>
      <c r="BB82" s="117"/>
      <c r="BC82" s="117"/>
      <c r="BD82" s="117"/>
      <c r="BE82" s="117"/>
      <c r="BF82" s="117"/>
      <c r="BG82" s="117"/>
      <c r="BH82" s="117"/>
      <c r="BI82" s="117"/>
      <c r="BJ82" s="117"/>
      <c r="BK82" s="117"/>
      <c r="BL82" s="117"/>
      <c r="BM82" s="117"/>
      <c r="BN82" s="117"/>
      <c r="BO82" s="117"/>
      <c r="BP82" s="117"/>
      <c r="BQ82" s="117"/>
      <c r="BR82" s="117"/>
      <c r="BS82" s="117"/>
      <c r="BT82" s="117"/>
      <c r="BU82" s="117"/>
      <c r="BV82" s="117"/>
      <c r="BW82" s="117"/>
      <c r="BX82" s="117"/>
      <c r="BY82" s="117"/>
      <c r="BZ82" s="117"/>
      <c r="CA82" s="117"/>
      <c r="CB82" s="117"/>
      <c r="CC82" s="117"/>
      <c r="CD82" s="117"/>
      <c r="CE82" s="117"/>
      <c r="CF82" s="117"/>
      <c r="CG82" s="117"/>
      <c r="CH82" s="117"/>
      <c r="CI82" s="117"/>
      <c r="CJ82" s="117"/>
      <c r="CK82" s="117"/>
      <c r="CL82" s="117"/>
      <c r="CM82" s="117"/>
      <c r="CN82" s="117"/>
      <c r="CO82" s="117"/>
      <c r="CP82" s="117"/>
      <c r="CQ82" s="117"/>
      <c r="CR82" s="117"/>
      <c r="CS82" s="117"/>
      <c r="CT82" s="117"/>
      <c r="CU82" s="117"/>
      <c r="CV82" s="117"/>
      <c r="CW82" s="117"/>
      <c r="CX82" s="117"/>
      <c r="CY82" s="117"/>
      <c r="CZ82" s="117"/>
      <c r="DA82" s="117"/>
      <c r="DB82" s="117"/>
      <c r="DC82" s="117"/>
      <c r="DD82" s="117"/>
      <c r="DE82" s="117"/>
      <c r="DF82" s="117"/>
      <c r="DG82" s="117"/>
      <c r="DH82" s="117"/>
      <c r="DI82" s="117"/>
      <c r="DJ82" s="117"/>
      <c r="DK82" s="117"/>
      <c r="DL82" s="117"/>
      <c r="DM82" s="117"/>
      <c r="DN82" s="117"/>
      <c r="DO82" s="117"/>
      <c r="DP82" s="117"/>
      <c r="DQ82" s="117"/>
      <c r="DR82" s="117"/>
      <c r="DS82" s="117"/>
      <c r="DT82" s="117"/>
      <c r="DU82" s="117"/>
      <c r="DV82" s="117"/>
      <c r="DW82" s="117"/>
      <c r="DX82" s="117"/>
      <c r="DY82" s="117"/>
      <c r="DZ82" s="117"/>
      <c r="EA82" s="117"/>
      <c r="EB82" s="117"/>
      <c r="EC82" s="117"/>
      <c r="ED82" s="117"/>
      <c r="EE82" s="117"/>
      <c r="EF82" s="117"/>
      <c r="EG82" s="117"/>
      <c r="EH82" s="117"/>
      <c r="EI82" s="117"/>
      <c r="EJ82" s="117"/>
      <c r="EK82" s="117"/>
      <c r="EL82" s="117"/>
      <c r="EM82" s="117"/>
      <c r="EN82" s="117"/>
    </row>
    <row r="83" spans="1:144" s="129" customFormat="1" ht="11.25" x14ac:dyDescent="0.2">
      <c r="B83" s="242"/>
      <c r="C83" s="143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22"/>
      <c r="O83" s="122"/>
      <c r="P83" s="12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17"/>
      <c r="AM83" s="117"/>
      <c r="AN83" s="117"/>
      <c r="AO83" s="117"/>
      <c r="AP83" s="117"/>
      <c r="AQ83" s="117"/>
      <c r="AR83" s="117"/>
      <c r="AS83" s="117"/>
      <c r="AT83" s="117"/>
      <c r="AU83" s="117"/>
      <c r="AV83" s="117"/>
      <c r="AW83" s="117"/>
      <c r="AX83" s="117"/>
      <c r="AY83" s="117"/>
      <c r="AZ83" s="117"/>
      <c r="BA83" s="117"/>
      <c r="BB83" s="117"/>
      <c r="BC83" s="117"/>
      <c r="BD83" s="117"/>
      <c r="BE83" s="117"/>
      <c r="BF83" s="117"/>
      <c r="BG83" s="117"/>
      <c r="BH83" s="117"/>
      <c r="BI83" s="117"/>
      <c r="BJ83" s="117"/>
      <c r="BK83" s="117"/>
      <c r="BL83" s="117"/>
      <c r="BM83" s="117"/>
      <c r="BN83" s="117"/>
      <c r="BO83" s="117"/>
      <c r="BP83" s="117"/>
      <c r="BQ83" s="117"/>
      <c r="BR83" s="117"/>
      <c r="BS83" s="117"/>
      <c r="BT83" s="117"/>
      <c r="BU83" s="117"/>
      <c r="BV83" s="117"/>
      <c r="BW83" s="117"/>
      <c r="BX83" s="117"/>
      <c r="BY83" s="117"/>
      <c r="BZ83" s="117"/>
      <c r="CA83" s="117"/>
      <c r="CB83" s="117"/>
      <c r="CC83" s="117"/>
      <c r="CD83" s="117"/>
      <c r="CE83" s="117"/>
      <c r="CF83" s="117"/>
      <c r="CG83" s="117"/>
      <c r="CH83" s="117"/>
      <c r="CI83" s="117"/>
      <c r="CJ83" s="117"/>
      <c r="CK83" s="117"/>
      <c r="CL83" s="117"/>
      <c r="CM83" s="117"/>
      <c r="CN83" s="117"/>
      <c r="CO83" s="117"/>
      <c r="CP83" s="117"/>
      <c r="CQ83" s="117"/>
      <c r="CR83" s="117"/>
      <c r="CS83" s="117"/>
      <c r="CT83" s="117"/>
      <c r="CU83" s="117"/>
      <c r="CV83" s="117"/>
      <c r="CW83" s="117"/>
      <c r="CX83" s="117"/>
      <c r="CY83" s="117"/>
      <c r="CZ83" s="117"/>
      <c r="DA83" s="117"/>
      <c r="DB83" s="117"/>
      <c r="DC83" s="117"/>
      <c r="DD83" s="117"/>
      <c r="DE83" s="117"/>
      <c r="DF83" s="117"/>
      <c r="DG83" s="117"/>
      <c r="DH83" s="117"/>
      <c r="DI83" s="117"/>
      <c r="DJ83" s="117"/>
      <c r="DK83" s="117"/>
      <c r="DL83" s="117"/>
      <c r="DM83" s="117"/>
      <c r="DN83" s="117"/>
      <c r="DO83" s="117"/>
      <c r="DP83" s="117"/>
      <c r="DQ83" s="117"/>
      <c r="DR83" s="117"/>
      <c r="DS83" s="117"/>
      <c r="DT83" s="117"/>
      <c r="DU83" s="117"/>
      <c r="DV83" s="117"/>
      <c r="DW83" s="117"/>
      <c r="DX83" s="117"/>
      <c r="DY83" s="117"/>
      <c r="DZ83" s="117"/>
      <c r="EA83" s="117"/>
      <c r="EB83" s="117"/>
      <c r="EC83" s="117"/>
      <c r="ED83" s="117"/>
      <c r="EE83" s="117"/>
      <c r="EF83" s="117"/>
      <c r="EG83" s="117"/>
      <c r="EH83" s="117"/>
      <c r="EI83" s="117"/>
      <c r="EJ83" s="117"/>
      <c r="EK83" s="117"/>
      <c r="EL83" s="117"/>
      <c r="EM83" s="117"/>
      <c r="EN83" s="117"/>
    </row>
    <row r="84" spans="1:144" s="129" customFormat="1" ht="11.25" x14ac:dyDescent="0.2">
      <c r="A84" s="141">
        <v>6</v>
      </c>
      <c r="B84" s="146" t="s">
        <v>110</v>
      </c>
      <c r="C84" s="125" t="s">
        <v>17</v>
      </c>
      <c r="D84" s="142">
        <f>+'[5]II-H-1.6 Tran'!D79+'[4]II-H-1.6 Tran'!D77</f>
        <v>452.31243199470816</v>
      </c>
      <c r="E84" s="142">
        <f>+'[5]II-H-1.6 Tran'!E79+'[4]II-H-1.6 Tran'!E77</f>
        <v>1232.4990080514608</v>
      </c>
      <c r="F84" s="142">
        <f>+'[5]II-H-1.6 Tran'!F79+'[4]II-H-1.6 Tran'!F77</f>
        <v>865.19184940041646</v>
      </c>
      <c r="G84" s="142">
        <f>+'[5]II-H-1.6 Tran'!G79+'[4]II-H-1.6 Tran'!G77</f>
        <v>1511.4068075344478</v>
      </c>
      <c r="H84" s="142">
        <f>+'[5]II-H-1.6 Tran'!H79+'[4]II-H-1.6 Tran'!H77</f>
        <v>1405.0797475366621</v>
      </c>
      <c r="I84" s="142">
        <f>+'[5]II-H-1.6 Tran'!I79+'[4]II-H-1.6 Tran'!I77</f>
        <v>474.41279119186714</v>
      </c>
      <c r="J84" s="142">
        <f>+'[5]II-H-1.6 Tran'!J79+'[4]II-H-1.6 Tran'!J77</f>
        <v>761.7586259603487</v>
      </c>
      <c r="K84" s="142">
        <f>+'[5]II-H-1.6 Tran'!K79+'[4]II-H-1.6 Tran'!K77</f>
        <v>-576.39884937546526</v>
      </c>
      <c r="L84" s="142">
        <f>+'[5]II-H-1.6 Tran'!L79+'[4]II-H-1.6 Tran'!L77</f>
        <v>-706.09805575981659</v>
      </c>
      <c r="M84" s="142">
        <f>+'[5]II-H-1.6 Tran'!M79+'[4]II-H-1.6 Tran'!M77</f>
        <v>-368.12147686447861</v>
      </c>
      <c r="N84" s="142">
        <f>+'[5]II-H-1.6 Tran'!N79+'[4]II-H-1.6 Tran'!N77</f>
        <v>-273.21547807887885</v>
      </c>
      <c r="O84" s="142">
        <f>+'[5]II-H-1.6 Tran'!O79+'[4]II-H-1.6 Tran'!O77</f>
        <v>0</v>
      </c>
      <c r="P84" s="127">
        <f>SUM(D84:O84)</f>
        <v>4778.8274015912712</v>
      </c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17"/>
      <c r="BE84" s="117"/>
      <c r="BF84" s="117"/>
      <c r="BG84" s="117"/>
      <c r="BH84" s="117"/>
      <c r="BI84" s="117"/>
      <c r="BJ84" s="117"/>
      <c r="BK84" s="117"/>
      <c r="BL84" s="117"/>
      <c r="BM84" s="117"/>
      <c r="BN84" s="117"/>
      <c r="BO84" s="117"/>
      <c r="BP84" s="117"/>
      <c r="BQ84" s="117"/>
      <c r="BR84" s="117"/>
      <c r="BS84" s="117"/>
      <c r="BT84" s="117"/>
      <c r="BU84" s="117"/>
      <c r="BV84" s="117"/>
      <c r="BW84" s="117"/>
      <c r="BX84" s="117"/>
      <c r="BY84" s="117"/>
      <c r="BZ84" s="117"/>
      <c r="CA84" s="117"/>
      <c r="CB84" s="117"/>
      <c r="CC84" s="117"/>
      <c r="CD84" s="117"/>
      <c r="CE84" s="117"/>
      <c r="CF84" s="117"/>
      <c r="CG84" s="117"/>
      <c r="CH84" s="117"/>
      <c r="CI84" s="117"/>
      <c r="CJ84" s="117"/>
      <c r="CK84" s="117"/>
      <c r="CL84" s="117"/>
      <c r="CM84" s="117"/>
      <c r="CN84" s="117"/>
      <c r="CO84" s="117"/>
      <c r="CP84" s="117"/>
      <c r="CQ84" s="117"/>
      <c r="CR84" s="117"/>
      <c r="CS84" s="117"/>
      <c r="CT84" s="117"/>
      <c r="CU84" s="117"/>
      <c r="CV84" s="117"/>
      <c r="CW84" s="117"/>
      <c r="CX84" s="117"/>
      <c r="CY84" s="117"/>
      <c r="CZ84" s="117"/>
      <c r="DA84" s="117"/>
      <c r="DB84" s="117"/>
      <c r="DC84" s="117"/>
      <c r="DD84" s="117"/>
      <c r="DE84" s="117"/>
      <c r="DF84" s="117"/>
      <c r="DG84" s="117"/>
      <c r="DH84" s="117"/>
      <c r="DI84" s="117"/>
      <c r="DJ84" s="117"/>
      <c r="DK84" s="117"/>
      <c r="DL84" s="117"/>
      <c r="DM84" s="117"/>
      <c r="DN84" s="117"/>
      <c r="DO84" s="117"/>
      <c r="DP84" s="117"/>
      <c r="DQ84" s="117"/>
      <c r="DR84" s="117"/>
      <c r="DS84" s="117"/>
      <c r="DT84" s="117"/>
      <c r="DU84" s="117"/>
      <c r="DV84" s="117"/>
      <c r="DW84" s="117"/>
      <c r="DX84" s="117"/>
      <c r="DY84" s="117"/>
      <c r="DZ84" s="117"/>
      <c r="EA84" s="117"/>
      <c r="EB84" s="117"/>
      <c r="EC84" s="117"/>
      <c r="ED84" s="117"/>
      <c r="EE84" s="117"/>
      <c r="EF84" s="117"/>
      <c r="EG84" s="117"/>
      <c r="EH84" s="117"/>
      <c r="EI84" s="117"/>
      <c r="EJ84" s="117"/>
      <c r="EK84" s="117"/>
      <c r="EL84" s="117"/>
      <c r="EM84" s="117"/>
      <c r="EN84" s="117"/>
    </row>
    <row r="85" spans="1:144" s="129" customFormat="1" ht="11.25" x14ac:dyDescent="0.2">
      <c r="A85" s="141">
        <v>7</v>
      </c>
      <c r="B85" s="146" t="s">
        <v>111</v>
      </c>
      <c r="C85" s="125" t="s">
        <v>17</v>
      </c>
      <c r="D85" s="123">
        <f>+'[5]II-H-1.6 Tran'!D80+'[4]II-H-1.6 Tran'!D78</f>
        <v>3601.426785714285</v>
      </c>
      <c r="E85" s="123">
        <f>+'[5]II-H-1.6 Tran'!E80+'[4]II-H-1.6 Tran'!E78</f>
        <v>2763.1500094215185</v>
      </c>
      <c r="F85" s="123">
        <f>+'[5]II-H-1.6 Tran'!F80+'[4]II-H-1.6 Tran'!F78</f>
        <v>-5639.4471699387605</v>
      </c>
      <c r="G85" s="123">
        <f>+'[5]II-H-1.6 Tran'!G80+'[4]II-H-1.6 Tran'!G78</f>
        <v>9392.1183312049725</v>
      </c>
      <c r="H85" s="123">
        <f>+'[5]II-H-1.6 Tran'!H80+'[4]II-H-1.6 Tran'!H78</f>
        <v>-4984.1618401759515</v>
      </c>
      <c r="I85" s="123">
        <f>+'[5]II-H-1.6 Tran'!I80+'[4]II-H-1.6 Tran'!I78</f>
        <v>-11532.55741734579</v>
      </c>
      <c r="J85" s="123">
        <f>+'[5]II-H-1.6 Tran'!J80+'[4]II-H-1.6 Tran'!J78</f>
        <v>-509.92577864293662</v>
      </c>
      <c r="K85" s="123">
        <f>+'[5]II-H-1.6 Tran'!K80+'[4]II-H-1.6 Tran'!K78</f>
        <v>2672.813742690058</v>
      </c>
      <c r="L85" s="123">
        <f>+'[5]II-H-1.6 Tran'!L80+'[4]II-H-1.6 Tran'!L78</f>
        <v>-1048.0187319884726</v>
      </c>
      <c r="M85" s="123">
        <f>+'[5]II-H-1.6 Tran'!M80+'[4]II-H-1.6 Tran'!M78</f>
        <v>-4695.0192980488901</v>
      </c>
      <c r="N85" s="123">
        <f>+'[5]II-H-1.6 Tran'!N80+'[4]II-H-1.6 Tran'!N78</f>
        <v>156.45810243107371</v>
      </c>
      <c r="O85" s="123">
        <f>+'[5]II-H-1.6 Tran'!O80+'[4]II-H-1.6 Tran'!O78</f>
        <v>0</v>
      </c>
      <c r="P85" s="167">
        <f>SUM(D85:O85)</f>
        <v>-9823.1632646788948</v>
      </c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117"/>
      <c r="BF85" s="11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117"/>
      <c r="BS85" s="117"/>
      <c r="BT85" s="117"/>
      <c r="BU85" s="117"/>
      <c r="BV85" s="117"/>
      <c r="BW85" s="117"/>
      <c r="BX85" s="117"/>
      <c r="BY85" s="117"/>
      <c r="BZ85" s="117"/>
      <c r="CA85" s="117"/>
      <c r="CB85" s="117"/>
      <c r="CC85" s="117"/>
      <c r="CD85" s="117"/>
      <c r="CE85" s="117"/>
      <c r="CF85" s="117"/>
      <c r="CG85" s="117"/>
      <c r="CH85" s="117"/>
      <c r="CI85" s="117"/>
      <c r="CJ85" s="117"/>
      <c r="CK85" s="117"/>
      <c r="CL85" s="117"/>
      <c r="CM85" s="117"/>
      <c r="CN85" s="117"/>
      <c r="CO85" s="117"/>
      <c r="CP85" s="117"/>
      <c r="CQ85" s="117"/>
      <c r="CR85" s="117"/>
      <c r="CS85" s="117"/>
      <c r="CT85" s="117"/>
      <c r="CU85" s="117"/>
      <c r="CV85" s="117"/>
      <c r="CW85" s="117"/>
      <c r="CX85" s="117"/>
      <c r="CY85" s="117"/>
      <c r="CZ85" s="117"/>
      <c r="DA85" s="117"/>
      <c r="DB85" s="117"/>
      <c r="DC85" s="117"/>
      <c r="DD85" s="117"/>
      <c r="DE85" s="117"/>
      <c r="DF85" s="117"/>
      <c r="DG85" s="117"/>
      <c r="DH85" s="117"/>
      <c r="DI85" s="117"/>
      <c r="DJ85" s="117"/>
      <c r="DK85" s="117"/>
      <c r="DL85" s="117"/>
      <c r="DM85" s="117"/>
      <c r="DN85" s="117"/>
      <c r="DO85" s="117"/>
      <c r="DP85" s="117"/>
      <c r="DQ85" s="117"/>
      <c r="DR85" s="117"/>
      <c r="DS85" s="117"/>
      <c r="DT85" s="117"/>
      <c r="DU85" s="117"/>
      <c r="DV85" s="117"/>
      <c r="DW85" s="117"/>
      <c r="DX85" s="117"/>
      <c r="DY85" s="117"/>
      <c r="DZ85" s="117"/>
      <c r="EA85" s="117"/>
      <c r="EB85" s="117"/>
      <c r="EC85" s="117"/>
      <c r="ED85" s="117"/>
      <c r="EE85" s="117"/>
      <c r="EF85" s="117"/>
      <c r="EG85" s="117"/>
      <c r="EH85" s="117"/>
      <c r="EI85" s="117"/>
      <c r="EJ85" s="117"/>
      <c r="EK85" s="117"/>
      <c r="EL85" s="117"/>
      <c r="EM85" s="117"/>
      <c r="EN85" s="117"/>
    </row>
    <row r="86" spans="1:144" s="129" customFormat="1" ht="11.25" x14ac:dyDescent="0.2">
      <c r="A86" s="141">
        <v>8</v>
      </c>
      <c r="B86" s="129" t="s">
        <v>31</v>
      </c>
      <c r="C86" s="125"/>
      <c r="D86" s="122">
        <f t="shared" ref="D86:P86" si="13">SUM(D84:D85)</f>
        <v>4053.7392177089932</v>
      </c>
      <c r="E86" s="122">
        <f t="shared" ref="E86:O86" si="14">SUM(E84:E85)</f>
        <v>3995.6490174729793</v>
      </c>
      <c r="F86" s="122">
        <f t="shared" si="14"/>
        <v>-4774.2553205383438</v>
      </c>
      <c r="G86" s="122">
        <f t="shared" si="14"/>
        <v>10903.52513873942</v>
      </c>
      <c r="H86" s="122">
        <f t="shared" si="14"/>
        <v>-3579.0820926392894</v>
      </c>
      <c r="I86" s="122">
        <f t="shared" si="14"/>
        <v>-11058.144626153922</v>
      </c>
      <c r="J86" s="122">
        <f t="shared" si="14"/>
        <v>251.83284731741207</v>
      </c>
      <c r="K86" s="122">
        <f t="shared" si="14"/>
        <v>2096.4148933145925</v>
      </c>
      <c r="L86" s="122">
        <f t="shared" si="14"/>
        <v>-1754.1167877482892</v>
      </c>
      <c r="M86" s="122">
        <f t="shared" si="14"/>
        <v>-5063.1407749133687</v>
      </c>
      <c r="N86" s="122">
        <f t="shared" si="14"/>
        <v>-116.75737564780513</v>
      </c>
      <c r="O86" s="122">
        <f t="shared" si="14"/>
        <v>0</v>
      </c>
      <c r="P86" s="122">
        <f t="shared" si="13"/>
        <v>-5044.3358630876237</v>
      </c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17"/>
      <c r="BA86" s="117"/>
      <c r="BB86" s="117"/>
      <c r="BC86" s="117"/>
      <c r="BD86" s="117"/>
      <c r="BE86" s="117"/>
      <c r="BF86" s="117"/>
      <c r="BG86" s="117"/>
      <c r="BH86" s="117"/>
      <c r="BI86" s="117"/>
      <c r="BJ86" s="117"/>
      <c r="BK86" s="117"/>
      <c r="BL86" s="117"/>
      <c r="BM86" s="117"/>
      <c r="BN86" s="117"/>
      <c r="BO86" s="117"/>
      <c r="BP86" s="117"/>
      <c r="BQ86" s="117"/>
      <c r="BR86" s="117"/>
      <c r="BS86" s="117"/>
      <c r="BT86" s="117"/>
      <c r="BU86" s="117"/>
      <c r="BV86" s="117"/>
      <c r="BW86" s="117"/>
      <c r="BX86" s="117"/>
      <c r="BY86" s="117"/>
      <c r="BZ86" s="117"/>
      <c r="CA86" s="117"/>
      <c r="CB86" s="117"/>
      <c r="CC86" s="117"/>
      <c r="CD86" s="117"/>
      <c r="CE86" s="117"/>
      <c r="CF86" s="117"/>
      <c r="CG86" s="117"/>
      <c r="CH86" s="117"/>
      <c r="CI86" s="117"/>
      <c r="CJ86" s="117"/>
      <c r="CK86" s="117"/>
      <c r="CL86" s="117"/>
      <c r="CM86" s="117"/>
      <c r="CN86" s="117"/>
      <c r="CO86" s="117"/>
      <c r="CP86" s="117"/>
      <c r="CQ86" s="117"/>
      <c r="CR86" s="117"/>
      <c r="CS86" s="117"/>
      <c r="CT86" s="117"/>
      <c r="CU86" s="117"/>
      <c r="CV86" s="117"/>
      <c r="CW86" s="117"/>
      <c r="CX86" s="117"/>
      <c r="CY86" s="117"/>
      <c r="CZ86" s="117"/>
      <c r="DA86" s="117"/>
      <c r="DB86" s="117"/>
      <c r="DC86" s="117"/>
      <c r="DD86" s="117"/>
      <c r="DE86" s="117"/>
      <c r="DF86" s="117"/>
      <c r="DG86" s="117"/>
      <c r="DH86" s="117"/>
      <c r="DI86" s="117"/>
      <c r="DJ86" s="117"/>
      <c r="DK86" s="117"/>
      <c r="DL86" s="117"/>
      <c r="DM86" s="117"/>
      <c r="DN86" s="117"/>
      <c r="DO86" s="117"/>
      <c r="DP86" s="117"/>
      <c r="DQ86" s="117"/>
      <c r="DR86" s="117"/>
      <c r="DS86" s="117"/>
      <c r="DT86" s="117"/>
      <c r="DU86" s="117"/>
      <c r="DV86" s="117"/>
      <c r="DW86" s="117"/>
      <c r="DX86" s="117"/>
      <c r="DY86" s="117"/>
      <c r="DZ86" s="117"/>
      <c r="EA86" s="117"/>
      <c r="EB86" s="117"/>
      <c r="EC86" s="117"/>
      <c r="ED86" s="117"/>
      <c r="EE86" s="117"/>
      <c r="EF86" s="117"/>
      <c r="EG86" s="117"/>
      <c r="EH86" s="117"/>
      <c r="EI86" s="117"/>
      <c r="EJ86" s="117"/>
      <c r="EK86" s="117"/>
      <c r="EL86" s="117"/>
      <c r="EM86" s="117"/>
      <c r="EN86" s="117"/>
    </row>
    <row r="87" spans="1:144" s="129" customFormat="1" ht="11.25" x14ac:dyDescent="0.2">
      <c r="A87" s="141"/>
      <c r="C87" s="125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  <c r="BG87" s="11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117"/>
      <c r="BS87" s="117"/>
      <c r="BT87" s="117"/>
      <c r="BU87" s="117"/>
      <c r="BV87" s="117"/>
      <c r="BW87" s="117"/>
      <c r="BX87" s="117"/>
      <c r="BY87" s="117"/>
      <c r="BZ87" s="117"/>
      <c r="CA87" s="117"/>
      <c r="CB87" s="117"/>
      <c r="CC87" s="117"/>
      <c r="CD87" s="117"/>
      <c r="CE87" s="117"/>
      <c r="CF87" s="117"/>
      <c r="CG87" s="117"/>
      <c r="CH87" s="117"/>
      <c r="CI87" s="117"/>
      <c r="CJ87" s="117"/>
      <c r="CK87" s="117"/>
      <c r="CL87" s="117"/>
      <c r="CM87" s="117"/>
      <c r="CN87" s="117"/>
      <c r="CO87" s="117"/>
      <c r="CP87" s="117"/>
      <c r="CQ87" s="117"/>
      <c r="CR87" s="117"/>
      <c r="CS87" s="117"/>
      <c r="CT87" s="117"/>
      <c r="CU87" s="117"/>
      <c r="CV87" s="117"/>
      <c r="CW87" s="117"/>
      <c r="CX87" s="117"/>
      <c r="CY87" s="117"/>
      <c r="CZ87" s="117"/>
      <c r="DA87" s="117"/>
      <c r="DB87" s="117"/>
      <c r="DC87" s="117"/>
      <c r="DD87" s="117"/>
      <c r="DE87" s="117"/>
      <c r="DF87" s="117"/>
      <c r="DG87" s="117"/>
      <c r="DH87" s="117"/>
      <c r="DI87" s="117"/>
      <c r="DJ87" s="117"/>
      <c r="DK87" s="117"/>
      <c r="DL87" s="117"/>
      <c r="DM87" s="117"/>
      <c r="DN87" s="117"/>
      <c r="DO87" s="117"/>
      <c r="DP87" s="117"/>
      <c r="DQ87" s="117"/>
      <c r="DR87" s="117"/>
      <c r="DS87" s="117"/>
      <c r="DT87" s="117"/>
      <c r="DU87" s="117"/>
      <c r="DV87" s="117"/>
      <c r="DW87" s="117"/>
      <c r="DX87" s="117"/>
      <c r="DY87" s="117"/>
      <c r="DZ87" s="117"/>
      <c r="EA87" s="117"/>
      <c r="EB87" s="117"/>
      <c r="EC87" s="117"/>
      <c r="ED87" s="117"/>
      <c r="EE87" s="117"/>
      <c r="EF87" s="117"/>
      <c r="EG87" s="117"/>
      <c r="EH87" s="117"/>
      <c r="EI87" s="117"/>
      <c r="EJ87" s="117"/>
      <c r="EK87" s="117"/>
      <c r="EL87" s="117"/>
      <c r="EM87" s="117"/>
      <c r="EN87" s="117"/>
    </row>
    <row r="88" spans="1:144" s="129" customFormat="1" ht="11.25" x14ac:dyDescent="0.2">
      <c r="A88" s="141">
        <v>9</v>
      </c>
      <c r="B88" s="162" t="s">
        <v>115</v>
      </c>
      <c r="C88" s="125" t="s">
        <v>18</v>
      </c>
      <c r="D88" s="142">
        <f>+'[5]II-H-1.6 Tran'!D83+'[4]II-H-1.6 Tran'!D81</f>
        <v>-19126.201683029452</v>
      </c>
      <c r="E88" s="142">
        <f>+'[5]II-H-1.6 Tran'!E83+'[4]II-H-1.6 Tran'!E81</f>
        <v>26342.159090909088</v>
      </c>
      <c r="F88" s="142">
        <f>+'[5]II-H-1.6 Tran'!F83+'[4]II-H-1.6 Tran'!F81</f>
        <v>50301.251136363637</v>
      </c>
      <c r="G88" s="142">
        <f>+'[5]II-H-1.6 Tran'!G83+'[4]II-H-1.6 Tran'!G81</f>
        <v>25729.676973684211</v>
      </c>
      <c r="H88" s="142">
        <f>+'[5]II-H-1.6 Tran'!H83+'[4]II-H-1.6 Tran'!H81</f>
        <v>16622.537798408484</v>
      </c>
      <c r="I88" s="142">
        <f>+'[5]II-H-1.6 Tran'!I83+'[4]II-H-1.6 Tran'!I81</f>
        <v>814.46249999999986</v>
      </c>
      <c r="J88" s="142">
        <f>+'[5]II-H-1.6 Tran'!J83+'[4]II-H-1.6 Tran'!J81</f>
        <v>38919.296212121211</v>
      </c>
      <c r="K88" s="142">
        <f>+'[5]II-H-1.6 Tran'!K83+'[4]II-H-1.6 Tran'!K81</f>
        <v>23514.52587719298</v>
      </c>
      <c r="L88" s="142">
        <f>+'[5]II-H-1.6 Tran'!L83+'[4]II-H-1.6 Tran'!L81</f>
        <v>1699.6608695652171</v>
      </c>
      <c r="M88" s="142">
        <f>+'[5]II-H-1.6 Tran'!M83+'[4]II-H-1.6 Tran'!M81</f>
        <v>173520.62560975613</v>
      </c>
      <c r="N88" s="142">
        <f>+'[5]II-H-1.6 Tran'!N83+'[4]II-H-1.6 Tran'!N81</f>
        <v>-173798.84615384616</v>
      </c>
      <c r="O88" s="142">
        <f>+'[5]II-H-1.6 Tran'!O83+'[4]II-H-1.6 Tran'!O81</f>
        <v>181652.69230769231</v>
      </c>
      <c r="P88" s="127">
        <f>SUM(D88:O88)</f>
        <v>346191.84053881757</v>
      </c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117"/>
      <c r="BF88" s="117"/>
      <c r="BG88" s="117"/>
      <c r="BH88" s="117"/>
      <c r="BI88" s="117"/>
      <c r="BJ88" s="117"/>
      <c r="BK88" s="117"/>
      <c r="BL88" s="117"/>
      <c r="BM88" s="117"/>
      <c r="BN88" s="117"/>
      <c r="BO88" s="117"/>
      <c r="BP88" s="117"/>
      <c r="BQ88" s="117"/>
      <c r="BR88" s="117"/>
      <c r="BS88" s="117"/>
      <c r="BT88" s="117"/>
      <c r="BU88" s="117"/>
      <c r="BV88" s="117"/>
      <c r="BW88" s="117"/>
      <c r="BX88" s="117"/>
      <c r="BY88" s="117"/>
      <c r="BZ88" s="117"/>
      <c r="CA88" s="117"/>
      <c r="CB88" s="117"/>
      <c r="CC88" s="117"/>
      <c r="CD88" s="117"/>
      <c r="CE88" s="117"/>
      <c r="CF88" s="117"/>
      <c r="CG88" s="117"/>
      <c r="CH88" s="117"/>
      <c r="CI88" s="117"/>
      <c r="CJ88" s="117"/>
      <c r="CK88" s="117"/>
      <c r="CL88" s="117"/>
      <c r="CM88" s="117"/>
      <c r="CN88" s="117"/>
      <c r="CO88" s="117"/>
      <c r="CP88" s="117"/>
      <c r="CQ88" s="117"/>
      <c r="CR88" s="117"/>
      <c r="CS88" s="117"/>
      <c r="CT88" s="117"/>
      <c r="CU88" s="117"/>
      <c r="CV88" s="117"/>
      <c r="CW88" s="117"/>
      <c r="CX88" s="117"/>
      <c r="CY88" s="117"/>
      <c r="CZ88" s="117"/>
      <c r="DA88" s="117"/>
      <c r="DB88" s="117"/>
      <c r="DC88" s="117"/>
      <c r="DD88" s="117"/>
      <c r="DE88" s="117"/>
      <c r="DF88" s="117"/>
      <c r="DG88" s="117"/>
      <c r="DH88" s="117"/>
      <c r="DI88" s="117"/>
      <c r="DJ88" s="117"/>
      <c r="DK88" s="117"/>
      <c r="DL88" s="117"/>
      <c r="DM88" s="117"/>
      <c r="DN88" s="117"/>
      <c r="DO88" s="117"/>
      <c r="DP88" s="117"/>
      <c r="DQ88" s="117"/>
      <c r="DR88" s="117"/>
      <c r="DS88" s="117"/>
      <c r="DT88" s="117"/>
      <c r="DU88" s="117"/>
      <c r="DV88" s="117"/>
      <c r="DW88" s="117"/>
      <c r="DX88" s="117"/>
      <c r="DY88" s="117"/>
      <c r="DZ88" s="117"/>
      <c r="EA88" s="117"/>
      <c r="EB88" s="117"/>
      <c r="EC88" s="117"/>
      <c r="ED88" s="117"/>
      <c r="EE88" s="117"/>
      <c r="EF88" s="117"/>
      <c r="EG88" s="117"/>
      <c r="EH88" s="117"/>
      <c r="EI88" s="117"/>
      <c r="EJ88" s="117"/>
      <c r="EK88" s="117"/>
      <c r="EL88" s="117"/>
      <c r="EM88" s="117"/>
      <c r="EN88" s="117"/>
    </row>
    <row r="89" spans="1:144" s="129" customFormat="1" ht="11.25" x14ac:dyDescent="0.2">
      <c r="C89" s="143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2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  <c r="BE89" s="117"/>
      <c r="BF89" s="117"/>
      <c r="BG89" s="117"/>
      <c r="BH89" s="117"/>
      <c r="BI89" s="117"/>
      <c r="BJ89" s="117"/>
      <c r="BK89" s="117"/>
      <c r="BL89" s="117"/>
      <c r="BM89" s="117"/>
      <c r="BN89" s="117"/>
      <c r="BO89" s="117"/>
      <c r="BP89" s="117"/>
      <c r="BQ89" s="117"/>
      <c r="BR89" s="117"/>
      <c r="BS89" s="117"/>
      <c r="BT89" s="117"/>
      <c r="BU89" s="117"/>
      <c r="BV89" s="117"/>
      <c r="BW89" s="117"/>
      <c r="BX89" s="117"/>
      <c r="BY89" s="117"/>
      <c r="BZ89" s="117"/>
      <c r="CA89" s="117"/>
      <c r="CB89" s="117"/>
      <c r="CC89" s="117"/>
      <c r="CD89" s="117"/>
      <c r="CE89" s="117"/>
      <c r="CF89" s="117"/>
      <c r="CG89" s="117"/>
      <c r="CH89" s="117"/>
      <c r="CI89" s="117"/>
      <c r="CJ89" s="117"/>
      <c r="CK89" s="117"/>
      <c r="CL89" s="117"/>
      <c r="CM89" s="117"/>
      <c r="CN89" s="117"/>
      <c r="CO89" s="117"/>
      <c r="CP89" s="117"/>
      <c r="CQ89" s="117"/>
      <c r="CR89" s="117"/>
      <c r="CS89" s="117"/>
      <c r="CT89" s="117"/>
      <c r="CU89" s="117"/>
      <c r="CV89" s="117"/>
      <c r="CW89" s="117"/>
      <c r="CX89" s="117"/>
      <c r="CY89" s="117"/>
      <c r="CZ89" s="117"/>
      <c r="DA89" s="117"/>
      <c r="DB89" s="117"/>
      <c r="DC89" s="117"/>
      <c r="DD89" s="117"/>
      <c r="DE89" s="117"/>
      <c r="DF89" s="117"/>
      <c r="DG89" s="117"/>
      <c r="DH89" s="117"/>
      <c r="DI89" s="117"/>
      <c r="DJ89" s="117"/>
      <c r="DK89" s="117"/>
      <c r="DL89" s="117"/>
      <c r="DM89" s="117"/>
      <c r="DN89" s="117"/>
      <c r="DO89" s="117"/>
      <c r="DP89" s="117"/>
      <c r="DQ89" s="117"/>
      <c r="DR89" s="117"/>
      <c r="DS89" s="117"/>
      <c r="DT89" s="117"/>
      <c r="DU89" s="117"/>
      <c r="DV89" s="117"/>
      <c r="DW89" s="117"/>
      <c r="DX89" s="117"/>
      <c r="DY89" s="117"/>
      <c r="DZ89" s="117"/>
      <c r="EA89" s="117"/>
      <c r="EB89" s="117"/>
      <c r="EC89" s="117"/>
      <c r="ED89" s="117"/>
      <c r="EE89" s="117"/>
      <c r="EF89" s="117"/>
      <c r="EG89" s="117"/>
      <c r="EH89" s="117"/>
      <c r="EI89" s="117"/>
      <c r="EJ89" s="117"/>
      <c r="EK89" s="117"/>
      <c r="EL89" s="117"/>
      <c r="EM89" s="117"/>
      <c r="EN89" s="117"/>
    </row>
    <row r="90" spans="1:144" s="129" customFormat="1" ht="11.25" x14ac:dyDescent="0.2">
      <c r="A90" s="141">
        <v>10</v>
      </c>
      <c r="B90" s="117" t="s">
        <v>33</v>
      </c>
      <c r="C90" s="125" t="s">
        <v>16</v>
      </c>
      <c r="D90" s="142">
        <f>+'[5]II-H-1.6 Tran'!D85+'[4]II-H-1.6 Tran'!D83</f>
        <v>0</v>
      </c>
      <c r="E90" s="142">
        <f>+'[5]II-H-1.6 Tran'!E85+'[4]II-H-1.6 Tran'!E83</f>
        <v>0</v>
      </c>
      <c r="F90" s="142">
        <f>+'[5]II-H-1.6 Tran'!F85+'[4]II-H-1.6 Tran'!F83</f>
        <v>0</v>
      </c>
      <c r="G90" s="142">
        <f>+'[5]II-H-1.6 Tran'!G85+'[4]II-H-1.6 Tran'!G83</f>
        <v>0</v>
      </c>
      <c r="H90" s="142">
        <f>+'[5]II-H-1.6 Tran'!H85+'[4]II-H-1.6 Tran'!H83</f>
        <v>0</v>
      </c>
      <c r="I90" s="142">
        <f>+'[5]II-H-1.6 Tran'!I85+'[4]II-H-1.6 Tran'!I83</f>
        <v>0</v>
      </c>
      <c r="J90" s="142">
        <f>+'[5]II-H-1.6 Tran'!J85+'[4]II-H-1.6 Tran'!J83</f>
        <v>0</v>
      </c>
      <c r="K90" s="142">
        <f>+'[5]II-H-1.6 Tran'!K85+'[4]II-H-1.6 Tran'!K83</f>
        <v>0</v>
      </c>
      <c r="L90" s="142">
        <f>+'[5]II-H-1.6 Tran'!L85+'[4]II-H-1.6 Tran'!L83</f>
        <v>0</v>
      </c>
      <c r="M90" s="142">
        <f>+'[5]II-H-1.6 Tran'!M85+'[4]II-H-1.6 Tran'!M83</f>
        <v>0</v>
      </c>
      <c r="N90" s="142">
        <f>+'[5]II-H-1.6 Tran'!N85+'[4]II-H-1.6 Tran'!N83</f>
        <v>0</v>
      </c>
      <c r="O90" s="142">
        <f>+'[5]II-H-1.6 Tran'!O85+'[4]II-H-1.6 Tran'!O83</f>
        <v>0</v>
      </c>
      <c r="P90" s="127">
        <f>SUM(D90:O90)</f>
        <v>0</v>
      </c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  <c r="AW90" s="117"/>
      <c r="AX90" s="117"/>
      <c r="AY90" s="117"/>
      <c r="AZ90" s="117"/>
      <c r="BA90" s="117"/>
      <c r="BB90" s="117"/>
      <c r="BC90" s="117"/>
      <c r="BD90" s="117"/>
      <c r="BE90" s="117"/>
      <c r="BF90" s="117"/>
      <c r="BG90" s="117"/>
      <c r="BH90" s="117"/>
      <c r="BI90" s="117"/>
      <c r="BJ90" s="117"/>
      <c r="BK90" s="117"/>
      <c r="BL90" s="117"/>
      <c r="BM90" s="117"/>
      <c r="BN90" s="117"/>
      <c r="BO90" s="117"/>
      <c r="BP90" s="117"/>
      <c r="BQ90" s="117"/>
      <c r="BR90" s="117"/>
      <c r="BS90" s="117"/>
      <c r="BT90" s="117"/>
      <c r="BU90" s="117"/>
      <c r="BV90" s="117"/>
      <c r="BW90" s="117"/>
      <c r="BX90" s="117"/>
      <c r="BY90" s="117"/>
      <c r="BZ90" s="117"/>
      <c r="CA90" s="117"/>
      <c r="CB90" s="117"/>
      <c r="CC90" s="117"/>
      <c r="CD90" s="117"/>
      <c r="CE90" s="117"/>
      <c r="CF90" s="117"/>
      <c r="CG90" s="117"/>
      <c r="CH90" s="117"/>
      <c r="CI90" s="117"/>
      <c r="CJ90" s="117"/>
      <c r="CK90" s="117"/>
      <c r="CL90" s="117"/>
      <c r="CM90" s="117"/>
      <c r="CN90" s="117"/>
      <c r="CO90" s="117"/>
      <c r="CP90" s="117"/>
      <c r="CQ90" s="117"/>
      <c r="CR90" s="117"/>
      <c r="CS90" s="117"/>
      <c r="CT90" s="117"/>
      <c r="CU90" s="117"/>
      <c r="CV90" s="117"/>
      <c r="CW90" s="117"/>
      <c r="CX90" s="117"/>
      <c r="CY90" s="117"/>
      <c r="CZ90" s="117"/>
      <c r="DA90" s="117"/>
      <c r="DB90" s="117"/>
      <c r="DC90" s="117"/>
      <c r="DD90" s="117"/>
      <c r="DE90" s="117"/>
      <c r="DF90" s="117"/>
      <c r="DG90" s="117"/>
      <c r="DH90" s="117"/>
      <c r="DI90" s="117"/>
      <c r="DJ90" s="117"/>
      <c r="DK90" s="117"/>
      <c r="DL90" s="117"/>
      <c r="DM90" s="117"/>
      <c r="DN90" s="117"/>
      <c r="DO90" s="117"/>
      <c r="DP90" s="117"/>
      <c r="DQ90" s="117"/>
      <c r="DR90" s="117"/>
      <c r="DS90" s="117"/>
      <c r="DT90" s="117"/>
      <c r="DU90" s="117"/>
      <c r="DV90" s="117"/>
      <c r="DW90" s="117"/>
      <c r="DX90" s="117"/>
      <c r="DY90" s="117"/>
      <c r="DZ90" s="117"/>
      <c r="EA90" s="117"/>
      <c r="EB90" s="117"/>
      <c r="EC90" s="117"/>
      <c r="ED90" s="117"/>
      <c r="EE90" s="117"/>
      <c r="EF90" s="117"/>
      <c r="EG90" s="117"/>
      <c r="EH90" s="117"/>
      <c r="EI90" s="117"/>
      <c r="EJ90" s="117"/>
      <c r="EK90" s="117"/>
      <c r="EL90" s="117"/>
      <c r="EM90" s="117"/>
      <c r="EN90" s="117"/>
    </row>
    <row r="91" spans="1:144" s="129" customFormat="1" ht="11.25" x14ac:dyDescent="0.2">
      <c r="A91" s="141"/>
      <c r="C91" s="143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22"/>
      <c r="O91" s="122"/>
      <c r="P91" s="12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117"/>
      <c r="BS91" s="117"/>
      <c r="BT91" s="117"/>
      <c r="BU91" s="117"/>
      <c r="BV91" s="117"/>
      <c r="BW91" s="117"/>
      <c r="BX91" s="117"/>
      <c r="BY91" s="117"/>
      <c r="BZ91" s="117"/>
      <c r="CA91" s="117"/>
      <c r="CB91" s="117"/>
      <c r="CC91" s="117"/>
      <c r="CD91" s="117"/>
      <c r="CE91" s="117"/>
      <c r="CF91" s="117"/>
      <c r="CG91" s="117"/>
      <c r="CH91" s="117"/>
      <c r="CI91" s="117"/>
      <c r="CJ91" s="117"/>
      <c r="CK91" s="117"/>
      <c r="CL91" s="117"/>
      <c r="CM91" s="117"/>
      <c r="CN91" s="117"/>
      <c r="CO91" s="117"/>
      <c r="CP91" s="117"/>
      <c r="CQ91" s="117"/>
      <c r="CR91" s="117"/>
      <c r="CS91" s="117"/>
      <c r="CT91" s="117"/>
      <c r="CU91" s="117"/>
      <c r="CV91" s="117"/>
      <c r="CW91" s="117"/>
      <c r="CX91" s="117"/>
      <c r="CY91" s="117"/>
      <c r="CZ91" s="117"/>
      <c r="DA91" s="117"/>
      <c r="DB91" s="117"/>
      <c r="DC91" s="117"/>
      <c r="DD91" s="117"/>
      <c r="DE91" s="117"/>
      <c r="DF91" s="117"/>
      <c r="DG91" s="117"/>
      <c r="DH91" s="117"/>
      <c r="DI91" s="117"/>
      <c r="DJ91" s="117"/>
      <c r="DK91" s="117"/>
      <c r="DL91" s="117"/>
      <c r="DM91" s="117"/>
      <c r="DN91" s="117"/>
      <c r="DO91" s="117"/>
      <c r="DP91" s="117"/>
      <c r="DQ91" s="117"/>
      <c r="DR91" s="117"/>
      <c r="DS91" s="117"/>
      <c r="DT91" s="117"/>
      <c r="DU91" s="117"/>
      <c r="DV91" s="117"/>
      <c r="DW91" s="117"/>
      <c r="DX91" s="117"/>
      <c r="DY91" s="117"/>
      <c r="DZ91" s="117"/>
      <c r="EA91" s="117"/>
      <c r="EB91" s="117"/>
      <c r="EC91" s="117"/>
      <c r="ED91" s="117"/>
      <c r="EE91" s="117"/>
      <c r="EF91" s="117"/>
      <c r="EG91" s="117"/>
      <c r="EH91" s="117"/>
      <c r="EI91" s="117"/>
      <c r="EJ91" s="117"/>
      <c r="EK91" s="117"/>
      <c r="EL91" s="117"/>
      <c r="EM91" s="117"/>
      <c r="EN91" s="117"/>
    </row>
    <row r="92" spans="1:144" s="129" customFormat="1" ht="11.25" x14ac:dyDescent="0.2">
      <c r="A92" s="141">
        <v>11</v>
      </c>
      <c r="B92" s="183" t="s">
        <v>34</v>
      </c>
      <c r="C92" s="329"/>
      <c r="D92" s="184">
        <f t="shared" ref="D92:P92" si="15">D90+D88+D86+D82+D78+D76</f>
        <v>69236.269764473167</v>
      </c>
      <c r="E92" s="184">
        <f t="shared" si="15"/>
        <v>67105.268494768592</v>
      </c>
      <c r="F92" s="184">
        <f t="shared" si="15"/>
        <v>55203.972425844477</v>
      </c>
      <c r="G92" s="184">
        <f t="shared" si="15"/>
        <v>44806.754643103995</v>
      </c>
      <c r="H92" s="184">
        <f t="shared" si="15"/>
        <v>24267.740342783523</v>
      </c>
      <c r="I92" s="184">
        <f t="shared" si="15"/>
        <v>2609.6461013265798</v>
      </c>
      <c r="J92" s="184">
        <f t="shared" si="15"/>
        <v>46979.199478739807</v>
      </c>
      <c r="K92" s="184">
        <f t="shared" si="15"/>
        <v>22656.93058779354</v>
      </c>
      <c r="L92" s="184">
        <f t="shared" si="15"/>
        <v>13255.832657646981</v>
      </c>
      <c r="M92" s="184">
        <f t="shared" si="15"/>
        <v>181158.59832714303</v>
      </c>
      <c r="N92" s="184">
        <f t="shared" si="15"/>
        <v>-168991.72331694904</v>
      </c>
      <c r="O92" s="184">
        <f t="shared" si="15"/>
        <v>181652.69230769231</v>
      </c>
      <c r="P92" s="184">
        <f t="shared" si="15"/>
        <v>539941.18181436684</v>
      </c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  <c r="BH92" s="117"/>
      <c r="BI92" s="117"/>
      <c r="BJ92" s="117"/>
      <c r="BK92" s="117"/>
      <c r="BL92" s="117"/>
      <c r="BM92" s="117"/>
      <c r="BN92" s="117"/>
      <c r="BO92" s="117"/>
      <c r="BP92" s="117"/>
      <c r="BQ92" s="117"/>
      <c r="BR92" s="117"/>
      <c r="BS92" s="117"/>
      <c r="BT92" s="117"/>
      <c r="BU92" s="117"/>
      <c r="BV92" s="117"/>
      <c r="BW92" s="117"/>
      <c r="BX92" s="117"/>
      <c r="BY92" s="117"/>
      <c r="BZ92" s="117"/>
      <c r="CA92" s="117"/>
      <c r="CB92" s="117"/>
      <c r="CC92" s="117"/>
      <c r="CD92" s="117"/>
      <c r="CE92" s="117"/>
      <c r="CF92" s="117"/>
      <c r="CG92" s="117"/>
      <c r="CH92" s="117"/>
      <c r="CI92" s="117"/>
      <c r="CJ92" s="117"/>
      <c r="CK92" s="117"/>
      <c r="CL92" s="117"/>
      <c r="CM92" s="117"/>
      <c r="CN92" s="117"/>
      <c r="CO92" s="117"/>
      <c r="CP92" s="117"/>
      <c r="CQ92" s="117"/>
      <c r="CR92" s="117"/>
      <c r="CS92" s="117"/>
      <c r="CT92" s="117"/>
      <c r="CU92" s="117"/>
      <c r="CV92" s="117"/>
      <c r="CW92" s="117"/>
      <c r="CX92" s="117"/>
      <c r="CY92" s="117"/>
      <c r="CZ92" s="117"/>
      <c r="DA92" s="117"/>
      <c r="DB92" s="117"/>
      <c r="DC92" s="117"/>
      <c r="DD92" s="117"/>
      <c r="DE92" s="117"/>
      <c r="DF92" s="117"/>
      <c r="DG92" s="117"/>
      <c r="DH92" s="117"/>
      <c r="DI92" s="117"/>
      <c r="DJ92" s="117"/>
      <c r="DK92" s="117"/>
      <c r="DL92" s="117"/>
      <c r="DM92" s="117"/>
      <c r="DN92" s="117"/>
      <c r="DO92" s="117"/>
      <c r="DP92" s="117"/>
      <c r="DQ92" s="117"/>
      <c r="DR92" s="117"/>
      <c r="DS92" s="117"/>
      <c r="DT92" s="117"/>
      <c r="DU92" s="117"/>
      <c r="DV92" s="117"/>
      <c r="DW92" s="117"/>
      <c r="DX92" s="117"/>
      <c r="DY92" s="117"/>
      <c r="DZ92" s="117"/>
      <c r="EA92" s="117"/>
      <c r="EB92" s="117"/>
      <c r="EC92" s="117"/>
      <c r="ED92" s="117"/>
      <c r="EE92" s="117"/>
      <c r="EF92" s="117"/>
      <c r="EG92" s="117"/>
      <c r="EH92" s="117"/>
      <c r="EI92" s="117"/>
      <c r="EJ92" s="117"/>
      <c r="EK92" s="117"/>
      <c r="EL92" s="117"/>
      <c r="EM92" s="117"/>
      <c r="EN92" s="117"/>
    </row>
    <row r="93" spans="1:144" s="129" customFormat="1" ht="11.25" x14ac:dyDescent="0.2">
      <c r="B93" s="329"/>
      <c r="C93" s="32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56"/>
      <c r="O93" s="156"/>
      <c r="P93" s="12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117"/>
      <c r="BS93" s="117"/>
      <c r="BT93" s="117"/>
      <c r="BU93" s="117"/>
      <c r="BV93" s="117"/>
      <c r="BW93" s="117"/>
      <c r="BX93" s="117"/>
      <c r="BY93" s="117"/>
      <c r="BZ93" s="117"/>
      <c r="CA93" s="117"/>
      <c r="CB93" s="117"/>
      <c r="CC93" s="117"/>
      <c r="CD93" s="117"/>
      <c r="CE93" s="117"/>
      <c r="CF93" s="117"/>
      <c r="CG93" s="117"/>
      <c r="CH93" s="117"/>
      <c r="CI93" s="117"/>
      <c r="CJ93" s="117"/>
      <c r="CK93" s="117"/>
      <c r="CL93" s="117"/>
      <c r="CM93" s="117"/>
      <c r="CN93" s="117"/>
      <c r="CO93" s="117"/>
      <c r="CP93" s="117"/>
      <c r="CQ93" s="117"/>
      <c r="CR93" s="117"/>
      <c r="CS93" s="117"/>
      <c r="CT93" s="117"/>
      <c r="CU93" s="117"/>
      <c r="CV93" s="117"/>
      <c r="CW93" s="117"/>
      <c r="CX93" s="117"/>
      <c r="CY93" s="117"/>
      <c r="CZ93" s="117"/>
      <c r="DA93" s="117"/>
      <c r="DB93" s="117"/>
      <c r="DC93" s="117"/>
      <c r="DD93" s="117"/>
      <c r="DE93" s="117"/>
      <c r="DF93" s="117"/>
      <c r="DG93" s="117"/>
      <c r="DH93" s="117"/>
      <c r="DI93" s="117"/>
      <c r="DJ93" s="117"/>
      <c r="DK93" s="117"/>
      <c r="DL93" s="117"/>
      <c r="DM93" s="117"/>
      <c r="DN93" s="117"/>
      <c r="DO93" s="117"/>
      <c r="DP93" s="117"/>
      <c r="DQ93" s="117"/>
      <c r="DR93" s="117"/>
      <c r="DS93" s="117"/>
      <c r="DT93" s="117"/>
      <c r="DU93" s="117"/>
      <c r="DV93" s="117"/>
      <c r="DW93" s="117"/>
      <c r="DX93" s="117"/>
      <c r="DY93" s="117"/>
      <c r="DZ93" s="117"/>
      <c r="EA93" s="117"/>
      <c r="EB93" s="117"/>
      <c r="EC93" s="117"/>
      <c r="ED93" s="117"/>
      <c r="EE93" s="117"/>
      <c r="EF93" s="117"/>
      <c r="EG93" s="117"/>
      <c r="EH93" s="117"/>
      <c r="EI93" s="117"/>
      <c r="EJ93" s="117"/>
      <c r="EK93" s="117"/>
      <c r="EL93" s="117"/>
      <c r="EM93" s="117"/>
      <c r="EN93" s="117"/>
    </row>
    <row r="94" spans="1:144" s="129" customFormat="1" ht="11.25" x14ac:dyDescent="0.2">
      <c r="A94" s="141">
        <v>12</v>
      </c>
      <c r="B94" s="148" t="s">
        <v>91</v>
      </c>
      <c r="C94" s="125" t="s">
        <v>17</v>
      </c>
      <c r="D94" s="142">
        <f>+'[5]II-H-1.6 Tran'!D89+'[4]II-H-1.6 Tran'!D87</f>
        <v>0</v>
      </c>
      <c r="E94" s="142">
        <f>+'[5]II-H-1.6 Tran'!E89+'[4]II-H-1.6 Tran'!E87</f>
        <v>0</v>
      </c>
      <c r="F94" s="142">
        <f>+'[5]II-H-1.6 Tran'!F89+'[4]II-H-1.6 Tran'!F87</f>
        <v>0</v>
      </c>
      <c r="G94" s="142">
        <f>+'[5]II-H-1.6 Tran'!G89+'[4]II-H-1.6 Tran'!G87</f>
        <v>0</v>
      </c>
      <c r="H94" s="142">
        <f>+'[5]II-H-1.6 Tran'!H89+'[4]II-H-1.6 Tran'!H87</f>
        <v>0</v>
      </c>
      <c r="I94" s="142">
        <f>+'[5]II-H-1.6 Tran'!I89+'[4]II-H-1.6 Tran'!I87</f>
        <v>0</v>
      </c>
      <c r="J94" s="142">
        <f>+'[5]II-H-1.6 Tran'!J89+'[4]II-H-1.6 Tran'!J87</f>
        <v>0</v>
      </c>
      <c r="K94" s="142">
        <f>+'[5]II-H-1.6 Tran'!K89+'[4]II-H-1.6 Tran'!K87</f>
        <v>0</v>
      </c>
      <c r="L94" s="142">
        <f>+'[5]II-H-1.6 Tran'!L89+'[4]II-H-1.6 Tran'!L87</f>
        <v>0</v>
      </c>
      <c r="M94" s="142">
        <f>+'[5]II-H-1.6 Tran'!M89+'[4]II-H-1.6 Tran'!M87</f>
        <v>0</v>
      </c>
      <c r="N94" s="142">
        <f>+'[5]II-H-1.6 Tran'!N89+'[4]II-H-1.6 Tran'!N87</f>
        <v>0</v>
      </c>
      <c r="O94" s="142">
        <f>+'[5]II-H-1.6 Tran'!O89+'[4]II-H-1.6 Tran'!O87</f>
        <v>0</v>
      </c>
      <c r="P94" s="127">
        <f>SUM(D94:O94)</f>
        <v>0</v>
      </c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117"/>
      <c r="BF94" s="117"/>
      <c r="BG94" s="11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117"/>
      <c r="BS94" s="117"/>
      <c r="BT94" s="117"/>
      <c r="BU94" s="117"/>
      <c r="BV94" s="117"/>
      <c r="BW94" s="117"/>
      <c r="BX94" s="117"/>
      <c r="BY94" s="117"/>
      <c r="BZ94" s="117"/>
      <c r="CA94" s="117"/>
      <c r="CB94" s="117"/>
      <c r="CC94" s="117"/>
      <c r="CD94" s="117"/>
      <c r="CE94" s="117"/>
      <c r="CF94" s="117"/>
      <c r="CG94" s="117"/>
      <c r="CH94" s="117"/>
      <c r="CI94" s="117"/>
      <c r="CJ94" s="117"/>
      <c r="CK94" s="117"/>
      <c r="CL94" s="117"/>
      <c r="CM94" s="117"/>
      <c r="CN94" s="117"/>
      <c r="CO94" s="117"/>
      <c r="CP94" s="117"/>
      <c r="CQ94" s="117"/>
      <c r="CR94" s="117"/>
      <c r="CS94" s="117"/>
      <c r="CT94" s="117"/>
      <c r="CU94" s="117"/>
      <c r="CV94" s="117"/>
      <c r="CW94" s="117"/>
      <c r="CX94" s="117"/>
      <c r="CY94" s="117"/>
      <c r="CZ94" s="117"/>
      <c r="DA94" s="117"/>
      <c r="DB94" s="117"/>
      <c r="DC94" s="117"/>
      <c r="DD94" s="117"/>
      <c r="DE94" s="117"/>
      <c r="DF94" s="117"/>
      <c r="DG94" s="117"/>
      <c r="DH94" s="117"/>
      <c r="DI94" s="117"/>
      <c r="DJ94" s="117"/>
      <c r="DK94" s="117"/>
      <c r="DL94" s="117"/>
      <c r="DM94" s="117"/>
      <c r="DN94" s="117"/>
      <c r="DO94" s="117"/>
      <c r="DP94" s="117"/>
      <c r="DQ94" s="117"/>
      <c r="DR94" s="117"/>
      <c r="DS94" s="117"/>
      <c r="DT94" s="117"/>
      <c r="DU94" s="117"/>
      <c r="DV94" s="117"/>
      <c r="DW94" s="117"/>
      <c r="DX94" s="117"/>
      <c r="DY94" s="117"/>
      <c r="DZ94" s="117"/>
      <c r="EA94" s="117"/>
      <c r="EB94" s="117"/>
      <c r="EC94" s="117"/>
      <c r="ED94" s="117"/>
      <c r="EE94" s="117"/>
      <c r="EF94" s="117"/>
      <c r="EG94" s="117"/>
      <c r="EH94" s="117"/>
      <c r="EI94" s="117"/>
      <c r="EJ94" s="117"/>
      <c r="EK94" s="117"/>
      <c r="EL94" s="117"/>
      <c r="EM94" s="117"/>
      <c r="EN94" s="117"/>
    </row>
    <row r="95" spans="1:144" s="129" customFormat="1" ht="11.25" x14ac:dyDescent="0.2">
      <c r="A95" s="141">
        <v>13</v>
      </c>
      <c r="B95" s="148" t="s">
        <v>92</v>
      </c>
      <c r="C95" s="125" t="s">
        <v>18</v>
      </c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67">
        <f>SUM(D95:O95)</f>
        <v>0</v>
      </c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  <c r="BM95" s="117"/>
      <c r="BN95" s="117"/>
      <c r="BO95" s="117"/>
      <c r="BP95" s="117"/>
      <c r="BQ95" s="117"/>
      <c r="BR95" s="117"/>
      <c r="BS95" s="117"/>
      <c r="BT95" s="117"/>
      <c r="BU95" s="117"/>
      <c r="BV95" s="117"/>
      <c r="BW95" s="117"/>
      <c r="BX95" s="117"/>
      <c r="BY95" s="117"/>
      <c r="BZ95" s="117"/>
      <c r="CA95" s="117"/>
      <c r="CB95" s="117"/>
      <c r="CC95" s="117"/>
      <c r="CD95" s="117"/>
      <c r="CE95" s="117"/>
      <c r="CF95" s="117"/>
      <c r="CG95" s="117"/>
      <c r="CH95" s="117"/>
      <c r="CI95" s="117"/>
      <c r="CJ95" s="117"/>
      <c r="CK95" s="117"/>
      <c r="CL95" s="117"/>
      <c r="CM95" s="117"/>
      <c r="CN95" s="117"/>
      <c r="CO95" s="117"/>
      <c r="CP95" s="117"/>
      <c r="CQ95" s="117"/>
      <c r="CR95" s="117"/>
      <c r="CS95" s="117"/>
      <c r="CT95" s="117"/>
      <c r="CU95" s="117"/>
      <c r="CV95" s="117"/>
      <c r="CW95" s="117"/>
      <c r="CX95" s="117"/>
      <c r="CY95" s="117"/>
      <c r="CZ95" s="117"/>
      <c r="DA95" s="117"/>
      <c r="DB95" s="117"/>
      <c r="DC95" s="117"/>
      <c r="DD95" s="117"/>
      <c r="DE95" s="117"/>
      <c r="DF95" s="117"/>
      <c r="DG95" s="117"/>
      <c r="DH95" s="117"/>
      <c r="DI95" s="117"/>
      <c r="DJ95" s="117"/>
      <c r="DK95" s="117"/>
      <c r="DL95" s="117"/>
      <c r="DM95" s="117"/>
      <c r="DN95" s="117"/>
      <c r="DO95" s="117"/>
      <c r="DP95" s="117"/>
      <c r="DQ95" s="117"/>
      <c r="DR95" s="117"/>
      <c r="DS95" s="117"/>
      <c r="DT95" s="117"/>
      <c r="DU95" s="117"/>
      <c r="DV95" s="117"/>
      <c r="DW95" s="117"/>
      <c r="DX95" s="117"/>
      <c r="DY95" s="117"/>
      <c r="DZ95" s="117"/>
      <c r="EA95" s="117"/>
      <c r="EB95" s="117"/>
      <c r="EC95" s="117"/>
      <c r="ED95" s="117"/>
      <c r="EE95" s="117"/>
      <c r="EF95" s="117"/>
      <c r="EG95" s="117"/>
      <c r="EH95" s="117"/>
      <c r="EI95" s="117"/>
      <c r="EJ95" s="117"/>
      <c r="EK95" s="117"/>
      <c r="EL95" s="117"/>
      <c r="EM95" s="117"/>
      <c r="EN95" s="117"/>
    </row>
    <row r="96" spans="1:144" s="129" customFormat="1" ht="11.25" x14ac:dyDescent="0.2">
      <c r="A96" s="141">
        <v>14</v>
      </c>
      <c r="B96" s="183" t="s">
        <v>35</v>
      </c>
      <c r="C96" s="328"/>
      <c r="D96" s="169">
        <f t="shared" ref="D96:P96" si="16">SUM(D94:D95)</f>
        <v>0</v>
      </c>
      <c r="E96" s="169">
        <f t="shared" si="16"/>
        <v>0</v>
      </c>
      <c r="F96" s="169">
        <f t="shared" si="16"/>
        <v>0</v>
      </c>
      <c r="G96" s="169">
        <f t="shared" si="16"/>
        <v>0</v>
      </c>
      <c r="H96" s="169">
        <f t="shared" si="16"/>
        <v>0</v>
      </c>
      <c r="I96" s="169">
        <f t="shared" si="16"/>
        <v>0</v>
      </c>
      <c r="J96" s="169">
        <f t="shared" si="16"/>
        <v>0</v>
      </c>
      <c r="K96" s="169">
        <f t="shared" si="16"/>
        <v>0</v>
      </c>
      <c r="L96" s="169">
        <f t="shared" si="16"/>
        <v>0</v>
      </c>
      <c r="M96" s="169">
        <f t="shared" si="16"/>
        <v>0</v>
      </c>
      <c r="N96" s="156">
        <f t="shared" si="16"/>
        <v>0</v>
      </c>
      <c r="O96" s="156">
        <f t="shared" si="16"/>
        <v>0</v>
      </c>
      <c r="P96" s="156">
        <f t="shared" si="16"/>
        <v>0</v>
      </c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  <c r="BM96" s="117"/>
      <c r="BN96" s="117"/>
      <c r="BO96" s="117"/>
      <c r="BP96" s="117"/>
      <c r="BQ96" s="117"/>
      <c r="BR96" s="117"/>
      <c r="BS96" s="117"/>
      <c r="BT96" s="117"/>
      <c r="BU96" s="117"/>
      <c r="BV96" s="117"/>
      <c r="BW96" s="117"/>
      <c r="BX96" s="117"/>
      <c r="BY96" s="117"/>
      <c r="BZ96" s="117"/>
      <c r="CA96" s="117"/>
      <c r="CB96" s="117"/>
      <c r="CC96" s="117"/>
      <c r="CD96" s="117"/>
      <c r="CE96" s="117"/>
      <c r="CF96" s="117"/>
      <c r="CG96" s="117"/>
      <c r="CH96" s="117"/>
      <c r="CI96" s="117"/>
      <c r="CJ96" s="117"/>
      <c r="CK96" s="117"/>
      <c r="CL96" s="117"/>
      <c r="CM96" s="117"/>
      <c r="CN96" s="117"/>
      <c r="CO96" s="117"/>
      <c r="CP96" s="117"/>
      <c r="CQ96" s="117"/>
      <c r="CR96" s="117"/>
      <c r="CS96" s="117"/>
      <c r="CT96" s="117"/>
      <c r="CU96" s="117"/>
      <c r="CV96" s="117"/>
      <c r="CW96" s="117"/>
      <c r="CX96" s="117"/>
      <c r="CY96" s="117"/>
      <c r="CZ96" s="117"/>
      <c r="DA96" s="117"/>
      <c r="DB96" s="117"/>
      <c r="DC96" s="117"/>
      <c r="DD96" s="117"/>
      <c r="DE96" s="117"/>
      <c r="DF96" s="117"/>
      <c r="DG96" s="117"/>
      <c r="DH96" s="117"/>
      <c r="DI96" s="117"/>
      <c r="DJ96" s="117"/>
      <c r="DK96" s="117"/>
      <c r="DL96" s="117"/>
      <c r="DM96" s="117"/>
      <c r="DN96" s="117"/>
      <c r="DO96" s="117"/>
      <c r="DP96" s="117"/>
      <c r="DQ96" s="117"/>
      <c r="DR96" s="117"/>
      <c r="DS96" s="117"/>
      <c r="DT96" s="117"/>
      <c r="DU96" s="117"/>
      <c r="DV96" s="117"/>
      <c r="DW96" s="117"/>
      <c r="DX96" s="117"/>
      <c r="DY96" s="117"/>
      <c r="DZ96" s="117"/>
      <c r="EA96" s="117"/>
      <c r="EB96" s="117"/>
      <c r="EC96" s="117"/>
      <c r="ED96" s="117"/>
      <c r="EE96" s="117"/>
      <c r="EF96" s="117"/>
      <c r="EG96" s="117"/>
      <c r="EH96" s="117"/>
      <c r="EI96" s="117"/>
      <c r="EJ96" s="117"/>
      <c r="EK96" s="117"/>
      <c r="EL96" s="117"/>
      <c r="EM96" s="117"/>
      <c r="EN96" s="117"/>
    </row>
    <row r="97" spans="1:144" s="129" customFormat="1" ht="11.25" x14ac:dyDescent="0.2">
      <c r="A97" s="141"/>
      <c r="C97" s="185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22"/>
      <c r="O97" s="122"/>
      <c r="P97" s="12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17"/>
      <c r="BF97" s="11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117"/>
      <c r="BS97" s="117"/>
      <c r="BT97" s="117"/>
      <c r="BU97" s="117"/>
      <c r="BV97" s="117"/>
      <c r="BW97" s="117"/>
      <c r="BX97" s="117"/>
      <c r="BY97" s="117"/>
      <c r="BZ97" s="117"/>
      <c r="CA97" s="117"/>
      <c r="CB97" s="117"/>
      <c r="CC97" s="117"/>
      <c r="CD97" s="117"/>
      <c r="CE97" s="117"/>
      <c r="CF97" s="117"/>
      <c r="CG97" s="117"/>
      <c r="CH97" s="117"/>
      <c r="CI97" s="117"/>
      <c r="CJ97" s="117"/>
      <c r="CK97" s="117"/>
      <c r="CL97" s="117"/>
      <c r="CM97" s="117"/>
      <c r="CN97" s="117"/>
      <c r="CO97" s="117"/>
      <c r="CP97" s="117"/>
      <c r="CQ97" s="117"/>
      <c r="CR97" s="117"/>
      <c r="CS97" s="117"/>
      <c r="CT97" s="117"/>
      <c r="CU97" s="117"/>
      <c r="CV97" s="117"/>
      <c r="CW97" s="117"/>
      <c r="CX97" s="117"/>
      <c r="CY97" s="117"/>
      <c r="CZ97" s="117"/>
      <c r="DA97" s="117"/>
      <c r="DB97" s="117"/>
      <c r="DC97" s="117"/>
      <c r="DD97" s="117"/>
      <c r="DE97" s="117"/>
      <c r="DF97" s="117"/>
      <c r="DG97" s="117"/>
      <c r="DH97" s="117"/>
      <c r="DI97" s="117"/>
      <c r="DJ97" s="117"/>
      <c r="DK97" s="117"/>
      <c r="DL97" s="117"/>
      <c r="DM97" s="117"/>
      <c r="DN97" s="117"/>
      <c r="DO97" s="117"/>
      <c r="DP97" s="117"/>
      <c r="DQ97" s="117"/>
      <c r="DR97" s="117"/>
      <c r="DS97" s="117"/>
      <c r="DT97" s="117"/>
      <c r="DU97" s="117"/>
      <c r="DV97" s="117"/>
      <c r="DW97" s="117"/>
      <c r="DX97" s="117"/>
      <c r="DY97" s="117"/>
      <c r="DZ97" s="117"/>
      <c r="EA97" s="117"/>
      <c r="EB97" s="117"/>
      <c r="EC97" s="117"/>
      <c r="ED97" s="117"/>
      <c r="EE97" s="117"/>
      <c r="EF97" s="117"/>
      <c r="EG97" s="117"/>
      <c r="EH97" s="117"/>
      <c r="EI97" s="117"/>
      <c r="EJ97" s="117"/>
      <c r="EK97" s="117"/>
      <c r="EL97" s="117"/>
      <c r="EM97" s="117"/>
      <c r="EN97" s="117"/>
    </row>
    <row r="98" spans="1:144" s="129" customFormat="1" ht="12" thickBot="1" x14ac:dyDescent="0.25">
      <c r="A98" s="141">
        <v>15</v>
      </c>
      <c r="B98" s="243" t="str">
        <f>B37</f>
        <v>TOTAL AEP TEXAS</v>
      </c>
      <c r="C98" s="328"/>
      <c r="D98" s="244">
        <f t="shared" ref="D98:P98" si="17">+D96+D92</f>
        <v>69236.269764473167</v>
      </c>
      <c r="E98" s="244">
        <f t="shared" si="17"/>
        <v>67105.268494768592</v>
      </c>
      <c r="F98" s="244">
        <f t="shared" si="17"/>
        <v>55203.972425844477</v>
      </c>
      <c r="G98" s="244">
        <f t="shared" si="17"/>
        <v>44806.754643103995</v>
      </c>
      <c r="H98" s="244">
        <f t="shared" si="17"/>
        <v>24267.740342783523</v>
      </c>
      <c r="I98" s="244">
        <f t="shared" si="17"/>
        <v>2609.6461013265798</v>
      </c>
      <c r="J98" s="244">
        <f t="shared" si="17"/>
        <v>46979.199478739807</v>
      </c>
      <c r="K98" s="244">
        <f t="shared" si="17"/>
        <v>22656.93058779354</v>
      </c>
      <c r="L98" s="244">
        <f t="shared" si="17"/>
        <v>13255.832657646981</v>
      </c>
      <c r="M98" s="244">
        <f t="shared" si="17"/>
        <v>181158.59832714303</v>
      </c>
      <c r="N98" s="244">
        <f t="shared" si="17"/>
        <v>-168991.72331694904</v>
      </c>
      <c r="O98" s="244">
        <f t="shared" si="17"/>
        <v>181652.69230769231</v>
      </c>
      <c r="P98" s="244">
        <f t="shared" si="17"/>
        <v>539941.18181436684</v>
      </c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7"/>
      <c r="CA98" s="117"/>
      <c r="CB98" s="117"/>
      <c r="CC98" s="117"/>
      <c r="CD98" s="117"/>
      <c r="CE98" s="117"/>
      <c r="CF98" s="117"/>
      <c r="CG98" s="117"/>
      <c r="CH98" s="117"/>
      <c r="CI98" s="117"/>
      <c r="CJ98" s="117"/>
      <c r="CK98" s="117"/>
      <c r="CL98" s="117"/>
      <c r="CM98" s="117"/>
      <c r="CN98" s="117"/>
      <c r="CO98" s="117"/>
      <c r="CP98" s="117"/>
      <c r="CQ98" s="117"/>
      <c r="CR98" s="117"/>
      <c r="CS98" s="117"/>
      <c r="CT98" s="117"/>
      <c r="CU98" s="117"/>
      <c r="CV98" s="117"/>
      <c r="CW98" s="117"/>
      <c r="CX98" s="117"/>
      <c r="CY98" s="117"/>
      <c r="CZ98" s="117"/>
      <c r="DA98" s="117"/>
      <c r="DB98" s="117"/>
      <c r="DC98" s="117"/>
      <c r="DD98" s="117"/>
      <c r="DE98" s="117"/>
      <c r="DF98" s="117"/>
      <c r="DG98" s="117"/>
      <c r="DH98" s="117"/>
      <c r="DI98" s="117"/>
      <c r="DJ98" s="117"/>
      <c r="DK98" s="117"/>
      <c r="DL98" s="117"/>
      <c r="DM98" s="117"/>
      <c r="DN98" s="117"/>
      <c r="DO98" s="117"/>
      <c r="DP98" s="117"/>
      <c r="DQ98" s="117"/>
      <c r="DR98" s="117"/>
      <c r="DS98" s="117"/>
      <c r="DT98" s="117"/>
      <c r="DU98" s="117"/>
      <c r="DV98" s="117"/>
      <c r="DW98" s="117"/>
      <c r="DX98" s="117"/>
      <c r="DY98" s="117"/>
      <c r="DZ98" s="117"/>
      <c r="EA98" s="117"/>
      <c r="EB98" s="117"/>
      <c r="EC98" s="117"/>
      <c r="ED98" s="117"/>
      <c r="EE98" s="117"/>
      <c r="EF98" s="117"/>
      <c r="EG98" s="117"/>
      <c r="EH98" s="117"/>
      <c r="EI98" s="117"/>
      <c r="EJ98" s="117"/>
      <c r="EK98" s="117"/>
      <c r="EL98" s="117"/>
      <c r="EM98" s="117"/>
      <c r="EN98" s="117"/>
    </row>
    <row r="99" spans="1:144" ht="13.5" thickTop="1" x14ac:dyDescent="0.2">
      <c r="B99" s="395" t="str">
        <f>B69</f>
        <v>AEP TEXAS</v>
      </c>
      <c r="C99" s="388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388"/>
      <c r="P99" s="388"/>
      <c r="Q99" s="140"/>
      <c r="R99" s="140"/>
      <c r="S99" s="140"/>
    </row>
    <row r="100" spans="1:144" x14ac:dyDescent="0.2">
      <c r="B100" s="388" t="s">
        <v>66</v>
      </c>
      <c r="C100" s="388"/>
      <c r="D100" s="388"/>
      <c r="E100" s="388"/>
      <c r="F100" s="388"/>
      <c r="G100" s="388"/>
      <c r="H100" s="388"/>
      <c r="I100" s="388"/>
      <c r="J100" s="388"/>
      <c r="K100" s="388"/>
      <c r="L100" s="388"/>
      <c r="M100" s="388"/>
      <c r="N100" s="388"/>
      <c r="O100" s="388"/>
      <c r="P100" s="388"/>
      <c r="Q100" s="140"/>
      <c r="R100" s="140"/>
      <c r="S100" s="140"/>
    </row>
    <row r="101" spans="1:144" x14ac:dyDescent="0.2">
      <c r="B101" s="395" t="str">
        <f>B71</f>
        <v>FOR TEST YEAR ENDED DECEMBER 31, 2018</v>
      </c>
      <c r="C101" s="388"/>
      <c r="D101" s="388"/>
      <c r="E101" s="388"/>
      <c r="F101" s="388"/>
      <c r="G101" s="388"/>
      <c r="H101" s="388"/>
      <c r="I101" s="388"/>
      <c r="J101" s="388"/>
      <c r="K101" s="388"/>
      <c r="L101" s="388"/>
      <c r="M101" s="388"/>
      <c r="N101" s="388"/>
      <c r="O101" s="388"/>
      <c r="P101" s="388"/>
      <c r="Q101" s="140"/>
      <c r="R101" s="140"/>
      <c r="S101" s="140"/>
    </row>
    <row r="102" spans="1:144" x14ac:dyDescent="0.2">
      <c r="B102" s="388"/>
      <c r="C102" s="388"/>
      <c r="D102" s="388"/>
      <c r="E102" s="388"/>
      <c r="F102" s="388"/>
      <c r="G102" s="388"/>
      <c r="H102" s="388"/>
      <c r="I102" s="388"/>
      <c r="J102" s="388"/>
      <c r="K102" s="388"/>
      <c r="L102" s="388"/>
      <c r="M102" s="388"/>
      <c r="N102" s="388"/>
      <c r="O102" s="388"/>
      <c r="P102" s="388"/>
      <c r="Q102" s="140"/>
      <c r="R102" s="140"/>
      <c r="S102" s="140"/>
    </row>
    <row r="103" spans="1:144" x14ac:dyDescent="0.2">
      <c r="B103" s="243"/>
      <c r="C103" s="168"/>
      <c r="D103" s="287"/>
      <c r="E103" s="177"/>
      <c r="F103" s="177"/>
      <c r="G103" s="287"/>
      <c r="H103" s="177"/>
      <c r="I103" s="177"/>
      <c r="K103" s="177"/>
      <c r="L103" s="177"/>
      <c r="M103" s="177"/>
      <c r="N103" s="177"/>
      <c r="O103" s="177"/>
      <c r="P103" s="178"/>
      <c r="Q103" s="140"/>
      <c r="R103" s="140"/>
      <c r="S103" s="140"/>
    </row>
    <row r="104" spans="1:144" x14ac:dyDescent="0.2">
      <c r="A104" s="328" t="s">
        <v>20</v>
      </c>
      <c r="B104" s="330" t="s">
        <v>0</v>
      </c>
      <c r="C104" s="330" t="s">
        <v>19</v>
      </c>
      <c r="D104" s="164" t="str">
        <f>D13</f>
        <v>JANUARY</v>
      </c>
      <c r="E104" s="164" t="str">
        <f>E13</f>
        <v>FEBRUARY</v>
      </c>
      <c r="F104" s="164" t="str">
        <f>F13</f>
        <v>MARCH</v>
      </c>
      <c r="G104" s="164" t="str">
        <f>G13</f>
        <v>APRIL</v>
      </c>
      <c r="H104" s="164" t="str">
        <f t="shared" ref="H104:O104" si="18">H13</f>
        <v>MAY</v>
      </c>
      <c r="I104" s="164" t="str">
        <f t="shared" si="18"/>
        <v>JUNE</v>
      </c>
      <c r="J104" s="164" t="str">
        <f t="shared" si="18"/>
        <v>JULY</v>
      </c>
      <c r="K104" s="164" t="str">
        <f t="shared" si="18"/>
        <v>AUGUST</v>
      </c>
      <c r="L104" s="164" t="str">
        <f t="shared" si="18"/>
        <v>SEPTEMBER</v>
      </c>
      <c r="M104" s="164" t="str">
        <f t="shared" si="18"/>
        <v>OCTOBER</v>
      </c>
      <c r="N104" s="164" t="str">
        <f t="shared" si="18"/>
        <v>NOVEMBER</v>
      </c>
      <c r="O104" s="164" t="str">
        <f t="shared" si="18"/>
        <v>DECEMBER</v>
      </c>
      <c r="P104" s="179" t="s">
        <v>14</v>
      </c>
      <c r="Q104" s="140"/>
      <c r="R104" s="140"/>
      <c r="S104" s="140"/>
    </row>
    <row r="105" spans="1:144" x14ac:dyDescent="0.2">
      <c r="A105" s="328"/>
      <c r="B105" s="330"/>
      <c r="C105" s="330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79"/>
      <c r="Q105" s="140"/>
      <c r="R105" s="140"/>
      <c r="S105" s="140"/>
    </row>
    <row r="106" spans="1:144" s="129" customFormat="1" ht="11.25" x14ac:dyDescent="0.2">
      <c r="A106" s="141" t="s">
        <v>21</v>
      </c>
      <c r="B106" s="129" t="s">
        <v>29</v>
      </c>
      <c r="C106" s="143" t="s">
        <v>16</v>
      </c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7">
        <f>SUM(D106:O106)</f>
        <v>0</v>
      </c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7"/>
      <c r="AL106" s="117"/>
      <c r="AM106" s="117"/>
      <c r="AN106" s="117"/>
      <c r="AO106" s="117"/>
      <c r="AP106" s="117"/>
      <c r="AQ106" s="117"/>
      <c r="AR106" s="117"/>
      <c r="AS106" s="117"/>
      <c r="AT106" s="117"/>
      <c r="AU106" s="117"/>
      <c r="AV106" s="117"/>
      <c r="AW106" s="117"/>
      <c r="AX106" s="117"/>
      <c r="AY106" s="117"/>
      <c r="AZ106" s="117"/>
      <c r="BA106" s="117"/>
      <c r="BB106" s="117"/>
      <c r="BC106" s="117"/>
      <c r="BD106" s="117"/>
      <c r="BE106" s="117"/>
      <c r="BF106" s="117"/>
      <c r="BG106" s="117"/>
      <c r="BH106" s="117"/>
      <c r="BI106" s="117"/>
      <c r="BJ106" s="117"/>
      <c r="BK106" s="117"/>
      <c r="BL106" s="117"/>
      <c r="BM106" s="117"/>
      <c r="BN106" s="117"/>
      <c r="BO106" s="117"/>
      <c r="BP106" s="117"/>
      <c r="BQ106" s="117"/>
      <c r="BR106" s="117"/>
      <c r="BS106" s="117"/>
      <c r="BT106" s="117"/>
      <c r="BU106" s="117"/>
      <c r="BV106" s="117"/>
      <c r="BW106" s="117"/>
      <c r="BX106" s="117"/>
      <c r="BY106" s="117"/>
      <c r="BZ106" s="117"/>
      <c r="CA106" s="117"/>
      <c r="CB106" s="117"/>
      <c r="CC106" s="117"/>
      <c r="CD106" s="117"/>
      <c r="CE106" s="117"/>
      <c r="CF106" s="117"/>
      <c r="CG106" s="117"/>
      <c r="CH106" s="117"/>
      <c r="CI106" s="117"/>
      <c r="CJ106" s="117"/>
      <c r="CK106" s="117"/>
      <c r="CL106" s="117"/>
      <c r="CM106" s="117"/>
      <c r="CN106" s="117"/>
      <c r="CO106" s="117"/>
      <c r="CP106" s="117"/>
      <c r="CQ106" s="117"/>
      <c r="CR106" s="117"/>
      <c r="CS106" s="117"/>
      <c r="CT106" s="117"/>
      <c r="CU106" s="117"/>
      <c r="CV106" s="117"/>
      <c r="CW106" s="117"/>
      <c r="CX106" s="117"/>
      <c r="CY106" s="117"/>
      <c r="CZ106" s="117"/>
      <c r="DA106" s="117"/>
      <c r="DB106" s="117"/>
      <c r="DC106" s="117"/>
      <c r="DD106" s="117"/>
      <c r="DE106" s="117"/>
      <c r="DF106" s="117"/>
      <c r="DG106" s="117"/>
      <c r="DH106" s="117"/>
      <c r="DI106" s="117"/>
      <c r="DJ106" s="117"/>
      <c r="DK106" s="117"/>
      <c r="DL106" s="117"/>
      <c r="DM106" s="117"/>
      <c r="DN106" s="117"/>
      <c r="DO106" s="117"/>
      <c r="DP106" s="117"/>
      <c r="DQ106" s="117"/>
      <c r="DR106" s="117"/>
      <c r="DS106" s="117"/>
      <c r="DT106" s="117"/>
      <c r="DU106" s="117"/>
      <c r="DV106" s="117"/>
      <c r="DW106" s="117"/>
      <c r="DX106" s="117"/>
      <c r="DY106" s="117"/>
      <c r="DZ106" s="117"/>
      <c r="EA106" s="117"/>
      <c r="EB106" s="117"/>
      <c r="EC106" s="117"/>
      <c r="ED106" s="117"/>
      <c r="EE106" s="117"/>
      <c r="EF106" s="117"/>
      <c r="EG106" s="117"/>
      <c r="EH106" s="117"/>
      <c r="EI106" s="117"/>
      <c r="EJ106" s="117"/>
      <c r="EK106" s="117"/>
      <c r="EL106" s="117"/>
      <c r="EM106" s="117"/>
      <c r="EN106" s="117"/>
    </row>
    <row r="107" spans="1:144" s="129" customFormat="1" ht="11.25" x14ac:dyDescent="0.2">
      <c r="C107" s="143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56"/>
      <c r="O107" s="156"/>
      <c r="P107" s="12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7"/>
      <c r="AL107" s="117"/>
      <c r="AM107" s="117"/>
      <c r="AN107" s="117"/>
      <c r="AO107" s="117"/>
      <c r="AP107" s="117"/>
      <c r="AQ107" s="117"/>
      <c r="AR107" s="117"/>
      <c r="AS107" s="117"/>
      <c r="AT107" s="117"/>
      <c r="AU107" s="117"/>
      <c r="AV107" s="117"/>
      <c r="AW107" s="117"/>
      <c r="AX107" s="117"/>
      <c r="AY107" s="117"/>
      <c r="AZ107" s="117"/>
      <c r="BA107" s="117"/>
      <c r="BB107" s="117"/>
      <c r="BC107" s="117"/>
      <c r="BD107" s="117"/>
      <c r="BE107" s="117"/>
      <c r="BF107" s="117"/>
      <c r="BG107" s="117"/>
      <c r="BH107" s="117"/>
      <c r="BI107" s="117"/>
      <c r="BJ107" s="117"/>
      <c r="BK107" s="117"/>
      <c r="BL107" s="117"/>
      <c r="BM107" s="117"/>
      <c r="BN107" s="117"/>
      <c r="BO107" s="117"/>
      <c r="BP107" s="117"/>
      <c r="BQ107" s="117"/>
      <c r="BR107" s="117"/>
      <c r="BS107" s="117"/>
      <c r="BT107" s="117"/>
      <c r="BU107" s="117"/>
      <c r="BV107" s="117"/>
      <c r="BW107" s="117"/>
      <c r="BX107" s="117"/>
      <c r="BY107" s="117"/>
      <c r="BZ107" s="117"/>
      <c r="CA107" s="117"/>
      <c r="CB107" s="117"/>
      <c r="CC107" s="117"/>
      <c r="CD107" s="117"/>
      <c r="CE107" s="117"/>
      <c r="CF107" s="117"/>
      <c r="CG107" s="117"/>
      <c r="CH107" s="117"/>
      <c r="CI107" s="117"/>
      <c r="CJ107" s="117"/>
      <c r="CK107" s="117"/>
      <c r="CL107" s="117"/>
      <c r="CM107" s="117"/>
      <c r="CN107" s="117"/>
      <c r="CO107" s="117"/>
      <c r="CP107" s="117"/>
      <c r="CQ107" s="117"/>
      <c r="CR107" s="117"/>
      <c r="CS107" s="117"/>
      <c r="CT107" s="117"/>
      <c r="CU107" s="117"/>
      <c r="CV107" s="117"/>
      <c r="CW107" s="117"/>
      <c r="CX107" s="117"/>
      <c r="CY107" s="117"/>
      <c r="CZ107" s="117"/>
      <c r="DA107" s="117"/>
      <c r="DB107" s="117"/>
      <c r="DC107" s="117"/>
      <c r="DD107" s="117"/>
      <c r="DE107" s="117"/>
      <c r="DF107" s="117"/>
      <c r="DG107" s="117"/>
      <c r="DH107" s="117"/>
      <c r="DI107" s="117"/>
      <c r="DJ107" s="117"/>
      <c r="DK107" s="117"/>
      <c r="DL107" s="117"/>
      <c r="DM107" s="117"/>
      <c r="DN107" s="117"/>
      <c r="DO107" s="117"/>
      <c r="DP107" s="117"/>
      <c r="DQ107" s="117"/>
      <c r="DR107" s="117"/>
      <c r="DS107" s="117"/>
      <c r="DT107" s="117"/>
      <c r="DU107" s="117"/>
      <c r="DV107" s="117"/>
      <c r="DW107" s="117"/>
      <c r="DX107" s="117"/>
      <c r="DY107" s="117"/>
      <c r="DZ107" s="117"/>
      <c r="EA107" s="117"/>
      <c r="EB107" s="117"/>
      <c r="EC107" s="117"/>
      <c r="ED107" s="117"/>
      <c r="EE107" s="117"/>
      <c r="EF107" s="117"/>
      <c r="EG107" s="117"/>
      <c r="EH107" s="117"/>
      <c r="EI107" s="117"/>
      <c r="EJ107" s="117"/>
      <c r="EK107" s="117"/>
      <c r="EL107" s="117"/>
      <c r="EM107" s="117"/>
      <c r="EN107" s="117"/>
    </row>
    <row r="108" spans="1:144" s="129" customFormat="1" ht="11.25" x14ac:dyDescent="0.2">
      <c r="A108" s="141">
        <v>2</v>
      </c>
      <c r="B108" s="129" t="s">
        <v>32</v>
      </c>
      <c r="C108" s="143" t="s">
        <v>16</v>
      </c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7">
        <f>SUM(D108:O108)</f>
        <v>0</v>
      </c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7"/>
      <c r="AL108" s="117"/>
      <c r="AM108" s="117"/>
      <c r="AN108" s="117"/>
      <c r="AO108" s="117"/>
      <c r="AP108" s="117"/>
      <c r="AQ108" s="117"/>
      <c r="AR108" s="117"/>
      <c r="AS108" s="117"/>
      <c r="AT108" s="117"/>
      <c r="AU108" s="117"/>
      <c r="AV108" s="117"/>
      <c r="AW108" s="117"/>
      <c r="AX108" s="117"/>
      <c r="AY108" s="117"/>
      <c r="AZ108" s="117"/>
      <c r="BA108" s="117"/>
      <c r="BB108" s="117"/>
      <c r="BC108" s="117"/>
      <c r="BD108" s="117"/>
      <c r="BE108" s="117"/>
      <c r="BF108" s="117"/>
      <c r="BG108" s="117"/>
      <c r="BH108" s="117"/>
      <c r="BI108" s="117"/>
      <c r="BJ108" s="117"/>
      <c r="BK108" s="117"/>
      <c r="BL108" s="117"/>
      <c r="BM108" s="117"/>
      <c r="BN108" s="117"/>
      <c r="BO108" s="117"/>
      <c r="BP108" s="117"/>
      <c r="BQ108" s="117"/>
      <c r="BR108" s="117"/>
      <c r="BS108" s="117"/>
      <c r="BT108" s="117"/>
      <c r="BU108" s="117"/>
      <c r="BV108" s="117"/>
      <c r="BW108" s="117"/>
      <c r="BX108" s="117"/>
      <c r="BY108" s="117"/>
      <c r="BZ108" s="117"/>
      <c r="CA108" s="117"/>
      <c r="CB108" s="117"/>
      <c r="CC108" s="117"/>
      <c r="CD108" s="117"/>
      <c r="CE108" s="117"/>
      <c r="CF108" s="117"/>
      <c r="CG108" s="117"/>
      <c r="CH108" s="117"/>
      <c r="CI108" s="117"/>
      <c r="CJ108" s="117"/>
      <c r="CK108" s="117"/>
      <c r="CL108" s="117"/>
      <c r="CM108" s="117"/>
      <c r="CN108" s="117"/>
      <c r="CO108" s="117"/>
      <c r="CP108" s="117"/>
      <c r="CQ108" s="117"/>
      <c r="CR108" s="117"/>
      <c r="CS108" s="117"/>
      <c r="CT108" s="117"/>
      <c r="CU108" s="117"/>
      <c r="CV108" s="117"/>
      <c r="CW108" s="117"/>
      <c r="CX108" s="117"/>
      <c r="CY108" s="117"/>
      <c r="CZ108" s="117"/>
      <c r="DA108" s="117"/>
      <c r="DB108" s="117"/>
      <c r="DC108" s="117"/>
      <c r="DD108" s="117"/>
      <c r="DE108" s="117"/>
      <c r="DF108" s="117"/>
      <c r="DG108" s="117"/>
      <c r="DH108" s="117"/>
      <c r="DI108" s="117"/>
      <c r="DJ108" s="117"/>
      <c r="DK108" s="117"/>
      <c r="DL108" s="117"/>
      <c r="DM108" s="117"/>
      <c r="DN108" s="117"/>
      <c r="DO108" s="117"/>
      <c r="DP108" s="117"/>
      <c r="DQ108" s="117"/>
      <c r="DR108" s="117"/>
      <c r="DS108" s="117"/>
      <c r="DT108" s="117"/>
      <c r="DU108" s="117"/>
      <c r="DV108" s="117"/>
      <c r="DW108" s="117"/>
      <c r="DX108" s="117"/>
      <c r="DY108" s="117"/>
      <c r="DZ108" s="117"/>
      <c r="EA108" s="117"/>
      <c r="EB108" s="117"/>
      <c r="EC108" s="117"/>
      <c r="ED108" s="117"/>
      <c r="EE108" s="117"/>
      <c r="EF108" s="117"/>
      <c r="EG108" s="117"/>
      <c r="EH108" s="117"/>
      <c r="EI108" s="117"/>
      <c r="EJ108" s="117"/>
      <c r="EK108" s="117"/>
      <c r="EL108" s="117"/>
      <c r="EM108" s="117"/>
      <c r="EN108" s="117"/>
    </row>
    <row r="109" spans="1:144" s="129" customFormat="1" ht="11.25" x14ac:dyDescent="0.2">
      <c r="A109" s="141"/>
      <c r="C109" s="143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17"/>
      <c r="AS109" s="117"/>
      <c r="AT109" s="117"/>
      <c r="AU109" s="117"/>
      <c r="AV109" s="117"/>
      <c r="AW109" s="117"/>
      <c r="AX109" s="117"/>
      <c r="AY109" s="117"/>
      <c r="AZ109" s="117"/>
      <c r="BA109" s="117"/>
      <c r="BB109" s="117"/>
      <c r="BC109" s="117"/>
      <c r="BD109" s="117"/>
      <c r="BE109" s="117"/>
      <c r="BF109" s="117"/>
      <c r="BG109" s="117"/>
      <c r="BH109" s="117"/>
      <c r="BI109" s="117"/>
      <c r="BJ109" s="117"/>
      <c r="BK109" s="117"/>
      <c r="BL109" s="117"/>
      <c r="BM109" s="117"/>
      <c r="BN109" s="117"/>
      <c r="BO109" s="117"/>
      <c r="BP109" s="117"/>
      <c r="BQ109" s="117"/>
      <c r="BR109" s="117"/>
      <c r="BS109" s="117"/>
      <c r="BT109" s="117"/>
      <c r="BU109" s="117"/>
      <c r="BV109" s="117"/>
      <c r="BW109" s="117"/>
      <c r="BX109" s="117"/>
      <c r="BY109" s="117"/>
      <c r="BZ109" s="117"/>
      <c r="CA109" s="117"/>
      <c r="CB109" s="117"/>
      <c r="CC109" s="117"/>
      <c r="CD109" s="117"/>
      <c r="CE109" s="117"/>
      <c r="CF109" s="117"/>
      <c r="CG109" s="117"/>
      <c r="CH109" s="117"/>
      <c r="CI109" s="117"/>
      <c r="CJ109" s="117"/>
      <c r="CK109" s="117"/>
      <c r="CL109" s="117"/>
      <c r="CM109" s="117"/>
      <c r="CN109" s="117"/>
      <c r="CO109" s="117"/>
      <c r="CP109" s="117"/>
      <c r="CQ109" s="117"/>
      <c r="CR109" s="117"/>
      <c r="CS109" s="117"/>
      <c r="CT109" s="117"/>
      <c r="CU109" s="117"/>
      <c r="CV109" s="117"/>
      <c r="CW109" s="117"/>
      <c r="CX109" s="117"/>
      <c r="CY109" s="117"/>
      <c r="CZ109" s="117"/>
      <c r="DA109" s="117"/>
      <c r="DB109" s="117"/>
      <c r="DC109" s="117"/>
      <c r="DD109" s="117"/>
      <c r="DE109" s="117"/>
      <c r="DF109" s="117"/>
      <c r="DG109" s="117"/>
      <c r="DH109" s="117"/>
      <c r="DI109" s="117"/>
      <c r="DJ109" s="117"/>
      <c r="DK109" s="117"/>
      <c r="DL109" s="117"/>
      <c r="DM109" s="117"/>
      <c r="DN109" s="117"/>
      <c r="DO109" s="117"/>
      <c r="DP109" s="117"/>
      <c r="DQ109" s="117"/>
      <c r="DR109" s="117"/>
      <c r="DS109" s="117"/>
      <c r="DT109" s="117"/>
      <c r="DU109" s="117"/>
      <c r="DV109" s="117"/>
      <c r="DW109" s="117"/>
      <c r="DX109" s="117"/>
      <c r="DY109" s="117"/>
      <c r="DZ109" s="117"/>
      <c r="EA109" s="117"/>
      <c r="EB109" s="117"/>
      <c r="EC109" s="117"/>
      <c r="ED109" s="117"/>
      <c r="EE109" s="117"/>
      <c r="EF109" s="117"/>
      <c r="EG109" s="117"/>
      <c r="EH109" s="117"/>
      <c r="EI109" s="117"/>
      <c r="EJ109" s="117"/>
      <c r="EK109" s="117"/>
      <c r="EL109" s="117"/>
      <c r="EM109" s="117"/>
      <c r="EN109" s="117"/>
    </row>
    <row r="110" spans="1:144" s="129" customFormat="1" ht="11.25" x14ac:dyDescent="0.2">
      <c r="A110" s="141">
        <v>3</v>
      </c>
      <c r="B110" s="146" t="s">
        <v>113</v>
      </c>
      <c r="C110" s="125" t="s">
        <v>16</v>
      </c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27">
        <f>SUM(D110:O110)</f>
        <v>0</v>
      </c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117"/>
      <c r="AK110" s="117"/>
      <c r="AL110" s="117"/>
      <c r="AM110" s="117"/>
      <c r="AN110" s="117"/>
      <c r="AO110" s="117"/>
      <c r="AP110" s="117"/>
      <c r="AQ110" s="117"/>
      <c r="AR110" s="117"/>
      <c r="AS110" s="117"/>
      <c r="AT110" s="117"/>
      <c r="AU110" s="117"/>
      <c r="AV110" s="117"/>
      <c r="AW110" s="117"/>
      <c r="AX110" s="117"/>
      <c r="AY110" s="117"/>
      <c r="AZ110" s="117"/>
      <c r="BA110" s="117"/>
      <c r="BB110" s="117"/>
      <c r="BC110" s="117"/>
      <c r="BD110" s="117"/>
      <c r="BE110" s="117"/>
      <c r="BF110" s="117"/>
      <c r="BG110" s="117"/>
      <c r="BH110" s="117"/>
      <c r="BI110" s="117"/>
      <c r="BJ110" s="117"/>
      <c r="BK110" s="117"/>
      <c r="BL110" s="117"/>
      <c r="BM110" s="117"/>
      <c r="BN110" s="117"/>
      <c r="BO110" s="117"/>
      <c r="BP110" s="117"/>
      <c r="BQ110" s="117"/>
      <c r="BR110" s="117"/>
      <c r="BS110" s="117"/>
      <c r="BT110" s="117"/>
      <c r="BU110" s="117"/>
      <c r="BV110" s="117"/>
      <c r="BW110" s="117"/>
      <c r="BX110" s="117"/>
      <c r="BY110" s="117"/>
      <c r="BZ110" s="117"/>
      <c r="CA110" s="117"/>
      <c r="CB110" s="117"/>
      <c r="CC110" s="117"/>
      <c r="CD110" s="117"/>
      <c r="CE110" s="117"/>
      <c r="CF110" s="117"/>
      <c r="CG110" s="117"/>
      <c r="CH110" s="117"/>
      <c r="CI110" s="117"/>
      <c r="CJ110" s="117"/>
      <c r="CK110" s="117"/>
      <c r="CL110" s="117"/>
      <c r="CM110" s="117"/>
      <c r="CN110" s="117"/>
      <c r="CO110" s="117"/>
      <c r="CP110" s="117"/>
      <c r="CQ110" s="117"/>
      <c r="CR110" s="117"/>
      <c r="CS110" s="117"/>
      <c r="CT110" s="117"/>
      <c r="CU110" s="117"/>
      <c r="CV110" s="117"/>
      <c r="CW110" s="117"/>
      <c r="CX110" s="117"/>
      <c r="CY110" s="117"/>
      <c r="CZ110" s="117"/>
      <c r="DA110" s="117"/>
      <c r="DB110" s="117"/>
      <c r="DC110" s="117"/>
      <c r="DD110" s="117"/>
      <c r="DE110" s="117"/>
      <c r="DF110" s="117"/>
      <c r="DG110" s="117"/>
      <c r="DH110" s="117"/>
      <c r="DI110" s="117"/>
      <c r="DJ110" s="117"/>
      <c r="DK110" s="117"/>
      <c r="DL110" s="117"/>
      <c r="DM110" s="117"/>
      <c r="DN110" s="117"/>
      <c r="DO110" s="117"/>
      <c r="DP110" s="117"/>
      <c r="DQ110" s="117"/>
      <c r="DR110" s="117"/>
      <c r="DS110" s="117"/>
      <c r="DT110" s="117"/>
      <c r="DU110" s="117"/>
      <c r="DV110" s="117"/>
      <c r="DW110" s="117"/>
      <c r="DX110" s="117"/>
      <c r="DY110" s="117"/>
      <c r="DZ110" s="117"/>
      <c r="EA110" s="117"/>
      <c r="EB110" s="117"/>
      <c r="EC110" s="117"/>
      <c r="ED110" s="117"/>
      <c r="EE110" s="117"/>
      <c r="EF110" s="117"/>
      <c r="EG110" s="117"/>
      <c r="EH110" s="117"/>
      <c r="EI110" s="117"/>
      <c r="EJ110" s="117"/>
      <c r="EK110" s="117"/>
      <c r="EL110" s="117"/>
      <c r="EM110" s="117"/>
      <c r="EN110" s="117"/>
    </row>
    <row r="111" spans="1:144" s="129" customFormat="1" ht="11.25" x14ac:dyDescent="0.2">
      <c r="A111" s="141">
        <v>4</v>
      </c>
      <c r="B111" s="146" t="s">
        <v>114</v>
      </c>
      <c r="C111" s="125" t="s">
        <v>16</v>
      </c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67">
        <f>SUM(D111:O111)</f>
        <v>0</v>
      </c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7"/>
      <c r="AM111" s="117"/>
      <c r="AN111" s="117"/>
      <c r="AO111" s="117"/>
      <c r="AP111" s="117"/>
      <c r="AQ111" s="117"/>
      <c r="AR111" s="117"/>
      <c r="AS111" s="117"/>
      <c r="AT111" s="117"/>
      <c r="AU111" s="117"/>
      <c r="AV111" s="117"/>
      <c r="AW111" s="117"/>
      <c r="AX111" s="117"/>
      <c r="AY111" s="117"/>
      <c r="AZ111" s="117"/>
      <c r="BA111" s="117"/>
      <c r="BB111" s="117"/>
      <c r="BC111" s="117"/>
      <c r="BD111" s="117"/>
      <c r="BE111" s="117"/>
      <c r="BF111" s="117"/>
      <c r="BG111" s="117"/>
      <c r="BH111" s="117"/>
      <c r="BI111" s="117"/>
      <c r="BJ111" s="117"/>
      <c r="BK111" s="117"/>
      <c r="BL111" s="117"/>
      <c r="BM111" s="117"/>
      <c r="BN111" s="117"/>
      <c r="BO111" s="117"/>
      <c r="BP111" s="117"/>
      <c r="BQ111" s="117"/>
      <c r="BR111" s="117"/>
      <c r="BS111" s="117"/>
      <c r="BT111" s="117"/>
      <c r="BU111" s="117"/>
      <c r="BV111" s="117"/>
      <c r="BW111" s="117"/>
      <c r="BX111" s="117"/>
      <c r="BY111" s="117"/>
      <c r="BZ111" s="117"/>
      <c r="CA111" s="117"/>
      <c r="CB111" s="117"/>
      <c r="CC111" s="117"/>
      <c r="CD111" s="117"/>
      <c r="CE111" s="117"/>
      <c r="CF111" s="117"/>
      <c r="CG111" s="117"/>
      <c r="CH111" s="117"/>
      <c r="CI111" s="117"/>
      <c r="CJ111" s="117"/>
      <c r="CK111" s="117"/>
      <c r="CL111" s="117"/>
      <c r="CM111" s="117"/>
      <c r="CN111" s="117"/>
      <c r="CO111" s="117"/>
      <c r="CP111" s="117"/>
      <c r="CQ111" s="117"/>
      <c r="CR111" s="117"/>
      <c r="CS111" s="117"/>
      <c r="CT111" s="117"/>
      <c r="CU111" s="117"/>
      <c r="CV111" s="117"/>
      <c r="CW111" s="117"/>
      <c r="CX111" s="117"/>
      <c r="CY111" s="117"/>
      <c r="CZ111" s="117"/>
      <c r="DA111" s="117"/>
      <c r="DB111" s="117"/>
      <c r="DC111" s="117"/>
      <c r="DD111" s="117"/>
      <c r="DE111" s="117"/>
      <c r="DF111" s="117"/>
      <c r="DG111" s="117"/>
      <c r="DH111" s="117"/>
      <c r="DI111" s="117"/>
      <c r="DJ111" s="117"/>
      <c r="DK111" s="117"/>
      <c r="DL111" s="117"/>
      <c r="DM111" s="117"/>
      <c r="DN111" s="117"/>
      <c r="DO111" s="117"/>
      <c r="DP111" s="117"/>
      <c r="DQ111" s="117"/>
      <c r="DR111" s="117"/>
      <c r="DS111" s="117"/>
      <c r="DT111" s="117"/>
      <c r="DU111" s="117"/>
      <c r="DV111" s="117"/>
      <c r="DW111" s="117"/>
      <c r="DX111" s="117"/>
      <c r="DY111" s="117"/>
      <c r="DZ111" s="117"/>
      <c r="EA111" s="117"/>
      <c r="EB111" s="117"/>
      <c r="EC111" s="117"/>
      <c r="ED111" s="117"/>
      <c r="EE111" s="117"/>
      <c r="EF111" s="117"/>
      <c r="EG111" s="117"/>
      <c r="EH111" s="117"/>
      <c r="EI111" s="117"/>
      <c r="EJ111" s="117"/>
      <c r="EK111" s="117"/>
      <c r="EL111" s="117"/>
      <c r="EM111" s="117"/>
      <c r="EN111" s="117"/>
    </row>
    <row r="112" spans="1:144" s="129" customFormat="1" ht="11.25" x14ac:dyDescent="0.2">
      <c r="A112" s="141">
        <v>5</v>
      </c>
      <c r="B112" s="162" t="s">
        <v>30</v>
      </c>
      <c r="C112" s="143"/>
      <c r="D112" s="157">
        <f t="shared" ref="D112:P112" si="19">SUM(D110:D111)</f>
        <v>0</v>
      </c>
      <c r="E112" s="157">
        <f t="shared" si="19"/>
        <v>0</v>
      </c>
      <c r="F112" s="157">
        <f t="shared" si="19"/>
        <v>0</v>
      </c>
      <c r="G112" s="157">
        <f t="shared" si="19"/>
        <v>0</v>
      </c>
      <c r="H112" s="157">
        <f t="shared" si="19"/>
        <v>0</v>
      </c>
      <c r="I112" s="157">
        <f t="shared" si="19"/>
        <v>0</v>
      </c>
      <c r="J112" s="157">
        <f t="shared" si="19"/>
        <v>0</v>
      </c>
      <c r="K112" s="157">
        <f t="shared" si="19"/>
        <v>0</v>
      </c>
      <c r="L112" s="157">
        <f t="shared" si="19"/>
        <v>0</v>
      </c>
      <c r="M112" s="157">
        <f t="shared" si="19"/>
        <v>0</v>
      </c>
      <c r="N112" s="157">
        <f t="shared" si="19"/>
        <v>0</v>
      </c>
      <c r="O112" s="157">
        <f t="shared" si="19"/>
        <v>0</v>
      </c>
      <c r="P112" s="157">
        <f t="shared" si="19"/>
        <v>0</v>
      </c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/>
      <c r="AU112" s="117"/>
      <c r="AV112" s="117"/>
      <c r="AW112" s="117"/>
      <c r="AX112" s="117"/>
      <c r="AY112" s="117"/>
      <c r="AZ112" s="117"/>
      <c r="BA112" s="117"/>
      <c r="BB112" s="117"/>
      <c r="BC112" s="117"/>
      <c r="BD112" s="117"/>
      <c r="BE112" s="117"/>
      <c r="BF112" s="117"/>
      <c r="BG112" s="117"/>
      <c r="BH112" s="117"/>
      <c r="BI112" s="117"/>
      <c r="BJ112" s="117"/>
      <c r="BK112" s="117"/>
      <c r="BL112" s="117"/>
      <c r="BM112" s="117"/>
      <c r="BN112" s="117"/>
      <c r="BO112" s="117"/>
      <c r="BP112" s="117"/>
      <c r="BQ112" s="117"/>
      <c r="BR112" s="117"/>
      <c r="BS112" s="117"/>
      <c r="BT112" s="117"/>
      <c r="BU112" s="117"/>
      <c r="BV112" s="117"/>
      <c r="BW112" s="117"/>
      <c r="BX112" s="117"/>
      <c r="BY112" s="117"/>
      <c r="BZ112" s="117"/>
      <c r="CA112" s="117"/>
      <c r="CB112" s="117"/>
      <c r="CC112" s="117"/>
      <c r="CD112" s="117"/>
      <c r="CE112" s="117"/>
      <c r="CF112" s="117"/>
      <c r="CG112" s="117"/>
      <c r="CH112" s="117"/>
      <c r="CI112" s="117"/>
      <c r="CJ112" s="117"/>
      <c r="CK112" s="117"/>
      <c r="CL112" s="117"/>
      <c r="CM112" s="117"/>
      <c r="CN112" s="117"/>
      <c r="CO112" s="117"/>
      <c r="CP112" s="117"/>
      <c r="CQ112" s="117"/>
      <c r="CR112" s="117"/>
      <c r="CS112" s="117"/>
      <c r="CT112" s="117"/>
      <c r="CU112" s="117"/>
      <c r="CV112" s="117"/>
      <c r="CW112" s="117"/>
      <c r="CX112" s="117"/>
      <c r="CY112" s="117"/>
      <c r="CZ112" s="117"/>
      <c r="DA112" s="117"/>
      <c r="DB112" s="117"/>
      <c r="DC112" s="117"/>
      <c r="DD112" s="117"/>
      <c r="DE112" s="117"/>
      <c r="DF112" s="117"/>
      <c r="DG112" s="117"/>
      <c r="DH112" s="117"/>
      <c r="DI112" s="117"/>
      <c r="DJ112" s="117"/>
      <c r="DK112" s="117"/>
      <c r="DL112" s="117"/>
      <c r="DM112" s="117"/>
      <c r="DN112" s="117"/>
      <c r="DO112" s="117"/>
      <c r="DP112" s="117"/>
      <c r="DQ112" s="117"/>
      <c r="DR112" s="117"/>
      <c r="DS112" s="117"/>
      <c r="DT112" s="117"/>
      <c r="DU112" s="117"/>
      <c r="DV112" s="117"/>
      <c r="DW112" s="117"/>
      <c r="DX112" s="117"/>
      <c r="DY112" s="117"/>
      <c r="DZ112" s="117"/>
      <c r="EA112" s="117"/>
      <c r="EB112" s="117"/>
      <c r="EC112" s="117"/>
      <c r="ED112" s="117"/>
      <c r="EE112" s="117"/>
      <c r="EF112" s="117"/>
      <c r="EG112" s="117"/>
      <c r="EH112" s="117"/>
      <c r="EI112" s="117"/>
      <c r="EJ112" s="117"/>
      <c r="EK112" s="117"/>
      <c r="EL112" s="117"/>
      <c r="EM112" s="117"/>
      <c r="EN112" s="117"/>
    </row>
    <row r="113" spans="1:144" s="129" customFormat="1" ht="11.25" x14ac:dyDescent="0.2">
      <c r="B113" s="242"/>
      <c r="C113" s="143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22"/>
      <c r="O113" s="122"/>
      <c r="P113" s="12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7"/>
      <c r="BM113" s="117"/>
      <c r="BN113" s="117"/>
      <c r="BO113" s="117"/>
      <c r="BP113" s="117"/>
      <c r="BQ113" s="117"/>
      <c r="BR113" s="117"/>
      <c r="BS113" s="117"/>
      <c r="BT113" s="117"/>
      <c r="BU113" s="117"/>
      <c r="BV113" s="117"/>
      <c r="BW113" s="117"/>
      <c r="BX113" s="117"/>
      <c r="BY113" s="117"/>
      <c r="BZ113" s="117"/>
      <c r="CA113" s="117"/>
      <c r="CB113" s="117"/>
      <c r="CC113" s="117"/>
      <c r="CD113" s="117"/>
      <c r="CE113" s="117"/>
      <c r="CF113" s="117"/>
      <c r="CG113" s="117"/>
      <c r="CH113" s="117"/>
      <c r="CI113" s="117"/>
      <c r="CJ113" s="117"/>
      <c r="CK113" s="117"/>
      <c r="CL113" s="117"/>
      <c r="CM113" s="117"/>
      <c r="CN113" s="117"/>
      <c r="CO113" s="117"/>
      <c r="CP113" s="117"/>
      <c r="CQ113" s="117"/>
      <c r="CR113" s="117"/>
      <c r="CS113" s="117"/>
      <c r="CT113" s="117"/>
      <c r="CU113" s="117"/>
      <c r="CV113" s="117"/>
      <c r="CW113" s="117"/>
      <c r="CX113" s="117"/>
      <c r="CY113" s="117"/>
      <c r="CZ113" s="117"/>
      <c r="DA113" s="117"/>
      <c r="DB113" s="117"/>
      <c r="DC113" s="117"/>
      <c r="DD113" s="117"/>
      <c r="DE113" s="117"/>
      <c r="DF113" s="117"/>
      <c r="DG113" s="117"/>
      <c r="DH113" s="117"/>
      <c r="DI113" s="117"/>
      <c r="DJ113" s="117"/>
      <c r="DK113" s="117"/>
      <c r="DL113" s="117"/>
      <c r="DM113" s="117"/>
      <c r="DN113" s="117"/>
      <c r="DO113" s="117"/>
      <c r="DP113" s="117"/>
      <c r="DQ113" s="117"/>
      <c r="DR113" s="117"/>
      <c r="DS113" s="117"/>
      <c r="DT113" s="117"/>
      <c r="DU113" s="117"/>
      <c r="DV113" s="117"/>
      <c r="DW113" s="117"/>
      <c r="DX113" s="117"/>
      <c r="DY113" s="117"/>
      <c r="DZ113" s="117"/>
      <c r="EA113" s="117"/>
      <c r="EB113" s="117"/>
      <c r="EC113" s="117"/>
      <c r="ED113" s="117"/>
      <c r="EE113" s="117"/>
      <c r="EF113" s="117"/>
      <c r="EG113" s="117"/>
      <c r="EH113" s="117"/>
      <c r="EI113" s="117"/>
      <c r="EJ113" s="117"/>
      <c r="EK113" s="117"/>
      <c r="EL113" s="117"/>
      <c r="EM113" s="117"/>
      <c r="EN113" s="117"/>
    </row>
    <row r="114" spans="1:144" s="129" customFormat="1" ht="11.25" x14ac:dyDescent="0.2">
      <c r="A114" s="141">
        <v>6</v>
      </c>
      <c r="B114" s="146" t="s">
        <v>110</v>
      </c>
      <c r="C114" s="125" t="s">
        <v>17</v>
      </c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7">
        <f>SUM(D114:O114)</f>
        <v>0</v>
      </c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117"/>
      <c r="BF114" s="117"/>
      <c r="BG114" s="117"/>
      <c r="BH114" s="117"/>
      <c r="BI114" s="117"/>
      <c r="BJ114" s="117"/>
      <c r="BK114" s="117"/>
      <c r="BL114" s="117"/>
      <c r="BM114" s="117"/>
      <c r="BN114" s="117"/>
      <c r="BO114" s="117"/>
      <c r="BP114" s="117"/>
      <c r="BQ114" s="117"/>
      <c r="BR114" s="117"/>
      <c r="BS114" s="117"/>
      <c r="BT114" s="117"/>
      <c r="BU114" s="117"/>
      <c r="BV114" s="117"/>
      <c r="BW114" s="117"/>
      <c r="BX114" s="117"/>
      <c r="BY114" s="117"/>
      <c r="BZ114" s="117"/>
      <c r="CA114" s="117"/>
      <c r="CB114" s="117"/>
      <c r="CC114" s="117"/>
      <c r="CD114" s="117"/>
      <c r="CE114" s="117"/>
      <c r="CF114" s="117"/>
      <c r="CG114" s="117"/>
      <c r="CH114" s="117"/>
      <c r="CI114" s="117"/>
      <c r="CJ114" s="117"/>
      <c r="CK114" s="117"/>
      <c r="CL114" s="117"/>
      <c r="CM114" s="117"/>
      <c r="CN114" s="117"/>
      <c r="CO114" s="117"/>
      <c r="CP114" s="117"/>
      <c r="CQ114" s="117"/>
      <c r="CR114" s="117"/>
      <c r="CS114" s="117"/>
      <c r="CT114" s="117"/>
      <c r="CU114" s="117"/>
      <c r="CV114" s="117"/>
      <c r="CW114" s="117"/>
      <c r="CX114" s="117"/>
      <c r="CY114" s="117"/>
      <c r="CZ114" s="117"/>
      <c r="DA114" s="117"/>
      <c r="DB114" s="117"/>
      <c r="DC114" s="117"/>
      <c r="DD114" s="117"/>
      <c r="DE114" s="117"/>
      <c r="DF114" s="117"/>
      <c r="DG114" s="117"/>
      <c r="DH114" s="117"/>
      <c r="DI114" s="117"/>
      <c r="DJ114" s="117"/>
      <c r="DK114" s="117"/>
      <c r="DL114" s="117"/>
      <c r="DM114" s="117"/>
      <c r="DN114" s="117"/>
      <c r="DO114" s="117"/>
      <c r="DP114" s="117"/>
      <c r="DQ114" s="117"/>
      <c r="DR114" s="117"/>
      <c r="DS114" s="117"/>
      <c r="DT114" s="117"/>
      <c r="DU114" s="117"/>
      <c r="DV114" s="117"/>
      <c r="DW114" s="117"/>
      <c r="DX114" s="117"/>
      <c r="DY114" s="117"/>
      <c r="DZ114" s="117"/>
      <c r="EA114" s="117"/>
      <c r="EB114" s="117"/>
      <c r="EC114" s="117"/>
      <c r="ED114" s="117"/>
      <c r="EE114" s="117"/>
      <c r="EF114" s="117"/>
      <c r="EG114" s="117"/>
      <c r="EH114" s="117"/>
      <c r="EI114" s="117"/>
      <c r="EJ114" s="117"/>
      <c r="EK114" s="117"/>
      <c r="EL114" s="117"/>
      <c r="EM114" s="117"/>
      <c r="EN114" s="117"/>
    </row>
    <row r="115" spans="1:144" s="129" customFormat="1" ht="11.25" x14ac:dyDescent="0.2">
      <c r="A115" s="141">
        <v>7</v>
      </c>
      <c r="B115" s="146" t="s">
        <v>111</v>
      </c>
      <c r="C115" s="125" t="s">
        <v>17</v>
      </c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67">
        <f>SUM(D115:O115)</f>
        <v>0</v>
      </c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7"/>
      <c r="BM115" s="117"/>
      <c r="BN115" s="117"/>
      <c r="BO115" s="117"/>
      <c r="BP115" s="117"/>
      <c r="BQ115" s="117"/>
      <c r="BR115" s="117"/>
      <c r="BS115" s="117"/>
      <c r="BT115" s="117"/>
      <c r="BU115" s="117"/>
      <c r="BV115" s="117"/>
      <c r="BW115" s="117"/>
      <c r="BX115" s="117"/>
      <c r="BY115" s="117"/>
      <c r="BZ115" s="117"/>
      <c r="CA115" s="117"/>
      <c r="CB115" s="117"/>
      <c r="CC115" s="117"/>
      <c r="CD115" s="117"/>
      <c r="CE115" s="117"/>
      <c r="CF115" s="117"/>
      <c r="CG115" s="117"/>
      <c r="CH115" s="117"/>
      <c r="CI115" s="117"/>
      <c r="CJ115" s="117"/>
      <c r="CK115" s="117"/>
      <c r="CL115" s="117"/>
      <c r="CM115" s="117"/>
      <c r="CN115" s="117"/>
      <c r="CO115" s="117"/>
      <c r="CP115" s="117"/>
      <c r="CQ115" s="117"/>
      <c r="CR115" s="117"/>
      <c r="CS115" s="117"/>
      <c r="CT115" s="117"/>
      <c r="CU115" s="117"/>
      <c r="CV115" s="117"/>
      <c r="CW115" s="117"/>
      <c r="CX115" s="117"/>
      <c r="CY115" s="117"/>
      <c r="CZ115" s="117"/>
      <c r="DA115" s="117"/>
      <c r="DB115" s="117"/>
      <c r="DC115" s="117"/>
      <c r="DD115" s="117"/>
      <c r="DE115" s="117"/>
      <c r="DF115" s="117"/>
      <c r="DG115" s="117"/>
      <c r="DH115" s="117"/>
      <c r="DI115" s="117"/>
      <c r="DJ115" s="117"/>
      <c r="DK115" s="117"/>
      <c r="DL115" s="117"/>
      <c r="DM115" s="117"/>
      <c r="DN115" s="117"/>
      <c r="DO115" s="117"/>
      <c r="DP115" s="117"/>
      <c r="DQ115" s="117"/>
      <c r="DR115" s="117"/>
      <c r="DS115" s="117"/>
      <c r="DT115" s="117"/>
      <c r="DU115" s="117"/>
      <c r="DV115" s="117"/>
      <c r="DW115" s="117"/>
      <c r="DX115" s="117"/>
      <c r="DY115" s="117"/>
      <c r="DZ115" s="117"/>
      <c r="EA115" s="117"/>
      <c r="EB115" s="117"/>
      <c r="EC115" s="117"/>
      <c r="ED115" s="117"/>
      <c r="EE115" s="117"/>
      <c r="EF115" s="117"/>
      <c r="EG115" s="117"/>
      <c r="EH115" s="117"/>
      <c r="EI115" s="117"/>
      <c r="EJ115" s="117"/>
      <c r="EK115" s="117"/>
      <c r="EL115" s="117"/>
      <c r="EM115" s="117"/>
      <c r="EN115" s="117"/>
    </row>
    <row r="116" spans="1:144" s="129" customFormat="1" ht="11.25" x14ac:dyDescent="0.2">
      <c r="A116" s="141">
        <v>8</v>
      </c>
      <c r="B116" s="129" t="s">
        <v>31</v>
      </c>
      <c r="C116" s="125"/>
      <c r="D116" s="122">
        <f t="shared" ref="D116:P116" si="20">SUM(D114:D115)</f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0</v>
      </c>
      <c r="P116" s="122">
        <f t="shared" si="20"/>
        <v>0</v>
      </c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7"/>
      <c r="AM116" s="117"/>
      <c r="AN116" s="117"/>
      <c r="AO116" s="117"/>
      <c r="AP116" s="117"/>
      <c r="AQ116" s="117"/>
      <c r="AR116" s="117"/>
      <c r="AS116" s="117"/>
      <c r="AT116" s="117"/>
      <c r="AU116" s="117"/>
      <c r="AV116" s="117"/>
      <c r="AW116" s="117"/>
      <c r="AX116" s="117"/>
      <c r="AY116" s="117"/>
      <c r="AZ116" s="117"/>
      <c r="BA116" s="117"/>
      <c r="BB116" s="117"/>
      <c r="BC116" s="117"/>
      <c r="BD116" s="117"/>
      <c r="BE116" s="117"/>
      <c r="BF116" s="117"/>
      <c r="BG116" s="117"/>
      <c r="BH116" s="117"/>
      <c r="BI116" s="117"/>
      <c r="BJ116" s="117"/>
      <c r="BK116" s="117"/>
      <c r="BL116" s="117"/>
      <c r="BM116" s="117"/>
      <c r="BN116" s="117"/>
      <c r="BO116" s="117"/>
      <c r="BP116" s="117"/>
      <c r="BQ116" s="117"/>
      <c r="BR116" s="117"/>
      <c r="BS116" s="117"/>
      <c r="BT116" s="117"/>
      <c r="BU116" s="117"/>
      <c r="BV116" s="117"/>
      <c r="BW116" s="117"/>
      <c r="BX116" s="117"/>
      <c r="BY116" s="117"/>
      <c r="BZ116" s="117"/>
      <c r="CA116" s="117"/>
      <c r="CB116" s="117"/>
      <c r="CC116" s="117"/>
      <c r="CD116" s="117"/>
      <c r="CE116" s="117"/>
      <c r="CF116" s="117"/>
      <c r="CG116" s="117"/>
      <c r="CH116" s="117"/>
      <c r="CI116" s="117"/>
      <c r="CJ116" s="117"/>
      <c r="CK116" s="117"/>
      <c r="CL116" s="117"/>
      <c r="CM116" s="117"/>
      <c r="CN116" s="117"/>
      <c r="CO116" s="117"/>
      <c r="CP116" s="117"/>
      <c r="CQ116" s="117"/>
      <c r="CR116" s="117"/>
      <c r="CS116" s="117"/>
      <c r="CT116" s="117"/>
      <c r="CU116" s="117"/>
      <c r="CV116" s="117"/>
      <c r="CW116" s="117"/>
      <c r="CX116" s="117"/>
      <c r="CY116" s="117"/>
      <c r="CZ116" s="117"/>
      <c r="DA116" s="117"/>
      <c r="DB116" s="117"/>
      <c r="DC116" s="117"/>
      <c r="DD116" s="117"/>
      <c r="DE116" s="117"/>
      <c r="DF116" s="117"/>
      <c r="DG116" s="117"/>
      <c r="DH116" s="117"/>
      <c r="DI116" s="117"/>
      <c r="DJ116" s="117"/>
      <c r="DK116" s="117"/>
      <c r="DL116" s="117"/>
      <c r="DM116" s="117"/>
      <c r="DN116" s="117"/>
      <c r="DO116" s="117"/>
      <c r="DP116" s="117"/>
      <c r="DQ116" s="117"/>
      <c r="DR116" s="117"/>
      <c r="DS116" s="117"/>
      <c r="DT116" s="117"/>
      <c r="DU116" s="117"/>
      <c r="DV116" s="117"/>
      <c r="DW116" s="117"/>
      <c r="DX116" s="117"/>
      <c r="DY116" s="117"/>
      <c r="DZ116" s="117"/>
      <c r="EA116" s="117"/>
      <c r="EB116" s="117"/>
      <c r="EC116" s="117"/>
      <c r="ED116" s="117"/>
      <c r="EE116" s="117"/>
      <c r="EF116" s="117"/>
      <c r="EG116" s="117"/>
      <c r="EH116" s="117"/>
      <c r="EI116" s="117"/>
      <c r="EJ116" s="117"/>
      <c r="EK116" s="117"/>
      <c r="EL116" s="117"/>
      <c r="EM116" s="117"/>
      <c r="EN116" s="117"/>
    </row>
    <row r="117" spans="1:144" s="129" customFormat="1" ht="11.25" x14ac:dyDescent="0.2">
      <c r="A117" s="141"/>
      <c r="C117" s="125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7"/>
      <c r="AS117" s="117"/>
      <c r="AT117" s="117"/>
      <c r="AU117" s="117"/>
      <c r="AV117" s="117"/>
      <c r="AW117" s="117"/>
      <c r="AX117" s="117"/>
      <c r="AY117" s="117"/>
      <c r="AZ117" s="117"/>
      <c r="BA117" s="117"/>
      <c r="BB117" s="117"/>
      <c r="BC117" s="117"/>
      <c r="BD117" s="117"/>
      <c r="BE117" s="117"/>
      <c r="BF117" s="117"/>
      <c r="BG117" s="117"/>
      <c r="BH117" s="117"/>
      <c r="BI117" s="117"/>
      <c r="BJ117" s="117"/>
      <c r="BK117" s="117"/>
      <c r="BL117" s="117"/>
      <c r="BM117" s="117"/>
      <c r="BN117" s="117"/>
      <c r="BO117" s="117"/>
      <c r="BP117" s="117"/>
      <c r="BQ117" s="117"/>
      <c r="BR117" s="117"/>
      <c r="BS117" s="117"/>
      <c r="BT117" s="117"/>
      <c r="BU117" s="117"/>
      <c r="BV117" s="117"/>
      <c r="BW117" s="117"/>
      <c r="BX117" s="117"/>
      <c r="BY117" s="117"/>
      <c r="BZ117" s="117"/>
      <c r="CA117" s="117"/>
      <c r="CB117" s="117"/>
      <c r="CC117" s="117"/>
      <c r="CD117" s="117"/>
      <c r="CE117" s="117"/>
      <c r="CF117" s="117"/>
      <c r="CG117" s="117"/>
      <c r="CH117" s="117"/>
      <c r="CI117" s="117"/>
      <c r="CJ117" s="117"/>
      <c r="CK117" s="117"/>
      <c r="CL117" s="117"/>
      <c r="CM117" s="117"/>
      <c r="CN117" s="117"/>
      <c r="CO117" s="117"/>
      <c r="CP117" s="117"/>
      <c r="CQ117" s="117"/>
      <c r="CR117" s="117"/>
      <c r="CS117" s="117"/>
      <c r="CT117" s="117"/>
      <c r="CU117" s="117"/>
      <c r="CV117" s="117"/>
      <c r="CW117" s="117"/>
      <c r="CX117" s="117"/>
      <c r="CY117" s="117"/>
      <c r="CZ117" s="117"/>
      <c r="DA117" s="117"/>
      <c r="DB117" s="117"/>
      <c r="DC117" s="117"/>
      <c r="DD117" s="117"/>
      <c r="DE117" s="117"/>
      <c r="DF117" s="117"/>
      <c r="DG117" s="117"/>
      <c r="DH117" s="117"/>
      <c r="DI117" s="117"/>
      <c r="DJ117" s="117"/>
      <c r="DK117" s="117"/>
      <c r="DL117" s="117"/>
      <c r="DM117" s="117"/>
      <c r="DN117" s="117"/>
      <c r="DO117" s="117"/>
      <c r="DP117" s="117"/>
      <c r="DQ117" s="117"/>
      <c r="DR117" s="117"/>
      <c r="DS117" s="117"/>
      <c r="DT117" s="117"/>
      <c r="DU117" s="117"/>
      <c r="DV117" s="117"/>
      <c r="DW117" s="117"/>
      <c r="DX117" s="117"/>
      <c r="DY117" s="117"/>
      <c r="DZ117" s="117"/>
      <c r="EA117" s="117"/>
      <c r="EB117" s="117"/>
      <c r="EC117" s="117"/>
      <c r="ED117" s="117"/>
      <c r="EE117" s="117"/>
      <c r="EF117" s="117"/>
      <c r="EG117" s="117"/>
      <c r="EH117" s="117"/>
      <c r="EI117" s="117"/>
      <c r="EJ117" s="117"/>
      <c r="EK117" s="117"/>
      <c r="EL117" s="117"/>
      <c r="EM117" s="117"/>
      <c r="EN117" s="117"/>
    </row>
    <row r="118" spans="1:144" s="129" customFormat="1" ht="11.25" x14ac:dyDescent="0.2">
      <c r="A118" s="141">
        <v>9</v>
      </c>
      <c r="B118" s="162" t="s">
        <v>115</v>
      </c>
      <c r="C118" s="125" t="s">
        <v>18</v>
      </c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7">
        <f>SUM(D118:O118)</f>
        <v>0</v>
      </c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  <c r="AI118" s="117"/>
      <c r="AJ118" s="117"/>
      <c r="AK118" s="117"/>
      <c r="AL118" s="117"/>
      <c r="AM118" s="117"/>
      <c r="AN118" s="117"/>
      <c r="AO118" s="117"/>
      <c r="AP118" s="117"/>
      <c r="AQ118" s="117"/>
      <c r="AR118" s="117"/>
      <c r="AS118" s="117"/>
      <c r="AT118" s="117"/>
      <c r="AU118" s="117"/>
      <c r="AV118" s="117"/>
      <c r="AW118" s="117"/>
      <c r="AX118" s="117"/>
      <c r="AY118" s="117"/>
      <c r="AZ118" s="117"/>
      <c r="BA118" s="117"/>
      <c r="BB118" s="117"/>
      <c r="BC118" s="117"/>
      <c r="BD118" s="117"/>
      <c r="BE118" s="117"/>
      <c r="BF118" s="117"/>
      <c r="BG118" s="117"/>
      <c r="BH118" s="117"/>
      <c r="BI118" s="117"/>
      <c r="BJ118" s="117"/>
      <c r="BK118" s="117"/>
      <c r="BL118" s="117"/>
      <c r="BM118" s="117"/>
      <c r="BN118" s="117"/>
      <c r="BO118" s="117"/>
      <c r="BP118" s="117"/>
      <c r="BQ118" s="117"/>
      <c r="BR118" s="117"/>
      <c r="BS118" s="117"/>
      <c r="BT118" s="117"/>
      <c r="BU118" s="117"/>
      <c r="BV118" s="117"/>
      <c r="BW118" s="117"/>
      <c r="BX118" s="117"/>
      <c r="BY118" s="117"/>
      <c r="BZ118" s="117"/>
      <c r="CA118" s="117"/>
      <c r="CB118" s="117"/>
      <c r="CC118" s="117"/>
      <c r="CD118" s="117"/>
      <c r="CE118" s="117"/>
      <c r="CF118" s="117"/>
      <c r="CG118" s="117"/>
      <c r="CH118" s="117"/>
      <c r="CI118" s="117"/>
      <c r="CJ118" s="117"/>
      <c r="CK118" s="117"/>
      <c r="CL118" s="117"/>
      <c r="CM118" s="117"/>
      <c r="CN118" s="117"/>
      <c r="CO118" s="117"/>
      <c r="CP118" s="117"/>
      <c r="CQ118" s="117"/>
      <c r="CR118" s="117"/>
      <c r="CS118" s="117"/>
      <c r="CT118" s="117"/>
      <c r="CU118" s="117"/>
      <c r="CV118" s="117"/>
      <c r="CW118" s="117"/>
      <c r="CX118" s="117"/>
      <c r="CY118" s="117"/>
      <c r="CZ118" s="117"/>
      <c r="DA118" s="117"/>
      <c r="DB118" s="117"/>
      <c r="DC118" s="117"/>
      <c r="DD118" s="117"/>
      <c r="DE118" s="117"/>
      <c r="DF118" s="117"/>
      <c r="DG118" s="117"/>
      <c r="DH118" s="117"/>
      <c r="DI118" s="117"/>
      <c r="DJ118" s="117"/>
      <c r="DK118" s="117"/>
      <c r="DL118" s="117"/>
      <c r="DM118" s="117"/>
      <c r="DN118" s="117"/>
      <c r="DO118" s="117"/>
      <c r="DP118" s="117"/>
      <c r="DQ118" s="117"/>
      <c r="DR118" s="117"/>
      <c r="DS118" s="117"/>
      <c r="DT118" s="117"/>
      <c r="DU118" s="117"/>
      <c r="DV118" s="117"/>
      <c r="DW118" s="117"/>
      <c r="DX118" s="117"/>
      <c r="DY118" s="117"/>
      <c r="DZ118" s="117"/>
      <c r="EA118" s="117"/>
      <c r="EB118" s="117"/>
      <c r="EC118" s="117"/>
      <c r="ED118" s="117"/>
      <c r="EE118" s="117"/>
      <c r="EF118" s="117"/>
      <c r="EG118" s="117"/>
      <c r="EH118" s="117"/>
      <c r="EI118" s="117"/>
      <c r="EJ118" s="117"/>
      <c r="EK118" s="117"/>
      <c r="EL118" s="117"/>
      <c r="EM118" s="117"/>
      <c r="EN118" s="117"/>
    </row>
    <row r="119" spans="1:144" s="129" customFormat="1" ht="11.25" x14ac:dyDescent="0.2">
      <c r="C119" s="143"/>
      <c r="D119" s="128"/>
      <c r="E119" s="128"/>
      <c r="F119" s="128"/>
      <c r="G119" s="157"/>
      <c r="H119" s="157"/>
      <c r="I119" s="157"/>
      <c r="J119" s="157"/>
      <c r="K119" s="157"/>
      <c r="L119" s="157"/>
      <c r="M119" s="157"/>
      <c r="N119" s="122"/>
      <c r="O119" s="122"/>
      <c r="P119" s="12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7"/>
      <c r="AL119" s="117"/>
      <c r="AM119" s="117"/>
      <c r="AN119" s="117"/>
      <c r="AO119" s="117"/>
      <c r="AP119" s="117"/>
      <c r="AQ119" s="117"/>
      <c r="AR119" s="117"/>
      <c r="AS119" s="117"/>
      <c r="AT119" s="117"/>
      <c r="AU119" s="117"/>
      <c r="AV119" s="117"/>
      <c r="AW119" s="117"/>
      <c r="AX119" s="117"/>
      <c r="AY119" s="117"/>
      <c r="AZ119" s="117"/>
      <c r="BA119" s="117"/>
      <c r="BB119" s="117"/>
      <c r="BC119" s="117"/>
      <c r="BD119" s="117"/>
      <c r="BE119" s="117"/>
      <c r="BF119" s="117"/>
      <c r="BG119" s="117"/>
      <c r="BH119" s="117"/>
      <c r="BI119" s="117"/>
      <c r="BJ119" s="117"/>
      <c r="BK119" s="117"/>
      <c r="BL119" s="117"/>
      <c r="BM119" s="117"/>
      <c r="BN119" s="117"/>
      <c r="BO119" s="117"/>
      <c r="BP119" s="117"/>
      <c r="BQ119" s="117"/>
      <c r="BR119" s="117"/>
      <c r="BS119" s="117"/>
      <c r="BT119" s="117"/>
      <c r="BU119" s="117"/>
      <c r="BV119" s="117"/>
      <c r="BW119" s="117"/>
      <c r="BX119" s="117"/>
      <c r="BY119" s="117"/>
      <c r="BZ119" s="117"/>
      <c r="CA119" s="117"/>
      <c r="CB119" s="117"/>
      <c r="CC119" s="117"/>
      <c r="CD119" s="117"/>
      <c r="CE119" s="117"/>
      <c r="CF119" s="117"/>
      <c r="CG119" s="117"/>
      <c r="CH119" s="117"/>
      <c r="CI119" s="117"/>
      <c r="CJ119" s="117"/>
      <c r="CK119" s="117"/>
      <c r="CL119" s="117"/>
      <c r="CM119" s="117"/>
      <c r="CN119" s="117"/>
      <c r="CO119" s="117"/>
      <c r="CP119" s="117"/>
      <c r="CQ119" s="117"/>
      <c r="CR119" s="117"/>
      <c r="CS119" s="117"/>
      <c r="CT119" s="117"/>
      <c r="CU119" s="117"/>
      <c r="CV119" s="117"/>
      <c r="CW119" s="117"/>
      <c r="CX119" s="117"/>
      <c r="CY119" s="117"/>
      <c r="CZ119" s="117"/>
      <c r="DA119" s="117"/>
      <c r="DB119" s="117"/>
      <c r="DC119" s="117"/>
      <c r="DD119" s="117"/>
      <c r="DE119" s="117"/>
      <c r="DF119" s="117"/>
      <c r="DG119" s="117"/>
      <c r="DH119" s="117"/>
      <c r="DI119" s="117"/>
      <c r="DJ119" s="117"/>
      <c r="DK119" s="117"/>
      <c r="DL119" s="117"/>
      <c r="DM119" s="117"/>
      <c r="DN119" s="117"/>
      <c r="DO119" s="117"/>
      <c r="DP119" s="117"/>
      <c r="DQ119" s="117"/>
      <c r="DR119" s="117"/>
      <c r="DS119" s="117"/>
      <c r="DT119" s="117"/>
      <c r="DU119" s="117"/>
      <c r="DV119" s="117"/>
      <c r="DW119" s="117"/>
      <c r="DX119" s="117"/>
      <c r="DY119" s="117"/>
      <c r="DZ119" s="117"/>
      <c r="EA119" s="117"/>
      <c r="EB119" s="117"/>
      <c r="EC119" s="117"/>
      <c r="ED119" s="117"/>
      <c r="EE119" s="117"/>
      <c r="EF119" s="117"/>
      <c r="EG119" s="117"/>
      <c r="EH119" s="117"/>
      <c r="EI119" s="117"/>
      <c r="EJ119" s="117"/>
      <c r="EK119" s="117"/>
      <c r="EL119" s="117"/>
      <c r="EM119" s="117"/>
      <c r="EN119" s="117"/>
    </row>
    <row r="120" spans="1:144" s="129" customFormat="1" ht="11.25" x14ac:dyDescent="0.2">
      <c r="A120" s="141">
        <v>10</v>
      </c>
      <c r="B120" s="117" t="s">
        <v>33</v>
      </c>
      <c r="C120" s="125" t="s">
        <v>16</v>
      </c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7">
        <f>SUM(D120:O120)</f>
        <v>0</v>
      </c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7"/>
      <c r="AM120" s="117"/>
      <c r="AN120" s="117"/>
      <c r="AO120" s="117"/>
      <c r="AP120" s="117"/>
      <c r="AQ120" s="117"/>
      <c r="AR120" s="117"/>
      <c r="AS120" s="117"/>
      <c r="AT120" s="117"/>
      <c r="AU120" s="117"/>
      <c r="AV120" s="117"/>
      <c r="AW120" s="117"/>
      <c r="AX120" s="117"/>
      <c r="AY120" s="117"/>
      <c r="AZ120" s="117"/>
      <c r="BA120" s="117"/>
      <c r="BB120" s="117"/>
      <c r="BC120" s="117"/>
      <c r="BD120" s="117"/>
      <c r="BE120" s="117"/>
      <c r="BF120" s="117"/>
      <c r="BG120" s="117"/>
      <c r="BH120" s="117"/>
      <c r="BI120" s="117"/>
      <c r="BJ120" s="117"/>
      <c r="BK120" s="117"/>
      <c r="BL120" s="117"/>
      <c r="BM120" s="117"/>
      <c r="BN120" s="117"/>
      <c r="BO120" s="117"/>
      <c r="BP120" s="117"/>
      <c r="BQ120" s="117"/>
      <c r="BR120" s="117"/>
      <c r="BS120" s="117"/>
      <c r="BT120" s="117"/>
      <c r="BU120" s="117"/>
      <c r="BV120" s="117"/>
      <c r="BW120" s="117"/>
      <c r="BX120" s="117"/>
      <c r="BY120" s="117"/>
      <c r="BZ120" s="117"/>
      <c r="CA120" s="117"/>
      <c r="CB120" s="117"/>
      <c r="CC120" s="117"/>
      <c r="CD120" s="117"/>
      <c r="CE120" s="117"/>
      <c r="CF120" s="117"/>
      <c r="CG120" s="117"/>
      <c r="CH120" s="117"/>
      <c r="CI120" s="117"/>
      <c r="CJ120" s="117"/>
      <c r="CK120" s="117"/>
      <c r="CL120" s="117"/>
      <c r="CM120" s="117"/>
      <c r="CN120" s="117"/>
      <c r="CO120" s="117"/>
      <c r="CP120" s="117"/>
      <c r="CQ120" s="117"/>
      <c r="CR120" s="117"/>
      <c r="CS120" s="117"/>
      <c r="CT120" s="117"/>
      <c r="CU120" s="117"/>
      <c r="CV120" s="117"/>
      <c r="CW120" s="117"/>
      <c r="CX120" s="117"/>
      <c r="CY120" s="117"/>
      <c r="CZ120" s="117"/>
      <c r="DA120" s="117"/>
      <c r="DB120" s="117"/>
      <c r="DC120" s="117"/>
      <c r="DD120" s="117"/>
      <c r="DE120" s="117"/>
      <c r="DF120" s="117"/>
      <c r="DG120" s="117"/>
      <c r="DH120" s="117"/>
      <c r="DI120" s="117"/>
      <c r="DJ120" s="117"/>
      <c r="DK120" s="117"/>
      <c r="DL120" s="117"/>
      <c r="DM120" s="117"/>
      <c r="DN120" s="117"/>
      <c r="DO120" s="117"/>
      <c r="DP120" s="117"/>
      <c r="DQ120" s="117"/>
      <c r="DR120" s="117"/>
      <c r="DS120" s="117"/>
      <c r="DT120" s="117"/>
      <c r="DU120" s="117"/>
      <c r="DV120" s="117"/>
      <c r="DW120" s="117"/>
      <c r="DX120" s="117"/>
      <c r="DY120" s="117"/>
      <c r="DZ120" s="117"/>
      <c r="EA120" s="117"/>
      <c r="EB120" s="117"/>
      <c r="EC120" s="117"/>
      <c r="ED120" s="117"/>
      <c r="EE120" s="117"/>
      <c r="EF120" s="117"/>
      <c r="EG120" s="117"/>
      <c r="EH120" s="117"/>
      <c r="EI120" s="117"/>
      <c r="EJ120" s="117"/>
      <c r="EK120" s="117"/>
      <c r="EL120" s="117"/>
      <c r="EM120" s="117"/>
      <c r="EN120" s="117"/>
    </row>
    <row r="121" spans="1:144" s="129" customFormat="1" ht="11.25" x14ac:dyDescent="0.2">
      <c r="A121" s="141"/>
      <c r="C121" s="143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22"/>
      <c r="O121" s="122"/>
      <c r="P121" s="12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17"/>
      <c r="AO121" s="117"/>
      <c r="AP121" s="117"/>
      <c r="AQ121" s="117"/>
      <c r="AR121" s="117"/>
      <c r="AS121" s="117"/>
      <c r="AT121" s="117"/>
      <c r="AU121" s="117"/>
      <c r="AV121" s="117"/>
      <c r="AW121" s="117"/>
      <c r="AX121" s="117"/>
      <c r="AY121" s="117"/>
      <c r="AZ121" s="117"/>
      <c r="BA121" s="117"/>
      <c r="BB121" s="117"/>
      <c r="BC121" s="117"/>
      <c r="BD121" s="117"/>
      <c r="BE121" s="117"/>
      <c r="BF121" s="117"/>
      <c r="BG121" s="117"/>
      <c r="BH121" s="117"/>
      <c r="BI121" s="117"/>
      <c r="BJ121" s="117"/>
      <c r="BK121" s="117"/>
      <c r="BL121" s="117"/>
      <c r="BM121" s="117"/>
      <c r="BN121" s="117"/>
      <c r="BO121" s="117"/>
      <c r="BP121" s="117"/>
      <c r="BQ121" s="117"/>
      <c r="BR121" s="117"/>
      <c r="BS121" s="117"/>
      <c r="BT121" s="117"/>
      <c r="BU121" s="117"/>
      <c r="BV121" s="117"/>
      <c r="BW121" s="117"/>
      <c r="BX121" s="117"/>
      <c r="BY121" s="117"/>
      <c r="BZ121" s="117"/>
      <c r="CA121" s="117"/>
      <c r="CB121" s="117"/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  <c r="DL121" s="117"/>
      <c r="DM121" s="117"/>
      <c r="DN121" s="117"/>
      <c r="DO121" s="117"/>
      <c r="DP121" s="117"/>
      <c r="DQ121" s="117"/>
      <c r="DR121" s="117"/>
      <c r="DS121" s="117"/>
      <c r="DT121" s="117"/>
      <c r="DU121" s="117"/>
      <c r="DV121" s="117"/>
      <c r="DW121" s="117"/>
      <c r="DX121" s="117"/>
      <c r="DY121" s="117"/>
      <c r="DZ121" s="117"/>
      <c r="EA121" s="117"/>
      <c r="EB121" s="117"/>
      <c r="EC121" s="117"/>
      <c r="ED121" s="117"/>
      <c r="EE121" s="117"/>
      <c r="EF121" s="117"/>
      <c r="EG121" s="117"/>
      <c r="EH121" s="117"/>
      <c r="EI121" s="117"/>
      <c r="EJ121" s="117"/>
      <c r="EK121" s="117"/>
      <c r="EL121" s="117"/>
      <c r="EM121" s="117"/>
      <c r="EN121" s="117"/>
    </row>
    <row r="122" spans="1:144" s="129" customFormat="1" ht="11.25" x14ac:dyDescent="0.2">
      <c r="A122" s="141">
        <v>11</v>
      </c>
      <c r="B122" s="183" t="s">
        <v>34</v>
      </c>
      <c r="C122" s="329"/>
      <c r="D122" s="184">
        <f t="shared" ref="D122:P122" si="21">D120+D118+D116+D112+D108+D106</f>
        <v>0</v>
      </c>
      <c r="E122" s="184">
        <f t="shared" si="21"/>
        <v>0</v>
      </c>
      <c r="F122" s="184">
        <f t="shared" si="21"/>
        <v>0</v>
      </c>
      <c r="G122" s="184">
        <f t="shared" si="21"/>
        <v>0</v>
      </c>
      <c r="H122" s="184">
        <f t="shared" si="21"/>
        <v>0</v>
      </c>
      <c r="I122" s="184">
        <f t="shared" si="21"/>
        <v>0</v>
      </c>
      <c r="J122" s="184">
        <f t="shared" si="21"/>
        <v>0</v>
      </c>
      <c r="K122" s="184">
        <f t="shared" si="21"/>
        <v>0</v>
      </c>
      <c r="L122" s="184">
        <f t="shared" si="21"/>
        <v>0</v>
      </c>
      <c r="M122" s="184">
        <f t="shared" si="21"/>
        <v>0</v>
      </c>
      <c r="N122" s="184">
        <f t="shared" si="21"/>
        <v>0</v>
      </c>
      <c r="O122" s="184">
        <f t="shared" si="21"/>
        <v>0</v>
      </c>
      <c r="P122" s="184">
        <f t="shared" si="21"/>
        <v>0</v>
      </c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7"/>
      <c r="AM122" s="117"/>
      <c r="AN122" s="117"/>
      <c r="AO122" s="117"/>
      <c r="AP122" s="117"/>
      <c r="AQ122" s="117"/>
      <c r="AR122" s="117"/>
      <c r="AS122" s="117"/>
      <c r="AT122" s="117"/>
      <c r="AU122" s="117"/>
      <c r="AV122" s="117"/>
      <c r="AW122" s="117"/>
      <c r="AX122" s="117"/>
      <c r="AY122" s="117"/>
      <c r="AZ122" s="117"/>
      <c r="BA122" s="117"/>
      <c r="BB122" s="117"/>
      <c r="BC122" s="117"/>
      <c r="BD122" s="117"/>
      <c r="BE122" s="117"/>
      <c r="BF122" s="117"/>
      <c r="BG122" s="117"/>
      <c r="BH122" s="117"/>
      <c r="BI122" s="117"/>
      <c r="BJ122" s="117"/>
      <c r="BK122" s="117"/>
      <c r="BL122" s="117"/>
      <c r="BM122" s="117"/>
      <c r="BN122" s="117"/>
      <c r="BO122" s="117"/>
      <c r="BP122" s="117"/>
      <c r="BQ122" s="117"/>
      <c r="BR122" s="117"/>
      <c r="BS122" s="117"/>
      <c r="BT122" s="117"/>
      <c r="BU122" s="117"/>
      <c r="BV122" s="117"/>
      <c r="BW122" s="117"/>
      <c r="BX122" s="117"/>
      <c r="BY122" s="117"/>
      <c r="BZ122" s="117"/>
      <c r="CA122" s="117"/>
      <c r="CB122" s="117"/>
      <c r="CC122" s="117"/>
      <c r="CD122" s="117"/>
      <c r="CE122" s="117"/>
      <c r="CF122" s="117"/>
      <c r="CG122" s="117"/>
      <c r="CH122" s="117"/>
      <c r="CI122" s="117"/>
      <c r="CJ122" s="117"/>
      <c r="CK122" s="117"/>
      <c r="CL122" s="117"/>
      <c r="CM122" s="117"/>
      <c r="CN122" s="117"/>
      <c r="CO122" s="117"/>
      <c r="CP122" s="117"/>
      <c r="CQ122" s="117"/>
      <c r="CR122" s="117"/>
      <c r="CS122" s="117"/>
      <c r="CT122" s="117"/>
      <c r="CU122" s="117"/>
      <c r="CV122" s="117"/>
      <c r="CW122" s="117"/>
      <c r="CX122" s="117"/>
      <c r="CY122" s="117"/>
      <c r="CZ122" s="117"/>
      <c r="DA122" s="117"/>
      <c r="DB122" s="117"/>
      <c r="DC122" s="117"/>
      <c r="DD122" s="117"/>
      <c r="DE122" s="117"/>
      <c r="DF122" s="117"/>
      <c r="DG122" s="117"/>
      <c r="DH122" s="117"/>
      <c r="DI122" s="117"/>
      <c r="DJ122" s="117"/>
      <c r="DK122" s="117"/>
      <c r="DL122" s="117"/>
      <c r="DM122" s="117"/>
      <c r="DN122" s="117"/>
      <c r="DO122" s="117"/>
      <c r="DP122" s="117"/>
      <c r="DQ122" s="117"/>
      <c r="DR122" s="117"/>
      <c r="DS122" s="117"/>
      <c r="DT122" s="117"/>
      <c r="DU122" s="117"/>
      <c r="DV122" s="117"/>
      <c r="DW122" s="117"/>
      <c r="DX122" s="117"/>
      <c r="DY122" s="117"/>
      <c r="DZ122" s="117"/>
      <c r="EA122" s="117"/>
      <c r="EB122" s="117"/>
      <c r="EC122" s="117"/>
      <c r="ED122" s="117"/>
      <c r="EE122" s="117"/>
      <c r="EF122" s="117"/>
      <c r="EG122" s="117"/>
      <c r="EH122" s="117"/>
      <c r="EI122" s="117"/>
      <c r="EJ122" s="117"/>
      <c r="EK122" s="117"/>
      <c r="EL122" s="117"/>
      <c r="EM122" s="117"/>
      <c r="EN122" s="117"/>
    </row>
    <row r="123" spans="1:144" s="129" customFormat="1" ht="11.25" x14ac:dyDescent="0.2">
      <c r="B123" s="329"/>
      <c r="C123" s="32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56"/>
      <c r="O123" s="156"/>
      <c r="P123" s="12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7"/>
      <c r="AL123" s="117"/>
      <c r="AM123" s="117"/>
      <c r="AN123" s="117"/>
      <c r="AO123" s="117"/>
      <c r="AP123" s="117"/>
      <c r="AQ123" s="117"/>
      <c r="AR123" s="117"/>
      <c r="AS123" s="117"/>
      <c r="AT123" s="117"/>
      <c r="AU123" s="117"/>
      <c r="AV123" s="117"/>
      <c r="AW123" s="117"/>
      <c r="AX123" s="117"/>
      <c r="AY123" s="117"/>
      <c r="AZ123" s="117"/>
      <c r="BA123" s="117"/>
      <c r="BB123" s="117"/>
      <c r="BC123" s="117"/>
      <c r="BD123" s="117"/>
      <c r="BE123" s="117"/>
      <c r="BF123" s="117"/>
      <c r="BG123" s="117"/>
      <c r="BH123" s="117"/>
      <c r="BI123" s="117"/>
      <c r="BJ123" s="117"/>
      <c r="BK123" s="117"/>
      <c r="BL123" s="117"/>
      <c r="BM123" s="117"/>
      <c r="BN123" s="117"/>
      <c r="BO123" s="117"/>
      <c r="BP123" s="117"/>
      <c r="BQ123" s="117"/>
      <c r="BR123" s="117"/>
      <c r="BS123" s="117"/>
      <c r="BT123" s="117"/>
      <c r="BU123" s="117"/>
      <c r="BV123" s="117"/>
      <c r="BW123" s="117"/>
      <c r="BX123" s="117"/>
      <c r="BY123" s="117"/>
      <c r="BZ123" s="117"/>
      <c r="CA123" s="117"/>
      <c r="CB123" s="117"/>
      <c r="CC123" s="117"/>
      <c r="CD123" s="117"/>
      <c r="CE123" s="117"/>
      <c r="CF123" s="117"/>
      <c r="CG123" s="117"/>
      <c r="CH123" s="117"/>
      <c r="CI123" s="117"/>
      <c r="CJ123" s="117"/>
      <c r="CK123" s="117"/>
      <c r="CL123" s="117"/>
      <c r="CM123" s="117"/>
      <c r="CN123" s="117"/>
      <c r="CO123" s="117"/>
      <c r="CP123" s="117"/>
      <c r="CQ123" s="117"/>
      <c r="CR123" s="117"/>
      <c r="CS123" s="117"/>
      <c r="CT123" s="117"/>
      <c r="CU123" s="117"/>
      <c r="CV123" s="117"/>
      <c r="CW123" s="117"/>
      <c r="CX123" s="117"/>
      <c r="CY123" s="117"/>
      <c r="CZ123" s="117"/>
      <c r="DA123" s="117"/>
      <c r="DB123" s="117"/>
      <c r="DC123" s="117"/>
      <c r="DD123" s="117"/>
      <c r="DE123" s="117"/>
      <c r="DF123" s="117"/>
      <c r="DG123" s="117"/>
      <c r="DH123" s="117"/>
      <c r="DI123" s="117"/>
      <c r="DJ123" s="117"/>
      <c r="DK123" s="117"/>
      <c r="DL123" s="117"/>
      <c r="DM123" s="117"/>
      <c r="DN123" s="117"/>
      <c r="DO123" s="117"/>
      <c r="DP123" s="117"/>
      <c r="DQ123" s="117"/>
      <c r="DR123" s="117"/>
      <c r="DS123" s="117"/>
      <c r="DT123" s="117"/>
      <c r="DU123" s="117"/>
      <c r="DV123" s="117"/>
      <c r="DW123" s="117"/>
      <c r="DX123" s="117"/>
      <c r="DY123" s="117"/>
      <c r="DZ123" s="117"/>
      <c r="EA123" s="117"/>
      <c r="EB123" s="117"/>
      <c r="EC123" s="117"/>
      <c r="ED123" s="117"/>
      <c r="EE123" s="117"/>
      <c r="EF123" s="117"/>
      <c r="EG123" s="117"/>
      <c r="EH123" s="117"/>
      <c r="EI123" s="117"/>
      <c r="EJ123" s="117"/>
      <c r="EK123" s="117"/>
      <c r="EL123" s="117"/>
      <c r="EM123" s="117"/>
      <c r="EN123" s="117"/>
    </row>
    <row r="124" spans="1:144" s="129" customFormat="1" ht="11.25" x14ac:dyDescent="0.2">
      <c r="A124" s="141">
        <v>12</v>
      </c>
      <c r="B124" s="148" t="s">
        <v>91</v>
      </c>
      <c r="C124" s="125" t="s">
        <v>17</v>
      </c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7">
        <f>SUM(D124:O124)</f>
        <v>0</v>
      </c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17"/>
      <c r="AO124" s="117"/>
      <c r="AP124" s="117"/>
      <c r="AQ124" s="117"/>
      <c r="AR124" s="117"/>
      <c r="AS124" s="117"/>
      <c r="AT124" s="117"/>
      <c r="AU124" s="117"/>
      <c r="AV124" s="117"/>
      <c r="AW124" s="117"/>
      <c r="AX124" s="117"/>
      <c r="AY124" s="117"/>
      <c r="AZ124" s="117"/>
      <c r="BA124" s="117"/>
      <c r="BB124" s="117"/>
      <c r="BC124" s="117"/>
      <c r="BD124" s="117"/>
      <c r="BE124" s="117"/>
      <c r="BF124" s="117"/>
      <c r="BG124" s="117"/>
      <c r="BH124" s="117"/>
      <c r="BI124" s="117"/>
      <c r="BJ124" s="117"/>
      <c r="BK124" s="117"/>
      <c r="BL124" s="117"/>
      <c r="BM124" s="117"/>
      <c r="BN124" s="117"/>
      <c r="BO124" s="117"/>
      <c r="BP124" s="117"/>
      <c r="BQ124" s="117"/>
      <c r="BR124" s="117"/>
      <c r="BS124" s="117"/>
      <c r="BT124" s="117"/>
      <c r="BU124" s="117"/>
      <c r="BV124" s="117"/>
      <c r="BW124" s="117"/>
      <c r="BX124" s="117"/>
      <c r="BY124" s="117"/>
      <c r="BZ124" s="117"/>
      <c r="CA124" s="117"/>
      <c r="CB124" s="117"/>
      <c r="CC124" s="117"/>
      <c r="CD124" s="117"/>
      <c r="CE124" s="117"/>
      <c r="CF124" s="117"/>
      <c r="CG124" s="117"/>
      <c r="CH124" s="117"/>
      <c r="CI124" s="117"/>
      <c r="CJ124" s="117"/>
      <c r="CK124" s="117"/>
      <c r="CL124" s="117"/>
      <c r="CM124" s="117"/>
      <c r="CN124" s="117"/>
      <c r="CO124" s="117"/>
      <c r="CP124" s="117"/>
      <c r="CQ124" s="117"/>
      <c r="CR124" s="117"/>
      <c r="CS124" s="117"/>
      <c r="CT124" s="117"/>
      <c r="CU124" s="117"/>
      <c r="CV124" s="117"/>
      <c r="CW124" s="117"/>
      <c r="CX124" s="117"/>
      <c r="CY124" s="117"/>
      <c r="CZ124" s="117"/>
      <c r="DA124" s="117"/>
      <c r="DB124" s="117"/>
      <c r="DC124" s="117"/>
      <c r="DD124" s="117"/>
      <c r="DE124" s="117"/>
      <c r="DF124" s="117"/>
      <c r="DG124" s="117"/>
      <c r="DH124" s="117"/>
      <c r="DI124" s="117"/>
      <c r="DJ124" s="117"/>
      <c r="DK124" s="117"/>
      <c r="DL124" s="117"/>
      <c r="DM124" s="117"/>
      <c r="DN124" s="117"/>
      <c r="DO124" s="117"/>
      <c r="DP124" s="117"/>
      <c r="DQ124" s="117"/>
      <c r="DR124" s="117"/>
      <c r="DS124" s="117"/>
      <c r="DT124" s="117"/>
      <c r="DU124" s="117"/>
      <c r="DV124" s="117"/>
      <c r="DW124" s="117"/>
      <c r="DX124" s="117"/>
      <c r="DY124" s="117"/>
      <c r="DZ124" s="117"/>
      <c r="EA124" s="117"/>
      <c r="EB124" s="117"/>
      <c r="EC124" s="117"/>
      <c r="ED124" s="117"/>
      <c r="EE124" s="117"/>
      <c r="EF124" s="117"/>
      <c r="EG124" s="117"/>
      <c r="EH124" s="117"/>
      <c r="EI124" s="117"/>
      <c r="EJ124" s="117"/>
      <c r="EK124" s="117"/>
      <c r="EL124" s="117"/>
      <c r="EM124" s="117"/>
      <c r="EN124" s="117"/>
    </row>
    <row r="125" spans="1:144" s="129" customFormat="1" ht="11.25" x14ac:dyDescent="0.2">
      <c r="A125" s="141">
        <v>13</v>
      </c>
      <c r="B125" s="148" t="s">
        <v>92</v>
      </c>
      <c r="C125" s="125" t="s">
        <v>18</v>
      </c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67">
        <f>SUM(D125:O125)</f>
        <v>0</v>
      </c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  <c r="AI125" s="117"/>
      <c r="AJ125" s="117"/>
      <c r="AK125" s="117"/>
      <c r="AL125" s="117"/>
      <c r="AM125" s="117"/>
      <c r="AN125" s="117"/>
      <c r="AO125" s="117"/>
      <c r="AP125" s="117"/>
      <c r="AQ125" s="117"/>
      <c r="AR125" s="117"/>
      <c r="AS125" s="117"/>
      <c r="AT125" s="117"/>
      <c r="AU125" s="117"/>
      <c r="AV125" s="117"/>
      <c r="AW125" s="117"/>
      <c r="AX125" s="117"/>
      <c r="AY125" s="117"/>
      <c r="AZ125" s="117"/>
      <c r="BA125" s="117"/>
      <c r="BB125" s="117"/>
      <c r="BC125" s="117"/>
      <c r="BD125" s="117"/>
      <c r="BE125" s="117"/>
      <c r="BF125" s="117"/>
      <c r="BG125" s="117"/>
      <c r="BH125" s="117"/>
      <c r="BI125" s="117"/>
      <c r="BJ125" s="117"/>
      <c r="BK125" s="117"/>
      <c r="BL125" s="117"/>
      <c r="BM125" s="117"/>
      <c r="BN125" s="117"/>
      <c r="BO125" s="117"/>
      <c r="BP125" s="117"/>
      <c r="BQ125" s="117"/>
      <c r="BR125" s="117"/>
      <c r="BS125" s="117"/>
      <c r="BT125" s="117"/>
      <c r="BU125" s="117"/>
      <c r="BV125" s="117"/>
      <c r="BW125" s="117"/>
      <c r="BX125" s="117"/>
      <c r="BY125" s="117"/>
      <c r="BZ125" s="117"/>
      <c r="CA125" s="117"/>
      <c r="CB125" s="117"/>
      <c r="CC125" s="117"/>
      <c r="CD125" s="117"/>
      <c r="CE125" s="117"/>
      <c r="CF125" s="117"/>
      <c r="CG125" s="117"/>
      <c r="CH125" s="117"/>
      <c r="CI125" s="117"/>
      <c r="CJ125" s="117"/>
      <c r="CK125" s="117"/>
      <c r="CL125" s="117"/>
      <c r="CM125" s="117"/>
      <c r="CN125" s="117"/>
      <c r="CO125" s="117"/>
      <c r="CP125" s="117"/>
      <c r="CQ125" s="117"/>
      <c r="CR125" s="117"/>
      <c r="CS125" s="117"/>
      <c r="CT125" s="117"/>
      <c r="CU125" s="117"/>
      <c r="CV125" s="117"/>
      <c r="CW125" s="117"/>
      <c r="CX125" s="117"/>
      <c r="CY125" s="117"/>
      <c r="CZ125" s="117"/>
      <c r="DA125" s="117"/>
      <c r="DB125" s="117"/>
      <c r="DC125" s="117"/>
      <c r="DD125" s="117"/>
      <c r="DE125" s="117"/>
      <c r="DF125" s="117"/>
      <c r="DG125" s="117"/>
      <c r="DH125" s="117"/>
      <c r="DI125" s="117"/>
      <c r="DJ125" s="117"/>
      <c r="DK125" s="117"/>
      <c r="DL125" s="117"/>
      <c r="DM125" s="117"/>
      <c r="DN125" s="117"/>
      <c r="DO125" s="117"/>
      <c r="DP125" s="117"/>
      <c r="DQ125" s="117"/>
      <c r="DR125" s="117"/>
      <c r="DS125" s="117"/>
      <c r="DT125" s="117"/>
      <c r="DU125" s="117"/>
      <c r="DV125" s="117"/>
      <c r="DW125" s="117"/>
      <c r="DX125" s="117"/>
      <c r="DY125" s="117"/>
      <c r="DZ125" s="117"/>
      <c r="EA125" s="117"/>
      <c r="EB125" s="117"/>
      <c r="EC125" s="117"/>
      <c r="ED125" s="117"/>
      <c r="EE125" s="117"/>
      <c r="EF125" s="117"/>
      <c r="EG125" s="117"/>
      <c r="EH125" s="117"/>
      <c r="EI125" s="117"/>
      <c r="EJ125" s="117"/>
      <c r="EK125" s="117"/>
      <c r="EL125" s="117"/>
      <c r="EM125" s="117"/>
      <c r="EN125" s="117"/>
    </row>
    <row r="126" spans="1:144" s="129" customFormat="1" ht="11.25" x14ac:dyDescent="0.2">
      <c r="A126" s="141">
        <v>14</v>
      </c>
      <c r="B126" s="183" t="s">
        <v>35</v>
      </c>
      <c r="C126" s="328"/>
      <c r="D126" s="169">
        <f t="shared" ref="D126:P126" si="22">SUM(D124:D125)</f>
        <v>0</v>
      </c>
      <c r="E126" s="169">
        <f t="shared" si="22"/>
        <v>0</v>
      </c>
      <c r="F126" s="169">
        <f t="shared" si="22"/>
        <v>0</v>
      </c>
      <c r="G126" s="169">
        <f t="shared" si="22"/>
        <v>0</v>
      </c>
      <c r="H126" s="169">
        <f t="shared" si="22"/>
        <v>0</v>
      </c>
      <c r="I126" s="169">
        <f t="shared" si="22"/>
        <v>0</v>
      </c>
      <c r="J126" s="169">
        <f t="shared" si="22"/>
        <v>0</v>
      </c>
      <c r="K126" s="169">
        <f t="shared" si="22"/>
        <v>0</v>
      </c>
      <c r="L126" s="169">
        <f t="shared" si="22"/>
        <v>0</v>
      </c>
      <c r="M126" s="169">
        <f t="shared" si="22"/>
        <v>0</v>
      </c>
      <c r="N126" s="156">
        <f t="shared" si="22"/>
        <v>0</v>
      </c>
      <c r="O126" s="156">
        <f t="shared" si="22"/>
        <v>0</v>
      </c>
      <c r="P126" s="156">
        <f t="shared" si="22"/>
        <v>0</v>
      </c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7"/>
      <c r="AK126" s="117"/>
      <c r="AL126" s="117"/>
      <c r="AM126" s="117"/>
      <c r="AN126" s="117"/>
      <c r="AO126" s="117"/>
      <c r="AP126" s="117"/>
      <c r="AQ126" s="117"/>
      <c r="AR126" s="117"/>
      <c r="AS126" s="117"/>
      <c r="AT126" s="117"/>
      <c r="AU126" s="117"/>
      <c r="AV126" s="117"/>
      <c r="AW126" s="117"/>
      <c r="AX126" s="117"/>
      <c r="AY126" s="117"/>
      <c r="AZ126" s="117"/>
      <c r="BA126" s="117"/>
      <c r="BB126" s="117"/>
      <c r="BC126" s="117"/>
      <c r="BD126" s="117"/>
      <c r="BE126" s="117"/>
      <c r="BF126" s="117"/>
      <c r="BG126" s="117"/>
      <c r="BH126" s="117"/>
      <c r="BI126" s="117"/>
      <c r="BJ126" s="117"/>
      <c r="BK126" s="117"/>
      <c r="BL126" s="117"/>
      <c r="BM126" s="117"/>
      <c r="BN126" s="117"/>
      <c r="BO126" s="117"/>
      <c r="BP126" s="117"/>
      <c r="BQ126" s="117"/>
      <c r="BR126" s="117"/>
      <c r="BS126" s="117"/>
      <c r="BT126" s="117"/>
      <c r="BU126" s="117"/>
      <c r="BV126" s="117"/>
      <c r="BW126" s="117"/>
      <c r="BX126" s="117"/>
      <c r="BY126" s="117"/>
      <c r="BZ126" s="117"/>
      <c r="CA126" s="117"/>
      <c r="CB126" s="117"/>
      <c r="CC126" s="117"/>
      <c r="CD126" s="117"/>
      <c r="CE126" s="117"/>
      <c r="CF126" s="117"/>
      <c r="CG126" s="117"/>
      <c r="CH126" s="117"/>
      <c r="CI126" s="117"/>
      <c r="CJ126" s="117"/>
      <c r="CK126" s="117"/>
      <c r="CL126" s="117"/>
      <c r="CM126" s="117"/>
      <c r="CN126" s="117"/>
      <c r="CO126" s="117"/>
      <c r="CP126" s="117"/>
      <c r="CQ126" s="117"/>
      <c r="CR126" s="117"/>
      <c r="CS126" s="117"/>
      <c r="CT126" s="117"/>
      <c r="CU126" s="117"/>
      <c r="CV126" s="117"/>
      <c r="CW126" s="117"/>
      <c r="CX126" s="117"/>
      <c r="CY126" s="117"/>
      <c r="CZ126" s="117"/>
      <c r="DA126" s="117"/>
      <c r="DB126" s="117"/>
      <c r="DC126" s="117"/>
      <c r="DD126" s="117"/>
      <c r="DE126" s="117"/>
      <c r="DF126" s="117"/>
      <c r="DG126" s="117"/>
      <c r="DH126" s="117"/>
      <c r="DI126" s="117"/>
      <c r="DJ126" s="117"/>
      <c r="DK126" s="117"/>
      <c r="DL126" s="117"/>
      <c r="DM126" s="117"/>
      <c r="DN126" s="117"/>
      <c r="DO126" s="117"/>
      <c r="DP126" s="117"/>
      <c r="DQ126" s="117"/>
      <c r="DR126" s="117"/>
      <c r="DS126" s="117"/>
      <c r="DT126" s="117"/>
      <c r="DU126" s="117"/>
      <c r="DV126" s="117"/>
      <c r="DW126" s="117"/>
      <c r="DX126" s="117"/>
      <c r="DY126" s="117"/>
      <c r="DZ126" s="117"/>
      <c r="EA126" s="117"/>
      <c r="EB126" s="117"/>
      <c r="EC126" s="117"/>
      <c r="ED126" s="117"/>
      <c r="EE126" s="117"/>
      <c r="EF126" s="117"/>
      <c r="EG126" s="117"/>
      <c r="EH126" s="117"/>
      <c r="EI126" s="117"/>
      <c r="EJ126" s="117"/>
      <c r="EK126" s="117"/>
      <c r="EL126" s="117"/>
      <c r="EM126" s="117"/>
      <c r="EN126" s="117"/>
    </row>
    <row r="127" spans="1:144" s="129" customFormat="1" ht="11.25" x14ac:dyDescent="0.2">
      <c r="A127" s="141"/>
      <c r="C127" s="185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22"/>
      <c r="O127" s="122"/>
      <c r="P127" s="12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7"/>
      <c r="AK127" s="117"/>
      <c r="AL127" s="117"/>
      <c r="AM127" s="117"/>
      <c r="AN127" s="117"/>
      <c r="AO127" s="117"/>
      <c r="AP127" s="117"/>
      <c r="AQ127" s="117"/>
      <c r="AR127" s="117"/>
      <c r="AS127" s="117"/>
      <c r="AT127" s="117"/>
      <c r="AU127" s="117"/>
      <c r="AV127" s="117"/>
      <c r="AW127" s="117"/>
      <c r="AX127" s="117"/>
      <c r="AY127" s="117"/>
      <c r="AZ127" s="117"/>
      <c r="BA127" s="117"/>
      <c r="BB127" s="117"/>
      <c r="BC127" s="117"/>
      <c r="BD127" s="117"/>
      <c r="BE127" s="117"/>
      <c r="BF127" s="117"/>
      <c r="BG127" s="117"/>
      <c r="BH127" s="117"/>
      <c r="BI127" s="117"/>
      <c r="BJ127" s="117"/>
      <c r="BK127" s="117"/>
      <c r="BL127" s="117"/>
      <c r="BM127" s="117"/>
      <c r="BN127" s="117"/>
      <c r="BO127" s="117"/>
      <c r="BP127" s="117"/>
      <c r="BQ127" s="117"/>
      <c r="BR127" s="117"/>
      <c r="BS127" s="117"/>
      <c r="BT127" s="117"/>
      <c r="BU127" s="117"/>
      <c r="BV127" s="117"/>
      <c r="BW127" s="117"/>
      <c r="BX127" s="117"/>
      <c r="BY127" s="117"/>
      <c r="BZ127" s="117"/>
      <c r="CA127" s="117"/>
      <c r="CB127" s="117"/>
      <c r="CC127" s="117"/>
      <c r="CD127" s="117"/>
      <c r="CE127" s="117"/>
      <c r="CF127" s="117"/>
      <c r="CG127" s="117"/>
      <c r="CH127" s="117"/>
      <c r="CI127" s="117"/>
      <c r="CJ127" s="117"/>
      <c r="CK127" s="117"/>
      <c r="CL127" s="117"/>
      <c r="CM127" s="117"/>
      <c r="CN127" s="117"/>
      <c r="CO127" s="117"/>
      <c r="CP127" s="117"/>
      <c r="CQ127" s="117"/>
      <c r="CR127" s="117"/>
      <c r="CS127" s="117"/>
      <c r="CT127" s="117"/>
      <c r="CU127" s="117"/>
      <c r="CV127" s="117"/>
      <c r="CW127" s="117"/>
      <c r="CX127" s="117"/>
      <c r="CY127" s="117"/>
      <c r="CZ127" s="117"/>
      <c r="DA127" s="117"/>
      <c r="DB127" s="117"/>
      <c r="DC127" s="117"/>
      <c r="DD127" s="117"/>
      <c r="DE127" s="117"/>
      <c r="DF127" s="117"/>
      <c r="DG127" s="117"/>
      <c r="DH127" s="117"/>
      <c r="DI127" s="117"/>
      <c r="DJ127" s="117"/>
      <c r="DK127" s="117"/>
      <c r="DL127" s="117"/>
      <c r="DM127" s="117"/>
      <c r="DN127" s="117"/>
      <c r="DO127" s="117"/>
      <c r="DP127" s="117"/>
      <c r="DQ127" s="117"/>
      <c r="DR127" s="117"/>
      <c r="DS127" s="117"/>
      <c r="DT127" s="117"/>
      <c r="DU127" s="117"/>
      <c r="DV127" s="117"/>
      <c r="DW127" s="117"/>
      <c r="DX127" s="117"/>
      <c r="DY127" s="117"/>
      <c r="DZ127" s="117"/>
      <c r="EA127" s="117"/>
      <c r="EB127" s="117"/>
      <c r="EC127" s="117"/>
      <c r="ED127" s="117"/>
      <c r="EE127" s="117"/>
      <c r="EF127" s="117"/>
      <c r="EG127" s="117"/>
      <c r="EH127" s="117"/>
      <c r="EI127" s="117"/>
      <c r="EJ127" s="117"/>
      <c r="EK127" s="117"/>
      <c r="EL127" s="117"/>
      <c r="EM127" s="117"/>
      <c r="EN127" s="117"/>
    </row>
    <row r="128" spans="1:144" s="129" customFormat="1" ht="12" thickBot="1" x14ac:dyDescent="0.25">
      <c r="A128" s="141">
        <v>15</v>
      </c>
      <c r="B128" s="243" t="str">
        <f>B37</f>
        <v>TOTAL AEP TEXAS</v>
      </c>
      <c r="C128" s="328"/>
      <c r="D128" s="244">
        <f t="shared" ref="D128:P128" si="23">+D126+D122</f>
        <v>0</v>
      </c>
      <c r="E128" s="244">
        <f t="shared" si="23"/>
        <v>0</v>
      </c>
      <c r="F128" s="244">
        <f t="shared" si="23"/>
        <v>0</v>
      </c>
      <c r="G128" s="244">
        <f t="shared" si="23"/>
        <v>0</v>
      </c>
      <c r="H128" s="244">
        <f t="shared" si="23"/>
        <v>0</v>
      </c>
      <c r="I128" s="244">
        <f t="shared" si="23"/>
        <v>0</v>
      </c>
      <c r="J128" s="244">
        <f t="shared" si="23"/>
        <v>0</v>
      </c>
      <c r="K128" s="244">
        <f t="shared" si="23"/>
        <v>0</v>
      </c>
      <c r="L128" s="244">
        <f t="shared" si="23"/>
        <v>0</v>
      </c>
      <c r="M128" s="244">
        <f t="shared" si="23"/>
        <v>0</v>
      </c>
      <c r="N128" s="244">
        <f t="shared" si="23"/>
        <v>0</v>
      </c>
      <c r="O128" s="244">
        <f t="shared" si="23"/>
        <v>0</v>
      </c>
      <c r="P128" s="244">
        <f t="shared" si="23"/>
        <v>0</v>
      </c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7"/>
      <c r="AK128" s="117"/>
      <c r="AL128" s="117"/>
      <c r="AM128" s="117"/>
      <c r="AN128" s="117"/>
      <c r="AO128" s="117"/>
      <c r="AP128" s="117"/>
      <c r="AQ128" s="117"/>
      <c r="AR128" s="117"/>
      <c r="AS128" s="117"/>
      <c r="AT128" s="117"/>
      <c r="AU128" s="117"/>
      <c r="AV128" s="117"/>
      <c r="AW128" s="117"/>
      <c r="AX128" s="117"/>
      <c r="AY128" s="117"/>
      <c r="AZ128" s="117"/>
      <c r="BA128" s="117"/>
      <c r="BB128" s="117"/>
      <c r="BC128" s="117"/>
      <c r="BD128" s="117"/>
      <c r="BE128" s="117"/>
      <c r="BF128" s="117"/>
      <c r="BG128" s="117"/>
      <c r="BH128" s="117"/>
      <c r="BI128" s="117"/>
      <c r="BJ128" s="117"/>
      <c r="BK128" s="117"/>
      <c r="BL128" s="117"/>
      <c r="BM128" s="117"/>
      <c r="BN128" s="117"/>
      <c r="BO128" s="117"/>
      <c r="BP128" s="117"/>
      <c r="BQ128" s="117"/>
      <c r="BR128" s="117"/>
      <c r="BS128" s="117"/>
      <c r="BT128" s="117"/>
      <c r="BU128" s="117"/>
      <c r="BV128" s="117"/>
      <c r="BW128" s="117"/>
      <c r="BX128" s="117"/>
      <c r="BY128" s="117"/>
      <c r="BZ128" s="117"/>
      <c r="CA128" s="117"/>
      <c r="CB128" s="117"/>
      <c r="CC128" s="117"/>
      <c r="CD128" s="117"/>
      <c r="CE128" s="117"/>
      <c r="CF128" s="117"/>
      <c r="CG128" s="117"/>
      <c r="CH128" s="117"/>
      <c r="CI128" s="117"/>
      <c r="CJ128" s="117"/>
      <c r="CK128" s="117"/>
      <c r="CL128" s="117"/>
      <c r="CM128" s="117"/>
      <c r="CN128" s="117"/>
      <c r="CO128" s="117"/>
      <c r="CP128" s="117"/>
      <c r="CQ128" s="117"/>
      <c r="CR128" s="117"/>
      <c r="CS128" s="117"/>
      <c r="CT128" s="117"/>
      <c r="CU128" s="117"/>
      <c r="CV128" s="117"/>
      <c r="CW128" s="117"/>
      <c r="CX128" s="117"/>
      <c r="CY128" s="117"/>
      <c r="CZ128" s="117"/>
      <c r="DA128" s="117"/>
      <c r="DB128" s="117"/>
      <c r="DC128" s="117"/>
      <c r="DD128" s="117"/>
      <c r="DE128" s="117"/>
      <c r="DF128" s="117"/>
      <c r="DG128" s="117"/>
      <c r="DH128" s="117"/>
      <c r="DI128" s="117"/>
      <c r="DJ128" s="117"/>
      <c r="DK128" s="117"/>
      <c r="DL128" s="117"/>
      <c r="DM128" s="117"/>
      <c r="DN128" s="117"/>
      <c r="DO128" s="117"/>
      <c r="DP128" s="117"/>
      <c r="DQ128" s="117"/>
      <c r="DR128" s="117"/>
      <c r="DS128" s="117"/>
      <c r="DT128" s="117"/>
      <c r="DU128" s="117"/>
      <c r="DV128" s="117"/>
      <c r="DW128" s="117"/>
      <c r="DX128" s="117"/>
      <c r="DY128" s="117"/>
      <c r="DZ128" s="117"/>
      <c r="EA128" s="117"/>
      <c r="EB128" s="117"/>
      <c r="EC128" s="117"/>
      <c r="ED128" s="117"/>
      <c r="EE128" s="117"/>
      <c r="EF128" s="117"/>
      <c r="EG128" s="117"/>
      <c r="EH128" s="117"/>
      <c r="EI128" s="117"/>
      <c r="EJ128" s="117"/>
      <c r="EK128" s="117"/>
      <c r="EL128" s="117"/>
      <c r="EM128" s="117"/>
      <c r="EN128" s="117"/>
    </row>
    <row r="129" spans="1:144" ht="8.25" customHeight="1" thickTop="1" x14ac:dyDescent="0.2">
      <c r="A129" s="143"/>
      <c r="B129" s="202"/>
      <c r="C129" s="16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</row>
    <row r="130" spans="1:144" x14ac:dyDescent="0.2">
      <c r="A130" s="143"/>
      <c r="B130" s="388" t="str">
        <f>B8</f>
        <v>AEP TEXAS</v>
      </c>
      <c r="C130" s="388"/>
      <c r="D130" s="388"/>
      <c r="E130" s="388"/>
      <c r="F130" s="388"/>
      <c r="G130" s="388"/>
      <c r="H130" s="388"/>
      <c r="I130" s="388"/>
      <c r="J130" s="388"/>
      <c r="K130" s="388"/>
      <c r="L130" s="388"/>
      <c r="M130" s="388"/>
      <c r="N130" s="388"/>
      <c r="O130" s="388"/>
      <c r="P130" s="388"/>
    </row>
    <row r="131" spans="1:144" x14ac:dyDescent="0.2">
      <c r="B131" s="388" t="s">
        <v>49</v>
      </c>
      <c r="C131" s="388"/>
      <c r="D131" s="388"/>
      <c r="E131" s="388"/>
      <c r="F131" s="388"/>
      <c r="G131" s="388"/>
      <c r="H131" s="388"/>
      <c r="I131" s="388"/>
      <c r="J131" s="388"/>
      <c r="K131" s="388"/>
      <c r="L131" s="388"/>
      <c r="M131" s="388"/>
      <c r="N131" s="388"/>
      <c r="O131" s="388"/>
      <c r="P131" s="388"/>
    </row>
    <row r="132" spans="1:144" x14ac:dyDescent="0.2">
      <c r="B132" s="388" t="str">
        <f>B101</f>
        <v>FOR TEST YEAR ENDED DECEMBER 31, 2018</v>
      </c>
      <c r="C132" s="388"/>
      <c r="D132" s="388"/>
      <c r="E132" s="388"/>
      <c r="F132" s="388"/>
      <c r="G132" s="388"/>
      <c r="H132" s="388"/>
      <c r="I132" s="388"/>
      <c r="J132" s="388"/>
      <c r="K132" s="388"/>
      <c r="L132" s="388"/>
      <c r="M132" s="388"/>
      <c r="N132" s="388"/>
      <c r="O132" s="388"/>
      <c r="P132" s="388"/>
    </row>
    <row r="133" spans="1:144" x14ac:dyDescent="0.2">
      <c r="B133" s="388"/>
      <c r="C133" s="388"/>
      <c r="D133" s="388"/>
      <c r="E133" s="388"/>
      <c r="F133" s="388"/>
      <c r="G133" s="388"/>
      <c r="H133" s="388"/>
      <c r="I133" s="388"/>
      <c r="J133" s="388"/>
      <c r="K133" s="388"/>
      <c r="L133" s="388"/>
      <c r="M133" s="388"/>
      <c r="N133" s="388"/>
      <c r="O133" s="388"/>
      <c r="P133" s="388"/>
    </row>
    <row r="134" spans="1:144" x14ac:dyDescent="0.2">
      <c r="B134" s="243"/>
      <c r="C134" s="168"/>
      <c r="D134" s="287"/>
      <c r="E134" s="177"/>
      <c r="F134" s="177"/>
      <c r="G134" s="287"/>
      <c r="H134" s="177"/>
      <c r="I134" s="177"/>
      <c r="K134" s="177"/>
      <c r="L134" s="177"/>
      <c r="M134" s="177"/>
      <c r="N134" s="177"/>
      <c r="O134" s="177"/>
      <c r="P134" s="178"/>
    </row>
    <row r="135" spans="1:144" x14ac:dyDescent="0.2">
      <c r="A135" s="328" t="s">
        <v>20</v>
      </c>
      <c r="B135" s="330" t="s">
        <v>0</v>
      </c>
      <c r="C135" s="330" t="s">
        <v>19</v>
      </c>
      <c r="D135" s="164" t="str">
        <f>D13</f>
        <v>JANUARY</v>
      </c>
      <c r="E135" s="164" t="str">
        <f>E13</f>
        <v>FEBRUARY</v>
      </c>
      <c r="F135" s="164" t="str">
        <f>F13</f>
        <v>MARCH</v>
      </c>
      <c r="G135" s="164" t="str">
        <f>G13</f>
        <v>APRIL</v>
      </c>
      <c r="H135" s="164" t="str">
        <f t="shared" ref="H135:O135" si="24">H13</f>
        <v>MAY</v>
      </c>
      <c r="I135" s="164" t="str">
        <f t="shared" si="24"/>
        <v>JUNE</v>
      </c>
      <c r="J135" s="164" t="str">
        <f t="shared" si="24"/>
        <v>JULY</v>
      </c>
      <c r="K135" s="164" t="str">
        <f t="shared" si="24"/>
        <v>AUGUST</v>
      </c>
      <c r="L135" s="164" t="str">
        <f t="shared" si="24"/>
        <v>SEPTEMBER</v>
      </c>
      <c r="M135" s="164" t="str">
        <f t="shared" si="24"/>
        <v>OCTOBER</v>
      </c>
      <c r="N135" s="164" t="str">
        <f t="shared" si="24"/>
        <v>NOVEMBER</v>
      </c>
      <c r="O135" s="164" t="str">
        <f t="shared" si="24"/>
        <v>DECEMBER</v>
      </c>
      <c r="P135" s="179" t="s">
        <v>14</v>
      </c>
    </row>
    <row r="136" spans="1:144" x14ac:dyDescent="0.2">
      <c r="A136" s="328"/>
      <c r="B136" s="330"/>
      <c r="C136" s="330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79"/>
    </row>
    <row r="137" spans="1:144" s="129" customFormat="1" ht="11.25" x14ac:dyDescent="0.2">
      <c r="A137" s="141" t="s">
        <v>21</v>
      </c>
      <c r="B137" s="129" t="s">
        <v>29</v>
      </c>
      <c r="C137" s="143" t="s">
        <v>16</v>
      </c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7"/>
      <c r="AM137" s="117"/>
      <c r="AN137" s="117"/>
      <c r="AO137" s="117"/>
      <c r="AP137" s="117"/>
      <c r="AQ137" s="117"/>
      <c r="AR137" s="117"/>
      <c r="AS137" s="117"/>
      <c r="AT137" s="117"/>
      <c r="AU137" s="117"/>
      <c r="AV137" s="117"/>
      <c r="AW137" s="117"/>
      <c r="AX137" s="117"/>
      <c r="AY137" s="117"/>
      <c r="AZ137" s="117"/>
      <c r="BA137" s="117"/>
      <c r="BB137" s="117"/>
      <c r="BC137" s="117"/>
      <c r="BD137" s="117"/>
      <c r="BE137" s="117"/>
      <c r="BF137" s="117"/>
      <c r="BG137" s="117"/>
      <c r="BH137" s="117"/>
      <c r="BI137" s="117"/>
      <c r="BJ137" s="117"/>
      <c r="BK137" s="117"/>
      <c r="BL137" s="117"/>
      <c r="BM137" s="117"/>
      <c r="BN137" s="117"/>
      <c r="BO137" s="117"/>
      <c r="BP137" s="117"/>
      <c r="BQ137" s="117"/>
      <c r="BR137" s="117"/>
      <c r="BS137" s="117"/>
      <c r="BT137" s="117"/>
      <c r="BU137" s="117"/>
      <c r="BV137" s="117"/>
      <c r="BW137" s="117"/>
      <c r="BX137" s="117"/>
      <c r="BY137" s="117"/>
      <c r="BZ137" s="117"/>
      <c r="CA137" s="117"/>
      <c r="CB137" s="117"/>
      <c r="CC137" s="117"/>
      <c r="CD137" s="117"/>
      <c r="CE137" s="117"/>
      <c r="CF137" s="117"/>
      <c r="CG137" s="117"/>
      <c r="CH137" s="117"/>
      <c r="CI137" s="117"/>
      <c r="CJ137" s="117"/>
      <c r="CK137" s="117"/>
      <c r="CL137" s="117"/>
      <c r="CM137" s="117"/>
      <c r="CN137" s="117"/>
      <c r="CO137" s="117"/>
      <c r="CP137" s="117"/>
      <c r="CQ137" s="117"/>
      <c r="CR137" s="117"/>
      <c r="CS137" s="117"/>
      <c r="CT137" s="117"/>
      <c r="CU137" s="117"/>
      <c r="CV137" s="117"/>
      <c r="CW137" s="117"/>
      <c r="CX137" s="117"/>
      <c r="CY137" s="117"/>
      <c r="CZ137" s="117"/>
      <c r="DA137" s="117"/>
      <c r="DB137" s="117"/>
      <c r="DC137" s="117"/>
      <c r="DD137" s="117"/>
      <c r="DE137" s="117"/>
      <c r="DF137" s="117"/>
      <c r="DG137" s="117"/>
      <c r="DH137" s="117"/>
      <c r="DI137" s="117"/>
      <c r="DJ137" s="117"/>
      <c r="DK137" s="117"/>
      <c r="DL137" s="117"/>
      <c r="DM137" s="117"/>
      <c r="DN137" s="117"/>
      <c r="DO137" s="117"/>
      <c r="DP137" s="117"/>
      <c r="DQ137" s="117"/>
      <c r="DR137" s="117"/>
      <c r="DS137" s="117"/>
      <c r="DT137" s="117"/>
      <c r="DU137" s="117"/>
      <c r="DV137" s="117"/>
      <c r="DW137" s="117"/>
      <c r="DX137" s="117"/>
      <c r="DY137" s="117"/>
      <c r="DZ137" s="117"/>
      <c r="EA137" s="117"/>
      <c r="EB137" s="117"/>
      <c r="EC137" s="117"/>
      <c r="ED137" s="117"/>
      <c r="EE137" s="117"/>
      <c r="EF137" s="117"/>
      <c r="EG137" s="117"/>
      <c r="EH137" s="117"/>
      <c r="EI137" s="117"/>
      <c r="EJ137" s="117"/>
      <c r="EK137" s="117"/>
      <c r="EL137" s="117"/>
      <c r="EM137" s="117"/>
      <c r="EN137" s="117"/>
    </row>
    <row r="138" spans="1:144" s="129" customFormat="1" ht="11.25" x14ac:dyDescent="0.2">
      <c r="C138" s="143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2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7"/>
      <c r="AL138" s="117"/>
      <c r="AM138" s="117"/>
      <c r="AN138" s="117"/>
      <c r="AO138" s="117"/>
      <c r="AP138" s="117"/>
      <c r="AQ138" s="117"/>
      <c r="AR138" s="117"/>
      <c r="AS138" s="117"/>
      <c r="AT138" s="117"/>
      <c r="AU138" s="117"/>
      <c r="AV138" s="117"/>
      <c r="AW138" s="117"/>
      <c r="AX138" s="117"/>
      <c r="AY138" s="117"/>
      <c r="AZ138" s="117"/>
      <c r="BA138" s="117"/>
      <c r="BB138" s="117"/>
      <c r="BC138" s="117"/>
      <c r="BD138" s="117"/>
      <c r="BE138" s="117"/>
      <c r="BF138" s="117"/>
      <c r="BG138" s="117"/>
      <c r="BH138" s="117"/>
      <c r="BI138" s="117"/>
      <c r="BJ138" s="117"/>
      <c r="BK138" s="117"/>
      <c r="BL138" s="117"/>
      <c r="BM138" s="117"/>
      <c r="BN138" s="117"/>
      <c r="BO138" s="117"/>
      <c r="BP138" s="117"/>
      <c r="BQ138" s="117"/>
      <c r="BR138" s="117"/>
      <c r="BS138" s="117"/>
      <c r="BT138" s="117"/>
      <c r="BU138" s="117"/>
      <c r="BV138" s="117"/>
      <c r="BW138" s="117"/>
      <c r="BX138" s="117"/>
      <c r="BY138" s="117"/>
      <c r="BZ138" s="117"/>
      <c r="CA138" s="117"/>
      <c r="CB138" s="117"/>
      <c r="CC138" s="117"/>
      <c r="CD138" s="117"/>
      <c r="CE138" s="117"/>
      <c r="CF138" s="117"/>
      <c r="CG138" s="117"/>
      <c r="CH138" s="117"/>
      <c r="CI138" s="117"/>
      <c r="CJ138" s="117"/>
      <c r="CK138" s="117"/>
      <c r="CL138" s="117"/>
      <c r="CM138" s="117"/>
      <c r="CN138" s="117"/>
      <c r="CO138" s="117"/>
      <c r="CP138" s="117"/>
      <c r="CQ138" s="117"/>
      <c r="CR138" s="117"/>
      <c r="CS138" s="117"/>
      <c r="CT138" s="117"/>
      <c r="CU138" s="117"/>
      <c r="CV138" s="117"/>
      <c r="CW138" s="117"/>
      <c r="CX138" s="117"/>
      <c r="CY138" s="117"/>
      <c r="CZ138" s="117"/>
      <c r="DA138" s="117"/>
      <c r="DB138" s="117"/>
      <c r="DC138" s="117"/>
      <c r="DD138" s="117"/>
      <c r="DE138" s="117"/>
      <c r="DF138" s="117"/>
      <c r="DG138" s="117"/>
      <c r="DH138" s="117"/>
      <c r="DI138" s="117"/>
      <c r="DJ138" s="117"/>
      <c r="DK138" s="117"/>
      <c r="DL138" s="117"/>
      <c r="DM138" s="117"/>
      <c r="DN138" s="117"/>
      <c r="DO138" s="117"/>
      <c r="DP138" s="117"/>
      <c r="DQ138" s="117"/>
      <c r="DR138" s="117"/>
      <c r="DS138" s="117"/>
      <c r="DT138" s="117"/>
      <c r="DU138" s="117"/>
      <c r="DV138" s="117"/>
      <c r="DW138" s="117"/>
      <c r="DX138" s="117"/>
      <c r="DY138" s="117"/>
      <c r="DZ138" s="117"/>
      <c r="EA138" s="117"/>
      <c r="EB138" s="117"/>
      <c r="EC138" s="117"/>
      <c r="ED138" s="117"/>
      <c r="EE138" s="117"/>
      <c r="EF138" s="117"/>
      <c r="EG138" s="117"/>
      <c r="EH138" s="117"/>
      <c r="EI138" s="117"/>
      <c r="EJ138" s="117"/>
      <c r="EK138" s="117"/>
      <c r="EL138" s="117"/>
      <c r="EM138" s="117"/>
      <c r="EN138" s="117"/>
    </row>
    <row r="139" spans="1:144" s="129" customFormat="1" ht="11.25" x14ac:dyDescent="0.2">
      <c r="A139" s="141">
        <v>2</v>
      </c>
      <c r="B139" s="129" t="s">
        <v>32</v>
      </c>
      <c r="C139" s="143" t="s">
        <v>16</v>
      </c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  <c r="AI139" s="117"/>
      <c r="AJ139" s="117"/>
      <c r="AK139" s="117"/>
      <c r="AL139" s="117"/>
      <c r="AM139" s="117"/>
      <c r="AN139" s="117"/>
      <c r="AO139" s="117"/>
      <c r="AP139" s="117"/>
      <c r="AQ139" s="117"/>
      <c r="AR139" s="117"/>
      <c r="AS139" s="117"/>
      <c r="AT139" s="117"/>
      <c r="AU139" s="117"/>
      <c r="AV139" s="117"/>
      <c r="AW139" s="117"/>
      <c r="AX139" s="117"/>
      <c r="AY139" s="117"/>
      <c r="AZ139" s="117"/>
      <c r="BA139" s="117"/>
      <c r="BB139" s="117"/>
      <c r="BC139" s="117"/>
      <c r="BD139" s="117"/>
      <c r="BE139" s="117"/>
      <c r="BF139" s="117"/>
      <c r="BG139" s="117"/>
      <c r="BH139" s="117"/>
      <c r="BI139" s="117"/>
      <c r="BJ139" s="117"/>
      <c r="BK139" s="117"/>
      <c r="BL139" s="117"/>
      <c r="BM139" s="117"/>
      <c r="BN139" s="117"/>
      <c r="BO139" s="117"/>
      <c r="BP139" s="117"/>
      <c r="BQ139" s="117"/>
      <c r="BR139" s="117"/>
      <c r="BS139" s="117"/>
      <c r="BT139" s="117"/>
      <c r="BU139" s="117"/>
      <c r="BV139" s="117"/>
      <c r="BW139" s="117"/>
      <c r="BX139" s="117"/>
      <c r="BY139" s="117"/>
      <c r="BZ139" s="117"/>
      <c r="CA139" s="117"/>
      <c r="CB139" s="117"/>
      <c r="CC139" s="117"/>
      <c r="CD139" s="117"/>
      <c r="CE139" s="117"/>
      <c r="CF139" s="117"/>
      <c r="CG139" s="117"/>
      <c r="CH139" s="117"/>
      <c r="CI139" s="117"/>
      <c r="CJ139" s="117"/>
      <c r="CK139" s="117"/>
      <c r="CL139" s="117"/>
      <c r="CM139" s="117"/>
      <c r="CN139" s="117"/>
      <c r="CO139" s="117"/>
      <c r="CP139" s="117"/>
      <c r="CQ139" s="117"/>
      <c r="CR139" s="117"/>
      <c r="CS139" s="117"/>
      <c r="CT139" s="117"/>
      <c r="CU139" s="117"/>
      <c r="CV139" s="117"/>
      <c r="CW139" s="117"/>
      <c r="CX139" s="117"/>
      <c r="CY139" s="117"/>
      <c r="CZ139" s="117"/>
      <c r="DA139" s="117"/>
      <c r="DB139" s="117"/>
      <c r="DC139" s="117"/>
      <c r="DD139" s="117"/>
      <c r="DE139" s="117"/>
      <c r="DF139" s="117"/>
      <c r="DG139" s="117"/>
      <c r="DH139" s="117"/>
      <c r="DI139" s="117"/>
      <c r="DJ139" s="117"/>
      <c r="DK139" s="117"/>
      <c r="DL139" s="117"/>
      <c r="DM139" s="117"/>
      <c r="DN139" s="117"/>
      <c r="DO139" s="117"/>
      <c r="DP139" s="117"/>
      <c r="DQ139" s="117"/>
      <c r="DR139" s="117"/>
      <c r="DS139" s="117"/>
      <c r="DT139" s="117"/>
      <c r="DU139" s="117"/>
      <c r="DV139" s="117"/>
      <c r="DW139" s="117"/>
      <c r="DX139" s="117"/>
      <c r="DY139" s="117"/>
      <c r="DZ139" s="117"/>
      <c r="EA139" s="117"/>
      <c r="EB139" s="117"/>
      <c r="EC139" s="117"/>
      <c r="ED139" s="117"/>
      <c r="EE139" s="117"/>
      <c r="EF139" s="117"/>
      <c r="EG139" s="117"/>
      <c r="EH139" s="117"/>
      <c r="EI139" s="117"/>
      <c r="EJ139" s="117"/>
      <c r="EK139" s="117"/>
      <c r="EL139" s="117"/>
      <c r="EM139" s="117"/>
      <c r="EN139" s="117"/>
    </row>
    <row r="140" spans="1:144" s="129" customFormat="1" ht="11.25" x14ac:dyDescent="0.2">
      <c r="A140" s="141"/>
      <c r="C140" s="143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  <c r="AJ140" s="117"/>
      <c r="AK140" s="117"/>
      <c r="AL140" s="117"/>
      <c r="AM140" s="117"/>
      <c r="AN140" s="117"/>
      <c r="AO140" s="117"/>
      <c r="AP140" s="117"/>
      <c r="AQ140" s="117"/>
      <c r="AR140" s="117"/>
      <c r="AS140" s="117"/>
      <c r="AT140" s="117"/>
      <c r="AU140" s="117"/>
      <c r="AV140" s="117"/>
      <c r="AW140" s="117"/>
      <c r="AX140" s="117"/>
      <c r="AY140" s="117"/>
      <c r="AZ140" s="117"/>
      <c r="BA140" s="117"/>
      <c r="BB140" s="117"/>
      <c r="BC140" s="117"/>
      <c r="BD140" s="117"/>
      <c r="BE140" s="117"/>
      <c r="BF140" s="117"/>
      <c r="BG140" s="117"/>
      <c r="BH140" s="117"/>
      <c r="BI140" s="117"/>
      <c r="BJ140" s="117"/>
      <c r="BK140" s="117"/>
      <c r="BL140" s="117"/>
      <c r="BM140" s="117"/>
      <c r="BN140" s="117"/>
      <c r="BO140" s="117"/>
      <c r="BP140" s="117"/>
      <c r="BQ140" s="117"/>
      <c r="BR140" s="117"/>
      <c r="BS140" s="117"/>
      <c r="BT140" s="117"/>
      <c r="BU140" s="117"/>
      <c r="BV140" s="117"/>
      <c r="BW140" s="117"/>
      <c r="BX140" s="117"/>
      <c r="BY140" s="117"/>
      <c r="BZ140" s="117"/>
      <c r="CA140" s="117"/>
      <c r="CB140" s="117"/>
      <c r="CC140" s="117"/>
      <c r="CD140" s="117"/>
      <c r="CE140" s="117"/>
      <c r="CF140" s="117"/>
      <c r="CG140" s="117"/>
      <c r="CH140" s="117"/>
      <c r="CI140" s="117"/>
      <c r="CJ140" s="117"/>
      <c r="CK140" s="117"/>
      <c r="CL140" s="117"/>
      <c r="CM140" s="117"/>
      <c r="CN140" s="117"/>
      <c r="CO140" s="117"/>
      <c r="CP140" s="117"/>
      <c r="CQ140" s="117"/>
      <c r="CR140" s="117"/>
      <c r="CS140" s="117"/>
      <c r="CT140" s="117"/>
      <c r="CU140" s="117"/>
      <c r="CV140" s="117"/>
      <c r="CW140" s="117"/>
      <c r="CX140" s="117"/>
      <c r="CY140" s="117"/>
      <c r="CZ140" s="117"/>
      <c r="DA140" s="117"/>
      <c r="DB140" s="117"/>
      <c r="DC140" s="117"/>
      <c r="DD140" s="117"/>
      <c r="DE140" s="117"/>
      <c r="DF140" s="117"/>
      <c r="DG140" s="117"/>
      <c r="DH140" s="117"/>
      <c r="DI140" s="117"/>
      <c r="DJ140" s="117"/>
      <c r="DK140" s="117"/>
      <c r="DL140" s="117"/>
      <c r="DM140" s="117"/>
      <c r="DN140" s="117"/>
      <c r="DO140" s="117"/>
      <c r="DP140" s="117"/>
      <c r="DQ140" s="117"/>
      <c r="DR140" s="117"/>
      <c r="DS140" s="117"/>
      <c r="DT140" s="117"/>
      <c r="DU140" s="117"/>
      <c r="DV140" s="117"/>
      <c r="DW140" s="117"/>
      <c r="DX140" s="117"/>
      <c r="DY140" s="117"/>
      <c r="DZ140" s="117"/>
      <c r="EA140" s="117"/>
      <c r="EB140" s="117"/>
      <c r="EC140" s="117"/>
      <c r="ED140" s="117"/>
      <c r="EE140" s="117"/>
      <c r="EF140" s="117"/>
      <c r="EG140" s="117"/>
      <c r="EH140" s="117"/>
      <c r="EI140" s="117"/>
      <c r="EJ140" s="117"/>
      <c r="EK140" s="117"/>
      <c r="EL140" s="117"/>
      <c r="EM140" s="117"/>
      <c r="EN140" s="117"/>
    </row>
    <row r="141" spans="1:144" s="129" customFormat="1" ht="11.25" x14ac:dyDescent="0.2">
      <c r="A141" s="141">
        <v>3</v>
      </c>
      <c r="B141" s="146" t="s">
        <v>113</v>
      </c>
      <c r="C141" s="125" t="s">
        <v>16</v>
      </c>
      <c r="D141" s="122">
        <f t="shared" ref="D141:N141" si="25">D110+D80+D50+D19</f>
        <v>2599902.8965075095</v>
      </c>
      <c r="E141" s="122">
        <f t="shared" si="25"/>
        <v>2522918.4171979181</v>
      </c>
      <c r="F141" s="122">
        <f t="shared" si="25"/>
        <v>2319802.5833247299</v>
      </c>
      <c r="G141" s="122">
        <f t="shared" si="25"/>
        <v>2261754.1786459596</v>
      </c>
      <c r="H141" s="122">
        <f t="shared" si="25"/>
        <v>2396450.1353292558</v>
      </c>
      <c r="I141" s="122">
        <f t="shared" si="25"/>
        <v>2429950.8559266818</v>
      </c>
      <c r="J141" s="122">
        <f t="shared" si="25"/>
        <v>2470079.433651675</v>
      </c>
      <c r="K141" s="122">
        <f t="shared" si="25"/>
        <v>2508307.9133601598</v>
      </c>
      <c r="L141" s="122">
        <f t="shared" si="25"/>
        <v>2526047.6477333526</v>
      </c>
      <c r="M141" s="122">
        <f t="shared" si="25"/>
        <v>2426010.6195120774</v>
      </c>
      <c r="N141" s="122">
        <f t="shared" si="25"/>
        <v>2434311.1286093094</v>
      </c>
      <c r="O141" s="122">
        <f>O110+O80+O50+O19</f>
        <v>2411555.6897381758</v>
      </c>
      <c r="P141" s="127">
        <f>SUM(D141:O141)</f>
        <v>29307091.499536809</v>
      </c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7"/>
      <c r="AK141" s="117"/>
      <c r="AL141" s="117"/>
      <c r="AM141" s="117"/>
      <c r="AN141" s="117"/>
      <c r="AO141" s="117"/>
      <c r="AP141" s="117"/>
      <c r="AQ141" s="117"/>
      <c r="AR141" s="117"/>
      <c r="AS141" s="117"/>
      <c r="AT141" s="117"/>
      <c r="AU141" s="117"/>
      <c r="AV141" s="117"/>
      <c r="AW141" s="117"/>
      <c r="AX141" s="117"/>
      <c r="AY141" s="117"/>
      <c r="AZ141" s="117"/>
      <c r="BA141" s="117"/>
      <c r="BB141" s="117"/>
      <c r="BC141" s="117"/>
      <c r="BD141" s="117"/>
      <c r="BE141" s="117"/>
      <c r="BF141" s="117"/>
      <c r="BG141" s="117"/>
      <c r="BH141" s="117"/>
      <c r="BI141" s="117"/>
      <c r="BJ141" s="117"/>
      <c r="BK141" s="117"/>
      <c r="BL141" s="117"/>
      <c r="BM141" s="117"/>
      <c r="BN141" s="117"/>
      <c r="BO141" s="117"/>
      <c r="BP141" s="117"/>
      <c r="BQ141" s="117"/>
      <c r="BR141" s="117"/>
      <c r="BS141" s="117"/>
      <c r="BT141" s="117"/>
      <c r="BU141" s="117"/>
      <c r="BV141" s="117"/>
      <c r="BW141" s="117"/>
      <c r="BX141" s="117"/>
      <c r="BY141" s="117"/>
      <c r="BZ141" s="117"/>
      <c r="CA141" s="117"/>
      <c r="CB141" s="117"/>
      <c r="CC141" s="117"/>
      <c r="CD141" s="117"/>
      <c r="CE141" s="117"/>
      <c r="CF141" s="117"/>
      <c r="CG141" s="117"/>
      <c r="CH141" s="117"/>
      <c r="CI141" s="117"/>
      <c r="CJ141" s="117"/>
      <c r="CK141" s="117"/>
      <c r="CL141" s="117"/>
      <c r="CM141" s="117"/>
      <c r="CN141" s="117"/>
      <c r="CO141" s="117"/>
      <c r="CP141" s="117"/>
      <c r="CQ141" s="117"/>
      <c r="CR141" s="117"/>
      <c r="CS141" s="117"/>
      <c r="CT141" s="117"/>
      <c r="CU141" s="117"/>
      <c r="CV141" s="117"/>
      <c r="CW141" s="117"/>
      <c r="CX141" s="117"/>
      <c r="CY141" s="117"/>
      <c r="CZ141" s="117"/>
      <c r="DA141" s="117"/>
      <c r="DB141" s="117"/>
      <c r="DC141" s="117"/>
      <c r="DD141" s="117"/>
      <c r="DE141" s="117"/>
      <c r="DF141" s="117"/>
      <c r="DG141" s="117"/>
      <c r="DH141" s="117"/>
      <c r="DI141" s="117"/>
      <c r="DJ141" s="117"/>
      <c r="DK141" s="117"/>
      <c r="DL141" s="117"/>
      <c r="DM141" s="117"/>
      <c r="DN141" s="117"/>
      <c r="DO141" s="117"/>
      <c r="DP141" s="117"/>
      <c r="DQ141" s="117"/>
      <c r="DR141" s="117"/>
      <c r="DS141" s="117"/>
      <c r="DT141" s="117"/>
      <c r="DU141" s="117"/>
      <c r="DV141" s="117"/>
      <c r="DW141" s="117"/>
      <c r="DX141" s="117"/>
      <c r="DY141" s="117"/>
      <c r="DZ141" s="117"/>
      <c r="EA141" s="117"/>
      <c r="EB141" s="117"/>
      <c r="EC141" s="117"/>
      <c r="ED141" s="117"/>
      <c r="EE141" s="117"/>
      <c r="EF141" s="117"/>
      <c r="EG141" s="117"/>
      <c r="EH141" s="117"/>
      <c r="EI141" s="117"/>
      <c r="EJ141" s="117"/>
      <c r="EK141" s="117"/>
      <c r="EL141" s="117"/>
      <c r="EM141" s="117"/>
      <c r="EN141" s="117"/>
    </row>
    <row r="142" spans="1:144" s="129" customFormat="1" ht="11.25" x14ac:dyDescent="0.2">
      <c r="A142" s="141">
        <v>4</v>
      </c>
      <c r="B142" s="146" t="s">
        <v>114</v>
      </c>
      <c r="C142" s="125" t="s">
        <v>16</v>
      </c>
      <c r="D142" s="123">
        <f t="shared" ref="D142:O142" si="26">D111+D81+D51+D20</f>
        <v>180168.27625414319</v>
      </c>
      <c r="E142" s="123">
        <f t="shared" si="26"/>
        <v>177103.7555779329</v>
      </c>
      <c r="F142" s="123">
        <f t="shared" si="26"/>
        <v>178990.04241265985</v>
      </c>
      <c r="G142" s="123">
        <f t="shared" si="26"/>
        <v>177633.89140811091</v>
      </c>
      <c r="H142" s="123">
        <f t="shared" si="26"/>
        <v>185127.40078518307</v>
      </c>
      <c r="I142" s="123">
        <f t="shared" si="26"/>
        <v>173902.88433120211</v>
      </c>
      <c r="J142" s="123">
        <f t="shared" si="26"/>
        <v>185850.14530906201</v>
      </c>
      <c r="K142" s="123">
        <f t="shared" si="26"/>
        <v>179460.12879808497</v>
      </c>
      <c r="L142" s="123">
        <f t="shared" si="26"/>
        <v>187084.69398921402</v>
      </c>
      <c r="M142" s="123">
        <f t="shared" si="26"/>
        <v>185858.2082157316</v>
      </c>
      <c r="N142" s="123">
        <f t="shared" si="26"/>
        <v>192217.40509994442</v>
      </c>
      <c r="O142" s="123">
        <f t="shared" si="26"/>
        <v>188037.20023599817</v>
      </c>
      <c r="P142" s="167">
        <f>SUM(D142:O142)</f>
        <v>2191434.0324172676</v>
      </c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7"/>
      <c r="AK142" s="117"/>
      <c r="AL142" s="117"/>
      <c r="AM142" s="117"/>
      <c r="AN142" s="117"/>
      <c r="AO142" s="117"/>
      <c r="AP142" s="117"/>
      <c r="AQ142" s="117"/>
      <c r="AR142" s="117"/>
      <c r="AS142" s="117"/>
      <c r="AT142" s="117"/>
      <c r="AU142" s="117"/>
      <c r="AV142" s="117"/>
      <c r="AW142" s="117"/>
      <c r="AX142" s="117"/>
      <c r="AY142" s="117"/>
      <c r="AZ142" s="117"/>
      <c r="BA142" s="117"/>
      <c r="BB142" s="117"/>
      <c r="BC142" s="117"/>
      <c r="BD142" s="117"/>
      <c r="BE142" s="117"/>
      <c r="BF142" s="117"/>
      <c r="BG142" s="117"/>
      <c r="BH142" s="117"/>
      <c r="BI142" s="117"/>
      <c r="BJ142" s="117"/>
      <c r="BK142" s="117"/>
      <c r="BL142" s="117"/>
      <c r="BM142" s="117"/>
      <c r="BN142" s="117"/>
      <c r="BO142" s="117"/>
      <c r="BP142" s="117"/>
      <c r="BQ142" s="117"/>
      <c r="BR142" s="117"/>
      <c r="BS142" s="117"/>
      <c r="BT142" s="117"/>
      <c r="BU142" s="117"/>
      <c r="BV142" s="117"/>
      <c r="BW142" s="117"/>
      <c r="BX142" s="117"/>
      <c r="BY142" s="117"/>
      <c r="BZ142" s="117"/>
      <c r="CA142" s="117"/>
      <c r="CB142" s="117"/>
      <c r="CC142" s="117"/>
      <c r="CD142" s="117"/>
      <c r="CE142" s="117"/>
      <c r="CF142" s="117"/>
      <c r="CG142" s="117"/>
      <c r="CH142" s="117"/>
      <c r="CI142" s="117"/>
      <c r="CJ142" s="117"/>
      <c r="CK142" s="117"/>
      <c r="CL142" s="117"/>
      <c r="CM142" s="117"/>
      <c r="CN142" s="117"/>
      <c r="CO142" s="117"/>
      <c r="CP142" s="117"/>
      <c r="CQ142" s="117"/>
      <c r="CR142" s="117"/>
      <c r="CS142" s="117"/>
      <c r="CT142" s="117"/>
      <c r="CU142" s="117"/>
      <c r="CV142" s="117"/>
      <c r="CW142" s="117"/>
      <c r="CX142" s="117"/>
      <c r="CY142" s="117"/>
      <c r="CZ142" s="117"/>
      <c r="DA142" s="117"/>
      <c r="DB142" s="117"/>
      <c r="DC142" s="117"/>
      <c r="DD142" s="117"/>
      <c r="DE142" s="117"/>
      <c r="DF142" s="117"/>
      <c r="DG142" s="117"/>
      <c r="DH142" s="117"/>
      <c r="DI142" s="117"/>
      <c r="DJ142" s="117"/>
      <c r="DK142" s="117"/>
      <c r="DL142" s="117"/>
      <c r="DM142" s="117"/>
      <c r="DN142" s="117"/>
      <c r="DO142" s="117"/>
      <c r="DP142" s="117"/>
      <c r="DQ142" s="117"/>
      <c r="DR142" s="117"/>
      <c r="DS142" s="117"/>
      <c r="DT142" s="117"/>
      <c r="DU142" s="117"/>
      <c r="DV142" s="117"/>
      <c r="DW142" s="117"/>
      <c r="DX142" s="117"/>
      <c r="DY142" s="117"/>
      <c r="DZ142" s="117"/>
      <c r="EA142" s="117"/>
      <c r="EB142" s="117"/>
      <c r="EC142" s="117"/>
      <c r="ED142" s="117"/>
      <c r="EE142" s="117"/>
      <c r="EF142" s="117"/>
      <c r="EG142" s="117"/>
      <c r="EH142" s="117"/>
      <c r="EI142" s="117"/>
      <c r="EJ142" s="117"/>
      <c r="EK142" s="117"/>
      <c r="EL142" s="117"/>
      <c r="EM142" s="117"/>
      <c r="EN142" s="117"/>
    </row>
    <row r="143" spans="1:144" s="129" customFormat="1" ht="11.25" x14ac:dyDescent="0.2">
      <c r="A143" s="141">
        <v>5</v>
      </c>
      <c r="B143" s="162" t="s">
        <v>30</v>
      </c>
      <c r="C143" s="143"/>
      <c r="D143" s="157">
        <f t="shared" ref="D143:P143" si="27">SUM(D141:D142)</f>
        <v>2780071.1727616526</v>
      </c>
      <c r="E143" s="157">
        <f t="shared" si="27"/>
        <v>2700022.1727758511</v>
      </c>
      <c r="F143" s="157">
        <f t="shared" si="27"/>
        <v>2498792.6257373895</v>
      </c>
      <c r="G143" s="157">
        <f t="shared" si="27"/>
        <v>2439388.0700540706</v>
      </c>
      <c r="H143" s="157">
        <f t="shared" si="27"/>
        <v>2581577.5361144389</v>
      </c>
      <c r="I143" s="157">
        <f t="shared" si="27"/>
        <v>2603853.7402578839</v>
      </c>
      <c r="J143" s="157">
        <f t="shared" si="27"/>
        <v>2655929.5789607372</v>
      </c>
      <c r="K143" s="157">
        <f t="shared" si="27"/>
        <v>2687768.0421582446</v>
      </c>
      <c r="L143" s="157">
        <f t="shared" si="27"/>
        <v>2713132.3417225666</v>
      </c>
      <c r="M143" s="157">
        <f t="shared" si="27"/>
        <v>2611868.8277278091</v>
      </c>
      <c r="N143" s="157">
        <f t="shared" si="27"/>
        <v>2626528.5337092537</v>
      </c>
      <c r="O143" s="157">
        <f t="shared" si="27"/>
        <v>2599592.8899741741</v>
      </c>
      <c r="P143" s="157">
        <f t="shared" si="27"/>
        <v>31498525.531954076</v>
      </c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  <c r="AJ143" s="117"/>
      <c r="AK143" s="117"/>
      <c r="AL143" s="117"/>
      <c r="AM143" s="117"/>
      <c r="AN143" s="117"/>
      <c r="AO143" s="117"/>
      <c r="AP143" s="117"/>
      <c r="AQ143" s="117"/>
      <c r="AR143" s="117"/>
      <c r="AS143" s="117"/>
      <c r="AT143" s="117"/>
      <c r="AU143" s="117"/>
      <c r="AV143" s="117"/>
      <c r="AW143" s="117"/>
      <c r="AX143" s="117"/>
      <c r="AY143" s="117"/>
      <c r="AZ143" s="117"/>
      <c r="BA143" s="117"/>
      <c r="BB143" s="117"/>
      <c r="BC143" s="117"/>
      <c r="BD143" s="117"/>
      <c r="BE143" s="117"/>
      <c r="BF143" s="117"/>
      <c r="BG143" s="117"/>
      <c r="BH143" s="117"/>
      <c r="BI143" s="117"/>
      <c r="BJ143" s="117"/>
      <c r="BK143" s="117"/>
      <c r="BL143" s="117"/>
      <c r="BM143" s="117"/>
      <c r="BN143" s="117"/>
      <c r="BO143" s="117"/>
      <c r="BP143" s="117"/>
      <c r="BQ143" s="117"/>
      <c r="BR143" s="117"/>
      <c r="BS143" s="117"/>
      <c r="BT143" s="117"/>
      <c r="BU143" s="117"/>
      <c r="BV143" s="117"/>
      <c r="BW143" s="117"/>
      <c r="BX143" s="117"/>
      <c r="BY143" s="117"/>
      <c r="BZ143" s="117"/>
      <c r="CA143" s="117"/>
      <c r="CB143" s="117"/>
      <c r="CC143" s="117"/>
      <c r="CD143" s="117"/>
      <c r="CE143" s="117"/>
      <c r="CF143" s="117"/>
      <c r="CG143" s="117"/>
      <c r="CH143" s="117"/>
      <c r="CI143" s="117"/>
      <c r="CJ143" s="117"/>
      <c r="CK143" s="117"/>
      <c r="CL143" s="117"/>
      <c r="CM143" s="117"/>
      <c r="CN143" s="117"/>
      <c r="CO143" s="117"/>
      <c r="CP143" s="117"/>
      <c r="CQ143" s="117"/>
      <c r="CR143" s="117"/>
      <c r="CS143" s="117"/>
      <c r="CT143" s="117"/>
      <c r="CU143" s="117"/>
      <c r="CV143" s="117"/>
      <c r="CW143" s="117"/>
      <c r="CX143" s="117"/>
      <c r="CY143" s="117"/>
      <c r="CZ143" s="117"/>
      <c r="DA143" s="117"/>
      <c r="DB143" s="117"/>
      <c r="DC143" s="117"/>
      <c r="DD143" s="117"/>
      <c r="DE143" s="117"/>
      <c r="DF143" s="117"/>
      <c r="DG143" s="117"/>
      <c r="DH143" s="117"/>
      <c r="DI143" s="117"/>
      <c r="DJ143" s="117"/>
      <c r="DK143" s="117"/>
      <c r="DL143" s="117"/>
      <c r="DM143" s="117"/>
      <c r="DN143" s="117"/>
      <c r="DO143" s="117"/>
      <c r="DP143" s="117"/>
      <c r="DQ143" s="117"/>
      <c r="DR143" s="117"/>
      <c r="DS143" s="117"/>
      <c r="DT143" s="117"/>
      <c r="DU143" s="117"/>
      <c r="DV143" s="117"/>
      <c r="DW143" s="117"/>
      <c r="DX143" s="117"/>
      <c r="DY143" s="117"/>
      <c r="DZ143" s="117"/>
      <c r="EA143" s="117"/>
      <c r="EB143" s="117"/>
      <c r="EC143" s="117"/>
      <c r="ED143" s="117"/>
      <c r="EE143" s="117"/>
      <c r="EF143" s="117"/>
      <c r="EG143" s="117"/>
      <c r="EH143" s="117"/>
      <c r="EI143" s="117"/>
      <c r="EJ143" s="117"/>
      <c r="EK143" s="117"/>
      <c r="EL143" s="117"/>
      <c r="EM143" s="117"/>
      <c r="EN143" s="117"/>
    </row>
    <row r="144" spans="1:144" s="129" customFormat="1" ht="11.25" x14ac:dyDescent="0.2">
      <c r="B144" s="242"/>
      <c r="C144" s="143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22"/>
      <c r="O144" s="122"/>
      <c r="P144" s="12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7"/>
      <c r="AM144" s="117"/>
      <c r="AN144" s="117"/>
      <c r="AO144" s="117"/>
      <c r="AP144" s="117"/>
      <c r="AQ144" s="117"/>
      <c r="AR144" s="117"/>
      <c r="AS144" s="117"/>
      <c r="AT144" s="117"/>
      <c r="AU144" s="117"/>
      <c r="AV144" s="117"/>
      <c r="AW144" s="117"/>
      <c r="AX144" s="117"/>
      <c r="AY144" s="117"/>
      <c r="AZ144" s="117"/>
      <c r="BA144" s="117"/>
      <c r="BB144" s="117"/>
      <c r="BC144" s="117"/>
      <c r="BD144" s="117"/>
      <c r="BE144" s="117"/>
      <c r="BF144" s="117"/>
      <c r="BG144" s="117"/>
      <c r="BH144" s="117"/>
      <c r="BI144" s="117"/>
      <c r="BJ144" s="117"/>
      <c r="BK144" s="117"/>
      <c r="BL144" s="117"/>
      <c r="BM144" s="117"/>
      <c r="BN144" s="117"/>
      <c r="BO144" s="117"/>
      <c r="BP144" s="117"/>
      <c r="BQ144" s="117"/>
      <c r="BR144" s="117"/>
      <c r="BS144" s="117"/>
      <c r="BT144" s="117"/>
      <c r="BU144" s="117"/>
      <c r="BV144" s="117"/>
      <c r="BW144" s="117"/>
      <c r="BX144" s="117"/>
      <c r="BY144" s="117"/>
      <c r="BZ144" s="117"/>
      <c r="CA144" s="117"/>
      <c r="CB144" s="117"/>
      <c r="CC144" s="117"/>
      <c r="CD144" s="117"/>
      <c r="CE144" s="117"/>
      <c r="CF144" s="117"/>
      <c r="CG144" s="117"/>
      <c r="CH144" s="117"/>
      <c r="CI144" s="117"/>
      <c r="CJ144" s="117"/>
      <c r="CK144" s="117"/>
      <c r="CL144" s="117"/>
      <c r="CM144" s="117"/>
      <c r="CN144" s="117"/>
      <c r="CO144" s="117"/>
      <c r="CP144" s="117"/>
      <c r="CQ144" s="117"/>
      <c r="CR144" s="117"/>
      <c r="CS144" s="117"/>
      <c r="CT144" s="117"/>
      <c r="CU144" s="117"/>
      <c r="CV144" s="117"/>
      <c r="CW144" s="117"/>
      <c r="CX144" s="117"/>
      <c r="CY144" s="117"/>
      <c r="CZ144" s="117"/>
      <c r="DA144" s="117"/>
      <c r="DB144" s="117"/>
      <c r="DC144" s="117"/>
      <c r="DD144" s="117"/>
      <c r="DE144" s="117"/>
      <c r="DF144" s="117"/>
      <c r="DG144" s="117"/>
      <c r="DH144" s="117"/>
      <c r="DI144" s="117"/>
      <c r="DJ144" s="117"/>
      <c r="DK144" s="117"/>
      <c r="DL144" s="117"/>
      <c r="DM144" s="117"/>
      <c r="DN144" s="117"/>
      <c r="DO144" s="117"/>
      <c r="DP144" s="117"/>
      <c r="DQ144" s="117"/>
      <c r="DR144" s="117"/>
      <c r="DS144" s="117"/>
      <c r="DT144" s="117"/>
      <c r="DU144" s="117"/>
      <c r="DV144" s="117"/>
      <c r="DW144" s="117"/>
      <c r="DX144" s="117"/>
      <c r="DY144" s="117"/>
      <c r="DZ144" s="117"/>
      <c r="EA144" s="117"/>
      <c r="EB144" s="117"/>
      <c r="EC144" s="117"/>
      <c r="ED144" s="117"/>
      <c r="EE144" s="117"/>
      <c r="EF144" s="117"/>
      <c r="EG144" s="117"/>
      <c r="EH144" s="117"/>
      <c r="EI144" s="117"/>
      <c r="EJ144" s="117"/>
      <c r="EK144" s="117"/>
      <c r="EL144" s="117"/>
      <c r="EM144" s="117"/>
      <c r="EN144" s="117"/>
    </row>
    <row r="145" spans="1:144" s="129" customFormat="1" ht="11.25" x14ac:dyDescent="0.2">
      <c r="A145" s="141">
        <v>6</v>
      </c>
      <c r="B145" s="146" t="s">
        <v>110</v>
      </c>
      <c r="C145" s="125" t="s">
        <v>17</v>
      </c>
      <c r="D145" s="122">
        <f t="shared" ref="D145:O145" si="28">D114+D84+D54+D23</f>
        <v>52401.054327087812</v>
      </c>
      <c r="E145" s="122">
        <f t="shared" si="28"/>
        <v>63827.177519456331</v>
      </c>
      <c r="F145" s="122">
        <f t="shared" si="28"/>
        <v>52498.864993971758</v>
      </c>
      <c r="G145" s="122">
        <f t="shared" si="28"/>
        <v>58727.31900334869</v>
      </c>
      <c r="H145" s="122">
        <f t="shared" si="28"/>
        <v>77115.787591813569</v>
      </c>
      <c r="I145" s="122">
        <f t="shared" si="28"/>
        <v>58040.399662709184</v>
      </c>
      <c r="J145" s="122">
        <f t="shared" si="28"/>
        <v>68652.390391342924</v>
      </c>
      <c r="K145" s="122">
        <f t="shared" si="28"/>
        <v>78446.391487061483</v>
      </c>
      <c r="L145" s="122">
        <f t="shared" si="28"/>
        <v>64384.204423603536</v>
      </c>
      <c r="M145" s="122">
        <f t="shared" si="28"/>
        <v>74436.827542752828</v>
      </c>
      <c r="N145" s="122">
        <f t="shared" si="28"/>
        <v>87361.710521636895</v>
      </c>
      <c r="O145" s="122">
        <f t="shared" si="28"/>
        <v>70587.244089636893</v>
      </c>
      <c r="P145" s="127">
        <f>SUM(D145:O145)</f>
        <v>806479.37155442196</v>
      </c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  <c r="AI145" s="117"/>
      <c r="AJ145" s="117"/>
      <c r="AK145" s="117"/>
      <c r="AL145" s="117"/>
      <c r="AM145" s="117"/>
      <c r="AN145" s="117"/>
      <c r="AO145" s="117"/>
      <c r="AP145" s="117"/>
      <c r="AQ145" s="117"/>
      <c r="AR145" s="117"/>
      <c r="AS145" s="117"/>
      <c r="AT145" s="117"/>
      <c r="AU145" s="117"/>
      <c r="AV145" s="117"/>
      <c r="AW145" s="117"/>
      <c r="AX145" s="117"/>
      <c r="AY145" s="117"/>
      <c r="AZ145" s="117"/>
      <c r="BA145" s="117"/>
      <c r="BB145" s="117"/>
      <c r="BC145" s="117"/>
      <c r="BD145" s="117"/>
      <c r="BE145" s="117"/>
      <c r="BF145" s="117"/>
      <c r="BG145" s="117"/>
      <c r="BH145" s="117"/>
      <c r="BI145" s="117"/>
      <c r="BJ145" s="117"/>
      <c r="BK145" s="117"/>
      <c r="BL145" s="117"/>
      <c r="BM145" s="117"/>
      <c r="BN145" s="117"/>
      <c r="BO145" s="117"/>
      <c r="BP145" s="117"/>
      <c r="BQ145" s="117"/>
      <c r="BR145" s="117"/>
      <c r="BS145" s="117"/>
      <c r="BT145" s="117"/>
      <c r="BU145" s="117"/>
      <c r="BV145" s="117"/>
      <c r="BW145" s="117"/>
      <c r="BX145" s="117"/>
      <c r="BY145" s="117"/>
      <c r="BZ145" s="117"/>
      <c r="CA145" s="117"/>
      <c r="CB145" s="117"/>
      <c r="CC145" s="117"/>
      <c r="CD145" s="117"/>
      <c r="CE145" s="117"/>
      <c r="CF145" s="117"/>
      <c r="CG145" s="117"/>
      <c r="CH145" s="117"/>
      <c r="CI145" s="117"/>
      <c r="CJ145" s="117"/>
      <c r="CK145" s="117"/>
      <c r="CL145" s="117"/>
      <c r="CM145" s="117"/>
      <c r="CN145" s="117"/>
      <c r="CO145" s="117"/>
      <c r="CP145" s="117"/>
      <c r="CQ145" s="117"/>
      <c r="CR145" s="117"/>
      <c r="CS145" s="117"/>
      <c r="CT145" s="117"/>
      <c r="CU145" s="117"/>
      <c r="CV145" s="117"/>
      <c r="CW145" s="117"/>
      <c r="CX145" s="117"/>
      <c r="CY145" s="117"/>
      <c r="CZ145" s="117"/>
      <c r="DA145" s="117"/>
      <c r="DB145" s="117"/>
      <c r="DC145" s="117"/>
      <c r="DD145" s="117"/>
      <c r="DE145" s="117"/>
      <c r="DF145" s="117"/>
      <c r="DG145" s="117"/>
      <c r="DH145" s="117"/>
      <c r="DI145" s="117"/>
      <c r="DJ145" s="117"/>
      <c r="DK145" s="117"/>
      <c r="DL145" s="117"/>
      <c r="DM145" s="117"/>
      <c r="DN145" s="117"/>
      <c r="DO145" s="117"/>
      <c r="DP145" s="117"/>
      <c r="DQ145" s="117"/>
      <c r="DR145" s="117"/>
      <c r="DS145" s="117"/>
      <c r="DT145" s="117"/>
      <c r="DU145" s="117"/>
      <c r="DV145" s="117"/>
      <c r="DW145" s="117"/>
      <c r="DX145" s="117"/>
      <c r="DY145" s="117"/>
      <c r="DZ145" s="117"/>
      <c r="EA145" s="117"/>
      <c r="EB145" s="117"/>
      <c r="EC145" s="117"/>
      <c r="ED145" s="117"/>
      <c r="EE145" s="117"/>
      <c r="EF145" s="117"/>
      <c r="EG145" s="117"/>
      <c r="EH145" s="117"/>
      <c r="EI145" s="117"/>
      <c r="EJ145" s="117"/>
      <c r="EK145" s="117"/>
      <c r="EL145" s="117"/>
      <c r="EM145" s="117"/>
      <c r="EN145" s="117"/>
    </row>
    <row r="146" spans="1:144" s="129" customFormat="1" ht="11.25" x14ac:dyDescent="0.2">
      <c r="A146" s="141">
        <v>7</v>
      </c>
      <c r="B146" s="146" t="s">
        <v>111</v>
      </c>
      <c r="C146" s="125" t="s">
        <v>17</v>
      </c>
      <c r="D146" s="123">
        <f t="shared" ref="D146:O146" si="29">D115+D85+D55+D24</f>
        <v>582027.82678571437</v>
      </c>
      <c r="E146" s="123">
        <f t="shared" si="29"/>
        <v>563879.95000942156</v>
      </c>
      <c r="F146" s="123">
        <f t="shared" si="29"/>
        <v>550450.65283006127</v>
      </c>
      <c r="G146" s="123">
        <f t="shared" si="29"/>
        <v>546089.41833120503</v>
      </c>
      <c r="H146" s="123">
        <f t="shared" si="29"/>
        <v>572923.13815982407</v>
      </c>
      <c r="I146" s="123">
        <f t="shared" si="29"/>
        <v>560176.84258265421</v>
      </c>
      <c r="J146" s="123">
        <f t="shared" si="29"/>
        <v>558114.37422135717</v>
      </c>
      <c r="K146" s="123">
        <f t="shared" si="29"/>
        <v>558791.91374269</v>
      </c>
      <c r="L146" s="123">
        <f t="shared" si="29"/>
        <v>566699.68126801145</v>
      </c>
      <c r="M146" s="123">
        <f t="shared" si="29"/>
        <v>542400.88070195098</v>
      </c>
      <c r="N146" s="123">
        <f t="shared" si="29"/>
        <v>576638.65810243099</v>
      </c>
      <c r="O146" s="123">
        <f t="shared" si="29"/>
        <v>546207.1</v>
      </c>
      <c r="P146" s="167">
        <f>SUM(D146:O146)</f>
        <v>6724400.4367353208</v>
      </c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7"/>
      <c r="AK146" s="117"/>
      <c r="AL146" s="117"/>
      <c r="AM146" s="117"/>
      <c r="AN146" s="117"/>
      <c r="AO146" s="117"/>
      <c r="AP146" s="117"/>
      <c r="AQ146" s="117"/>
      <c r="AR146" s="117"/>
      <c r="AS146" s="117"/>
      <c r="AT146" s="117"/>
      <c r="AU146" s="117"/>
      <c r="AV146" s="117"/>
      <c r="AW146" s="117"/>
      <c r="AX146" s="117"/>
      <c r="AY146" s="117"/>
      <c r="AZ146" s="117"/>
      <c r="BA146" s="117"/>
      <c r="BB146" s="117"/>
      <c r="BC146" s="117"/>
      <c r="BD146" s="117"/>
      <c r="BE146" s="117"/>
      <c r="BF146" s="117"/>
      <c r="BG146" s="117"/>
      <c r="BH146" s="117"/>
      <c r="BI146" s="117"/>
      <c r="BJ146" s="117"/>
      <c r="BK146" s="117"/>
      <c r="BL146" s="117"/>
      <c r="BM146" s="117"/>
      <c r="BN146" s="117"/>
      <c r="BO146" s="117"/>
      <c r="BP146" s="117"/>
      <c r="BQ146" s="117"/>
      <c r="BR146" s="117"/>
      <c r="BS146" s="117"/>
      <c r="BT146" s="117"/>
      <c r="BU146" s="117"/>
      <c r="BV146" s="117"/>
      <c r="BW146" s="117"/>
      <c r="BX146" s="117"/>
      <c r="BY146" s="117"/>
      <c r="BZ146" s="117"/>
      <c r="CA146" s="117"/>
      <c r="CB146" s="117"/>
      <c r="CC146" s="117"/>
      <c r="CD146" s="117"/>
      <c r="CE146" s="117"/>
      <c r="CF146" s="117"/>
      <c r="CG146" s="117"/>
      <c r="CH146" s="117"/>
      <c r="CI146" s="117"/>
      <c r="CJ146" s="117"/>
      <c r="CK146" s="117"/>
      <c r="CL146" s="117"/>
      <c r="CM146" s="117"/>
      <c r="CN146" s="117"/>
      <c r="CO146" s="117"/>
      <c r="CP146" s="117"/>
      <c r="CQ146" s="117"/>
      <c r="CR146" s="117"/>
      <c r="CS146" s="117"/>
      <c r="CT146" s="117"/>
      <c r="CU146" s="117"/>
      <c r="CV146" s="117"/>
      <c r="CW146" s="117"/>
      <c r="CX146" s="117"/>
      <c r="CY146" s="117"/>
      <c r="CZ146" s="117"/>
      <c r="DA146" s="117"/>
      <c r="DB146" s="117"/>
      <c r="DC146" s="117"/>
      <c r="DD146" s="117"/>
      <c r="DE146" s="117"/>
      <c r="DF146" s="117"/>
      <c r="DG146" s="117"/>
      <c r="DH146" s="117"/>
      <c r="DI146" s="117"/>
      <c r="DJ146" s="117"/>
      <c r="DK146" s="117"/>
      <c r="DL146" s="117"/>
      <c r="DM146" s="117"/>
      <c r="DN146" s="117"/>
      <c r="DO146" s="117"/>
      <c r="DP146" s="117"/>
      <c r="DQ146" s="117"/>
      <c r="DR146" s="117"/>
      <c r="DS146" s="117"/>
      <c r="DT146" s="117"/>
      <c r="DU146" s="117"/>
      <c r="DV146" s="117"/>
      <c r="DW146" s="117"/>
      <c r="DX146" s="117"/>
      <c r="DY146" s="117"/>
      <c r="DZ146" s="117"/>
      <c r="EA146" s="117"/>
      <c r="EB146" s="117"/>
      <c r="EC146" s="117"/>
      <c r="ED146" s="117"/>
      <c r="EE146" s="117"/>
      <c r="EF146" s="117"/>
      <c r="EG146" s="117"/>
      <c r="EH146" s="117"/>
      <c r="EI146" s="117"/>
      <c r="EJ146" s="117"/>
      <c r="EK146" s="117"/>
      <c r="EL146" s="117"/>
      <c r="EM146" s="117"/>
      <c r="EN146" s="117"/>
    </row>
    <row r="147" spans="1:144" s="129" customFormat="1" ht="11.25" x14ac:dyDescent="0.2">
      <c r="A147" s="141">
        <v>8</v>
      </c>
      <c r="B147" s="129" t="s">
        <v>31</v>
      </c>
      <c r="C147" s="125"/>
      <c r="D147" s="122">
        <f t="shared" ref="D147:P147" si="30">SUM(D145:D146)</f>
        <v>634428.88111280219</v>
      </c>
      <c r="E147" s="122">
        <f t="shared" si="30"/>
        <v>627707.12752887793</v>
      </c>
      <c r="F147" s="122">
        <f t="shared" si="30"/>
        <v>602949.51782403304</v>
      </c>
      <c r="G147" s="122">
        <f t="shared" si="30"/>
        <v>604816.73733455373</v>
      </c>
      <c r="H147" s="122">
        <f t="shared" si="30"/>
        <v>650038.92575163767</v>
      </c>
      <c r="I147" s="122">
        <f t="shared" si="30"/>
        <v>618217.24224536342</v>
      </c>
      <c r="J147" s="122">
        <f t="shared" si="30"/>
        <v>626766.76461270009</v>
      </c>
      <c r="K147" s="122">
        <f t="shared" si="30"/>
        <v>637238.30522975151</v>
      </c>
      <c r="L147" s="122">
        <f t="shared" si="30"/>
        <v>631083.88569161494</v>
      </c>
      <c r="M147" s="122">
        <f t="shared" si="30"/>
        <v>616837.70824470383</v>
      </c>
      <c r="N147" s="122">
        <f t="shared" si="30"/>
        <v>664000.36862406787</v>
      </c>
      <c r="O147" s="122">
        <f t="shared" si="30"/>
        <v>616794.34408963681</v>
      </c>
      <c r="P147" s="122">
        <f t="shared" si="30"/>
        <v>7530879.808289743</v>
      </c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7"/>
      <c r="AK147" s="117"/>
      <c r="AL147" s="117"/>
      <c r="AM147" s="117"/>
      <c r="AN147" s="117"/>
      <c r="AO147" s="117"/>
      <c r="AP147" s="117"/>
      <c r="AQ147" s="117"/>
      <c r="AR147" s="117"/>
      <c r="AS147" s="117"/>
      <c r="AT147" s="117"/>
      <c r="AU147" s="117"/>
      <c r="AV147" s="117"/>
      <c r="AW147" s="117"/>
      <c r="AX147" s="117"/>
      <c r="AY147" s="117"/>
      <c r="AZ147" s="117"/>
      <c r="BA147" s="117"/>
      <c r="BB147" s="117"/>
      <c r="BC147" s="117"/>
      <c r="BD147" s="117"/>
      <c r="BE147" s="117"/>
      <c r="BF147" s="117"/>
      <c r="BG147" s="117"/>
      <c r="BH147" s="117"/>
      <c r="BI147" s="117"/>
      <c r="BJ147" s="117"/>
      <c r="BK147" s="117"/>
      <c r="BL147" s="117"/>
      <c r="BM147" s="117"/>
      <c r="BN147" s="117"/>
      <c r="BO147" s="117"/>
      <c r="BP147" s="117"/>
      <c r="BQ147" s="117"/>
      <c r="BR147" s="117"/>
      <c r="BS147" s="117"/>
      <c r="BT147" s="117"/>
      <c r="BU147" s="117"/>
      <c r="BV147" s="117"/>
      <c r="BW147" s="117"/>
      <c r="BX147" s="117"/>
      <c r="BY147" s="117"/>
      <c r="BZ147" s="117"/>
      <c r="CA147" s="117"/>
      <c r="CB147" s="117"/>
      <c r="CC147" s="117"/>
      <c r="CD147" s="117"/>
      <c r="CE147" s="117"/>
      <c r="CF147" s="117"/>
      <c r="CG147" s="117"/>
      <c r="CH147" s="117"/>
      <c r="CI147" s="117"/>
      <c r="CJ147" s="117"/>
      <c r="CK147" s="117"/>
      <c r="CL147" s="117"/>
      <c r="CM147" s="117"/>
      <c r="CN147" s="117"/>
      <c r="CO147" s="117"/>
      <c r="CP147" s="117"/>
      <c r="CQ147" s="117"/>
      <c r="CR147" s="117"/>
      <c r="CS147" s="117"/>
      <c r="CT147" s="117"/>
      <c r="CU147" s="117"/>
      <c r="CV147" s="117"/>
      <c r="CW147" s="117"/>
      <c r="CX147" s="117"/>
      <c r="CY147" s="117"/>
      <c r="CZ147" s="117"/>
      <c r="DA147" s="117"/>
      <c r="DB147" s="117"/>
      <c r="DC147" s="117"/>
      <c r="DD147" s="117"/>
      <c r="DE147" s="117"/>
      <c r="DF147" s="117"/>
      <c r="DG147" s="117"/>
      <c r="DH147" s="117"/>
      <c r="DI147" s="117"/>
      <c r="DJ147" s="117"/>
      <c r="DK147" s="117"/>
      <c r="DL147" s="117"/>
      <c r="DM147" s="117"/>
      <c r="DN147" s="117"/>
      <c r="DO147" s="117"/>
      <c r="DP147" s="117"/>
      <c r="DQ147" s="117"/>
      <c r="DR147" s="117"/>
      <c r="DS147" s="117"/>
      <c r="DT147" s="117"/>
      <c r="DU147" s="117"/>
      <c r="DV147" s="117"/>
      <c r="DW147" s="117"/>
      <c r="DX147" s="117"/>
      <c r="DY147" s="117"/>
      <c r="DZ147" s="117"/>
      <c r="EA147" s="117"/>
      <c r="EB147" s="117"/>
      <c r="EC147" s="117"/>
      <c r="ED147" s="117"/>
      <c r="EE147" s="117"/>
      <c r="EF147" s="117"/>
      <c r="EG147" s="117"/>
      <c r="EH147" s="117"/>
      <c r="EI147" s="117"/>
      <c r="EJ147" s="117"/>
      <c r="EK147" s="117"/>
      <c r="EL147" s="117"/>
      <c r="EM147" s="117"/>
      <c r="EN147" s="117"/>
    </row>
    <row r="148" spans="1:144" s="129" customFormat="1" ht="11.25" x14ac:dyDescent="0.2">
      <c r="A148" s="141"/>
      <c r="C148" s="125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7"/>
      <c r="AK148" s="117"/>
      <c r="AL148" s="117"/>
      <c r="AM148" s="117"/>
      <c r="AN148" s="117"/>
      <c r="AO148" s="117"/>
      <c r="AP148" s="117"/>
      <c r="AQ148" s="117"/>
      <c r="AR148" s="117"/>
      <c r="AS148" s="117"/>
      <c r="AT148" s="117"/>
      <c r="AU148" s="117"/>
      <c r="AV148" s="117"/>
      <c r="AW148" s="117"/>
      <c r="AX148" s="117"/>
      <c r="AY148" s="117"/>
      <c r="AZ148" s="117"/>
      <c r="BA148" s="117"/>
      <c r="BB148" s="117"/>
      <c r="BC148" s="117"/>
      <c r="BD148" s="117"/>
      <c r="BE148" s="117"/>
      <c r="BF148" s="117"/>
      <c r="BG148" s="117"/>
      <c r="BH148" s="117"/>
      <c r="BI148" s="117"/>
      <c r="BJ148" s="117"/>
      <c r="BK148" s="117"/>
      <c r="BL148" s="117"/>
      <c r="BM148" s="117"/>
      <c r="BN148" s="117"/>
      <c r="BO148" s="117"/>
      <c r="BP148" s="117"/>
      <c r="BQ148" s="117"/>
      <c r="BR148" s="117"/>
      <c r="BS148" s="117"/>
      <c r="BT148" s="117"/>
      <c r="BU148" s="117"/>
      <c r="BV148" s="117"/>
      <c r="BW148" s="117"/>
      <c r="BX148" s="117"/>
      <c r="BY148" s="117"/>
      <c r="BZ148" s="117"/>
      <c r="CA148" s="117"/>
      <c r="CB148" s="117"/>
      <c r="CC148" s="117"/>
      <c r="CD148" s="117"/>
      <c r="CE148" s="117"/>
      <c r="CF148" s="117"/>
      <c r="CG148" s="117"/>
      <c r="CH148" s="117"/>
      <c r="CI148" s="117"/>
      <c r="CJ148" s="117"/>
      <c r="CK148" s="117"/>
      <c r="CL148" s="117"/>
      <c r="CM148" s="117"/>
      <c r="CN148" s="117"/>
      <c r="CO148" s="117"/>
      <c r="CP148" s="117"/>
      <c r="CQ148" s="117"/>
      <c r="CR148" s="117"/>
      <c r="CS148" s="117"/>
      <c r="CT148" s="117"/>
      <c r="CU148" s="117"/>
      <c r="CV148" s="117"/>
      <c r="CW148" s="117"/>
      <c r="CX148" s="117"/>
      <c r="CY148" s="117"/>
      <c r="CZ148" s="117"/>
      <c r="DA148" s="117"/>
      <c r="DB148" s="117"/>
      <c r="DC148" s="117"/>
      <c r="DD148" s="117"/>
      <c r="DE148" s="117"/>
      <c r="DF148" s="117"/>
      <c r="DG148" s="117"/>
      <c r="DH148" s="117"/>
      <c r="DI148" s="117"/>
      <c r="DJ148" s="117"/>
      <c r="DK148" s="117"/>
      <c r="DL148" s="117"/>
      <c r="DM148" s="117"/>
      <c r="DN148" s="117"/>
      <c r="DO148" s="117"/>
      <c r="DP148" s="117"/>
      <c r="DQ148" s="117"/>
      <c r="DR148" s="117"/>
      <c r="DS148" s="117"/>
      <c r="DT148" s="117"/>
      <c r="DU148" s="117"/>
      <c r="DV148" s="117"/>
      <c r="DW148" s="117"/>
      <c r="DX148" s="117"/>
      <c r="DY148" s="117"/>
      <c r="DZ148" s="117"/>
      <c r="EA148" s="117"/>
      <c r="EB148" s="117"/>
      <c r="EC148" s="117"/>
      <c r="ED148" s="117"/>
      <c r="EE148" s="117"/>
      <c r="EF148" s="117"/>
      <c r="EG148" s="117"/>
      <c r="EH148" s="117"/>
      <c r="EI148" s="117"/>
      <c r="EJ148" s="117"/>
      <c r="EK148" s="117"/>
      <c r="EL148" s="117"/>
      <c r="EM148" s="117"/>
      <c r="EN148" s="117"/>
    </row>
    <row r="149" spans="1:144" s="129" customFormat="1" ht="11.25" x14ac:dyDescent="0.2">
      <c r="A149" s="141">
        <v>9</v>
      </c>
      <c r="B149" s="162" t="s">
        <v>115</v>
      </c>
      <c r="C149" s="125" t="s">
        <v>18</v>
      </c>
      <c r="D149" s="122">
        <f t="shared" ref="D149:O149" si="31">D118+D88+D58+D27</f>
        <v>649412.39831697056</v>
      </c>
      <c r="E149" s="122">
        <f t="shared" si="31"/>
        <v>496022.65909090906</v>
      </c>
      <c r="F149" s="122">
        <f t="shared" si="31"/>
        <v>614109.7511363636</v>
      </c>
      <c r="G149" s="122">
        <f t="shared" si="31"/>
        <v>518629.97697368427</v>
      </c>
      <c r="H149" s="122">
        <f t="shared" si="31"/>
        <v>540841.03779840854</v>
      </c>
      <c r="I149" s="122">
        <f t="shared" si="31"/>
        <v>591901.16249999998</v>
      </c>
      <c r="J149" s="122">
        <f t="shared" si="31"/>
        <v>477610.19621212117</v>
      </c>
      <c r="K149" s="122">
        <f t="shared" si="31"/>
        <v>474359.22587719298</v>
      </c>
      <c r="L149" s="122">
        <f t="shared" si="31"/>
        <v>609065.16086956521</v>
      </c>
      <c r="M149" s="122">
        <f t="shared" si="31"/>
        <v>569209.22560975619</v>
      </c>
      <c r="N149" s="122">
        <f t="shared" si="31"/>
        <v>490876.15384615387</v>
      </c>
      <c r="O149" s="122">
        <f t="shared" si="31"/>
        <v>539147.29230769235</v>
      </c>
      <c r="P149" s="127">
        <f>SUM(D149:O149)</f>
        <v>6571184.2405388178</v>
      </c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7"/>
      <c r="AK149" s="117"/>
      <c r="AL149" s="117"/>
      <c r="AM149" s="117"/>
      <c r="AN149" s="117"/>
      <c r="AO149" s="117"/>
      <c r="AP149" s="117"/>
      <c r="AQ149" s="117"/>
      <c r="AR149" s="117"/>
      <c r="AS149" s="117"/>
      <c r="AT149" s="117"/>
      <c r="AU149" s="117"/>
      <c r="AV149" s="117"/>
      <c r="AW149" s="117"/>
      <c r="AX149" s="117"/>
      <c r="AY149" s="117"/>
      <c r="AZ149" s="117"/>
      <c r="BA149" s="117"/>
      <c r="BB149" s="117"/>
      <c r="BC149" s="117"/>
      <c r="BD149" s="117"/>
      <c r="BE149" s="117"/>
      <c r="BF149" s="117"/>
      <c r="BG149" s="117"/>
      <c r="BH149" s="117"/>
      <c r="BI149" s="117"/>
      <c r="BJ149" s="117"/>
      <c r="BK149" s="117"/>
      <c r="BL149" s="117"/>
      <c r="BM149" s="117"/>
      <c r="BN149" s="117"/>
      <c r="BO149" s="117"/>
      <c r="BP149" s="117"/>
      <c r="BQ149" s="117"/>
      <c r="BR149" s="117"/>
      <c r="BS149" s="117"/>
      <c r="BT149" s="117"/>
      <c r="BU149" s="117"/>
      <c r="BV149" s="117"/>
      <c r="BW149" s="117"/>
      <c r="BX149" s="117"/>
      <c r="BY149" s="117"/>
      <c r="BZ149" s="117"/>
      <c r="CA149" s="117"/>
      <c r="CB149" s="117"/>
      <c r="CC149" s="117"/>
      <c r="CD149" s="117"/>
      <c r="CE149" s="117"/>
      <c r="CF149" s="117"/>
      <c r="CG149" s="117"/>
      <c r="CH149" s="117"/>
      <c r="CI149" s="117"/>
      <c r="CJ149" s="117"/>
      <c r="CK149" s="117"/>
      <c r="CL149" s="117"/>
      <c r="CM149" s="117"/>
      <c r="CN149" s="117"/>
      <c r="CO149" s="117"/>
      <c r="CP149" s="117"/>
      <c r="CQ149" s="117"/>
      <c r="CR149" s="117"/>
      <c r="CS149" s="117"/>
      <c r="CT149" s="117"/>
      <c r="CU149" s="117"/>
      <c r="CV149" s="117"/>
      <c r="CW149" s="117"/>
      <c r="CX149" s="117"/>
      <c r="CY149" s="117"/>
      <c r="CZ149" s="117"/>
      <c r="DA149" s="117"/>
      <c r="DB149" s="117"/>
      <c r="DC149" s="117"/>
      <c r="DD149" s="117"/>
      <c r="DE149" s="117"/>
      <c r="DF149" s="117"/>
      <c r="DG149" s="117"/>
      <c r="DH149" s="117"/>
      <c r="DI149" s="117"/>
      <c r="DJ149" s="117"/>
      <c r="DK149" s="117"/>
      <c r="DL149" s="117"/>
      <c r="DM149" s="117"/>
      <c r="DN149" s="117"/>
      <c r="DO149" s="117"/>
      <c r="DP149" s="117"/>
      <c r="DQ149" s="117"/>
      <c r="DR149" s="117"/>
      <c r="DS149" s="117"/>
      <c r="DT149" s="117"/>
      <c r="DU149" s="117"/>
      <c r="DV149" s="117"/>
      <c r="DW149" s="117"/>
      <c r="DX149" s="117"/>
      <c r="DY149" s="117"/>
      <c r="DZ149" s="117"/>
      <c r="EA149" s="117"/>
      <c r="EB149" s="117"/>
      <c r="EC149" s="117"/>
      <c r="ED149" s="117"/>
      <c r="EE149" s="117"/>
      <c r="EF149" s="117"/>
      <c r="EG149" s="117"/>
      <c r="EH149" s="117"/>
      <c r="EI149" s="117"/>
      <c r="EJ149" s="117"/>
      <c r="EK149" s="117"/>
      <c r="EL149" s="117"/>
      <c r="EM149" s="117"/>
      <c r="EN149" s="117"/>
    </row>
    <row r="150" spans="1:144" s="129" customFormat="1" ht="11.25" x14ac:dyDescent="0.2">
      <c r="C150" s="143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7"/>
      <c r="AL150" s="117"/>
      <c r="AM150" s="117"/>
      <c r="AN150" s="117"/>
      <c r="AO150" s="117"/>
      <c r="AP150" s="117"/>
      <c r="AQ150" s="117"/>
      <c r="AR150" s="117"/>
      <c r="AS150" s="117"/>
      <c r="AT150" s="117"/>
      <c r="AU150" s="117"/>
      <c r="AV150" s="117"/>
      <c r="AW150" s="117"/>
      <c r="AX150" s="117"/>
      <c r="AY150" s="117"/>
      <c r="AZ150" s="117"/>
      <c r="BA150" s="117"/>
      <c r="BB150" s="117"/>
      <c r="BC150" s="117"/>
      <c r="BD150" s="117"/>
      <c r="BE150" s="117"/>
      <c r="BF150" s="117"/>
      <c r="BG150" s="117"/>
      <c r="BH150" s="117"/>
      <c r="BI150" s="117"/>
      <c r="BJ150" s="117"/>
      <c r="BK150" s="117"/>
      <c r="BL150" s="117"/>
      <c r="BM150" s="117"/>
      <c r="BN150" s="117"/>
      <c r="BO150" s="117"/>
      <c r="BP150" s="117"/>
      <c r="BQ150" s="117"/>
      <c r="BR150" s="117"/>
      <c r="BS150" s="117"/>
      <c r="BT150" s="117"/>
      <c r="BU150" s="117"/>
      <c r="BV150" s="117"/>
      <c r="BW150" s="117"/>
      <c r="BX150" s="117"/>
      <c r="BY150" s="117"/>
      <c r="BZ150" s="117"/>
      <c r="CA150" s="117"/>
      <c r="CB150" s="117"/>
      <c r="CC150" s="117"/>
      <c r="CD150" s="117"/>
      <c r="CE150" s="117"/>
      <c r="CF150" s="117"/>
      <c r="CG150" s="117"/>
      <c r="CH150" s="117"/>
      <c r="CI150" s="117"/>
      <c r="CJ150" s="117"/>
      <c r="CK150" s="117"/>
      <c r="CL150" s="117"/>
      <c r="CM150" s="117"/>
      <c r="CN150" s="117"/>
      <c r="CO150" s="117"/>
      <c r="CP150" s="117"/>
      <c r="CQ150" s="117"/>
      <c r="CR150" s="117"/>
      <c r="CS150" s="117"/>
      <c r="CT150" s="117"/>
      <c r="CU150" s="117"/>
      <c r="CV150" s="117"/>
      <c r="CW150" s="117"/>
      <c r="CX150" s="117"/>
      <c r="CY150" s="117"/>
      <c r="CZ150" s="117"/>
      <c r="DA150" s="117"/>
      <c r="DB150" s="117"/>
      <c r="DC150" s="117"/>
      <c r="DD150" s="117"/>
      <c r="DE150" s="117"/>
      <c r="DF150" s="117"/>
      <c r="DG150" s="117"/>
      <c r="DH150" s="117"/>
      <c r="DI150" s="117"/>
      <c r="DJ150" s="117"/>
      <c r="DK150" s="117"/>
      <c r="DL150" s="117"/>
      <c r="DM150" s="117"/>
      <c r="DN150" s="117"/>
      <c r="DO150" s="117"/>
      <c r="DP150" s="117"/>
      <c r="DQ150" s="117"/>
      <c r="DR150" s="117"/>
      <c r="DS150" s="117"/>
      <c r="DT150" s="117"/>
      <c r="DU150" s="117"/>
      <c r="DV150" s="117"/>
      <c r="DW150" s="117"/>
      <c r="DX150" s="117"/>
      <c r="DY150" s="117"/>
      <c r="DZ150" s="117"/>
      <c r="EA150" s="117"/>
      <c r="EB150" s="117"/>
      <c r="EC150" s="117"/>
      <c r="ED150" s="117"/>
      <c r="EE150" s="117"/>
      <c r="EF150" s="117"/>
      <c r="EG150" s="117"/>
      <c r="EH150" s="117"/>
      <c r="EI150" s="117"/>
      <c r="EJ150" s="117"/>
      <c r="EK150" s="117"/>
      <c r="EL150" s="117"/>
      <c r="EM150" s="117"/>
      <c r="EN150" s="117"/>
    </row>
    <row r="151" spans="1:144" s="129" customFormat="1" ht="11.25" x14ac:dyDescent="0.2">
      <c r="A151" s="141">
        <v>10</v>
      </c>
      <c r="B151" s="117" t="s">
        <v>33</v>
      </c>
      <c r="C151" s="125" t="s">
        <v>16</v>
      </c>
      <c r="D151" s="122">
        <f t="shared" ref="D151:O151" si="32">D120+D90+D60+D29</f>
        <v>0</v>
      </c>
      <c r="E151" s="122">
        <f t="shared" si="32"/>
        <v>0</v>
      </c>
      <c r="F151" s="122">
        <f t="shared" si="32"/>
        <v>0</v>
      </c>
      <c r="G151" s="122">
        <f t="shared" si="32"/>
        <v>0</v>
      </c>
      <c r="H151" s="122">
        <f t="shared" si="32"/>
        <v>0</v>
      </c>
      <c r="I151" s="122">
        <f t="shared" si="32"/>
        <v>0</v>
      </c>
      <c r="J151" s="122">
        <f t="shared" si="32"/>
        <v>0</v>
      </c>
      <c r="K151" s="122">
        <f t="shared" si="32"/>
        <v>0</v>
      </c>
      <c r="L151" s="122">
        <f t="shared" si="32"/>
        <v>0</v>
      </c>
      <c r="M151" s="122">
        <f t="shared" si="32"/>
        <v>0</v>
      </c>
      <c r="N151" s="122">
        <f t="shared" si="32"/>
        <v>0</v>
      </c>
      <c r="O151" s="122">
        <f t="shared" si="32"/>
        <v>0</v>
      </c>
      <c r="P151" s="127">
        <f>SUM(D151:O151)</f>
        <v>0</v>
      </c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  <c r="AI151" s="117"/>
      <c r="AJ151" s="117"/>
      <c r="AK151" s="117"/>
      <c r="AL151" s="117"/>
      <c r="AM151" s="117"/>
      <c r="AN151" s="117"/>
      <c r="AO151" s="117"/>
      <c r="AP151" s="117"/>
      <c r="AQ151" s="117"/>
      <c r="AR151" s="117"/>
      <c r="AS151" s="117"/>
      <c r="AT151" s="117"/>
      <c r="AU151" s="117"/>
      <c r="AV151" s="117"/>
      <c r="AW151" s="117"/>
      <c r="AX151" s="117"/>
      <c r="AY151" s="117"/>
      <c r="AZ151" s="117"/>
      <c r="BA151" s="117"/>
      <c r="BB151" s="117"/>
      <c r="BC151" s="117"/>
      <c r="BD151" s="117"/>
      <c r="BE151" s="117"/>
      <c r="BF151" s="117"/>
      <c r="BG151" s="117"/>
      <c r="BH151" s="117"/>
      <c r="BI151" s="117"/>
      <c r="BJ151" s="117"/>
      <c r="BK151" s="117"/>
      <c r="BL151" s="117"/>
      <c r="BM151" s="117"/>
      <c r="BN151" s="117"/>
      <c r="BO151" s="117"/>
      <c r="BP151" s="117"/>
      <c r="BQ151" s="117"/>
      <c r="BR151" s="117"/>
      <c r="BS151" s="117"/>
      <c r="BT151" s="117"/>
      <c r="BU151" s="117"/>
      <c r="BV151" s="117"/>
      <c r="BW151" s="117"/>
      <c r="BX151" s="117"/>
      <c r="BY151" s="117"/>
      <c r="BZ151" s="117"/>
      <c r="CA151" s="117"/>
      <c r="CB151" s="117"/>
      <c r="CC151" s="117"/>
      <c r="CD151" s="117"/>
      <c r="CE151" s="117"/>
      <c r="CF151" s="117"/>
      <c r="CG151" s="117"/>
      <c r="CH151" s="117"/>
      <c r="CI151" s="117"/>
      <c r="CJ151" s="117"/>
      <c r="CK151" s="117"/>
      <c r="CL151" s="117"/>
      <c r="CM151" s="117"/>
      <c r="CN151" s="117"/>
      <c r="CO151" s="117"/>
      <c r="CP151" s="117"/>
      <c r="CQ151" s="117"/>
      <c r="CR151" s="117"/>
      <c r="CS151" s="117"/>
      <c r="CT151" s="117"/>
      <c r="CU151" s="117"/>
      <c r="CV151" s="117"/>
      <c r="CW151" s="117"/>
      <c r="CX151" s="117"/>
      <c r="CY151" s="117"/>
      <c r="CZ151" s="117"/>
      <c r="DA151" s="117"/>
      <c r="DB151" s="117"/>
      <c r="DC151" s="117"/>
      <c r="DD151" s="117"/>
      <c r="DE151" s="117"/>
      <c r="DF151" s="117"/>
      <c r="DG151" s="117"/>
      <c r="DH151" s="117"/>
      <c r="DI151" s="117"/>
      <c r="DJ151" s="117"/>
      <c r="DK151" s="117"/>
      <c r="DL151" s="117"/>
      <c r="DM151" s="117"/>
      <c r="DN151" s="117"/>
      <c r="DO151" s="117"/>
      <c r="DP151" s="117"/>
      <c r="DQ151" s="117"/>
      <c r="DR151" s="117"/>
      <c r="DS151" s="117"/>
      <c r="DT151" s="117"/>
      <c r="DU151" s="117"/>
      <c r="DV151" s="117"/>
      <c r="DW151" s="117"/>
      <c r="DX151" s="117"/>
      <c r="DY151" s="117"/>
      <c r="DZ151" s="117"/>
      <c r="EA151" s="117"/>
      <c r="EB151" s="117"/>
      <c r="EC151" s="117"/>
      <c r="ED151" s="117"/>
      <c r="EE151" s="117"/>
      <c r="EF151" s="117"/>
      <c r="EG151" s="117"/>
      <c r="EH151" s="117"/>
      <c r="EI151" s="117"/>
      <c r="EJ151" s="117"/>
      <c r="EK151" s="117"/>
      <c r="EL151" s="117"/>
      <c r="EM151" s="117"/>
      <c r="EN151" s="117"/>
    </row>
    <row r="152" spans="1:144" s="129" customFormat="1" ht="11.25" x14ac:dyDescent="0.2">
      <c r="A152" s="141"/>
      <c r="C152" s="143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22"/>
      <c r="O152" s="122"/>
      <c r="P152" s="12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  <c r="AJ152" s="117"/>
      <c r="AK152" s="117"/>
      <c r="AL152" s="117"/>
      <c r="AM152" s="117"/>
      <c r="AN152" s="117"/>
      <c r="AO152" s="117"/>
      <c r="AP152" s="117"/>
      <c r="AQ152" s="117"/>
      <c r="AR152" s="117"/>
      <c r="AS152" s="117"/>
      <c r="AT152" s="117"/>
      <c r="AU152" s="117"/>
      <c r="AV152" s="117"/>
      <c r="AW152" s="117"/>
      <c r="AX152" s="117"/>
      <c r="AY152" s="117"/>
      <c r="AZ152" s="117"/>
      <c r="BA152" s="117"/>
      <c r="BB152" s="117"/>
      <c r="BC152" s="117"/>
      <c r="BD152" s="117"/>
      <c r="BE152" s="117"/>
      <c r="BF152" s="117"/>
      <c r="BG152" s="117"/>
      <c r="BH152" s="117"/>
      <c r="BI152" s="117"/>
      <c r="BJ152" s="117"/>
      <c r="BK152" s="117"/>
      <c r="BL152" s="117"/>
      <c r="BM152" s="117"/>
      <c r="BN152" s="117"/>
      <c r="BO152" s="117"/>
      <c r="BP152" s="117"/>
      <c r="BQ152" s="117"/>
      <c r="BR152" s="117"/>
      <c r="BS152" s="117"/>
      <c r="BT152" s="117"/>
      <c r="BU152" s="117"/>
      <c r="BV152" s="117"/>
      <c r="BW152" s="117"/>
      <c r="BX152" s="117"/>
      <c r="BY152" s="117"/>
      <c r="BZ152" s="117"/>
      <c r="CA152" s="117"/>
      <c r="CB152" s="117"/>
      <c r="CC152" s="117"/>
      <c r="CD152" s="117"/>
      <c r="CE152" s="117"/>
      <c r="CF152" s="117"/>
      <c r="CG152" s="117"/>
      <c r="CH152" s="117"/>
      <c r="CI152" s="117"/>
      <c r="CJ152" s="117"/>
      <c r="CK152" s="117"/>
      <c r="CL152" s="117"/>
      <c r="CM152" s="117"/>
      <c r="CN152" s="117"/>
      <c r="CO152" s="117"/>
      <c r="CP152" s="117"/>
      <c r="CQ152" s="117"/>
      <c r="CR152" s="117"/>
      <c r="CS152" s="117"/>
      <c r="CT152" s="117"/>
      <c r="CU152" s="117"/>
      <c r="CV152" s="117"/>
      <c r="CW152" s="117"/>
      <c r="CX152" s="117"/>
      <c r="CY152" s="117"/>
      <c r="CZ152" s="117"/>
      <c r="DA152" s="117"/>
      <c r="DB152" s="117"/>
      <c r="DC152" s="117"/>
      <c r="DD152" s="117"/>
      <c r="DE152" s="117"/>
      <c r="DF152" s="117"/>
      <c r="DG152" s="117"/>
      <c r="DH152" s="117"/>
      <c r="DI152" s="117"/>
      <c r="DJ152" s="117"/>
      <c r="DK152" s="117"/>
      <c r="DL152" s="117"/>
      <c r="DM152" s="117"/>
      <c r="DN152" s="117"/>
      <c r="DO152" s="117"/>
      <c r="DP152" s="117"/>
      <c r="DQ152" s="117"/>
      <c r="DR152" s="117"/>
      <c r="DS152" s="117"/>
      <c r="DT152" s="117"/>
      <c r="DU152" s="117"/>
      <c r="DV152" s="117"/>
      <c r="DW152" s="117"/>
      <c r="DX152" s="117"/>
      <c r="DY152" s="117"/>
      <c r="DZ152" s="117"/>
      <c r="EA152" s="117"/>
      <c r="EB152" s="117"/>
      <c r="EC152" s="117"/>
      <c r="ED152" s="117"/>
      <c r="EE152" s="117"/>
      <c r="EF152" s="117"/>
      <c r="EG152" s="117"/>
      <c r="EH152" s="117"/>
      <c r="EI152" s="117"/>
      <c r="EJ152" s="117"/>
      <c r="EK152" s="117"/>
      <c r="EL152" s="117"/>
      <c r="EM152" s="117"/>
      <c r="EN152" s="117"/>
    </row>
    <row r="153" spans="1:144" s="129" customFormat="1" ht="11.25" x14ac:dyDescent="0.2">
      <c r="A153" s="141">
        <v>11</v>
      </c>
      <c r="B153" s="183" t="s">
        <v>34</v>
      </c>
      <c r="C153" s="329"/>
      <c r="D153" s="184">
        <f t="shared" ref="D153:P153" si="33">D151+D149+D147+D143+D139+D137</f>
        <v>4063912.4521914255</v>
      </c>
      <c r="E153" s="184">
        <f t="shared" si="33"/>
        <v>3823751.9593956382</v>
      </c>
      <c r="F153" s="184">
        <f t="shared" si="33"/>
        <v>3715851.8946977863</v>
      </c>
      <c r="G153" s="184">
        <f t="shared" si="33"/>
        <v>3562834.7843623087</v>
      </c>
      <c r="H153" s="184">
        <f t="shared" si="33"/>
        <v>3772457.499664485</v>
      </c>
      <c r="I153" s="184">
        <f t="shared" si="33"/>
        <v>3813972.1450032471</v>
      </c>
      <c r="J153" s="184">
        <f t="shared" si="33"/>
        <v>3760306.5397855584</v>
      </c>
      <c r="K153" s="184">
        <f t="shared" si="33"/>
        <v>3799365.5732651893</v>
      </c>
      <c r="L153" s="184">
        <f t="shared" si="33"/>
        <v>3953281.3882837468</v>
      </c>
      <c r="M153" s="184">
        <f t="shared" si="33"/>
        <v>3797915.7615822693</v>
      </c>
      <c r="N153" s="184">
        <f t="shared" si="33"/>
        <v>3781405.0561794755</v>
      </c>
      <c r="O153" s="184">
        <f t="shared" si="33"/>
        <v>3755534.5263715032</v>
      </c>
      <c r="P153" s="184">
        <f t="shared" si="33"/>
        <v>45600589.580782637</v>
      </c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7"/>
      <c r="AS153" s="117"/>
      <c r="AT153" s="117"/>
      <c r="AU153" s="117"/>
      <c r="AV153" s="117"/>
      <c r="AW153" s="117"/>
      <c r="AX153" s="117"/>
      <c r="AY153" s="117"/>
      <c r="AZ153" s="117"/>
      <c r="BA153" s="117"/>
      <c r="BB153" s="117"/>
      <c r="BC153" s="117"/>
      <c r="BD153" s="117"/>
      <c r="BE153" s="117"/>
      <c r="BF153" s="117"/>
      <c r="BG153" s="117"/>
      <c r="BH153" s="117"/>
      <c r="BI153" s="117"/>
      <c r="BJ153" s="117"/>
      <c r="BK153" s="117"/>
      <c r="BL153" s="117"/>
      <c r="BM153" s="117"/>
      <c r="BN153" s="117"/>
      <c r="BO153" s="117"/>
      <c r="BP153" s="117"/>
      <c r="BQ153" s="117"/>
      <c r="BR153" s="117"/>
      <c r="BS153" s="117"/>
      <c r="BT153" s="117"/>
      <c r="BU153" s="117"/>
      <c r="BV153" s="117"/>
      <c r="BW153" s="117"/>
      <c r="BX153" s="117"/>
      <c r="BY153" s="117"/>
      <c r="BZ153" s="117"/>
      <c r="CA153" s="117"/>
      <c r="CB153" s="117"/>
      <c r="CC153" s="117"/>
      <c r="CD153" s="117"/>
      <c r="CE153" s="117"/>
      <c r="CF153" s="117"/>
      <c r="CG153" s="117"/>
      <c r="CH153" s="117"/>
      <c r="CI153" s="117"/>
      <c r="CJ153" s="117"/>
      <c r="CK153" s="117"/>
      <c r="CL153" s="117"/>
      <c r="CM153" s="117"/>
      <c r="CN153" s="117"/>
      <c r="CO153" s="117"/>
      <c r="CP153" s="117"/>
      <c r="CQ153" s="117"/>
      <c r="CR153" s="117"/>
      <c r="CS153" s="117"/>
      <c r="CT153" s="117"/>
      <c r="CU153" s="117"/>
      <c r="CV153" s="117"/>
      <c r="CW153" s="117"/>
      <c r="CX153" s="117"/>
      <c r="CY153" s="117"/>
      <c r="CZ153" s="117"/>
      <c r="DA153" s="117"/>
      <c r="DB153" s="117"/>
      <c r="DC153" s="117"/>
      <c r="DD153" s="117"/>
      <c r="DE153" s="117"/>
      <c r="DF153" s="117"/>
      <c r="DG153" s="117"/>
      <c r="DH153" s="117"/>
      <c r="DI153" s="117"/>
      <c r="DJ153" s="117"/>
      <c r="DK153" s="117"/>
      <c r="DL153" s="117"/>
      <c r="DM153" s="117"/>
      <c r="DN153" s="117"/>
      <c r="DO153" s="117"/>
      <c r="DP153" s="117"/>
      <c r="DQ153" s="117"/>
      <c r="DR153" s="117"/>
      <c r="DS153" s="117"/>
      <c r="DT153" s="117"/>
      <c r="DU153" s="117"/>
      <c r="DV153" s="117"/>
      <c r="DW153" s="117"/>
      <c r="DX153" s="117"/>
      <c r="DY153" s="117"/>
      <c r="DZ153" s="117"/>
      <c r="EA153" s="117"/>
      <c r="EB153" s="117"/>
      <c r="EC153" s="117"/>
      <c r="ED153" s="117"/>
      <c r="EE153" s="117"/>
      <c r="EF153" s="117"/>
      <c r="EG153" s="117"/>
      <c r="EH153" s="117"/>
      <c r="EI153" s="117"/>
      <c r="EJ153" s="117"/>
      <c r="EK153" s="117"/>
      <c r="EL153" s="117"/>
      <c r="EM153" s="117"/>
      <c r="EN153" s="117"/>
    </row>
    <row r="154" spans="1:144" s="129" customFormat="1" ht="11.25" x14ac:dyDescent="0.2">
      <c r="B154" s="329"/>
      <c r="C154" s="32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56"/>
      <c r="O154" s="156"/>
      <c r="P154" s="12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  <c r="AJ154" s="117"/>
      <c r="AK154" s="117"/>
      <c r="AL154" s="117"/>
      <c r="AM154" s="117"/>
      <c r="AN154" s="117"/>
      <c r="AO154" s="117"/>
      <c r="AP154" s="117"/>
      <c r="AQ154" s="117"/>
      <c r="AR154" s="117"/>
      <c r="AS154" s="117"/>
      <c r="AT154" s="117"/>
      <c r="AU154" s="117"/>
      <c r="AV154" s="117"/>
      <c r="AW154" s="117"/>
      <c r="AX154" s="117"/>
      <c r="AY154" s="117"/>
      <c r="AZ154" s="117"/>
      <c r="BA154" s="117"/>
      <c r="BB154" s="117"/>
      <c r="BC154" s="117"/>
      <c r="BD154" s="117"/>
      <c r="BE154" s="117"/>
      <c r="BF154" s="117"/>
      <c r="BG154" s="117"/>
      <c r="BH154" s="117"/>
      <c r="BI154" s="117"/>
      <c r="BJ154" s="117"/>
      <c r="BK154" s="117"/>
      <c r="BL154" s="117"/>
      <c r="BM154" s="117"/>
      <c r="BN154" s="117"/>
      <c r="BO154" s="117"/>
      <c r="BP154" s="117"/>
      <c r="BQ154" s="117"/>
      <c r="BR154" s="117"/>
      <c r="BS154" s="117"/>
      <c r="BT154" s="117"/>
      <c r="BU154" s="117"/>
      <c r="BV154" s="117"/>
      <c r="BW154" s="117"/>
      <c r="BX154" s="117"/>
      <c r="BY154" s="117"/>
      <c r="BZ154" s="117"/>
      <c r="CA154" s="117"/>
      <c r="CB154" s="117"/>
      <c r="CC154" s="117"/>
      <c r="CD154" s="117"/>
      <c r="CE154" s="117"/>
      <c r="CF154" s="117"/>
      <c r="CG154" s="117"/>
      <c r="CH154" s="117"/>
      <c r="CI154" s="117"/>
      <c r="CJ154" s="117"/>
      <c r="CK154" s="117"/>
      <c r="CL154" s="117"/>
      <c r="CM154" s="117"/>
      <c r="CN154" s="117"/>
      <c r="CO154" s="117"/>
      <c r="CP154" s="117"/>
      <c r="CQ154" s="117"/>
      <c r="CR154" s="117"/>
      <c r="CS154" s="117"/>
      <c r="CT154" s="117"/>
      <c r="CU154" s="117"/>
      <c r="CV154" s="117"/>
      <c r="CW154" s="117"/>
      <c r="CX154" s="117"/>
      <c r="CY154" s="117"/>
      <c r="CZ154" s="117"/>
      <c r="DA154" s="117"/>
      <c r="DB154" s="117"/>
      <c r="DC154" s="117"/>
      <c r="DD154" s="117"/>
      <c r="DE154" s="117"/>
      <c r="DF154" s="117"/>
      <c r="DG154" s="117"/>
      <c r="DH154" s="117"/>
      <c r="DI154" s="117"/>
      <c r="DJ154" s="117"/>
      <c r="DK154" s="117"/>
      <c r="DL154" s="117"/>
      <c r="DM154" s="117"/>
      <c r="DN154" s="117"/>
      <c r="DO154" s="117"/>
      <c r="DP154" s="117"/>
      <c r="DQ154" s="117"/>
      <c r="DR154" s="117"/>
      <c r="DS154" s="117"/>
      <c r="DT154" s="117"/>
      <c r="DU154" s="117"/>
      <c r="DV154" s="117"/>
      <c r="DW154" s="117"/>
      <c r="DX154" s="117"/>
      <c r="DY154" s="117"/>
      <c r="DZ154" s="117"/>
      <c r="EA154" s="117"/>
      <c r="EB154" s="117"/>
      <c r="EC154" s="117"/>
      <c r="ED154" s="117"/>
      <c r="EE154" s="117"/>
      <c r="EF154" s="117"/>
      <c r="EG154" s="117"/>
      <c r="EH154" s="117"/>
      <c r="EI154" s="117"/>
      <c r="EJ154" s="117"/>
      <c r="EK154" s="117"/>
      <c r="EL154" s="117"/>
      <c r="EM154" s="117"/>
      <c r="EN154" s="117"/>
    </row>
    <row r="155" spans="1:144" s="129" customFormat="1" ht="11.25" x14ac:dyDescent="0.2">
      <c r="A155" s="141">
        <v>12</v>
      </c>
      <c r="B155" s="148" t="s">
        <v>91</v>
      </c>
      <c r="C155" s="125" t="s">
        <v>17</v>
      </c>
      <c r="D155" s="122">
        <f t="shared" ref="D155:O155" si="34">D124+D94+D64+D33</f>
        <v>0</v>
      </c>
      <c r="E155" s="122">
        <f t="shared" si="34"/>
        <v>0</v>
      </c>
      <c r="F155" s="122">
        <f t="shared" si="34"/>
        <v>0</v>
      </c>
      <c r="G155" s="122">
        <f t="shared" si="34"/>
        <v>0</v>
      </c>
      <c r="H155" s="122">
        <f t="shared" si="34"/>
        <v>0</v>
      </c>
      <c r="I155" s="122">
        <f t="shared" si="34"/>
        <v>0</v>
      </c>
      <c r="J155" s="122">
        <f t="shared" si="34"/>
        <v>0</v>
      </c>
      <c r="K155" s="122">
        <f t="shared" si="34"/>
        <v>0</v>
      </c>
      <c r="L155" s="122">
        <f t="shared" si="34"/>
        <v>0</v>
      </c>
      <c r="M155" s="122">
        <f t="shared" si="34"/>
        <v>0</v>
      </c>
      <c r="N155" s="122">
        <f t="shared" si="34"/>
        <v>0</v>
      </c>
      <c r="O155" s="122">
        <f t="shared" si="34"/>
        <v>0</v>
      </c>
      <c r="P155" s="127">
        <f>SUM(D155:O155)</f>
        <v>0</v>
      </c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  <c r="AJ155" s="117"/>
      <c r="AK155" s="117"/>
      <c r="AL155" s="117"/>
      <c r="AM155" s="117"/>
      <c r="AN155" s="117"/>
      <c r="AO155" s="117"/>
      <c r="AP155" s="117"/>
      <c r="AQ155" s="117"/>
      <c r="AR155" s="117"/>
      <c r="AS155" s="117"/>
      <c r="AT155" s="117"/>
      <c r="AU155" s="117"/>
      <c r="AV155" s="117"/>
      <c r="AW155" s="117"/>
      <c r="AX155" s="117"/>
      <c r="AY155" s="117"/>
      <c r="AZ155" s="117"/>
      <c r="BA155" s="117"/>
      <c r="BB155" s="117"/>
      <c r="BC155" s="117"/>
      <c r="BD155" s="117"/>
      <c r="BE155" s="117"/>
      <c r="BF155" s="117"/>
      <c r="BG155" s="117"/>
      <c r="BH155" s="117"/>
      <c r="BI155" s="117"/>
      <c r="BJ155" s="117"/>
      <c r="BK155" s="117"/>
      <c r="BL155" s="117"/>
      <c r="BM155" s="117"/>
      <c r="BN155" s="117"/>
      <c r="BO155" s="117"/>
      <c r="BP155" s="117"/>
      <c r="BQ155" s="117"/>
      <c r="BR155" s="117"/>
      <c r="BS155" s="117"/>
      <c r="BT155" s="117"/>
      <c r="BU155" s="117"/>
      <c r="BV155" s="117"/>
      <c r="BW155" s="117"/>
      <c r="BX155" s="117"/>
      <c r="BY155" s="117"/>
      <c r="BZ155" s="117"/>
      <c r="CA155" s="117"/>
      <c r="CB155" s="117"/>
      <c r="CC155" s="117"/>
      <c r="CD155" s="117"/>
      <c r="CE155" s="117"/>
      <c r="CF155" s="117"/>
      <c r="CG155" s="117"/>
      <c r="CH155" s="117"/>
      <c r="CI155" s="117"/>
      <c r="CJ155" s="117"/>
      <c r="CK155" s="117"/>
      <c r="CL155" s="117"/>
      <c r="CM155" s="117"/>
      <c r="CN155" s="117"/>
      <c r="CO155" s="117"/>
      <c r="CP155" s="117"/>
      <c r="CQ155" s="117"/>
      <c r="CR155" s="117"/>
      <c r="CS155" s="117"/>
      <c r="CT155" s="117"/>
      <c r="CU155" s="117"/>
      <c r="CV155" s="117"/>
      <c r="CW155" s="117"/>
      <c r="CX155" s="117"/>
      <c r="CY155" s="117"/>
      <c r="CZ155" s="117"/>
      <c r="DA155" s="117"/>
      <c r="DB155" s="117"/>
      <c r="DC155" s="117"/>
      <c r="DD155" s="117"/>
      <c r="DE155" s="117"/>
      <c r="DF155" s="117"/>
      <c r="DG155" s="117"/>
      <c r="DH155" s="117"/>
      <c r="DI155" s="117"/>
      <c r="DJ155" s="117"/>
      <c r="DK155" s="117"/>
      <c r="DL155" s="117"/>
      <c r="DM155" s="117"/>
      <c r="DN155" s="117"/>
      <c r="DO155" s="117"/>
      <c r="DP155" s="117"/>
      <c r="DQ155" s="117"/>
      <c r="DR155" s="117"/>
      <c r="DS155" s="117"/>
      <c r="DT155" s="117"/>
      <c r="DU155" s="117"/>
      <c r="DV155" s="117"/>
      <c r="DW155" s="117"/>
      <c r="DX155" s="117"/>
      <c r="DY155" s="117"/>
      <c r="DZ155" s="117"/>
      <c r="EA155" s="117"/>
      <c r="EB155" s="117"/>
      <c r="EC155" s="117"/>
      <c r="ED155" s="117"/>
      <c r="EE155" s="117"/>
      <c r="EF155" s="117"/>
      <c r="EG155" s="117"/>
      <c r="EH155" s="117"/>
      <c r="EI155" s="117"/>
      <c r="EJ155" s="117"/>
      <c r="EK155" s="117"/>
      <c r="EL155" s="117"/>
      <c r="EM155" s="117"/>
      <c r="EN155" s="117"/>
    </row>
    <row r="156" spans="1:144" s="129" customFormat="1" ht="11.25" x14ac:dyDescent="0.2">
      <c r="A156" s="141">
        <v>13</v>
      </c>
      <c r="B156" s="148" t="s">
        <v>92</v>
      </c>
      <c r="C156" s="125" t="s">
        <v>18</v>
      </c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67">
        <f>SUM(D156:O156)</f>
        <v>0</v>
      </c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7"/>
      <c r="AL156" s="117"/>
      <c r="AM156" s="117"/>
      <c r="AN156" s="117"/>
      <c r="AO156" s="117"/>
      <c r="AP156" s="117"/>
      <c r="AQ156" s="117"/>
      <c r="AR156" s="117"/>
      <c r="AS156" s="117"/>
      <c r="AT156" s="117"/>
      <c r="AU156" s="117"/>
      <c r="AV156" s="117"/>
      <c r="AW156" s="117"/>
      <c r="AX156" s="117"/>
      <c r="AY156" s="117"/>
      <c r="AZ156" s="117"/>
      <c r="BA156" s="117"/>
      <c r="BB156" s="117"/>
      <c r="BC156" s="117"/>
      <c r="BD156" s="117"/>
      <c r="BE156" s="117"/>
      <c r="BF156" s="117"/>
      <c r="BG156" s="117"/>
      <c r="BH156" s="117"/>
      <c r="BI156" s="117"/>
      <c r="BJ156" s="117"/>
      <c r="BK156" s="117"/>
      <c r="BL156" s="117"/>
      <c r="BM156" s="117"/>
      <c r="BN156" s="117"/>
      <c r="BO156" s="117"/>
      <c r="BP156" s="117"/>
      <c r="BQ156" s="117"/>
      <c r="BR156" s="117"/>
      <c r="BS156" s="117"/>
      <c r="BT156" s="117"/>
      <c r="BU156" s="117"/>
      <c r="BV156" s="117"/>
      <c r="BW156" s="117"/>
      <c r="BX156" s="117"/>
      <c r="BY156" s="117"/>
      <c r="BZ156" s="117"/>
      <c r="CA156" s="117"/>
      <c r="CB156" s="117"/>
      <c r="CC156" s="117"/>
      <c r="CD156" s="117"/>
      <c r="CE156" s="117"/>
      <c r="CF156" s="117"/>
      <c r="CG156" s="117"/>
      <c r="CH156" s="117"/>
      <c r="CI156" s="117"/>
      <c r="CJ156" s="117"/>
      <c r="CK156" s="117"/>
      <c r="CL156" s="117"/>
      <c r="CM156" s="117"/>
      <c r="CN156" s="117"/>
      <c r="CO156" s="117"/>
      <c r="CP156" s="117"/>
      <c r="CQ156" s="117"/>
      <c r="CR156" s="117"/>
      <c r="CS156" s="117"/>
      <c r="CT156" s="117"/>
      <c r="CU156" s="117"/>
      <c r="CV156" s="117"/>
      <c r="CW156" s="117"/>
      <c r="CX156" s="117"/>
      <c r="CY156" s="117"/>
      <c r="CZ156" s="117"/>
      <c r="DA156" s="117"/>
      <c r="DB156" s="117"/>
      <c r="DC156" s="117"/>
      <c r="DD156" s="117"/>
      <c r="DE156" s="117"/>
      <c r="DF156" s="117"/>
      <c r="DG156" s="117"/>
      <c r="DH156" s="117"/>
      <c r="DI156" s="117"/>
      <c r="DJ156" s="117"/>
      <c r="DK156" s="117"/>
      <c r="DL156" s="117"/>
      <c r="DM156" s="117"/>
      <c r="DN156" s="117"/>
      <c r="DO156" s="117"/>
      <c r="DP156" s="117"/>
      <c r="DQ156" s="117"/>
      <c r="DR156" s="117"/>
      <c r="DS156" s="117"/>
      <c r="DT156" s="117"/>
      <c r="DU156" s="117"/>
      <c r="DV156" s="117"/>
      <c r="DW156" s="117"/>
      <c r="DX156" s="117"/>
      <c r="DY156" s="117"/>
      <c r="DZ156" s="117"/>
      <c r="EA156" s="117"/>
      <c r="EB156" s="117"/>
      <c r="EC156" s="117"/>
      <c r="ED156" s="117"/>
      <c r="EE156" s="117"/>
      <c r="EF156" s="117"/>
      <c r="EG156" s="117"/>
      <c r="EH156" s="117"/>
      <c r="EI156" s="117"/>
      <c r="EJ156" s="117"/>
      <c r="EK156" s="117"/>
      <c r="EL156" s="117"/>
      <c r="EM156" s="117"/>
      <c r="EN156" s="117"/>
    </row>
    <row r="157" spans="1:144" s="129" customFormat="1" ht="11.25" x14ac:dyDescent="0.2">
      <c r="A157" s="141">
        <v>14</v>
      </c>
      <c r="B157" s="183" t="s">
        <v>35</v>
      </c>
      <c r="C157" s="328"/>
      <c r="D157" s="169">
        <f t="shared" ref="D157:P157" si="35">SUM(D155:D156)</f>
        <v>0</v>
      </c>
      <c r="E157" s="169">
        <f t="shared" si="35"/>
        <v>0</v>
      </c>
      <c r="F157" s="169">
        <f t="shared" si="35"/>
        <v>0</v>
      </c>
      <c r="G157" s="169">
        <f t="shared" si="35"/>
        <v>0</v>
      </c>
      <c r="H157" s="169">
        <f t="shared" si="35"/>
        <v>0</v>
      </c>
      <c r="I157" s="169">
        <f t="shared" si="35"/>
        <v>0</v>
      </c>
      <c r="J157" s="169">
        <f t="shared" si="35"/>
        <v>0</v>
      </c>
      <c r="K157" s="169">
        <f t="shared" si="35"/>
        <v>0</v>
      </c>
      <c r="L157" s="169">
        <f t="shared" si="35"/>
        <v>0</v>
      </c>
      <c r="M157" s="169">
        <f t="shared" si="35"/>
        <v>0</v>
      </c>
      <c r="N157" s="156">
        <f t="shared" si="35"/>
        <v>0</v>
      </c>
      <c r="O157" s="156">
        <f t="shared" si="35"/>
        <v>0</v>
      </c>
      <c r="P157" s="156">
        <f t="shared" si="35"/>
        <v>0</v>
      </c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  <c r="AJ157" s="117"/>
      <c r="AK157" s="117"/>
      <c r="AL157" s="117"/>
      <c r="AM157" s="117"/>
      <c r="AN157" s="117"/>
      <c r="AO157" s="117"/>
      <c r="AP157" s="117"/>
      <c r="AQ157" s="117"/>
      <c r="AR157" s="117"/>
      <c r="AS157" s="117"/>
      <c r="AT157" s="117"/>
      <c r="AU157" s="117"/>
      <c r="AV157" s="117"/>
      <c r="AW157" s="117"/>
      <c r="AX157" s="117"/>
      <c r="AY157" s="117"/>
      <c r="AZ157" s="117"/>
      <c r="BA157" s="117"/>
      <c r="BB157" s="117"/>
      <c r="BC157" s="117"/>
      <c r="BD157" s="117"/>
      <c r="BE157" s="117"/>
      <c r="BF157" s="117"/>
      <c r="BG157" s="117"/>
      <c r="BH157" s="117"/>
      <c r="BI157" s="117"/>
      <c r="BJ157" s="117"/>
      <c r="BK157" s="117"/>
      <c r="BL157" s="117"/>
      <c r="BM157" s="117"/>
      <c r="BN157" s="117"/>
      <c r="BO157" s="117"/>
      <c r="BP157" s="117"/>
      <c r="BQ157" s="117"/>
      <c r="BR157" s="117"/>
      <c r="BS157" s="117"/>
      <c r="BT157" s="117"/>
      <c r="BU157" s="117"/>
      <c r="BV157" s="117"/>
      <c r="BW157" s="117"/>
      <c r="BX157" s="117"/>
      <c r="BY157" s="117"/>
      <c r="BZ157" s="117"/>
      <c r="CA157" s="117"/>
      <c r="CB157" s="117"/>
      <c r="CC157" s="117"/>
      <c r="CD157" s="117"/>
      <c r="CE157" s="117"/>
      <c r="CF157" s="117"/>
      <c r="CG157" s="117"/>
      <c r="CH157" s="117"/>
      <c r="CI157" s="117"/>
      <c r="CJ157" s="117"/>
      <c r="CK157" s="117"/>
      <c r="CL157" s="117"/>
      <c r="CM157" s="117"/>
      <c r="CN157" s="117"/>
      <c r="CO157" s="117"/>
      <c r="CP157" s="117"/>
      <c r="CQ157" s="117"/>
      <c r="CR157" s="117"/>
      <c r="CS157" s="117"/>
      <c r="CT157" s="117"/>
      <c r="CU157" s="117"/>
      <c r="CV157" s="117"/>
      <c r="CW157" s="117"/>
      <c r="CX157" s="117"/>
      <c r="CY157" s="117"/>
      <c r="CZ157" s="117"/>
      <c r="DA157" s="117"/>
      <c r="DB157" s="117"/>
      <c r="DC157" s="117"/>
      <c r="DD157" s="117"/>
      <c r="DE157" s="117"/>
      <c r="DF157" s="117"/>
      <c r="DG157" s="117"/>
      <c r="DH157" s="117"/>
      <c r="DI157" s="117"/>
      <c r="DJ157" s="117"/>
      <c r="DK157" s="117"/>
      <c r="DL157" s="117"/>
      <c r="DM157" s="117"/>
      <c r="DN157" s="117"/>
      <c r="DO157" s="117"/>
      <c r="DP157" s="117"/>
      <c r="DQ157" s="117"/>
      <c r="DR157" s="117"/>
      <c r="DS157" s="117"/>
      <c r="DT157" s="117"/>
      <c r="DU157" s="117"/>
      <c r="DV157" s="117"/>
      <c r="DW157" s="117"/>
      <c r="DX157" s="117"/>
      <c r="DY157" s="117"/>
      <c r="DZ157" s="117"/>
      <c r="EA157" s="117"/>
      <c r="EB157" s="117"/>
      <c r="EC157" s="117"/>
      <c r="ED157" s="117"/>
      <c r="EE157" s="117"/>
      <c r="EF157" s="117"/>
      <c r="EG157" s="117"/>
      <c r="EH157" s="117"/>
      <c r="EI157" s="117"/>
      <c r="EJ157" s="117"/>
      <c r="EK157" s="117"/>
      <c r="EL157" s="117"/>
      <c r="EM157" s="117"/>
      <c r="EN157" s="117"/>
    </row>
    <row r="158" spans="1:144" s="129" customFormat="1" ht="11.25" x14ac:dyDescent="0.2">
      <c r="A158" s="141"/>
      <c r="C158" s="185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22"/>
      <c r="O158" s="122"/>
      <c r="P158" s="12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7"/>
      <c r="AM158" s="117"/>
      <c r="AN158" s="117"/>
      <c r="AO158" s="117"/>
      <c r="AP158" s="117"/>
      <c r="AQ158" s="117"/>
      <c r="AR158" s="117"/>
      <c r="AS158" s="117"/>
      <c r="AT158" s="117"/>
      <c r="AU158" s="117"/>
      <c r="AV158" s="117"/>
      <c r="AW158" s="117"/>
      <c r="AX158" s="117"/>
      <c r="AY158" s="117"/>
      <c r="AZ158" s="117"/>
      <c r="BA158" s="117"/>
      <c r="BB158" s="117"/>
      <c r="BC158" s="117"/>
      <c r="BD158" s="117"/>
      <c r="BE158" s="117"/>
      <c r="BF158" s="117"/>
      <c r="BG158" s="117"/>
      <c r="BH158" s="117"/>
      <c r="BI158" s="117"/>
      <c r="BJ158" s="117"/>
      <c r="BK158" s="117"/>
      <c r="BL158" s="117"/>
      <c r="BM158" s="117"/>
      <c r="BN158" s="117"/>
      <c r="BO158" s="117"/>
      <c r="BP158" s="117"/>
      <c r="BQ158" s="117"/>
      <c r="BR158" s="117"/>
      <c r="BS158" s="117"/>
      <c r="BT158" s="117"/>
      <c r="BU158" s="117"/>
      <c r="BV158" s="117"/>
      <c r="BW158" s="117"/>
      <c r="BX158" s="117"/>
      <c r="BY158" s="117"/>
      <c r="BZ158" s="117"/>
      <c r="CA158" s="117"/>
      <c r="CB158" s="117"/>
      <c r="CC158" s="117"/>
      <c r="CD158" s="117"/>
      <c r="CE158" s="117"/>
      <c r="CF158" s="117"/>
      <c r="CG158" s="117"/>
      <c r="CH158" s="117"/>
      <c r="CI158" s="117"/>
      <c r="CJ158" s="117"/>
      <c r="CK158" s="117"/>
      <c r="CL158" s="117"/>
      <c r="CM158" s="117"/>
      <c r="CN158" s="117"/>
      <c r="CO158" s="117"/>
      <c r="CP158" s="117"/>
      <c r="CQ158" s="117"/>
      <c r="CR158" s="117"/>
      <c r="CS158" s="117"/>
      <c r="CT158" s="117"/>
      <c r="CU158" s="117"/>
      <c r="CV158" s="117"/>
      <c r="CW158" s="117"/>
      <c r="CX158" s="117"/>
      <c r="CY158" s="117"/>
      <c r="CZ158" s="117"/>
      <c r="DA158" s="117"/>
      <c r="DB158" s="117"/>
      <c r="DC158" s="117"/>
      <c r="DD158" s="117"/>
      <c r="DE158" s="117"/>
      <c r="DF158" s="117"/>
      <c r="DG158" s="117"/>
      <c r="DH158" s="117"/>
      <c r="DI158" s="117"/>
      <c r="DJ158" s="117"/>
      <c r="DK158" s="117"/>
      <c r="DL158" s="117"/>
      <c r="DM158" s="117"/>
      <c r="DN158" s="117"/>
      <c r="DO158" s="117"/>
      <c r="DP158" s="117"/>
      <c r="DQ158" s="117"/>
      <c r="DR158" s="117"/>
      <c r="DS158" s="117"/>
      <c r="DT158" s="117"/>
      <c r="DU158" s="117"/>
      <c r="DV158" s="117"/>
      <c r="DW158" s="117"/>
      <c r="DX158" s="117"/>
      <c r="DY158" s="117"/>
      <c r="DZ158" s="117"/>
      <c r="EA158" s="117"/>
      <c r="EB158" s="117"/>
      <c r="EC158" s="117"/>
      <c r="ED158" s="117"/>
      <c r="EE158" s="117"/>
      <c r="EF158" s="117"/>
      <c r="EG158" s="117"/>
      <c r="EH158" s="117"/>
      <c r="EI158" s="117"/>
      <c r="EJ158" s="117"/>
      <c r="EK158" s="117"/>
      <c r="EL158" s="117"/>
      <c r="EM158" s="117"/>
      <c r="EN158" s="117"/>
    </row>
    <row r="159" spans="1:144" s="129" customFormat="1" ht="12" thickBot="1" x14ac:dyDescent="0.25">
      <c r="A159" s="141">
        <v>15</v>
      </c>
      <c r="B159" s="243" t="str">
        <f>B37</f>
        <v>TOTAL AEP TEXAS</v>
      </c>
      <c r="C159" s="328"/>
      <c r="D159" s="244">
        <f t="shared" ref="D159:O159" si="36">+D157+D153</f>
        <v>4063912.4521914255</v>
      </c>
      <c r="E159" s="244">
        <f t="shared" si="36"/>
        <v>3823751.9593956382</v>
      </c>
      <c r="F159" s="244">
        <f t="shared" si="36"/>
        <v>3715851.8946977863</v>
      </c>
      <c r="G159" s="244">
        <f t="shared" si="36"/>
        <v>3562834.7843623087</v>
      </c>
      <c r="H159" s="244">
        <f t="shared" si="36"/>
        <v>3772457.499664485</v>
      </c>
      <c r="I159" s="244">
        <f t="shared" si="36"/>
        <v>3813972.1450032471</v>
      </c>
      <c r="J159" s="244">
        <f t="shared" si="36"/>
        <v>3760306.5397855584</v>
      </c>
      <c r="K159" s="244">
        <f t="shared" si="36"/>
        <v>3799365.5732651893</v>
      </c>
      <c r="L159" s="244">
        <f t="shared" si="36"/>
        <v>3953281.3882837468</v>
      </c>
      <c r="M159" s="244">
        <f t="shared" si="36"/>
        <v>3797915.7615822693</v>
      </c>
      <c r="N159" s="244">
        <f t="shared" si="36"/>
        <v>3781405.0561794755</v>
      </c>
      <c r="O159" s="244">
        <f t="shared" si="36"/>
        <v>3755534.5263715032</v>
      </c>
      <c r="P159" s="244">
        <f>P157+P153</f>
        <v>45600589.580782637</v>
      </c>
      <c r="Q159" s="195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7"/>
      <c r="AK159" s="117"/>
      <c r="AL159" s="117"/>
      <c r="AM159" s="117"/>
      <c r="AN159" s="117"/>
      <c r="AO159" s="117"/>
      <c r="AP159" s="117"/>
      <c r="AQ159" s="117"/>
      <c r="AR159" s="117"/>
      <c r="AS159" s="117"/>
      <c r="AT159" s="117"/>
      <c r="AU159" s="117"/>
      <c r="AV159" s="117"/>
      <c r="AW159" s="117"/>
      <c r="AX159" s="117"/>
      <c r="AY159" s="117"/>
      <c r="AZ159" s="117"/>
      <c r="BA159" s="117"/>
      <c r="BB159" s="117"/>
      <c r="BC159" s="117"/>
      <c r="BD159" s="117"/>
      <c r="BE159" s="117"/>
      <c r="BF159" s="117"/>
      <c r="BG159" s="117"/>
      <c r="BH159" s="117"/>
      <c r="BI159" s="117"/>
      <c r="BJ159" s="117"/>
      <c r="BK159" s="117"/>
      <c r="BL159" s="117"/>
      <c r="BM159" s="117"/>
      <c r="BN159" s="117"/>
      <c r="BO159" s="117"/>
      <c r="BP159" s="117"/>
      <c r="BQ159" s="117"/>
      <c r="BR159" s="117"/>
      <c r="BS159" s="117"/>
      <c r="BT159" s="117"/>
      <c r="BU159" s="117"/>
      <c r="BV159" s="117"/>
      <c r="BW159" s="117"/>
      <c r="BX159" s="117"/>
      <c r="BY159" s="117"/>
      <c r="BZ159" s="117"/>
      <c r="CA159" s="117"/>
      <c r="CB159" s="117"/>
      <c r="CC159" s="117"/>
      <c r="CD159" s="117"/>
      <c r="CE159" s="117"/>
      <c r="CF159" s="117"/>
      <c r="CG159" s="117"/>
      <c r="CH159" s="117"/>
      <c r="CI159" s="117"/>
      <c r="CJ159" s="117"/>
      <c r="CK159" s="117"/>
      <c r="CL159" s="117"/>
      <c r="CM159" s="117"/>
      <c r="CN159" s="117"/>
      <c r="CO159" s="117"/>
      <c r="CP159" s="117"/>
      <c r="CQ159" s="117"/>
      <c r="CR159" s="117"/>
      <c r="CS159" s="117"/>
      <c r="CT159" s="117"/>
      <c r="CU159" s="117"/>
      <c r="CV159" s="117"/>
      <c r="CW159" s="117"/>
      <c r="CX159" s="117"/>
      <c r="CY159" s="117"/>
      <c r="CZ159" s="117"/>
      <c r="DA159" s="117"/>
      <c r="DB159" s="117"/>
      <c r="DC159" s="117"/>
      <c r="DD159" s="117"/>
      <c r="DE159" s="117"/>
      <c r="DF159" s="117"/>
      <c r="DG159" s="117"/>
      <c r="DH159" s="117"/>
      <c r="DI159" s="117"/>
      <c r="DJ159" s="117"/>
      <c r="DK159" s="117"/>
      <c r="DL159" s="117"/>
      <c r="DM159" s="117"/>
      <c r="DN159" s="117"/>
      <c r="DO159" s="117"/>
      <c r="DP159" s="117"/>
      <c r="DQ159" s="117"/>
      <c r="DR159" s="117"/>
      <c r="DS159" s="117"/>
      <c r="DT159" s="117"/>
      <c r="DU159" s="117"/>
      <c r="DV159" s="117"/>
      <c r="DW159" s="117"/>
      <c r="DX159" s="117"/>
      <c r="DY159" s="117"/>
      <c r="DZ159" s="117"/>
      <c r="EA159" s="117"/>
      <c r="EB159" s="117"/>
      <c r="EC159" s="117"/>
      <c r="ED159" s="117"/>
      <c r="EE159" s="117"/>
      <c r="EF159" s="117"/>
      <c r="EG159" s="117"/>
      <c r="EH159" s="117"/>
      <c r="EI159" s="117"/>
      <c r="EJ159" s="117"/>
      <c r="EK159" s="117"/>
      <c r="EL159" s="117"/>
      <c r="EM159" s="117"/>
      <c r="EN159" s="117"/>
    </row>
    <row r="160" spans="1:144" ht="13.5" thickTop="1" x14ac:dyDescent="0.2"/>
  </sheetData>
  <mergeCells count="12">
    <mergeCell ref="B131:P131"/>
    <mergeCell ref="B132:P132"/>
    <mergeCell ref="B133:P133"/>
    <mergeCell ref="B99:P99"/>
    <mergeCell ref="B100:P100"/>
    <mergeCell ref="B101:P101"/>
    <mergeCell ref="B102:P102"/>
    <mergeCell ref="B71:O71"/>
    <mergeCell ref="B9:O9"/>
    <mergeCell ref="B10:O10"/>
    <mergeCell ref="B41:O41"/>
    <mergeCell ref="B130:P130"/>
  </mergeCells>
  <phoneticPr fontId="10" type="noConversion"/>
  <printOptions horizontalCentered="1"/>
  <pageMargins left="0.25" right="0.28999999999999998" top="0.7" bottom="0.24" header="0.77" footer="0.2"/>
  <pageSetup scale="70" fitToHeight="0" orientation="landscape" r:id="rId1"/>
  <headerFooter alignWithMargins="0">
    <oddHeader>&amp;RSchedule II-H-4.1
Page &amp;P of &amp;N</oddHeader>
    <oddFooter>&amp;LPrepared by Regulated Pricing and Analysis</oddFooter>
  </headerFooter>
  <rowBreaks count="4" manualBreakCount="4">
    <brk id="38" max="16383" man="1"/>
    <brk id="68" max="16383" man="1"/>
    <brk id="98" max="16383" man="1"/>
    <brk id="129" max="16383" man="1"/>
  </rowBreaks>
  <colBreaks count="1" manualBreakCount="1">
    <brk id="1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opLeftCell="A11" zoomScale="120" zoomScaleNormal="120" workbookViewId="0">
      <selection activeCell="B34" sqref="B34"/>
    </sheetView>
  </sheetViews>
  <sheetFormatPr defaultColWidth="9.140625" defaultRowHeight="11.25" x14ac:dyDescent="0.2"/>
  <cols>
    <col min="1" max="1" width="4.7109375" style="380" bestFit="1" customWidth="1"/>
    <col min="2" max="2" width="82.85546875" style="380" customWidth="1"/>
    <col min="3" max="16384" width="9.140625" style="380"/>
  </cols>
  <sheetData>
    <row r="1" spans="1:2" ht="12" thickBot="1" x14ac:dyDescent="0.25"/>
    <row r="2" spans="1:2" x14ac:dyDescent="0.2">
      <c r="B2" s="376" t="s">
        <v>142</v>
      </c>
    </row>
    <row r="3" spans="1:2" x14ac:dyDescent="0.2">
      <c r="B3" s="377" t="s">
        <v>143</v>
      </c>
    </row>
    <row r="4" spans="1:2" x14ac:dyDescent="0.2">
      <c r="B4" s="378" t="s">
        <v>155</v>
      </c>
    </row>
    <row r="5" spans="1:2" x14ac:dyDescent="0.2">
      <c r="B5" s="378" t="s">
        <v>145</v>
      </c>
    </row>
    <row r="6" spans="1:2" ht="12" thickBot="1" x14ac:dyDescent="0.25">
      <c r="B6" s="379" t="s">
        <v>188</v>
      </c>
    </row>
    <row r="9" spans="1:2" x14ac:dyDescent="0.2">
      <c r="A9" s="381" t="s">
        <v>44</v>
      </c>
      <c r="B9" s="381" t="s">
        <v>146</v>
      </c>
    </row>
    <row r="10" spans="1:2" x14ac:dyDescent="0.2">
      <c r="A10" s="382">
        <v>1</v>
      </c>
      <c r="B10" s="380" t="s">
        <v>156</v>
      </c>
    </row>
    <row r="11" spans="1:2" x14ac:dyDescent="0.2">
      <c r="A11" s="382"/>
      <c r="B11" s="380" t="s">
        <v>157</v>
      </c>
    </row>
    <row r="12" spans="1:2" x14ac:dyDescent="0.2">
      <c r="A12" s="382"/>
      <c r="B12" s="380" t="s">
        <v>158</v>
      </c>
    </row>
    <row r="13" spans="1:2" x14ac:dyDescent="0.2">
      <c r="A13" s="382"/>
      <c r="B13" s="380" t="s">
        <v>159</v>
      </c>
    </row>
    <row r="14" spans="1:2" x14ac:dyDescent="0.2">
      <c r="A14" s="382"/>
    </row>
    <row r="15" spans="1:2" x14ac:dyDescent="0.2">
      <c r="A15" s="382">
        <v>2</v>
      </c>
      <c r="B15" s="380" t="s">
        <v>160</v>
      </c>
    </row>
    <row r="16" spans="1:2" x14ac:dyDescent="0.2">
      <c r="A16" s="382"/>
      <c r="B16" s="380" t="s">
        <v>161</v>
      </c>
    </row>
    <row r="17" spans="1:2" x14ac:dyDescent="0.2">
      <c r="A17" s="382"/>
      <c r="B17" s="380" t="s">
        <v>162</v>
      </c>
    </row>
    <row r="18" spans="1:2" x14ac:dyDescent="0.2">
      <c r="A18" s="382"/>
      <c r="B18" s="380" t="s">
        <v>163</v>
      </c>
    </row>
    <row r="19" spans="1:2" x14ac:dyDescent="0.2">
      <c r="A19" s="382"/>
      <c r="B19" s="380" t="s">
        <v>164</v>
      </c>
    </row>
    <row r="20" spans="1:2" x14ac:dyDescent="0.2">
      <c r="A20" s="382"/>
      <c r="B20" s="380" t="s">
        <v>165</v>
      </c>
    </row>
    <row r="21" spans="1:2" x14ac:dyDescent="0.2">
      <c r="A21" s="382"/>
    </row>
    <row r="22" spans="1:2" x14ac:dyDescent="0.2">
      <c r="A22" s="382">
        <v>3</v>
      </c>
      <c r="B22" s="380" t="s">
        <v>166</v>
      </c>
    </row>
    <row r="23" spans="1:2" x14ac:dyDescent="0.2">
      <c r="A23" s="382"/>
      <c r="B23" s="380" t="s">
        <v>167</v>
      </c>
    </row>
    <row r="24" spans="1:2" x14ac:dyDescent="0.2">
      <c r="A24" s="382"/>
      <c r="B24" s="380" t="s">
        <v>168</v>
      </c>
    </row>
    <row r="25" spans="1:2" x14ac:dyDescent="0.2">
      <c r="A25" s="382"/>
      <c r="B25" s="380" t="s">
        <v>169</v>
      </c>
    </row>
    <row r="26" spans="1:2" x14ac:dyDescent="0.2">
      <c r="A26" s="382"/>
      <c r="B26" s="380" t="s">
        <v>170</v>
      </c>
    </row>
    <row r="27" spans="1:2" x14ac:dyDescent="0.2">
      <c r="A27" s="382"/>
    </row>
    <row r="28" spans="1:2" x14ac:dyDescent="0.2">
      <c r="A28" s="382">
        <v>4</v>
      </c>
      <c r="B28" s="380" t="s">
        <v>171</v>
      </c>
    </row>
    <row r="29" spans="1:2" x14ac:dyDescent="0.2">
      <c r="B29" s="380" t="s">
        <v>172</v>
      </c>
    </row>
    <row r="30" spans="1:2" x14ac:dyDescent="0.2">
      <c r="B30" s="380" t="s">
        <v>173</v>
      </c>
    </row>
    <row r="31" spans="1:2" x14ac:dyDescent="0.2">
      <c r="B31" s="380" t="s">
        <v>174</v>
      </c>
    </row>
    <row r="32" spans="1:2" x14ac:dyDescent="0.2">
      <c r="B32" s="380" t="s">
        <v>175</v>
      </c>
    </row>
  </sheetData>
  <pageMargins left="0.7" right="0.7" top="0.75" bottom="0.75" header="0.3" footer="0.3"/>
  <pageSetup orientation="portrait" r:id="rId1"/>
  <headerFooter>
    <oddHeader>&amp;RSchedule II-H-4.2</oddHeader>
    <oddFooter>&amp;LSponsored by: John O. Aaron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37"/>
  <sheetViews>
    <sheetView zoomScaleNormal="100" workbookViewId="0">
      <selection activeCell="Q36" sqref="Q36:Q37"/>
    </sheetView>
  </sheetViews>
  <sheetFormatPr defaultColWidth="9.140625" defaultRowHeight="12.75" x14ac:dyDescent="0.2"/>
  <cols>
    <col min="1" max="1" width="9.140625" style="126"/>
    <col min="2" max="2" width="32.140625" style="126" customWidth="1"/>
    <col min="3" max="3" width="9.140625" style="126"/>
    <col min="4" max="15" width="12.85546875" style="126" bestFit="1" customWidth="1"/>
    <col min="16" max="16" width="11.5703125" style="126" bestFit="1" customWidth="1"/>
    <col min="17" max="17" width="15.85546875" style="126" bestFit="1" customWidth="1"/>
    <col min="18" max="16384" width="9.140625" style="126"/>
  </cols>
  <sheetData>
    <row r="1" spans="1:145" ht="13.5" thickBot="1" x14ac:dyDescent="0.25"/>
    <row r="2" spans="1:145" x14ac:dyDescent="0.2">
      <c r="B2" s="376" t="s">
        <v>142</v>
      </c>
    </row>
    <row r="3" spans="1:145" x14ac:dyDescent="0.2">
      <c r="B3" s="377" t="s">
        <v>143</v>
      </c>
    </row>
    <row r="4" spans="1:145" x14ac:dyDescent="0.2">
      <c r="B4" s="378" t="s">
        <v>187</v>
      </c>
    </row>
    <row r="5" spans="1:145" x14ac:dyDescent="0.2">
      <c r="B5" s="378" t="s">
        <v>145</v>
      </c>
    </row>
    <row r="6" spans="1:145" ht="13.5" thickBot="1" x14ac:dyDescent="0.25">
      <c r="B6" s="379" t="s">
        <v>188</v>
      </c>
    </row>
    <row r="7" spans="1:145" s="146" customFormat="1" ht="11.25" x14ac:dyDescent="0.2">
      <c r="B7" s="393" t="s">
        <v>131</v>
      </c>
      <c r="C7" s="388"/>
      <c r="D7" s="388"/>
      <c r="E7" s="388"/>
      <c r="F7" s="388"/>
      <c r="G7" s="388"/>
      <c r="H7" s="388"/>
      <c r="I7" s="388"/>
      <c r="J7" s="388"/>
      <c r="K7" s="388"/>
      <c r="L7" s="388"/>
      <c r="M7" s="388"/>
      <c r="N7" s="388"/>
      <c r="O7" s="388"/>
      <c r="P7" s="251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</row>
    <row r="8" spans="1:145" s="146" customFormat="1" ht="11.25" x14ac:dyDescent="0.2">
      <c r="B8" s="393" t="s">
        <v>116</v>
      </c>
      <c r="C8" s="388"/>
      <c r="D8" s="388"/>
      <c r="E8" s="388"/>
      <c r="F8" s="388"/>
      <c r="G8" s="388"/>
      <c r="H8" s="388"/>
      <c r="I8" s="388"/>
      <c r="J8" s="388"/>
      <c r="K8" s="388"/>
      <c r="L8" s="388"/>
      <c r="M8" s="388"/>
      <c r="N8" s="388"/>
      <c r="O8" s="388"/>
      <c r="P8" s="147" t="s">
        <v>1</v>
      </c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</row>
    <row r="9" spans="1:145" s="146" customFormat="1" ht="11.25" x14ac:dyDescent="0.2">
      <c r="B9" s="393" t="s">
        <v>107</v>
      </c>
      <c r="C9" s="388"/>
      <c r="D9" s="388"/>
      <c r="E9" s="388"/>
      <c r="F9" s="388"/>
      <c r="G9" s="388"/>
      <c r="H9" s="388"/>
      <c r="I9" s="388"/>
      <c r="J9" s="388"/>
      <c r="K9" s="388"/>
      <c r="L9" s="388"/>
      <c r="M9" s="388"/>
      <c r="N9" s="388"/>
      <c r="O9" s="388"/>
      <c r="P9" s="146" t="s">
        <v>1</v>
      </c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8"/>
      <c r="EG9" s="148"/>
      <c r="EH9" s="148"/>
      <c r="EI9" s="148"/>
      <c r="EJ9" s="148"/>
      <c r="EK9" s="148"/>
      <c r="EL9" s="148"/>
      <c r="EM9" s="148"/>
      <c r="EN9" s="148"/>
      <c r="EO9" s="148"/>
    </row>
    <row r="10" spans="1:145" s="146" customFormat="1" ht="11.25" x14ac:dyDescent="0.2">
      <c r="B10" s="124"/>
      <c r="C10" s="328"/>
      <c r="D10" s="328"/>
      <c r="E10" s="328"/>
      <c r="F10" s="231"/>
      <c r="G10" s="328"/>
      <c r="H10" s="328"/>
      <c r="I10" s="328"/>
      <c r="J10" s="328"/>
      <c r="K10" s="328"/>
      <c r="L10" s="328"/>
      <c r="M10" s="328"/>
      <c r="N10" s="328"/>
      <c r="O10" s="32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8"/>
      <c r="EJ10" s="148"/>
      <c r="EK10" s="148"/>
      <c r="EL10" s="148"/>
      <c r="EM10" s="148"/>
      <c r="EN10" s="148"/>
      <c r="EO10" s="148"/>
    </row>
    <row r="11" spans="1:145" s="146" customFormat="1" ht="11.25" x14ac:dyDescent="0.2">
      <c r="B11" s="124" t="s">
        <v>117</v>
      </c>
      <c r="C11" s="168"/>
      <c r="D11" s="354"/>
      <c r="E11" s="177"/>
      <c r="F11" s="177"/>
      <c r="G11" s="345"/>
      <c r="H11" s="157"/>
      <c r="I11" s="157"/>
      <c r="J11" s="157"/>
      <c r="K11" s="157"/>
      <c r="L11" s="157"/>
      <c r="M11" s="157"/>
      <c r="N11" s="157"/>
      <c r="O11" s="122"/>
      <c r="P11" s="17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48"/>
      <c r="CV11" s="148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8"/>
      <c r="DV11" s="148"/>
      <c r="DW11" s="148"/>
      <c r="DX11" s="148"/>
      <c r="DY11" s="148"/>
      <c r="DZ11" s="148"/>
      <c r="EA11" s="148"/>
      <c r="EB11" s="148"/>
      <c r="EC11" s="148"/>
      <c r="ED11" s="148"/>
      <c r="EE11" s="148"/>
      <c r="EF11" s="148"/>
      <c r="EG11" s="148"/>
      <c r="EH11" s="148"/>
      <c r="EI11" s="148"/>
      <c r="EJ11" s="148"/>
      <c r="EK11" s="148"/>
      <c r="EL11" s="148"/>
      <c r="EM11" s="148"/>
      <c r="EN11" s="148"/>
      <c r="EO11" s="148"/>
    </row>
    <row r="12" spans="1:145" s="146" customFormat="1" ht="11.25" x14ac:dyDescent="0.2">
      <c r="A12" s="328" t="s">
        <v>20</v>
      </c>
      <c r="B12" s="330" t="s">
        <v>0</v>
      </c>
      <c r="C12" s="330" t="s">
        <v>19</v>
      </c>
      <c r="D12" s="164" t="s">
        <v>2</v>
      </c>
      <c r="E12" s="164" t="s">
        <v>3</v>
      </c>
      <c r="F12" s="164" t="s">
        <v>4</v>
      </c>
      <c r="G12" s="164" t="s">
        <v>5</v>
      </c>
      <c r="H12" s="164" t="s">
        <v>6</v>
      </c>
      <c r="I12" s="164" t="s">
        <v>7</v>
      </c>
      <c r="J12" s="164" t="s">
        <v>8</v>
      </c>
      <c r="K12" s="164" t="s">
        <v>9</v>
      </c>
      <c r="L12" s="164" t="s">
        <v>10</v>
      </c>
      <c r="M12" s="164" t="s">
        <v>11</v>
      </c>
      <c r="N12" s="164" t="s">
        <v>12</v>
      </c>
      <c r="O12" s="164" t="s">
        <v>13</v>
      </c>
      <c r="P12" s="179" t="s">
        <v>14</v>
      </c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8"/>
      <c r="EL12" s="148"/>
      <c r="EM12" s="148"/>
      <c r="EN12" s="148"/>
      <c r="EO12" s="148"/>
    </row>
    <row r="13" spans="1:145" s="146" customFormat="1" ht="11.25" x14ac:dyDescent="0.2">
      <c r="B13" s="330"/>
      <c r="C13" s="330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79"/>
      <c r="P13" s="179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8"/>
      <c r="EL13" s="148"/>
      <c r="EM13" s="148"/>
      <c r="EN13" s="148"/>
      <c r="EO13" s="148"/>
    </row>
    <row r="14" spans="1:145" s="129" customFormat="1" ht="11.25" x14ac:dyDescent="0.2">
      <c r="A14" s="141" t="s">
        <v>21</v>
      </c>
      <c r="B14" s="129" t="s">
        <v>29</v>
      </c>
      <c r="C14" s="143" t="s">
        <v>16</v>
      </c>
      <c r="D14" s="194">
        <f>[4]Riders!D8+[5]Riders!D8</f>
        <v>1976927.75</v>
      </c>
      <c r="E14" s="194">
        <f>[4]Riders!E8+[5]Riders!E8</f>
        <v>1973713.9700000002</v>
      </c>
      <c r="F14" s="194">
        <f>[4]Riders!F8+[5]Riders!F8</f>
        <v>1976649.53</v>
      </c>
      <c r="G14" s="194">
        <f>[4]Riders!G8+[5]Riders!G8</f>
        <v>1980220.39</v>
      </c>
      <c r="H14" s="194">
        <f>[4]Riders!H8+[5]Riders!H8</f>
        <v>1983343.5</v>
      </c>
      <c r="I14" s="194">
        <f>[4]Riders!I8+[5]Riders!I8</f>
        <v>1985316.5</v>
      </c>
      <c r="J14" s="194">
        <f>[4]Riders!J8+[5]Riders!J8</f>
        <v>1987963.52</v>
      </c>
      <c r="K14" s="194">
        <f>[4]Riders!K8+[5]Riders!K8</f>
        <v>1985098.21</v>
      </c>
      <c r="L14" s="194">
        <f>[4]Riders!L8+[5]Riders!L8</f>
        <v>1985648.8699999999</v>
      </c>
      <c r="M14" s="194">
        <f>[4]Riders!M8+[5]Riders!M8</f>
        <v>1986200.55</v>
      </c>
      <c r="N14" s="194">
        <f>[4]Riders!N8+[5]Riders!N8</f>
        <v>1989829.59</v>
      </c>
      <c r="O14" s="194">
        <f>[4]Riders!O8+[5]Riders!O8</f>
        <v>1988689.23</v>
      </c>
      <c r="P14" s="149">
        <f>SUM(D14:O14)</f>
        <v>23799601.610000003</v>
      </c>
      <c r="Q14" s="195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117"/>
      <c r="BI14" s="117"/>
      <c r="BJ14" s="117"/>
      <c r="BK14" s="117"/>
      <c r="BL14" s="117"/>
      <c r="BM14" s="117"/>
      <c r="BN14" s="117"/>
      <c r="BO14" s="117"/>
      <c r="BP14" s="117"/>
      <c r="BQ14" s="117"/>
      <c r="BR14" s="117"/>
      <c r="BS14" s="117"/>
      <c r="BT14" s="117"/>
      <c r="BU14" s="117"/>
      <c r="BV14" s="117"/>
      <c r="BW14" s="117"/>
      <c r="BX14" s="117"/>
      <c r="BY14" s="117"/>
      <c r="BZ14" s="117"/>
      <c r="CA14" s="117"/>
      <c r="CB14" s="117"/>
      <c r="CC14" s="117"/>
      <c r="CD14" s="117"/>
      <c r="CE14" s="117"/>
      <c r="CF14" s="117"/>
      <c r="CG14" s="117"/>
      <c r="CH14" s="117"/>
      <c r="CI14" s="117"/>
      <c r="CJ14" s="117"/>
      <c r="CK14" s="117"/>
      <c r="CL14" s="117"/>
      <c r="CM14" s="117"/>
      <c r="CN14" s="117"/>
      <c r="CO14" s="117"/>
      <c r="CP14" s="117"/>
      <c r="CQ14" s="117"/>
      <c r="CR14" s="117"/>
      <c r="CS14" s="117"/>
      <c r="CT14" s="117"/>
      <c r="CU14" s="117"/>
      <c r="CV14" s="117"/>
      <c r="CW14" s="117"/>
      <c r="CX14" s="117"/>
      <c r="CY14" s="117"/>
      <c r="CZ14" s="117"/>
      <c r="DA14" s="117"/>
      <c r="DB14" s="117"/>
      <c r="DC14" s="117"/>
      <c r="DD14" s="117"/>
      <c r="DE14" s="117"/>
      <c r="DF14" s="117"/>
      <c r="DG14" s="117"/>
      <c r="DH14" s="117"/>
      <c r="DI14" s="117"/>
      <c r="DJ14" s="117"/>
      <c r="DK14" s="117"/>
      <c r="DL14" s="117"/>
      <c r="DM14" s="117"/>
      <c r="DN14" s="117"/>
      <c r="DO14" s="117"/>
      <c r="DP14" s="117"/>
      <c r="DQ14" s="117"/>
      <c r="DR14" s="117"/>
      <c r="DS14" s="117"/>
      <c r="DT14" s="117"/>
      <c r="DU14" s="117"/>
      <c r="DV14" s="117"/>
      <c r="DW14" s="117"/>
      <c r="DX14" s="117"/>
      <c r="DY14" s="117"/>
      <c r="DZ14" s="117"/>
      <c r="EA14" s="117"/>
      <c r="EB14" s="117"/>
      <c r="EC14" s="117"/>
      <c r="ED14" s="117"/>
      <c r="EE14" s="117"/>
      <c r="EF14" s="117"/>
      <c r="EG14" s="117"/>
      <c r="EH14" s="117"/>
      <c r="EI14" s="117"/>
      <c r="EJ14" s="117"/>
      <c r="EK14" s="117"/>
      <c r="EL14" s="117"/>
      <c r="EM14" s="117"/>
      <c r="EN14" s="117"/>
      <c r="EO14" s="117"/>
    </row>
    <row r="15" spans="1:145" s="129" customFormat="1" ht="11.25" x14ac:dyDescent="0.2">
      <c r="C15" s="143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56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7"/>
      <c r="BR15" s="117"/>
      <c r="BS15" s="117"/>
      <c r="BT15" s="117"/>
      <c r="BU15" s="117"/>
      <c r="BV15" s="117"/>
      <c r="BW15" s="117"/>
      <c r="BX15" s="117"/>
      <c r="BY15" s="117"/>
      <c r="BZ15" s="117"/>
      <c r="CA15" s="117"/>
      <c r="CB15" s="117"/>
      <c r="CC15" s="117"/>
      <c r="CD15" s="117"/>
      <c r="CE15" s="117"/>
      <c r="CF15" s="117"/>
      <c r="CG15" s="117"/>
      <c r="CH15" s="117"/>
      <c r="CI15" s="117"/>
      <c r="CJ15" s="117"/>
      <c r="CK15" s="117"/>
      <c r="CL15" s="117"/>
      <c r="CM15" s="117"/>
      <c r="CN15" s="117"/>
      <c r="CO15" s="117"/>
      <c r="CP15" s="117"/>
      <c r="CQ15" s="117"/>
      <c r="CR15" s="117"/>
      <c r="CS15" s="117"/>
      <c r="CT15" s="117"/>
      <c r="CU15" s="117"/>
      <c r="CV15" s="117"/>
      <c r="CW15" s="117"/>
      <c r="CX15" s="117"/>
      <c r="CY15" s="117"/>
      <c r="CZ15" s="117"/>
      <c r="DA15" s="117"/>
      <c r="DB15" s="117"/>
      <c r="DC15" s="117"/>
      <c r="DD15" s="117"/>
      <c r="DE15" s="117"/>
      <c r="DF15" s="117"/>
      <c r="DG15" s="117"/>
      <c r="DH15" s="117"/>
      <c r="DI15" s="117"/>
      <c r="DJ15" s="117"/>
      <c r="DK15" s="117"/>
      <c r="DL15" s="117"/>
      <c r="DM15" s="117"/>
      <c r="DN15" s="117"/>
      <c r="DO15" s="117"/>
      <c r="DP15" s="117"/>
      <c r="DQ15" s="117"/>
      <c r="DR15" s="117"/>
      <c r="DS15" s="117"/>
      <c r="DT15" s="117"/>
      <c r="DU15" s="117"/>
      <c r="DV15" s="117"/>
      <c r="DW15" s="117"/>
      <c r="DX15" s="117"/>
      <c r="DY15" s="117"/>
      <c r="DZ15" s="117"/>
      <c r="EA15" s="117"/>
      <c r="EB15" s="117"/>
      <c r="EC15" s="117"/>
      <c r="ED15" s="117"/>
      <c r="EE15" s="117"/>
      <c r="EF15" s="117"/>
      <c r="EG15" s="117"/>
      <c r="EH15" s="117"/>
      <c r="EI15" s="117"/>
      <c r="EJ15" s="117"/>
      <c r="EK15" s="117"/>
      <c r="EL15" s="117"/>
      <c r="EM15" s="117"/>
      <c r="EN15" s="117"/>
      <c r="EO15" s="117"/>
    </row>
    <row r="16" spans="1:145" s="129" customFormat="1" ht="11.25" x14ac:dyDescent="0.2">
      <c r="A16" s="141">
        <v>2</v>
      </c>
      <c r="B16" s="129" t="s">
        <v>32</v>
      </c>
      <c r="C16" s="143" t="s">
        <v>16</v>
      </c>
      <c r="D16" s="142">
        <f>[4]Riders!D10+[5]Riders!D10</f>
        <v>373928.91</v>
      </c>
      <c r="E16" s="142">
        <f>[4]Riders!E10+[5]Riders!E10</f>
        <v>366619.4</v>
      </c>
      <c r="F16" s="142">
        <f>[4]Riders!F10+[5]Riders!F10</f>
        <v>365446.48</v>
      </c>
      <c r="G16" s="142">
        <f>[4]Riders!G10+[5]Riders!G10</f>
        <v>366824.55</v>
      </c>
      <c r="H16" s="142">
        <f>[4]Riders!H10+[5]Riders!H10</f>
        <v>367891.4</v>
      </c>
      <c r="I16" s="142">
        <f>[4]Riders!I10+[5]Riders!I10</f>
        <v>368761.36</v>
      </c>
      <c r="J16" s="142">
        <f>[4]Riders!J10+[5]Riders!J10</f>
        <v>369160.18</v>
      </c>
      <c r="K16" s="142">
        <f>[4]Riders!K10+[5]Riders!K10</f>
        <v>369335.63</v>
      </c>
      <c r="L16" s="142">
        <f>[4]Riders!L10+[5]Riders!L10</f>
        <v>369149.53</v>
      </c>
      <c r="M16" s="142">
        <f>[4]Riders!M10+[5]Riders!M10</f>
        <v>370846.51</v>
      </c>
      <c r="N16" s="142">
        <f>[4]Riders!N10+[5]Riders!N10</f>
        <v>370828.27</v>
      </c>
      <c r="O16" s="142">
        <f>[4]Riders!O10+[5]Riders!O10</f>
        <v>370231.08999999997</v>
      </c>
      <c r="P16" s="156">
        <f>SUM(D16:O16)</f>
        <v>4429023.3100000005</v>
      </c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  <c r="BY16" s="117"/>
      <c r="BZ16" s="117"/>
      <c r="CA16" s="117"/>
      <c r="CB16" s="117"/>
      <c r="CC16" s="117"/>
      <c r="CD16" s="117"/>
      <c r="CE16" s="117"/>
      <c r="CF16" s="117"/>
      <c r="CG16" s="117"/>
      <c r="CH16" s="117"/>
      <c r="CI16" s="117"/>
      <c r="CJ16" s="117"/>
      <c r="CK16" s="117"/>
      <c r="CL16" s="117"/>
      <c r="CM16" s="117"/>
      <c r="CN16" s="117"/>
      <c r="CO16" s="117"/>
      <c r="CP16" s="117"/>
      <c r="CQ16" s="117"/>
      <c r="CR16" s="117"/>
      <c r="CS16" s="117"/>
      <c r="CT16" s="117"/>
      <c r="CU16" s="117"/>
      <c r="CV16" s="117"/>
      <c r="CW16" s="117"/>
      <c r="CX16" s="117"/>
      <c r="CY16" s="117"/>
      <c r="CZ16" s="117"/>
      <c r="DA16" s="117"/>
      <c r="DB16" s="117"/>
      <c r="DC16" s="117"/>
      <c r="DD16" s="117"/>
      <c r="DE16" s="117"/>
      <c r="DF16" s="117"/>
      <c r="DG16" s="117"/>
      <c r="DH16" s="117"/>
      <c r="DI16" s="117"/>
      <c r="DJ16" s="117"/>
      <c r="DK16" s="117"/>
      <c r="DL16" s="117"/>
      <c r="DM16" s="117"/>
      <c r="DN16" s="117"/>
      <c r="DO16" s="117"/>
      <c r="DP16" s="117"/>
      <c r="DQ16" s="117"/>
      <c r="DR16" s="117"/>
      <c r="DS16" s="117"/>
      <c r="DT16" s="117"/>
      <c r="DU16" s="117"/>
      <c r="DV16" s="117"/>
      <c r="DW16" s="117"/>
      <c r="DX16" s="117"/>
      <c r="DY16" s="117"/>
      <c r="DZ16" s="117"/>
      <c r="EA16" s="117"/>
      <c r="EB16" s="117"/>
      <c r="EC16" s="117"/>
      <c r="ED16" s="117"/>
      <c r="EE16" s="117"/>
      <c r="EF16" s="117"/>
      <c r="EG16" s="117"/>
      <c r="EH16" s="117"/>
      <c r="EI16" s="117"/>
      <c r="EJ16" s="117"/>
      <c r="EK16" s="117"/>
      <c r="EL16" s="117"/>
      <c r="EM16" s="117"/>
      <c r="EN16" s="117"/>
      <c r="EO16" s="117"/>
    </row>
    <row r="17" spans="1:145" s="129" customFormat="1" ht="11.25" x14ac:dyDescent="0.2">
      <c r="A17" s="141"/>
      <c r="C17" s="143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56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A17" s="117"/>
      <c r="CB17" s="117"/>
      <c r="CC17" s="117"/>
      <c r="CD17" s="117"/>
      <c r="CE17" s="117"/>
      <c r="CF17" s="117"/>
      <c r="CG17" s="117"/>
      <c r="CH17" s="117"/>
      <c r="CI17" s="117"/>
      <c r="CJ17" s="117"/>
      <c r="CK17" s="117"/>
      <c r="CL17" s="117"/>
      <c r="CM17" s="117"/>
      <c r="CN17" s="117"/>
      <c r="CO17" s="117"/>
      <c r="CP17" s="117"/>
      <c r="CQ17" s="117"/>
      <c r="CR17" s="117"/>
      <c r="CS17" s="117"/>
      <c r="CT17" s="117"/>
      <c r="CU17" s="117"/>
      <c r="CV17" s="117"/>
      <c r="CW17" s="117"/>
      <c r="CX17" s="117"/>
      <c r="CY17" s="117"/>
      <c r="CZ17" s="117"/>
      <c r="DA17" s="117"/>
      <c r="DB17" s="117"/>
      <c r="DC17" s="117"/>
      <c r="DD17" s="117"/>
      <c r="DE17" s="117"/>
      <c r="DF17" s="117"/>
      <c r="DG17" s="117"/>
      <c r="DH17" s="117"/>
      <c r="DI17" s="117"/>
      <c r="DJ17" s="117"/>
      <c r="DK17" s="117"/>
      <c r="DL17" s="117"/>
      <c r="DM17" s="117"/>
      <c r="DN17" s="117"/>
      <c r="DO17" s="117"/>
      <c r="DP17" s="117"/>
      <c r="DQ17" s="117"/>
      <c r="DR17" s="117"/>
      <c r="DS17" s="117"/>
      <c r="DT17" s="117"/>
      <c r="DU17" s="117"/>
      <c r="DV17" s="117"/>
      <c r="DW17" s="117"/>
      <c r="DX17" s="117"/>
      <c r="DY17" s="117"/>
      <c r="DZ17" s="117"/>
      <c r="EA17" s="117"/>
      <c r="EB17" s="117"/>
      <c r="EC17" s="117"/>
      <c r="ED17" s="117"/>
      <c r="EE17" s="117"/>
      <c r="EF17" s="117"/>
      <c r="EG17" s="117"/>
      <c r="EH17" s="117"/>
      <c r="EI17" s="117"/>
      <c r="EJ17" s="117"/>
      <c r="EK17" s="117"/>
      <c r="EL17" s="117"/>
      <c r="EM17" s="117"/>
      <c r="EN17" s="117"/>
      <c r="EO17" s="117"/>
    </row>
    <row r="18" spans="1:145" s="129" customFormat="1" ht="11.25" x14ac:dyDescent="0.2">
      <c r="A18" s="141">
        <v>3</v>
      </c>
      <c r="B18" s="146" t="s">
        <v>113</v>
      </c>
      <c r="C18" s="125" t="s">
        <v>16</v>
      </c>
      <c r="D18" s="142">
        <f>[4]Riders!D12+[5]Riders!D12</f>
        <v>135939.76</v>
      </c>
      <c r="E18" s="142">
        <f>[4]Riders!E12+[5]Riders!E12</f>
        <v>138034.92000000001</v>
      </c>
      <c r="F18" s="142">
        <f>[4]Riders!F12+[5]Riders!F12</f>
        <v>139488.57</v>
      </c>
      <c r="G18" s="142">
        <f>[4]Riders!G12+[5]Riders!G12</f>
        <v>139719.45000000001</v>
      </c>
      <c r="H18" s="142">
        <f>[4]Riders!H12+[5]Riders!H12</f>
        <v>139491.53</v>
      </c>
      <c r="I18" s="142">
        <f>[4]Riders!I12+[5]Riders!I12</f>
        <v>139678.71</v>
      </c>
      <c r="J18" s="142">
        <f>[4]Riders!J12+[5]Riders!J12</f>
        <v>139767.79999999999</v>
      </c>
      <c r="K18" s="142">
        <f>[4]Riders!K12+[5]Riders!K12</f>
        <v>139992.69</v>
      </c>
      <c r="L18" s="142">
        <f>[4]Riders!L12+[5]Riders!L12</f>
        <v>139776.77000000002</v>
      </c>
      <c r="M18" s="142">
        <f>[4]Riders!M12+[5]Riders!M12</f>
        <v>139530.19</v>
      </c>
      <c r="N18" s="142">
        <f>[4]Riders!N12+[5]Riders!N12</f>
        <v>139648.95000000001</v>
      </c>
      <c r="O18" s="142">
        <f>[4]Riders!O12+[5]Riders!O12</f>
        <v>140133.9</v>
      </c>
      <c r="P18" s="156">
        <f>SUM(D18:O18)</f>
        <v>1671203.2399999998</v>
      </c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117"/>
      <c r="BT18" s="117"/>
      <c r="BU18" s="117"/>
      <c r="BV18" s="117"/>
      <c r="BW18" s="117"/>
      <c r="BX18" s="117"/>
      <c r="BY18" s="117"/>
      <c r="BZ18" s="117"/>
      <c r="CA18" s="117"/>
      <c r="CB18" s="117"/>
      <c r="CC18" s="117"/>
      <c r="CD18" s="117"/>
      <c r="CE18" s="117"/>
      <c r="CF18" s="117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/>
      <c r="CS18" s="117"/>
      <c r="CT18" s="117"/>
      <c r="CU18" s="117"/>
      <c r="CV18" s="117"/>
      <c r="CW18" s="117"/>
      <c r="CX18" s="117"/>
      <c r="CY18" s="117"/>
      <c r="CZ18" s="117"/>
      <c r="DA18" s="117"/>
      <c r="DB18" s="117"/>
      <c r="DC18" s="117"/>
      <c r="DD18" s="117"/>
      <c r="DE18" s="117"/>
      <c r="DF18" s="117"/>
      <c r="DG18" s="117"/>
      <c r="DH18" s="117"/>
      <c r="DI18" s="117"/>
      <c r="DJ18" s="117"/>
      <c r="DK18" s="117"/>
      <c r="DL18" s="117"/>
      <c r="DM18" s="117"/>
      <c r="DN18" s="117"/>
      <c r="DO18" s="117"/>
      <c r="DP18" s="117"/>
      <c r="DQ18" s="117"/>
      <c r="DR18" s="117"/>
      <c r="DS18" s="117"/>
      <c r="DT18" s="117"/>
      <c r="DU18" s="117"/>
      <c r="DV18" s="117"/>
      <c r="DW18" s="117"/>
      <c r="DX18" s="117"/>
      <c r="DY18" s="117"/>
      <c r="DZ18" s="117"/>
      <c r="EA18" s="117"/>
      <c r="EB18" s="117"/>
      <c r="EC18" s="117"/>
      <c r="ED18" s="117"/>
      <c r="EE18" s="117"/>
      <c r="EF18" s="117"/>
      <c r="EG18" s="117"/>
      <c r="EH18" s="117"/>
      <c r="EI18" s="117"/>
      <c r="EJ18" s="117"/>
      <c r="EK18" s="117"/>
      <c r="EL18" s="117"/>
      <c r="EM18" s="117"/>
      <c r="EN18" s="117"/>
      <c r="EO18" s="117"/>
    </row>
    <row r="19" spans="1:145" s="129" customFormat="1" ht="11.25" x14ac:dyDescent="0.2">
      <c r="A19" s="141">
        <v>4</v>
      </c>
      <c r="B19" s="146" t="s">
        <v>114</v>
      </c>
      <c r="C19" s="125" t="s">
        <v>16</v>
      </c>
      <c r="D19" s="123">
        <f>[4]Riders!D13+[5]Riders!D13</f>
        <v>0</v>
      </c>
      <c r="E19" s="123">
        <f>[4]Riders!E13+[5]Riders!E13</f>
        <v>0</v>
      </c>
      <c r="F19" s="123">
        <f>[4]Riders!F13+[5]Riders!F13</f>
        <v>0</v>
      </c>
      <c r="G19" s="123">
        <f>[4]Riders!G13+[5]Riders!G13</f>
        <v>0</v>
      </c>
      <c r="H19" s="123">
        <f>[4]Riders!H13+[5]Riders!H13</f>
        <v>0</v>
      </c>
      <c r="I19" s="123">
        <f>[4]Riders!I13+[5]Riders!I13</f>
        <v>0</v>
      </c>
      <c r="J19" s="123">
        <f>[4]Riders!J13+[5]Riders!J13</f>
        <v>0</v>
      </c>
      <c r="K19" s="123">
        <f>[4]Riders!K13+[5]Riders!K13</f>
        <v>0</v>
      </c>
      <c r="L19" s="123">
        <f>[4]Riders!L13+[5]Riders!L13</f>
        <v>0</v>
      </c>
      <c r="M19" s="123">
        <f>[4]Riders!M13+[5]Riders!M13</f>
        <v>0</v>
      </c>
      <c r="N19" s="123">
        <f>[4]Riders!N13+[5]Riders!N13</f>
        <v>0</v>
      </c>
      <c r="O19" s="123">
        <f>[4]Riders!O13+[5]Riders!O13</f>
        <v>0</v>
      </c>
      <c r="P19" s="123">
        <f>SUM(D19:O19)</f>
        <v>0</v>
      </c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117"/>
      <c r="BT19" s="117"/>
      <c r="BU19" s="117"/>
      <c r="BV19" s="117"/>
      <c r="BW19" s="117"/>
      <c r="BX19" s="117"/>
      <c r="BY19" s="117"/>
      <c r="BZ19" s="117"/>
      <c r="CA19" s="117"/>
      <c r="CB19" s="117"/>
      <c r="CC19" s="117"/>
      <c r="CD19" s="117"/>
      <c r="CE19" s="117"/>
      <c r="CF19" s="117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/>
      <c r="CR19" s="117"/>
      <c r="CS19" s="117"/>
      <c r="CT19" s="117"/>
      <c r="CU19" s="117"/>
      <c r="CV19" s="117"/>
      <c r="CW19" s="117"/>
      <c r="CX19" s="117"/>
      <c r="CY19" s="117"/>
      <c r="CZ19" s="117"/>
      <c r="DA19" s="117"/>
      <c r="DB19" s="117"/>
      <c r="DC19" s="117"/>
      <c r="DD19" s="117"/>
      <c r="DE19" s="117"/>
      <c r="DF19" s="117"/>
      <c r="DG19" s="117"/>
      <c r="DH19" s="117"/>
      <c r="DI19" s="117"/>
      <c r="DJ19" s="117"/>
      <c r="DK19" s="117"/>
      <c r="DL19" s="117"/>
      <c r="DM19" s="117"/>
      <c r="DN19" s="117"/>
      <c r="DO19" s="117"/>
      <c r="DP19" s="117"/>
      <c r="DQ19" s="117"/>
      <c r="DR19" s="117"/>
      <c r="DS19" s="117"/>
      <c r="DT19" s="117"/>
      <c r="DU19" s="117"/>
      <c r="DV19" s="117"/>
      <c r="DW19" s="117"/>
      <c r="DX19" s="117"/>
      <c r="DY19" s="117"/>
      <c r="DZ19" s="117"/>
      <c r="EA19" s="117"/>
      <c r="EB19" s="117"/>
      <c r="EC19" s="117"/>
      <c r="ED19" s="117"/>
      <c r="EE19" s="117"/>
      <c r="EF19" s="117"/>
      <c r="EG19" s="117"/>
      <c r="EH19" s="117"/>
      <c r="EI19" s="117"/>
      <c r="EJ19" s="117"/>
      <c r="EK19" s="117"/>
      <c r="EL19" s="117"/>
      <c r="EM19" s="117"/>
      <c r="EN19" s="117"/>
      <c r="EO19" s="117"/>
    </row>
    <row r="20" spans="1:145" s="129" customFormat="1" ht="11.25" x14ac:dyDescent="0.2">
      <c r="A20" s="141">
        <v>5</v>
      </c>
      <c r="B20" s="162" t="s">
        <v>30</v>
      </c>
      <c r="C20" s="143"/>
      <c r="D20" s="157">
        <f>SUM(D18:D19)</f>
        <v>135939.76</v>
      </c>
      <c r="E20" s="157">
        <f t="shared" ref="E20:O20" si="0">SUM(E18:E19)</f>
        <v>138034.92000000001</v>
      </c>
      <c r="F20" s="157">
        <f t="shared" si="0"/>
        <v>139488.57</v>
      </c>
      <c r="G20" s="157">
        <f t="shared" si="0"/>
        <v>139719.45000000001</v>
      </c>
      <c r="H20" s="157">
        <f t="shared" si="0"/>
        <v>139491.53</v>
      </c>
      <c r="I20" s="157">
        <f t="shared" si="0"/>
        <v>139678.71</v>
      </c>
      <c r="J20" s="157">
        <f t="shared" si="0"/>
        <v>139767.79999999999</v>
      </c>
      <c r="K20" s="157">
        <f t="shared" si="0"/>
        <v>139992.69</v>
      </c>
      <c r="L20" s="157">
        <f t="shared" si="0"/>
        <v>139776.77000000002</v>
      </c>
      <c r="M20" s="157">
        <f t="shared" si="0"/>
        <v>139530.19</v>
      </c>
      <c r="N20" s="157">
        <f t="shared" si="0"/>
        <v>139648.95000000001</v>
      </c>
      <c r="O20" s="157">
        <f t="shared" si="0"/>
        <v>140133.9</v>
      </c>
      <c r="P20" s="157">
        <f>SUM(P18:P19)</f>
        <v>1671203.2399999998</v>
      </c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17"/>
      <c r="BS20" s="117"/>
      <c r="BT20" s="117"/>
      <c r="BU20" s="117"/>
      <c r="BV20" s="117"/>
      <c r="BW20" s="117"/>
      <c r="BX20" s="117"/>
      <c r="BY20" s="117"/>
      <c r="BZ20" s="117"/>
      <c r="CA20" s="117"/>
      <c r="CB20" s="117"/>
      <c r="CC20" s="117"/>
      <c r="CD20" s="117"/>
      <c r="CE20" s="117"/>
      <c r="CF20" s="117"/>
      <c r="CG20" s="117"/>
      <c r="CH20" s="117"/>
      <c r="CI20" s="117"/>
      <c r="CJ20" s="117"/>
      <c r="CK20" s="117"/>
      <c r="CL20" s="117"/>
      <c r="CM20" s="117"/>
      <c r="CN20" s="117"/>
      <c r="CO20" s="117"/>
      <c r="CP20" s="117"/>
      <c r="CQ20" s="117"/>
      <c r="CR20" s="117"/>
      <c r="CS20" s="117"/>
      <c r="CT20" s="117"/>
      <c r="CU20" s="117"/>
      <c r="CV20" s="117"/>
      <c r="CW20" s="117"/>
      <c r="CX20" s="117"/>
      <c r="CY20" s="117"/>
      <c r="CZ20" s="117"/>
      <c r="DA20" s="117"/>
      <c r="DB20" s="117"/>
      <c r="DC20" s="117"/>
      <c r="DD20" s="117"/>
      <c r="DE20" s="117"/>
      <c r="DF20" s="117"/>
      <c r="DG20" s="117"/>
      <c r="DH20" s="117"/>
      <c r="DI20" s="117"/>
      <c r="DJ20" s="117"/>
      <c r="DK20" s="117"/>
      <c r="DL20" s="117"/>
      <c r="DM20" s="117"/>
      <c r="DN20" s="117"/>
      <c r="DO20" s="117"/>
      <c r="DP20" s="117"/>
      <c r="DQ20" s="117"/>
      <c r="DR20" s="117"/>
      <c r="DS20" s="117"/>
      <c r="DT20" s="117"/>
      <c r="DU20" s="117"/>
      <c r="DV20" s="117"/>
      <c r="DW20" s="117"/>
      <c r="DX20" s="117"/>
      <c r="DY20" s="117"/>
      <c r="DZ20" s="117"/>
      <c r="EA20" s="117"/>
      <c r="EB20" s="117"/>
      <c r="EC20" s="117"/>
      <c r="ED20" s="117"/>
      <c r="EE20" s="117"/>
      <c r="EF20" s="117"/>
      <c r="EG20" s="117"/>
      <c r="EH20" s="117"/>
      <c r="EI20" s="117"/>
      <c r="EJ20" s="117"/>
      <c r="EK20" s="117"/>
      <c r="EL20" s="117"/>
      <c r="EM20" s="117"/>
      <c r="EN20" s="117"/>
      <c r="EO20" s="117"/>
    </row>
    <row r="21" spans="1:145" s="129" customFormat="1" ht="11.25" x14ac:dyDescent="0.2">
      <c r="B21" s="242"/>
      <c r="C21" s="143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22"/>
      <c r="P21" s="122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117"/>
      <c r="BS21" s="117"/>
      <c r="BT21" s="117"/>
      <c r="BU21" s="117"/>
      <c r="BV21" s="117"/>
      <c r="BW21" s="117"/>
      <c r="BX21" s="117"/>
      <c r="BY21" s="117"/>
      <c r="BZ21" s="117"/>
      <c r="CA21" s="117"/>
      <c r="CB21" s="117"/>
      <c r="CC21" s="117"/>
      <c r="CD21" s="117"/>
      <c r="CE21" s="117"/>
      <c r="CF21" s="117"/>
      <c r="CG21" s="117"/>
      <c r="CH21" s="117"/>
      <c r="CI21" s="117"/>
      <c r="CJ21" s="117"/>
      <c r="CK21" s="117"/>
      <c r="CL21" s="117"/>
      <c r="CM21" s="117"/>
      <c r="CN21" s="117"/>
      <c r="CO21" s="117"/>
      <c r="CP21" s="117"/>
      <c r="CQ21" s="117"/>
      <c r="CR21" s="117"/>
      <c r="CS21" s="117"/>
      <c r="CT21" s="117"/>
      <c r="CU21" s="117"/>
      <c r="CV21" s="117"/>
      <c r="CW21" s="117"/>
      <c r="CX21" s="117"/>
      <c r="CY21" s="117"/>
      <c r="CZ21" s="117"/>
      <c r="DA21" s="117"/>
      <c r="DB21" s="117"/>
      <c r="DC21" s="117"/>
      <c r="DD21" s="117"/>
      <c r="DE21" s="117"/>
      <c r="DF21" s="117"/>
      <c r="DG21" s="117"/>
      <c r="DH21" s="117"/>
      <c r="DI21" s="117"/>
      <c r="DJ21" s="117"/>
      <c r="DK21" s="117"/>
      <c r="DL21" s="117"/>
      <c r="DM21" s="117"/>
      <c r="DN21" s="117"/>
      <c r="DO21" s="117"/>
      <c r="DP21" s="117"/>
      <c r="DQ21" s="117"/>
      <c r="DR21" s="117"/>
      <c r="DS21" s="117"/>
      <c r="DT21" s="117"/>
      <c r="DU21" s="117"/>
      <c r="DV21" s="117"/>
      <c r="DW21" s="117"/>
      <c r="DX21" s="117"/>
      <c r="DY21" s="117"/>
      <c r="DZ21" s="117"/>
      <c r="EA21" s="117"/>
      <c r="EB21" s="117"/>
      <c r="EC21" s="117"/>
      <c r="ED21" s="117"/>
      <c r="EE21" s="117"/>
      <c r="EF21" s="117"/>
      <c r="EG21" s="117"/>
      <c r="EH21" s="117"/>
      <c r="EI21" s="117"/>
      <c r="EJ21" s="117"/>
      <c r="EK21" s="117"/>
      <c r="EL21" s="117"/>
      <c r="EM21" s="117"/>
      <c r="EN21" s="117"/>
      <c r="EO21" s="117"/>
    </row>
    <row r="22" spans="1:145" s="129" customFormat="1" ht="11.25" x14ac:dyDescent="0.2">
      <c r="A22" s="141">
        <v>6</v>
      </c>
      <c r="B22" s="146" t="s">
        <v>110</v>
      </c>
      <c r="C22" s="125" t="s">
        <v>17</v>
      </c>
      <c r="D22" s="142">
        <f>[4]Riders!D16+[5]Riders!D16</f>
        <v>-1360.4399999999998</v>
      </c>
      <c r="E22" s="142">
        <f>[4]Riders!E16+[5]Riders!E16</f>
        <v>-1333.7</v>
      </c>
      <c r="F22" s="142">
        <f>[4]Riders!F16+[5]Riders!F16</f>
        <v>-1344.3799999999999</v>
      </c>
      <c r="G22" s="142">
        <f>[4]Riders!G16+[5]Riders!G16</f>
        <v>-1340.89</v>
      </c>
      <c r="H22" s="142">
        <f>[4]Riders!H16+[5]Riders!H16</f>
        <v>-1350.77</v>
      </c>
      <c r="I22" s="142">
        <f>[4]Riders!I16+[5]Riders!I16</f>
        <v>-1335.72</v>
      </c>
      <c r="J22" s="142">
        <f>[4]Riders!J16+[5]Riders!J16</f>
        <v>-1371.1499999999999</v>
      </c>
      <c r="K22" s="142">
        <f>[4]Riders!K16+[5]Riders!K16</f>
        <v>-1367.35</v>
      </c>
      <c r="L22" s="142">
        <f>[4]Riders!L16+[5]Riders!L16</f>
        <v>-1387.54</v>
      </c>
      <c r="M22" s="142">
        <f>[4]Riders!M16+[5]Riders!M16</f>
        <v>-1364.22</v>
      </c>
      <c r="N22" s="142">
        <f>[4]Riders!N16+[5]Riders!N16</f>
        <v>-1378.4299999999998</v>
      </c>
      <c r="O22" s="142">
        <f>[4]Riders!O16+[5]Riders!O16</f>
        <v>-1358.39</v>
      </c>
      <c r="P22" s="156">
        <f>SUM(D22:O22)</f>
        <v>-16292.980000000001</v>
      </c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/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7"/>
      <c r="CA22" s="117"/>
      <c r="CB22" s="117"/>
      <c r="CC22" s="117"/>
      <c r="CD22" s="117"/>
      <c r="CE22" s="117"/>
      <c r="CF22" s="117"/>
      <c r="CG22" s="117"/>
      <c r="CH22" s="117"/>
      <c r="CI22" s="117"/>
      <c r="CJ22" s="117"/>
      <c r="CK22" s="117"/>
      <c r="CL22" s="117"/>
      <c r="CM22" s="117"/>
      <c r="CN22" s="117"/>
      <c r="CO22" s="117"/>
      <c r="CP22" s="117"/>
      <c r="CQ22" s="117"/>
      <c r="CR22" s="117"/>
      <c r="CS22" s="117"/>
      <c r="CT22" s="117"/>
      <c r="CU22" s="117"/>
      <c r="CV22" s="117"/>
      <c r="CW22" s="117"/>
      <c r="CX22" s="117"/>
      <c r="CY22" s="117"/>
      <c r="CZ22" s="117"/>
      <c r="DA22" s="117"/>
      <c r="DB22" s="117"/>
      <c r="DC22" s="117"/>
      <c r="DD22" s="117"/>
      <c r="DE22" s="117"/>
      <c r="DF22" s="117"/>
      <c r="DG22" s="117"/>
      <c r="DH22" s="117"/>
      <c r="DI22" s="117"/>
      <c r="DJ22" s="117"/>
      <c r="DK22" s="117"/>
      <c r="DL22" s="117"/>
      <c r="DM22" s="117"/>
      <c r="DN22" s="117"/>
      <c r="DO22" s="117"/>
      <c r="DP22" s="117"/>
      <c r="DQ22" s="117"/>
      <c r="DR22" s="117"/>
      <c r="DS22" s="117"/>
      <c r="DT22" s="117"/>
      <c r="DU22" s="117"/>
      <c r="DV22" s="117"/>
      <c r="DW22" s="117"/>
      <c r="DX22" s="117"/>
      <c r="DY22" s="117"/>
      <c r="DZ22" s="117"/>
      <c r="EA22" s="117"/>
      <c r="EB22" s="117"/>
      <c r="EC22" s="117"/>
      <c r="ED22" s="117"/>
      <c r="EE22" s="117"/>
      <c r="EF22" s="117"/>
      <c r="EG22" s="117"/>
      <c r="EH22" s="117"/>
      <c r="EI22" s="117"/>
      <c r="EJ22" s="117"/>
      <c r="EK22" s="117"/>
      <c r="EL22" s="117"/>
      <c r="EM22" s="117"/>
      <c r="EN22" s="117"/>
      <c r="EO22" s="117"/>
    </row>
    <row r="23" spans="1:145" s="129" customFormat="1" ht="11.25" x14ac:dyDescent="0.2">
      <c r="A23" s="141">
        <v>7</v>
      </c>
      <c r="B23" s="146" t="s">
        <v>111</v>
      </c>
      <c r="C23" s="125" t="s">
        <v>17</v>
      </c>
      <c r="D23" s="123">
        <f>[4]Riders!D17+[5]Riders!D17</f>
        <v>0</v>
      </c>
      <c r="E23" s="123">
        <f>[4]Riders!E17+[5]Riders!E17</f>
        <v>0</v>
      </c>
      <c r="F23" s="123">
        <f>[4]Riders!F17+[5]Riders!F17</f>
        <v>0</v>
      </c>
      <c r="G23" s="123">
        <f>[4]Riders!G17+[5]Riders!G17</f>
        <v>0</v>
      </c>
      <c r="H23" s="123">
        <f>[4]Riders!H17+[5]Riders!H17</f>
        <v>0</v>
      </c>
      <c r="I23" s="123">
        <f>[4]Riders!I17+[5]Riders!I17</f>
        <v>0</v>
      </c>
      <c r="J23" s="123">
        <f>[4]Riders!J17+[5]Riders!J17</f>
        <v>0</v>
      </c>
      <c r="K23" s="123">
        <f>[4]Riders!K17+[5]Riders!K17</f>
        <v>0</v>
      </c>
      <c r="L23" s="123">
        <f>[4]Riders!L17+[5]Riders!L17</f>
        <v>0</v>
      </c>
      <c r="M23" s="123">
        <f>[4]Riders!M17+[5]Riders!M17</f>
        <v>0</v>
      </c>
      <c r="N23" s="123">
        <f>[4]Riders!N17+[5]Riders!N17</f>
        <v>0</v>
      </c>
      <c r="O23" s="123">
        <f>[4]Riders!O17+[5]Riders!O17</f>
        <v>0</v>
      </c>
      <c r="P23" s="173">
        <f>SUM(D23:O23)</f>
        <v>0</v>
      </c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117"/>
      <c r="BS23" s="117"/>
      <c r="BT23" s="117"/>
      <c r="BU23" s="117"/>
      <c r="BV23" s="117"/>
      <c r="BW23" s="117"/>
      <c r="BX23" s="117"/>
      <c r="BY23" s="117"/>
      <c r="BZ23" s="117"/>
      <c r="CA23" s="117"/>
      <c r="CB23" s="117"/>
      <c r="CC23" s="117"/>
      <c r="CD23" s="117"/>
      <c r="CE23" s="117"/>
      <c r="CF23" s="117"/>
      <c r="CG23" s="117"/>
      <c r="CH23" s="117"/>
      <c r="CI23" s="117"/>
      <c r="CJ23" s="117"/>
      <c r="CK23" s="117"/>
      <c r="CL23" s="117"/>
      <c r="CM23" s="117"/>
      <c r="CN23" s="117"/>
      <c r="CO23" s="117"/>
      <c r="CP23" s="117"/>
      <c r="CQ23" s="117"/>
      <c r="CR23" s="117"/>
      <c r="CS23" s="117"/>
      <c r="CT23" s="117"/>
      <c r="CU23" s="117"/>
      <c r="CV23" s="117"/>
      <c r="CW23" s="117"/>
      <c r="CX23" s="117"/>
      <c r="CY23" s="117"/>
      <c r="CZ23" s="117"/>
      <c r="DA23" s="117"/>
      <c r="DB23" s="117"/>
      <c r="DC23" s="117"/>
      <c r="DD23" s="117"/>
      <c r="DE23" s="117"/>
      <c r="DF23" s="117"/>
      <c r="DG23" s="117"/>
      <c r="DH23" s="117"/>
      <c r="DI23" s="117"/>
      <c r="DJ23" s="117"/>
      <c r="DK23" s="117"/>
      <c r="DL23" s="117"/>
      <c r="DM23" s="117"/>
      <c r="DN23" s="117"/>
      <c r="DO23" s="117"/>
      <c r="DP23" s="117"/>
      <c r="DQ23" s="117"/>
      <c r="DR23" s="117"/>
      <c r="DS23" s="117"/>
      <c r="DT23" s="117"/>
      <c r="DU23" s="117"/>
      <c r="DV23" s="117"/>
      <c r="DW23" s="117"/>
      <c r="DX23" s="117"/>
      <c r="DY23" s="117"/>
      <c r="DZ23" s="117"/>
      <c r="EA23" s="117"/>
      <c r="EB23" s="117"/>
      <c r="EC23" s="117"/>
      <c r="ED23" s="117"/>
      <c r="EE23" s="117"/>
      <c r="EF23" s="117"/>
      <c r="EG23" s="117"/>
      <c r="EH23" s="117"/>
      <c r="EI23" s="117"/>
      <c r="EJ23" s="117"/>
      <c r="EK23" s="117"/>
      <c r="EL23" s="117"/>
      <c r="EM23" s="117"/>
      <c r="EN23" s="117"/>
      <c r="EO23" s="117"/>
    </row>
    <row r="24" spans="1:145" s="129" customFormat="1" ht="11.25" x14ac:dyDescent="0.2">
      <c r="A24" s="141">
        <v>8</v>
      </c>
      <c r="B24" s="129" t="s">
        <v>31</v>
      </c>
      <c r="C24" s="125"/>
      <c r="D24" s="122">
        <f>SUM(D22:D23)</f>
        <v>-1360.4399999999998</v>
      </c>
      <c r="E24" s="122">
        <f t="shared" ref="E24:O24" si="1">SUM(E22:E23)</f>
        <v>-1333.7</v>
      </c>
      <c r="F24" s="122">
        <f t="shared" si="1"/>
        <v>-1344.3799999999999</v>
      </c>
      <c r="G24" s="122">
        <f t="shared" si="1"/>
        <v>-1340.89</v>
      </c>
      <c r="H24" s="122">
        <f t="shared" si="1"/>
        <v>-1350.77</v>
      </c>
      <c r="I24" s="122">
        <f t="shared" si="1"/>
        <v>-1335.72</v>
      </c>
      <c r="J24" s="122">
        <f t="shared" si="1"/>
        <v>-1371.1499999999999</v>
      </c>
      <c r="K24" s="122">
        <f t="shared" si="1"/>
        <v>-1367.35</v>
      </c>
      <c r="L24" s="122">
        <f t="shared" si="1"/>
        <v>-1387.54</v>
      </c>
      <c r="M24" s="122">
        <f t="shared" si="1"/>
        <v>-1364.22</v>
      </c>
      <c r="N24" s="122">
        <f t="shared" si="1"/>
        <v>-1378.4299999999998</v>
      </c>
      <c r="O24" s="122">
        <f t="shared" si="1"/>
        <v>-1358.39</v>
      </c>
      <c r="P24" s="122">
        <f>SUM(P22:P23)</f>
        <v>-16292.980000000001</v>
      </c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  <c r="BU24" s="117"/>
      <c r="BV24" s="117"/>
      <c r="BW24" s="117"/>
      <c r="BX24" s="117"/>
      <c r="BY24" s="117"/>
      <c r="BZ24" s="117"/>
      <c r="CA24" s="117"/>
      <c r="CB24" s="117"/>
      <c r="CC24" s="117"/>
      <c r="CD24" s="117"/>
      <c r="CE24" s="117"/>
      <c r="CF24" s="117"/>
      <c r="CG24" s="117"/>
      <c r="CH24" s="117"/>
      <c r="CI24" s="117"/>
      <c r="CJ24" s="117"/>
      <c r="CK24" s="117"/>
      <c r="CL24" s="117"/>
      <c r="CM24" s="117"/>
      <c r="CN24" s="117"/>
      <c r="CO24" s="117"/>
      <c r="CP24" s="117"/>
      <c r="CQ24" s="117"/>
      <c r="CR24" s="117"/>
      <c r="CS24" s="117"/>
      <c r="CT24" s="117"/>
      <c r="CU24" s="117"/>
      <c r="CV24" s="117"/>
      <c r="CW24" s="117"/>
      <c r="CX24" s="117"/>
      <c r="CY24" s="117"/>
      <c r="CZ24" s="117"/>
      <c r="DA24" s="117"/>
      <c r="DB24" s="117"/>
      <c r="DC24" s="117"/>
      <c r="DD24" s="117"/>
      <c r="DE24" s="117"/>
      <c r="DF24" s="117"/>
      <c r="DG24" s="117"/>
      <c r="DH24" s="117"/>
      <c r="DI24" s="117"/>
      <c r="DJ24" s="117"/>
      <c r="DK24" s="117"/>
      <c r="DL24" s="117"/>
      <c r="DM24" s="117"/>
      <c r="DN24" s="117"/>
      <c r="DO24" s="117"/>
      <c r="DP24" s="117"/>
      <c r="DQ24" s="117"/>
      <c r="DR24" s="117"/>
      <c r="DS24" s="117"/>
      <c r="DT24" s="117"/>
      <c r="DU24" s="117"/>
      <c r="DV24" s="117"/>
      <c r="DW24" s="117"/>
      <c r="DX24" s="117"/>
      <c r="DY24" s="117"/>
      <c r="DZ24" s="117"/>
      <c r="EA24" s="117"/>
      <c r="EB24" s="117"/>
      <c r="EC24" s="117"/>
      <c r="ED24" s="117"/>
      <c r="EE24" s="117"/>
      <c r="EF24" s="117"/>
      <c r="EG24" s="117"/>
      <c r="EH24" s="117"/>
      <c r="EI24" s="117"/>
      <c r="EJ24" s="117"/>
      <c r="EK24" s="117"/>
      <c r="EL24" s="117"/>
      <c r="EM24" s="117"/>
      <c r="EN24" s="117"/>
      <c r="EO24" s="117"/>
    </row>
    <row r="25" spans="1:145" s="129" customFormat="1" ht="11.25" x14ac:dyDescent="0.2">
      <c r="A25" s="141"/>
      <c r="C25" s="125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56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17"/>
      <c r="BS25" s="117"/>
      <c r="BT25" s="117"/>
      <c r="BU25" s="117"/>
      <c r="BV25" s="117"/>
      <c r="BW25" s="117"/>
      <c r="BX25" s="117"/>
      <c r="BY25" s="117"/>
      <c r="BZ25" s="117"/>
      <c r="CA25" s="117"/>
      <c r="CB25" s="117"/>
      <c r="CC25" s="117"/>
      <c r="CD25" s="117"/>
      <c r="CE25" s="117"/>
      <c r="CF25" s="117"/>
      <c r="CG25" s="117"/>
      <c r="CH25" s="117"/>
      <c r="CI25" s="117"/>
      <c r="CJ25" s="117"/>
      <c r="CK25" s="117"/>
      <c r="CL25" s="117"/>
      <c r="CM25" s="117"/>
      <c r="CN25" s="117"/>
      <c r="CO25" s="117"/>
      <c r="CP25" s="117"/>
      <c r="CQ25" s="117"/>
      <c r="CR25" s="117"/>
      <c r="CS25" s="117"/>
      <c r="CT25" s="117"/>
      <c r="CU25" s="117"/>
      <c r="CV25" s="117"/>
      <c r="CW25" s="117"/>
      <c r="CX25" s="117"/>
      <c r="CY25" s="117"/>
      <c r="CZ25" s="117"/>
      <c r="DA25" s="117"/>
      <c r="DB25" s="117"/>
      <c r="DC25" s="117"/>
      <c r="DD25" s="117"/>
      <c r="DE25" s="117"/>
      <c r="DF25" s="117"/>
      <c r="DG25" s="117"/>
      <c r="DH25" s="117"/>
      <c r="DI25" s="117"/>
      <c r="DJ25" s="117"/>
      <c r="DK25" s="117"/>
      <c r="DL25" s="117"/>
      <c r="DM25" s="117"/>
      <c r="DN25" s="117"/>
      <c r="DO25" s="117"/>
      <c r="DP25" s="117"/>
      <c r="DQ25" s="117"/>
      <c r="DR25" s="117"/>
      <c r="DS25" s="117"/>
      <c r="DT25" s="117"/>
      <c r="DU25" s="117"/>
      <c r="DV25" s="117"/>
      <c r="DW25" s="117"/>
      <c r="DX25" s="117"/>
      <c r="DY25" s="117"/>
      <c r="DZ25" s="117"/>
      <c r="EA25" s="117"/>
      <c r="EB25" s="117"/>
      <c r="EC25" s="117"/>
      <c r="ED25" s="117"/>
      <c r="EE25" s="117"/>
      <c r="EF25" s="117"/>
      <c r="EG25" s="117"/>
      <c r="EH25" s="117"/>
      <c r="EI25" s="117"/>
      <c r="EJ25" s="117"/>
      <c r="EK25" s="117"/>
      <c r="EL25" s="117"/>
      <c r="EM25" s="117"/>
      <c r="EN25" s="117"/>
      <c r="EO25" s="117"/>
    </row>
    <row r="26" spans="1:145" s="129" customFormat="1" ht="11.25" x14ac:dyDescent="0.2">
      <c r="A26" s="141">
        <v>9</v>
      </c>
      <c r="B26" s="162" t="s">
        <v>115</v>
      </c>
      <c r="C26" s="125" t="s">
        <v>18</v>
      </c>
      <c r="D26" s="122">
        <v>0</v>
      </c>
      <c r="E26" s="122">
        <v>0</v>
      </c>
      <c r="F26" s="122">
        <v>0</v>
      </c>
      <c r="G26" s="122">
        <v>0</v>
      </c>
      <c r="H26" s="122">
        <v>0</v>
      </c>
      <c r="I26" s="122">
        <v>0</v>
      </c>
      <c r="J26" s="122">
        <v>0</v>
      </c>
      <c r="K26" s="122">
        <v>0</v>
      </c>
      <c r="L26" s="122">
        <v>0</v>
      </c>
      <c r="M26" s="122">
        <v>0</v>
      </c>
      <c r="N26" s="122">
        <v>0</v>
      </c>
      <c r="O26" s="122">
        <v>0</v>
      </c>
      <c r="P26" s="156">
        <f>SUM(D26:O26)</f>
        <v>0</v>
      </c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  <c r="BH26" s="117"/>
      <c r="BI26" s="117"/>
      <c r="BJ26" s="117"/>
      <c r="BK26" s="117"/>
      <c r="BL26" s="117"/>
      <c r="BM26" s="117"/>
      <c r="BN26" s="117"/>
      <c r="BO26" s="117"/>
      <c r="BP26" s="117"/>
      <c r="BQ26" s="117"/>
      <c r="BR26" s="117"/>
      <c r="BS26" s="117"/>
      <c r="BT26" s="117"/>
      <c r="BU26" s="117"/>
      <c r="BV26" s="117"/>
      <c r="BW26" s="117"/>
      <c r="BX26" s="117"/>
      <c r="BY26" s="117"/>
      <c r="BZ26" s="117"/>
      <c r="CA26" s="117"/>
      <c r="CB26" s="117"/>
      <c r="CC26" s="117"/>
      <c r="CD26" s="117"/>
      <c r="CE26" s="117"/>
      <c r="CF26" s="117"/>
      <c r="CG26" s="117"/>
      <c r="CH26" s="117"/>
      <c r="CI26" s="117"/>
      <c r="CJ26" s="117"/>
      <c r="CK26" s="117"/>
      <c r="CL26" s="117"/>
      <c r="CM26" s="117"/>
      <c r="CN26" s="117"/>
      <c r="CO26" s="117"/>
      <c r="CP26" s="117"/>
      <c r="CQ26" s="117"/>
      <c r="CR26" s="117"/>
      <c r="CS26" s="117"/>
      <c r="CT26" s="117"/>
      <c r="CU26" s="117"/>
      <c r="CV26" s="117"/>
      <c r="CW26" s="117"/>
      <c r="CX26" s="117"/>
      <c r="CY26" s="117"/>
      <c r="CZ26" s="117"/>
      <c r="DA26" s="117"/>
      <c r="DB26" s="117"/>
      <c r="DC26" s="117"/>
      <c r="DD26" s="117"/>
      <c r="DE26" s="117"/>
      <c r="DF26" s="117"/>
      <c r="DG26" s="117"/>
      <c r="DH26" s="117"/>
      <c r="DI26" s="117"/>
      <c r="DJ26" s="117"/>
      <c r="DK26" s="117"/>
      <c r="DL26" s="117"/>
      <c r="DM26" s="117"/>
      <c r="DN26" s="117"/>
      <c r="DO26" s="117"/>
      <c r="DP26" s="117"/>
      <c r="DQ26" s="117"/>
      <c r="DR26" s="117"/>
      <c r="DS26" s="117"/>
      <c r="DT26" s="117"/>
      <c r="DU26" s="117"/>
      <c r="DV26" s="117"/>
      <c r="DW26" s="117"/>
      <c r="DX26" s="117"/>
      <c r="DY26" s="117"/>
      <c r="DZ26" s="117"/>
      <c r="EA26" s="117"/>
      <c r="EB26" s="117"/>
      <c r="EC26" s="117"/>
      <c r="ED26" s="117"/>
      <c r="EE26" s="117"/>
      <c r="EF26" s="117"/>
      <c r="EG26" s="117"/>
      <c r="EH26" s="117"/>
      <c r="EI26" s="117"/>
      <c r="EJ26" s="117"/>
      <c r="EK26" s="117"/>
      <c r="EL26" s="117"/>
      <c r="EM26" s="117"/>
      <c r="EN26" s="117"/>
      <c r="EO26" s="117"/>
    </row>
    <row r="27" spans="1:145" s="129" customFormat="1" ht="11.25" x14ac:dyDescent="0.2">
      <c r="C27" s="143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22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117"/>
      <c r="BS27" s="117"/>
      <c r="BT27" s="117"/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7"/>
      <c r="CF27" s="117"/>
      <c r="CG27" s="117"/>
      <c r="CH27" s="117"/>
      <c r="CI27" s="117"/>
      <c r="CJ27" s="117"/>
      <c r="CK27" s="117"/>
      <c r="CL27" s="117"/>
      <c r="CM27" s="117"/>
      <c r="CN27" s="117"/>
      <c r="CO27" s="117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7"/>
      <c r="DA27" s="117"/>
      <c r="DB27" s="117"/>
      <c r="DC27" s="117"/>
      <c r="DD27" s="117"/>
      <c r="DE27" s="117"/>
      <c r="DF27" s="117"/>
      <c r="DG27" s="117"/>
      <c r="DH27" s="117"/>
      <c r="DI27" s="117"/>
      <c r="DJ27" s="117"/>
      <c r="DK27" s="117"/>
      <c r="DL27" s="117"/>
      <c r="DM27" s="117"/>
      <c r="DN27" s="117"/>
      <c r="DO27" s="117"/>
      <c r="DP27" s="117"/>
      <c r="DQ27" s="117"/>
      <c r="DR27" s="117"/>
      <c r="DS27" s="117"/>
      <c r="DT27" s="117"/>
      <c r="DU27" s="117"/>
      <c r="DV27" s="117"/>
      <c r="DW27" s="117"/>
      <c r="DX27" s="117"/>
      <c r="DY27" s="117"/>
      <c r="DZ27" s="117"/>
      <c r="EA27" s="117"/>
      <c r="EB27" s="117"/>
      <c r="EC27" s="117"/>
      <c r="ED27" s="117"/>
      <c r="EE27" s="117"/>
      <c r="EF27" s="117"/>
      <c r="EG27" s="117"/>
      <c r="EH27" s="117"/>
      <c r="EI27" s="117"/>
      <c r="EJ27" s="117"/>
      <c r="EK27" s="117"/>
      <c r="EL27" s="117"/>
      <c r="EM27" s="117"/>
      <c r="EN27" s="117"/>
      <c r="EO27" s="117"/>
    </row>
    <row r="28" spans="1:145" s="129" customFormat="1" ht="11.25" x14ac:dyDescent="0.2">
      <c r="A28" s="141">
        <v>10</v>
      </c>
      <c r="B28" s="117" t="s">
        <v>33</v>
      </c>
      <c r="C28" s="125" t="s">
        <v>16</v>
      </c>
      <c r="D28" s="122">
        <v>0</v>
      </c>
      <c r="E28" s="122">
        <v>0</v>
      </c>
      <c r="F28" s="122">
        <v>0</v>
      </c>
      <c r="G28" s="122">
        <v>0</v>
      </c>
      <c r="H28" s="122">
        <v>0</v>
      </c>
      <c r="I28" s="122">
        <v>0</v>
      </c>
      <c r="J28" s="122">
        <v>0</v>
      </c>
      <c r="K28" s="122">
        <v>0</v>
      </c>
      <c r="L28" s="122">
        <v>0</v>
      </c>
      <c r="M28" s="122">
        <v>0</v>
      </c>
      <c r="N28" s="122">
        <v>0</v>
      </c>
      <c r="O28" s="122">
        <v>0</v>
      </c>
      <c r="P28" s="156">
        <f>SUM(D28:O28)</f>
        <v>0</v>
      </c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17"/>
      <c r="BF28" s="117"/>
      <c r="BG28" s="117"/>
      <c r="BH28" s="117"/>
      <c r="BI28" s="117"/>
      <c r="BJ28" s="117"/>
      <c r="BK28" s="117"/>
      <c r="BL28" s="117"/>
      <c r="BM28" s="117"/>
      <c r="BN28" s="117"/>
      <c r="BO28" s="117"/>
      <c r="BP28" s="117"/>
      <c r="BQ28" s="117"/>
      <c r="BR28" s="117"/>
      <c r="BS28" s="117"/>
      <c r="BT28" s="117"/>
      <c r="BU28" s="117"/>
      <c r="BV28" s="117"/>
      <c r="BW28" s="117"/>
      <c r="BX28" s="117"/>
      <c r="BY28" s="117"/>
      <c r="BZ28" s="117"/>
      <c r="CA28" s="117"/>
      <c r="CB28" s="117"/>
      <c r="CC28" s="117"/>
      <c r="CD28" s="117"/>
      <c r="CE28" s="117"/>
      <c r="CF28" s="117"/>
      <c r="CG28" s="117"/>
      <c r="CH28" s="117"/>
      <c r="CI28" s="117"/>
      <c r="CJ28" s="117"/>
      <c r="CK28" s="117"/>
      <c r="CL28" s="117"/>
      <c r="CM28" s="117"/>
      <c r="CN28" s="117"/>
      <c r="CO28" s="117"/>
      <c r="CP28" s="117"/>
      <c r="CQ28" s="117"/>
      <c r="CR28" s="117"/>
      <c r="CS28" s="117"/>
      <c r="CT28" s="117"/>
      <c r="CU28" s="117"/>
      <c r="CV28" s="117"/>
      <c r="CW28" s="117"/>
      <c r="CX28" s="117"/>
      <c r="CY28" s="117"/>
      <c r="CZ28" s="117"/>
      <c r="DA28" s="117"/>
      <c r="DB28" s="117"/>
      <c r="DC28" s="117"/>
      <c r="DD28" s="117"/>
      <c r="DE28" s="117"/>
      <c r="DF28" s="117"/>
      <c r="DG28" s="117"/>
      <c r="DH28" s="117"/>
      <c r="DI28" s="117"/>
      <c r="DJ28" s="117"/>
      <c r="DK28" s="117"/>
      <c r="DL28" s="117"/>
      <c r="DM28" s="117"/>
      <c r="DN28" s="117"/>
      <c r="DO28" s="117"/>
      <c r="DP28" s="117"/>
      <c r="DQ28" s="117"/>
      <c r="DR28" s="117"/>
      <c r="DS28" s="117"/>
      <c r="DT28" s="117"/>
      <c r="DU28" s="117"/>
      <c r="DV28" s="117"/>
      <c r="DW28" s="117"/>
      <c r="DX28" s="117"/>
      <c r="DY28" s="117"/>
      <c r="DZ28" s="117"/>
      <c r="EA28" s="117"/>
      <c r="EB28" s="117"/>
      <c r="EC28" s="117"/>
      <c r="ED28" s="117"/>
      <c r="EE28" s="117"/>
      <c r="EF28" s="117"/>
      <c r="EG28" s="117"/>
      <c r="EH28" s="117"/>
      <c r="EI28" s="117"/>
      <c r="EJ28" s="117"/>
      <c r="EK28" s="117"/>
      <c r="EL28" s="117"/>
      <c r="EM28" s="117"/>
      <c r="EN28" s="117"/>
      <c r="EO28" s="117"/>
    </row>
    <row r="29" spans="1:145" s="129" customFormat="1" ht="11.25" x14ac:dyDescent="0.2">
      <c r="A29" s="141"/>
      <c r="C29" s="143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22"/>
      <c r="P29" s="122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17"/>
      <c r="BF29" s="117"/>
      <c r="BG29" s="117"/>
      <c r="BH29" s="117"/>
      <c r="BI29" s="117"/>
      <c r="BJ29" s="117"/>
      <c r="BK29" s="117"/>
      <c r="BL29" s="117"/>
      <c r="BM29" s="117"/>
      <c r="BN29" s="117"/>
      <c r="BO29" s="117"/>
      <c r="BP29" s="117"/>
      <c r="BQ29" s="117"/>
      <c r="BR29" s="117"/>
      <c r="BS29" s="117"/>
      <c r="BT29" s="117"/>
      <c r="BU29" s="117"/>
      <c r="BV29" s="117"/>
      <c r="BW29" s="117"/>
      <c r="BX29" s="117"/>
      <c r="BY29" s="117"/>
      <c r="BZ29" s="117"/>
      <c r="CA29" s="117"/>
      <c r="CB29" s="117"/>
      <c r="CC29" s="117"/>
      <c r="CD29" s="117"/>
      <c r="CE29" s="117"/>
      <c r="CF29" s="117"/>
      <c r="CG29" s="117"/>
      <c r="CH29" s="117"/>
      <c r="CI29" s="117"/>
      <c r="CJ29" s="117"/>
      <c r="CK29" s="117"/>
      <c r="CL29" s="117"/>
      <c r="CM29" s="117"/>
      <c r="CN29" s="117"/>
      <c r="CO29" s="117"/>
      <c r="CP29" s="117"/>
      <c r="CQ29" s="117"/>
      <c r="CR29" s="117"/>
      <c r="CS29" s="117"/>
      <c r="CT29" s="117"/>
      <c r="CU29" s="117"/>
      <c r="CV29" s="117"/>
      <c r="CW29" s="117"/>
      <c r="CX29" s="117"/>
      <c r="CY29" s="117"/>
      <c r="CZ29" s="117"/>
      <c r="DA29" s="117"/>
      <c r="DB29" s="117"/>
      <c r="DC29" s="117"/>
      <c r="DD29" s="117"/>
      <c r="DE29" s="117"/>
      <c r="DF29" s="117"/>
      <c r="DG29" s="117"/>
      <c r="DH29" s="117"/>
      <c r="DI29" s="117"/>
      <c r="DJ29" s="117"/>
      <c r="DK29" s="117"/>
      <c r="DL29" s="117"/>
      <c r="DM29" s="117"/>
      <c r="DN29" s="117"/>
      <c r="DO29" s="117"/>
      <c r="DP29" s="117"/>
      <c r="DQ29" s="117"/>
      <c r="DR29" s="117"/>
      <c r="DS29" s="117"/>
      <c r="DT29" s="117"/>
      <c r="DU29" s="117"/>
      <c r="DV29" s="117"/>
      <c r="DW29" s="117"/>
      <c r="DX29" s="117"/>
      <c r="DY29" s="117"/>
      <c r="DZ29" s="117"/>
      <c r="EA29" s="117"/>
      <c r="EB29" s="117"/>
      <c r="EC29" s="117"/>
      <c r="ED29" s="117"/>
      <c r="EE29" s="117"/>
      <c r="EF29" s="117"/>
      <c r="EG29" s="117"/>
      <c r="EH29" s="117"/>
      <c r="EI29" s="117"/>
      <c r="EJ29" s="117"/>
      <c r="EK29" s="117"/>
      <c r="EL29" s="117"/>
      <c r="EM29" s="117"/>
      <c r="EN29" s="117"/>
      <c r="EO29" s="117"/>
    </row>
    <row r="30" spans="1:145" s="129" customFormat="1" ht="11.25" x14ac:dyDescent="0.2">
      <c r="A30" s="141">
        <v>11</v>
      </c>
      <c r="B30" s="183" t="s">
        <v>34</v>
      </c>
      <c r="C30" s="329"/>
      <c r="D30" s="184">
        <f>D28+D26+D24+D20+D16+D14</f>
        <v>2485435.98</v>
      </c>
      <c r="E30" s="184">
        <f t="shared" ref="E30:O30" si="2">E28+E26+E24+E20+E16+E14</f>
        <v>2477034.5900000003</v>
      </c>
      <c r="F30" s="184">
        <f t="shared" si="2"/>
        <v>2480240.2000000002</v>
      </c>
      <c r="G30" s="184">
        <f t="shared" si="2"/>
        <v>2485423.5</v>
      </c>
      <c r="H30" s="184">
        <f t="shared" si="2"/>
        <v>2489375.66</v>
      </c>
      <c r="I30" s="184">
        <f t="shared" si="2"/>
        <v>2492420.85</v>
      </c>
      <c r="J30" s="184">
        <f t="shared" si="2"/>
        <v>2495520.35</v>
      </c>
      <c r="K30" s="184">
        <f t="shared" si="2"/>
        <v>2493059.1799999997</v>
      </c>
      <c r="L30" s="184">
        <f t="shared" si="2"/>
        <v>2493187.63</v>
      </c>
      <c r="M30" s="184">
        <f t="shared" si="2"/>
        <v>2495213.0300000003</v>
      </c>
      <c r="N30" s="184">
        <f t="shared" si="2"/>
        <v>2498928.38</v>
      </c>
      <c r="O30" s="184">
        <f t="shared" si="2"/>
        <v>2497695.83</v>
      </c>
      <c r="P30" s="184">
        <f>P28+P26+P24+P20+P16+P14</f>
        <v>29883535.180000003</v>
      </c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BW30" s="117"/>
      <c r="BX30" s="117"/>
      <c r="BY30" s="117"/>
      <c r="BZ30" s="117"/>
      <c r="CA30" s="117"/>
      <c r="CB30" s="117"/>
      <c r="CC30" s="117"/>
      <c r="CD30" s="117"/>
      <c r="CE30" s="117"/>
      <c r="CF30" s="117"/>
      <c r="CG30" s="117"/>
      <c r="CH30" s="117"/>
      <c r="CI30" s="117"/>
      <c r="CJ30" s="117"/>
      <c r="CK30" s="117"/>
      <c r="CL30" s="117"/>
      <c r="CM30" s="117"/>
      <c r="CN30" s="117"/>
      <c r="CO30" s="117"/>
      <c r="CP30" s="117"/>
      <c r="CQ30" s="117"/>
      <c r="CR30" s="117"/>
      <c r="CS30" s="117"/>
      <c r="CT30" s="117"/>
      <c r="CU30" s="117"/>
      <c r="CV30" s="117"/>
      <c r="CW30" s="117"/>
      <c r="CX30" s="117"/>
      <c r="CY30" s="117"/>
      <c r="CZ30" s="117"/>
      <c r="DA30" s="117"/>
      <c r="DB30" s="117"/>
      <c r="DC30" s="117"/>
      <c r="DD30" s="117"/>
      <c r="DE30" s="117"/>
      <c r="DF30" s="117"/>
      <c r="DG30" s="117"/>
      <c r="DH30" s="117"/>
      <c r="DI30" s="117"/>
      <c r="DJ30" s="117"/>
      <c r="DK30" s="117"/>
      <c r="DL30" s="117"/>
      <c r="DM30" s="117"/>
      <c r="DN30" s="117"/>
      <c r="DO30" s="117"/>
      <c r="DP30" s="117"/>
      <c r="DQ30" s="117"/>
      <c r="DR30" s="117"/>
      <c r="DS30" s="117"/>
      <c r="DT30" s="117"/>
      <c r="DU30" s="117"/>
      <c r="DV30" s="117"/>
      <c r="DW30" s="117"/>
      <c r="DX30" s="117"/>
      <c r="DY30" s="117"/>
      <c r="DZ30" s="117"/>
      <c r="EA30" s="117"/>
      <c r="EB30" s="117"/>
      <c r="EC30" s="117"/>
      <c r="ED30" s="117"/>
      <c r="EE30" s="117"/>
      <c r="EF30" s="117"/>
      <c r="EG30" s="117"/>
      <c r="EH30" s="117"/>
      <c r="EI30" s="117"/>
      <c r="EJ30" s="117"/>
      <c r="EK30" s="117"/>
      <c r="EL30" s="117"/>
      <c r="EM30" s="117"/>
      <c r="EN30" s="117"/>
      <c r="EO30" s="117"/>
    </row>
    <row r="31" spans="1:145" s="129" customFormat="1" ht="11.25" x14ac:dyDescent="0.2">
      <c r="B31" s="329"/>
      <c r="C31" s="32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56"/>
      <c r="P31" s="156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17"/>
      <c r="BF31" s="117"/>
      <c r="BG31" s="117"/>
      <c r="BH31" s="117"/>
      <c r="BI31" s="117"/>
      <c r="BJ31" s="117"/>
      <c r="BK31" s="117"/>
      <c r="BL31" s="117"/>
      <c r="BM31" s="117"/>
      <c r="BN31" s="117"/>
      <c r="BO31" s="117"/>
      <c r="BP31" s="117"/>
      <c r="BQ31" s="117"/>
      <c r="BR31" s="117"/>
      <c r="BS31" s="117"/>
      <c r="BT31" s="117"/>
      <c r="BU31" s="117"/>
      <c r="BV31" s="117"/>
      <c r="BW31" s="117"/>
      <c r="BX31" s="117"/>
      <c r="BY31" s="117"/>
      <c r="BZ31" s="117"/>
      <c r="CA31" s="117"/>
      <c r="CB31" s="117"/>
      <c r="CC31" s="117"/>
      <c r="CD31" s="117"/>
      <c r="CE31" s="117"/>
      <c r="CF31" s="117"/>
      <c r="CG31" s="117"/>
      <c r="CH31" s="117"/>
      <c r="CI31" s="117"/>
      <c r="CJ31" s="117"/>
      <c r="CK31" s="117"/>
      <c r="CL31" s="117"/>
      <c r="CM31" s="117"/>
      <c r="CN31" s="117"/>
      <c r="CO31" s="117"/>
      <c r="CP31" s="117"/>
      <c r="CQ31" s="117"/>
      <c r="CR31" s="117"/>
      <c r="CS31" s="117"/>
      <c r="CT31" s="117"/>
      <c r="CU31" s="117"/>
      <c r="CV31" s="117"/>
      <c r="CW31" s="117"/>
      <c r="CX31" s="117"/>
      <c r="CY31" s="117"/>
      <c r="CZ31" s="117"/>
      <c r="DA31" s="117"/>
      <c r="DB31" s="117"/>
      <c r="DC31" s="117"/>
      <c r="DD31" s="117"/>
      <c r="DE31" s="117"/>
      <c r="DF31" s="117"/>
      <c r="DG31" s="117"/>
      <c r="DH31" s="117"/>
      <c r="DI31" s="117"/>
      <c r="DJ31" s="117"/>
      <c r="DK31" s="117"/>
      <c r="DL31" s="117"/>
      <c r="DM31" s="117"/>
      <c r="DN31" s="117"/>
      <c r="DO31" s="117"/>
      <c r="DP31" s="117"/>
      <c r="DQ31" s="117"/>
      <c r="DR31" s="117"/>
      <c r="DS31" s="117"/>
      <c r="DT31" s="117"/>
      <c r="DU31" s="117"/>
      <c r="DV31" s="117"/>
      <c r="DW31" s="117"/>
      <c r="DX31" s="117"/>
      <c r="DY31" s="117"/>
      <c r="DZ31" s="117"/>
      <c r="EA31" s="117"/>
      <c r="EB31" s="117"/>
      <c r="EC31" s="117"/>
      <c r="ED31" s="117"/>
      <c r="EE31" s="117"/>
      <c r="EF31" s="117"/>
      <c r="EG31" s="117"/>
      <c r="EH31" s="117"/>
      <c r="EI31" s="117"/>
      <c r="EJ31" s="117"/>
      <c r="EK31" s="117"/>
      <c r="EL31" s="117"/>
      <c r="EM31" s="117"/>
      <c r="EN31" s="117"/>
      <c r="EO31" s="117"/>
    </row>
    <row r="32" spans="1:145" s="129" customFormat="1" ht="11.25" x14ac:dyDescent="0.2">
      <c r="A32" s="141">
        <v>12</v>
      </c>
      <c r="B32" s="148"/>
      <c r="C32" s="125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72"/>
      <c r="Q32" s="148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7"/>
      <c r="DD32" s="117"/>
      <c r="DE32" s="117"/>
      <c r="DF32" s="117"/>
      <c r="DG32" s="117"/>
      <c r="DH32" s="117"/>
      <c r="DI32" s="117"/>
      <c r="DJ32" s="117"/>
      <c r="DK32" s="117"/>
      <c r="DL32" s="117"/>
      <c r="DM32" s="117"/>
      <c r="DN32" s="117"/>
      <c r="DO32" s="117"/>
      <c r="DP32" s="117"/>
      <c r="DQ32" s="117"/>
      <c r="DR32" s="117"/>
      <c r="DS32" s="117"/>
      <c r="DT32" s="117"/>
      <c r="DU32" s="117"/>
      <c r="DV32" s="117"/>
      <c r="DW32" s="117"/>
      <c r="DX32" s="117"/>
      <c r="DY32" s="117"/>
      <c r="DZ32" s="117"/>
      <c r="EA32" s="117"/>
      <c r="EB32" s="117"/>
      <c r="EC32" s="117"/>
      <c r="ED32" s="117"/>
      <c r="EE32" s="117"/>
      <c r="EF32" s="117"/>
      <c r="EG32" s="117"/>
      <c r="EH32" s="117"/>
      <c r="EI32" s="117"/>
      <c r="EJ32" s="117"/>
      <c r="EK32" s="117"/>
      <c r="EL32" s="117"/>
      <c r="EM32" s="117"/>
      <c r="EN32" s="117"/>
      <c r="EO32" s="117"/>
    </row>
    <row r="33" spans="1:145" s="129" customFormat="1" ht="11.25" x14ac:dyDescent="0.2">
      <c r="A33" s="141">
        <v>13</v>
      </c>
      <c r="B33" s="148"/>
      <c r="C33" s="125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72"/>
      <c r="Q33" s="204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  <c r="DC33" s="117"/>
      <c r="DD33" s="117"/>
      <c r="DE33" s="117"/>
      <c r="DF33" s="117"/>
      <c r="DG33" s="117"/>
      <c r="DH33" s="117"/>
      <c r="DI33" s="117"/>
      <c r="DJ33" s="117"/>
      <c r="DK33" s="117"/>
      <c r="DL33" s="117"/>
      <c r="DM33" s="117"/>
      <c r="DN33" s="117"/>
      <c r="DO33" s="117"/>
      <c r="DP33" s="117"/>
      <c r="DQ33" s="117"/>
      <c r="DR33" s="117"/>
      <c r="DS33" s="117"/>
      <c r="DT33" s="117"/>
      <c r="DU33" s="117"/>
      <c r="DV33" s="117"/>
      <c r="DW33" s="117"/>
      <c r="DX33" s="117"/>
      <c r="DY33" s="117"/>
      <c r="DZ33" s="117"/>
      <c r="EA33" s="117"/>
      <c r="EB33" s="117"/>
      <c r="EC33" s="117"/>
      <c r="ED33" s="117"/>
      <c r="EE33" s="117"/>
      <c r="EF33" s="117"/>
      <c r="EG33" s="117"/>
      <c r="EH33" s="117"/>
      <c r="EI33" s="117"/>
      <c r="EJ33" s="117"/>
      <c r="EK33" s="117"/>
      <c r="EL33" s="117"/>
      <c r="EM33" s="117"/>
      <c r="EN33" s="117"/>
      <c r="EO33" s="117"/>
    </row>
    <row r="34" spans="1:145" s="129" customFormat="1" ht="11.25" x14ac:dyDescent="0.2">
      <c r="A34" s="141">
        <v>14</v>
      </c>
      <c r="B34" s="183"/>
      <c r="C34" s="329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72"/>
      <c r="P34" s="172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  <c r="DC34" s="117"/>
      <c r="DD34" s="117"/>
      <c r="DE34" s="117"/>
      <c r="DF34" s="117"/>
      <c r="DG34" s="117"/>
      <c r="DH34" s="117"/>
      <c r="DI34" s="117"/>
      <c r="DJ34" s="117"/>
      <c r="DK34" s="117"/>
      <c r="DL34" s="117"/>
      <c r="DM34" s="117"/>
      <c r="DN34" s="117"/>
      <c r="DO34" s="117"/>
      <c r="DP34" s="117"/>
      <c r="DQ34" s="117"/>
      <c r="DR34" s="117"/>
      <c r="DS34" s="117"/>
      <c r="DT34" s="117"/>
      <c r="DU34" s="117"/>
      <c r="DV34" s="117"/>
      <c r="DW34" s="117"/>
      <c r="DX34" s="117"/>
      <c r="DY34" s="117"/>
      <c r="DZ34" s="117"/>
      <c r="EA34" s="117"/>
      <c r="EB34" s="117"/>
      <c r="EC34" s="117"/>
      <c r="ED34" s="117"/>
      <c r="EE34" s="117"/>
      <c r="EF34" s="117"/>
      <c r="EG34" s="117"/>
      <c r="EH34" s="117"/>
      <c r="EI34" s="117"/>
      <c r="EJ34" s="117"/>
      <c r="EK34" s="117"/>
      <c r="EL34" s="117"/>
      <c r="EM34" s="117"/>
      <c r="EN34" s="117"/>
      <c r="EO34" s="117"/>
    </row>
    <row r="35" spans="1:145" s="129" customFormat="1" ht="11.25" x14ac:dyDescent="0.2">
      <c r="A35" s="141"/>
      <c r="C35" s="185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22"/>
      <c r="P35" s="122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17"/>
      <c r="BF35" s="117"/>
      <c r="BG35" s="117"/>
      <c r="BH35" s="117"/>
      <c r="BI35" s="117"/>
      <c r="BJ35" s="117"/>
      <c r="BK35" s="117"/>
      <c r="BL35" s="117"/>
      <c r="BM35" s="117"/>
      <c r="BN35" s="117"/>
      <c r="BO35" s="117"/>
      <c r="BP35" s="117"/>
      <c r="BQ35" s="117"/>
      <c r="BR35" s="117"/>
      <c r="BS35" s="117"/>
      <c r="BT35" s="117"/>
      <c r="BU35" s="117"/>
      <c r="BV35" s="117"/>
      <c r="BW35" s="117"/>
      <c r="BX35" s="117"/>
      <c r="BY35" s="117"/>
      <c r="BZ35" s="117"/>
      <c r="CA35" s="117"/>
      <c r="CB35" s="117"/>
      <c r="CC35" s="117"/>
      <c r="CD35" s="117"/>
      <c r="CE35" s="117"/>
      <c r="CF35" s="117"/>
      <c r="CG35" s="117"/>
      <c r="CH35" s="117"/>
      <c r="CI35" s="117"/>
      <c r="CJ35" s="117"/>
      <c r="CK35" s="117"/>
      <c r="CL35" s="117"/>
      <c r="CM35" s="117"/>
      <c r="CN35" s="117"/>
      <c r="CO35" s="117"/>
      <c r="CP35" s="117"/>
      <c r="CQ35" s="117"/>
      <c r="CR35" s="117"/>
      <c r="CS35" s="117"/>
      <c r="CT35" s="117"/>
      <c r="CU35" s="117"/>
      <c r="CV35" s="117"/>
      <c r="CW35" s="117"/>
      <c r="CX35" s="117"/>
      <c r="CY35" s="117"/>
      <c r="CZ35" s="117"/>
      <c r="DA35" s="117"/>
      <c r="DB35" s="117"/>
      <c r="DC35" s="117"/>
      <c r="DD35" s="117"/>
      <c r="DE35" s="117"/>
      <c r="DF35" s="117"/>
      <c r="DG35" s="117"/>
      <c r="DH35" s="117"/>
      <c r="DI35" s="117"/>
      <c r="DJ35" s="117"/>
      <c r="DK35" s="117"/>
      <c r="DL35" s="117"/>
      <c r="DM35" s="117"/>
      <c r="DN35" s="117"/>
      <c r="DO35" s="117"/>
      <c r="DP35" s="117"/>
      <c r="DQ35" s="117"/>
      <c r="DR35" s="117"/>
      <c r="DS35" s="117"/>
      <c r="DT35" s="117"/>
      <c r="DU35" s="117"/>
      <c r="DV35" s="117"/>
      <c r="DW35" s="117"/>
      <c r="DX35" s="117"/>
      <c r="DY35" s="117"/>
      <c r="DZ35" s="117"/>
      <c r="EA35" s="117"/>
      <c r="EB35" s="117"/>
      <c r="EC35" s="117"/>
      <c r="ED35" s="117"/>
      <c r="EE35" s="117"/>
      <c r="EF35" s="117"/>
      <c r="EG35" s="117"/>
      <c r="EH35" s="117"/>
      <c r="EI35" s="117"/>
      <c r="EJ35" s="117"/>
      <c r="EK35" s="117"/>
      <c r="EL35" s="117"/>
      <c r="EM35" s="117"/>
      <c r="EN35" s="117"/>
      <c r="EO35" s="117"/>
    </row>
    <row r="36" spans="1:145" s="129" customFormat="1" ht="12" thickBot="1" x14ac:dyDescent="0.25">
      <c r="A36" s="141">
        <v>15</v>
      </c>
      <c r="B36" s="243" t="s">
        <v>136</v>
      </c>
      <c r="C36" s="328"/>
      <c r="D36" s="186">
        <f t="shared" ref="D36:P36" si="3">+D34+D30</f>
        <v>2485435.98</v>
      </c>
      <c r="E36" s="186">
        <f t="shared" si="3"/>
        <v>2477034.5900000003</v>
      </c>
      <c r="F36" s="186">
        <f t="shared" si="3"/>
        <v>2480240.2000000002</v>
      </c>
      <c r="G36" s="186">
        <f t="shared" si="3"/>
        <v>2485423.5</v>
      </c>
      <c r="H36" s="186">
        <f t="shared" si="3"/>
        <v>2489375.66</v>
      </c>
      <c r="I36" s="186">
        <f t="shared" si="3"/>
        <v>2492420.85</v>
      </c>
      <c r="J36" s="186">
        <f t="shared" si="3"/>
        <v>2495520.35</v>
      </c>
      <c r="K36" s="186">
        <f t="shared" si="3"/>
        <v>2493059.1799999997</v>
      </c>
      <c r="L36" s="186">
        <f t="shared" si="3"/>
        <v>2493187.63</v>
      </c>
      <c r="M36" s="186">
        <f t="shared" si="3"/>
        <v>2495213.0300000003</v>
      </c>
      <c r="N36" s="186">
        <f t="shared" si="3"/>
        <v>2498928.38</v>
      </c>
      <c r="O36" s="186">
        <f t="shared" si="3"/>
        <v>2497695.83</v>
      </c>
      <c r="P36" s="186">
        <f t="shared" si="3"/>
        <v>29883535.180000003</v>
      </c>
      <c r="Q36" s="198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7"/>
      <c r="BD36" s="117"/>
      <c r="BE36" s="117"/>
      <c r="BF36" s="117"/>
      <c r="BG36" s="117"/>
      <c r="BH36" s="117"/>
      <c r="BI36" s="117"/>
      <c r="BJ36" s="117"/>
      <c r="BK36" s="117"/>
      <c r="BL36" s="117"/>
      <c r="BM36" s="117"/>
      <c r="BN36" s="117"/>
      <c r="BO36" s="117"/>
      <c r="BP36" s="117"/>
      <c r="BQ36" s="117"/>
      <c r="BR36" s="117"/>
      <c r="BS36" s="117"/>
      <c r="BT36" s="117"/>
      <c r="BU36" s="117"/>
      <c r="BV36" s="117"/>
      <c r="BW36" s="117"/>
      <c r="BX36" s="117"/>
      <c r="BY36" s="117"/>
      <c r="BZ36" s="117"/>
      <c r="CA36" s="117"/>
      <c r="CB36" s="117"/>
      <c r="CC36" s="117"/>
      <c r="CD36" s="117"/>
      <c r="CE36" s="117"/>
      <c r="CF36" s="117"/>
      <c r="CG36" s="117"/>
      <c r="CH36" s="117"/>
      <c r="CI36" s="117"/>
      <c r="CJ36" s="117"/>
      <c r="CK36" s="117"/>
      <c r="CL36" s="117"/>
      <c r="CM36" s="117"/>
      <c r="CN36" s="117"/>
      <c r="CO36" s="117"/>
      <c r="CP36" s="117"/>
      <c r="CQ36" s="117"/>
      <c r="CR36" s="117"/>
      <c r="CS36" s="117"/>
      <c r="CT36" s="117"/>
      <c r="CU36" s="117"/>
      <c r="CV36" s="117"/>
      <c r="CW36" s="117"/>
      <c r="CX36" s="117"/>
      <c r="CY36" s="117"/>
      <c r="CZ36" s="117"/>
      <c r="DA36" s="117"/>
      <c r="DB36" s="117"/>
      <c r="DC36" s="117"/>
      <c r="DD36" s="117"/>
      <c r="DE36" s="117"/>
      <c r="DF36" s="117"/>
      <c r="DG36" s="117"/>
      <c r="DH36" s="117"/>
      <c r="DI36" s="117"/>
      <c r="DJ36" s="117"/>
      <c r="DK36" s="117"/>
      <c r="DL36" s="117"/>
      <c r="DM36" s="117"/>
      <c r="DN36" s="117"/>
      <c r="DO36" s="117"/>
      <c r="DP36" s="117"/>
      <c r="DQ36" s="117"/>
      <c r="DR36" s="117"/>
      <c r="DS36" s="117"/>
      <c r="DT36" s="117"/>
      <c r="DU36" s="117"/>
      <c r="DV36" s="117"/>
      <c r="DW36" s="117"/>
      <c r="DX36" s="117"/>
      <c r="DY36" s="117"/>
      <c r="DZ36" s="117"/>
      <c r="EA36" s="117"/>
      <c r="EB36" s="117"/>
      <c r="EC36" s="117"/>
      <c r="ED36" s="117"/>
      <c r="EE36" s="117"/>
      <c r="EF36" s="117"/>
      <c r="EG36" s="117"/>
      <c r="EH36" s="117"/>
      <c r="EI36" s="117"/>
      <c r="EJ36" s="117"/>
      <c r="EK36" s="117"/>
      <c r="EL36" s="117"/>
      <c r="EM36" s="117"/>
      <c r="EN36" s="117"/>
      <c r="EO36" s="117"/>
    </row>
    <row r="37" spans="1:145" s="129" customFormat="1" ht="12" thickTop="1" x14ac:dyDescent="0.2">
      <c r="A37" s="141"/>
      <c r="B37" s="152"/>
      <c r="C37" s="328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98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  <c r="BY37" s="117"/>
      <c r="BZ37" s="117"/>
      <c r="CA37" s="117"/>
      <c r="CB37" s="117"/>
      <c r="CC37" s="117"/>
      <c r="CD37" s="117"/>
      <c r="CE37" s="117"/>
      <c r="CF37" s="117"/>
      <c r="CG37" s="117"/>
      <c r="CH37" s="117"/>
      <c r="CI37" s="117"/>
      <c r="CJ37" s="117"/>
      <c r="CK37" s="117"/>
      <c r="CL37" s="117"/>
      <c r="CM37" s="117"/>
      <c r="CN37" s="117"/>
      <c r="CO37" s="117"/>
      <c r="CP37" s="117"/>
      <c r="CQ37" s="117"/>
      <c r="CR37" s="117"/>
      <c r="CS37" s="117"/>
      <c r="CT37" s="117"/>
      <c r="CU37" s="117"/>
      <c r="CV37" s="117"/>
      <c r="CW37" s="117"/>
      <c r="CX37" s="117"/>
      <c r="CY37" s="117"/>
      <c r="CZ37" s="117"/>
      <c r="DA37" s="117"/>
      <c r="DB37" s="117"/>
      <c r="DC37" s="117"/>
      <c r="DD37" s="117"/>
      <c r="DE37" s="117"/>
      <c r="DF37" s="117"/>
      <c r="DG37" s="117"/>
      <c r="DH37" s="117"/>
      <c r="DI37" s="117"/>
      <c r="DJ37" s="117"/>
      <c r="DK37" s="117"/>
      <c r="DL37" s="117"/>
      <c r="DM37" s="117"/>
      <c r="DN37" s="117"/>
      <c r="DO37" s="117"/>
      <c r="DP37" s="117"/>
      <c r="DQ37" s="117"/>
      <c r="DR37" s="117"/>
      <c r="DS37" s="117"/>
      <c r="DT37" s="117"/>
      <c r="DU37" s="117"/>
      <c r="DV37" s="117"/>
      <c r="DW37" s="117"/>
      <c r="DX37" s="117"/>
      <c r="DY37" s="117"/>
      <c r="DZ37" s="117"/>
      <c r="EA37" s="117"/>
      <c r="EB37" s="117"/>
      <c r="EC37" s="117"/>
      <c r="ED37" s="117"/>
      <c r="EE37" s="117"/>
      <c r="EF37" s="117"/>
      <c r="EG37" s="117"/>
      <c r="EH37" s="117"/>
      <c r="EI37" s="117"/>
      <c r="EJ37" s="117"/>
      <c r="EK37" s="117"/>
      <c r="EL37" s="117"/>
      <c r="EM37" s="117"/>
      <c r="EN37" s="117"/>
      <c r="EO37" s="117"/>
    </row>
    <row r="38" spans="1:145" s="129" customFormat="1" ht="11.25" x14ac:dyDescent="0.2">
      <c r="A38" s="141"/>
      <c r="B38" s="202"/>
      <c r="C38" s="328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117"/>
      <c r="BS38" s="117"/>
      <c r="BT38" s="117"/>
      <c r="BU38" s="117"/>
      <c r="BV38" s="117"/>
      <c r="BW38" s="117"/>
      <c r="BX38" s="117"/>
      <c r="BY38" s="117"/>
      <c r="BZ38" s="117"/>
      <c r="CA38" s="117"/>
      <c r="CB38" s="117"/>
      <c r="CC38" s="117"/>
      <c r="CD38" s="117"/>
      <c r="CE38" s="117"/>
      <c r="CF38" s="117"/>
      <c r="CG38" s="117"/>
      <c r="CH38" s="117"/>
      <c r="CI38" s="117"/>
      <c r="CJ38" s="117"/>
      <c r="CK38" s="117"/>
      <c r="CL38" s="117"/>
      <c r="CM38" s="117"/>
      <c r="CN38" s="117"/>
      <c r="CO38" s="117"/>
      <c r="CP38" s="117"/>
      <c r="CQ38" s="117"/>
      <c r="CR38" s="117"/>
      <c r="CS38" s="117"/>
      <c r="CT38" s="117"/>
      <c r="CU38" s="117"/>
      <c r="CV38" s="117"/>
      <c r="CW38" s="117"/>
      <c r="CX38" s="117"/>
      <c r="CY38" s="117"/>
      <c r="CZ38" s="117"/>
      <c r="DA38" s="117"/>
      <c r="DB38" s="117"/>
      <c r="DC38" s="117"/>
      <c r="DD38" s="117"/>
      <c r="DE38" s="117"/>
      <c r="DF38" s="117"/>
      <c r="DG38" s="117"/>
      <c r="DH38" s="117"/>
      <c r="DI38" s="117"/>
      <c r="DJ38" s="117"/>
      <c r="DK38" s="117"/>
      <c r="DL38" s="117"/>
      <c r="DM38" s="117"/>
      <c r="DN38" s="117"/>
      <c r="DO38" s="117"/>
      <c r="DP38" s="117"/>
      <c r="DQ38" s="117"/>
      <c r="DR38" s="117"/>
      <c r="DS38" s="117"/>
      <c r="DT38" s="117"/>
      <c r="DU38" s="117"/>
      <c r="DV38" s="117"/>
      <c r="DW38" s="117"/>
      <c r="DX38" s="117"/>
      <c r="DY38" s="117"/>
      <c r="DZ38" s="117"/>
      <c r="EA38" s="117"/>
      <c r="EB38" s="117"/>
      <c r="EC38" s="117"/>
      <c r="ED38" s="117"/>
      <c r="EE38" s="117"/>
      <c r="EF38" s="117"/>
      <c r="EG38" s="117"/>
      <c r="EH38" s="117"/>
      <c r="EI38" s="117"/>
      <c r="EJ38" s="117"/>
      <c r="EK38" s="117"/>
      <c r="EL38" s="117"/>
      <c r="EM38" s="117"/>
      <c r="EN38" s="117"/>
      <c r="EO38" s="117"/>
    </row>
    <row r="39" spans="1:145" x14ac:dyDescent="0.2">
      <c r="A39" s="146"/>
      <c r="B39" s="124" t="s">
        <v>118</v>
      </c>
      <c r="C39" s="168"/>
      <c r="D39" s="354"/>
      <c r="E39" s="177"/>
      <c r="F39" s="177"/>
      <c r="G39" s="345"/>
      <c r="H39" s="157"/>
      <c r="I39" s="157"/>
      <c r="J39" s="157"/>
      <c r="K39" s="157"/>
      <c r="L39" s="157"/>
      <c r="M39" s="157"/>
      <c r="N39" s="157"/>
      <c r="O39" s="122"/>
      <c r="P39" s="178"/>
    </row>
    <row r="40" spans="1:145" x14ac:dyDescent="0.2">
      <c r="A40" s="328" t="s">
        <v>20</v>
      </c>
      <c r="B40" s="330" t="s">
        <v>0</v>
      </c>
      <c r="C40" s="330" t="s">
        <v>19</v>
      </c>
      <c r="D40" s="164" t="s">
        <v>2</v>
      </c>
      <c r="E40" s="164" t="s">
        <v>3</v>
      </c>
      <c r="F40" s="164" t="s">
        <v>4</v>
      </c>
      <c r="G40" s="164" t="s">
        <v>5</v>
      </c>
      <c r="H40" s="164" t="s">
        <v>6</v>
      </c>
      <c r="I40" s="164" t="s">
        <v>7</v>
      </c>
      <c r="J40" s="164" t="s">
        <v>8</v>
      </c>
      <c r="K40" s="164" t="s">
        <v>9</v>
      </c>
      <c r="L40" s="164" t="s">
        <v>10</v>
      </c>
      <c r="M40" s="164" t="s">
        <v>11</v>
      </c>
      <c r="N40" s="164" t="s">
        <v>12</v>
      </c>
      <c r="O40" s="164" t="s">
        <v>13</v>
      </c>
      <c r="P40" s="179" t="s">
        <v>14</v>
      </c>
    </row>
    <row r="41" spans="1:145" x14ac:dyDescent="0.2">
      <c r="A41" s="146"/>
      <c r="B41" s="330"/>
      <c r="C41" s="330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79"/>
      <c r="P41" s="179"/>
    </row>
    <row r="42" spans="1:145" x14ac:dyDescent="0.2">
      <c r="A42" s="141" t="s">
        <v>21</v>
      </c>
      <c r="B42" s="129" t="s">
        <v>29</v>
      </c>
      <c r="C42" s="143" t="s">
        <v>16</v>
      </c>
      <c r="D42" s="194">
        <f>[4]Riders!D36+[5]Riders!D62</f>
        <v>615110.37</v>
      </c>
      <c r="E42" s="194">
        <f>[4]Riders!E36+[5]Riders!E62</f>
        <v>455754.72</v>
      </c>
      <c r="F42" s="194">
        <f>[4]Riders!F36+[5]Riders!F62</f>
        <v>403259.11</v>
      </c>
      <c r="G42" s="194">
        <f>[4]Riders!G36+[5]Riders!G62</f>
        <v>424731.2</v>
      </c>
      <c r="H42" s="194">
        <f>[4]Riders!H36+[5]Riders!H62</f>
        <v>471365.34</v>
      </c>
      <c r="I42" s="194">
        <f>[4]Riders!I36+[5]Riders!I62</f>
        <v>719576.43</v>
      </c>
      <c r="J42" s="194">
        <f>[4]Riders!J36+[5]Riders!J62</f>
        <v>753708.91</v>
      </c>
      <c r="K42" s="194">
        <f>[4]Riders!K36+[5]Riders!K62</f>
        <v>764935.83000000007</v>
      </c>
      <c r="L42" s="194">
        <f>[4]Riders!L36+[5]Riders!L62</f>
        <v>738119.57</v>
      </c>
      <c r="M42" s="194">
        <f>[4]Riders!M36+[5]Riders!M62</f>
        <v>575451.09</v>
      </c>
      <c r="N42" s="194">
        <f>[4]Riders!N36+[5]Riders!N62</f>
        <v>436896.7</v>
      </c>
      <c r="O42" s="194">
        <f>[4]Riders!O36+[5]Riders!O62</f>
        <v>493167.19</v>
      </c>
      <c r="P42" s="149">
        <f>SUM(D42:O42)</f>
        <v>6852076.4600000009</v>
      </c>
    </row>
    <row r="43" spans="1:145" x14ac:dyDescent="0.2">
      <c r="A43" s="129"/>
      <c r="B43" s="129"/>
      <c r="C43" s="143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56"/>
    </row>
    <row r="44" spans="1:145" x14ac:dyDescent="0.2">
      <c r="A44" s="141">
        <v>2</v>
      </c>
      <c r="B44" s="129" t="s">
        <v>32</v>
      </c>
      <c r="C44" s="143" t="s">
        <v>16</v>
      </c>
      <c r="D44" s="142">
        <f>[4]Riders!D38+[5]Riders!D64</f>
        <v>10740.73</v>
      </c>
      <c r="E44" s="142">
        <f>[4]Riders!E38+[5]Riders!E64</f>
        <v>8872.92</v>
      </c>
      <c r="F44" s="142">
        <f>[4]Riders!F38+[5]Riders!F64</f>
        <v>10183.26</v>
      </c>
      <c r="G44" s="142">
        <f>[4]Riders!G38+[5]Riders!G64</f>
        <v>10631.45</v>
      </c>
      <c r="H44" s="142">
        <f>[4]Riders!H38+[5]Riders!H64</f>
        <v>10833.27</v>
      </c>
      <c r="I44" s="142">
        <f>[4]Riders!I38+[5]Riders!I64</f>
        <v>13442.36</v>
      </c>
      <c r="J44" s="142">
        <f>[4]Riders!J38+[5]Riders!J64</f>
        <v>14099.93</v>
      </c>
      <c r="K44" s="142">
        <f>[4]Riders!K38+[5]Riders!K64</f>
        <v>13643.380000000001</v>
      </c>
      <c r="L44" s="142">
        <f>[4]Riders!L38+[5]Riders!L64</f>
        <v>13678.420000000002</v>
      </c>
      <c r="M44" s="142">
        <f>[4]Riders!M38+[5]Riders!M64</f>
        <v>11610.07</v>
      </c>
      <c r="N44" s="142">
        <f>[4]Riders!N38+[5]Riders!N64</f>
        <v>10330.049999999999</v>
      </c>
      <c r="O44" s="142">
        <f>[4]Riders!O38+[5]Riders!O64</f>
        <v>11493.16</v>
      </c>
      <c r="P44" s="156">
        <f>SUM(D44:O44)</f>
        <v>139559</v>
      </c>
    </row>
    <row r="45" spans="1:145" x14ac:dyDescent="0.2">
      <c r="A45" s="141"/>
      <c r="B45" s="129"/>
      <c r="C45" s="143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56"/>
    </row>
    <row r="46" spans="1:145" x14ac:dyDescent="0.2">
      <c r="A46" s="141">
        <v>3</v>
      </c>
      <c r="B46" s="146" t="s">
        <v>113</v>
      </c>
      <c r="C46" s="125" t="s">
        <v>16</v>
      </c>
      <c r="D46" s="142">
        <f>[4]Riders!D40+[5]Riders!D66</f>
        <v>269533.23</v>
      </c>
      <c r="E46" s="142">
        <f>[4]Riders!E40+[5]Riders!E66</f>
        <v>242650.5</v>
      </c>
      <c r="F46" s="142">
        <f>[4]Riders!F40+[5]Riders!F66</f>
        <v>244400.57</v>
      </c>
      <c r="G46" s="142">
        <f>[4]Riders!G40+[5]Riders!G66</f>
        <v>263495.12</v>
      </c>
      <c r="H46" s="142">
        <f>[4]Riders!H40+[5]Riders!H66</f>
        <v>274573.65000000002</v>
      </c>
      <c r="I46" s="142">
        <f>[4]Riders!I40+[5]Riders!I66</f>
        <v>341628.61</v>
      </c>
      <c r="J46" s="142">
        <f>[4]Riders!J40+[5]Riders!J66</f>
        <v>347318.11</v>
      </c>
      <c r="K46" s="142">
        <f>[4]Riders!K40+[5]Riders!K66</f>
        <v>349497.41000000003</v>
      </c>
      <c r="L46" s="142">
        <f>[4]Riders!L40+[5]Riders!L66</f>
        <v>352934.08</v>
      </c>
      <c r="M46" s="142">
        <f>[4]Riders!M40+[5]Riders!M66</f>
        <v>304514.88</v>
      </c>
      <c r="N46" s="142">
        <f>[4]Riders!N40+[5]Riders!N66</f>
        <v>255493.57</v>
      </c>
      <c r="O46" s="142">
        <f>[4]Riders!O40+[5]Riders!O66</f>
        <v>256164.2</v>
      </c>
      <c r="P46" s="356">
        <f>SUM(D46:O46)</f>
        <v>3502203.93</v>
      </c>
    </row>
    <row r="47" spans="1:145" x14ac:dyDescent="0.2">
      <c r="A47" s="141">
        <v>4</v>
      </c>
      <c r="B47" s="146" t="s">
        <v>114</v>
      </c>
      <c r="C47" s="125" t="s">
        <v>16</v>
      </c>
      <c r="D47" s="123">
        <f>[4]Riders!D41+[5]Riders!D67</f>
        <v>45719.519999999997</v>
      </c>
      <c r="E47" s="123">
        <f>[4]Riders!E41+[5]Riders!E67</f>
        <v>38711.649999999994</v>
      </c>
      <c r="F47" s="123">
        <f>[4]Riders!F41+[5]Riders!F67</f>
        <v>42109.04</v>
      </c>
      <c r="G47" s="123">
        <f>[4]Riders!G41+[5]Riders!G67</f>
        <v>43243.32</v>
      </c>
      <c r="H47" s="123">
        <f>[4]Riders!H41+[5]Riders!H67</f>
        <v>44646.869999999995</v>
      </c>
      <c r="I47" s="123">
        <f>[4]Riders!I41+[5]Riders!I67</f>
        <v>45932.36</v>
      </c>
      <c r="J47" s="123">
        <f>[4]Riders!J41+[5]Riders!J67</f>
        <v>53849.67</v>
      </c>
      <c r="K47" s="123">
        <f>[4]Riders!K41+[5]Riders!K67</f>
        <v>49578.080000000002</v>
      </c>
      <c r="L47" s="123">
        <f>[4]Riders!L41+[5]Riders!L67</f>
        <v>55649.93</v>
      </c>
      <c r="M47" s="123">
        <f>[4]Riders!M41+[5]Riders!M67</f>
        <v>49122.520000000004</v>
      </c>
      <c r="N47" s="123">
        <f>[4]Riders!N41+[5]Riders!N67</f>
        <v>44391.05</v>
      </c>
      <c r="O47" s="123">
        <f>[4]Riders!O41+[5]Riders!O67</f>
        <v>43621.62</v>
      </c>
      <c r="P47" s="123">
        <f>SUM(D47:O47)</f>
        <v>556575.63</v>
      </c>
    </row>
    <row r="48" spans="1:145" x14ac:dyDescent="0.2">
      <c r="A48" s="141">
        <v>5</v>
      </c>
      <c r="B48" s="162" t="s">
        <v>30</v>
      </c>
      <c r="C48" s="143"/>
      <c r="D48" s="157">
        <f>SUM(D46:D47)</f>
        <v>315252.75</v>
      </c>
      <c r="E48" s="157">
        <f t="shared" ref="E48:O48" si="4">SUM(E46:E47)</f>
        <v>281362.15000000002</v>
      </c>
      <c r="F48" s="157">
        <f t="shared" si="4"/>
        <v>286509.61</v>
      </c>
      <c r="G48" s="157">
        <f t="shared" si="4"/>
        <v>306738.44</v>
      </c>
      <c r="H48" s="157">
        <f t="shared" si="4"/>
        <v>319220.52</v>
      </c>
      <c r="I48" s="157">
        <f t="shared" si="4"/>
        <v>387560.97</v>
      </c>
      <c r="J48" s="157">
        <f t="shared" si="4"/>
        <v>401167.77999999997</v>
      </c>
      <c r="K48" s="157">
        <f t="shared" si="4"/>
        <v>399075.49000000005</v>
      </c>
      <c r="L48" s="157">
        <f t="shared" si="4"/>
        <v>408584.01</v>
      </c>
      <c r="M48" s="157">
        <f t="shared" si="4"/>
        <v>353637.4</v>
      </c>
      <c r="N48" s="157">
        <f t="shared" si="4"/>
        <v>299884.62</v>
      </c>
      <c r="O48" s="157">
        <f t="shared" si="4"/>
        <v>299785.82</v>
      </c>
      <c r="P48" s="157">
        <f>SUM(P46:P47)</f>
        <v>4058779.56</v>
      </c>
    </row>
    <row r="49" spans="1:16" x14ac:dyDescent="0.2">
      <c r="A49" s="129"/>
      <c r="B49" s="242"/>
      <c r="C49" s="143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22"/>
      <c r="P49" s="122"/>
    </row>
    <row r="50" spans="1:16" x14ac:dyDescent="0.2">
      <c r="A50" s="141">
        <v>6</v>
      </c>
      <c r="B50" s="146" t="s">
        <v>110</v>
      </c>
      <c r="C50" s="125" t="s">
        <v>17</v>
      </c>
      <c r="D50" s="142">
        <f>[4]Riders!D44+[5]Riders!D70</f>
        <v>3524.47</v>
      </c>
      <c r="E50" s="142">
        <f>[4]Riders!E44+[5]Riders!E70</f>
        <v>3216.11</v>
      </c>
      <c r="F50" s="142">
        <f>[4]Riders!F44+[5]Riders!F70</f>
        <v>4258.68</v>
      </c>
      <c r="G50" s="142">
        <f>[4]Riders!G44+[5]Riders!G70</f>
        <v>5299.05</v>
      </c>
      <c r="H50" s="142">
        <f>[4]Riders!H44+[5]Riders!H70</f>
        <v>5538.64</v>
      </c>
      <c r="I50" s="142">
        <f>[4]Riders!I44+[5]Riders!I70</f>
        <v>6557.6100000000006</v>
      </c>
      <c r="J50" s="142">
        <f>[4]Riders!J44+[5]Riders!J70</f>
        <v>6730.63</v>
      </c>
      <c r="K50" s="142">
        <f>[4]Riders!K44+[5]Riders!K70</f>
        <v>6324.1399999999994</v>
      </c>
      <c r="L50" s="142">
        <f>[4]Riders!L44+[5]Riders!L70</f>
        <v>7263.82</v>
      </c>
      <c r="M50" s="142">
        <f>[4]Riders!M44+[5]Riders!M70</f>
        <v>6106.39</v>
      </c>
      <c r="N50" s="142">
        <f>[4]Riders!N44+[5]Riders!N70</f>
        <v>6449.83</v>
      </c>
      <c r="O50" s="142">
        <f>[4]Riders!O44+[5]Riders!O70</f>
        <v>5450.52</v>
      </c>
      <c r="P50" s="156">
        <f>SUM(D50:O50)</f>
        <v>66719.89</v>
      </c>
    </row>
    <row r="51" spans="1:16" x14ac:dyDescent="0.2">
      <c r="A51" s="141">
        <v>7</v>
      </c>
      <c r="B51" s="146" t="s">
        <v>111</v>
      </c>
      <c r="C51" s="125" t="s">
        <v>17</v>
      </c>
      <c r="D51" s="123">
        <f>[4]Riders!D45+[5]Riders!D71</f>
        <v>53662.310000000005</v>
      </c>
      <c r="E51" s="123">
        <f>[4]Riders!E45+[5]Riders!E71</f>
        <v>46294.82</v>
      </c>
      <c r="F51" s="123">
        <f>[4]Riders!F45+[5]Riders!F71</f>
        <v>70203.039999999994</v>
      </c>
      <c r="G51" s="123">
        <f>[4]Riders!G45+[5]Riders!G71</f>
        <v>71204.56</v>
      </c>
      <c r="H51" s="123">
        <f>[4]Riders!H45+[5]Riders!H71</f>
        <v>82858.159999999989</v>
      </c>
      <c r="I51" s="123">
        <f>[4]Riders!I45+[5]Riders!I71</f>
        <v>91683.02</v>
      </c>
      <c r="J51" s="123">
        <f>[4]Riders!J45+[5]Riders!J71</f>
        <v>89917.63</v>
      </c>
      <c r="K51" s="123">
        <f>[4]Riders!K45+[5]Riders!K71</f>
        <v>54625.11</v>
      </c>
      <c r="L51" s="123">
        <f>[4]Riders!L45+[5]Riders!L71</f>
        <v>87900.72</v>
      </c>
      <c r="M51" s="123">
        <f>[4]Riders!M45+[5]Riders!M71</f>
        <v>74620.91</v>
      </c>
      <c r="N51" s="123">
        <f>[4]Riders!N45+[5]Riders!N71</f>
        <v>75363.299999999988</v>
      </c>
      <c r="O51" s="123">
        <f>[4]Riders!O45+[5]Riders!O71</f>
        <v>65433.409999999989</v>
      </c>
      <c r="P51" s="173">
        <f>SUM(D51:O51)</f>
        <v>863766.99000000011</v>
      </c>
    </row>
    <row r="52" spans="1:16" x14ac:dyDescent="0.2">
      <c r="A52" s="141">
        <v>8</v>
      </c>
      <c r="B52" s="129" t="s">
        <v>31</v>
      </c>
      <c r="C52" s="125"/>
      <c r="D52" s="122">
        <f>SUM(D50:D51)</f>
        <v>57186.780000000006</v>
      </c>
      <c r="E52" s="122">
        <f t="shared" ref="E52:O52" si="5">SUM(E50:E51)</f>
        <v>49510.93</v>
      </c>
      <c r="F52" s="122">
        <f t="shared" si="5"/>
        <v>74461.72</v>
      </c>
      <c r="G52" s="122">
        <f t="shared" si="5"/>
        <v>76503.61</v>
      </c>
      <c r="H52" s="122">
        <f t="shared" si="5"/>
        <v>88396.799999999988</v>
      </c>
      <c r="I52" s="122">
        <f t="shared" si="5"/>
        <v>98240.63</v>
      </c>
      <c r="J52" s="122">
        <f t="shared" si="5"/>
        <v>96648.260000000009</v>
      </c>
      <c r="K52" s="122">
        <f t="shared" si="5"/>
        <v>60949.25</v>
      </c>
      <c r="L52" s="122">
        <f t="shared" si="5"/>
        <v>95164.540000000008</v>
      </c>
      <c r="M52" s="122">
        <f t="shared" si="5"/>
        <v>80727.3</v>
      </c>
      <c r="N52" s="122">
        <f t="shared" si="5"/>
        <v>81813.12999999999</v>
      </c>
      <c r="O52" s="122">
        <f t="shared" si="5"/>
        <v>70883.929999999993</v>
      </c>
      <c r="P52" s="122">
        <f>SUM(P50:P51)</f>
        <v>930486.88000000012</v>
      </c>
    </row>
    <row r="53" spans="1:16" x14ac:dyDescent="0.2">
      <c r="A53" s="141"/>
      <c r="B53" s="129"/>
      <c r="C53" s="125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56"/>
    </row>
    <row r="54" spans="1:16" x14ac:dyDescent="0.2">
      <c r="A54" s="141">
        <v>9</v>
      </c>
      <c r="B54" s="162" t="s">
        <v>115</v>
      </c>
      <c r="C54" s="125" t="s">
        <v>18</v>
      </c>
      <c r="D54" s="122">
        <f>[4]Riders!D48+[5]Riders!D74</f>
        <v>-58976.04</v>
      </c>
      <c r="E54" s="122">
        <f>[4]Riders!E48+[5]Riders!E74</f>
        <v>-48444.79</v>
      </c>
      <c r="F54" s="122">
        <f>[4]Riders!F48+[5]Riders!F74</f>
        <v>-55347</v>
      </c>
      <c r="G54" s="122">
        <f>[4]Riders!G48+[5]Riders!G74</f>
        <v>-54380.93</v>
      </c>
      <c r="H54" s="122">
        <f>[4]Riders!H48+[5]Riders!H74</f>
        <v>-54270.61</v>
      </c>
      <c r="I54" s="122">
        <f>[4]Riders!I48+[5]Riders!I74</f>
        <v>-57448.5</v>
      </c>
      <c r="J54" s="122">
        <f>[4]Riders!J48+[5]Riders!J74</f>
        <v>-50213.3</v>
      </c>
      <c r="K54" s="122">
        <f>[4]Riders!K48+[5]Riders!K74</f>
        <v>-50464.59</v>
      </c>
      <c r="L54" s="122">
        <f>[4]Riders!L48+[5]Riders!L74</f>
        <v>-57029.3</v>
      </c>
      <c r="M54" s="122">
        <f>[4]Riders!M48+[5]Riders!M74</f>
        <v>-28396.940000000002</v>
      </c>
      <c r="N54" s="122">
        <f>[4]Riders!N48+[5]Riders!N74</f>
        <v>-77424.899999999994</v>
      </c>
      <c r="O54" s="122">
        <f>[4]Riders!O48+[5]Riders!O74</f>
        <v>-38548.189999999995</v>
      </c>
      <c r="P54" s="156">
        <f>SUM(D54:O54)</f>
        <v>-630945.09</v>
      </c>
    </row>
    <row r="55" spans="1:16" x14ac:dyDescent="0.2">
      <c r="A55" s="129"/>
      <c r="B55" s="129"/>
      <c r="C55" s="143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22"/>
    </row>
    <row r="56" spans="1:16" x14ac:dyDescent="0.2">
      <c r="A56" s="141">
        <v>10</v>
      </c>
      <c r="B56" s="117" t="s">
        <v>33</v>
      </c>
      <c r="C56" s="125" t="s">
        <v>16</v>
      </c>
      <c r="D56" s="122">
        <v>0</v>
      </c>
      <c r="E56" s="122">
        <v>0</v>
      </c>
      <c r="F56" s="122">
        <v>0</v>
      </c>
      <c r="G56" s="122">
        <v>0</v>
      </c>
      <c r="H56" s="122">
        <v>0</v>
      </c>
      <c r="I56" s="122">
        <v>0</v>
      </c>
      <c r="J56" s="122">
        <v>0</v>
      </c>
      <c r="K56" s="122">
        <v>0</v>
      </c>
      <c r="L56" s="122">
        <v>0</v>
      </c>
      <c r="M56" s="122">
        <v>0</v>
      </c>
      <c r="N56" s="122">
        <v>0</v>
      </c>
      <c r="O56" s="122">
        <v>0</v>
      </c>
      <c r="P56" s="156">
        <f>SUM(D56:O56)</f>
        <v>0</v>
      </c>
    </row>
    <row r="57" spans="1:16" x14ac:dyDescent="0.2">
      <c r="A57" s="141"/>
      <c r="B57" s="129"/>
      <c r="C57" s="143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22"/>
      <c r="P57" s="122"/>
    </row>
    <row r="58" spans="1:16" x14ac:dyDescent="0.2">
      <c r="A58" s="141">
        <v>11</v>
      </c>
      <c r="B58" s="183" t="s">
        <v>34</v>
      </c>
      <c r="C58" s="329"/>
      <c r="D58" s="184">
        <f>D56+D54+D52+D48+D44+D42</f>
        <v>939314.59</v>
      </c>
      <c r="E58" s="184">
        <f t="shared" ref="E58:O58" si="6">E56+E54+E52+E48+E44+E42</f>
        <v>747055.92999999993</v>
      </c>
      <c r="F58" s="184">
        <f t="shared" si="6"/>
        <v>719066.7</v>
      </c>
      <c r="G58" s="184">
        <f t="shared" si="6"/>
        <v>764223.77</v>
      </c>
      <c r="H58" s="184">
        <f t="shared" si="6"/>
        <v>835545.32000000007</v>
      </c>
      <c r="I58" s="184">
        <f t="shared" si="6"/>
        <v>1161371.8900000001</v>
      </c>
      <c r="J58" s="184">
        <f t="shared" si="6"/>
        <v>1215411.58</v>
      </c>
      <c r="K58" s="184">
        <f t="shared" si="6"/>
        <v>1188139.3600000001</v>
      </c>
      <c r="L58" s="184">
        <f t="shared" si="6"/>
        <v>1198517.24</v>
      </c>
      <c r="M58" s="184">
        <f t="shared" si="6"/>
        <v>993028.91999999993</v>
      </c>
      <c r="N58" s="184">
        <f t="shared" si="6"/>
        <v>751499.6</v>
      </c>
      <c r="O58" s="184">
        <f t="shared" si="6"/>
        <v>836781.90999999992</v>
      </c>
      <c r="P58" s="184">
        <f>P56+P54+P52+P48+P44+P42</f>
        <v>11349956.810000002</v>
      </c>
    </row>
    <row r="59" spans="1:16" x14ac:dyDescent="0.2">
      <c r="A59" s="129"/>
      <c r="B59" s="329"/>
      <c r="C59" s="32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56"/>
      <c r="P59" s="156"/>
    </row>
    <row r="60" spans="1:16" x14ac:dyDescent="0.2">
      <c r="A60" s="141">
        <v>12</v>
      </c>
      <c r="B60" s="148"/>
      <c r="C60" s="125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72"/>
    </row>
    <row r="61" spans="1:16" x14ac:dyDescent="0.2">
      <c r="A61" s="141">
        <v>13</v>
      </c>
      <c r="B61" s="148"/>
      <c r="C61" s="125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72"/>
    </row>
    <row r="62" spans="1:16" x14ac:dyDescent="0.2">
      <c r="A62" s="141">
        <v>14</v>
      </c>
      <c r="B62" s="183"/>
      <c r="C62" s="329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72"/>
      <c r="P62" s="172"/>
    </row>
    <row r="63" spans="1:16" x14ac:dyDescent="0.2">
      <c r="A63" s="141"/>
      <c r="B63" s="129"/>
      <c r="C63" s="185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22"/>
      <c r="P63" s="122"/>
    </row>
    <row r="64" spans="1:16" ht="13.5" thickBot="1" x14ac:dyDescent="0.25">
      <c r="A64" s="141">
        <v>15</v>
      </c>
      <c r="B64" s="243" t="s">
        <v>136</v>
      </c>
      <c r="C64" s="328"/>
      <c r="D64" s="186">
        <f t="shared" ref="D64:P64" si="7">+D62+D58</f>
        <v>939314.59</v>
      </c>
      <c r="E64" s="186">
        <f t="shared" si="7"/>
        <v>747055.92999999993</v>
      </c>
      <c r="F64" s="186">
        <f t="shared" si="7"/>
        <v>719066.7</v>
      </c>
      <c r="G64" s="186">
        <f t="shared" si="7"/>
        <v>764223.77</v>
      </c>
      <c r="H64" s="186">
        <f t="shared" si="7"/>
        <v>835545.32000000007</v>
      </c>
      <c r="I64" s="186">
        <f t="shared" si="7"/>
        <v>1161371.8900000001</v>
      </c>
      <c r="J64" s="186">
        <f t="shared" si="7"/>
        <v>1215411.58</v>
      </c>
      <c r="K64" s="186">
        <f t="shared" si="7"/>
        <v>1188139.3600000001</v>
      </c>
      <c r="L64" s="186">
        <f t="shared" si="7"/>
        <v>1198517.24</v>
      </c>
      <c r="M64" s="186">
        <f t="shared" si="7"/>
        <v>993028.91999999993</v>
      </c>
      <c r="N64" s="186">
        <f t="shared" si="7"/>
        <v>751499.6</v>
      </c>
      <c r="O64" s="186">
        <f t="shared" si="7"/>
        <v>836781.90999999992</v>
      </c>
      <c r="P64" s="186">
        <f t="shared" si="7"/>
        <v>11349956.810000002</v>
      </c>
    </row>
    <row r="65" spans="1:16" ht="13.5" thickTop="1" x14ac:dyDescent="0.2"/>
    <row r="66" spans="1:16" x14ac:dyDescent="0.2">
      <c r="A66" s="146"/>
      <c r="B66" s="124" t="s">
        <v>126</v>
      </c>
      <c r="C66" s="168"/>
      <c r="D66" s="354"/>
      <c r="E66" s="177"/>
      <c r="F66" s="177"/>
      <c r="G66" s="345"/>
      <c r="H66" s="157"/>
      <c r="I66" s="157"/>
      <c r="J66" s="157"/>
      <c r="K66" s="157"/>
      <c r="L66" s="157"/>
      <c r="M66" s="157"/>
      <c r="N66" s="157"/>
      <c r="O66" s="122"/>
      <c r="P66" s="178"/>
    </row>
    <row r="67" spans="1:16" x14ac:dyDescent="0.2">
      <c r="A67" s="328" t="s">
        <v>20</v>
      </c>
      <c r="B67" s="330" t="s">
        <v>0</v>
      </c>
      <c r="C67" s="330" t="s">
        <v>19</v>
      </c>
      <c r="D67" s="164" t="s">
        <v>2</v>
      </c>
      <c r="E67" s="164" t="s">
        <v>3</v>
      </c>
      <c r="F67" s="164" t="s">
        <v>4</v>
      </c>
      <c r="G67" s="164" t="s">
        <v>5</v>
      </c>
      <c r="H67" s="164" t="s">
        <v>6</v>
      </c>
      <c r="I67" s="164" t="s">
        <v>7</v>
      </c>
      <c r="J67" s="164" t="s">
        <v>8</v>
      </c>
      <c r="K67" s="164" t="s">
        <v>9</v>
      </c>
      <c r="L67" s="164" t="s">
        <v>10</v>
      </c>
      <c r="M67" s="164" t="s">
        <v>11</v>
      </c>
      <c r="N67" s="164" t="s">
        <v>12</v>
      </c>
      <c r="O67" s="164" t="s">
        <v>13</v>
      </c>
      <c r="P67" s="179" t="s">
        <v>14</v>
      </c>
    </row>
    <row r="68" spans="1:16" x14ac:dyDescent="0.2">
      <c r="A68" s="146"/>
      <c r="B68" s="330"/>
      <c r="C68" s="330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79"/>
      <c r="P68" s="179"/>
    </row>
    <row r="69" spans="1:16" x14ac:dyDescent="0.2">
      <c r="A69" s="141" t="s">
        <v>21</v>
      </c>
      <c r="B69" s="129" t="s">
        <v>29</v>
      </c>
      <c r="C69" s="143" t="s">
        <v>16</v>
      </c>
      <c r="D69" s="146">
        <v>0</v>
      </c>
      <c r="E69" s="146">
        <v>0</v>
      </c>
      <c r="F69" s="146">
        <v>0</v>
      </c>
      <c r="G69" s="146">
        <v>0</v>
      </c>
      <c r="H69" s="146">
        <v>0</v>
      </c>
      <c r="I69" s="146">
        <v>0</v>
      </c>
      <c r="J69" s="146">
        <v>0</v>
      </c>
      <c r="K69" s="146">
        <v>0</v>
      </c>
      <c r="L69" s="362">
        <f>[4]Riders!L63+[5]Riders!L118</f>
        <v>-524947.72</v>
      </c>
      <c r="M69" s="362">
        <f>[4]Riders!M63+[5]Riders!M118</f>
        <v>-10.09</v>
      </c>
      <c r="N69" s="362">
        <f>[4]Riders!N63+[5]Riders!N118</f>
        <v>-3.52</v>
      </c>
      <c r="O69" s="362">
        <f>[4]Riders!O63+[5]Riders!O118</f>
        <v>0.69</v>
      </c>
      <c r="P69" s="149">
        <f>SUM(E69:O69)</f>
        <v>-524960.64</v>
      </c>
    </row>
    <row r="70" spans="1:16" x14ac:dyDescent="0.2">
      <c r="A70" s="129"/>
      <c r="B70" s="129"/>
      <c r="C70" s="143"/>
      <c r="D70" s="171"/>
      <c r="E70" s="171"/>
      <c r="F70" s="171"/>
      <c r="G70" s="171"/>
      <c r="H70" s="171"/>
      <c r="I70" s="171"/>
      <c r="J70" s="171"/>
      <c r="K70" s="171"/>
      <c r="L70" s="362"/>
      <c r="M70" s="362"/>
      <c r="N70" s="362"/>
      <c r="O70" s="362"/>
      <c r="P70" s="156"/>
    </row>
    <row r="71" spans="1:16" x14ac:dyDescent="0.2">
      <c r="A71" s="141">
        <v>2</v>
      </c>
      <c r="B71" s="129" t="s">
        <v>32</v>
      </c>
      <c r="C71" s="143" t="s">
        <v>16</v>
      </c>
      <c r="D71" s="250">
        <v>0</v>
      </c>
      <c r="E71" s="250">
        <v>0</v>
      </c>
      <c r="F71" s="250">
        <v>0</v>
      </c>
      <c r="G71" s="250">
        <v>0</v>
      </c>
      <c r="H71" s="250">
        <v>0</v>
      </c>
      <c r="I71" s="250">
        <v>0</v>
      </c>
      <c r="J71" s="250">
        <v>0</v>
      </c>
      <c r="K71" s="250">
        <v>0</v>
      </c>
      <c r="L71" s="355">
        <f>[4]Riders!L65+[5]Riders!L120</f>
        <v>-36272.53</v>
      </c>
      <c r="M71" s="355">
        <f>[4]Riders!M65+[5]Riders!M120</f>
        <v>-13.89</v>
      </c>
      <c r="N71" s="355">
        <f>[4]Riders!N65+[5]Riders!N120</f>
        <v>3.1399999999999997</v>
      </c>
      <c r="O71" s="355">
        <f>[4]Riders!O65+[5]Riders!O120</f>
        <v>29.25</v>
      </c>
      <c r="P71" s="356">
        <f>SUM(D71:O71)</f>
        <v>-36254.03</v>
      </c>
    </row>
    <row r="72" spans="1:16" x14ac:dyDescent="0.2">
      <c r="A72" s="141"/>
      <c r="B72" s="129"/>
      <c r="C72" s="143"/>
      <c r="D72" s="250"/>
      <c r="E72" s="250"/>
      <c r="F72" s="250"/>
      <c r="G72" s="250"/>
      <c r="H72" s="250"/>
      <c r="I72" s="250"/>
      <c r="J72" s="250"/>
      <c r="K72" s="250"/>
      <c r="L72" s="355"/>
      <c r="M72" s="355"/>
      <c r="N72" s="355"/>
      <c r="O72" s="355"/>
      <c r="P72" s="356"/>
    </row>
    <row r="73" spans="1:16" x14ac:dyDescent="0.2">
      <c r="A73" s="141">
        <v>3</v>
      </c>
      <c r="B73" s="146" t="s">
        <v>113</v>
      </c>
      <c r="C73" s="125" t="s">
        <v>16</v>
      </c>
      <c r="D73" s="355">
        <v>0</v>
      </c>
      <c r="E73" s="355">
        <v>0</v>
      </c>
      <c r="F73" s="355">
        <v>0</v>
      </c>
      <c r="G73" s="355">
        <v>0</v>
      </c>
      <c r="H73" s="355">
        <v>0</v>
      </c>
      <c r="I73" s="355">
        <v>0</v>
      </c>
      <c r="J73" s="355">
        <v>0</v>
      </c>
      <c r="K73" s="355">
        <v>0</v>
      </c>
      <c r="L73" s="355">
        <f>[4]Riders!L67+[5]Riders!L122</f>
        <v>-272094.89</v>
      </c>
      <c r="M73" s="355">
        <f>[4]Riders!M67+[5]Riders!M122</f>
        <v>-9.58</v>
      </c>
      <c r="N73" s="355">
        <f>[4]Riders!N67+[5]Riders!N122</f>
        <v>5.54</v>
      </c>
      <c r="O73" s="355">
        <f>[4]Riders!O67+[5]Riders!O122</f>
        <v>0.52</v>
      </c>
      <c r="P73" s="356">
        <f>SUM(D73:O73)</f>
        <v>-272098.41000000003</v>
      </c>
    </row>
    <row r="74" spans="1:16" x14ac:dyDescent="0.2">
      <c r="A74" s="141">
        <v>4</v>
      </c>
      <c r="B74" s="146" t="s">
        <v>114</v>
      </c>
      <c r="C74" s="125" t="s">
        <v>16</v>
      </c>
      <c r="D74" s="357">
        <v>0</v>
      </c>
      <c r="E74" s="357">
        <v>0</v>
      </c>
      <c r="F74" s="357">
        <v>0</v>
      </c>
      <c r="G74" s="357">
        <v>0</v>
      </c>
      <c r="H74" s="357">
        <v>0</v>
      </c>
      <c r="I74" s="357">
        <v>0</v>
      </c>
      <c r="J74" s="357">
        <v>0</v>
      </c>
      <c r="K74" s="357">
        <v>0</v>
      </c>
      <c r="L74" s="357">
        <f>[4]Riders!L68+[5]Riders!L123</f>
        <v>-25247.86</v>
      </c>
      <c r="M74" s="357">
        <f>[4]Riders!M68+[5]Riders!M123</f>
        <v>-407.05</v>
      </c>
      <c r="N74" s="357">
        <f>[4]Riders!N68+[5]Riders!N123</f>
        <v>0</v>
      </c>
      <c r="O74" s="357">
        <f>[4]Riders!O68+[5]Riders!O123</f>
        <v>0</v>
      </c>
      <c r="P74" s="357">
        <f>SUM(D74:O74)</f>
        <v>-25654.91</v>
      </c>
    </row>
    <row r="75" spans="1:16" x14ac:dyDescent="0.2">
      <c r="A75" s="141">
        <v>5</v>
      </c>
      <c r="B75" s="162" t="s">
        <v>30</v>
      </c>
      <c r="C75" s="143"/>
      <c r="D75" s="157">
        <f>SUM(D73:D74)</f>
        <v>0</v>
      </c>
      <c r="E75" s="157">
        <f t="shared" ref="E75:O75" si="8">SUM(E73:E74)</f>
        <v>0</v>
      </c>
      <c r="F75" s="157">
        <f t="shared" si="8"/>
        <v>0</v>
      </c>
      <c r="G75" s="157">
        <f t="shared" si="8"/>
        <v>0</v>
      </c>
      <c r="H75" s="157">
        <f t="shared" si="8"/>
        <v>0</v>
      </c>
      <c r="I75" s="157">
        <f t="shared" si="8"/>
        <v>0</v>
      </c>
      <c r="J75" s="157">
        <f t="shared" si="8"/>
        <v>0</v>
      </c>
      <c r="K75" s="157">
        <f t="shared" si="8"/>
        <v>0</v>
      </c>
      <c r="L75" s="157">
        <f t="shared" si="8"/>
        <v>-297342.75</v>
      </c>
      <c r="M75" s="157">
        <f t="shared" si="8"/>
        <v>-416.63</v>
      </c>
      <c r="N75" s="157">
        <f t="shared" si="8"/>
        <v>5.54</v>
      </c>
      <c r="O75" s="157">
        <f t="shared" si="8"/>
        <v>0.52</v>
      </c>
      <c r="P75" s="157">
        <f>SUM(P73:P74)</f>
        <v>-297753.32</v>
      </c>
    </row>
    <row r="76" spans="1:16" x14ac:dyDescent="0.2">
      <c r="A76" s="129"/>
      <c r="B76" s="242"/>
      <c r="C76" s="143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22"/>
      <c r="P76" s="122"/>
    </row>
    <row r="77" spans="1:16" x14ac:dyDescent="0.2">
      <c r="A77" s="141">
        <v>6</v>
      </c>
      <c r="B77" s="146" t="s">
        <v>110</v>
      </c>
      <c r="C77" s="125" t="s">
        <v>17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42">
        <f>[4]Riders!L71+[5]Riders!L126</f>
        <v>-8103.34</v>
      </c>
      <c r="M77" s="142">
        <f>[4]Riders!M71+[5]Riders!M126</f>
        <v>-517.64</v>
      </c>
      <c r="N77" s="142">
        <f>[4]Riders!N71+[5]Riders!N126</f>
        <v>-0.01</v>
      </c>
      <c r="O77" s="142">
        <f>[4]Riders!O71+[5]Riders!O126</f>
        <v>0</v>
      </c>
      <c r="P77" s="156">
        <f>SUM(D77:O77)</f>
        <v>-8620.99</v>
      </c>
    </row>
    <row r="78" spans="1:16" x14ac:dyDescent="0.2">
      <c r="A78" s="141">
        <v>7</v>
      </c>
      <c r="B78" s="146" t="s">
        <v>111</v>
      </c>
      <c r="C78" s="125" t="s">
        <v>17</v>
      </c>
      <c r="D78" s="123">
        <v>0</v>
      </c>
      <c r="E78" s="123">
        <v>0</v>
      </c>
      <c r="F78" s="123">
        <v>0</v>
      </c>
      <c r="G78" s="123">
        <v>0</v>
      </c>
      <c r="H78" s="123">
        <v>0</v>
      </c>
      <c r="I78" s="123">
        <v>0</v>
      </c>
      <c r="J78" s="123">
        <v>0</v>
      </c>
      <c r="K78" s="123">
        <v>0</v>
      </c>
      <c r="L78" s="123">
        <f>[4]Riders!L72+[5]Riders!L127</f>
        <v>-67870.880000000005</v>
      </c>
      <c r="M78" s="123">
        <f>[4]Riders!M72+[5]Riders!M127</f>
        <v>-755.1</v>
      </c>
      <c r="N78" s="123">
        <f>[4]Riders!N72+[5]Riders!N127</f>
        <v>0.42</v>
      </c>
      <c r="O78" s="123">
        <f>[4]Riders!O72+[5]Riders!O127</f>
        <v>0</v>
      </c>
      <c r="P78" s="173">
        <f>SUM(D78:O78)</f>
        <v>-68625.560000000012</v>
      </c>
    </row>
    <row r="79" spans="1:16" x14ac:dyDescent="0.2">
      <c r="A79" s="141">
        <v>8</v>
      </c>
      <c r="B79" s="129" t="s">
        <v>31</v>
      </c>
      <c r="C79" s="125"/>
      <c r="D79" s="122">
        <f>SUM(D77:D78)</f>
        <v>0</v>
      </c>
      <c r="E79" s="122">
        <f t="shared" ref="E79" si="9">SUM(E77:E78)</f>
        <v>0</v>
      </c>
      <c r="F79" s="122">
        <f t="shared" ref="F79" si="10">SUM(F77:F78)</f>
        <v>0</v>
      </c>
      <c r="G79" s="122">
        <f t="shared" ref="G79" si="11">SUM(G77:G78)</f>
        <v>0</v>
      </c>
      <c r="H79" s="122">
        <f t="shared" ref="H79" si="12">SUM(H77:H78)</f>
        <v>0</v>
      </c>
      <c r="I79" s="122">
        <f t="shared" ref="I79" si="13">SUM(I77:I78)</f>
        <v>0</v>
      </c>
      <c r="J79" s="122">
        <f t="shared" ref="J79" si="14">SUM(J77:J78)</f>
        <v>0</v>
      </c>
      <c r="K79" s="122">
        <f t="shared" ref="K79" si="15">SUM(K77:K78)</f>
        <v>0</v>
      </c>
      <c r="L79" s="122">
        <f t="shared" ref="L79" si="16">SUM(L77:L78)</f>
        <v>-75974.22</v>
      </c>
      <c r="M79" s="122">
        <f t="shared" ref="M79" si="17">SUM(M77:M78)</f>
        <v>-1272.74</v>
      </c>
      <c r="N79" s="122">
        <f t="shared" ref="N79" si="18">SUM(N77:N78)</f>
        <v>0.41</v>
      </c>
      <c r="O79" s="122">
        <f t="shared" ref="O79" si="19">SUM(O77:O78)</f>
        <v>0</v>
      </c>
      <c r="P79" s="122">
        <f>SUM(P77:P78)</f>
        <v>-77246.550000000017</v>
      </c>
    </row>
    <row r="80" spans="1:16" x14ac:dyDescent="0.2">
      <c r="A80" s="141"/>
      <c r="B80" s="129"/>
      <c r="C80" s="125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56"/>
    </row>
    <row r="81" spans="1:16" x14ac:dyDescent="0.2">
      <c r="A81" s="141">
        <v>9</v>
      </c>
      <c r="B81" s="162" t="s">
        <v>115</v>
      </c>
      <c r="C81" s="125" t="s">
        <v>18</v>
      </c>
      <c r="D81" s="122">
        <v>0</v>
      </c>
      <c r="E81" s="122">
        <v>0</v>
      </c>
      <c r="F81" s="122">
        <v>0</v>
      </c>
      <c r="G81" s="122">
        <v>0</v>
      </c>
      <c r="H81" s="122">
        <v>0</v>
      </c>
      <c r="I81" s="122">
        <v>0</v>
      </c>
      <c r="J81" s="122">
        <v>0</v>
      </c>
      <c r="K81" s="122">
        <v>0</v>
      </c>
      <c r="L81" s="122">
        <f>[4]Riders!L75+[5]Riders!L130</f>
        <v>-19510.240000000002</v>
      </c>
      <c r="M81" s="122">
        <f>[4]Riders!M75+[5]Riders!M130</f>
        <v>-3484.9700000000003</v>
      </c>
      <c r="N81" s="122">
        <f>[4]Riders!N75+[5]Riders!N130</f>
        <v>0</v>
      </c>
      <c r="O81" s="122">
        <f>[4]Riders!O75+[5]Riders!O130</f>
        <v>0</v>
      </c>
      <c r="P81" s="156">
        <f>SUM(D81:O81)</f>
        <v>-22995.210000000003</v>
      </c>
    </row>
    <row r="82" spans="1:16" x14ac:dyDescent="0.2">
      <c r="A82" s="129"/>
      <c r="B82" s="129"/>
      <c r="C82" s="143"/>
      <c r="D82" s="157"/>
      <c r="E82" s="157"/>
      <c r="F82" s="157"/>
      <c r="G82" s="157"/>
      <c r="H82" s="157"/>
      <c r="I82" s="157"/>
      <c r="J82" s="157"/>
      <c r="K82" s="157"/>
      <c r="L82" s="122">
        <f>[4]Riders!L76+[5]Riders!L131</f>
        <v>0</v>
      </c>
      <c r="M82" s="122">
        <f>[4]Riders!M76+[5]Riders!M131</f>
        <v>0</v>
      </c>
      <c r="N82" s="122">
        <f>[4]Riders!N76+[5]Riders!N131</f>
        <v>0</v>
      </c>
      <c r="O82" s="122">
        <f>[4]Riders!O76+[5]Riders!O131</f>
        <v>0</v>
      </c>
      <c r="P82" s="122"/>
    </row>
    <row r="83" spans="1:16" x14ac:dyDescent="0.2">
      <c r="A83" s="141">
        <v>10</v>
      </c>
      <c r="B83" s="117" t="s">
        <v>33</v>
      </c>
      <c r="C83" s="125" t="s">
        <v>16</v>
      </c>
      <c r="D83" s="122">
        <v>0</v>
      </c>
      <c r="E83" s="122">
        <v>0</v>
      </c>
      <c r="F83" s="122">
        <v>0</v>
      </c>
      <c r="G83" s="122">
        <v>0</v>
      </c>
      <c r="H83" s="122">
        <v>0</v>
      </c>
      <c r="I83" s="122">
        <v>0</v>
      </c>
      <c r="J83" s="122">
        <v>0</v>
      </c>
      <c r="K83" s="122">
        <v>0</v>
      </c>
      <c r="L83" s="122">
        <f>[4]Riders!L77+[5]Riders!L132</f>
        <v>-30687.56</v>
      </c>
      <c r="M83" s="122">
        <f>[4]Riders!M77+[5]Riders!M132</f>
        <v>0.55000000000000004</v>
      </c>
      <c r="N83" s="122">
        <f>[4]Riders!N77+[5]Riders!N132</f>
        <v>0.36</v>
      </c>
      <c r="O83" s="122">
        <f>[4]Riders!O77+[5]Riders!O132</f>
        <v>0.14000000000000001</v>
      </c>
      <c r="P83" s="156">
        <f>SUM(D83:O83)</f>
        <v>-30686.510000000002</v>
      </c>
    </row>
    <row r="84" spans="1:16" x14ac:dyDescent="0.2">
      <c r="A84" s="141"/>
      <c r="B84" s="129"/>
      <c r="C84" s="143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22"/>
      <c r="P84" s="122"/>
    </row>
    <row r="85" spans="1:16" x14ac:dyDescent="0.2">
      <c r="A85" s="141">
        <v>11</v>
      </c>
      <c r="B85" s="183" t="s">
        <v>34</v>
      </c>
      <c r="C85" s="329"/>
      <c r="D85" s="184">
        <v>0</v>
      </c>
      <c r="E85" s="184">
        <f t="shared" ref="E85:O85" si="20">E83+E81+E79+E75+E71+E69</f>
        <v>0</v>
      </c>
      <c r="F85" s="184">
        <f t="shared" si="20"/>
        <v>0</v>
      </c>
      <c r="G85" s="184">
        <f t="shared" si="20"/>
        <v>0</v>
      </c>
      <c r="H85" s="184">
        <f t="shared" si="20"/>
        <v>0</v>
      </c>
      <c r="I85" s="184">
        <f t="shared" si="20"/>
        <v>0</v>
      </c>
      <c r="J85" s="184">
        <f t="shared" si="20"/>
        <v>0</v>
      </c>
      <c r="K85" s="184">
        <f t="shared" si="20"/>
        <v>0</v>
      </c>
      <c r="L85" s="184">
        <f t="shared" si="20"/>
        <v>-984735.02</v>
      </c>
      <c r="M85" s="184">
        <f t="shared" si="20"/>
        <v>-5197.7700000000004</v>
      </c>
      <c r="N85" s="184">
        <f t="shared" si="20"/>
        <v>5.93</v>
      </c>
      <c r="O85" s="184">
        <f t="shared" si="20"/>
        <v>30.6</v>
      </c>
      <c r="P85" s="184">
        <f>P83+P81+P79+P75+P71+P69</f>
        <v>-989896.26</v>
      </c>
    </row>
    <row r="86" spans="1:16" x14ac:dyDescent="0.2">
      <c r="A86" s="129"/>
      <c r="B86" s="329"/>
      <c r="C86" s="32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56"/>
      <c r="P86" s="156"/>
    </row>
    <row r="87" spans="1:16" x14ac:dyDescent="0.2">
      <c r="A87" s="141">
        <v>12</v>
      </c>
      <c r="B87" s="148"/>
      <c r="C87" s="125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72"/>
    </row>
    <row r="88" spans="1:16" x14ac:dyDescent="0.2">
      <c r="A88" s="141">
        <v>13</v>
      </c>
      <c r="B88" s="148"/>
      <c r="C88" s="125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72"/>
    </row>
    <row r="89" spans="1:16" x14ac:dyDescent="0.2">
      <c r="A89" s="141">
        <v>14</v>
      </c>
      <c r="B89" s="183"/>
      <c r="C89" s="329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72"/>
      <c r="P89" s="172"/>
    </row>
    <row r="90" spans="1:16" x14ac:dyDescent="0.2">
      <c r="A90" s="141"/>
      <c r="B90" s="129"/>
      <c r="C90" s="185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22"/>
      <c r="P90" s="122"/>
    </row>
    <row r="91" spans="1:16" ht="13.5" thickBot="1" x14ac:dyDescent="0.25">
      <c r="A91" s="141">
        <v>15</v>
      </c>
      <c r="B91" s="243" t="s">
        <v>136</v>
      </c>
      <c r="C91" s="328"/>
      <c r="D91" s="186">
        <f t="shared" ref="D91:P91" si="21">+D89+D85</f>
        <v>0</v>
      </c>
      <c r="E91" s="186">
        <f t="shared" si="21"/>
        <v>0</v>
      </c>
      <c r="F91" s="186">
        <f t="shared" si="21"/>
        <v>0</v>
      </c>
      <c r="G91" s="186">
        <f t="shared" si="21"/>
        <v>0</v>
      </c>
      <c r="H91" s="186">
        <f t="shared" si="21"/>
        <v>0</v>
      </c>
      <c r="I91" s="186">
        <f t="shared" si="21"/>
        <v>0</v>
      </c>
      <c r="J91" s="186">
        <f t="shared" si="21"/>
        <v>0</v>
      </c>
      <c r="K91" s="186">
        <f t="shared" si="21"/>
        <v>0</v>
      </c>
      <c r="L91" s="186">
        <f t="shared" si="21"/>
        <v>-984735.02</v>
      </c>
      <c r="M91" s="186">
        <f t="shared" si="21"/>
        <v>-5197.7700000000004</v>
      </c>
      <c r="N91" s="186">
        <f t="shared" si="21"/>
        <v>5.93</v>
      </c>
      <c r="O91" s="186">
        <f t="shared" si="21"/>
        <v>30.6</v>
      </c>
      <c r="P91" s="186">
        <f t="shared" si="21"/>
        <v>-989896.26</v>
      </c>
    </row>
    <row r="92" spans="1:16" ht="13.5" thickTop="1" x14ac:dyDescent="0.2"/>
    <row r="95" spans="1:16" x14ac:dyDescent="0.2">
      <c r="A95" s="146"/>
      <c r="B95" s="124" t="s">
        <v>127</v>
      </c>
      <c r="C95" s="168"/>
      <c r="D95" s="354"/>
      <c r="E95" s="177"/>
      <c r="F95" s="177"/>
      <c r="G95" s="345"/>
      <c r="H95" s="157"/>
      <c r="I95" s="157"/>
      <c r="J95" s="157"/>
      <c r="K95" s="157"/>
      <c r="L95" s="157"/>
      <c r="M95" s="157"/>
      <c r="N95" s="157"/>
      <c r="O95" s="122"/>
      <c r="P95" s="178"/>
    </row>
    <row r="96" spans="1:16" x14ac:dyDescent="0.2">
      <c r="A96" s="328" t="s">
        <v>20</v>
      </c>
      <c r="B96" s="330" t="s">
        <v>0</v>
      </c>
      <c r="C96" s="330" t="s">
        <v>19</v>
      </c>
      <c r="D96" s="164" t="s">
        <v>2</v>
      </c>
      <c r="E96" s="164" t="s">
        <v>3</v>
      </c>
      <c r="F96" s="164" t="s">
        <v>4</v>
      </c>
      <c r="G96" s="164" t="s">
        <v>5</v>
      </c>
      <c r="H96" s="164" t="s">
        <v>6</v>
      </c>
      <c r="I96" s="164" t="s">
        <v>7</v>
      </c>
      <c r="J96" s="164" t="s">
        <v>8</v>
      </c>
      <c r="K96" s="164" t="s">
        <v>9</v>
      </c>
      <c r="L96" s="164" t="s">
        <v>10</v>
      </c>
      <c r="M96" s="164" t="s">
        <v>11</v>
      </c>
      <c r="N96" s="164" t="s">
        <v>12</v>
      </c>
      <c r="O96" s="164" t="s">
        <v>13</v>
      </c>
      <c r="P96" s="179" t="s">
        <v>14</v>
      </c>
    </row>
    <row r="97" spans="1:16" x14ac:dyDescent="0.2">
      <c r="A97" s="146"/>
      <c r="B97" s="330"/>
      <c r="C97" s="330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79"/>
      <c r="P97" s="179"/>
    </row>
    <row r="98" spans="1:16" x14ac:dyDescent="0.2">
      <c r="A98" s="141" t="s">
        <v>21</v>
      </c>
      <c r="B98" s="129" t="s">
        <v>29</v>
      </c>
      <c r="C98" s="143" t="s">
        <v>16</v>
      </c>
      <c r="D98" s="149">
        <v>0</v>
      </c>
      <c r="E98" s="149">
        <v>0</v>
      </c>
      <c r="F98" s="149">
        <v>0</v>
      </c>
      <c r="G98" s="149">
        <v>0</v>
      </c>
      <c r="H98" s="149">
        <v>0</v>
      </c>
      <c r="I98" s="149">
        <v>0</v>
      </c>
      <c r="J98" s="149">
        <v>0</v>
      </c>
      <c r="K98" s="149">
        <v>0</v>
      </c>
      <c r="L98" s="149">
        <v>0</v>
      </c>
      <c r="M98" s="149">
        <v>0</v>
      </c>
      <c r="N98" s="194">
        <f>[4]Riders!N92+[5]Riders!N35</f>
        <v>70.039999999999992</v>
      </c>
      <c r="O98" s="194">
        <f>[4]Riders!O92+[5]Riders!O35</f>
        <v>0</v>
      </c>
      <c r="P98" s="149">
        <f>SUM(D98:O98)</f>
        <v>70.039999999999992</v>
      </c>
    </row>
    <row r="99" spans="1:16" x14ac:dyDescent="0.2">
      <c r="A99" s="129"/>
      <c r="B99" s="129"/>
      <c r="C99" s="143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94"/>
      <c r="O99" s="194"/>
      <c r="P99" s="156"/>
    </row>
    <row r="100" spans="1:16" x14ac:dyDescent="0.2">
      <c r="A100" s="141">
        <v>2</v>
      </c>
      <c r="B100" s="129" t="s">
        <v>32</v>
      </c>
      <c r="C100" s="143" t="s">
        <v>16</v>
      </c>
      <c r="D100" s="250">
        <v>0</v>
      </c>
      <c r="E100" s="250">
        <v>0</v>
      </c>
      <c r="F100" s="250">
        <v>0</v>
      </c>
      <c r="G100" s="250">
        <v>0</v>
      </c>
      <c r="H100" s="250">
        <v>0</v>
      </c>
      <c r="I100" s="250">
        <v>0</v>
      </c>
      <c r="J100" s="250">
        <v>0</v>
      </c>
      <c r="K100" s="250">
        <v>0</v>
      </c>
      <c r="L100" s="250">
        <v>0</v>
      </c>
      <c r="M100" s="250">
        <v>0</v>
      </c>
      <c r="N100" s="194">
        <f>[4]Riders!N94+[5]Riders!N37</f>
        <v>-68.510000000000005</v>
      </c>
      <c r="O100" s="194">
        <f>[4]Riders!O94+[5]Riders!O37</f>
        <v>0</v>
      </c>
      <c r="P100" s="356">
        <f>SUM(D100:O100)</f>
        <v>-68.510000000000005</v>
      </c>
    </row>
    <row r="101" spans="1:16" x14ac:dyDescent="0.2">
      <c r="A101" s="141"/>
      <c r="B101" s="129"/>
      <c r="C101" s="143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194"/>
      <c r="O101" s="194"/>
      <c r="P101" s="356"/>
    </row>
    <row r="102" spans="1:16" x14ac:dyDescent="0.2">
      <c r="A102" s="141">
        <v>3</v>
      </c>
      <c r="B102" s="146" t="s">
        <v>113</v>
      </c>
      <c r="C102" s="125" t="s">
        <v>16</v>
      </c>
      <c r="D102" s="355">
        <v>0</v>
      </c>
      <c r="E102" s="355">
        <v>0</v>
      </c>
      <c r="F102" s="355">
        <v>0</v>
      </c>
      <c r="G102" s="355">
        <v>0</v>
      </c>
      <c r="H102" s="355">
        <v>0</v>
      </c>
      <c r="I102" s="355">
        <v>0</v>
      </c>
      <c r="J102" s="355">
        <v>0</v>
      </c>
      <c r="K102" s="355">
        <v>0</v>
      </c>
      <c r="L102" s="355">
        <v>0</v>
      </c>
      <c r="M102" s="355">
        <v>0</v>
      </c>
      <c r="N102" s="194">
        <f>[4]Riders!N96+[5]Riders!N39</f>
        <v>-51.78</v>
      </c>
      <c r="O102" s="194">
        <f>[4]Riders!O96+[5]Riders!O39</f>
        <v>0</v>
      </c>
      <c r="P102" s="356">
        <f>SUM(D102:O102)</f>
        <v>-51.78</v>
      </c>
    </row>
    <row r="103" spans="1:16" x14ac:dyDescent="0.2">
      <c r="A103" s="141">
        <v>4</v>
      </c>
      <c r="B103" s="146" t="s">
        <v>114</v>
      </c>
      <c r="C103" s="125" t="s">
        <v>16</v>
      </c>
      <c r="D103" s="357">
        <v>0</v>
      </c>
      <c r="E103" s="357">
        <v>0</v>
      </c>
      <c r="F103" s="357">
        <v>0</v>
      </c>
      <c r="G103" s="357">
        <v>0</v>
      </c>
      <c r="H103" s="357">
        <v>0</v>
      </c>
      <c r="I103" s="357">
        <v>0</v>
      </c>
      <c r="J103" s="357">
        <v>0</v>
      </c>
      <c r="K103" s="357">
        <v>0</v>
      </c>
      <c r="L103" s="357">
        <v>0</v>
      </c>
      <c r="M103" s="357">
        <v>0</v>
      </c>
      <c r="N103" s="247">
        <f>[4]Riders!N97+[5]Riders!N40</f>
        <v>0</v>
      </c>
      <c r="O103" s="247">
        <f>[4]Riders!O97+[5]Riders!O40</f>
        <v>0</v>
      </c>
      <c r="P103" s="357">
        <f>SUM(D103:O103)</f>
        <v>0</v>
      </c>
    </row>
    <row r="104" spans="1:16" x14ac:dyDescent="0.2">
      <c r="A104" s="141">
        <v>5</v>
      </c>
      <c r="B104" s="162" t="s">
        <v>30</v>
      </c>
      <c r="C104" s="143"/>
      <c r="D104" s="157">
        <f>SUM(D102:D103)</f>
        <v>0</v>
      </c>
      <c r="E104" s="157">
        <f t="shared" ref="E104:O104" si="22">SUM(E102:E103)</f>
        <v>0</v>
      </c>
      <c r="F104" s="157">
        <f t="shared" si="22"/>
        <v>0</v>
      </c>
      <c r="G104" s="157">
        <f t="shared" si="22"/>
        <v>0</v>
      </c>
      <c r="H104" s="157">
        <f t="shared" si="22"/>
        <v>0</v>
      </c>
      <c r="I104" s="157">
        <f t="shared" si="22"/>
        <v>0</v>
      </c>
      <c r="J104" s="157">
        <f t="shared" si="22"/>
        <v>0</v>
      </c>
      <c r="K104" s="157">
        <f t="shared" si="22"/>
        <v>0</v>
      </c>
      <c r="L104" s="157">
        <f t="shared" si="22"/>
        <v>0</v>
      </c>
      <c r="M104" s="157">
        <f t="shared" si="22"/>
        <v>0</v>
      </c>
      <c r="N104" s="157">
        <f t="shared" si="22"/>
        <v>-51.78</v>
      </c>
      <c r="O104" s="157">
        <f t="shared" si="22"/>
        <v>0</v>
      </c>
      <c r="P104" s="157">
        <f>SUM(P102:P103)</f>
        <v>-51.78</v>
      </c>
    </row>
    <row r="105" spans="1:16" x14ac:dyDescent="0.2">
      <c r="A105" s="129"/>
      <c r="B105" s="242"/>
      <c r="C105" s="143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22"/>
      <c r="P105" s="122"/>
    </row>
    <row r="106" spans="1:16" x14ac:dyDescent="0.2">
      <c r="A106" s="141">
        <v>6</v>
      </c>
      <c r="B106" s="146" t="s">
        <v>110</v>
      </c>
      <c r="C106" s="125" t="s">
        <v>17</v>
      </c>
      <c r="D106" s="122">
        <v>0</v>
      </c>
      <c r="E106" s="122">
        <v>0</v>
      </c>
      <c r="F106" s="122">
        <v>0</v>
      </c>
      <c r="G106" s="122">
        <v>0</v>
      </c>
      <c r="H106" s="122">
        <v>0</v>
      </c>
      <c r="I106" s="122">
        <v>0</v>
      </c>
      <c r="J106" s="122">
        <v>0</v>
      </c>
      <c r="K106" s="122">
        <v>0</v>
      </c>
      <c r="L106" s="122">
        <v>0</v>
      </c>
      <c r="M106" s="122">
        <v>0</v>
      </c>
      <c r="N106" s="122">
        <v>0</v>
      </c>
      <c r="O106" s="122">
        <v>0</v>
      </c>
      <c r="P106" s="156">
        <f>SUM(D106:O106)</f>
        <v>0</v>
      </c>
    </row>
    <row r="107" spans="1:16" x14ac:dyDescent="0.2">
      <c r="A107" s="141">
        <v>7</v>
      </c>
      <c r="B107" s="146" t="s">
        <v>111</v>
      </c>
      <c r="C107" s="125" t="s">
        <v>17</v>
      </c>
      <c r="D107" s="123">
        <v>0</v>
      </c>
      <c r="E107" s="123">
        <v>0</v>
      </c>
      <c r="F107" s="123">
        <v>0</v>
      </c>
      <c r="G107" s="123">
        <v>0</v>
      </c>
      <c r="H107" s="123">
        <v>0</v>
      </c>
      <c r="I107" s="123">
        <v>0</v>
      </c>
      <c r="J107" s="123">
        <v>0</v>
      </c>
      <c r="K107" s="123">
        <v>0</v>
      </c>
      <c r="L107" s="123">
        <v>0</v>
      </c>
      <c r="M107" s="123">
        <v>0</v>
      </c>
      <c r="N107" s="123">
        <v>0</v>
      </c>
      <c r="O107" s="123">
        <v>0</v>
      </c>
      <c r="P107" s="173">
        <f>SUM(D107:O107)</f>
        <v>0</v>
      </c>
    </row>
    <row r="108" spans="1:16" x14ac:dyDescent="0.2">
      <c r="A108" s="141">
        <v>8</v>
      </c>
      <c r="B108" s="129" t="s">
        <v>31</v>
      </c>
      <c r="C108" s="125"/>
      <c r="D108" s="122">
        <f>SUM(D106:D107)</f>
        <v>0</v>
      </c>
      <c r="E108" s="122">
        <f t="shared" ref="E108:O108" si="23">SUM(E106:E107)</f>
        <v>0</v>
      </c>
      <c r="F108" s="122">
        <f t="shared" si="23"/>
        <v>0</v>
      </c>
      <c r="G108" s="122">
        <f t="shared" si="23"/>
        <v>0</v>
      </c>
      <c r="H108" s="122">
        <f t="shared" si="23"/>
        <v>0</v>
      </c>
      <c r="I108" s="122">
        <f t="shared" si="23"/>
        <v>0</v>
      </c>
      <c r="J108" s="122">
        <f t="shared" si="23"/>
        <v>0</v>
      </c>
      <c r="K108" s="122">
        <f t="shared" si="23"/>
        <v>0</v>
      </c>
      <c r="L108" s="122">
        <f t="shared" si="23"/>
        <v>0</v>
      </c>
      <c r="M108" s="122">
        <f t="shared" si="23"/>
        <v>0</v>
      </c>
      <c r="N108" s="122">
        <f t="shared" si="23"/>
        <v>0</v>
      </c>
      <c r="O108" s="122">
        <f t="shared" si="23"/>
        <v>0</v>
      </c>
      <c r="P108" s="122">
        <f>SUM(P106:P107)</f>
        <v>0</v>
      </c>
    </row>
    <row r="109" spans="1:16" x14ac:dyDescent="0.2">
      <c r="A109" s="141"/>
      <c r="B109" s="129"/>
      <c r="C109" s="125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56"/>
    </row>
    <row r="110" spans="1:16" x14ac:dyDescent="0.2">
      <c r="A110" s="141">
        <v>9</v>
      </c>
      <c r="B110" s="162" t="s">
        <v>115</v>
      </c>
      <c r="C110" s="125" t="s">
        <v>18</v>
      </c>
      <c r="D110" s="122">
        <f>[4]Riders!D104+[5]Riders!D47</f>
        <v>-200</v>
      </c>
      <c r="E110" s="122">
        <f>[4]Riders!E104+[5]Riders!E47</f>
        <v>-170</v>
      </c>
      <c r="F110" s="122">
        <f>[4]Riders!F104+[5]Riders!F47</f>
        <v>-230</v>
      </c>
      <c r="G110" s="122">
        <f>[4]Riders!G104+[5]Riders!G47</f>
        <v>-244.48000000000002</v>
      </c>
      <c r="H110" s="122">
        <f>[4]Riders!H104+[5]Riders!H47</f>
        <v>-260</v>
      </c>
      <c r="I110" s="122">
        <f>[4]Riders!I104+[5]Riders!I47</f>
        <v>-230</v>
      </c>
      <c r="J110" s="122">
        <f>[4]Riders!J104+[5]Riders!J47</f>
        <v>-230</v>
      </c>
      <c r="K110" s="122">
        <f>[4]Riders!K104+[5]Riders!K47</f>
        <v>-230</v>
      </c>
      <c r="L110" s="122">
        <f>[4]Riders!L104+[5]Riders!L47</f>
        <v>-200</v>
      </c>
      <c r="M110" s="122">
        <f>[4]Riders!M104+[5]Riders!M47</f>
        <v>-260</v>
      </c>
      <c r="N110" s="122">
        <f>[4]Riders!N104+[5]Riders!N47</f>
        <v>-260</v>
      </c>
      <c r="O110" s="122">
        <f>[4]Riders!O104+[5]Riders!O47</f>
        <v>-260</v>
      </c>
      <c r="P110" s="156">
        <f>SUM(D110:O110)</f>
        <v>-2774.48</v>
      </c>
    </row>
    <row r="111" spans="1:16" x14ac:dyDescent="0.2">
      <c r="A111" s="129"/>
      <c r="B111" s="129"/>
      <c r="C111" s="143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22"/>
    </row>
    <row r="112" spans="1:16" x14ac:dyDescent="0.2">
      <c r="A112" s="141">
        <v>10</v>
      </c>
      <c r="B112" s="117" t="s">
        <v>33</v>
      </c>
      <c r="C112" s="125" t="s">
        <v>16</v>
      </c>
      <c r="D112" s="122">
        <v>0</v>
      </c>
      <c r="E112" s="122">
        <v>0</v>
      </c>
      <c r="F112" s="122">
        <v>0</v>
      </c>
      <c r="G112" s="122">
        <v>0</v>
      </c>
      <c r="H112" s="122">
        <v>0</v>
      </c>
      <c r="I112" s="122">
        <v>0</v>
      </c>
      <c r="J112" s="122">
        <v>0</v>
      </c>
      <c r="K112" s="122">
        <v>0</v>
      </c>
      <c r="L112" s="122">
        <v>0</v>
      </c>
      <c r="M112" s="122">
        <v>0</v>
      </c>
      <c r="N112" s="122">
        <f>+'[6]TCC Riders Sales Annual'!$H$72+'[6]TCC Riders Sales Annual'!$AC$72</f>
        <v>-2.7199999999999998</v>
      </c>
      <c r="O112" s="122">
        <v>0</v>
      </c>
      <c r="P112" s="156">
        <f>SUM(D112:O112)</f>
        <v>-2.7199999999999998</v>
      </c>
    </row>
    <row r="113" spans="1:16" x14ac:dyDescent="0.2">
      <c r="A113" s="141"/>
      <c r="B113" s="129"/>
      <c r="C113" s="143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22"/>
      <c r="P113" s="122"/>
    </row>
    <row r="114" spans="1:16" x14ac:dyDescent="0.2">
      <c r="A114" s="141">
        <v>11</v>
      </c>
      <c r="B114" s="363" t="s">
        <v>34</v>
      </c>
      <c r="C114" s="329"/>
      <c r="D114" s="184">
        <f>D112+D110+D108+D104+D100+D98</f>
        <v>-200</v>
      </c>
      <c r="E114" s="184">
        <f t="shared" ref="E114:O114" si="24">E112+E110+E108+E104+E100+E98</f>
        <v>-170</v>
      </c>
      <c r="F114" s="184">
        <f t="shared" si="24"/>
        <v>-230</v>
      </c>
      <c r="G114" s="184">
        <f t="shared" si="24"/>
        <v>-244.48000000000002</v>
      </c>
      <c r="H114" s="184">
        <f t="shared" si="24"/>
        <v>-260</v>
      </c>
      <c r="I114" s="184">
        <f t="shared" si="24"/>
        <v>-230</v>
      </c>
      <c r="J114" s="184">
        <f t="shared" si="24"/>
        <v>-230</v>
      </c>
      <c r="K114" s="184">
        <f t="shared" si="24"/>
        <v>-230</v>
      </c>
      <c r="L114" s="184">
        <f t="shared" si="24"/>
        <v>-200</v>
      </c>
      <c r="M114" s="184">
        <f>M112+M110+M108+M104+M100+M98</f>
        <v>-260</v>
      </c>
      <c r="N114" s="184">
        <f>N112+N110+N108+N104+N100+N98</f>
        <v>-312.97000000000003</v>
      </c>
      <c r="O114" s="184">
        <f t="shared" si="24"/>
        <v>-260</v>
      </c>
      <c r="P114" s="184">
        <f>P112+P110+P108+P104+P100+P98</f>
        <v>-2827.4500000000003</v>
      </c>
    </row>
    <row r="115" spans="1:16" x14ac:dyDescent="0.2">
      <c r="A115" s="129"/>
      <c r="B115" s="329"/>
      <c r="C115" s="32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56"/>
      <c r="P115" s="156"/>
    </row>
    <row r="116" spans="1:16" x14ac:dyDescent="0.2">
      <c r="A116" s="141">
        <v>12</v>
      </c>
      <c r="B116" s="148"/>
      <c r="C116" s="125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72"/>
    </row>
    <row r="117" spans="1:16" x14ac:dyDescent="0.2">
      <c r="A117" s="141">
        <v>13</v>
      </c>
      <c r="B117" s="148"/>
      <c r="C117" s="125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72"/>
    </row>
    <row r="118" spans="1:16" x14ac:dyDescent="0.2">
      <c r="A118" s="141">
        <v>14</v>
      </c>
      <c r="B118" s="183"/>
      <c r="C118" s="329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72"/>
      <c r="P118" s="172"/>
    </row>
    <row r="119" spans="1:16" x14ac:dyDescent="0.2">
      <c r="A119" s="141"/>
      <c r="B119" s="129"/>
      <c r="C119" s="185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22"/>
      <c r="P119" s="122"/>
    </row>
    <row r="120" spans="1:16" ht="13.5" thickBot="1" x14ac:dyDescent="0.25">
      <c r="A120" s="141">
        <v>15</v>
      </c>
      <c r="B120" s="243" t="s">
        <v>136</v>
      </c>
      <c r="C120" s="328"/>
      <c r="D120" s="186">
        <f t="shared" ref="D120:P120" si="25">+D118+D114</f>
        <v>-200</v>
      </c>
      <c r="E120" s="186">
        <f t="shared" si="25"/>
        <v>-170</v>
      </c>
      <c r="F120" s="186">
        <f t="shared" si="25"/>
        <v>-230</v>
      </c>
      <c r="G120" s="186">
        <f t="shared" si="25"/>
        <v>-244.48000000000002</v>
      </c>
      <c r="H120" s="186">
        <f t="shared" si="25"/>
        <v>-260</v>
      </c>
      <c r="I120" s="186">
        <f t="shared" si="25"/>
        <v>-230</v>
      </c>
      <c r="J120" s="186">
        <f t="shared" si="25"/>
        <v>-230</v>
      </c>
      <c r="K120" s="186">
        <f t="shared" si="25"/>
        <v>-230</v>
      </c>
      <c r="L120" s="186">
        <f t="shared" si="25"/>
        <v>-200</v>
      </c>
      <c r="M120" s="186">
        <f t="shared" si="25"/>
        <v>-260</v>
      </c>
      <c r="N120" s="186">
        <f t="shared" si="25"/>
        <v>-312.97000000000003</v>
      </c>
      <c r="O120" s="186">
        <f t="shared" si="25"/>
        <v>-260</v>
      </c>
      <c r="P120" s="186">
        <f t="shared" si="25"/>
        <v>-2827.4500000000003</v>
      </c>
    </row>
    <row r="121" spans="1:16" ht="13.5" thickTop="1" x14ac:dyDescent="0.2"/>
    <row r="123" spans="1:16" x14ac:dyDescent="0.2">
      <c r="A123" s="146"/>
      <c r="B123" s="124" t="s">
        <v>119</v>
      </c>
      <c r="C123" s="168"/>
      <c r="D123" s="354"/>
      <c r="E123" s="177"/>
      <c r="F123" s="177"/>
      <c r="G123" s="345"/>
      <c r="H123" s="157"/>
      <c r="I123" s="157"/>
      <c r="J123" s="157"/>
      <c r="K123" s="157"/>
      <c r="L123" s="157"/>
      <c r="M123" s="157"/>
      <c r="N123" s="157"/>
      <c r="O123" s="122"/>
      <c r="P123" s="178"/>
    </row>
    <row r="124" spans="1:16" x14ac:dyDescent="0.2">
      <c r="A124" s="328" t="s">
        <v>20</v>
      </c>
      <c r="B124" s="330" t="s">
        <v>0</v>
      </c>
      <c r="C124" s="330" t="s">
        <v>19</v>
      </c>
      <c r="D124" s="164" t="s">
        <v>2</v>
      </c>
      <c r="E124" s="164" t="s">
        <v>3</v>
      </c>
      <c r="F124" s="164" t="s">
        <v>4</v>
      </c>
      <c r="G124" s="164" t="s">
        <v>5</v>
      </c>
      <c r="H124" s="164" t="s">
        <v>6</v>
      </c>
      <c r="I124" s="164" t="s">
        <v>7</v>
      </c>
      <c r="J124" s="164" t="s">
        <v>8</v>
      </c>
      <c r="K124" s="164" t="s">
        <v>9</v>
      </c>
      <c r="L124" s="164" t="s">
        <v>10</v>
      </c>
      <c r="M124" s="164" t="s">
        <v>11</v>
      </c>
      <c r="N124" s="164" t="s">
        <v>12</v>
      </c>
      <c r="O124" s="164" t="s">
        <v>13</v>
      </c>
      <c r="P124" s="179" t="s">
        <v>14</v>
      </c>
    </row>
    <row r="125" spans="1:16" x14ac:dyDescent="0.2">
      <c r="A125" s="146"/>
      <c r="B125" s="330"/>
      <c r="C125" s="330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79"/>
      <c r="P125" s="179"/>
    </row>
    <row r="126" spans="1:16" x14ac:dyDescent="0.2">
      <c r="A126" s="141" t="s">
        <v>21</v>
      </c>
      <c r="B126" s="129" t="s">
        <v>29</v>
      </c>
      <c r="C126" s="143" t="s">
        <v>16</v>
      </c>
      <c r="D126" s="149">
        <f>'[6]TCC Riders Sales Elec'!FW86</f>
        <v>8129497.6600000001</v>
      </c>
      <c r="E126" s="149">
        <f>'[6]TCC Riders Sales Elec'!FX86</f>
        <v>5991169.4900000002</v>
      </c>
      <c r="F126" s="149">
        <f>'[6]TCC Riders Sales Elec'!FY86</f>
        <v>4803338.79</v>
      </c>
      <c r="G126" s="149">
        <f>'[6]TCC Riders Sales Elec'!FZ86</f>
        <v>5223114.66</v>
      </c>
      <c r="H126" s="149">
        <f>'[6]TCC Riders Sales Elec'!GA86</f>
        <v>5777108.7199999997</v>
      </c>
      <c r="I126" s="149">
        <f>'[6]TCC Riders Sales Elec'!GB86</f>
        <v>8684699.0800000001</v>
      </c>
      <c r="J126" s="149">
        <f>'[6]TCC Riders Sales Elec'!GC86</f>
        <v>8954225.9100000001</v>
      </c>
      <c r="K126" s="149">
        <f>'[6]TCC Riders Sales Elec'!GD86</f>
        <v>9212824.0299999993</v>
      </c>
      <c r="L126" s="149">
        <f>'[6]TCC Riders Sales Elec'!GE86</f>
        <v>9124550.4299999997</v>
      </c>
      <c r="M126" s="149">
        <f>'[6]TCC Riders Sales Elec'!GF86</f>
        <v>7226676.46</v>
      </c>
      <c r="N126" s="149">
        <f>'[6]TCC Riders Sales Elec'!GG86</f>
        <v>5381671.1500000004</v>
      </c>
      <c r="O126" s="149">
        <f>'[6]TCC Riders Sales Elec'!GH86</f>
        <v>5843235.0300000003</v>
      </c>
      <c r="P126" s="149">
        <f>SUM(D126:O126)</f>
        <v>84352111.410000011</v>
      </c>
    </row>
    <row r="127" spans="1:16" x14ac:dyDescent="0.2">
      <c r="A127" s="129"/>
      <c r="B127" s="129"/>
      <c r="C127" s="143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56"/>
    </row>
    <row r="128" spans="1:16" x14ac:dyDescent="0.2">
      <c r="A128" s="141">
        <v>2</v>
      </c>
      <c r="B128" s="129" t="s">
        <v>32</v>
      </c>
      <c r="C128" s="143" t="s">
        <v>16</v>
      </c>
      <c r="D128" s="250">
        <f>'[6]TCC Riders Sales Elec'!FW13</f>
        <v>657073.44999999995</v>
      </c>
      <c r="E128" s="250">
        <f>'[6]TCC Riders Sales Elec'!FX13</f>
        <v>543693.99</v>
      </c>
      <c r="F128" s="250">
        <f>'[6]TCC Riders Sales Elec'!FY13</f>
        <v>520898.45</v>
      </c>
      <c r="G128" s="250">
        <f>'[6]TCC Riders Sales Elec'!FZ13</f>
        <v>554973.67000000004</v>
      </c>
      <c r="H128" s="250">
        <f>'[6]TCC Riders Sales Elec'!GA13</f>
        <v>565839.32999999996</v>
      </c>
      <c r="I128" s="250">
        <f>'[6]TCC Riders Sales Elec'!GB13</f>
        <v>691123.52</v>
      </c>
      <c r="J128" s="250">
        <f>'[6]TCC Riders Sales Elec'!GC13</f>
        <v>698293.58</v>
      </c>
      <c r="K128" s="250">
        <f>'[6]TCC Riders Sales Elec'!GD13</f>
        <v>706235.62</v>
      </c>
      <c r="L128" s="250">
        <f>'[6]TCC Riders Sales Elec'!GE13</f>
        <v>724712.37</v>
      </c>
      <c r="M128" s="250">
        <f>'[6]TCC Riders Sales Elec'!GF13</f>
        <v>648438.82999999996</v>
      </c>
      <c r="N128" s="250">
        <f>'[6]TCC Riders Sales Elec'!GG13</f>
        <v>562863.94999999995</v>
      </c>
      <c r="O128" s="250">
        <f>'[6]TCC Riders Sales Elec'!GH13</f>
        <v>569914.26</v>
      </c>
      <c r="P128" s="356">
        <f>SUM(D128:O128)</f>
        <v>7444061.0200000005</v>
      </c>
    </row>
    <row r="129" spans="1:16" x14ac:dyDescent="0.2">
      <c r="A129" s="141"/>
      <c r="B129" s="129"/>
      <c r="C129" s="143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356"/>
    </row>
    <row r="130" spans="1:16" x14ac:dyDescent="0.2">
      <c r="A130" s="141">
        <v>3</v>
      </c>
      <c r="B130" s="146" t="s">
        <v>113</v>
      </c>
      <c r="C130" s="125" t="s">
        <v>16</v>
      </c>
      <c r="D130" s="355">
        <f>'[6]TCC Riders Sales Elec'!FW31</f>
        <v>5595696.9000000004</v>
      </c>
      <c r="E130" s="355">
        <f>'[6]TCC Riders Sales Elec'!FX31</f>
        <v>5365180.55</v>
      </c>
      <c r="F130" s="355">
        <f>'[6]TCC Riders Sales Elec'!FY31</f>
        <v>5241433.04</v>
      </c>
      <c r="G130" s="355">
        <f>'[6]TCC Riders Sales Elec'!FZ31</f>
        <v>5422092.9199999999</v>
      </c>
      <c r="H130" s="355">
        <f>'[6]TCC Riders Sales Elec'!GA31</f>
        <v>5546653.3600000003</v>
      </c>
      <c r="I130" s="355">
        <f>'[6]TCC Riders Sales Elec'!GB31</f>
        <v>6256841.7800000003</v>
      </c>
      <c r="J130" s="355">
        <f>'[6]TCC Riders Sales Elec'!GC31</f>
        <v>6194926.54</v>
      </c>
      <c r="K130" s="355">
        <f>'[6]TCC Riders Sales Elec'!GD31</f>
        <v>6310141.4299999997</v>
      </c>
      <c r="L130" s="355">
        <f>'[6]TCC Riders Sales Elec'!GE31</f>
        <v>6611074.5099999998</v>
      </c>
      <c r="M130" s="355">
        <f>'[6]TCC Riders Sales Elec'!GF31</f>
        <v>6096053.2599999998</v>
      </c>
      <c r="N130" s="355">
        <f>'[6]TCC Riders Sales Elec'!GG31</f>
        <v>5614966.3600000003</v>
      </c>
      <c r="O130" s="355">
        <f>'[6]TCC Riders Sales Elec'!GH31</f>
        <v>5547513.5800000001</v>
      </c>
      <c r="P130" s="356">
        <f>SUM(D130:O130)</f>
        <v>69802574.229999989</v>
      </c>
    </row>
    <row r="131" spans="1:16" x14ac:dyDescent="0.2">
      <c r="A131" s="141">
        <v>4</v>
      </c>
      <c r="B131" s="146" t="s">
        <v>114</v>
      </c>
      <c r="C131" s="125" t="s">
        <v>16</v>
      </c>
      <c r="D131" s="357">
        <f>'[6]TCC Riders Sales Elec'!FW22</f>
        <v>453750.21</v>
      </c>
      <c r="E131" s="357">
        <f>'[6]TCC Riders Sales Elec'!FX22</f>
        <v>445508.96</v>
      </c>
      <c r="F131" s="357">
        <f>'[6]TCC Riders Sales Elec'!FY22</f>
        <v>453418.72</v>
      </c>
      <c r="G131" s="357">
        <f>'[6]TCC Riders Sales Elec'!FZ22</f>
        <v>468816.94</v>
      </c>
      <c r="H131" s="357">
        <f>'[6]TCC Riders Sales Elec'!GA22</f>
        <v>478019.49</v>
      </c>
      <c r="I131" s="357">
        <f>'[6]TCC Riders Sales Elec'!GB22</f>
        <v>503575.64</v>
      </c>
      <c r="J131" s="357">
        <f>'[6]TCC Riders Sales Elec'!GC22</f>
        <v>471606.55</v>
      </c>
      <c r="K131" s="357">
        <f>'[6]TCC Riders Sales Elec'!GD22</f>
        <v>527668.03</v>
      </c>
      <c r="L131" s="357">
        <f>'[6]TCC Riders Sales Elec'!GE22</f>
        <v>647814.06999999995</v>
      </c>
      <c r="M131" s="357">
        <f>'[6]TCC Riders Sales Elec'!GF22</f>
        <v>579470.27</v>
      </c>
      <c r="N131" s="357">
        <f>'[6]TCC Riders Sales Elec'!GG22</f>
        <v>520799.21</v>
      </c>
      <c r="O131" s="357">
        <f>'[6]TCC Riders Sales Elec'!GH22</f>
        <v>462198.57</v>
      </c>
      <c r="P131" s="357">
        <f>SUM(D131:O131)</f>
        <v>6012646.6600000011</v>
      </c>
    </row>
    <row r="132" spans="1:16" x14ac:dyDescent="0.2">
      <c r="A132" s="141">
        <v>5</v>
      </c>
      <c r="B132" s="162" t="s">
        <v>30</v>
      </c>
      <c r="C132" s="143"/>
      <c r="D132" s="157">
        <f>SUM(D130:D131)</f>
        <v>6049447.1100000003</v>
      </c>
      <c r="E132" s="157">
        <f t="shared" ref="E132:O132" si="26">SUM(E130:E131)</f>
        <v>5810689.5099999998</v>
      </c>
      <c r="F132" s="157">
        <f t="shared" si="26"/>
        <v>5694851.7599999998</v>
      </c>
      <c r="G132" s="157">
        <f t="shared" si="26"/>
        <v>5890909.8600000003</v>
      </c>
      <c r="H132" s="157">
        <f t="shared" si="26"/>
        <v>6024672.8500000006</v>
      </c>
      <c r="I132" s="157">
        <f t="shared" si="26"/>
        <v>6760417.4199999999</v>
      </c>
      <c r="J132" s="157">
        <f t="shared" si="26"/>
        <v>6666533.0899999999</v>
      </c>
      <c r="K132" s="157">
        <f t="shared" si="26"/>
        <v>6837809.46</v>
      </c>
      <c r="L132" s="157">
        <f t="shared" si="26"/>
        <v>7258888.5800000001</v>
      </c>
      <c r="M132" s="157">
        <f t="shared" si="26"/>
        <v>6675523.5299999993</v>
      </c>
      <c r="N132" s="157">
        <f t="shared" si="26"/>
        <v>6135765.5700000003</v>
      </c>
      <c r="O132" s="157">
        <f t="shared" si="26"/>
        <v>6009712.1500000004</v>
      </c>
      <c r="P132" s="157">
        <f>SUM(P130:P131)</f>
        <v>75815220.889999986</v>
      </c>
    </row>
    <row r="133" spans="1:16" x14ac:dyDescent="0.2">
      <c r="A133" s="129"/>
      <c r="B133" s="242"/>
      <c r="C133" s="143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22"/>
      <c r="P133" s="122"/>
    </row>
    <row r="134" spans="1:16" x14ac:dyDescent="0.2">
      <c r="A134" s="141">
        <v>6</v>
      </c>
      <c r="B134" s="146" t="s">
        <v>110</v>
      </c>
      <c r="C134" s="125" t="s">
        <v>17</v>
      </c>
      <c r="D134" s="122">
        <f>'[6]TCC Riders Sales Elec'!FW83</f>
        <v>97455.57</v>
      </c>
      <c r="E134" s="122">
        <f>'[6]TCC Riders Sales Elec'!FX83</f>
        <v>97145.12</v>
      </c>
      <c r="F134" s="122">
        <f>'[6]TCC Riders Sales Elec'!FY83</f>
        <v>95403.28</v>
      </c>
      <c r="G134" s="122">
        <f>'[6]TCC Riders Sales Elec'!FZ83</f>
        <v>100795.66</v>
      </c>
      <c r="H134" s="122">
        <f>'[6]TCC Riders Sales Elec'!GA83</f>
        <v>103095.19</v>
      </c>
      <c r="I134" s="122">
        <f>'[6]TCC Riders Sales Elec'!GB83</f>
        <v>107426</v>
      </c>
      <c r="J134" s="122">
        <f>'[6]TCC Riders Sales Elec'!GC83</f>
        <v>103559.19</v>
      </c>
      <c r="K134" s="122">
        <f>'[6]TCC Riders Sales Elec'!GD83</f>
        <v>108458.56</v>
      </c>
      <c r="L134" s="122">
        <f>'[6]TCC Riders Sales Elec'!GE83</f>
        <v>119933.27</v>
      </c>
      <c r="M134" s="122">
        <f>'[6]TCC Riders Sales Elec'!GF83</f>
        <v>114146.43</v>
      </c>
      <c r="N134" s="122">
        <f>'[6]TCC Riders Sales Elec'!GG83</f>
        <v>128530.5</v>
      </c>
      <c r="O134" s="122">
        <f>'[6]TCC Riders Sales Elec'!GH83</f>
        <v>107130.45</v>
      </c>
      <c r="P134" s="156">
        <f>SUM(D134:O134)</f>
        <v>1283079.22</v>
      </c>
    </row>
    <row r="135" spans="1:16" x14ac:dyDescent="0.2">
      <c r="A135" s="141">
        <v>7</v>
      </c>
      <c r="B135" s="146" t="s">
        <v>111</v>
      </c>
      <c r="C135" s="125" t="s">
        <v>17</v>
      </c>
      <c r="D135" s="123">
        <f>'[6]TCC Riders Sales Elec'!FW78</f>
        <v>1226534.3999999999</v>
      </c>
      <c r="E135" s="123">
        <f>'[6]TCC Riders Sales Elec'!FX78</f>
        <v>1149077.93</v>
      </c>
      <c r="F135" s="123">
        <f>'[6]TCC Riders Sales Elec'!FY78</f>
        <v>1163300.19</v>
      </c>
      <c r="G135" s="123">
        <f>'[6]TCC Riders Sales Elec'!FZ78</f>
        <v>1157087.82</v>
      </c>
      <c r="H135" s="123">
        <f>'[6]TCC Riders Sales Elec'!GA78</f>
        <v>1256449.27</v>
      </c>
      <c r="I135" s="123">
        <f>'[6]TCC Riders Sales Elec'!GB78</f>
        <v>1341630.55</v>
      </c>
      <c r="J135" s="123">
        <f>'[6]TCC Riders Sales Elec'!GC78</f>
        <v>1284198.43</v>
      </c>
      <c r="K135" s="123">
        <f>'[6]TCC Riders Sales Elec'!GD78</f>
        <v>1277151.3400000001</v>
      </c>
      <c r="L135" s="123">
        <f>'[6]TCC Riders Sales Elec'!GE78</f>
        <v>1360132.87</v>
      </c>
      <c r="M135" s="123">
        <f>'[6]TCC Riders Sales Elec'!GF78</f>
        <v>1242348.69</v>
      </c>
      <c r="N135" s="123">
        <f>'[6]TCC Riders Sales Elec'!GG78</f>
        <v>1283928.3700000001</v>
      </c>
      <c r="O135" s="123">
        <f>'[6]TCC Riders Sales Elec'!GH78</f>
        <v>1192064.81</v>
      </c>
      <c r="P135" s="173">
        <f>SUM(D135:O135)</f>
        <v>14933904.67</v>
      </c>
    </row>
    <row r="136" spans="1:16" x14ac:dyDescent="0.2">
      <c r="A136" s="141">
        <v>8</v>
      </c>
      <c r="B136" s="129" t="s">
        <v>31</v>
      </c>
      <c r="C136" s="125"/>
      <c r="D136" s="122">
        <f>SUM(D134:D135)</f>
        <v>1323989.97</v>
      </c>
      <c r="E136" s="122">
        <f t="shared" ref="E136:O136" si="27">SUM(E134:E135)</f>
        <v>1246223.0499999998</v>
      </c>
      <c r="F136" s="122">
        <f t="shared" si="27"/>
        <v>1258703.47</v>
      </c>
      <c r="G136" s="122">
        <f t="shared" si="27"/>
        <v>1257883.48</v>
      </c>
      <c r="H136" s="122">
        <f t="shared" si="27"/>
        <v>1359544.46</v>
      </c>
      <c r="I136" s="122">
        <f t="shared" si="27"/>
        <v>1449056.55</v>
      </c>
      <c r="J136" s="122">
        <f t="shared" si="27"/>
        <v>1387757.6199999999</v>
      </c>
      <c r="K136" s="122">
        <f t="shared" si="27"/>
        <v>1385609.9000000001</v>
      </c>
      <c r="L136" s="122">
        <f t="shared" si="27"/>
        <v>1480066.1400000001</v>
      </c>
      <c r="M136" s="122">
        <f t="shared" si="27"/>
        <v>1356495.1199999999</v>
      </c>
      <c r="N136" s="122">
        <f t="shared" si="27"/>
        <v>1412458.87</v>
      </c>
      <c r="O136" s="122">
        <f t="shared" si="27"/>
        <v>1299195.26</v>
      </c>
      <c r="P136" s="122">
        <f>SUM(P134:P135)</f>
        <v>16216983.890000001</v>
      </c>
    </row>
    <row r="137" spans="1:16" x14ac:dyDescent="0.2">
      <c r="A137" s="141"/>
      <c r="B137" s="129"/>
      <c r="C137" s="125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56"/>
    </row>
    <row r="138" spans="1:16" x14ac:dyDescent="0.2">
      <c r="A138" s="141">
        <v>9</v>
      </c>
      <c r="B138" s="162" t="s">
        <v>115</v>
      </c>
      <c r="C138" s="125" t="s">
        <v>18</v>
      </c>
      <c r="D138" s="122">
        <f>'[6]TCC Riders Sales Elec'!FW98</f>
        <v>1526074.53</v>
      </c>
      <c r="E138" s="122">
        <f>'[6]TCC Riders Sales Elec'!FX98</f>
        <v>1158758.3</v>
      </c>
      <c r="F138" s="122">
        <f>'[6]TCC Riders Sales Elec'!FY98</f>
        <v>1376124.32</v>
      </c>
      <c r="G138" s="122">
        <f>'[6]TCC Riders Sales Elec'!FZ98</f>
        <v>1293235.3999999999</v>
      </c>
      <c r="H138" s="122">
        <f>'[6]TCC Riders Sales Elec'!GA98</f>
        <v>1326336.8</v>
      </c>
      <c r="I138" s="122">
        <f>'[6]TCC Riders Sales Elec'!GB98</f>
        <v>1384942.37</v>
      </c>
      <c r="J138" s="122">
        <f>'[6]TCC Riders Sales Elec'!GC98</f>
        <v>1159580.51</v>
      </c>
      <c r="K138" s="122">
        <f>'[6]TCC Riders Sales Elec'!GD98</f>
        <v>1220490.79</v>
      </c>
      <c r="L138" s="122">
        <f>'[6]TCC Riders Sales Elec'!GE98</f>
        <v>1217362.8500000001</v>
      </c>
      <c r="M138" s="122">
        <f>'[6]TCC Riders Sales Elec'!GF98</f>
        <v>614367.99</v>
      </c>
      <c r="N138" s="122">
        <f>'[6]TCC Riders Sales Elec'!GG98</f>
        <v>1686501.78</v>
      </c>
      <c r="O138" s="122">
        <f>'[6]TCC Riders Sales Elec'!GH98</f>
        <v>771044.01</v>
      </c>
      <c r="P138" s="156">
        <f>SUM(D138:O138)</f>
        <v>14734819.649999999</v>
      </c>
    </row>
    <row r="139" spans="1:16" x14ac:dyDescent="0.2">
      <c r="A139" s="129"/>
      <c r="B139" s="129"/>
      <c r="C139" s="143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22"/>
    </row>
    <row r="140" spans="1:16" x14ac:dyDescent="0.2">
      <c r="A140" s="141">
        <v>10</v>
      </c>
      <c r="B140" s="117" t="s">
        <v>33</v>
      </c>
      <c r="C140" s="125" t="s">
        <v>16</v>
      </c>
      <c r="D140" s="122">
        <f>'[6]TCC Riders Sales Elec'!FW72</f>
        <v>258071.67999999999</v>
      </c>
      <c r="E140" s="122">
        <f>'[6]TCC Riders Sales Elec'!FX72</f>
        <v>256985.45</v>
      </c>
      <c r="F140" s="122">
        <f>'[6]TCC Riders Sales Elec'!FY72</f>
        <v>257842.65</v>
      </c>
      <c r="G140" s="122">
        <f>'[6]TCC Riders Sales Elec'!FZ72</f>
        <v>258200.68</v>
      </c>
      <c r="H140" s="122">
        <f>'[6]TCC Riders Sales Elec'!GA72</f>
        <v>257683.25</v>
      </c>
      <c r="I140" s="122">
        <f>'[6]TCC Riders Sales Elec'!GB72</f>
        <v>257720.04</v>
      </c>
      <c r="J140" s="122">
        <f>'[6]TCC Riders Sales Elec'!GC72</f>
        <v>257918.36</v>
      </c>
      <c r="K140" s="122">
        <f>'[6]TCC Riders Sales Elec'!GD72</f>
        <v>257817.96</v>
      </c>
      <c r="L140" s="122">
        <f>'[6]TCC Riders Sales Elec'!GE72</f>
        <v>263582.59000000003</v>
      </c>
      <c r="M140" s="122">
        <f>'[6]TCC Riders Sales Elec'!GF72</f>
        <v>261194.47</v>
      </c>
      <c r="N140" s="122">
        <f>'[6]TCC Riders Sales Elec'!GG72</f>
        <v>265148.46000000002</v>
      </c>
      <c r="O140" s="122">
        <f>'[6]TCC Riders Sales Elec'!GH72</f>
        <v>263263.39</v>
      </c>
      <c r="P140" s="156">
        <f>SUM(D140:O140)</f>
        <v>3115428.98</v>
      </c>
    </row>
    <row r="141" spans="1:16" x14ac:dyDescent="0.2">
      <c r="A141" s="141"/>
      <c r="B141" s="129"/>
      <c r="C141" s="143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22"/>
      <c r="P141" s="122"/>
    </row>
    <row r="142" spans="1:16" x14ac:dyDescent="0.2">
      <c r="A142" s="141">
        <v>11</v>
      </c>
      <c r="B142" s="183" t="s">
        <v>34</v>
      </c>
      <c r="C142" s="329"/>
      <c r="D142" s="184">
        <f>D140+D138+D136+D132+D128+D126</f>
        <v>17944154.399999999</v>
      </c>
      <c r="E142" s="184">
        <f t="shared" ref="E142:O142" si="28">E140+E138+E136+E132+E128+E126</f>
        <v>15007519.789999999</v>
      </c>
      <c r="F142" s="184">
        <f t="shared" si="28"/>
        <v>13911759.439999998</v>
      </c>
      <c r="G142" s="184">
        <f t="shared" si="28"/>
        <v>14478317.75</v>
      </c>
      <c r="H142" s="184">
        <f t="shared" si="28"/>
        <v>15311185.41</v>
      </c>
      <c r="I142" s="184">
        <f t="shared" si="28"/>
        <v>19227958.979999997</v>
      </c>
      <c r="J142" s="184">
        <f t="shared" si="28"/>
        <v>19124309.07</v>
      </c>
      <c r="K142" s="184">
        <f t="shared" si="28"/>
        <v>19620787.759999998</v>
      </c>
      <c r="L142" s="184">
        <f t="shared" si="28"/>
        <v>20069162.960000001</v>
      </c>
      <c r="M142" s="184">
        <f t="shared" si="28"/>
        <v>16782696.399999999</v>
      </c>
      <c r="N142" s="184">
        <f t="shared" si="28"/>
        <v>15444409.779999999</v>
      </c>
      <c r="O142" s="184">
        <f t="shared" si="28"/>
        <v>14756364.100000001</v>
      </c>
      <c r="P142" s="184">
        <f>P140+P138+P136+P132+P128+P126</f>
        <v>201678625.83999997</v>
      </c>
    </row>
    <row r="143" spans="1:16" x14ac:dyDescent="0.2">
      <c r="A143" s="129"/>
      <c r="B143" s="329"/>
      <c r="C143" s="32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56"/>
      <c r="P143" s="156"/>
    </row>
    <row r="144" spans="1:16" x14ac:dyDescent="0.2">
      <c r="A144" s="141">
        <v>12</v>
      </c>
      <c r="B144" s="148"/>
      <c r="C144" s="125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72"/>
    </row>
    <row r="145" spans="1:16" x14ac:dyDescent="0.2">
      <c r="A145" s="141">
        <v>13</v>
      </c>
      <c r="B145" s="148"/>
      <c r="C145" s="125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72"/>
    </row>
    <row r="146" spans="1:16" x14ac:dyDescent="0.2">
      <c r="A146" s="141">
        <v>14</v>
      </c>
      <c r="B146" s="183"/>
      <c r="C146" s="329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72"/>
      <c r="P146" s="172"/>
    </row>
    <row r="147" spans="1:16" x14ac:dyDescent="0.2">
      <c r="A147" s="141"/>
      <c r="B147" s="129"/>
      <c r="C147" s="185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22"/>
      <c r="P147" s="122"/>
    </row>
    <row r="148" spans="1:16" ht="13.5" thickBot="1" x14ac:dyDescent="0.25">
      <c r="A148" s="141">
        <v>15</v>
      </c>
      <c r="B148" s="243" t="s">
        <v>136</v>
      </c>
      <c r="C148" s="328"/>
      <c r="D148" s="186">
        <f t="shared" ref="D148:P148" si="29">+D146+D142</f>
        <v>17944154.399999999</v>
      </c>
      <c r="E148" s="186">
        <f t="shared" si="29"/>
        <v>15007519.789999999</v>
      </c>
      <c r="F148" s="186">
        <f t="shared" si="29"/>
        <v>13911759.439999998</v>
      </c>
      <c r="G148" s="186">
        <f t="shared" si="29"/>
        <v>14478317.75</v>
      </c>
      <c r="H148" s="186">
        <f t="shared" si="29"/>
        <v>15311185.41</v>
      </c>
      <c r="I148" s="186">
        <f t="shared" si="29"/>
        <v>19227958.979999997</v>
      </c>
      <c r="J148" s="186">
        <f t="shared" si="29"/>
        <v>19124309.07</v>
      </c>
      <c r="K148" s="186">
        <f t="shared" si="29"/>
        <v>19620787.759999998</v>
      </c>
      <c r="L148" s="186">
        <f t="shared" si="29"/>
        <v>20069162.960000001</v>
      </c>
      <c r="M148" s="186">
        <f t="shared" si="29"/>
        <v>16782696.399999999</v>
      </c>
      <c r="N148" s="186">
        <f t="shared" si="29"/>
        <v>15444409.779999999</v>
      </c>
      <c r="O148" s="186">
        <f t="shared" si="29"/>
        <v>14756364.100000001</v>
      </c>
      <c r="P148" s="186">
        <f t="shared" si="29"/>
        <v>201678625.83999997</v>
      </c>
    </row>
    <row r="149" spans="1:16" ht="13.5" thickTop="1" x14ac:dyDescent="0.2"/>
    <row r="151" spans="1:16" x14ac:dyDescent="0.2">
      <c r="A151" s="146"/>
      <c r="B151" s="124" t="s">
        <v>120</v>
      </c>
      <c r="C151" s="168"/>
      <c r="D151" s="354"/>
      <c r="E151" s="177"/>
      <c r="F151" s="177"/>
      <c r="G151" s="345"/>
      <c r="H151" s="157"/>
      <c r="I151" s="157"/>
      <c r="J151" s="157"/>
      <c r="K151" s="157"/>
      <c r="L151" s="157"/>
      <c r="M151" s="157"/>
      <c r="N151" s="157"/>
      <c r="O151" s="122"/>
      <c r="P151" s="178"/>
    </row>
    <row r="152" spans="1:16" x14ac:dyDescent="0.2">
      <c r="A152" s="328" t="s">
        <v>20</v>
      </c>
      <c r="B152" s="330" t="s">
        <v>0</v>
      </c>
      <c r="C152" s="330" t="s">
        <v>19</v>
      </c>
      <c r="D152" s="164" t="s">
        <v>2</v>
      </c>
      <c r="E152" s="164" t="s">
        <v>3</v>
      </c>
      <c r="F152" s="164" t="s">
        <v>4</v>
      </c>
      <c r="G152" s="164" t="s">
        <v>5</v>
      </c>
      <c r="H152" s="164" t="s">
        <v>6</v>
      </c>
      <c r="I152" s="164" t="s">
        <v>7</v>
      </c>
      <c r="J152" s="164" t="s">
        <v>8</v>
      </c>
      <c r="K152" s="164" t="s">
        <v>9</v>
      </c>
      <c r="L152" s="164" t="s">
        <v>10</v>
      </c>
      <c r="M152" s="164" t="s">
        <v>11</v>
      </c>
      <c r="N152" s="164" t="s">
        <v>12</v>
      </c>
      <c r="O152" s="164" t="s">
        <v>13</v>
      </c>
      <c r="P152" s="179" t="s">
        <v>14</v>
      </c>
    </row>
    <row r="153" spans="1:16" x14ac:dyDescent="0.2">
      <c r="A153" s="146"/>
      <c r="B153" s="330"/>
      <c r="C153" s="330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79"/>
      <c r="P153" s="179"/>
    </row>
    <row r="154" spans="1:16" x14ac:dyDescent="0.2">
      <c r="A154" s="141" t="s">
        <v>21</v>
      </c>
      <c r="B154" s="129" t="s">
        <v>29</v>
      </c>
      <c r="C154" s="143" t="s">
        <v>16</v>
      </c>
      <c r="D154" s="149">
        <f>'[6]TCC Riders Sales Elec'!GI86</f>
        <v>2993368.33</v>
      </c>
      <c r="E154" s="149">
        <f>'[6]TCC Riders Sales Elec'!GJ86</f>
        <v>2206020.7599999998</v>
      </c>
      <c r="F154" s="149">
        <f>'[6]TCC Riders Sales Elec'!GK86</f>
        <v>1731355.62</v>
      </c>
      <c r="G154" s="149">
        <f>'[6]TCC Riders Sales Elec'!GL86</f>
        <v>1882661.92</v>
      </c>
      <c r="H154" s="149">
        <f>'[6]TCC Riders Sales Elec'!GM86</f>
        <v>2082343.61</v>
      </c>
      <c r="I154" s="149">
        <f>'[6]TCC Riders Sales Elec'!GN86</f>
        <v>3130382.16</v>
      </c>
      <c r="J154" s="149">
        <f>'[6]TCC Riders Sales Elec'!GO86</f>
        <v>3227537.32</v>
      </c>
      <c r="K154" s="149">
        <f>'[6]TCC Riders Sales Elec'!GP86</f>
        <v>3320745.55</v>
      </c>
      <c r="L154" s="149">
        <f>'[6]TCC Riders Sales Elec'!GQ86</f>
        <v>3249535.78</v>
      </c>
      <c r="M154" s="149">
        <f>'[6]TCC Riders Sales Elec'!GR86</f>
        <v>2573630.87</v>
      </c>
      <c r="N154" s="149">
        <f>'[6]TCC Riders Sales Elec'!GS86</f>
        <v>1916563.93</v>
      </c>
      <c r="O154" s="149">
        <f>'[6]TCC Riders Sales Elec'!GT86</f>
        <v>2080949.33</v>
      </c>
      <c r="P154" s="149">
        <f>SUM(D154:O154)</f>
        <v>30395095.18</v>
      </c>
    </row>
    <row r="155" spans="1:16" x14ac:dyDescent="0.2">
      <c r="A155" s="129"/>
      <c r="B155" s="129"/>
      <c r="C155" s="143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56"/>
    </row>
    <row r="156" spans="1:16" x14ac:dyDescent="0.2">
      <c r="A156" s="141">
        <v>2</v>
      </c>
      <c r="B156" s="129" t="s">
        <v>32</v>
      </c>
      <c r="C156" s="143" t="s">
        <v>16</v>
      </c>
      <c r="D156" s="250">
        <f>'[6]TCC Riders Sales Elec'!GI13</f>
        <v>305440.43</v>
      </c>
      <c r="E156" s="250">
        <f>'[6]TCC Riders Sales Elec'!GJ13</f>
        <v>252141.86</v>
      </c>
      <c r="F156" s="250">
        <f>'[6]TCC Riders Sales Elec'!GK13</f>
        <v>240610.89</v>
      </c>
      <c r="G156" s="250">
        <f>'[6]TCC Riders Sales Elec'!GL13</f>
        <v>256557.39</v>
      </c>
      <c r="H156" s="250">
        <f>'[6]TCC Riders Sales Elec'!GM13</f>
        <v>261675.61</v>
      </c>
      <c r="I156" s="250">
        <f>'[6]TCC Riders Sales Elec'!GN13</f>
        <v>320395.93</v>
      </c>
      <c r="J156" s="250">
        <f>'[6]TCC Riders Sales Elec'!GO13</f>
        <v>323780.46000000002</v>
      </c>
      <c r="K156" s="250">
        <f>'[6]TCC Riders Sales Elec'!GP13</f>
        <v>327446.03999999998</v>
      </c>
      <c r="L156" s="250">
        <f>'[6]TCC Riders Sales Elec'!GQ13</f>
        <v>329697.93</v>
      </c>
      <c r="M156" s="250">
        <f>'[6]TCC Riders Sales Elec'!GR13</f>
        <v>294371.93</v>
      </c>
      <c r="N156" s="250">
        <f>'[6]TCC Riders Sales Elec'!GS13</f>
        <v>255108.95</v>
      </c>
      <c r="O156" s="250">
        <f>'[6]TCC Riders Sales Elec'!GT13</f>
        <v>258312.78</v>
      </c>
      <c r="P156" s="356">
        <f>SUM(D156:O156)</f>
        <v>3425540.2</v>
      </c>
    </row>
    <row r="157" spans="1:16" x14ac:dyDescent="0.2">
      <c r="A157" s="141"/>
      <c r="B157" s="129"/>
      <c r="C157" s="143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356"/>
    </row>
    <row r="158" spans="1:16" x14ac:dyDescent="0.2">
      <c r="A158" s="141">
        <v>3</v>
      </c>
      <c r="B158" s="146" t="s">
        <v>113</v>
      </c>
      <c r="C158" s="125" t="s">
        <v>16</v>
      </c>
      <c r="D158" s="355">
        <f>'[6]TCC Riders Sales Elec'!GI31</f>
        <v>2284855.4500000002</v>
      </c>
      <c r="E158" s="355">
        <f>'[6]TCC Riders Sales Elec'!GJ31</f>
        <v>2180249.9700000002</v>
      </c>
      <c r="F158" s="355">
        <f>'[6]TCC Riders Sales Elec'!GK31</f>
        <v>2106877.4300000002</v>
      </c>
      <c r="G158" s="355">
        <f>'[6]TCC Riders Sales Elec'!GL31</f>
        <v>2191384.89</v>
      </c>
      <c r="H158" s="355">
        <f>'[6]TCC Riders Sales Elec'!GM31</f>
        <v>2246583.41</v>
      </c>
      <c r="I158" s="355">
        <f>'[6]TCC Riders Sales Elec'!GN31</f>
        <v>2565676.54</v>
      </c>
      <c r="J158" s="355">
        <f>'[6]TCC Riders Sales Elec'!GO31</f>
        <v>2536503.4500000002</v>
      </c>
      <c r="K158" s="355">
        <f>'[6]TCC Riders Sales Elec'!GP31</f>
        <v>2585914.13</v>
      </c>
      <c r="L158" s="355">
        <f>'[6]TCC Riders Sales Elec'!GQ31</f>
        <v>2605834.42</v>
      </c>
      <c r="M158" s="355">
        <f>'[6]TCC Riders Sales Elec'!GR31</f>
        <v>2379653.88</v>
      </c>
      <c r="N158" s="355">
        <f>'[6]TCC Riders Sales Elec'!GS31</f>
        <v>2163826</v>
      </c>
      <c r="O158" s="355">
        <f>'[6]TCC Riders Sales Elec'!GT31</f>
        <v>2132159.87</v>
      </c>
      <c r="P158" s="356">
        <f>SUM(D158:O158)</f>
        <v>27979519.439999998</v>
      </c>
    </row>
    <row r="159" spans="1:16" x14ac:dyDescent="0.2">
      <c r="A159" s="141">
        <v>4</v>
      </c>
      <c r="B159" s="146" t="s">
        <v>114</v>
      </c>
      <c r="C159" s="125" t="s">
        <v>16</v>
      </c>
      <c r="D159" s="357">
        <f>'[6]TCC Riders Sales Elec'!GI22</f>
        <v>176902.87</v>
      </c>
      <c r="E159" s="357">
        <f>'[6]TCC Riders Sales Elec'!GJ22</f>
        <v>173964.82</v>
      </c>
      <c r="F159" s="357">
        <f>'[6]TCC Riders Sales Elec'!GK22</f>
        <v>174947.92</v>
      </c>
      <c r="G159" s="357">
        <f>'[6]TCC Riders Sales Elec'!GL22</f>
        <v>182991.18</v>
      </c>
      <c r="H159" s="357">
        <f>'[6]TCC Riders Sales Elec'!GM22</f>
        <v>186183.51</v>
      </c>
      <c r="I159" s="357">
        <f>'[6]TCC Riders Sales Elec'!GN22</f>
        <v>197731.8</v>
      </c>
      <c r="J159" s="357">
        <f>'[6]TCC Riders Sales Elec'!GO22</f>
        <v>182370.66</v>
      </c>
      <c r="K159" s="357">
        <f>'[6]TCC Riders Sales Elec'!GP22</f>
        <v>204655.98</v>
      </c>
      <c r="L159" s="357">
        <f>'[6]TCC Riders Sales Elec'!GQ22</f>
        <v>238972.31</v>
      </c>
      <c r="M159" s="357">
        <f>'[6]TCC Riders Sales Elec'!GR22</f>
        <v>211342.34</v>
      </c>
      <c r="N159" s="357">
        <f>'[6]TCC Riders Sales Elec'!GS22</f>
        <v>189413.08</v>
      </c>
      <c r="O159" s="357">
        <f>'[6]TCC Riders Sales Elec'!GT22</f>
        <v>168426.73</v>
      </c>
      <c r="P159" s="357">
        <f>SUM(D159:O159)</f>
        <v>2287903.2000000002</v>
      </c>
    </row>
    <row r="160" spans="1:16" x14ac:dyDescent="0.2">
      <c r="A160" s="141">
        <v>5</v>
      </c>
      <c r="B160" s="162" t="s">
        <v>30</v>
      </c>
      <c r="C160" s="143"/>
      <c r="D160" s="157">
        <f>SUM(D158:D159)</f>
        <v>2461758.3200000003</v>
      </c>
      <c r="E160" s="157">
        <f t="shared" ref="E160:O160" si="30">SUM(E158:E159)</f>
        <v>2354214.79</v>
      </c>
      <c r="F160" s="157">
        <f t="shared" si="30"/>
        <v>2281825.35</v>
      </c>
      <c r="G160" s="157">
        <f t="shared" si="30"/>
        <v>2374376.0700000003</v>
      </c>
      <c r="H160" s="157">
        <f t="shared" si="30"/>
        <v>2432766.92</v>
      </c>
      <c r="I160" s="157">
        <f t="shared" si="30"/>
        <v>2763408.34</v>
      </c>
      <c r="J160" s="157">
        <f t="shared" si="30"/>
        <v>2718874.1100000003</v>
      </c>
      <c r="K160" s="157">
        <f t="shared" si="30"/>
        <v>2790570.11</v>
      </c>
      <c r="L160" s="157">
        <f t="shared" si="30"/>
        <v>2844806.73</v>
      </c>
      <c r="M160" s="157">
        <f t="shared" si="30"/>
        <v>2590996.2199999997</v>
      </c>
      <c r="N160" s="157">
        <f t="shared" si="30"/>
        <v>2353239.08</v>
      </c>
      <c r="O160" s="157">
        <f t="shared" si="30"/>
        <v>2300586.6</v>
      </c>
      <c r="P160" s="157">
        <f>SUM(P158:P159)</f>
        <v>30267422.639999997</v>
      </c>
    </row>
    <row r="161" spans="1:16" x14ac:dyDescent="0.2">
      <c r="A161" s="129"/>
      <c r="B161" s="242"/>
      <c r="C161" s="143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22"/>
      <c r="P161" s="122"/>
    </row>
    <row r="162" spans="1:16" x14ac:dyDescent="0.2">
      <c r="A162" s="141">
        <v>6</v>
      </c>
      <c r="B162" s="146" t="s">
        <v>110</v>
      </c>
      <c r="C162" s="125" t="s">
        <v>17</v>
      </c>
      <c r="D162" s="122">
        <f>'[6]TCC Riders Sales Elec'!GI83</f>
        <v>36719.019999999997</v>
      </c>
      <c r="E162" s="122">
        <f>'[6]TCC Riders Sales Elec'!GJ83</f>
        <v>36680.720000000001</v>
      </c>
      <c r="F162" s="122">
        <f>'[6]TCC Riders Sales Elec'!GK83</f>
        <v>35485.18</v>
      </c>
      <c r="G162" s="122">
        <f>'[6]TCC Riders Sales Elec'!GL83</f>
        <v>37902.22</v>
      </c>
      <c r="H162" s="122">
        <f>'[6]TCC Riders Sales Elec'!GM83</f>
        <v>38776.11</v>
      </c>
      <c r="I162" s="122">
        <f>'[6]TCC Riders Sales Elec'!GN83</f>
        <v>40510.620000000003</v>
      </c>
      <c r="J162" s="122">
        <f>'[6]TCC Riders Sales Elec'!GO83</f>
        <v>38814.559999999998</v>
      </c>
      <c r="K162" s="122">
        <f>'[6]TCC Riders Sales Elec'!GP83</f>
        <v>40715.85</v>
      </c>
      <c r="L162" s="122">
        <f>'[6]TCC Riders Sales Elec'!GQ83</f>
        <v>43127.78</v>
      </c>
      <c r="M162" s="122">
        <f>'[6]TCC Riders Sales Elec'!GR83</f>
        <v>40359.769999999997</v>
      </c>
      <c r="N162" s="122">
        <f>'[6]TCC Riders Sales Elec'!GS83</f>
        <v>45351.68</v>
      </c>
      <c r="O162" s="122">
        <f>'[6]TCC Riders Sales Elec'!GT83</f>
        <v>37790.980000000003</v>
      </c>
      <c r="P162" s="156">
        <f>SUM(D162:O162)</f>
        <v>472234.48999999993</v>
      </c>
    </row>
    <row r="163" spans="1:16" x14ac:dyDescent="0.2">
      <c r="A163" s="141">
        <v>7</v>
      </c>
      <c r="B163" s="146" t="s">
        <v>111</v>
      </c>
      <c r="C163" s="125" t="s">
        <v>17</v>
      </c>
      <c r="D163" s="123">
        <f>'[6]TCC Riders Sales Elec'!GI78</f>
        <v>460748.79</v>
      </c>
      <c r="E163" s="123">
        <f>'[6]TCC Riders Sales Elec'!GJ78</f>
        <v>431756.75</v>
      </c>
      <c r="F163" s="123">
        <f>'[6]TCC Riders Sales Elec'!GK78</f>
        <v>431463.17</v>
      </c>
      <c r="G163" s="123">
        <f>'[6]TCC Riders Sales Elec'!GL78</f>
        <v>430061.68</v>
      </c>
      <c r="H163" s="123">
        <f>'[6]TCC Riders Sales Elec'!GM78</f>
        <v>468377.08</v>
      </c>
      <c r="I163" s="123">
        <f>'[6]TCC Riders Sales Elec'!GN78</f>
        <v>505390.41</v>
      </c>
      <c r="J163" s="123">
        <f>'[6]TCC Riders Sales Elec'!GO78</f>
        <v>480092.05</v>
      </c>
      <c r="K163" s="123">
        <f>'[6]TCC Riders Sales Elec'!GP78</f>
        <v>477577.25</v>
      </c>
      <c r="L163" s="123">
        <f>'[6]TCC Riders Sales Elec'!GQ78</f>
        <v>483713.87</v>
      </c>
      <c r="M163" s="123">
        <f>'[6]TCC Riders Sales Elec'!GR78</f>
        <v>437423.77</v>
      </c>
      <c r="N163" s="123">
        <f>'[6]TCC Riders Sales Elec'!GS78</f>
        <v>451316.72</v>
      </c>
      <c r="O163" s="123">
        <f>'[6]TCC Riders Sales Elec'!GT78</f>
        <v>418843.36</v>
      </c>
      <c r="P163" s="173">
        <f>SUM(D163:O163)</f>
        <v>5476764.9000000004</v>
      </c>
    </row>
    <row r="164" spans="1:16" x14ac:dyDescent="0.2">
      <c r="A164" s="141">
        <v>8</v>
      </c>
      <c r="B164" s="129" t="s">
        <v>31</v>
      </c>
      <c r="C164" s="125"/>
      <c r="D164" s="122">
        <f>SUM(D162:D163)</f>
        <v>497467.81</v>
      </c>
      <c r="E164" s="122">
        <f t="shared" ref="E164:O164" si="31">SUM(E162:E163)</f>
        <v>468437.47</v>
      </c>
      <c r="F164" s="122">
        <f t="shared" si="31"/>
        <v>466948.35</v>
      </c>
      <c r="G164" s="122">
        <f t="shared" si="31"/>
        <v>467963.9</v>
      </c>
      <c r="H164" s="122">
        <f t="shared" si="31"/>
        <v>507153.19</v>
      </c>
      <c r="I164" s="122">
        <f t="shared" si="31"/>
        <v>545901.03</v>
      </c>
      <c r="J164" s="122">
        <f t="shared" si="31"/>
        <v>518906.61</v>
      </c>
      <c r="K164" s="122">
        <f t="shared" si="31"/>
        <v>518293.1</v>
      </c>
      <c r="L164" s="122">
        <f t="shared" si="31"/>
        <v>526841.65</v>
      </c>
      <c r="M164" s="122">
        <f t="shared" si="31"/>
        <v>477783.54000000004</v>
      </c>
      <c r="N164" s="122">
        <f t="shared" si="31"/>
        <v>496668.39999999997</v>
      </c>
      <c r="O164" s="122">
        <f t="shared" si="31"/>
        <v>456634.33999999997</v>
      </c>
      <c r="P164" s="122">
        <f>SUM(P162:P163)</f>
        <v>5948999.3900000006</v>
      </c>
    </row>
    <row r="165" spans="1:16" x14ac:dyDescent="0.2">
      <c r="A165" s="141"/>
      <c r="B165" s="129"/>
      <c r="C165" s="125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56"/>
    </row>
    <row r="166" spans="1:16" x14ac:dyDescent="0.2">
      <c r="A166" s="141">
        <v>9</v>
      </c>
      <c r="B166" s="162" t="s">
        <v>115</v>
      </c>
      <c r="C166" s="125" t="s">
        <v>18</v>
      </c>
      <c r="D166" s="122">
        <f>'[6]TCC Riders Sales Elec'!GI98</f>
        <v>452326.51</v>
      </c>
      <c r="E166" s="122">
        <f>'[6]TCC Riders Sales Elec'!GJ98</f>
        <v>353582.62</v>
      </c>
      <c r="F166" s="122">
        <f>'[6]TCC Riders Sales Elec'!GK98</f>
        <v>369596.34</v>
      </c>
      <c r="G166" s="122">
        <f>'[6]TCC Riders Sales Elec'!GL98</f>
        <v>345834.43</v>
      </c>
      <c r="H166" s="122">
        <f>'[6]TCC Riders Sales Elec'!GM98</f>
        <v>355774.93</v>
      </c>
      <c r="I166" s="122">
        <f>'[6]TCC Riders Sales Elec'!GN98</f>
        <v>371485.2</v>
      </c>
      <c r="J166" s="122">
        <f>'[6]TCC Riders Sales Elec'!GO98</f>
        <v>313441.90000000002</v>
      </c>
      <c r="K166" s="122">
        <f>'[6]TCC Riders Sales Elec'!GP98</f>
        <v>326729.82</v>
      </c>
      <c r="L166" s="122">
        <f>'[6]TCC Riders Sales Elec'!GQ98</f>
        <v>366332.59</v>
      </c>
      <c r="M166" s="122">
        <f>'[6]TCC Riders Sales Elec'!GR98</f>
        <v>182061.8</v>
      </c>
      <c r="N166" s="122">
        <f>'[6]TCC Riders Sales Elec'!GS98</f>
        <v>528912.9</v>
      </c>
      <c r="O166" s="122">
        <f>'[6]TCC Riders Sales Elec'!GT98</f>
        <v>233736.06</v>
      </c>
      <c r="P166" s="156">
        <f>SUM(D166:O166)</f>
        <v>4199815.0999999987</v>
      </c>
    </row>
    <row r="167" spans="1:16" x14ac:dyDescent="0.2">
      <c r="A167" s="129"/>
      <c r="B167" s="129"/>
      <c r="C167" s="143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22"/>
    </row>
    <row r="168" spans="1:16" x14ac:dyDescent="0.2">
      <c r="A168" s="141">
        <v>10</v>
      </c>
      <c r="B168" s="117" t="s">
        <v>33</v>
      </c>
      <c r="C168" s="125" t="s">
        <v>16</v>
      </c>
      <c r="D168" s="122">
        <f>'[6]TCC Riders Sales Elec'!GI72</f>
        <v>107504.33</v>
      </c>
      <c r="E168" s="122">
        <f>'[6]TCC Riders Sales Elec'!GJ72</f>
        <v>107023.84</v>
      </c>
      <c r="F168" s="122">
        <f>'[6]TCC Riders Sales Elec'!GK72</f>
        <v>107492.07</v>
      </c>
      <c r="G168" s="122">
        <f>'[6]TCC Riders Sales Elec'!GL72</f>
        <v>107646.08</v>
      </c>
      <c r="H168" s="122">
        <f>'[6]TCC Riders Sales Elec'!GM72</f>
        <v>107382.33</v>
      </c>
      <c r="I168" s="122">
        <f>'[6]TCC Riders Sales Elec'!GN72</f>
        <v>107377.41</v>
      </c>
      <c r="J168" s="122">
        <f>'[6]TCC Riders Sales Elec'!GO72</f>
        <v>107478.58</v>
      </c>
      <c r="K168" s="122">
        <f>'[6]TCC Riders Sales Elec'!GP72</f>
        <v>107418.11</v>
      </c>
      <c r="L168" s="122">
        <f>'[6]TCC Riders Sales Elec'!GQ72</f>
        <v>107613.08</v>
      </c>
      <c r="M168" s="122">
        <f>'[6]TCC Riders Sales Elec'!GR72</f>
        <v>106508.52</v>
      </c>
      <c r="N168" s="122">
        <f>'[6]TCC Riders Sales Elec'!GS72</f>
        <v>108323.05</v>
      </c>
      <c r="O168" s="122">
        <f>'[6]TCC Riders Sales Elec'!GT72</f>
        <v>107434.93</v>
      </c>
      <c r="P168" s="156">
        <f>SUM(D168:O168)</f>
        <v>1289202.3299999998</v>
      </c>
    </row>
    <row r="169" spans="1:16" x14ac:dyDescent="0.2">
      <c r="A169" s="141"/>
      <c r="B169" s="129"/>
      <c r="C169" s="143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22"/>
      <c r="P169" s="122"/>
    </row>
    <row r="170" spans="1:16" x14ac:dyDescent="0.2">
      <c r="A170" s="141">
        <v>11</v>
      </c>
      <c r="B170" s="183" t="s">
        <v>34</v>
      </c>
      <c r="C170" s="329"/>
      <c r="D170" s="184">
        <f>D168+D166+D164+D160+D156+D154</f>
        <v>6817865.7300000004</v>
      </c>
      <c r="E170" s="184">
        <f t="shared" ref="E170:O170" si="32">E168+E166+E164+E160+E156+E154</f>
        <v>5741421.3399999999</v>
      </c>
      <c r="F170" s="184">
        <f t="shared" si="32"/>
        <v>5197828.620000001</v>
      </c>
      <c r="G170" s="184">
        <f t="shared" si="32"/>
        <v>5435039.790000001</v>
      </c>
      <c r="H170" s="184">
        <f t="shared" si="32"/>
        <v>5747096.5899999999</v>
      </c>
      <c r="I170" s="184">
        <f t="shared" si="32"/>
        <v>7238950.0700000003</v>
      </c>
      <c r="J170" s="184">
        <f t="shared" si="32"/>
        <v>7210018.9800000004</v>
      </c>
      <c r="K170" s="184">
        <f t="shared" si="32"/>
        <v>7391202.7299999995</v>
      </c>
      <c r="L170" s="184">
        <f t="shared" si="32"/>
        <v>7424827.7599999998</v>
      </c>
      <c r="M170" s="184">
        <f t="shared" si="32"/>
        <v>6225352.8800000008</v>
      </c>
      <c r="N170" s="184">
        <f t="shared" si="32"/>
        <v>5658816.3100000005</v>
      </c>
      <c r="O170" s="184">
        <f t="shared" si="32"/>
        <v>5437654.04</v>
      </c>
      <c r="P170" s="184">
        <f>P168+P166+P164+P160+P156+P154</f>
        <v>75526074.840000004</v>
      </c>
    </row>
    <row r="171" spans="1:16" x14ac:dyDescent="0.2">
      <c r="A171" s="129"/>
      <c r="B171" s="329"/>
      <c r="C171" s="32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56"/>
      <c r="P171" s="156"/>
    </row>
    <row r="172" spans="1:16" x14ac:dyDescent="0.2">
      <c r="A172" s="141">
        <v>12</v>
      </c>
      <c r="B172" s="148"/>
      <c r="C172" s="125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72"/>
    </row>
    <row r="173" spans="1:16" x14ac:dyDescent="0.2">
      <c r="A173" s="141">
        <v>13</v>
      </c>
      <c r="B173" s="148"/>
      <c r="C173" s="125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72"/>
    </row>
    <row r="174" spans="1:16" x14ac:dyDescent="0.2">
      <c r="A174" s="141">
        <v>14</v>
      </c>
      <c r="B174" s="183"/>
      <c r="C174" s="329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72"/>
      <c r="P174" s="172"/>
    </row>
    <row r="175" spans="1:16" x14ac:dyDescent="0.2">
      <c r="A175" s="141"/>
      <c r="B175" s="129"/>
      <c r="C175" s="185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22"/>
      <c r="P175" s="122"/>
    </row>
    <row r="176" spans="1:16" ht="13.5" thickBot="1" x14ac:dyDescent="0.25">
      <c r="A176" s="141">
        <v>15</v>
      </c>
      <c r="B176" s="243" t="s">
        <v>136</v>
      </c>
      <c r="C176" s="328"/>
      <c r="D176" s="186">
        <f t="shared" ref="D176:P176" si="33">+D174+D170</f>
        <v>6817865.7300000004</v>
      </c>
      <c r="E176" s="186">
        <f t="shared" si="33"/>
        <v>5741421.3399999999</v>
      </c>
      <c r="F176" s="186">
        <f t="shared" si="33"/>
        <v>5197828.620000001</v>
      </c>
      <c r="G176" s="186">
        <f t="shared" si="33"/>
        <v>5435039.790000001</v>
      </c>
      <c r="H176" s="186">
        <f t="shared" si="33"/>
        <v>5747096.5899999999</v>
      </c>
      <c r="I176" s="186">
        <f t="shared" si="33"/>
        <v>7238950.0700000003</v>
      </c>
      <c r="J176" s="186">
        <f t="shared" si="33"/>
        <v>7210018.9800000004</v>
      </c>
      <c r="K176" s="186">
        <f t="shared" si="33"/>
        <v>7391202.7299999995</v>
      </c>
      <c r="L176" s="186">
        <f t="shared" si="33"/>
        <v>7424827.7599999998</v>
      </c>
      <c r="M176" s="186">
        <f t="shared" si="33"/>
        <v>6225352.8800000008</v>
      </c>
      <c r="N176" s="186">
        <f t="shared" si="33"/>
        <v>5658816.3100000005</v>
      </c>
      <c r="O176" s="186">
        <f t="shared" si="33"/>
        <v>5437654.04</v>
      </c>
      <c r="P176" s="186">
        <f t="shared" si="33"/>
        <v>75526074.840000004</v>
      </c>
    </row>
    <row r="177" spans="1:16" ht="13.5" thickTop="1" x14ac:dyDescent="0.2"/>
    <row r="179" spans="1:16" x14ac:dyDescent="0.2">
      <c r="A179" s="146"/>
      <c r="B179" s="124" t="s">
        <v>121</v>
      </c>
      <c r="C179" s="168"/>
      <c r="D179" s="354"/>
      <c r="E179" s="177"/>
      <c r="F179" s="177"/>
      <c r="G179" s="345"/>
      <c r="H179" s="157"/>
      <c r="I179" s="157"/>
      <c r="J179" s="157"/>
      <c r="K179" s="157"/>
      <c r="L179" s="157"/>
      <c r="M179" s="157"/>
      <c r="N179" s="157"/>
      <c r="O179" s="122"/>
      <c r="P179" s="178"/>
    </row>
    <row r="180" spans="1:16" x14ac:dyDescent="0.2">
      <c r="A180" s="328" t="s">
        <v>20</v>
      </c>
      <c r="B180" s="330" t="s">
        <v>0</v>
      </c>
      <c r="C180" s="330" t="s">
        <v>19</v>
      </c>
      <c r="D180" s="164" t="s">
        <v>2</v>
      </c>
      <c r="E180" s="164" t="s">
        <v>3</v>
      </c>
      <c r="F180" s="164" t="s">
        <v>4</v>
      </c>
      <c r="G180" s="164" t="s">
        <v>5</v>
      </c>
      <c r="H180" s="164" t="s">
        <v>6</v>
      </c>
      <c r="I180" s="164" t="s">
        <v>7</v>
      </c>
      <c r="J180" s="164" t="s">
        <v>8</v>
      </c>
      <c r="K180" s="164" t="s">
        <v>9</v>
      </c>
      <c r="L180" s="164" t="s">
        <v>10</v>
      </c>
      <c r="M180" s="164" t="s">
        <v>11</v>
      </c>
      <c r="N180" s="164" t="s">
        <v>12</v>
      </c>
      <c r="O180" s="164" t="s">
        <v>13</v>
      </c>
      <c r="P180" s="179" t="s">
        <v>14</v>
      </c>
    </row>
    <row r="181" spans="1:16" x14ac:dyDescent="0.2">
      <c r="A181" s="146"/>
      <c r="B181" s="330"/>
      <c r="C181" s="330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79"/>
      <c r="P181" s="179"/>
    </row>
    <row r="182" spans="1:16" x14ac:dyDescent="0.2">
      <c r="A182" s="141" t="s">
        <v>21</v>
      </c>
      <c r="B182" s="129" t="s">
        <v>29</v>
      </c>
      <c r="C182" s="143" t="s">
        <v>16</v>
      </c>
      <c r="D182" s="142">
        <f>[4]Riders!D176+[5]Riders!D174</f>
        <v>4127519.68</v>
      </c>
      <c r="E182" s="142">
        <f>[4]Riders!E176+[5]Riders!E174</f>
        <v>3065117.78</v>
      </c>
      <c r="F182" s="142">
        <f>[4]Riders!F176+[5]Riders!F174</f>
        <v>2443422.02</v>
      </c>
      <c r="G182" s="142">
        <f>[4]Riders!G176+[5]Riders!G174</f>
        <v>2541181.66</v>
      </c>
      <c r="H182" s="142">
        <f>[4]Riders!H176+[5]Riders!H174</f>
        <v>2822076.98</v>
      </c>
      <c r="I182" s="142">
        <f>[4]Riders!I176+[5]Riders!I174</f>
        <v>4322275.7799999993</v>
      </c>
      <c r="J182" s="142">
        <f>[4]Riders!J176+[5]Riders!J174</f>
        <v>4542048.93</v>
      </c>
      <c r="K182" s="142">
        <f>[4]Riders!K176+[5]Riders!K174</f>
        <v>4596806.3899999997</v>
      </c>
      <c r="L182" s="142">
        <f>[4]Riders!L176+[5]Riders!L174</f>
        <v>3341073.1500000004</v>
      </c>
      <c r="M182" s="142">
        <f>[4]Riders!M176+[5]Riders!M174</f>
        <v>2382174.2599999998</v>
      </c>
      <c r="N182" s="142">
        <f>[4]Riders!N176+[5]Riders!N174</f>
        <v>1828696.6500000001</v>
      </c>
      <c r="O182" s="142">
        <f>[4]Riders!O176+[5]Riders!O174</f>
        <v>2108525.0099999998</v>
      </c>
      <c r="P182" s="149">
        <f>SUM(D182:O182)</f>
        <v>38120918.289999992</v>
      </c>
    </row>
    <row r="183" spans="1:16" x14ac:dyDescent="0.2">
      <c r="A183" s="129"/>
      <c r="B183" s="129"/>
      <c r="C183" s="143"/>
      <c r="D183" s="142">
        <f>[4]Riders!D177+[5]Riders!D175</f>
        <v>0</v>
      </c>
      <c r="E183" s="142">
        <f>[4]Riders!E177+[5]Riders!E175</f>
        <v>0</v>
      </c>
      <c r="F183" s="142">
        <f>[4]Riders!F177+[5]Riders!F175</f>
        <v>0</v>
      </c>
      <c r="G183" s="142">
        <f>[4]Riders!G177+[5]Riders!G175</f>
        <v>0</v>
      </c>
      <c r="H183" s="142">
        <f>[4]Riders!H177+[5]Riders!H175</f>
        <v>0</v>
      </c>
      <c r="I183" s="142">
        <f>[4]Riders!I177+[5]Riders!I175</f>
        <v>0</v>
      </c>
      <c r="J183" s="142">
        <f>[4]Riders!J177+[5]Riders!J175</f>
        <v>0</v>
      </c>
      <c r="K183" s="142">
        <f>[4]Riders!K177+[5]Riders!K175</f>
        <v>0</v>
      </c>
      <c r="L183" s="142">
        <f>[4]Riders!L177+[5]Riders!L175</f>
        <v>0</v>
      </c>
      <c r="M183" s="142">
        <f>[4]Riders!M177+[5]Riders!M175</f>
        <v>0</v>
      </c>
      <c r="N183" s="142">
        <f>[4]Riders!N177+[5]Riders!N175</f>
        <v>0</v>
      </c>
      <c r="O183" s="142">
        <f>[4]Riders!O177+[5]Riders!O175</f>
        <v>0</v>
      </c>
      <c r="P183" s="156"/>
    </row>
    <row r="184" spans="1:16" x14ac:dyDescent="0.2">
      <c r="A184" s="141">
        <v>2</v>
      </c>
      <c r="B184" s="129" t="s">
        <v>32</v>
      </c>
      <c r="C184" s="143" t="s">
        <v>16</v>
      </c>
      <c r="D184" s="142">
        <f>[4]Riders!D178+[5]Riders!D176</f>
        <v>502601.76</v>
      </c>
      <c r="E184" s="142">
        <f>[4]Riders!E178+[5]Riders!E176</f>
        <v>423065.33999999997</v>
      </c>
      <c r="F184" s="142">
        <f>[4]Riders!F178+[5]Riders!F176</f>
        <v>396553.18</v>
      </c>
      <c r="G184" s="142">
        <f>[4]Riders!G178+[5]Riders!G176</f>
        <v>412168.56</v>
      </c>
      <c r="H184" s="142">
        <f>[4]Riders!H178+[5]Riders!H176</f>
        <v>419595.93000000005</v>
      </c>
      <c r="I184" s="142">
        <f>[4]Riders!I178+[5]Riders!I176</f>
        <v>513889.87</v>
      </c>
      <c r="J184" s="142">
        <f>[4]Riders!J178+[5]Riders!J176</f>
        <v>528470.16999999993</v>
      </c>
      <c r="K184" s="142">
        <f>[4]Riders!K178+[5]Riders!K176</f>
        <v>530566.11</v>
      </c>
      <c r="L184" s="142">
        <f>[4]Riders!L178+[5]Riders!L176</f>
        <v>409451.91</v>
      </c>
      <c r="M184" s="142">
        <f>[4]Riders!M178+[5]Riders!M176</f>
        <v>332960.20999999996</v>
      </c>
      <c r="N184" s="142">
        <f>[4]Riders!N178+[5]Riders!N176</f>
        <v>294138.07</v>
      </c>
      <c r="O184" s="142">
        <f>[4]Riders!O178+[5]Riders!O176</f>
        <v>314048.90000000002</v>
      </c>
      <c r="P184" s="356">
        <f>SUM(D184:O184)</f>
        <v>5077510.0100000007</v>
      </c>
    </row>
    <row r="185" spans="1:16" x14ac:dyDescent="0.2">
      <c r="A185" s="141"/>
      <c r="B185" s="129"/>
      <c r="C185" s="143"/>
      <c r="D185" s="142">
        <f>[4]Riders!D179+[5]Riders!D177</f>
        <v>0</v>
      </c>
      <c r="E185" s="142">
        <f>[4]Riders!E179+[5]Riders!E177</f>
        <v>0</v>
      </c>
      <c r="F185" s="142">
        <f>[4]Riders!F179+[5]Riders!F177</f>
        <v>0</v>
      </c>
      <c r="G185" s="142">
        <f>[4]Riders!G179+[5]Riders!G177</f>
        <v>0</v>
      </c>
      <c r="H185" s="142">
        <f>[4]Riders!H179+[5]Riders!H177</f>
        <v>0</v>
      </c>
      <c r="I185" s="142">
        <f>[4]Riders!I179+[5]Riders!I177</f>
        <v>0</v>
      </c>
      <c r="J185" s="142">
        <f>[4]Riders!J179+[5]Riders!J177</f>
        <v>0</v>
      </c>
      <c r="K185" s="142">
        <f>[4]Riders!K179+[5]Riders!K177</f>
        <v>0</v>
      </c>
      <c r="L185" s="142">
        <f>[4]Riders!L179+[5]Riders!L177</f>
        <v>0</v>
      </c>
      <c r="M185" s="142">
        <f>[4]Riders!M179+[5]Riders!M177</f>
        <v>0</v>
      </c>
      <c r="N185" s="142">
        <f>[4]Riders!N179+[5]Riders!N177</f>
        <v>0</v>
      </c>
      <c r="O185" s="142">
        <f>[4]Riders!O179+[5]Riders!O177</f>
        <v>0</v>
      </c>
      <c r="P185" s="356"/>
    </row>
    <row r="186" spans="1:16" x14ac:dyDescent="0.2">
      <c r="A186" s="141">
        <v>3</v>
      </c>
      <c r="B186" s="146" t="s">
        <v>113</v>
      </c>
      <c r="C186" s="125" t="s">
        <v>16</v>
      </c>
      <c r="D186" s="142">
        <f>[4]Riders!D180+[5]Riders!D178</f>
        <v>2004190.75</v>
      </c>
      <c r="E186" s="142">
        <f>[4]Riders!E180+[5]Riders!E178</f>
        <v>1989961.92</v>
      </c>
      <c r="F186" s="142">
        <f>[4]Riders!F180+[5]Riders!F178</f>
        <v>1937649.66</v>
      </c>
      <c r="G186" s="142">
        <f>[4]Riders!G180+[5]Riders!G178</f>
        <v>1929150.3</v>
      </c>
      <c r="H186" s="142">
        <f>[4]Riders!H180+[5]Riders!H178</f>
        <v>1950806.84</v>
      </c>
      <c r="I186" s="142">
        <f>[4]Riders!I180+[5]Riders!I178</f>
        <v>2016166.32</v>
      </c>
      <c r="J186" s="142">
        <f>[4]Riders!J180+[5]Riders!J178</f>
        <v>2016236.87</v>
      </c>
      <c r="K186" s="142">
        <f>[4]Riders!K180+[5]Riders!K178</f>
        <v>2031973.78</v>
      </c>
      <c r="L186" s="142">
        <f>[4]Riders!L180+[5]Riders!L178</f>
        <v>1531441.41</v>
      </c>
      <c r="M186" s="142">
        <f>[4]Riders!M180+[5]Riders!M178</f>
        <v>1378594.5499999998</v>
      </c>
      <c r="N186" s="142">
        <f>[4]Riders!N180+[5]Riders!N178</f>
        <v>1362115.83</v>
      </c>
      <c r="O186" s="142">
        <f>[4]Riders!O180+[5]Riders!O178</f>
        <v>1366027.71</v>
      </c>
      <c r="P186" s="356">
        <f>SUM(D186:O186)</f>
        <v>21514315.939999998</v>
      </c>
    </row>
    <row r="187" spans="1:16" x14ac:dyDescent="0.2">
      <c r="A187" s="141">
        <v>4</v>
      </c>
      <c r="B187" s="146" t="s">
        <v>114</v>
      </c>
      <c r="C187" s="125" t="s">
        <v>16</v>
      </c>
      <c r="D187" s="123">
        <f>[4]Riders!D181+[5]Riders!D179</f>
        <v>218038.51</v>
      </c>
      <c r="E187" s="123">
        <f>[4]Riders!E181+[5]Riders!E179</f>
        <v>210277.25</v>
      </c>
      <c r="F187" s="123">
        <f>[4]Riders!F181+[5]Riders!F179</f>
        <v>204283.08000000002</v>
      </c>
      <c r="G187" s="123">
        <f>[4]Riders!G181+[5]Riders!G179</f>
        <v>197472.21000000002</v>
      </c>
      <c r="H187" s="123">
        <f>[4]Riders!H181+[5]Riders!H179</f>
        <v>196508.88</v>
      </c>
      <c r="I187" s="123">
        <f>[4]Riders!I181+[5]Riders!I179</f>
        <v>192391.61</v>
      </c>
      <c r="J187" s="123">
        <f>[4]Riders!J181+[5]Riders!J179</f>
        <v>206192.45</v>
      </c>
      <c r="K187" s="123">
        <f>[4]Riders!K181+[5]Riders!K179</f>
        <v>211116.77000000002</v>
      </c>
      <c r="L187" s="123">
        <f>[4]Riders!L181+[5]Riders!L179</f>
        <v>171741.29</v>
      </c>
      <c r="M187" s="123">
        <f>[4]Riders!M181+[5]Riders!M179</f>
        <v>155722.29</v>
      </c>
      <c r="N187" s="123">
        <f>[4]Riders!N181+[5]Riders!N179</f>
        <v>156466.25</v>
      </c>
      <c r="O187" s="123">
        <f>[4]Riders!O181+[5]Riders!O179</f>
        <v>156116.57</v>
      </c>
      <c r="P187" s="358">
        <f>SUM(D187:O187)</f>
        <v>2276327.1599999997</v>
      </c>
    </row>
    <row r="188" spans="1:16" x14ac:dyDescent="0.2">
      <c r="A188" s="141">
        <v>5</v>
      </c>
      <c r="B188" s="162" t="s">
        <v>30</v>
      </c>
      <c r="C188" s="143"/>
      <c r="D188" s="157">
        <f>SUM(D186:D187)</f>
        <v>2222229.2599999998</v>
      </c>
      <c r="E188" s="157">
        <f t="shared" ref="E188:O188" si="34">SUM(E186:E187)</f>
        <v>2200239.17</v>
      </c>
      <c r="F188" s="157">
        <f t="shared" si="34"/>
        <v>2141932.7399999998</v>
      </c>
      <c r="G188" s="157">
        <f t="shared" si="34"/>
        <v>2126622.5100000002</v>
      </c>
      <c r="H188" s="157">
        <f t="shared" si="34"/>
        <v>2147315.7200000002</v>
      </c>
      <c r="I188" s="157">
        <f t="shared" si="34"/>
        <v>2208557.9300000002</v>
      </c>
      <c r="J188" s="157">
        <f t="shared" si="34"/>
        <v>2222429.3200000003</v>
      </c>
      <c r="K188" s="157">
        <f t="shared" si="34"/>
        <v>2243090.5499999998</v>
      </c>
      <c r="L188" s="157">
        <f t="shared" si="34"/>
        <v>1703182.7</v>
      </c>
      <c r="M188" s="157">
        <f t="shared" si="34"/>
        <v>1534316.8399999999</v>
      </c>
      <c r="N188" s="157">
        <f t="shared" si="34"/>
        <v>1518582.08</v>
      </c>
      <c r="O188" s="157">
        <f t="shared" si="34"/>
        <v>1522144.28</v>
      </c>
      <c r="P188" s="157">
        <f>SUM(P186:P187)</f>
        <v>23790643.099999998</v>
      </c>
    </row>
    <row r="189" spans="1:16" x14ac:dyDescent="0.2">
      <c r="A189" s="129"/>
      <c r="B189" s="242"/>
      <c r="C189" s="143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22"/>
      <c r="P189" s="122"/>
    </row>
    <row r="190" spans="1:16" x14ac:dyDescent="0.2">
      <c r="A190" s="141">
        <v>6</v>
      </c>
      <c r="B190" s="146" t="s">
        <v>110</v>
      </c>
      <c r="C190" s="125" t="s">
        <v>17</v>
      </c>
      <c r="D190" s="142">
        <f>[4]Riders!D184+[5]Riders!D182</f>
        <v>32779.379999999997</v>
      </c>
      <c r="E190" s="142">
        <f>[4]Riders!E184+[5]Riders!E182</f>
        <v>33175.870000000003</v>
      </c>
      <c r="F190" s="142">
        <f>[4]Riders!F184+[5]Riders!F182</f>
        <v>32238.1</v>
      </c>
      <c r="G190" s="142">
        <f>[4]Riders!G184+[5]Riders!G182</f>
        <v>32997.949999999997</v>
      </c>
      <c r="H190" s="142">
        <f>[4]Riders!H184+[5]Riders!H182</f>
        <v>34012.839999999997</v>
      </c>
      <c r="I190" s="142">
        <f>[4]Riders!I184+[5]Riders!I182</f>
        <v>34950.78</v>
      </c>
      <c r="J190" s="142">
        <f>[4]Riders!J184+[5]Riders!J182</f>
        <v>33728.720000000001</v>
      </c>
      <c r="K190" s="142">
        <f>[4]Riders!K184+[5]Riders!K182</f>
        <v>37933.82</v>
      </c>
      <c r="L190" s="142">
        <f>[4]Riders!L184+[5]Riders!L182</f>
        <v>28600.5</v>
      </c>
      <c r="M190" s="142">
        <f>[4]Riders!M184+[5]Riders!M182</f>
        <v>28544.25</v>
      </c>
      <c r="N190" s="142">
        <f>[4]Riders!N184+[5]Riders!N182</f>
        <v>30028.400000000001</v>
      </c>
      <c r="O190" s="142">
        <f>[4]Riders!O184+[5]Riders!O182</f>
        <v>26036.91</v>
      </c>
      <c r="P190" s="156">
        <f>SUM(D190:O190)</f>
        <v>385027.51999999996</v>
      </c>
    </row>
    <row r="191" spans="1:16" x14ac:dyDescent="0.2">
      <c r="A191" s="141">
        <v>7</v>
      </c>
      <c r="B191" s="146" t="s">
        <v>111</v>
      </c>
      <c r="C191" s="125" t="s">
        <v>17</v>
      </c>
      <c r="D191" s="123">
        <f>[4]Riders!D185+[5]Riders!D183</f>
        <v>369681.25</v>
      </c>
      <c r="E191" s="123">
        <f>[4]Riders!E185+[5]Riders!E183</f>
        <v>355155.48</v>
      </c>
      <c r="F191" s="123">
        <f>[4]Riders!F185+[5]Riders!F183</f>
        <v>357590.95</v>
      </c>
      <c r="G191" s="123">
        <f>[4]Riders!G185+[5]Riders!G183</f>
        <v>352632.26</v>
      </c>
      <c r="H191" s="123">
        <f>[4]Riders!H185+[5]Riders!H183</f>
        <v>375057.91000000003</v>
      </c>
      <c r="I191" s="123">
        <f>[4]Riders!I185+[5]Riders!I183</f>
        <v>383861.21</v>
      </c>
      <c r="J191" s="123">
        <f>[4]Riders!J185+[5]Riders!J183</f>
        <v>378562.23</v>
      </c>
      <c r="K191" s="123">
        <f>[4]Riders!K185+[5]Riders!K183</f>
        <v>377013.03</v>
      </c>
      <c r="L191" s="123">
        <f>[4]Riders!L185+[5]Riders!L183</f>
        <v>298904.90000000002</v>
      </c>
      <c r="M191" s="123">
        <f>[4]Riders!M185+[5]Riders!M183</f>
        <v>269861.04000000004</v>
      </c>
      <c r="N191" s="123">
        <f>[4]Riders!N185+[5]Riders!N183</f>
        <v>275977.95999999996</v>
      </c>
      <c r="O191" s="123">
        <f>[4]Riders!O185+[5]Riders!O183</f>
        <v>260531.96</v>
      </c>
      <c r="P191" s="173">
        <f>SUM(D191:O191)</f>
        <v>4054830.18</v>
      </c>
    </row>
    <row r="192" spans="1:16" x14ac:dyDescent="0.2">
      <c r="A192" s="141">
        <v>8</v>
      </c>
      <c r="B192" s="129" t="s">
        <v>31</v>
      </c>
      <c r="C192" s="125"/>
      <c r="D192" s="122">
        <f>SUM(D190:D191)</f>
        <v>402460.63</v>
      </c>
      <c r="E192" s="122">
        <f t="shared" ref="E192:O192" si="35">SUM(E190:E191)</f>
        <v>388331.35</v>
      </c>
      <c r="F192" s="122">
        <f t="shared" si="35"/>
        <v>389829.05</v>
      </c>
      <c r="G192" s="122">
        <f t="shared" si="35"/>
        <v>385630.21</v>
      </c>
      <c r="H192" s="122">
        <f t="shared" si="35"/>
        <v>409070.75</v>
      </c>
      <c r="I192" s="122">
        <f t="shared" si="35"/>
        <v>418811.99</v>
      </c>
      <c r="J192" s="122">
        <f t="shared" si="35"/>
        <v>412290.94999999995</v>
      </c>
      <c r="K192" s="122">
        <f t="shared" si="35"/>
        <v>414946.85000000003</v>
      </c>
      <c r="L192" s="122">
        <f t="shared" si="35"/>
        <v>327505.40000000002</v>
      </c>
      <c r="M192" s="122">
        <f t="shared" si="35"/>
        <v>298405.29000000004</v>
      </c>
      <c r="N192" s="122">
        <f t="shared" si="35"/>
        <v>306006.36</v>
      </c>
      <c r="O192" s="122">
        <f t="shared" si="35"/>
        <v>286568.87</v>
      </c>
      <c r="P192" s="122">
        <f>SUM(P190:P191)</f>
        <v>4439857.7</v>
      </c>
    </row>
    <row r="193" spans="1:17" x14ac:dyDescent="0.2">
      <c r="A193" s="141"/>
      <c r="B193" s="129"/>
      <c r="C193" s="125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56"/>
    </row>
    <row r="194" spans="1:17" x14ac:dyDescent="0.2">
      <c r="A194" s="141">
        <v>9</v>
      </c>
      <c r="B194" s="162" t="s">
        <v>115</v>
      </c>
      <c r="C194" s="125" t="s">
        <v>18</v>
      </c>
      <c r="D194" s="122">
        <f>[4]Riders!D188+[5]Riders!D186</f>
        <v>16628.64</v>
      </c>
      <c r="E194" s="122">
        <f>[4]Riders!E188+[5]Riders!E186</f>
        <v>13833.5</v>
      </c>
      <c r="F194" s="122">
        <f>[4]Riders!F188+[5]Riders!F186</f>
        <v>15759.64</v>
      </c>
      <c r="G194" s="122">
        <f>[4]Riders!G188+[5]Riders!G186</f>
        <v>15449.19</v>
      </c>
      <c r="H194" s="122">
        <f>[4]Riders!H188+[5]Riders!H186</f>
        <v>15575.96</v>
      </c>
      <c r="I194" s="122">
        <f>[4]Riders!I188+[5]Riders!I186</f>
        <v>16528</v>
      </c>
      <c r="J194" s="122">
        <f>[4]Riders!J188+[5]Riders!J186</f>
        <v>14719.81</v>
      </c>
      <c r="K194" s="122">
        <f>[4]Riders!K188+[5]Riders!K186</f>
        <v>14594.07</v>
      </c>
      <c r="L194" s="122">
        <f>[4]Riders!L188+[5]Riders!L186</f>
        <v>12186.89</v>
      </c>
      <c r="M194" s="122">
        <f>[4]Riders!M188+[5]Riders!M186</f>
        <v>6110.93</v>
      </c>
      <c r="N194" s="122">
        <f>[4]Riders!N188+[5]Riders!N186</f>
        <v>14053.46</v>
      </c>
      <c r="O194" s="122">
        <f>[4]Riders!O188+[5]Riders!O186</f>
        <v>7793.37</v>
      </c>
      <c r="P194" s="156">
        <f>SUM(D194:O194)</f>
        <v>163233.46</v>
      </c>
    </row>
    <row r="195" spans="1:17" x14ac:dyDescent="0.2">
      <c r="A195" s="129"/>
      <c r="B195" s="129"/>
      <c r="C195" s="143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22"/>
    </row>
    <row r="196" spans="1:17" x14ac:dyDescent="0.2">
      <c r="A196" s="141">
        <v>10</v>
      </c>
      <c r="B196" s="117" t="s">
        <v>33</v>
      </c>
      <c r="C196" s="125" t="s">
        <v>16</v>
      </c>
      <c r="D196" s="122">
        <f>[4]Riders!D190+[5]Riders!D188</f>
        <v>203885.61000000002</v>
      </c>
      <c r="E196" s="122">
        <f>[4]Riders!E190+[5]Riders!E188</f>
        <v>203072.93</v>
      </c>
      <c r="F196" s="122">
        <f>[4]Riders!F190+[5]Riders!F188</f>
        <v>203569.84000000003</v>
      </c>
      <c r="G196" s="122">
        <f>[4]Riders!G190+[5]Riders!G188</f>
        <v>203743.87</v>
      </c>
      <c r="H196" s="122">
        <f>[4]Riders!H190+[5]Riders!H188</f>
        <v>203637.49</v>
      </c>
      <c r="I196" s="122">
        <f>[4]Riders!I190+[5]Riders!I188</f>
        <v>203556.28</v>
      </c>
      <c r="J196" s="122">
        <f>[4]Riders!J190+[5]Riders!J188</f>
        <v>203618.89</v>
      </c>
      <c r="K196" s="122">
        <f>[4]Riders!K190+[5]Riders!K188</f>
        <v>203530.33000000002</v>
      </c>
      <c r="L196" s="122">
        <f>[4]Riders!L190+[5]Riders!L188</f>
        <v>161036.43</v>
      </c>
      <c r="M196" s="122">
        <f>[4]Riders!M190+[5]Riders!M188</f>
        <v>142140.07</v>
      </c>
      <c r="N196" s="122">
        <f>[4]Riders!N190+[5]Riders!N188</f>
        <v>143399.43</v>
      </c>
      <c r="O196" s="122">
        <f>[4]Riders!O190+[5]Riders!O188</f>
        <v>142722.03</v>
      </c>
      <c r="P196" s="156">
        <f>SUM(D196:O196)</f>
        <v>2217913.2000000002</v>
      </c>
    </row>
    <row r="197" spans="1:17" x14ac:dyDescent="0.2">
      <c r="A197" s="141"/>
      <c r="B197" s="129"/>
      <c r="C197" s="143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22"/>
      <c r="P197" s="122"/>
    </row>
    <row r="198" spans="1:17" x14ac:dyDescent="0.2">
      <c r="A198" s="141">
        <v>11</v>
      </c>
      <c r="B198" s="183" t="s">
        <v>34</v>
      </c>
      <c r="C198" s="329"/>
      <c r="D198" s="184">
        <f>D196+D194+D192+D188+D184+D182</f>
        <v>7475325.5800000001</v>
      </c>
      <c r="E198" s="184">
        <f t="shared" ref="E198:O198" si="36">E196+E194+E192+E188+E184+E182</f>
        <v>6293660.0700000003</v>
      </c>
      <c r="F198" s="184">
        <f t="shared" si="36"/>
        <v>5591066.4699999997</v>
      </c>
      <c r="G198" s="184">
        <f t="shared" si="36"/>
        <v>5684796</v>
      </c>
      <c r="H198" s="184">
        <f t="shared" si="36"/>
        <v>6017272.8300000001</v>
      </c>
      <c r="I198" s="184">
        <f t="shared" si="36"/>
        <v>7683619.8499999996</v>
      </c>
      <c r="J198" s="184">
        <f t="shared" si="36"/>
        <v>7923578.0700000003</v>
      </c>
      <c r="K198" s="184">
        <f t="shared" si="36"/>
        <v>8003534.2999999989</v>
      </c>
      <c r="L198" s="184">
        <f t="shared" si="36"/>
        <v>5954436.4800000004</v>
      </c>
      <c r="M198" s="184">
        <f t="shared" si="36"/>
        <v>4696107.5999999996</v>
      </c>
      <c r="N198" s="184">
        <f t="shared" si="36"/>
        <v>4104876.05</v>
      </c>
      <c r="O198" s="184">
        <f t="shared" si="36"/>
        <v>4381802.46</v>
      </c>
      <c r="P198" s="184">
        <f>P196+P194+P192+P188+P184+P182</f>
        <v>73810075.75999999</v>
      </c>
    </row>
    <row r="199" spans="1:17" x14ac:dyDescent="0.2">
      <c r="A199" s="129"/>
      <c r="B199" s="329"/>
      <c r="C199" s="32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56"/>
      <c r="P199" s="156"/>
    </row>
    <row r="200" spans="1:17" x14ac:dyDescent="0.2">
      <c r="A200" s="141">
        <v>12</v>
      </c>
      <c r="B200" s="148"/>
      <c r="C200" s="125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72"/>
    </row>
    <row r="201" spans="1:17" x14ac:dyDescent="0.2">
      <c r="A201" s="141">
        <v>13</v>
      </c>
      <c r="B201" s="148"/>
      <c r="C201" s="125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72"/>
    </row>
    <row r="202" spans="1:17" x14ac:dyDescent="0.2">
      <c r="A202" s="141">
        <v>14</v>
      </c>
      <c r="B202" s="183"/>
      <c r="C202" s="329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72"/>
      <c r="P202" s="172"/>
    </row>
    <row r="203" spans="1:17" x14ac:dyDescent="0.2">
      <c r="A203" s="141"/>
      <c r="B203" s="129"/>
      <c r="C203" s="185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22"/>
      <c r="P203" s="122"/>
    </row>
    <row r="204" spans="1:17" ht="13.5" thickBot="1" x14ac:dyDescent="0.25">
      <c r="A204" s="141">
        <v>15</v>
      </c>
      <c r="B204" s="243" t="s">
        <v>136</v>
      </c>
      <c r="C204" s="328"/>
      <c r="D204" s="186">
        <f t="shared" ref="D204:P204" si="37">+D202+D198</f>
        <v>7475325.5800000001</v>
      </c>
      <c r="E204" s="186">
        <f t="shared" si="37"/>
        <v>6293660.0700000003</v>
      </c>
      <c r="F204" s="186">
        <f t="shared" si="37"/>
        <v>5591066.4699999997</v>
      </c>
      <c r="G204" s="186">
        <f t="shared" si="37"/>
        <v>5684796</v>
      </c>
      <c r="H204" s="186">
        <f t="shared" si="37"/>
        <v>6017272.8300000001</v>
      </c>
      <c r="I204" s="186">
        <f t="shared" si="37"/>
        <v>7683619.8499999996</v>
      </c>
      <c r="J204" s="186">
        <f t="shared" si="37"/>
        <v>7923578.0700000003</v>
      </c>
      <c r="K204" s="186">
        <f t="shared" si="37"/>
        <v>8003534.2999999989</v>
      </c>
      <c r="L204" s="186">
        <f t="shared" si="37"/>
        <v>5954436.4800000004</v>
      </c>
      <c r="M204" s="186">
        <f t="shared" si="37"/>
        <v>4696107.5999999996</v>
      </c>
      <c r="N204" s="186">
        <f t="shared" si="37"/>
        <v>4104876.05</v>
      </c>
      <c r="O204" s="186">
        <f t="shared" si="37"/>
        <v>4381802.46</v>
      </c>
      <c r="P204" s="186">
        <f t="shared" si="37"/>
        <v>73810075.75999999</v>
      </c>
      <c r="Q204" s="188"/>
    </row>
    <row r="205" spans="1:17" ht="13.5" thickTop="1" x14ac:dyDescent="0.2"/>
    <row r="207" spans="1:17" x14ac:dyDescent="0.2">
      <c r="A207" s="146"/>
      <c r="B207" s="124" t="s">
        <v>122</v>
      </c>
      <c r="C207" s="168"/>
      <c r="D207" s="354"/>
      <c r="E207" s="177"/>
      <c r="F207" s="177"/>
      <c r="G207" s="345"/>
      <c r="H207" s="157"/>
      <c r="I207" s="157"/>
      <c r="J207" s="157"/>
      <c r="K207" s="157"/>
      <c r="L207" s="157"/>
      <c r="M207" s="157"/>
      <c r="N207" s="157"/>
      <c r="O207" s="122"/>
      <c r="P207" s="178"/>
    </row>
    <row r="208" spans="1:17" x14ac:dyDescent="0.2">
      <c r="A208" s="328" t="s">
        <v>20</v>
      </c>
      <c r="B208" s="330" t="s">
        <v>0</v>
      </c>
      <c r="C208" s="330" t="s">
        <v>19</v>
      </c>
      <c r="D208" s="164" t="s">
        <v>2</v>
      </c>
      <c r="E208" s="164" t="s">
        <v>3</v>
      </c>
      <c r="F208" s="164" t="s">
        <v>4</v>
      </c>
      <c r="G208" s="164" t="s">
        <v>5</v>
      </c>
      <c r="H208" s="164" t="s">
        <v>6</v>
      </c>
      <c r="I208" s="164" t="s">
        <v>7</v>
      </c>
      <c r="J208" s="164" t="s">
        <v>8</v>
      </c>
      <c r="K208" s="164" t="s">
        <v>9</v>
      </c>
      <c r="L208" s="164" t="s">
        <v>10</v>
      </c>
      <c r="M208" s="164" t="s">
        <v>11</v>
      </c>
      <c r="N208" s="164" t="s">
        <v>12</v>
      </c>
      <c r="O208" s="164" t="s">
        <v>13</v>
      </c>
      <c r="P208" s="179" t="s">
        <v>14</v>
      </c>
    </row>
    <row r="209" spans="1:17" x14ac:dyDescent="0.2">
      <c r="A209" s="146"/>
      <c r="B209" s="330"/>
      <c r="C209" s="330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79"/>
      <c r="P209" s="179"/>
    </row>
    <row r="210" spans="1:17" x14ac:dyDescent="0.2">
      <c r="A210" s="141" t="s">
        <v>21</v>
      </c>
      <c r="B210" s="129" t="s">
        <v>29</v>
      </c>
      <c r="C210" s="143" t="s">
        <v>16</v>
      </c>
      <c r="D210" s="122">
        <f>[4]Riders!D204+[5]Riders!D202</f>
        <v>11804538.809999999</v>
      </c>
      <c r="E210" s="122">
        <f>[4]Riders!E204+[5]Riders!E202</f>
        <v>8762963.75</v>
      </c>
      <c r="F210" s="122">
        <f>[4]Riders!F204+[5]Riders!F202</f>
        <v>4937323.9800000004</v>
      </c>
      <c r="G210" s="122">
        <f>[4]Riders!G204+[5]Riders!G202</f>
        <v>5026988.0999999996</v>
      </c>
      <c r="H210" s="122">
        <f>[4]Riders!H204+[5]Riders!H202</f>
        <v>5583697.8399999999</v>
      </c>
      <c r="I210" s="122">
        <f>[4]Riders!I204+[5]Riders!I202</f>
        <v>8554913.870000001</v>
      </c>
      <c r="J210" s="122">
        <f>[4]Riders!J204+[5]Riders!J202</f>
        <v>8993845.4700000007</v>
      </c>
      <c r="K210" s="122">
        <f>[4]Riders!K204+[5]Riders!K202</f>
        <v>9098802.8800000008</v>
      </c>
      <c r="L210" s="122">
        <f>[4]Riders!L204+[5]Riders!L202</f>
        <v>10571142.449999999</v>
      </c>
      <c r="M210" s="122">
        <f>[4]Riders!M204+[5]Riders!M202</f>
        <v>8568384.0600000005</v>
      </c>
      <c r="N210" s="122">
        <f>[4]Riders!N204+[5]Riders!N202</f>
        <v>6516519.7400000002</v>
      </c>
      <c r="O210" s="122">
        <f>[4]Riders!O204+[5]Riders!O202</f>
        <v>7380307.4199999999</v>
      </c>
      <c r="P210" s="149">
        <f>SUM(D210:O210)</f>
        <v>95799428.370000005</v>
      </c>
      <c r="Q210" s="188"/>
    </row>
    <row r="211" spans="1:17" x14ac:dyDescent="0.2">
      <c r="A211" s="129"/>
      <c r="B211" s="129"/>
      <c r="C211" s="143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56"/>
    </row>
    <row r="212" spans="1:17" x14ac:dyDescent="0.2">
      <c r="A212" s="141">
        <v>2</v>
      </c>
      <c r="B212" s="129" t="s">
        <v>32</v>
      </c>
      <c r="C212" s="143" t="s">
        <v>16</v>
      </c>
      <c r="D212" s="122">
        <f>[4]Riders!D206+[5]Riders!D204</f>
        <v>256555.33000000002</v>
      </c>
      <c r="E212" s="122">
        <f>[4]Riders!E206+[5]Riders!E204</f>
        <v>216159.25</v>
      </c>
      <c r="F212" s="122">
        <f>[4]Riders!F206+[5]Riders!F204</f>
        <v>187637.41999999998</v>
      </c>
      <c r="G212" s="122">
        <f>[4]Riders!G206+[5]Riders!G204</f>
        <v>193716.27000000002</v>
      </c>
      <c r="H212" s="122">
        <f>[4]Riders!H206+[5]Riders!H204</f>
        <v>197171.87</v>
      </c>
      <c r="I212" s="122">
        <f>[4]Riders!I206+[5]Riders!I204</f>
        <v>241740.44</v>
      </c>
      <c r="J212" s="122">
        <f>[4]Riders!J206+[5]Riders!J204</f>
        <v>248992.16</v>
      </c>
      <c r="K212" s="122">
        <f>[4]Riders!K206+[5]Riders!K204</f>
        <v>249859.39</v>
      </c>
      <c r="L212" s="122">
        <f>[4]Riders!L206+[5]Riders!L204</f>
        <v>259238.62</v>
      </c>
      <c r="M212" s="122">
        <f>[4]Riders!M206+[5]Riders!M204</f>
        <v>228785.67</v>
      </c>
      <c r="N212" s="122">
        <f>[4]Riders!N206+[5]Riders!N204</f>
        <v>201682.82</v>
      </c>
      <c r="O212" s="122">
        <f>[4]Riders!O206+[5]Riders!O204</f>
        <v>214267.75</v>
      </c>
      <c r="P212" s="356">
        <f>SUM(D212:O212)</f>
        <v>2695806.9899999998</v>
      </c>
      <c r="Q212" s="188"/>
    </row>
    <row r="213" spans="1:17" x14ac:dyDescent="0.2">
      <c r="A213" s="141"/>
      <c r="B213" s="129"/>
      <c r="C213" s="143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356"/>
      <c r="Q213" s="188"/>
    </row>
    <row r="214" spans="1:17" x14ac:dyDescent="0.2">
      <c r="A214" s="141">
        <v>3</v>
      </c>
      <c r="B214" s="146" t="s">
        <v>113</v>
      </c>
      <c r="C214" s="125" t="s">
        <v>16</v>
      </c>
      <c r="D214" s="122">
        <f>[4]Riders!D208+[5]Riders!D206</f>
        <v>5480773.4299999997</v>
      </c>
      <c r="E214" s="122">
        <f>[4]Riders!E208+[5]Riders!E206</f>
        <v>5387559.0300000003</v>
      </c>
      <c r="F214" s="122">
        <f>[4]Riders!F208+[5]Riders!F206</f>
        <v>4867349.88</v>
      </c>
      <c r="G214" s="122">
        <f>[4]Riders!G208+[5]Riders!G206</f>
        <v>4680218.66</v>
      </c>
      <c r="H214" s="122">
        <f>[4]Riders!H208+[5]Riders!H206</f>
        <v>4791540.2299999995</v>
      </c>
      <c r="I214" s="122">
        <f>[4]Riders!I208+[5]Riders!I206</f>
        <v>5111194.84</v>
      </c>
      <c r="J214" s="122">
        <f>[4]Riders!J208+[5]Riders!J206</f>
        <v>5054401.6100000003</v>
      </c>
      <c r="K214" s="122">
        <f>[4]Riders!K208+[5]Riders!K206</f>
        <v>5133718.6900000004</v>
      </c>
      <c r="L214" s="122">
        <f>[4]Riders!L208+[5]Riders!L206</f>
        <v>5046563.1499999994</v>
      </c>
      <c r="M214" s="122">
        <f>[4]Riders!M208+[5]Riders!M206</f>
        <v>4802212.7300000004</v>
      </c>
      <c r="N214" s="122">
        <f>[4]Riders!N208+[5]Riders!N206</f>
        <v>4768607.28</v>
      </c>
      <c r="O214" s="122">
        <f>[4]Riders!O208+[5]Riders!O206</f>
        <v>4753585.1500000004</v>
      </c>
      <c r="P214" s="356">
        <f>SUM(D214:O214)</f>
        <v>59877724.68</v>
      </c>
      <c r="Q214" s="188"/>
    </row>
    <row r="215" spans="1:17" x14ac:dyDescent="0.2">
      <c r="A215" s="141">
        <v>4</v>
      </c>
      <c r="B215" s="146" t="s">
        <v>114</v>
      </c>
      <c r="C215" s="125" t="s">
        <v>16</v>
      </c>
      <c r="D215" s="123">
        <f>[4]Riders!D209+[5]Riders!D207</f>
        <v>507679.93999999994</v>
      </c>
      <c r="E215" s="123">
        <f>[4]Riders!E209+[5]Riders!E207</f>
        <v>501068.91000000003</v>
      </c>
      <c r="F215" s="123">
        <f>[4]Riders!F209+[5]Riders!F207</f>
        <v>439354.06</v>
      </c>
      <c r="G215" s="123">
        <f>[4]Riders!G209+[5]Riders!G207</f>
        <v>428916.69999999995</v>
      </c>
      <c r="H215" s="123">
        <f>[4]Riders!H209+[5]Riders!H207</f>
        <v>434189.38</v>
      </c>
      <c r="I215" s="123">
        <f>[4]Riders!I209+[5]Riders!I207</f>
        <v>402880.06</v>
      </c>
      <c r="J215" s="123">
        <f>[4]Riders!J209+[5]Riders!J207</f>
        <v>437109.49</v>
      </c>
      <c r="K215" s="123">
        <f>[4]Riders!K209+[5]Riders!K207</f>
        <v>420598.43999999994</v>
      </c>
      <c r="L215" s="123">
        <f>[4]Riders!L209+[5]Riders!L207</f>
        <v>412364.41000000003</v>
      </c>
      <c r="M215" s="123">
        <f>[4]Riders!M209+[5]Riders!M207</f>
        <v>409139.07</v>
      </c>
      <c r="N215" s="123">
        <f>[4]Riders!N209+[5]Riders!N207</f>
        <v>422558.43999999994</v>
      </c>
      <c r="O215" s="123">
        <f>[4]Riders!O209+[5]Riders!O207</f>
        <v>416941.07</v>
      </c>
      <c r="P215" s="357">
        <f>SUM(D215:O215)</f>
        <v>5232799.9700000007</v>
      </c>
      <c r="Q215" s="188"/>
    </row>
    <row r="216" spans="1:17" x14ac:dyDescent="0.2">
      <c r="A216" s="141">
        <v>5</v>
      </c>
      <c r="B216" s="162" t="s">
        <v>30</v>
      </c>
      <c r="C216" s="143"/>
      <c r="D216" s="157">
        <f>SUM(D214:D215)</f>
        <v>5988453.3699999992</v>
      </c>
      <c r="E216" s="157">
        <f t="shared" ref="E216:O216" si="38">SUM(E214:E215)</f>
        <v>5888627.9400000004</v>
      </c>
      <c r="F216" s="157">
        <f t="shared" si="38"/>
        <v>5306703.9399999995</v>
      </c>
      <c r="G216" s="157">
        <f t="shared" si="38"/>
        <v>5109135.3600000003</v>
      </c>
      <c r="H216" s="157">
        <f t="shared" si="38"/>
        <v>5225729.6099999994</v>
      </c>
      <c r="I216" s="157">
        <f t="shared" si="38"/>
        <v>5514074.8999999994</v>
      </c>
      <c r="J216" s="157">
        <f t="shared" si="38"/>
        <v>5491511.1000000006</v>
      </c>
      <c r="K216" s="157">
        <f t="shared" si="38"/>
        <v>5554317.1300000008</v>
      </c>
      <c r="L216" s="157">
        <f t="shared" si="38"/>
        <v>5458927.5599999996</v>
      </c>
      <c r="M216" s="157">
        <f t="shared" si="38"/>
        <v>5211351.8000000007</v>
      </c>
      <c r="N216" s="157">
        <f t="shared" si="38"/>
        <v>5191165.7200000007</v>
      </c>
      <c r="O216" s="157">
        <f t="shared" si="38"/>
        <v>5170526.2200000007</v>
      </c>
      <c r="P216" s="157">
        <f>SUM(P214:P215)</f>
        <v>65110524.649999999</v>
      </c>
    </row>
    <row r="217" spans="1:17" x14ac:dyDescent="0.2">
      <c r="A217" s="129"/>
      <c r="B217" s="242"/>
      <c r="C217" s="143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22"/>
      <c r="P217" s="122"/>
    </row>
    <row r="218" spans="1:17" x14ac:dyDescent="0.2">
      <c r="A218" s="141">
        <v>6</v>
      </c>
      <c r="B218" s="146" t="s">
        <v>110</v>
      </c>
      <c r="C218" s="125" t="s">
        <v>17</v>
      </c>
      <c r="D218" s="142">
        <f>[4]Riders!D212+[5]Riders!D210</f>
        <v>149450.16999999998</v>
      </c>
      <c r="E218" s="142">
        <f>[4]Riders!E212+[5]Riders!E210</f>
        <v>150240.93</v>
      </c>
      <c r="F218" s="142">
        <f>[4]Riders!F212+[5]Riders!F210</f>
        <v>138737.47999999998</v>
      </c>
      <c r="G218" s="142">
        <f>[4]Riders!G212+[5]Riders!G210</f>
        <v>144583.43</v>
      </c>
      <c r="H218" s="142">
        <f>[4]Riders!H212+[5]Riders!H210</f>
        <v>153115.76999999999</v>
      </c>
      <c r="I218" s="142">
        <f>[4]Riders!I212+[5]Riders!I210</f>
        <v>162991.91</v>
      </c>
      <c r="J218" s="142">
        <f>[4]Riders!J212+[5]Riders!J210</f>
        <v>160321.58000000002</v>
      </c>
      <c r="K218" s="142">
        <f>[4]Riders!K212+[5]Riders!K210</f>
        <v>174358.83000000002</v>
      </c>
      <c r="L218" s="142">
        <f>[4]Riders!L212+[5]Riders!L210</f>
        <v>190541.79</v>
      </c>
      <c r="M218" s="142">
        <f>[4]Riders!M212+[5]Riders!M210</f>
        <v>205298.18</v>
      </c>
      <c r="N218" s="142">
        <f>[4]Riders!N212+[5]Riders!N210</f>
        <v>234934.32</v>
      </c>
      <c r="O218" s="142">
        <f>[4]Riders!O212+[5]Riders!O210</f>
        <v>187346.05</v>
      </c>
      <c r="P218" s="156">
        <f>SUM(D218:O218)</f>
        <v>2051920.4400000002</v>
      </c>
    </row>
    <row r="219" spans="1:17" x14ac:dyDescent="0.2">
      <c r="A219" s="141">
        <v>7</v>
      </c>
      <c r="B219" s="146" t="s">
        <v>111</v>
      </c>
      <c r="C219" s="125" t="s">
        <v>17</v>
      </c>
      <c r="D219" s="123">
        <f>[4]Riders!D213+[5]Riders!D211</f>
        <v>1673613.41</v>
      </c>
      <c r="E219" s="123">
        <f>[4]Riders!E213+[5]Riders!E211</f>
        <v>1604273.52</v>
      </c>
      <c r="F219" s="123">
        <f>[4]Riders!F213+[5]Riders!F211</f>
        <v>1642229.85</v>
      </c>
      <c r="G219" s="123">
        <f>[4]Riders!G213+[5]Riders!G211</f>
        <v>1581832.95</v>
      </c>
      <c r="H219" s="123">
        <f>[4]Riders!H213+[5]Riders!H211</f>
        <v>1702909.26</v>
      </c>
      <c r="I219" s="123">
        <f>[4]Riders!I213+[5]Riders!I211</f>
        <v>1671397.7999999998</v>
      </c>
      <c r="J219" s="123">
        <f>[4]Riders!J213+[5]Riders!J211</f>
        <v>1655223.23</v>
      </c>
      <c r="K219" s="123">
        <f>[4]Riders!K213+[5]Riders!K211</f>
        <v>1647076.01</v>
      </c>
      <c r="L219" s="123">
        <f>[4]Riders!L213+[5]Riders!L211</f>
        <v>1689579.16</v>
      </c>
      <c r="M219" s="123">
        <f>[4]Riders!M213+[5]Riders!M211</f>
        <v>1625406.8399999999</v>
      </c>
      <c r="N219" s="123">
        <f>[4]Riders!N213+[5]Riders!N211</f>
        <v>1725578.44</v>
      </c>
      <c r="O219" s="123">
        <f>[4]Riders!O213+[5]Riders!O211</f>
        <v>1606940.8800000001</v>
      </c>
      <c r="P219" s="173">
        <f>SUM(D219:O219)</f>
        <v>19826061.349999998</v>
      </c>
    </row>
    <row r="220" spans="1:17" x14ac:dyDescent="0.2">
      <c r="A220" s="141">
        <v>8</v>
      </c>
      <c r="B220" s="129" t="s">
        <v>31</v>
      </c>
      <c r="C220" s="125"/>
      <c r="D220" s="122">
        <f>SUM(D218:D219)</f>
        <v>1823063.5799999998</v>
      </c>
      <c r="E220" s="122">
        <f t="shared" ref="E220:O220" si="39">SUM(E218:E219)</f>
        <v>1754514.45</v>
      </c>
      <c r="F220" s="122">
        <f t="shared" si="39"/>
        <v>1780967.33</v>
      </c>
      <c r="G220" s="122">
        <f t="shared" si="39"/>
        <v>1726416.38</v>
      </c>
      <c r="H220" s="122">
        <f t="shared" si="39"/>
        <v>1856025.03</v>
      </c>
      <c r="I220" s="122">
        <f t="shared" si="39"/>
        <v>1834389.7099999997</v>
      </c>
      <c r="J220" s="122">
        <f t="shared" si="39"/>
        <v>1815544.81</v>
      </c>
      <c r="K220" s="122">
        <f t="shared" si="39"/>
        <v>1821434.84</v>
      </c>
      <c r="L220" s="122">
        <f t="shared" si="39"/>
        <v>1880120.95</v>
      </c>
      <c r="M220" s="122">
        <f t="shared" si="39"/>
        <v>1830705.0199999998</v>
      </c>
      <c r="N220" s="122">
        <f t="shared" si="39"/>
        <v>1960512.76</v>
      </c>
      <c r="O220" s="122">
        <f t="shared" si="39"/>
        <v>1794286.9300000002</v>
      </c>
      <c r="P220" s="122">
        <f>SUM(P218:P219)</f>
        <v>21877981.789999999</v>
      </c>
    </row>
    <row r="221" spans="1:17" x14ac:dyDescent="0.2">
      <c r="A221" s="141"/>
      <c r="B221" s="129"/>
      <c r="C221" s="125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56"/>
    </row>
    <row r="222" spans="1:17" x14ac:dyDescent="0.2">
      <c r="A222" s="141">
        <v>9</v>
      </c>
      <c r="B222" s="162" t="s">
        <v>115</v>
      </c>
      <c r="C222" s="125" t="s">
        <v>18</v>
      </c>
      <c r="D222" s="122">
        <f>[4]Riders!D216+[5]Riders!D214</f>
        <v>1671186.1199999999</v>
      </c>
      <c r="E222" s="122">
        <f>[4]Riders!E216+[5]Riders!E214</f>
        <v>1166303.8</v>
      </c>
      <c r="F222" s="122">
        <f>[4]Riders!F216+[5]Riders!F214</f>
        <v>1501995.4200000002</v>
      </c>
      <c r="G222" s="122">
        <f>[4]Riders!G216+[5]Riders!G214</f>
        <v>1327210.27</v>
      </c>
      <c r="H222" s="122">
        <f>[4]Riders!H216+[5]Riders!H214</f>
        <v>1416505.0299999998</v>
      </c>
      <c r="I222" s="122">
        <f>[4]Riders!I216+[5]Riders!I214</f>
        <v>1604238.75</v>
      </c>
      <c r="J222" s="122">
        <f>[4]Riders!J216+[5]Riders!J214</f>
        <v>1178461.1499999999</v>
      </c>
      <c r="K222" s="122">
        <f>[4]Riders!K216+[5]Riders!K214</f>
        <v>1212420.8999999999</v>
      </c>
      <c r="L222" s="122">
        <f>[4]Riders!L216+[5]Riders!L214</f>
        <v>1468576.86</v>
      </c>
      <c r="M222" s="122">
        <f>[4]Riders!M216+[5]Riders!M214</f>
        <v>790172.14</v>
      </c>
      <c r="N222" s="122">
        <f>[4]Riders!N216+[5]Riders!N214</f>
        <v>1491716.2100000002</v>
      </c>
      <c r="O222" s="122">
        <f>[4]Riders!O216+[5]Riders!O214</f>
        <v>776036.07000000007</v>
      </c>
      <c r="P222" s="156">
        <f>SUM(D222:O222)</f>
        <v>15604822.720000001</v>
      </c>
    </row>
    <row r="223" spans="1:17" x14ac:dyDescent="0.2">
      <c r="A223" s="129"/>
      <c r="B223" s="129"/>
      <c r="C223" s="143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</row>
    <row r="224" spans="1:17" x14ac:dyDescent="0.2">
      <c r="A224" s="141">
        <v>10</v>
      </c>
      <c r="B224" s="117" t="s">
        <v>33</v>
      </c>
      <c r="C224" s="125" t="s">
        <v>16</v>
      </c>
      <c r="D224" s="122">
        <f>[4]Riders!D218+[5]Riders!D216</f>
        <v>102644.12</v>
      </c>
      <c r="E224" s="122">
        <f>[4]Riders!E218+[5]Riders!E216</f>
        <v>102256.37</v>
      </c>
      <c r="F224" s="122">
        <f>[4]Riders!F218+[5]Riders!F216</f>
        <v>95213.650000000009</v>
      </c>
      <c r="G224" s="122">
        <f>[4]Riders!G218+[5]Riders!G216</f>
        <v>94484.450000000012</v>
      </c>
      <c r="H224" s="122">
        <f>[4]Riders!H218+[5]Riders!H216</f>
        <v>94423.66</v>
      </c>
      <c r="I224" s="122">
        <f>[4]Riders!I218+[5]Riders!I216</f>
        <v>94401.69</v>
      </c>
      <c r="J224" s="122">
        <f>[4]Riders!J218+[5]Riders!J216</f>
        <v>94429.2</v>
      </c>
      <c r="K224" s="122">
        <f>[4]Riders!K218+[5]Riders!K216</f>
        <v>94393.37999999999</v>
      </c>
      <c r="L224" s="122">
        <f>[4]Riders!L218+[5]Riders!L216</f>
        <v>98943.790000000008</v>
      </c>
      <c r="M224" s="122">
        <f>[4]Riders!M218+[5]Riders!M216</f>
        <v>100339.15</v>
      </c>
      <c r="N224" s="122">
        <f>[4]Riders!N218+[5]Riders!N216</f>
        <v>101286.65</v>
      </c>
      <c r="O224" s="122">
        <f>[4]Riders!O218+[5]Riders!O216</f>
        <v>100792.98</v>
      </c>
      <c r="P224" s="156">
        <f>SUM(D224:O224)</f>
        <v>1173609.0899999999</v>
      </c>
    </row>
    <row r="225" spans="1:17" x14ac:dyDescent="0.2">
      <c r="A225" s="141"/>
      <c r="B225" s="129"/>
      <c r="C225" s="143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22"/>
      <c r="P225" s="122"/>
    </row>
    <row r="226" spans="1:17" x14ac:dyDescent="0.2">
      <c r="A226" s="141">
        <v>11</v>
      </c>
      <c r="B226" s="183" t="s">
        <v>34</v>
      </c>
      <c r="C226" s="329"/>
      <c r="D226" s="184">
        <f>D224+D222+D220+D216+D212+D210</f>
        <v>21646441.329999998</v>
      </c>
      <c r="E226" s="184">
        <f t="shared" ref="E226:O226" si="40">E224+E222+E220+E216+E212+E210</f>
        <v>17890825.560000002</v>
      </c>
      <c r="F226" s="184">
        <f t="shared" si="40"/>
        <v>13809841.74</v>
      </c>
      <c r="G226" s="184">
        <f t="shared" si="40"/>
        <v>13477950.83</v>
      </c>
      <c r="H226" s="184">
        <f t="shared" si="40"/>
        <v>14373553.039999997</v>
      </c>
      <c r="I226" s="184">
        <f t="shared" si="40"/>
        <v>17843759.359999999</v>
      </c>
      <c r="J226" s="184">
        <f t="shared" si="40"/>
        <v>17822783.890000001</v>
      </c>
      <c r="K226" s="184">
        <f t="shared" si="40"/>
        <v>18031228.520000003</v>
      </c>
      <c r="L226" s="184">
        <f t="shared" si="40"/>
        <v>19736950.229999997</v>
      </c>
      <c r="M226" s="184">
        <f t="shared" si="40"/>
        <v>16729737.84</v>
      </c>
      <c r="N226" s="184">
        <f t="shared" si="40"/>
        <v>15462883.9</v>
      </c>
      <c r="O226" s="184">
        <f t="shared" si="40"/>
        <v>15436217.370000001</v>
      </c>
      <c r="P226" s="184">
        <f>P224+P222+P220+P216+P212+P210</f>
        <v>202262173.61000001</v>
      </c>
      <c r="Q226" s="359"/>
    </row>
    <row r="227" spans="1:17" x14ac:dyDescent="0.2">
      <c r="A227" s="129"/>
      <c r="B227" s="329"/>
      <c r="C227" s="32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56"/>
      <c r="P227" s="156"/>
    </row>
    <row r="228" spans="1:17" x14ac:dyDescent="0.2">
      <c r="A228" s="141">
        <v>12</v>
      </c>
      <c r="B228" s="148"/>
      <c r="C228" s="125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72"/>
    </row>
    <row r="229" spans="1:17" x14ac:dyDescent="0.2">
      <c r="A229" s="141">
        <v>13</v>
      </c>
      <c r="B229" s="148"/>
      <c r="C229" s="125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72"/>
    </row>
    <row r="230" spans="1:17" x14ac:dyDescent="0.2">
      <c r="A230" s="141">
        <v>14</v>
      </c>
      <c r="B230" s="183"/>
      <c r="C230" s="329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72"/>
      <c r="P230" s="172"/>
    </row>
    <row r="231" spans="1:17" x14ac:dyDescent="0.2">
      <c r="A231" s="141"/>
      <c r="B231" s="129"/>
      <c r="C231" s="185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22"/>
      <c r="P231" s="122"/>
    </row>
    <row r="232" spans="1:17" ht="13.5" thickBot="1" x14ac:dyDescent="0.25">
      <c r="A232" s="141">
        <v>15</v>
      </c>
      <c r="B232" s="243" t="s">
        <v>136</v>
      </c>
      <c r="C232" s="328"/>
      <c r="D232" s="186">
        <f t="shared" ref="D232:P232" si="41">+D230+D226</f>
        <v>21646441.329999998</v>
      </c>
      <c r="E232" s="186">
        <f t="shared" si="41"/>
        <v>17890825.560000002</v>
      </c>
      <c r="F232" s="186">
        <f t="shared" si="41"/>
        <v>13809841.74</v>
      </c>
      <c r="G232" s="186">
        <f t="shared" si="41"/>
        <v>13477950.83</v>
      </c>
      <c r="H232" s="186">
        <f t="shared" si="41"/>
        <v>14373553.039999997</v>
      </c>
      <c r="I232" s="186">
        <f t="shared" si="41"/>
        <v>17843759.359999999</v>
      </c>
      <c r="J232" s="186">
        <f t="shared" si="41"/>
        <v>17822783.890000001</v>
      </c>
      <c r="K232" s="186">
        <f t="shared" si="41"/>
        <v>18031228.520000003</v>
      </c>
      <c r="L232" s="186">
        <f t="shared" si="41"/>
        <v>19736950.229999997</v>
      </c>
      <c r="M232" s="186">
        <f t="shared" si="41"/>
        <v>16729737.84</v>
      </c>
      <c r="N232" s="186">
        <f t="shared" si="41"/>
        <v>15462883.9</v>
      </c>
      <c r="O232" s="186">
        <f t="shared" si="41"/>
        <v>15436217.370000001</v>
      </c>
      <c r="P232" s="186">
        <f t="shared" si="41"/>
        <v>202262173.61000001</v>
      </c>
      <c r="Q232" s="188"/>
    </row>
    <row r="233" spans="1:17" ht="13.5" thickTop="1" x14ac:dyDescent="0.2"/>
    <row r="234" spans="1:17" ht="13.5" thickBot="1" x14ac:dyDescent="0.25">
      <c r="B234" s="243" t="s">
        <v>125</v>
      </c>
      <c r="D234" s="186">
        <f t="shared" ref="D234:O234" si="42">D30+D58+D114+D142+D170+D198+D226</f>
        <v>57308337.609999999</v>
      </c>
      <c r="E234" s="186">
        <f t="shared" si="42"/>
        <v>48157347.280000001</v>
      </c>
      <c r="F234" s="186">
        <f t="shared" si="42"/>
        <v>41709573.169999994</v>
      </c>
      <c r="G234" s="186">
        <f t="shared" si="42"/>
        <v>42325507.159999996</v>
      </c>
      <c r="H234" s="186">
        <f t="shared" si="42"/>
        <v>44773768.850000001</v>
      </c>
      <c r="I234" s="186">
        <f t="shared" si="42"/>
        <v>55647851</v>
      </c>
      <c r="J234" s="186">
        <f t="shared" si="42"/>
        <v>55791391.939999998</v>
      </c>
      <c r="K234" s="186">
        <f t="shared" si="42"/>
        <v>56727721.850000001</v>
      </c>
      <c r="L234" s="186">
        <f t="shared" si="42"/>
        <v>56876882.300000004</v>
      </c>
      <c r="M234" s="186">
        <f t="shared" si="42"/>
        <v>47921876.670000002</v>
      </c>
      <c r="N234" s="186">
        <f t="shared" si="42"/>
        <v>43921101.050000004</v>
      </c>
      <c r="O234" s="186">
        <f t="shared" si="42"/>
        <v>43346255.710000008</v>
      </c>
      <c r="P234" s="186">
        <f>P30+P58+P114+P142+P170+P198+P226+P85</f>
        <v>593517718.33000004</v>
      </c>
    </row>
    <row r="235" spans="1:17" ht="13.5" thickTop="1" x14ac:dyDescent="0.2"/>
    <row r="237" spans="1:17" x14ac:dyDescent="0.2">
      <c r="P237" s="188"/>
    </row>
  </sheetData>
  <mergeCells count="3">
    <mergeCell ref="B7:O7"/>
    <mergeCell ref="B8:O8"/>
    <mergeCell ref="B9:O9"/>
  </mergeCells>
  <pageMargins left="0.7" right="0.7" top="0.75" bottom="0.75" header="0.3" footer="0.3"/>
  <pageSetup scale="56" orientation="landscape" r:id="rId1"/>
  <rowBreaks count="7" manualBreakCount="7">
    <brk id="37" max="16383" man="1"/>
    <brk id="64" max="16383" man="1"/>
    <brk id="92" max="16383" man="1"/>
    <brk id="121" max="16383" man="1"/>
    <brk id="149" max="16383" man="1"/>
    <brk id="177" max="16383" man="1"/>
    <brk id="205" max="16383" man="1"/>
  </rowBreaks>
  <colBreaks count="1" manualBreakCount="1">
    <brk id="1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50c31824-0780-4910-87d1-eaaffd182d42" value=""/>
  <element uid="c64218ab-b8d1-40b6-a478-cb8be1e10ecc" value=""/>
</sisl>
</file>

<file path=customXml/itemProps1.xml><?xml version="1.0" encoding="utf-8"?>
<ds:datastoreItem xmlns:ds="http://schemas.openxmlformats.org/officeDocument/2006/customXml" ds:itemID="{CB3BA861-F631-420F-BDDE-EE2012955754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23DCF5E-4F53-4DF5-A1DF-138D28730A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FBE2142-820F-4A4E-A334-9443C0E44D4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F91FBE-C4A9-490D-B3BA-F428F29D2BB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16</vt:i4>
      </vt:variant>
    </vt:vector>
  </HeadingPairs>
  <TitlesOfParts>
    <vt:vector size="28" baseType="lpstr">
      <vt:lpstr>II-H-1</vt:lpstr>
      <vt:lpstr>II-H-1.1</vt:lpstr>
      <vt:lpstr>II-H-1.2</vt:lpstr>
      <vt:lpstr>II-H-1.3</vt:lpstr>
      <vt:lpstr>Sch II-H-1.5</vt:lpstr>
      <vt:lpstr>II-H-3.1-3</vt:lpstr>
      <vt:lpstr>II-H-4.1 Monthly</vt:lpstr>
      <vt:lpstr>II-H-4.1 Functions</vt:lpstr>
      <vt:lpstr>II-H-4.1 Dist kW</vt:lpstr>
      <vt:lpstr>II-H-4.1 Tran kW</vt:lpstr>
      <vt:lpstr>Sch II-H-4.2</vt:lpstr>
      <vt:lpstr>Riders</vt:lpstr>
      <vt:lpstr>'II-H-1.2'!Print_Area</vt:lpstr>
      <vt:lpstr>'II-H-3.1-3'!Print_Area</vt:lpstr>
      <vt:lpstr>'II-H-4.1 Dist kW'!Print_Area</vt:lpstr>
      <vt:lpstr>'II-H-4.1 Functions'!Print_Area</vt:lpstr>
      <vt:lpstr>'II-H-4.1 Monthly'!Print_Area</vt:lpstr>
      <vt:lpstr>'II-H-4.1 Tran kW'!Print_Area</vt:lpstr>
      <vt:lpstr>Riders!Print_Area</vt:lpstr>
      <vt:lpstr>'Sch II-H-1.5'!Print_Area</vt:lpstr>
      <vt:lpstr>'Sch II-H-4.2'!Print_Area</vt:lpstr>
      <vt:lpstr>'II-H-1.2'!Print_Titles</vt:lpstr>
      <vt:lpstr>'II-H-3.1-3'!Print_Titles</vt:lpstr>
      <vt:lpstr>'II-H-4.1 Dist kW'!Print_Titles</vt:lpstr>
      <vt:lpstr>'II-H-4.1 Functions'!Print_Titles</vt:lpstr>
      <vt:lpstr>'II-H-4.1 Monthly'!Print_Titles</vt:lpstr>
      <vt:lpstr>'II-H-4.1 Tran kW'!Print_Titles</vt:lpstr>
      <vt:lpstr>Riders!Print_Titles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RFP DOCKET 13369</dc:title>
  <dc:subject>UNADJUSTED DATA</dc:subject>
  <dc:creator>NANCY NAPOLITANO</dc:creator>
  <cp:keywords>AEP Internal</cp:keywords>
  <cp:lastModifiedBy>s254353</cp:lastModifiedBy>
  <cp:lastPrinted>2019-04-27T17:42:43Z</cp:lastPrinted>
  <dcterms:created xsi:type="dcterms:W3CDTF">1998-02-17T23:06:04Z</dcterms:created>
  <dcterms:modified xsi:type="dcterms:W3CDTF">2019-04-27T17:42:50Z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a35f5239-9e58-41c6-b6b5-a7a2f1e94ed7</vt:lpwstr>
  </property>
  <property fmtid="{D5CDD505-2E9C-101B-9397-08002B2CF9AE}" pid="3" name="bjSaver">
    <vt:lpwstr>s0CFOxPpaCrub5jyFhmO+1P/cuv0nSox</vt:lpwstr>
  </property>
  <property fmtid="{D5CDD505-2E9C-101B-9397-08002B2CF9AE}" pid="4" name="bjDocumentSecurityLabel">
    <vt:lpwstr>AEP Internal</vt:lpwstr>
  </property>
  <property fmtid="{D5CDD505-2E9C-101B-9397-08002B2CF9AE}" pid="5" name="ContentTypeId">
    <vt:lpwstr>0x01010068D7645638A6BA4A903C04B5C9F7EDEE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uid="50c31824-0780-4910-87d1-eaaffd182d42" value="" /&gt;&lt;element uid="c64218ab-b8d1-40b6-a478-cb8be1e10ecc" value="" /&gt;&lt;/sisl&gt;</vt:lpwstr>
  </property>
  <property fmtid="{D5CDD505-2E9C-101B-9397-08002B2CF9AE}" pid="8" name="Visual Markings Removed">
    <vt:lpwstr>No</vt:lpwstr>
  </property>
</Properties>
</file>