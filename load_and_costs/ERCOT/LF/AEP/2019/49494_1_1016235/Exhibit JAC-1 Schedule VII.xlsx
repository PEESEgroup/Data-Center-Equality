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INTERNAL\Depreciation Study\AEP Texas\AEP Texas 201812\TNC\Schedules - TNC\"/>
    </mc:Choice>
  </mc:AlternateContent>
  <bookViews>
    <workbookView xWindow="360" yWindow="300" windowWidth="14895" windowHeight="9105"/>
  </bookViews>
  <sheets>
    <sheet name="Mortality" sheetId="1" r:id="rId1"/>
  </sheets>
  <calcPr calcId="162913"/>
</workbook>
</file>

<file path=xl/calcChain.xml><?xml version="1.0" encoding="utf-8"?>
<calcChain xmlns="http://schemas.openxmlformats.org/spreadsheetml/2006/main">
  <c r="M37" i="1" l="1"/>
  <c r="M14" i="1" l="1"/>
  <c r="G49" i="1" l="1"/>
  <c r="G48" i="1"/>
  <c r="G47" i="1"/>
  <c r="G46" i="1"/>
  <c r="G45" i="1"/>
  <c r="G44" i="1"/>
  <c r="G43" i="1"/>
  <c r="G42" i="1"/>
  <c r="G41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0" i="1"/>
  <c r="G19" i="1"/>
  <c r="G18" i="1"/>
  <c r="G17" i="1"/>
  <c r="G16" i="1"/>
  <c r="G15" i="1"/>
  <c r="G14" i="1"/>
  <c r="M41" i="1"/>
  <c r="M36" i="1"/>
  <c r="M21" i="1"/>
  <c r="M34" i="1"/>
  <c r="M48" i="1"/>
  <c r="M26" i="1"/>
  <c r="M25" i="1"/>
  <c r="M24" i="1"/>
  <c r="M49" i="1"/>
  <c r="M47" i="1"/>
  <c r="M46" i="1"/>
  <c r="M45" i="1"/>
  <c r="M44" i="1"/>
  <c r="M43" i="1"/>
  <c r="M42" i="1"/>
  <c r="M35" i="1"/>
  <c r="M33" i="1"/>
  <c r="M32" i="1"/>
  <c r="M31" i="1"/>
  <c r="M30" i="1"/>
  <c r="M29" i="1"/>
  <c r="M28" i="1"/>
  <c r="M27" i="1"/>
  <c r="M20" i="1"/>
  <c r="M19" i="1"/>
  <c r="M18" i="1"/>
  <c r="M17" i="1"/>
  <c r="M16" i="1"/>
  <c r="M15" i="1"/>
</calcChain>
</file>

<file path=xl/sharedStrings.xml><?xml version="1.0" encoding="utf-8"?>
<sst xmlns="http://schemas.openxmlformats.org/spreadsheetml/2006/main" count="185" uniqueCount="108">
  <si>
    <t>Office Furniture &amp; Equipment</t>
  </si>
  <si>
    <t>393.0</t>
  </si>
  <si>
    <t>Stores Equipment</t>
  </si>
  <si>
    <t>394.0</t>
  </si>
  <si>
    <t>Tools Shop &amp; Garage Equipment</t>
  </si>
  <si>
    <t>397.0</t>
  </si>
  <si>
    <t>Communication Equipment</t>
  </si>
  <si>
    <t>398.0</t>
  </si>
  <si>
    <t>Miscellaneous Equipment</t>
  </si>
  <si>
    <t>Rights of Way</t>
  </si>
  <si>
    <t xml:space="preserve"> </t>
  </si>
  <si>
    <t>352.0</t>
  </si>
  <si>
    <t>Structures &amp; Improvements</t>
  </si>
  <si>
    <t>353.0</t>
  </si>
  <si>
    <t>Station Equipment</t>
  </si>
  <si>
    <t>354.0</t>
  </si>
  <si>
    <t xml:space="preserve">Towers &amp; Fixtures  </t>
  </si>
  <si>
    <t>355.0</t>
  </si>
  <si>
    <t>Poles &amp; Fixtures</t>
  </si>
  <si>
    <t>356.0</t>
  </si>
  <si>
    <t>Underground Conduit</t>
  </si>
  <si>
    <t>Underground Conductor</t>
  </si>
  <si>
    <t>361.0</t>
  </si>
  <si>
    <t>362.0</t>
  </si>
  <si>
    <t>364.0</t>
  </si>
  <si>
    <t>Poles, Towers, &amp; Fixtures</t>
  </si>
  <si>
    <t>365.0</t>
  </si>
  <si>
    <t>Overhead Conductor &amp; Devices</t>
  </si>
  <si>
    <t>366.0</t>
  </si>
  <si>
    <t>367.0</t>
  </si>
  <si>
    <t>368.0</t>
  </si>
  <si>
    <t>369.0</t>
  </si>
  <si>
    <t>Services</t>
  </si>
  <si>
    <t>370.0</t>
  </si>
  <si>
    <t>Meters</t>
  </si>
  <si>
    <t>371.0</t>
  </si>
  <si>
    <t>373.0</t>
  </si>
  <si>
    <t>390.0</t>
  </si>
  <si>
    <t>391.0</t>
  </si>
  <si>
    <t>Average</t>
  </si>
  <si>
    <t>Service</t>
  </si>
  <si>
    <t>Life</t>
  </si>
  <si>
    <t>Iowa</t>
  </si>
  <si>
    <t>Curve</t>
  </si>
  <si>
    <t>Salvage</t>
  </si>
  <si>
    <t>Factor</t>
  </si>
  <si>
    <t>Cost of</t>
  </si>
  <si>
    <t>Removal</t>
  </si>
  <si>
    <t>Net</t>
  </si>
  <si>
    <t>(Years)</t>
  </si>
  <si>
    <t>R3.0</t>
  </si>
  <si>
    <t>R2.5</t>
  </si>
  <si>
    <t>R2.0</t>
  </si>
  <si>
    <t>SQ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</si>
  <si>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</si>
  <si>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</si>
  <si>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</si>
  <si>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</si>
  <si>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</si>
  <si>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</si>
  <si>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</si>
  <si>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</si>
  <si>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</si>
  <si>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</si>
  <si>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</si>
  <si>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396.0</t>
  </si>
  <si>
    <t>Power Operated Equipment</t>
  </si>
  <si>
    <t>392.0</t>
  </si>
  <si>
    <t>Current Study Rates</t>
  </si>
  <si>
    <t>R5.0</t>
  </si>
  <si>
    <t>R0.5</t>
  </si>
  <si>
    <t>S3.0</t>
  </si>
  <si>
    <t>SC</t>
  </si>
  <si>
    <t>AMI Communication Equipment</t>
  </si>
  <si>
    <t xml:space="preserve">Overhead Conductor &amp; Devices </t>
  </si>
  <si>
    <t xml:space="preserve">Line Transformers </t>
  </si>
  <si>
    <t xml:space="preserve">Installations on Custs. Prem. </t>
  </si>
  <si>
    <t xml:space="preserve">Street Lighting &amp; Signal Sys. </t>
  </si>
  <si>
    <t xml:space="preserve">Transportation Equipment </t>
  </si>
  <si>
    <t>TRANSMISSION PLANT</t>
  </si>
  <si>
    <t xml:space="preserve">DISTRIBUTION PLANT </t>
  </si>
  <si>
    <t xml:space="preserve">GENERAL PLANT      </t>
  </si>
  <si>
    <t>AMI - Meters</t>
  </si>
  <si>
    <t>Underground Conductor &amp; Devices</t>
  </si>
  <si>
    <t>Existing Rates</t>
  </si>
  <si>
    <t>N/A</t>
  </si>
  <si>
    <t>Leased Property on Custs. Prem.</t>
  </si>
  <si>
    <t>372.0</t>
  </si>
  <si>
    <t>DEPRECIATION STUDY AS OF DECEMBER 31, 2018</t>
  </si>
  <si>
    <t>397.16</t>
  </si>
  <si>
    <t>370.16</t>
  </si>
  <si>
    <t>360.1</t>
  </si>
  <si>
    <t>350.1</t>
  </si>
  <si>
    <t>357.0</t>
  </si>
  <si>
    <t>358.0</t>
  </si>
  <si>
    <t>L4.0</t>
  </si>
  <si>
    <t>S6.0</t>
  </si>
  <si>
    <t>L5.0</t>
  </si>
  <si>
    <t>R1.5</t>
  </si>
  <si>
    <t>L2.0</t>
  </si>
  <si>
    <t>L0.0</t>
  </si>
  <si>
    <t>R1.0</t>
  </si>
  <si>
    <t>S0.5</t>
  </si>
  <si>
    <t>Notes:</t>
  </si>
  <si>
    <t>(1)  A useful life of 7 years was approved for AMI meters in Docket No. 36928 and TNC is using a rate of 14.29% (1 divided by 7) for AMI meters in account 370.16 and the related communication equipment in account 397.16.</t>
  </si>
  <si>
    <t>L1.0</t>
  </si>
  <si>
    <t>SCHEDULE VII - COMPARISON OF MORTALITY CHARACTERISTICS</t>
  </si>
  <si>
    <t>AEP TEXAS NORTH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</si>
</sst>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2"/>
      <name val="Arial"/>
    </font>
    <font>
      <sz val="12"/>
      <name val="Arial"/>
      <family val="2"/>
    </font>
    <font>
      <sz val="14"/>
      <name val="Times New Roman"/>
      <family val="1"/>
    </font>
    <font>
      <u/>
      <sz val="14"/>
      <name val="Times New Roman"/>
      <family val="1"/>
    </font>
    <font>
      <u/>
      <sz val="14"/>
      <name val="Times New Roman"/>
      <family val="1"/>
    </font>
    <font>
      <b/>
      <u/>
      <sz val="14"/>
      <name val="Times New Roman"/>
      <family val="1"/>
    </font>
    <font>
      <u/>
      <sz val="12"/>
      <name val="Arial"/>
      <family val="2"/>
    </font>
    <font>
      <b/>
      <sz val="14"/>
      <name val="Times New Roman"/>
      <family val="1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 applyAlignment="1"/>
    <xf numFmtId="1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9" fontId="2" fillId="0" borderId="0" xfId="0" applyNumberFormat="1" applyFont="1" applyFill="1" applyAlignment="1">
      <alignment horizontal="center"/>
    </xf>
    <xf numFmtId="0" fontId="2" fillId="0" borderId="0" xfId="0" applyFont="1" applyFill="1" applyAlignment="1"/>
    <xf numFmtId="3" fontId="2" fillId="0" borderId="0" xfId="0" applyNumberFormat="1" applyFont="1" applyFill="1" applyAlignment="1">
      <alignment horizontal="center"/>
    </xf>
    <xf numFmtId="10" fontId="2" fillId="0" borderId="0" xfId="0" applyNumberFormat="1" applyFont="1" applyFill="1" applyAlignment="1">
      <alignment horizontal="center"/>
    </xf>
    <xf numFmtId="0" fontId="0" fillId="0" borderId="0" xfId="0" applyFill="1" applyAlignment="1"/>
    <xf numFmtId="0" fontId="1" fillId="0" borderId="0" xfId="0" applyFont="1" applyFill="1"/>
    <xf numFmtId="49" fontId="0" fillId="0" borderId="0" xfId="0" applyNumberForma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/>
    <xf numFmtId="0" fontId="2" fillId="0" borderId="0" xfId="0" quotePrefix="1" applyFont="1" applyFill="1" applyAlignment="1">
      <alignment horizontal="center"/>
    </xf>
    <xf numFmtId="164" fontId="2" fillId="0" borderId="0" xfId="0" quotePrefix="1" applyNumberFormat="1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9" fontId="0" fillId="0" borderId="0" xfId="0" applyNumberFormat="1" applyFill="1" applyAlignment="1">
      <alignment horizontal="center"/>
    </xf>
    <xf numFmtId="0" fontId="3" fillId="0" borderId="0" xfId="0" applyFont="1" applyFill="1" applyAlignment="1"/>
    <xf numFmtId="1" fontId="3" fillId="0" borderId="0" xfId="0" applyNumberFormat="1" applyFont="1" applyFill="1" applyAlignment="1">
      <alignment horizontal="center"/>
    </xf>
    <xf numFmtId="10" fontId="3" fillId="0" borderId="0" xfId="0" applyNumberFormat="1" applyFont="1" applyFill="1" applyAlignment="1">
      <alignment horizontal="center"/>
    </xf>
    <xf numFmtId="9" fontId="3" fillId="0" borderId="0" xfId="0" applyNumberFormat="1" applyFont="1" applyFill="1" applyAlignment="1">
      <alignment horizontal="center"/>
    </xf>
    <xf numFmtId="0" fontId="6" fillId="0" borderId="0" xfId="0" applyFont="1" applyFill="1" applyAlignment="1"/>
    <xf numFmtId="10" fontId="4" fillId="0" borderId="0" xfId="0" applyNumberFormat="1" applyFont="1" applyFill="1" applyAlignment="1">
      <alignment horizontal="center"/>
    </xf>
    <xf numFmtId="9" fontId="4" fillId="0" borderId="0" xfId="0" applyNumberFormat="1" applyFont="1" applyFill="1" applyAlignment="1">
      <alignment horizontal="center"/>
    </xf>
    <xf numFmtId="10" fontId="3" fillId="0" borderId="0" xfId="0" applyNumberFormat="1" applyFont="1" applyFill="1"/>
    <xf numFmtId="49" fontId="2" fillId="0" borderId="0" xfId="0" applyNumberFormat="1" applyFont="1" applyFill="1" applyAlignment="1">
      <alignment horizontal="center"/>
    </xf>
    <xf numFmtId="10" fontId="2" fillId="0" borderId="0" xfId="0" applyNumberFormat="1" applyFont="1" applyFill="1" applyAlignment="1"/>
    <xf numFmtId="1" fontId="2" fillId="0" borderId="0" xfId="0" applyNumberFormat="1" applyFont="1" applyFill="1" applyAlignment="1"/>
    <xf numFmtId="9" fontId="2" fillId="0" borderId="0" xfId="0" applyNumberFormat="1" applyFont="1" applyFill="1" applyAlignment="1"/>
    <xf numFmtId="9" fontId="0" fillId="0" borderId="0" xfId="0" applyNumberFormat="1" applyFill="1" applyAlignment="1"/>
    <xf numFmtId="0" fontId="8" fillId="0" borderId="0" xfId="0" applyFont="1" applyFill="1" applyAlignment="1"/>
    <xf numFmtId="10" fontId="0" fillId="0" borderId="0" xfId="0" applyNumberFormat="1" applyFill="1" applyAlignment="1"/>
    <xf numFmtId="1" fontId="0" fillId="0" borderId="0" xfId="0" applyNumberFormat="1" applyFill="1" applyAlignment="1"/>
    <xf numFmtId="0" fontId="1" fillId="0" borderId="0" xfId="0" applyFont="1" applyFill="1" applyAlignment="1">
      <alignment wrapText="1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2:M463"/>
  <sheetViews>
    <sheetView tabSelected="1" showOutlineSymbols="0" zoomScale="80" zoomScaleNormal="80" workbookViewId="0">
      <pane xSplit="2" ySplit="12" topLeftCell="C34" activePane="bottomRight" state="frozen"/>
      <selection pane="topRight" activeCell="C1" sqref="C1"/>
      <selection pane="bottomLeft" activeCell="A13" sqref="A13"/>
      <selection pane="bottomRight" activeCell="B52" sqref="B52:M53"/>
    </sheetView>
  </sheetViews>
  <sheetFormatPr defaultColWidth="9.6640625" defaultRowHeight="15" x14ac:dyDescent="0.2"/>
  <cols>
    <col min="1" max="1" width="7.6640625" style="7" customWidth="1"/>
    <col min="2" max="2" width="32.88671875" style="7" customWidth="1"/>
    <col min="3" max="3" width="7.21875" style="7" customWidth="1"/>
    <col min="4" max="4" width="5.6640625" style="7" customWidth="1"/>
    <col min="5" max="5" width="7.5546875" style="7" customWidth="1"/>
    <col min="6" max="6" width="7.88671875" style="7" customWidth="1"/>
    <col min="7" max="7" width="8.109375" style="7" customWidth="1"/>
    <col min="8" max="8" width="2.6640625" style="7" customWidth="1"/>
    <col min="9" max="9" width="6.88671875" style="7" customWidth="1"/>
    <col min="10" max="10" width="6.5546875" style="7" customWidth="1"/>
    <col min="11" max="11" width="7.88671875" style="7" customWidth="1"/>
    <col min="12" max="12" width="8.109375" style="7" customWidth="1"/>
    <col min="13" max="13" width="9" style="7" customWidth="1"/>
    <col min="14" max="16384" width="9.6640625" style="7"/>
  </cols>
  <sheetData>
    <row r="2" spans="1:13" ht="18.75" x14ac:dyDescent="0.3">
      <c r="A2" s="37" t="s">
        <v>107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ht="18.75" x14ac:dyDescent="0.3">
      <c r="A3" s="37" t="s">
        <v>106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ht="18.75" x14ac:dyDescent="0.3">
      <c r="A4" s="37" t="s">
        <v>88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ht="18.75" x14ac:dyDescent="0.3">
      <c r="A5" s="8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3" x14ac:dyDescent="0.2">
      <c r="A6" s="38" t="s">
        <v>54</v>
      </c>
      <c r="B6" s="38"/>
      <c r="C6" s="9" t="s">
        <v>55</v>
      </c>
      <c r="D6" s="9" t="s">
        <v>56</v>
      </c>
      <c r="E6" s="9" t="s">
        <v>57</v>
      </c>
      <c r="F6" s="9" t="s">
        <v>58</v>
      </c>
      <c r="G6" s="9" t="s">
        <v>59</v>
      </c>
      <c r="H6" s="9"/>
      <c r="I6" s="9" t="s">
        <v>60</v>
      </c>
      <c r="J6" s="9" t="s">
        <v>61</v>
      </c>
      <c r="K6" s="9" t="s">
        <v>62</v>
      </c>
      <c r="L6" s="9" t="s">
        <v>63</v>
      </c>
      <c r="M6" s="9" t="s">
        <v>64</v>
      </c>
    </row>
    <row r="7" spans="1:13" x14ac:dyDescent="0.2"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18.75" x14ac:dyDescent="0.3">
      <c r="A8" s="4"/>
      <c r="B8" s="4"/>
      <c r="C8" s="35" t="s">
        <v>84</v>
      </c>
      <c r="D8" s="36"/>
      <c r="E8" s="36"/>
      <c r="F8" s="36"/>
      <c r="G8" s="36"/>
      <c r="H8" s="4" t="s">
        <v>10</v>
      </c>
      <c r="I8" s="36" t="s">
        <v>68</v>
      </c>
      <c r="J8" s="36"/>
      <c r="K8" s="36"/>
      <c r="L8" s="36"/>
      <c r="M8" s="36"/>
    </row>
    <row r="9" spans="1:13" ht="18.75" x14ac:dyDescent="0.3">
      <c r="A9" s="4"/>
      <c r="B9" s="4"/>
      <c r="C9" s="2" t="s">
        <v>39</v>
      </c>
      <c r="D9" s="2"/>
      <c r="E9" s="2"/>
      <c r="F9" s="2" t="s">
        <v>46</v>
      </c>
      <c r="G9" s="2" t="s">
        <v>48</v>
      </c>
      <c r="H9" s="4"/>
      <c r="I9" s="2" t="s">
        <v>39</v>
      </c>
      <c r="J9" s="2"/>
      <c r="K9" s="2"/>
      <c r="L9" s="2" t="s">
        <v>46</v>
      </c>
      <c r="M9" s="2" t="s">
        <v>48</v>
      </c>
    </row>
    <row r="10" spans="1:13" ht="18.75" x14ac:dyDescent="0.3">
      <c r="A10" s="4"/>
      <c r="B10" s="4"/>
      <c r="C10" s="2" t="s">
        <v>40</v>
      </c>
      <c r="D10" s="2" t="s">
        <v>42</v>
      </c>
      <c r="E10" s="2" t="s">
        <v>44</v>
      </c>
      <c r="F10" s="2" t="s">
        <v>47</v>
      </c>
      <c r="G10" s="2" t="s">
        <v>44</v>
      </c>
      <c r="H10" s="4"/>
      <c r="I10" s="2" t="s">
        <v>40</v>
      </c>
      <c r="J10" s="2" t="s">
        <v>42</v>
      </c>
      <c r="K10" s="2" t="s">
        <v>44</v>
      </c>
      <c r="L10" s="2" t="s">
        <v>47</v>
      </c>
      <c r="M10" s="2" t="s">
        <v>44</v>
      </c>
    </row>
    <row r="11" spans="1:13" ht="18.75" x14ac:dyDescent="0.3">
      <c r="B11" s="4"/>
      <c r="C11" s="10" t="s">
        <v>41</v>
      </c>
      <c r="D11" s="10" t="s">
        <v>43</v>
      </c>
      <c r="E11" s="10" t="s">
        <v>45</v>
      </c>
      <c r="F11" s="10" t="s">
        <v>45</v>
      </c>
      <c r="G11" s="10" t="s">
        <v>45</v>
      </c>
      <c r="H11" s="11"/>
      <c r="I11" s="10" t="s">
        <v>41</v>
      </c>
      <c r="J11" s="10" t="s">
        <v>43</v>
      </c>
      <c r="K11" s="10" t="s">
        <v>45</v>
      </c>
      <c r="L11" s="10" t="s">
        <v>45</v>
      </c>
      <c r="M11" s="10" t="s">
        <v>45</v>
      </c>
    </row>
    <row r="12" spans="1:13" ht="18.75" x14ac:dyDescent="0.3">
      <c r="B12" s="4"/>
      <c r="C12" s="4" t="s">
        <v>49</v>
      </c>
      <c r="E12" s="2" t="s">
        <v>10</v>
      </c>
      <c r="F12" s="2" t="s">
        <v>10</v>
      </c>
      <c r="G12" s="2" t="s">
        <v>10</v>
      </c>
      <c r="H12" s="4"/>
      <c r="I12" s="4" t="s">
        <v>49</v>
      </c>
      <c r="J12" s="4"/>
      <c r="K12" s="2" t="s">
        <v>10</v>
      </c>
      <c r="L12" s="2" t="s">
        <v>10</v>
      </c>
      <c r="M12" s="2" t="s">
        <v>10</v>
      </c>
    </row>
    <row r="13" spans="1:13" ht="18.75" x14ac:dyDescent="0.3">
      <c r="A13" s="12" t="s">
        <v>79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3" ht="18.75" x14ac:dyDescent="0.3">
      <c r="A14" s="13" t="s">
        <v>92</v>
      </c>
      <c r="B14" s="4" t="s">
        <v>9</v>
      </c>
      <c r="C14" s="1">
        <v>75</v>
      </c>
      <c r="D14" s="2" t="s">
        <v>50</v>
      </c>
      <c r="E14" s="3">
        <v>0</v>
      </c>
      <c r="F14" s="3">
        <v>0</v>
      </c>
      <c r="G14" s="3">
        <f t="shared" ref="G14:G20" si="0">E14-F14</f>
        <v>0</v>
      </c>
      <c r="H14" s="6"/>
      <c r="I14" s="1">
        <v>75</v>
      </c>
      <c r="J14" s="2" t="s">
        <v>50</v>
      </c>
      <c r="K14" s="3">
        <v>0</v>
      </c>
      <c r="L14" s="3">
        <v>0</v>
      </c>
      <c r="M14" s="3">
        <f t="shared" ref="M14" si="1">K14-L14</f>
        <v>0</v>
      </c>
    </row>
    <row r="15" spans="1:13" ht="18.75" x14ac:dyDescent="0.3">
      <c r="A15" s="2" t="s">
        <v>11</v>
      </c>
      <c r="B15" s="4" t="s">
        <v>12</v>
      </c>
      <c r="C15" s="1">
        <v>50</v>
      </c>
      <c r="D15" s="5" t="s">
        <v>95</v>
      </c>
      <c r="E15" s="3">
        <v>0</v>
      </c>
      <c r="F15" s="3">
        <v>0</v>
      </c>
      <c r="G15" s="3">
        <f t="shared" si="0"/>
        <v>0</v>
      </c>
      <c r="H15" s="6"/>
      <c r="I15" s="1">
        <v>55</v>
      </c>
      <c r="J15" s="5" t="s">
        <v>95</v>
      </c>
      <c r="K15" s="3">
        <v>0.03</v>
      </c>
      <c r="L15" s="3">
        <v>0.06</v>
      </c>
      <c r="M15" s="3">
        <f t="shared" ref="M15:M20" si="2">K15-L15</f>
        <v>-0.03</v>
      </c>
    </row>
    <row r="16" spans="1:13" ht="18.75" x14ac:dyDescent="0.3">
      <c r="A16" s="2" t="s">
        <v>13</v>
      </c>
      <c r="B16" s="4" t="s">
        <v>14</v>
      </c>
      <c r="C16" s="1">
        <v>54</v>
      </c>
      <c r="D16" s="5" t="s">
        <v>70</v>
      </c>
      <c r="E16" s="3">
        <v>0.03</v>
      </c>
      <c r="F16" s="3">
        <v>0.28000000000000003</v>
      </c>
      <c r="G16" s="3">
        <f t="shared" si="0"/>
        <v>-0.25</v>
      </c>
      <c r="H16" s="6"/>
      <c r="I16" s="1">
        <v>51</v>
      </c>
      <c r="J16" s="5" t="s">
        <v>105</v>
      </c>
      <c r="K16" s="3">
        <v>0.11</v>
      </c>
      <c r="L16" s="3">
        <v>0.18</v>
      </c>
      <c r="M16" s="3">
        <f t="shared" si="2"/>
        <v>-6.9999999999999993E-2</v>
      </c>
    </row>
    <row r="17" spans="1:13" ht="18.75" x14ac:dyDescent="0.3">
      <c r="A17" s="2" t="s">
        <v>15</v>
      </c>
      <c r="B17" s="4" t="s">
        <v>16</v>
      </c>
      <c r="C17" s="1">
        <v>65</v>
      </c>
      <c r="D17" s="2" t="s">
        <v>50</v>
      </c>
      <c r="E17" s="3">
        <v>0.5</v>
      </c>
      <c r="F17" s="3">
        <v>0.6</v>
      </c>
      <c r="G17" s="3">
        <f t="shared" si="0"/>
        <v>-9.9999999999999978E-2</v>
      </c>
      <c r="H17" s="6"/>
      <c r="I17" s="1">
        <v>70</v>
      </c>
      <c r="J17" s="2" t="s">
        <v>50</v>
      </c>
      <c r="K17" s="3">
        <v>7.0000000000000007E-2</v>
      </c>
      <c r="L17" s="3">
        <v>0.17</v>
      </c>
      <c r="M17" s="3">
        <f t="shared" si="2"/>
        <v>-0.1</v>
      </c>
    </row>
    <row r="18" spans="1:13" ht="18.75" x14ac:dyDescent="0.3">
      <c r="A18" s="2" t="s">
        <v>17</v>
      </c>
      <c r="B18" s="4" t="s">
        <v>18</v>
      </c>
      <c r="C18" s="1">
        <v>45</v>
      </c>
      <c r="D18" s="2" t="s">
        <v>69</v>
      </c>
      <c r="E18" s="3">
        <v>0.01</v>
      </c>
      <c r="F18" s="3">
        <v>0.81</v>
      </c>
      <c r="G18" s="3">
        <f t="shared" si="0"/>
        <v>-0.8</v>
      </c>
      <c r="H18" s="6"/>
      <c r="I18" s="1">
        <v>45</v>
      </c>
      <c r="J18" s="2" t="s">
        <v>69</v>
      </c>
      <c r="K18" s="3">
        <v>0.09</v>
      </c>
      <c r="L18" s="3">
        <v>0.78</v>
      </c>
      <c r="M18" s="3">
        <f t="shared" si="2"/>
        <v>-0.69000000000000006</v>
      </c>
    </row>
    <row r="19" spans="1:13" ht="18.75" x14ac:dyDescent="0.3">
      <c r="A19" s="2" t="s">
        <v>19</v>
      </c>
      <c r="B19" s="4" t="s">
        <v>27</v>
      </c>
      <c r="C19" s="1">
        <v>50</v>
      </c>
      <c r="D19" s="5" t="s">
        <v>96</v>
      </c>
      <c r="E19" s="3">
        <v>0</v>
      </c>
      <c r="F19" s="3">
        <v>0.45</v>
      </c>
      <c r="G19" s="3">
        <f t="shared" si="0"/>
        <v>-0.45</v>
      </c>
      <c r="H19" s="6"/>
      <c r="I19" s="1">
        <v>50</v>
      </c>
      <c r="J19" s="5" t="s">
        <v>96</v>
      </c>
      <c r="K19" s="3">
        <v>0.05</v>
      </c>
      <c r="L19" s="3">
        <v>0.34</v>
      </c>
      <c r="M19" s="3">
        <f t="shared" si="2"/>
        <v>-0.29000000000000004</v>
      </c>
    </row>
    <row r="20" spans="1:13" ht="18.75" x14ac:dyDescent="0.3">
      <c r="A20" s="14" t="s">
        <v>93</v>
      </c>
      <c r="B20" s="4" t="s">
        <v>20</v>
      </c>
      <c r="C20" s="1">
        <v>65</v>
      </c>
      <c r="D20" s="5" t="s">
        <v>52</v>
      </c>
      <c r="E20" s="3">
        <v>0</v>
      </c>
      <c r="F20" s="3">
        <v>0</v>
      </c>
      <c r="G20" s="3">
        <f t="shared" si="0"/>
        <v>0</v>
      </c>
      <c r="H20" s="6"/>
      <c r="I20" s="1">
        <v>65</v>
      </c>
      <c r="J20" s="5" t="s">
        <v>52</v>
      </c>
      <c r="K20" s="3">
        <v>0</v>
      </c>
      <c r="L20" s="3">
        <v>0</v>
      </c>
      <c r="M20" s="3">
        <f t="shared" si="2"/>
        <v>0</v>
      </c>
    </row>
    <row r="21" spans="1:13" ht="18.75" x14ac:dyDescent="0.3">
      <c r="A21" s="14" t="s">
        <v>94</v>
      </c>
      <c r="B21" s="4" t="s">
        <v>83</v>
      </c>
      <c r="C21" s="1" t="s">
        <v>85</v>
      </c>
      <c r="D21" s="1" t="s">
        <v>85</v>
      </c>
      <c r="E21" s="1" t="s">
        <v>85</v>
      </c>
      <c r="F21" s="1" t="s">
        <v>85</v>
      </c>
      <c r="G21" s="1" t="s">
        <v>85</v>
      </c>
      <c r="H21" s="6"/>
      <c r="I21" s="1">
        <v>50</v>
      </c>
      <c r="J21" s="2" t="s">
        <v>50</v>
      </c>
      <c r="K21" s="3">
        <v>0</v>
      </c>
      <c r="L21" s="3">
        <v>0</v>
      </c>
      <c r="M21" s="3">
        <f>K21-L21</f>
        <v>0</v>
      </c>
    </row>
    <row r="22" spans="1:13" x14ac:dyDescent="0.2">
      <c r="C22" s="15"/>
      <c r="D22" s="16"/>
      <c r="E22" s="17"/>
      <c r="F22" s="17"/>
      <c r="G22" s="17"/>
      <c r="I22" s="15"/>
      <c r="J22" s="16"/>
      <c r="K22" s="17"/>
      <c r="L22" s="17"/>
      <c r="M22" s="17"/>
    </row>
    <row r="23" spans="1:13" s="22" customFormat="1" ht="18.75" x14ac:dyDescent="0.3">
      <c r="A23" s="12" t="s">
        <v>80</v>
      </c>
      <c r="B23" s="18"/>
      <c r="C23" s="19"/>
      <c r="D23" s="20"/>
      <c r="E23" s="21"/>
      <c r="F23" s="21"/>
      <c r="G23" s="21"/>
      <c r="H23" s="20"/>
      <c r="I23" s="19"/>
      <c r="J23" s="20"/>
      <c r="K23" s="21"/>
      <c r="L23" s="21"/>
      <c r="M23" s="21"/>
    </row>
    <row r="24" spans="1:13" ht="18.75" x14ac:dyDescent="0.3">
      <c r="A24" s="13" t="s">
        <v>91</v>
      </c>
      <c r="B24" s="4" t="s">
        <v>9</v>
      </c>
      <c r="C24" s="1">
        <v>55</v>
      </c>
      <c r="D24" s="5" t="s">
        <v>51</v>
      </c>
      <c r="E24" s="3">
        <v>0</v>
      </c>
      <c r="F24" s="3">
        <v>0</v>
      </c>
      <c r="G24" s="3">
        <f>E24-F24</f>
        <v>0</v>
      </c>
      <c r="H24" s="6" t="s">
        <v>10</v>
      </c>
      <c r="I24" s="1">
        <v>60</v>
      </c>
      <c r="J24" s="2" t="s">
        <v>69</v>
      </c>
      <c r="K24" s="3">
        <v>0</v>
      </c>
      <c r="L24" s="3">
        <v>0</v>
      </c>
      <c r="M24" s="3">
        <f>K24-L24</f>
        <v>0</v>
      </c>
    </row>
    <row r="25" spans="1:13" ht="18.75" x14ac:dyDescent="0.3">
      <c r="A25" s="2" t="s">
        <v>22</v>
      </c>
      <c r="B25" s="4" t="s">
        <v>12</v>
      </c>
      <c r="C25" s="1">
        <v>52</v>
      </c>
      <c r="D25" s="2" t="s">
        <v>50</v>
      </c>
      <c r="E25" s="3">
        <v>0</v>
      </c>
      <c r="F25" s="3">
        <v>0.15</v>
      </c>
      <c r="G25" s="3">
        <f>E25-F25</f>
        <v>-0.15</v>
      </c>
      <c r="H25" s="6"/>
      <c r="I25" s="1">
        <v>60</v>
      </c>
      <c r="J25" s="2" t="s">
        <v>50</v>
      </c>
      <c r="K25" s="3">
        <v>0.14000000000000001</v>
      </c>
      <c r="L25" s="3">
        <v>0.13</v>
      </c>
      <c r="M25" s="3">
        <f>K25-L25</f>
        <v>1.0000000000000009E-2</v>
      </c>
    </row>
    <row r="26" spans="1:13" ht="18.75" x14ac:dyDescent="0.3">
      <c r="A26" s="2" t="s">
        <v>23</v>
      </c>
      <c r="B26" s="4" t="s">
        <v>14</v>
      </c>
      <c r="C26" s="1">
        <v>36</v>
      </c>
      <c r="D26" s="5" t="s">
        <v>72</v>
      </c>
      <c r="E26" s="3">
        <v>0.31</v>
      </c>
      <c r="F26" s="3">
        <v>0.6</v>
      </c>
      <c r="G26" s="3">
        <f>E26-F26</f>
        <v>-0.28999999999999998</v>
      </c>
      <c r="H26" s="6"/>
      <c r="I26" s="1">
        <v>42</v>
      </c>
      <c r="J26" s="2" t="s">
        <v>100</v>
      </c>
      <c r="K26" s="3">
        <v>0.15</v>
      </c>
      <c r="L26" s="3">
        <v>0.25</v>
      </c>
      <c r="M26" s="3">
        <f>K26-L26</f>
        <v>-0.1</v>
      </c>
    </row>
    <row r="27" spans="1:13" ht="18.75" x14ac:dyDescent="0.3">
      <c r="A27" s="2" t="s">
        <v>24</v>
      </c>
      <c r="B27" s="4" t="s">
        <v>25</v>
      </c>
      <c r="C27" s="1">
        <v>35</v>
      </c>
      <c r="D27" s="5" t="s">
        <v>97</v>
      </c>
      <c r="E27" s="3">
        <v>0.08</v>
      </c>
      <c r="F27" s="3">
        <v>0.23</v>
      </c>
      <c r="G27" s="3">
        <f t="shared" ref="G27:G37" si="3">E27-F27</f>
        <v>-0.15000000000000002</v>
      </c>
      <c r="H27" s="6"/>
      <c r="I27" s="1">
        <v>45</v>
      </c>
      <c r="J27" s="2" t="s">
        <v>98</v>
      </c>
      <c r="K27" s="3">
        <v>0.15</v>
      </c>
      <c r="L27" s="3">
        <v>0.86</v>
      </c>
      <c r="M27" s="3">
        <f t="shared" ref="M27:M35" si="4">K27-L27</f>
        <v>-0.71</v>
      </c>
    </row>
    <row r="28" spans="1:13" ht="18.75" x14ac:dyDescent="0.3">
      <c r="A28" s="2" t="s">
        <v>26</v>
      </c>
      <c r="B28" s="4" t="s">
        <v>74</v>
      </c>
      <c r="C28" s="1">
        <v>50</v>
      </c>
      <c r="D28" s="5" t="s">
        <v>70</v>
      </c>
      <c r="E28" s="3">
        <v>0.08</v>
      </c>
      <c r="F28" s="3">
        <v>0.48</v>
      </c>
      <c r="G28" s="3">
        <f t="shared" si="3"/>
        <v>-0.39999999999999997</v>
      </c>
      <c r="H28" s="6"/>
      <c r="I28" s="1">
        <v>50</v>
      </c>
      <c r="J28" s="5" t="s">
        <v>70</v>
      </c>
      <c r="K28" s="3">
        <v>0.09</v>
      </c>
      <c r="L28" s="3">
        <v>0.47</v>
      </c>
      <c r="M28" s="3">
        <f t="shared" si="4"/>
        <v>-0.38</v>
      </c>
    </row>
    <row r="29" spans="1:13" ht="18.75" x14ac:dyDescent="0.3">
      <c r="A29" s="2" t="s">
        <v>28</v>
      </c>
      <c r="B29" s="4" t="s">
        <v>20</v>
      </c>
      <c r="C29" s="1">
        <v>70</v>
      </c>
      <c r="D29" s="5" t="s">
        <v>98</v>
      </c>
      <c r="E29" s="3">
        <v>0</v>
      </c>
      <c r="F29" s="3">
        <v>0.4</v>
      </c>
      <c r="G29" s="3">
        <f t="shared" si="3"/>
        <v>-0.4</v>
      </c>
      <c r="H29" s="6"/>
      <c r="I29" s="1">
        <v>70</v>
      </c>
      <c r="J29" s="2" t="s">
        <v>99</v>
      </c>
      <c r="K29" s="3">
        <v>0</v>
      </c>
      <c r="L29" s="3">
        <v>0</v>
      </c>
      <c r="M29" s="3">
        <f t="shared" si="4"/>
        <v>0</v>
      </c>
    </row>
    <row r="30" spans="1:13" ht="18.75" x14ac:dyDescent="0.3">
      <c r="A30" s="2" t="s">
        <v>29</v>
      </c>
      <c r="B30" s="4" t="s">
        <v>21</v>
      </c>
      <c r="C30" s="1">
        <v>36</v>
      </c>
      <c r="D30" s="5" t="s">
        <v>98</v>
      </c>
      <c r="E30" s="3">
        <v>0.02</v>
      </c>
      <c r="F30" s="3">
        <v>0.22</v>
      </c>
      <c r="G30" s="3">
        <f t="shared" si="3"/>
        <v>-0.2</v>
      </c>
      <c r="H30" s="6"/>
      <c r="I30" s="1">
        <v>49</v>
      </c>
      <c r="J30" s="1" t="s">
        <v>101</v>
      </c>
      <c r="K30" s="3">
        <v>0.03</v>
      </c>
      <c r="L30" s="3">
        <v>0.3</v>
      </c>
      <c r="M30" s="3">
        <f t="shared" si="4"/>
        <v>-0.27</v>
      </c>
    </row>
    <row r="31" spans="1:13" ht="18.75" x14ac:dyDescent="0.3">
      <c r="A31" s="2" t="s">
        <v>30</v>
      </c>
      <c r="B31" s="4" t="s">
        <v>75</v>
      </c>
      <c r="C31" s="1">
        <v>39</v>
      </c>
      <c r="D31" s="5" t="s">
        <v>99</v>
      </c>
      <c r="E31" s="3">
        <v>0.02</v>
      </c>
      <c r="F31" s="3">
        <v>7.0000000000000007E-2</v>
      </c>
      <c r="G31" s="3">
        <f t="shared" si="3"/>
        <v>-0.05</v>
      </c>
      <c r="H31" s="6"/>
      <c r="I31" s="1">
        <v>38</v>
      </c>
      <c r="J31" s="2" t="s">
        <v>100</v>
      </c>
      <c r="K31" s="3">
        <v>0.13</v>
      </c>
      <c r="L31" s="3">
        <v>0.22</v>
      </c>
      <c r="M31" s="3">
        <f t="shared" si="4"/>
        <v>-0.09</v>
      </c>
    </row>
    <row r="32" spans="1:13" ht="18.75" x14ac:dyDescent="0.3">
      <c r="A32" s="2" t="s">
        <v>31</v>
      </c>
      <c r="B32" s="4" t="s">
        <v>32</v>
      </c>
      <c r="C32" s="1">
        <v>30</v>
      </c>
      <c r="D32" s="5" t="s">
        <v>96</v>
      </c>
      <c r="E32" s="3">
        <v>0.2</v>
      </c>
      <c r="F32" s="3">
        <v>0.7</v>
      </c>
      <c r="G32" s="3">
        <f t="shared" si="3"/>
        <v>-0.49999999999999994</v>
      </c>
      <c r="H32" s="6"/>
      <c r="I32" s="1">
        <v>50</v>
      </c>
      <c r="J32" s="2" t="s">
        <v>52</v>
      </c>
      <c r="K32" s="3">
        <v>0.28999999999999998</v>
      </c>
      <c r="L32" s="3">
        <v>0.68</v>
      </c>
      <c r="M32" s="3">
        <f t="shared" si="4"/>
        <v>-0.39000000000000007</v>
      </c>
    </row>
    <row r="33" spans="1:13" ht="18.75" x14ac:dyDescent="0.3">
      <c r="A33" s="2" t="s">
        <v>33</v>
      </c>
      <c r="B33" s="4" t="s">
        <v>34</v>
      </c>
      <c r="C33" s="1">
        <v>40</v>
      </c>
      <c r="D33" s="5" t="s">
        <v>70</v>
      </c>
      <c r="E33" s="3">
        <v>0.02</v>
      </c>
      <c r="F33" s="3">
        <v>0.42</v>
      </c>
      <c r="G33" s="3">
        <f t="shared" si="3"/>
        <v>-0.39999999999999997</v>
      </c>
      <c r="H33" s="6"/>
      <c r="I33" s="1">
        <v>22</v>
      </c>
      <c r="J33" s="5" t="s">
        <v>70</v>
      </c>
      <c r="K33" s="3">
        <v>0.16</v>
      </c>
      <c r="L33" s="3">
        <v>0.54</v>
      </c>
      <c r="M33" s="3">
        <f t="shared" si="4"/>
        <v>-0.38</v>
      </c>
    </row>
    <row r="34" spans="1:13" ht="18.75" x14ac:dyDescent="0.3">
      <c r="A34" s="13" t="s">
        <v>90</v>
      </c>
      <c r="B34" s="4" t="s">
        <v>82</v>
      </c>
      <c r="C34" s="1">
        <v>7</v>
      </c>
      <c r="D34" s="5" t="s">
        <v>70</v>
      </c>
      <c r="E34" s="3">
        <v>0</v>
      </c>
      <c r="F34" s="3">
        <v>0</v>
      </c>
      <c r="G34" s="3">
        <f>E34-F34</f>
        <v>0</v>
      </c>
      <c r="H34" s="6"/>
      <c r="I34" s="1">
        <v>7</v>
      </c>
      <c r="J34" s="2" t="s">
        <v>70</v>
      </c>
      <c r="K34" s="3">
        <v>0</v>
      </c>
      <c r="L34" s="3">
        <v>0</v>
      </c>
      <c r="M34" s="3">
        <f>K34-L34</f>
        <v>0</v>
      </c>
    </row>
    <row r="35" spans="1:13" ht="18.75" x14ac:dyDescent="0.3">
      <c r="A35" s="2" t="s">
        <v>35</v>
      </c>
      <c r="B35" s="4" t="s">
        <v>76</v>
      </c>
      <c r="C35" s="1">
        <v>28</v>
      </c>
      <c r="D35" s="5" t="s">
        <v>70</v>
      </c>
      <c r="E35" s="3">
        <v>7.0000000000000007E-2</v>
      </c>
      <c r="F35" s="3">
        <v>0.63</v>
      </c>
      <c r="G35" s="3">
        <f t="shared" si="3"/>
        <v>-0.56000000000000005</v>
      </c>
      <c r="H35" s="6"/>
      <c r="I35" s="1">
        <v>32</v>
      </c>
      <c r="J35" s="5" t="s">
        <v>70</v>
      </c>
      <c r="K35" s="3">
        <v>0.06</v>
      </c>
      <c r="L35" s="3">
        <v>0.62</v>
      </c>
      <c r="M35" s="3">
        <f t="shared" si="4"/>
        <v>-0.56000000000000005</v>
      </c>
    </row>
    <row r="36" spans="1:13" ht="18.75" x14ac:dyDescent="0.3">
      <c r="A36" s="13" t="s">
        <v>87</v>
      </c>
      <c r="B36" s="4" t="s">
        <v>86</v>
      </c>
      <c r="C36" s="1">
        <v>50</v>
      </c>
      <c r="D36" s="5" t="s">
        <v>50</v>
      </c>
      <c r="E36" s="3">
        <v>0</v>
      </c>
      <c r="F36" s="3">
        <v>0</v>
      </c>
      <c r="G36" s="3">
        <f t="shared" si="3"/>
        <v>0</v>
      </c>
      <c r="H36" s="6"/>
      <c r="I36" s="1">
        <v>50</v>
      </c>
      <c r="J36" s="5" t="s">
        <v>50</v>
      </c>
      <c r="K36" s="3">
        <v>0</v>
      </c>
      <c r="L36" s="3">
        <v>0</v>
      </c>
      <c r="M36" s="3">
        <f>K36-L36</f>
        <v>0</v>
      </c>
    </row>
    <row r="37" spans="1:13" ht="18.75" x14ac:dyDescent="0.3">
      <c r="A37" s="2" t="s">
        <v>36</v>
      </c>
      <c r="B37" s="4" t="s">
        <v>77</v>
      </c>
      <c r="C37" s="1">
        <v>30</v>
      </c>
      <c r="D37" s="5" t="s">
        <v>96</v>
      </c>
      <c r="E37" s="3">
        <v>0.13</v>
      </c>
      <c r="F37" s="3">
        <v>0.23</v>
      </c>
      <c r="G37" s="3">
        <f t="shared" si="3"/>
        <v>-0.1</v>
      </c>
      <c r="H37" s="6"/>
      <c r="I37" s="1">
        <v>38</v>
      </c>
      <c r="J37" s="2" t="s">
        <v>70</v>
      </c>
      <c r="K37" s="3">
        <v>0.06</v>
      </c>
      <c r="L37" s="3">
        <v>0.33</v>
      </c>
      <c r="M37" s="3">
        <f t="shared" ref="M37" si="5">K37-L37</f>
        <v>-0.27</v>
      </c>
    </row>
    <row r="38" spans="1:13" ht="18.75" x14ac:dyDescent="0.3">
      <c r="A38" s="4"/>
      <c r="B38" s="4"/>
      <c r="C38" s="1"/>
      <c r="D38" s="23"/>
      <c r="E38" s="24"/>
      <c r="F38" s="24"/>
      <c r="G38" s="24"/>
      <c r="H38" s="6"/>
      <c r="I38" s="1"/>
      <c r="J38" s="23"/>
      <c r="K38" s="24"/>
      <c r="L38" s="24"/>
      <c r="M38" s="24"/>
    </row>
    <row r="39" spans="1:13" x14ac:dyDescent="0.2">
      <c r="C39" s="15"/>
      <c r="D39" s="16"/>
      <c r="E39" s="17"/>
      <c r="F39" s="17"/>
      <c r="G39" s="17"/>
      <c r="I39" s="15"/>
      <c r="J39" s="16"/>
      <c r="K39" s="17"/>
      <c r="L39" s="17"/>
      <c r="M39" s="17"/>
    </row>
    <row r="40" spans="1:13" s="22" customFormat="1" ht="18.75" x14ac:dyDescent="0.3">
      <c r="A40" s="12" t="s">
        <v>81</v>
      </c>
      <c r="B40" s="18"/>
      <c r="C40" s="19"/>
      <c r="D40" s="20"/>
      <c r="E40" s="21"/>
      <c r="F40" s="21"/>
      <c r="G40" s="21"/>
      <c r="H40" s="25"/>
      <c r="I40" s="19"/>
      <c r="J40" s="20"/>
      <c r="K40" s="21"/>
      <c r="L40" s="21"/>
      <c r="M40" s="21"/>
    </row>
    <row r="41" spans="1:13" ht="18.75" x14ac:dyDescent="0.3">
      <c r="A41" s="2" t="s">
        <v>37</v>
      </c>
      <c r="B41" s="4" t="s">
        <v>12</v>
      </c>
      <c r="C41" s="1">
        <v>36</v>
      </c>
      <c r="D41" s="5" t="s">
        <v>71</v>
      </c>
      <c r="E41" s="3">
        <v>0.14000000000000001</v>
      </c>
      <c r="F41" s="3">
        <v>0</v>
      </c>
      <c r="G41" s="3">
        <f t="shared" ref="G41:G49" si="6">E41-F41</f>
        <v>0.14000000000000001</v>
      </c>
      <c r="H41" s="6"/>
      <c r="I41" s="1">
        <v>43</v>
      </c>
      <c r="J41" s="5" t="s">
        <v>102</v>
      </c>
      <c r="K41" s="3">
        <v>0.13</v>
      </c>
      <c r="L41" s="3">
        <v>0.02</v>
      </c>
      <c r="M41" s="3">
        <f>K41-L41</f>
        <v>0.11</v>
      </c>
    </row>
    <row r="42" spans="1:13" ht="18.75" x14ac:dyDescent="0.3">
      <c r="A42" s="2" t="s">
        <v>38</v>
      </c>
      <c r="B42" s="4" t="s">
        <v>0</v>
      </c>
      <c r="C42" s="1">
        <v>25</v>
      </c>
      <c r="D42" s="5" t="s">
        <v>53</v>
      </c>
      <c r="E42" s="3">
        <v>0.01</v>
      </c>
      <c r="F42" s="3">
        <v>0</v>
      </c>
      <c r="G42" s="3">
        <f t="shared" si="6"/>
        <v>0.01</v>
      </c>
      <c r="H42" s="6"/>
      <c r="I42" s="1">
        <v>15</v>
      </c>
      <c r="J42" s="5" t="s">
        <v>53</v>
      </c>
      <c r="K42" s="3">
        <v>0</v>
      </c>
      <c r="L42" s="3">
        <v>0</v>
      </c>
      <c r="M42" s="3">
        <f t="shared" ref="M42:M49" si="7">K42-L42</f>
        <v>0</v>
      </c>
    </row>
    <row r="43" spans="1:13" ht="18.75" x14ac:dyDescent="0.3">
      <c r="A43" s="26" t="s">
        <v>67</v>
      </c>
      <c r="B43" s="4" t="s">
        <v>78</v>
      </c>
      <c r="C43" s="1">
        <v>15</v>
      </c>
      <c r="D43" s="5" t="s">
        <v>53</v>
      </c>
      <c r="E43" s="3">
        <v>0.01</v>
      </c>
      <c r="F43" s="3">
        <v>0</v>
      </c>
      <c r="G43" s="3">
        <f t="shared" si="6"/>
        <v>0.01</v>
      </c>
      <c r="H43" s="6"/>
      <c r="I43" s="1">
        <v>15</v>
      </c>
      <c r="J43" s="5" t="s">
        <v>53</v>
      </c>
      <c r="K43" s="3">
        <v>0</v>
      </c>
      <c r="L43" s="3">
        <v>0</v>
      </c>
      <c r="M43" s="3">
        <f t="shared" si="7"/>
        <v>0</v>
      </c>
    </row>
    <row r="44" spans="1:13" ht="18.75" x14ac:dyDescent="0.3">
      <c r="A44" s="2" t="s">
        <v>1</v>
      </c>
      <c r="B44" s="4" t="s">
        <v>2</v>
      </c>
      <c r="C44" s="1">
        <v>20</v>
      </c>
      <c r="D44" s="5" t="s">
        <v>53</v>
      </c>
      <c r="E44" s="3">
        <v>0.03</v>
      </c>
      <c r="F44" s="3">
        <v>0</v>
      </c>
      <c r="G44" s="3">
        <f t="shared" si="6"/>
        <v>0.03</v>
      </c>
      <c r="H44" s="6"/>
      <c r="I44" s="1">
        <v>22</v>
      </c>
      <c r="J44" s="5" t="s">
        <v>53</v>
      </c>
      <c r="K44" s="3">
        <v>0</v>
      </c>
      <c r="L44" s="3">
        <v>0</v>
      </c>
      <c r="M44" s="3">
        <f t="shared" si="7"/>
        <v>0</v>
      </c>
    </row>
    <row r="45" spans="1:13" ht="18.75" x14ac:dyDescent="0.3">
      <c r="A45" s="2" t="s">
        <v>3</v>
      </c>
      <c r="B45" s="4" t="s">
        <v>4</v>
      </c>
      <c r="C45" s="1">
        <v>25</v>
      </c>
      <c r="D45" s="5" t="s">
        <v>53</v>
      </c>
      <c r="E45" s="3">
        <v>0</v>
      </c>
      <c r="F45" s="3">
        <v>0</v>
      </c>
      <c r="G45" s="3">
        <f t="shared" si="6"/>
        <v>0</v>
      </c>
      <c r="H45" s="6"/>
      <c r="I45" s="1">
        <v>35</v>
      </c>
      <c r="J45" s="5" t="s">
        <v>53</v>
      </c>
      <c r="K45" s="3">
        <v>0</v>
      </c>
      <c r="L45" s="3">
        <v>0.05</v>
      </c>
      <c r="M45" s="3">
        <f t="shared" si="7"/>
        <v>-0.05</v>
      </c>
    </row>
    <row r="46" spans="1:13" ht="18.75" x14ac:dyDescent="0.3">
      <c r="A46" s="26" t="s">
        <v>65</v>
      </c>
      <c r="B46" s="4" t="s">
        <v>66</v>
      </c>
      <c r="C46" s="1">
        <v>15</v>
      </c>
      <c r="D46" s="5" t="s">
        <v>53</v>
      </c>
      <c r="E46" s="3">
        <v>0.05</v>
      </c>
      <c r="F46" s="3">
        <v>0</v>
      </c>
      <c r="G46" s="3">
        <f t="shared" si="6"/>
        <v>0.05</v>
      </c>
      <c r="H46" s="6"/>
      <c r="I46" s="1">
        <v>15</v>
      </c>
      <c r="J46" s="5" t="s">
        <v>53</v>
      </c>
      <c r="K46" s="3">
        <v>0</v>
      </c>
      <c r="L46" s="3">
        <v>0</v>
      </c>
      <c r="M46" s="3">
        <f t="shared" si="7"/>
        <v>0</v>
      </c>
    </row>
    <row r="47" spans="1:13" ht="18.75" x14ac:dyDescent="0.3">
      <c r="A47" s="2" t="s">
        <v>5</v>
      </c>
      <c r="B47" s="4" t="s">
        <v>6</v>
      </c>
      <c r="C47" s="1">
        <v>15</v>
      </c>
      <c r="D47" s="5" t="s">
        <v>53</v>
      </c>
      <c r="E47" s="3">
        <v>0</v>
      </c>
      <c r="F47" s="3">
        <v>0.01</v>
      </c>
      <c r="G47" s="3">
        <f t="shared" si="6"/>
        <v>-0.01</v>
      </c>
      <c r="H47" s="6"/>
      <c r="I47" s="1">
        <v>20</v>
      </c>
      <c r="J47" s="5" t="s">
        <v>53</v>
      </c>
      <c r="K47" s="3">
        <v>0</v>
      </c>
      <c r="L47" s="3">
        <v>0</v>
      </c>
      <c r="M47" s="3">
        <f t="shared" si="7"/>
        <v>0</v>
      </c>
    </row>
    <row r="48" spans="1:13" ht="18.75" x14ac:dyDescent="0.3">
      <c r="A48" s="13" t="s">
        <v>89</v>
      </c>
      <c r="B48" s="4" t="s">
        <v>73</v>
      </c>
      <c r="C48" s="1">
        <v>7</v>
      </c>
      <c r="D48" s="5" t="s">
        <v>53</v>
      </c>
      <c r="E48" s="3">
        <v>0</v>
      </c>
      <c r="F48" s="3">
        <v>0</v>
      </c>
      <c r="G48" s="3">
        <f>E48-F48</f>
        <v>0</v>
      </c>
      <c r="H48" s="6"/>
      <c r="I48" s="1">
        <v>7</v>
      </c>
      <c r="J48" s="5" t="s">
        <v>53</v>
      </c>
      <c r="K48" s="3">
        <v>0</v>
      </c>
      <c r="L48" s="3">
        <v>0</v>
      </c>
      <c r="M48" s="3">
        <f>K48-L48</f>
        <v>0</v>
      </c>
    </row>
    <row r="49" spans="1:13" ht="18.75" x14ac:dyDescent="0.3">
      <c r="A49" s="2" t="s">
        <v>7</v>
      </c>
      <c r="B49" s="4" t="s">
        <v>8</v>
      </c>
      <c r="C49" s="1">
        <v>28</v>
      </c>
      <c r="D49" s="5" t="s">
        <v>53</v>
      </c>
      <c r="E49" s="3">
        <v>0</v>
      </c>
      <c r="F49" s="3">
        <v>0</v>
      </c>
      <c r="G49" s="3">
        <f t="shared" si="6"/>
        <v>0</v>
      </c>
      <c r="H49" s="6"/>
      <c r="I49" s="1">
        <v>20</v>
      </c>
      <c r="J49" s="5" t="s">
        <v>53</v>
      </c>
      <c r="K49" s="3">
        <v>0</v>
      </c>
      <c r="L49" s="3">
        <v>0</v>
      </c>
      <c r="M49" s="3">
        <f t="shared" si="7"/>
        <v>0</v>
      </c>
    </row>
    <row r="50" spans="1:13" ht="18.75" x14ac:dyDescent="0.3">
      <c r="A50" s="4"/>
      <c r="B50" s="4"/>
      <c r="C50" s="4"/>
      <c r="D50" s="4"/>
      <c r="E50" s="4"/>
      <c r="F50" s="4"/>
      <c r="G50" s="4"/>
      <c r="H50" s="27"/>
      <c r="I50" s="28"/>
      <c r="J50" s="4"/>
      <c r="K50" s="29"/>
      <c r="L50" s="29"/>
      <c r="M50" s="30"/>
    </row>
    <row r="51" spans="1:13" ht="15.75" x14ac:dyDescent="0.25">
      <c r="A51" s="31" t="s">
        <v>103</v>
      </c>
      <c r="L51" s="30"/>
      <c r="M51" s="30"/>
    </row>
    <row r="52" spans="1:13" x14ac:dyDescent="0.2">
      <c r="B52" s="34" t="s">
        <v>104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</row>
    <row r="53" spans="1:13" x14ac:dyDescent="0.2"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</row>
    <row r="54" spans="1:13" x14ac:dyDescent="0.2">
      <c r="H54" s="32"/>
      <c r="I54" s="33"/>
      <c r="K54" s="30"/>
      <c r="L54" s="30"/>
      <c r="M54" s="30"/>
    </row>
    <row r="55" spans="1:13" x14ac:dyDescent="0.2">
      <c r="H55" s="32"/>
      <c r="I55" s="32"/>
      <c r="K55" s="30"/>
      <c r="L55" s="30"/>
      <c r="M55" s="30"/>
    </row>
    <row r="56" spans="1:13" x14ac:dyDescent="0.2">
      <c r="H56" s="32"/>
      <c r="I56" s="32"/>
      <c r="K56" s="30"/>
      <c r="L56" s="30"/>
      <c r="M56" s="30"/>
    </row>
    <row r="57" spans="1:13" x14ac:dyDescent="0.2">
      <c r="H57" s="32"/>
      <c r="I57" s="32"/>
      <c r="K57" s="30"/>
      <c r="L57" s="30"/>
      <c r="M57" s="30"/>
    </row>
    <row r="58" spans="1:13" x14ac:dyDescent="0.2">
      <c r="H58" s="32"/>
      <c r="I58" s="32"/>
      <c r="K58" s="30"/>
      <c r="L58" s="30"/>
      <c r="M58" s="30"/>
    </row>
    <row r="59" spans="1:13" x14ac:dyDescent="0.2">
      <c r="H59" s="32"/>
      <c r="I59" s="32"/>
      <c r="K59" s="30"/>
      <c r="L59" s="30"/>
      <c r="M59" s="30"/>
    </row>
    <row r="60" spans="1:13" x14ac:dyDescent="0.2">
      <c r="H60" s="32"/>
      <c r="I60" s="32"/>
      <c r="K60" s="30"/>
      <c r="L60" s="30"/>
      <c r="M60" s="30"/>
    </row>
    <row r="61" spans="1:13" x14ac:dyDescent="0.2">
      <c r="H61" s="32"/>
      <c r="I61" s="32"/>
      <c r="K61" s="30"/>
      <c r="L61" s="30"/>
      <c r="M61" s="30"/>
    </row>
    <row r="62" spans="1:13" x14ac:dyDescent="0.2">
      <c r="H62" s="32"/>
      <c r="I62" s="32"/>
      <c r="K62" s="30"/>
      <c r="L62" s="30"/>
      <c r="M62" s="30"/>
    </row>
    <row r="63" spans="1:13" x14ac:dyDescent="0.2">
      <c r="H63" s="32"/>
      <c r="I63" s="32"/>
      <c r="K63" s="30"/>
      <c r="L63" s="30"/>
      <c r="M63" s="30"/>
    </row>
    <row r="64" spans="1:13" x14ac:dyDescent="0.2">
      <c r="H64" s="32"/>
      <c r="I64" s="32"/>
      <c r="K64" s="30"/>
      <c r="L64" s="30"/>
      <c r="M64" s="30"/>
    </row>
    <row r="65" spans="11:13" x14ac:dyDescent="0.2">
      <c r="K65" s="30"/>
      <c r="L65" s="30"/>
      <c r="M65" s="30"/>
    </row>
    <row r="66" spans="11:13" x14ac:dyDescent="0.2">
      <c r="K66" s="30"/>
      <c r="L66" s="30"/>
      <c r="M66" s="30"/>
    </row>
    <row r="67" spans="11:13" x14ac:dyDescent="0.2">
      <c r="K67" s="30"/>
      <c r="L67" s="30"/>
      <c r="M67" s="30"/>
    </row>
    <row r="68" spans="11:13" x14ac:dyDescent="0.2">
      <c r="K68" s="30"/>
      <c r="L68" s="30"/>
      <c r="M68" s="30"/>
    </row>
    <row r="69" spans="11:13" x14ac:dyDescent="0.2">
      <c r="K69" s="30"/>
      <c r="L69" s="30"/>
      <c r="M69" s="30"/>
    </row>
    <row r="70" spans="11:13" x14ac:dyDescent="0.2">
      <c r="K70" s="30"/>
      <c r="L70" s="30"/>
      <c r="M70" s="30"/>
    </row>
    <row r="71" spans="11:13" x14ac:dyDescent="0.2">
      <c r="K71" s="30"/>
      <c r="L71" s="30"/>
      <c r="M71" s="30"/>
    </row>
    <row r="72" spans="11:13" x14ac:dyDescent="0.2">
      <c r="K72" s="30"/>
      <c r="L72" s="30"/>
      <c r="M72" s="30"/>
    </row>
    <row r="73" spans="11:13" x14ac:dyDescent="0.2">
      <c r="K73" s="30"/>
      <c r="L73" s="30"/>
      <c r="M73" s="30"/>
    </row>
    <row r="74" spans="11:13" x14ac:dyDescent="0.2">
      <c r="K74" s="30"/>
      <c r="L74" s="30"/>
      <c r="M74" s="30"/>
    </row>
    <row r="75" spans="11:13" x14ac:dyDescent="0.2">
      <c r="K75" s="30"/>
      <c r="L75" s="30"/>
      <c r="M75" s="30"/>
    </row>
    <row r="76" spans="11:13" x14ac:dyDescent="0.2">
      <c r="K76" s="30"/>
      <c r="L76" s="30"/>
      <c r="M76" s="30"/>
    </row>
    <row r="77" spans="11:13" x14ac:dyDescent="0.2">
      <c r="K77" s="30"/>
      <c r="L77" s="30"/>
      <c r="M77" s="30"/>
    </row>
    <row r="78" spans="11:13" x14ac:dyDescent="0.2">
      <c r="K78" s="30"/>
      <c r="L78" s="30"/>
      <c r="M78" s="30"/>
    </row>
    <row r="79" spans="11:13" x14ac:dyDescent="0.2">
      <c r="K79" s="30"/>
      <c r="L79" s="30"/>
      <c r="M79" s="30"/>
    </row>
    <row r="80" spans="11:13" x14ac:dyDescent="0.2">
      <c r="K80" s="30"/>
      <c r="L80" s="30"/>
      <c r="M80" s="30"/>
    </row>
    <row r="81" spans="11:13" x14ac:dyDescent="0.2">
      <c r="K81" s="30"/>
      <c r="L81" s="30"/>
      <c r="M81" s="30"/>
    </row>
    <row r="82" spans="11:13" x14ac:dyDescent="0.2">
      <c r="K82" s="30"/>
      <c r="L82" s="30"/>
      <c r="M82" s="30"/>
    </row>
    <row r="83" spans="11:13" x14ac:dyDescent="0.2">
      <c r="K83" s="30"/>
      <c r="L83" s="30"/>
      <c r="M83" s="30"/>
    </row>
    <row r="84" spans="11:13" x14ac:dyDescent="0.2">
      <c r="K84" s="30"/>
      <c r="L84" s="30"/>
      <c r="M84" s="30"/>
    </row>
    <row r="85" spans="11:13" x14ac:dyDescent="0.2">
      <c r="K85" s="30"/>
      <c r="L85" s="30"/>
      <c r="M85" s="30"/>
    </row>
    <row r="86" spans="11:13" x14ac:dyDescent="0.2">
      <c r="K86" s="30"/>
      <c r="L86" s="30"/>
      <c r="M86" s="30"/>
    </row>
    <row r="87" spans="11:13" x14ac:dyDescent="0.2">
      <c r="K87" s="30"/>
      <c r="L87" s="30"/>
      <c r="M87" s="30"/>
    </row>
    <row r="88" spans="11:13" x14ac:dyDescent="0.2">
      <c r="K88" s="30"/>
      <c r="L88" s="30"/>
      <c r="M88" s="30"/>
    </row>
    <row r="89" spans="11:13" x14ac:dyDescent="0.2">
      <c r="K89" s="30"/>
      <c r="L89" s="30"/>
      <c r="M89" s="30"/>
    </row>
    <row r="90" spans="11:13" x14ac:dyDescent="0.2">
      <c r="K90" s="30"/>
      <c r="L90" s="30"/>
      <c r="M90" s="30"/>
    </row>
    <row r="91" spans="11:13" x14ac:dyDescent="0.2">
      <c r="K91" s="30"/>
      <c r="L91" s="30"/>
      <c r="M91" s="30"/>
    </row>
    <row r="92" spans="11:13" x14ac:dyDescent="0.2">
      <c r="K92" s="30"/>
      <c r="L92" s="30"/>
      <c r="M92" s="30"/>
    </row>
    <row r="93" spans="11:13" x14ac:dyDescent="0.2">
      <c r="K93" s="30"/>
      <c r="L93" s="30"/>
      <c r="M93" s="30"/>
    </row>
    <row r="94" spans="11:13" x14ac:dyDescent="0.2">
      <c r="K94" s="30"/>
      <c r="L94" s="30"/>
      <c r="M94" s="30"/>
    </row>
    <row r="95" spans="11:13" x14ac:dyDescent="0.2">
      <c r="K95" s="30"/>
      <c r="L95" s="30"/>
      <c r="M95" s="30"/>
    </row>
    <row r="96" spans="11:13" x14ac:dyDescent="0.2">
      <c r="K96" s="30"/>
      <c r="L96" s="30"/>
      <c r="M96" s="30"/>
    </row>
    <row r="97" spans="11:13" x14ac:dyDescent="0.2">
      <c r="K97" s="30"/>
      <c r="L97" s="30"/>
      <c r="M97" s="30"/>
    </row>
    <row r="98" spans="11:13" x14ac:dyDescent="0.2">
      <c r="K98" s="30"/>
      <c r="L98" s="30"/>
      <c r="M98" s="30"/>
    </row>
    <row r="99" spans="11:13" x14ac:dyDescent="0.2">
      <c r="K99" s="30"/>
      <c r="L99" s="30"/>
      <c r="M99" s="30"/>
    </row>
    <row r="100" spans="11:13" x14ac:dyDescent="0.2">
      <c r="K100" s="30"/>
      <c r="L100" s="30"/>
      <c r="M100" s="30"/>
    </row>
    <row r="101" spans="11:13" x14ac:dyDescent="0.2">
      <c r="K101" s="30"/>
      <c r="L101" s="30"/>
      <c r="M101" s="30"/>
    </row>
    <row r="102" spans="11:13" x14ac:dyDescent="0.2">
      <c r="K102" s="30"/>
      <c r="L102" s="30"/>
      <c r="M102" s="30"/>
    </row>
    <row r="103" spans="11:13" x14ac:dyDescent="0.2">
      <c r="K103" s="30"/>
      <c r="L103" s="30"/>
      <c r="M103" s="30"/>
    </row>
    <row r="104" spans="11:13" x14ac:dyDescent="0.2">
      <c r="K104" s="30"/>
      <c r="L104" s="30"/>
      <c r="M104" s="30"/>
    </row>
    <row r="105" spans="11:13" x14ac:dyDescent="0.2">
      <c r="K105" s="30"/>
      <c r="L105" s="30"/>
      <c r="M105" s="30"/>
    </row>
    <row r="106" spans="11:13" x14ac:dyDescent="0.2">
      <c r="K106" s="30"/>
      <c r="L106" s="30"/>
      <c r="M106" s="30"/>
    </row>
    <row r="107" spans="11:13" x14ac:dyDescent="0.2">
      <c r="K107" s="30"/>
      <c r="L107" s="30"/>
      <c r="M107" s="30"/>
    </row>
    <row r="108" spans="11:13" x14ac:dyDescent="0.2">
      <c r="K108" s="30"/>
      <c r="L108" s="30"/>
      <c r="M108" s="30"/>
    </row>
    <row r="109" spans="11:13" x14ac:dyDescent="0.2">
      <c r="K109" s="30"/>
      <c r="L109" s="30"/>
      <c r="M109" s="30"/>
    </row>
    <row r="110" spans="11:13" x14ac:dyDescent="0.2">
      <c r="K110" s="30"/>
      <c r="L110" s="30"/>
      <c r="M110" s="30"/>
    </row>
    <row r="111" spans="11:13" x14ac:dyDescent="0.2">
      <c r="K111" s="30"/>
      <c r="L111" s="30"/>
      <c r="M111" s="30"/>
    </row>
    <row r="112" spans="11:13" x14ac:dyDescent="0.2">
      <c r="K112" s="30"/>
      <c r="L112" s="30"/>
      <c r="M112" s="30"/>
    </row>
    <row r="113" spans="11:13" x14ac:dyDescent="0.2">
      <c r="K113" s="30"/>
      <c r="L113" s="30"/>
      <c r="M113" s="30"/>
    </row>
    <row r="114" spans="11:13" x14ac:dyDescent="0.2">
      <c r="K114" s="30"/>
      <c r="L114" s="30"/>
      <c r="M114" s="30"/>
    </row>
    <row r="115" spans="11:13" x14ac:dyDescent="0.2">
      <c r="K115" s="30"/>
      <c r="L115" s="30"/>
      <c r="M115" s="30"/>
    </row>
    <row r="116" spans="11:13" x14ac:dyDescent="0.2">
      <c r="K116" s="30"/>
      <c r="L116" s="30"/>
      <c r="M116" s="30"/>
    </row>
    <row r="117" spans="11:13" x14ac:dyDescent="0.2">
      <c r="K117" s="30"/>
      <c r="L117" s="30"/>
      <c r="M117" s="30"/>
    </row>
    <row r="118" spans="11:13" x14ac:dyDescent="0.2">
      <c r="K118" s="30"/>
      <c r="L118" s="30"/>
      <c r="M118" s="30"/>
    </row>
    <row r="119" spans="11:13" x14ac:dyDescent="0.2">
      <c r="K119" s="30"/>
      <c r="L119" s="30"/>
      <c r="M119" s="30"/>
    </row>
    <row r="120" spans="11:13" x14ac:dyDescent="0.2">
      <c r="K120" s="30"/>
      <c r="L120" s="30"/>
      <c r="M120" s="30"/>
    </row>
    <row r="121" spans="11:13" x14ac:dyDescent="0.2">
      <c r="K121" s="30"/>
      <c r="L121" s="30"/>
      <c r="M121" s="30"/>
    </row>
    <row r="122" spans="11:13" x14ac:dyDescent="0.2">
      <c r="K122" s="30"/>
      <c r="L122" s="30"/>
      <c r="M122" s="30"/>
    </row>
    <row r="123" spans="11:13" x14ac:dyDescent="0.2">
      <c r="K123" s="30"/>
      <c r="L123" s="30"/>
      <c r="M123" s="30"/>
    </row>
    <row r="124" spans="11:13" x14ac:dyDescent="0.2">
      <c r="K124" s="30"/>
      <c r="L124" s="30"/>
      <c r="M124" s="30"/>
    </row>
    <row r="125" spans="11:13" x14ac:dyDescent="0.2">
      <c r="K125" s="30"/>
      <c r="L125" s="30"/>
      <c r="M125" s="30"/>
    </row>
    <row r="126" spans="11:13" x14ac:dyDescent="0.2">
      <c r="K126" s="30"/>
      <c r="L126" s="30"/>
      <c r="M126" s="30"/>
    </row>
    <row r="127" spans="11:13" x14ac:dyDescent="0.2">
      <c r="K127" s="30"/>
      <c r="L127" s="30"/>
      <c r="M127" s="30"/>
    </row>
    <row r="128" spans="11:13" x14ac:dyDescent="0.2">
      <c r="K128" s="30"/>
      <c r="L128" s="30"/>
      <c r="M128" s="30"/>
    </row>
    <row r="129" spans="11:13" x14ac:dyDescent="0.2">
      <c r="K129" s="30"/>
      <c r="L129" s="30"/>
      <c r="M129" s="30"/>
    </row>
    <row r="130" spans="11:13" x14ac:dyDescent="0.2">
      <c r="K130" s="30"/>
      <c r="L130" s="30"/>
      <c r="M130" s="30"/>
    </row>
    <row r="131" spans="11:13" x14ac:dyDescent="0.2">
      <c r="K131" s="30"/>
      <c r="L131" s="30"/>
      <c r="M131" s="30"/>
    </row>
    <row r="132" spans="11:13" x14ac:dyDescent="0.2">
      <c r="K132" s="30"/>
      <c r="L132" s="30"/>
      <c r="M132" s="30"/>
    </row>
    <row r="133" spans="11:13" x14ac:dyDescent="0.2">
      <c r="K133" s="30"/>
      <c r="L133" s="30"/>
      <c r="M133" s="30"/>
    </row>
    <row r="134" spans="11:13" x14ac:dyDescent="0.2">
      <c r="K134" s="30"/>
      <c r="L134" s="30"/>
      <c r="M134" s="30"/>
    </row>
    <row r="135" spans="11:13" x14ac:dyDescent="0.2">
      <c r="K135" s="30"/>
      <c r="L135" s="30"/>
      <c r="M135" s="30"/>
    </row>
    <row r="136" spans="11:13" x14ac:dyDescent="0.2">
      <c r="K136" s="30"/>
      <c r="L136" s="30"/>
      <c r="M136" s="30"/>
    </row>
    <row r="137" spans="11:13" x14ac:dyDescent="0.2">
      <c r="K137" s="30"/>
      <c r="L137" s="30"/>
      <c r="M137" s="30"/>
    </row>
    <row r="138" spans="11:13" x14ac:dyDescent="0.2">
      <c r="K138" s="30"/>
      <c r="L138" s="30"/>
      <c r="M138" s="30"/>
    </row>
    <row r="139" spans="11:13" x14ac:dyDescent="0.2">
      <c r="K139" s="30"/>
      <c r="L139" s="30"/>
      <c r="M139" s="30"/>
    </row>
    <row r="140" spans="11:13" x14ac:dyDescent="0.2">
      <c r="K140" s="30"/>
      <c r="L140" s="30"/>
      <c r="M140" s="30"/>
    </row>
    <row r="141" spans="11:13" x14ac:dyDescent="0.2">
      <c r="K141" s="30"/>
      <c r="L141" s="30"/>
      <c r="M141" s="30"/>
    </row>
    <row r="142" spans="11:13" x14ac:dyDescent="0.2">
      <c r="K142" s="30"/>
      <c r="L142" s="30"/>
      <c r="M142" s="30"/>
    </row>
    <row r="143" spans="11:13" x14ac:dyDescent="0.2">
      <c r="K143" s="30"/>
      <c r="L143" s="30"/>
      <c r="M143" s="30"/>
    </row>
    <row r="144" spans="11:13" x14ac:dyDescent="0.2">
      <c r="K144" s="30"/>
      <c r="L144" s="30"/>
      <c r="M144" s="30"/>
    </row>
    <row r="145" spans="11:13" x14ac:dyDescent="0.2">
      <c r="K145" s="30"/>
      <c r="L145" s="30"/>
      <c r="M145" s="30"/>
    </row>
    <row r="146" spans="11:13" x14ac:dyDescent="0.2">
      <c r="K146" s="30"/>
      <c r="L146" s="30"/>
      <c r="M146" s="30"/>
    </row>
    <row r="147" spans="11:13" x14ac:dyDescent="0.2">
      <c r="K147" s="30"/>
      <c r="L147" s="30"/>
      <c r="M147" s="30"/>
    </row>
    <row r="148" spans="11:13" x14ac:dyDescent="0.2">
      <c r="K148" s="30"/>
      <c r="L148" s="30"/>
      <c r="M148" s="30"/>
    </row>
    <row r="149" spans="11:13" x14ac:dyDescent="0.2">
      <c r="K149" s="30"/>
      <c r="L149" s="30"/>
      <c r="M149" s="30"/>
    </row>
    <row r="150" spans="11:13" x14ac:dyDescent="0.2">
      <c r="K150" s="30"/>
      <c r="L150" s="30"/>
      <c r="M150" s="30"/>
    </row>
    <row r="151" spans="11:13" x14ac:dyDescent="0.2">
      <c r="K151" s="30"/>
      <c r="L151" s="30"/>
      <c r="M151" s="30"/>
    </row>
    <row r="152" spans="11:13" x14ac:dyDescent="0.2">
      <c r="K152" s="30"/>
      <c r="L152" s="30"/>
      <c r="M152" s="30"/>
    </row>
    <row r="153" spans="11:13" x14ac:dyDescent="0.2">
      <c r="K153" s="30"/>
      <c r="L153" s="30"/>
      <c r="M153" s="30"/>
    </row>
    <row r="154" spans="11:13" x14ac:dyDescent="0.2">
      <c r="K154" s="30"/>
      <c r="L154" s="30"/>
      <c r="M154" s="30"/>
    </row>
    <row r="155" spans="11:13" x14ac:dyDescent="0.2">
      <c r="K155" s="30"/>
      <c r="L155" s="30"/>
      <c r="M155" s="30"/>
    </row>
    <row r="156" spans="11:13" x14ac:dyDescent="0.2">
      <c r="K156" s="30"/>
      <c r="L156" s="30"/>
      <c r="M156" s="30"/>
    </row>
    <row r="157" spans="11:13" x14ac:dyDescent="0.2">
      <c r="K157" s="30"/>
      <c r="L157" s="30"/>
      <c r="M157" s="30"/>
    </row>
    <row r="158" spans="11:13" x14ac:dyDescent="0.2">
      <c r="K158" s="30"/>
      <c r="L158" s="30"/>
      <c r="M158" s="30"/>
    </row>
    <row r="159" spans="11:13" x14ac:dyDescent="0.2">
      <c r="K159" s="30"/>
      <c r="L159" s="30"/>
      <c r="M159" s="30"/>
    </row>
    <row r="160" spans="11:13" x14ac:dyDescent="0.2">
      <c r="K160" s="30"/>
      <c r="L160" s="30"/>
      <c r="M160" s="30"/>
    </row>
    <row r="161" spans="11:13" x14ac:dyDescent="0.2">
      <c r="K161" s="30"/>
      <c r="L161" s="30"/>
      <c r="M161" s="30"/>
    </row>
    <row r="162" spans="11:13" x14ac:dyDescent="0.2">
      <c r="K162" s="30"/>
      <c r="L162" s="30"/>
      <c r="M162" s="30"/>
    </row>
    <row r="163" spans="11:13" x14ac:dyDescent="0.2">
      <c r="K163" s="30"/>
      <c r="L163" s="30"/>
      <c r="M163" s="30"/>
    </row>
    <row r="164" spans="11:13" x14ac:dyDescent="0.2">
      <c r="K164" s="30"/>
      <c r="L164" s="30"/>
      <c r="M164" s="30"/>
    </row>
    <row r="165" spans="11:13" x14ac:dyDescent="0.2">
      <c r="K165" s="30"/>
      <c r="L165" s="30"/>
      <c r="M165" s="30"/>
    </row>
    <row r="166" spans="11:13" x14ac:dyDescent="0.2">
      <c r="K166" s="30"/>
      <c r="L166" s="30"/>
      <c r="M166" s="30"/>
    </row>
    <row r="167" spans="11:13" x14ac:dyDescent="0.2">
      <c r="K167" s="30"/>
      <c r="L167" s="30"/>
      <c r="M167" s="30"/>
    </row>
    <row r="168" spans="11:13" x14ac:dyDescent="0.2">
      <c r="K168" s="30"/>
      <c r="L168" s="30"/>
      <c r="M168" s="30"/>
    </row>
    <row r="169" spans="11:13" x14ac:dyDescent="0.2">
      <c r="K169" s="30"/>
      <c r="L169" s="30"/>
      <c r="M169" s="30"/>
    </row>
    <row r="170" spans="11:13" x14ac:dyDescent="0.2">
      <c r="K170" s="30"/>
      <c r="L170" s="30"/>
      <c r="M170" s="30"/>
    </row>
    <row r="171" spans="11:13" x14ac:dyDescent="0.2">
      <c r="K171" s="30"/>
      <c r="L171" s="30"/>
      <c r="M171" s="30"/>
    </row>
    <row r="172" spans="11:13" x14ac:dyDescent="0.2">
      <c r="K172" s="30"/>
      <c r="L172" s="30"/>
      <c r="M172" s="30"/>
    </row>
    <row r="173" spans="11:13" x14ac:dyDescent="0.2">
      <c r="K173" s="30"/>
      <c r="L173" s="30"/>
      <c r="M173" s="30"/>
    </row>
    <row r="174" spans="11:13" x14ac:dyDescent="0.2">
      <c r="K174" s="30"/>
      <c r="L174" s="30"/>
      <c r="M174" s="30"/>
    </row>
    <row r="175" spans="11:13" x14ac:dyDescent="0.2">
      <c r="K175" s="30"/>
      <c r="L175" s="30"/>
      <c r="M175" s="30"/>
    </row>
    <row r="176" spans="11:13" x14ac:dyDescent="0.2">
      <c r="K176" s="30"/>
      <c r="L176" s="30"/>
      <c r="M176" s="30"/>
    </row>
    <row r="177" spans="11:13" x14ac:dyDescent="0.2">
      <c r="K177" s="30"/>
      <c r="L177" s="30"/>
      <c r="M177" s="30"/>
    </row>
    <row r="178" spans="11:13" x14ac:dyDescent="0.2">
      <c r="K178" s="30"/>
      <c r="L178" s="30"/>
      <c r="M178" s="30"/>
    </row>
    <row r="179" spans="11:13" x14ac:dyDescent="0.2">
      <c r="K179" s="30"/>
      <c r="L179" s="30"/>
      <c r="M179" s="30"/>
    </row>
    <row r="180" spans="11:13" x14ac:dyDescent="0.2">
      <c r="K180" s="30"/>
      <c r="L180" s="30"/>
      <c r="M180" s="30"/>
    </row>
    <row r="181" spans="11:13" x14ac:dyDescent="0.2">
      <c r="K181" s="30"/>
      <c r="L181" s="30"/>
      <c r="M181" s="30"/>
    </row>
    <row r="182" spans="11:13" x14ac:dyDescent="0.2">
      <c r="K182" s="30"/>
      <c r="L182" s="30"/>
      <c r="M182" s="30"/>
    </row>
    <row r="183" spans="11:13" x14ac:dyDescent="0.2">
      <c r="K183" s="30"/>
      <c r="L183" s="30"/>
      <c r="M183" s="30"/>
    </row>
    <row r="184" spans="11:13" x14ac:dyDescent="0.2">
      <c r="K184" s="30"/>
      <c r="L184" s="30"/>
      <c r="M184" s="30"/>
    </row>
    <row r="185" spans="11:13" x14ac:dyDescent="0.2">
      <c r="K185" s="30"/>
      <c r="L185" s="30"/>
      <c r="M185" s="30"/>
    </row>
    <row r="186" spans="11:13" x14ac:dyDescent="0.2">
      <c r="K186" s="30"/>
      <c r="L186" s="30"/>
      <c r="M186" s="30"/>
    </row>
    <row r="187" spans="11:13" x14ac:dyDescent="0.2">
      <c r="K187" s="30"/>
      <c r="L187" s="30"/>
      <c r="M187" s="30"/>
    </row>
    <row r="188" spans="11:13" x14ac:dyDescent="0.2">
      <c r="K188" s="30"/>
      <c r="L188" s="30"/>
      <c r="M188" s="30"/>
    </row>
    <row r="189" spans="11:13" x14ac:dyDescent="0.2">
      <c r="K189" s="30"/>
      <c r="L189" s="30"/>
      <c r="M189" s="30"/>
    </row>
    <row r="190" spans="11:13" x14ac:dyDescent="0.2">
      <c r="K190" s="30"/>
      <c r="L190" s="30"/>
      <c r="M190" s="30"/>
    </row>
    <row r="191" spans="11:13" x14ac:dyDescent="0.2">
      <c r="K191" s="30"/>
      <c r="L191" s="30"/>
      <c r="M191" s="30"/>
    </row>
    <row r="192" spans="11:13" x14ac:dyDescent="0.2">
      <c r="K192" s="30"/>
      <c r="L192" s="30"/>
      <c r="M192" s="30"/>
    </row>
    <row r="193" spans="11:13" x14ac:dyDescent="0.2">
      <c r="K193" s="30"/>
      <c r="L193" s="30"/>
      <c r="M193" s="30"/>
    </row>
    <row r="194" spans="11:13" x14ac:dyDescent="0.2">
      <c r="K194" s="30"/>
      <c r="L194" s="30"/>
      <c r="M194" s="30"/>
    </row>
    <row r="195" spans="11:13" x14ac:dyDescent="0.2">
      <c r="K195" s="30"/>
      <c r="L195" s="30"/>
      <c r="M195" s="30"/>
    </row>
    <row r="196" spans="11:13" x14ac:dyDescent="0.2">
      <c r="K196" s="30"/>
      <c r="L196" s="30"/>
      <c r="M196" s="30"/>
    </row>
    <row r="197" spans="11:13" x14ac:dyDescent="0.2">
      <c r="K197" s="30"/>
      <c r="L197" s="30"/>
      <c r="M197" s="30"/>
    </row>
    <row r="198" spans="11:13" x14ac:dyDescent="0.2">
      <c r="K198" s="30"/>
      <c r="L198" s="30"/>
      <c r="M198" s="30"/>
    </row>
    <row r="199" spans="11:13" x14ac:dyDescent="0.2">
      <c r="K199" s="30"/>
      <c r="L199" s="30"/>
      <c r="M199" s="30"/>
    </row>
    <row r="200" spans="11:13" x14ac:dyDescent="0.2">
      <c r="K200" s="30"/>
      <c r="L200" s="30"/>
      <c r="M200" s="30"/>
    </row>
    <row r="201" spans="11:13" x14ac:dyDescent="0.2">
      <c r="K201" s="30"/>
      <c r="L201" s="30"/>
      <c r="M201" s="30"/>
    </row>
    <row r="202" spans="11:13" x14ac:dyDescent="0.2">
      <c r="K202" s="30"/>
      <c r="L202" s="30"/>
      <c r="M202" s="30"/>
    </row>
    <row r="203" spans="11:13" x14ac:dyDescent="0.2">
      <c r="K203" s="30"/>
      <c r="L203" s="30"/>
      <c r="M203" s="30"/>
    </row>
    <row r="204" spans="11:13" x14ac:dyDescent="0.2">
      <c r="K204" s="30"/>
      <c r="L204" s="30"/>
      <c r="M204" s="30"/>
    </row>
    <row r="205" spans="11:13" x14ac:dyDescent="0.2">
      <c r="K205" s="30"/>
      <c r="L205" s="30"/>
      <c r="M205" s="30"/>
    </row>
    <row r="206" spans="11:13" x14ac:dyDescent="0.2">
      <c r="K206" s="30"/>
      <c r="L206" s="30"/>
      <c r="M206" s="30"/>
    </row>
    <row r="207" spans="11:13" x14ac:dyDescent="0.2">
      <c r="K207" s="30"/>
      <c r="L207" s="30"/>
      <c r="M207" s="30"/>
    </row>
    <row r="208" spans="11:13" x14ac:dyDescent="0.2">
      <c r="K208" s="30"/>
      <c r="L208" s="30"/>
      <c r="M208" s="30"/>
    </row>
    <row r="209" spans="11:13" x14ac:dyDescent="0.2">
      <c r="K209" s="30"/>
      <c r="L209" s="30"/>
      <c r="M209" s="30"/>
    </row>
    <row r="210" spans="11:13" x14ac:dyDescent="0.2">
      <c r="K210" s="30"/>
      <c r="L210" s="30"/>
      <c r="M210" s="30"/>
    </row>
    <row r="211" spans="11:13" x14ac:dyDescent="0.2">
      <c r="K211" s="30"/>
      <c r="L211" s="30"/>
      <c r="M211" s="30"/>
    </row>
    <row r="212" spans="11:13" x14ac:dyDescent="0.2">
      <c r="K212" s="30"/>
      <c r="L212" s="30"/>
      <c r="M212" s="30"/>
    </row>
    <row r="213" spans="11:13" x14ac:dyDescent="0.2">
      <c r="K213" s="30"/>
      <c r="L213" s="30"/>
      <c r="M213" s="30"/>
    </row>
    <row r="214" spans="11:13" x14ac:dyDescent="0.2">
      <c r="K214" s="30"/>
      <c r="L214" s="30"/>
      <c r="M214" s="30"/>
    </row>
    <row r="215" spans="11:13" x14ac:dyDescent="0.2">
      <c r="K215" s="30"/>
      <c r="L215" s="30"/>
      <c r="M215" s="30"/>
    </row>
    <row r="216" spans="11:13" x14ac:dyDescent="0.2">
      <c r="K216" s="30"/>
      <c r="L216" s="30"/>
      <c r="M216" s="30"/>
    </row>
    <row r="217" spans="11:13" x14ac:dyDescent="0.2">
      <c r="K217" s="30"/>
      <c r="L217" s="30"/>
      <c r="M217" s="30"/>
    </row>
    <row r="218" spans="11:13" x14ac:dyDescent="0.2">
      <c r="K218" s="30"/>
      <c r="L218" s="30"/>
      <c r="M218" s="30"/>
    </row>
    <row r="219" spans="11:13" x14ac:dyDescent="0.2">
      <c r="K219" s="30"/>
      <c r="L219" s="30"/>
      <c r="M219" s="30"/>
    </row>
    <row r="220" spans="11:13" x14ac:dyDescent="0.2">
      <c r="K220" s="30"/>
      <c r="L220" s="30"/>
      <c r="M220" s="30"/>
    </row>
    <row r="221" spans="11:13" x14ac:dyDescent="0.2">
      <c r="K221" s="30"/>
      <c r="L221" s="30"/>
      <c r="M221" s="30"/>
    </row>
    <row r="222" spans="11:13" x14ac:dyDescent="0.2">
      <c r="K222" s="30"/>
      <c r="L222" s="30"/>
      <c r="M222" s="30"/>
    </row>
    <row r="223" spans="11:13" x14ac:dyDescent="0.2">
      <c r="K223" s="30"/>
      <c r="L223" s="30"/>
      <c r="M223" s="30"/>
    </row>
    <row r="224" spans="11:13" x14ac:dyDescent="0.2">
      <c r="K224" s="30"/>
      <c r="L224" s="30"/>
      <c r="M224" s="30"/>
    </row>
    <row r="225" spans="11:13" x14ac:dyDescent="0.2">
      <c r="K225" s="30"/>
      <c r="L225" s="30"/>
      <c r="M225" s="30"/>
    </row>
    <row r="226" spans="11:13" x14ac:dyDescent="0.2">
      <c r="K226" s="30"/>
      <c r="L226" s="30"/>
      <c r="M226" s="30"/>
    </row>
    <row r="227" spans="11:13" x14ac:dyDescent="0.2">
      <c r="K227" s="30"/>
      <c r="L227" s="30"/>
      <c r="M227" s="30"/>
    </row>
    <row r="228" spans="11:13" x14ac:dyDescent="0.2">
      <c r="K228" s="30"/>
      <c r="L228" s="30"/>
      <c r="M228" s="30"/>
    </row>
    <row r="229" spans="11:13" x14ac:dyDescent="0.2">
      <c r="K229" s="30"/>
      <c r="L229" s="30"/>
      <c r="M229" s="30"/>
    </row>
    <row r="230" spans="11:13" x14ac:dyDescent="0.2">
      <c r="K230" s="30"/>
      <c r="L230" s="30"/>
      <c r="M230" s="30"/>
    </row>
    <row r="231" spans="11:13" x14ac:dyDescent="0.2">
      <c r="K231" s="30"/>
      <c r="L231" s="30"/>
      <c r="M231" s="30"/>
    </row>
    <row r="232" spans="11:13" x14ac:dyDescent="0.2">
      <c r="K232" s="30"/>
      <c r="L232" s="30"/>
      <c r="M232" s="30"/>
    </row>
    <row r="233" spans="11:13" x14ac:dyDescent="0.2">
      <c r="K233" s="30"/>
      <c r="L233" s="30"/>
      <c r="M233" s="30"/>
    </row>
    <row r="234" spans="11:13" x14ac:dyDescent="0.2">
      <c r="K234" s="30"/>
      <c r="L234" s="30"/>
      <c r="M234" s="30"/>
    </row>
    <row r="235" spans="11:13" x14ac:dyDescent="0.2">
      <c r="K235" s="30"/>
      <c r="L235" s="30"/>
      <c r="M235" s="30"/>
    </row>
    <row r="236" spans="11:13" x14ac:dyDescent="0.2">
      <c r="K236" s="30"/>
      <c r="L236" s="30"/>
      <c r="M236" s="30"/>
    </row>
    <row r="237" spans="11:13" x14ac:dyDescent="0.2">
      <c r="K237" s="30"/>
      <c r="L237" s="30"/>
      <c r="M237" s="30"/>
    </row>
    <row r="238" spans="11:13" x14ac:dyDescent="0.2">
      <c r="K238" s="30"/>
      <c r="L238" s="30"/>
      <c r="M238" s="30"/>
    </row>
    <row r="239" spans="11:13" x14ac:dyDescent="0.2">
      <c r="K239" s="30"/>
      <c r="L239" s="30"/>
      <c r="M239" s="30"/>
    </row>
    <row r="240" spans="11:13" x14ac:dyDescent="0.2">
      <c r="K240" s="30"/>
      <c r="L240" s="30"/>
      <c r="M240" s="30"/>
    </row>
    <row r="241" spans="11:13" x14ac:dyDescent="0.2">
      <c r="K241" s="30"/>
      <c r="L241" s="30"/>
      <c r="M241" s="30"/>
    </row>
    <row r="242" spans="11:13" x14ac:dyDescent="0.2">
      <c r="K242" s="30"/>
      <c r="L242" s="30"/>
      <c r="M242" s="30"/>
    </row>
    <row r="243" spans="11:13" x14ac:dyDescent="0.2">
      <c r="K243" s="30"/>
      <c r="L243" s="30"/>
      <c r="M243" s="30"/>
    </row>
    <row r="244" spans="11:13" x14ac:dyDescent="0.2">
      <c r="K244" s="30"/>
      <c r="L244" s="30"/>
      <c r="M244" s="30"/>
    </row>
    <row r="245" spans="11:13" x14ac:dyDescent="0.2">
      <c r="K245" s="30"/>
      <c r="L245" s="30"/>
      <c r="M245" s="30"/>
    </row>
    <row r="246" spans="11:13" x14ac:dyDescent="0.2">
      <c r="K246" s="30"/>
      <c r="L246" s="30"/>
      <c r="M246" s="30"/>
    </row>
    <row r="247" spans="11:13" x14ac:dyDescent="0.2">
      <c r="K247" s="30"/>
      <c r="L247" s="30"/>
      <c r="M247" s="30"/>
    </row>
    <row r="248" spans="11:13" x14ac:dyDescent="0.2">
      <c r="K248" s="30"/>
      <c r="L248" s="30"/>
      <c r="M248" s="30"/>
    </row>
    <row r="249" spans="11:13" x14ac:dyDescent="0.2">
      <c r="K249" s="30"/>
      <c r="L249" s="30"/>
      <c r="M249" s="30"/>
    </row>
    <row r="250" spans="11:13" x14ac:dyDescent="0.2">
      <c r="K250" s="30"/>
      <c r="L250" s="30"/>
      <c r="M250" s="30"/>
    </row>
    <row r="251" spans="11:13" x14ac:dyDescent="0.2">
      <c r="K251" s="30"/>
      <c r="L251" s="30"/>
      <c r="M251" s="30"/>
    </row>
    <row r="252" spans="11:13" x14ac:dyDescent="0.2">
      <c r="K252" s="30"/>
      <c r="L252" s="30"/>
      <c r="M252" s="30"/>
    </row>
    <row r="253" spans="11:13" x14ac:dyDescent="0.2">
      <c r="K253" s="30"/>
      <c r="L253" s="30"/>
      <c r="M253" s="30"/>
    </row>
    <row r="254" spans="11:13" x14ac:dyDescent="0.2">
      <c r="K254" s="30"/>
      <c r="L254" s="30"/>
      <c r="M254" s="30"/>
    </row>
    <row r="255" spans="11:13" x14ac:dyDescent="0.2">
      <c r="K255" s="30"/>
      <c r="L255" s="30"/>
      <c r="M255" s="30"/>
    </row>
    <row r="256" spans="11:13" x14ac:dyDescent="0.2">
      <c r="K256" s="30"/>
      <c r="L256" s="30"/>
      <c r="M256" s="30"/>
    </row>
    <row r="257" spans="11:13" x14ac:dyDescent="0.2">
      <c r="K257" s="30"/>
      <c r="L257" s="30"/>
      <c r="M257" s="30"/>
    </row>
    <row r="258" spans="11:13" x14ac:dyDescent="0.2">
      <c r="K258" s="30"/>
      <c r="L258" s="30"/>
      <c r="M258" s="30"/>
    </row>
    <row r="259" spans="11:13" x14ac:dyDescent="0.2">
      <c r="K259" s="30"/>
      <c r="L259" s="30"/>
      <c r="M259" s="30"/>
    </row>
    <row r="260" spans="11:13" x14ac:dyDescent="0.2">
      <c r="K260" s="30"/>
      <c r="L260" s="30"/>
      <c r="M260" s="30"/>
    </row>
    <row r="261" spans="11:13" x14ac:dyDescent="0.2">
      <c r="K261" s="30"/>
      <c r="L261" s="30"/>
      <c r="M261" s="30"/>
    </row>
    <row r="262" spans="11:13" x14ac:dyDescent="0.2">
      <c r="K262" s="30"/>
      <c r="L262" s="30"/>
      <c r="M262" s="30"/>
    </row>
    <row r="263" spans="11:13" x14ac:dyDescent="0.2">
      <c r="K263" s="30"/>
      <c r="L263" s="30"/>
      <c r="M263" s="30"/>
    </row>
    <row r="264" spans="11:13" x14ac:dyDescent="0.2">
      <c r="K264" s="30"/>
      <c r="L264" s="30"/>
      <c r="M264" s="30"/>
    </row>
    <row r="265" spans="11:13" x14ac:dyDescent="0.2">
      <c r="K265" s="30"/>
      <c r="L265" s="30"/>
      <c r="M265" s="30"/>
    </row>
    <row r="266" spans="11:13" x14ac:dyDescent="0.2">
      <c r="K266" s="30"/>
      <c r="L266" s="30"/>
      <c r="M266" s="30"/>
    </row>
    <row r="267" spans="11:13" x14ac:dyDescent="0.2">
      <c r="K267" s="30"/>
      <c r="L267" s="30"/>
      <c r="M267" s="30"/>
    </row>
    <row r="268" spans="11:13" x14ac:dyDescent="0.2">
      <c r="K268" s="30"/>
      <c r="L268" s="30"/>
      <c r="M268" s="30"/>
    </row>
    <row r="269" spans="11:13" x14ac:dyDescent="0.2">
      <c r="K269" s="30"/>
      <c r="L269" s="30"/>
      <c r="M269" s="30"/>
    </row>
    <row r="270" spans="11:13" x14ac:dyDescent="0.2">
      <c r="K270" s="30"/>
      <c r="L270" s="30"/>
      <c r="M270" s="30"/>
    </row>
    <row r="271" spans="11:13" x14ac:dyDescent="0.2">
      <c r="K271" s="30"/>
      <c r="L271" s="30"/>
      <c r="M271" s="30"/>
    </row>
    <row r="272" spans="11:13" x14ac:dyDescent="0.2">
      <c r="K272" s="30"/>
      <c r="L272" s="30"/>
      <c r="M272" s="30"/>
    </row>
    <row r="273" spans="11:13" x14ac:dyDescent="0.2">
      <c r="K273" s="30"/>
      <c r="L273" s="30"/>
      <c r="M273" s="30"/>
    </row>
    <row r="274" spans="11:13" x14ac:dyDescent="0.2">
      <c r="K274" s="30"/>
      <c r="L274" s="30"/>
      <c r="M274" s="30"/>
    </row>
    <row r="275" spans="11:13" x14ac:dyDescent="0.2">
      <c r="K275" s="30"/>
      <c r="L275" s="30"/>
      <c r="M275" s="30"/>
    </row>
    <row r="276" spans="11:13" x14ac:dyDescent="0.2">
      <c r="K276" s="30"/>
      <c r="L276" s="30"/>
      <c r="M276" s="30"/>
    </row>
    <row r="277" spans="11:13" x14ac:dyDescent="0.2">
      <c r="K277" s="30"/>
      <c r="L277" s="30"/>
      <c r="M277" s="30"/>
    </row>
    <row r="278" spans="11:13" x14ac:dyDescent="0.2">
      <c r="K278" s="30"/>
      <c r="L278" s="30"/>
      <c r="M278" s="30"/>
    </row>
    <row r="279" spans="11:13" x14ac:dyDescent="0.2">
      <c r="K279" s="30"/>
      <c r="L279" s="30"/>
      <c r="M279" s="30"/>
    </row>
    <row r="280" spans="11:13" x14ac:dyDescent="0.2">
      <c r="K280" s="30"/>
      <c r="L280" s="30"/>
      <c r="M280" s="30"/>
    </row>
    <row r="281" spans="11:13" x14ac:dyDescent="0.2">
      <c r="K281" s="30"/>
      <c r="L281" s="30"/>
      <c r="M281" s="30"/>
    </row>
    <row r="282" spans="11:13" x14ac:dyDescent="0.2">
      <c r="K282" s="30"/>
      <c r="L282" s="30"/>
      <c r="M282" s="30"/>
    </row>
    <row r="283" spans="11:13" x14ac:dyDescent="0.2">
      <c r="K283" s="30"/>
      <c r="L283" s="30"/>
      <c r="M283" s="30"/>
    </row>
    <row r="284" spans="11:13" x14ac:dyDescent="0.2">
      <c r="K284" s="30"/>
      <c r="L284" s="30"/>
      <c r="M284" s="30"/>
    </row>
    <row r="285" spans="11:13" x14ac:dyDescent="0.2">
      <c r="K285" s="30"/>
      <c r="L285" s="30"/>
      <c r="M285" s="30"/>
    </row>
    <row r="286" spans="11:13" x14ac:dyDescent="0.2">
      <c r="K286" s="30"/>
      <c r="L286" s="30"/>
      <c r="M286" s="30"/>
    </row>
    <row r="287" spans="11:13" x14ac:dyDescent="0.2">
      <c r="K287" s="30"/>
      <c r="L287" s="30"/>
      <c r="M287" s="30"/>
    </row>
    <row r="288" spans="11:13" x14ac:dyDescent="0.2">
      <c r="K288" s="30"/>
      <c r="L288" s="30"/>
      <c r="M288" s="30"/>
    </row>
    <row r="289" spans="11:13" x14ac:dyDescent="0.2">
      <c r="K289" s="30"/>
      <c r="L289" s="30"/>
      <c r="M289" s="30"/>
    </row>
    <row r="290" spans="11:13" x14ac:dyDescent="0.2">
      <c r="K290" s="30"/>
      <c r="L290" s="30"/>
      <c r="M290" s="30"/>
    </row>
    <row r="291" spans="11:13" x14ac:dyDescent="0.2">
      <c r="K291" s="30"/>
      <c r="L291" s="30"/>
      <c r="M291" s="30"/>
    </row>
    <row r="292" spans="11:13" x14ac:dyDescent="0.2">
      <c r="K292" s="30"/>
      <c r="L292" s="30"/>
      <c r="M292" s="30"/>
    </row>
    <row r="293" spans="11:13" x14ac:dyDescent="0.2">
      <c r="K293" s="30"/>
      <c r="L293" s="30"/>
      <c r="M293" s="30"/>
    </row>
    <row r="294" spans="11:13" x14ac:dyDescent="0.2">
      <c r="K294" s="30"/>
      <c r="L294" s="30"/>
      <c r="M294" s="30"/>
    </row>
    <row r="295" spans="11:13" x14ac:dyDescent="0.2">
      <c r="K295" s="30"/>
      <c r="L295" s="30"/>
      <c r="M295" s="30"/>
    </row>
    <row r="296" spans="11:13" x14ac:dyDescent="0.2">
      <c r="K296" s="30"/>
      <c r="L296" s="30"/>
      <c r="M296" s="30"/>
    </row>
    <row r="297" spans="11:13" x14ac:dyDescent="0.2">
      <c r="K297" s="30"/>
      <c r="L297" s="30"/>
      <c r="M297" s="30"/>
    </row>
    <row r="298" spans="11:13" x14ac:dyDescent="0.2">
      <c r="K298" s="30"/>
      <c r="L298" s="30"/>
      <c r="M298" s="30"/>
    </row>
    <row r="299" spans="11:13" x14ac:dyDescent="0.2">
      <c r="K299" s="30"/>
      <c r="L299" s="30"/>
      <c r="M299" s="30"/>
    </row>
    <row r="300" spans="11:13" x14ac:dyDescent="0.2">
      <c r="K300" s="30"/>
      <c r="L300" s="30"/>
      <c r="M300" s="30"/>
    </row>
    <row r="301" spans="11:13" x14ac:dyDescent="0.2">
      <c r="K301" s="30"/>
      <c r="L301" s="30"/>
      <c r="M301" s="30"/>
    </row>
    <row r="302" spans="11:13" x14ac:dyDescent="0.2">
      <c r="K302" s="30"/>
      <c r="L302" s="30"/>
      <c r="M302" s="30"/>
    </row>
    <row r="303" spans="11:13" x14ac:dyDescent="0.2">
      <c r="K303" s="30"/>
      <c r="L303" s="30"/>
      <c r="M303" s="30"/>
    </row>
    <row r="304" spans="11:13" x14ac:dyDescent="0.2">
      <c r="K304" s="30"/>
      <c r="L304" s="30"/>
      <c r="M304" s="30"/>
    </row>
    <row r="305" spans="11:13" x14ac:dyDescent="0.2">
      <c r="K305" s="30"/>
      <c r="L305" s="30"/>
      <c r="M305" s="30"/>
    </row>
    <row r="306" spans="11:13" x14ac:dyDescent="0.2">
      <c r="K306" s="30"/>
      <c r="L306" s="30"/>
      <c r="M306" s="30"/>
    </row>
    <row r="307" spans="11:13" x14ac:dyDescent="0.2">
      <c r="K307" s="30"/>
      <c r="L307" s="30"/>
      <c r="M307" s="30"/>
    </row>
    <row r="308" spans="11:13" x14ac:dyDescent="0.2">
      <c r="K308" s="30"/>
      <c r="L308" s="30"/>
      <c r="M308" s="30"/>
    </row>
    <row r="309" spans="11:13" x14ac:dyDescent="0.2">
      <c r="K309" s="30"/>
      <c r="L309" s="30"/>
      <c r="M309" s="30"/>
    </row>
    <row r="310" spans="11:13" x14ac:dyDescent="0.2">
      <c r="K310" s="30"/>
      <c r="L310" s="30"/>
      <c r="M310" s="30"/>
    </row>
    <row r="311" spans="11:13" x14ac:dyDescent="0.2">
      <c r="K311" s="30"/>
      <c r="L311" s="30"/>
      <c r="M311" s="30"/>
    </row>
    <row r="312" spans="11:13" x14ac:dyDescent="0.2">
      <c r="K312" s="30"/>
      <c r="L312" s="30"/>
      <c r="M312" s="30"/>
    </row>
    <row r="313" spans="11:13" x14ac:dyDescent="0.2">
      <c r="K313" s="30"/>
      <c r="L313" s="30"/>
      <c r="M313" s="30"/>
    </row>
    <row r="314" spans="11:13" x14ac:dyDescent="0.2">
      <c r="K314" s="30"/>
      <c r="L314" s="30"/>
      <c r="M314" s="30"/>
    </row>
    <row r="315" spans="11:13" x14ac:dyDescent="0.2">
      <c r="K315" s="30"/>
      <c r="L315" s="30"/>
      <c r="M315" s="30"/>
    </row>
    <row r="316" spans="11:13" x14ac:dyDescent="0.2">
      <c r="K316" s="30"/>
      <c r="L316" s="30"/>
      <c r="M316" s="30"/>
    </row>
    <row r="317" spans="11:13" x14ac:dyDescent="0.2">
      <c r="K317" s="30"/>
      <c r="L317" s="30"/>
      <c r="M317" s="30"/>
    </row>
    <row r="318" spans="11:13" x14ac:dyDescent="0.2">
      <c r="K318" s="30"/>
      <c r="L318" s="30"/>
      <c r="M318" s="30"/>
    </row>
    <row r="319" spans="11:13" x14ac:dyDescent="0.2">
      <c r="K319" s="30"/>
      <c r="L319" s="30"/>
      <c r="M319" s="30"/>
    </row>
    <row r="320" spans="11:13" x14ac:dyDescent="0.2">
      <c r="K320" s="30"/>
      <c r="L320" s="30"/>
      <c r="M320" s="30"/>
    </row>
    <row r="321" spans="11:13" x14ac:dyDescent="0.2">
      <c r="K321" s="30"/>
      <c r="L321" s="30"/>
      <c r="M321" s="30"/>
    </row>
    <row r="322" spans="11:13" x14ac:dyDescent="0.2">
      <c r="K322" s="30"/>
      <c r="L322" s="30"/>
      <c r="M322" s="30"/>
    </row>
    <row r="323" spans="11:13" x14ac:dyDescent="0.2">
      <c r="K323" s="30"/>
      <c r="L323" s="30"/>
      <c r="M323" s="30"/>
    </row>
    <row r="324" spans="11:13" x14ac:dyDescent="0.2">
      <c r="K324" s="30"/>
      <c r="L324" s="30"/>
      <c r="M324" s="30"/>
    </row>
    <row r="325" spans="11:13" x14ac:dyDescent="0.2">
      <c r="K325" s="30"/>
      <c r="L325" s="30"/>
      <c r="M325" s="30"/>
    </row>
    <row r="326" spans="11:13" x14ac:dyDescent="0.2">
      <c r="K326" s="30"/>
      <c r="L326" s="30"/>
      <c r="M326" s="30"/>
    </row>
    <row r="327" spans="11:13" x14ac:dyDescent="0.2">
      <c r="K327" s="30"/>
      <c r="L327" s="30"/>
      <c r="M327" s="30"/>
    </row>
    <row r="328" spans="11:13" x14ac:dyDescent="0.2">
      <c r="K328" s="30"/>
      <c r="L328" s="30"/>
      <c r="M328" s="30"/>
    </row>
    <row r="329" spans="11:13" x14ac:dyDescent="0.2">
      <c r="K329" s="30"/>
      <c r="L329" s="30"/>
      <c r="M329" s="30"/>
    </row>
    <row r="330" spans="11:13" x14ac:dyDescent="0.2">
      <c r="K330" s="30"/>
      <c r="L330" s="30"/>
      <c r="M330" s="30"/>
    </row>
    <row r="331" spans="11:13" x14ac:dyDescent="0.2">
      <c r="K331" s="30"/>
      <c r="L331" s="30"/>
      <c r="M331" s="30"/>
    </row>
    <row r="332" spans="11:13" x14ac:dyDescent="0.2">
      <c r="K332" s="30"/>
      <c r="L332" s="30"/>
      <c r="M332" s="30"/>
    </row>
    <row r="333" spans="11:13" x14ac:dyDescent="0.2">
      <c r="K333" s="30"/>
      <c r="L333" s="30"/>
      <c r="M333" s="30"/>
    </row>
    <row r="334" spans="11:13" x14ac:dyDescent="0.2">
      <c r="K334" s="30"/>
      <c r="L334" s="30"/>
      <c r="M334" s="30"/>
    </row>
    <row r="335" spans="11:13" x14ac:dyDescent="0.2">
      <c r="K335" s="30"/>
      <c r="L335" s="30"/>
      <c r="M335" s="30"/>
    </row>
    <row r="336" spans="11:13" x14ac:dyDescent="0.2">
      <c r="K336" s="30"/>
      <c r="L336" s="30"/>
      <c r="M336" s="30"/>
    </row>
    <row r="337" spans="11:13" x14ac:dyDescent="0.2">
      <c r="K337" s="30"/>
      <c r="L337" s="30"/>
      <c r="M337" s="30"/>
    </row>
    <row r="338" spans="11:13" x14ac:dyDescent="0.2">
      <c r="K338" s="30"/>
      <c r="L338" s="30"/>
      <c r="M338" s="30"/>
    </row>
    <row r="339" spans="11:13" x14ac:dyDescent="0.2">
      <c r="K339" s="30"/>
      <c r="L339" s="30"/>
      <c r="M339" s="30"/>
    </row>
    <row r="340" spans="11:13" x14ac:dyDescent="0.2">
      <c r="K340" s="30"/>
      <c r="L340" s="30"/>
      <c r="M340" s="30"/>
    </row>
    <row r="341" spans="11:13" x14ac:dyDescent="0.2">
      <c r="K341" s="30"/>
      <c r="L341" s="30"/>
      <c r="M341" s="30"/>
    </row>
    <row r="342" spans="11:13" x14ac:dyDescent="0.2">
      <c r="K342" s="30"/>
      <c r="L342" s="30"/>
      <c r="M342" s="30"/>
    </row>
    <row r="343" spans="11:13" x14ac:dyDescent="0.2">
      <c r="K343" s="30"/>
      <c r="L343" s="30"/>
      <c r="M343" s="30"/>
    </row>
    <row r="344" spans="11:13" x14ac:dyDescent="0.2">
      <c r="K344" s="30"/>
      <c r="L344" s="30"/>
      <c r="M344" s="30"/>
    </row>
    <row r="345" spans="11:13" x14ac:dyDescent="0.2">
      <c r="K345" s="30"/>
      <c r="L345" s="30"/>
      <c r="M345" s="30"/>
    </row>
    <row r="346" spans="11:13" x14ac:dyDescent="0.2">
      <c r="K346" s="30"/>
      <c r="L346" s="30"/>
      <c r="M346" s="30"/>
    </row>
    <row r="347" spans="11:13" x14ac:dyDescent="0.2">
      <c r="K347" s="30"/>
      <c r="L347" s="30"/>
      <c r="M347" s="30"/>
    </row>
    <row r="348" spans="11:13" x14ac:dyDescent="0.2">
      <c r="K348" s="30"/>
      <c r="L348" s="30"/>
      <c r="M348" s="30"/>
    </row>
    <row r="349" spans="11:13" x14ac:dyDescent="0.2">
      <c r="K349" s="30"/>
      <c r="L349" s="30"/>
      <c r="M349" s="30"/>
    </row>
    <row r="350" spans="11:13" x14ac:dyDescent="0.2">
      <c r="K350" s="30"/>
      <c r="L350" s="30"/>
      <c r="M350" s="30"/>
    </row>
    <row r="351" spans="11:13" x14ac:dyDescent="0.2">
      <c r="K351" s="30"/>
      <c r="L351" s="30"/>
      <c r="M351" s="30"/>
    </row>
    <row r="352" spans="11:13" x14ac:dyDescent="0.2">
      <c r="K352" s="30"/>
      <c r="L352" s="30"/>
      <c r="M352" s="30"/>
    </row>
    <row r="353" spans="11:13" x14ac:dyDescent="0.2">
      <c r="K353" s="30"/>
      <c r="L353" s="30"/>
      <c r="M353" s="30"/>
    </row>
    <row r="354" spans="11:13" x14ac:dyDescent="0.2">
      <c r="K354" s="30"/>
      <c r="L354" s="30"/>
      <c r="M354" s="30"/>
    </row>
    <row r="355" spans="11:13" x14ac:dyDescent="0.2">
      <c r="K355" s="30"/>
      <c r="L355" s="30"/>
      <c r="M355" s="30"/>
    </row>
    <row r="356" spans="11:13" x14ac:dyDescent="0.2">
      <c r="K356" s="30"/>
      <c r="L356" s="30"/>
      <c r="M356" s="30"/>
    </row>
    <row r="357" spans="11:13" x14ac:dyDescent="0.2">
      <c r="K357" s="30"/>
      <c r="L357" s="30"/>
      <c r="M357" s="30"/>
    </row>
    <row r="358" spans="11:13" x14ac:dyDescent="0.2">
      <c r="K358" s="30"/>
      <c r="L358" s="30"/>
      <c r="M358" s="30"/>
    </row>
    <row r="359" spans="11:13" x14ac:dyDescent="0.2">
      <c r="K359" s="30"/>
      <c r="L359" s="30"/>
      <c r="M359" s="30"/>
    </row>
    <row r="360" spans="11:13" x14ac:dyDescent="0.2">
      <c r="K360" s="30"/>
      <c r="L360" s="30"/>
      <c r="M360" s="30"/>
    </row>
    <row r="361" spans="11:13" x14ac:dyDescent="0.2">
      <c r="K361" s="30"/>
      <c r="L361" s="30"/>
      <c r="M361" s="30"/>
    </row>
    <row r="362" spans="11:13" x14ac:dyDescent="0.2">
      <c r="K362" s="30"/>
      <c r="L362" s="30"/>
      <c r="M362" s="30"/>
    </row>
    <row r="363" spans="11:13" x14ac:dyDescent="0.2">
      <c r="K363" s="30"/>
      <c r="L363" s="30"/>
      <c r="M363" s="30"/>
    </row>
    <row r="364" spans="11:13" x14ac:dyDescent="0.2">
      <c r="K364" s="30"/>
      <c r="L364" s="30"/>
      <c r="M364" s="30"/>
    </row>
    <row r="365" spans="11:13" x14ac:dyDescent="0.2">
      <c r="K365" s="30"/>
      <c r="L365" s="30"/>
      <c r="M365" s="30"/>
    </row>
    <row r="366" spans="11:13" x14ac:dyDescent="0.2">
      <c r="K366" s="30"/>
      <c r="L366" s="30"/>
      <c r="M366" s="30"/>
    </row>
    <row r="367" spans="11:13" x14ac:dyDescent="0.2">
      <c r="K367" s="30"/>
      <c r="L367" s="30"/>
      <c r="M367" s="30"/>
    </row>
    <row r="368" spans="11:13" x14ac:dyDescent="0.2">
      <c r="K368" s="30"/>
      <c r="L368" s="30"/>
      <c r="M368" s="30"/>
    </row>
    <row r="369" spans="11:13" x14ac:dyDescent="0.2">
      <c r="K369" s="30"/>
      <c r="L369" s="30"/>
      <c r="M369" s="30"/>
    </row>
    <row r="370" spans="11:13" x14ac:dyDescent="0.2">
      <c r="K370" s="30"/>
      <c r="L370" s="30"/>
      <c r="M370" s="30"/>
    </row>
    <row r="371" spans="11:13" x14ac:dyDescent="0.2">
      <c r="K371" s="30"/>
      <c r="L371" s="30"/>
      <c r="M371" s="30"/>
    </row>
    <row r="372" spans="11:13" x14ac:dyDescent="0.2">
      <c r="K372" s="30"/>
      <c r="L372" s="30"/>
      <c r="M372" s="30"/>
    </row>
    <row r="373" spans="11:13" x14ac:dyDescent="0.2">
      <c r="K373" s="30"/>
      <c r="L373" s="30"/>
      <c r="M373" s="30"/>
    </row>
    <row r="374" spans="11:13" x14ac:dyDescent="0.2">
      <c r="K374" s="30"/>
      <c r="L374" s="30"/>
      <c r="M374" s="30"/>
    </row>
    <row r="375" spans="11:13" x14ac:dyDescent="0.2">
      <c r="K375" s="30"/>
      <c r="L375" s="30"/>
      <c r="M375" s="30"/>
    </row>
    <row r="376" spans="11:13" x14ac:dyDescent="0.2">
      <c r="K376" s="30"/>
      <c r="L376" s="30"/>
      <c r="M376" s="30"/>
    </row>
    <row r="377" spans="11:13" x14ac:dyDescent="0.2">
      <c r="K377" s="30"/>
      <c r="L377" s="30"/>
      <c r="M377" s="30"/>
    </row>
    <row r="378" spans="11:13" x14ac:dyDescent="0.2">
      <c r="K378" s="30"/>
      <c r="L378" s="30"/>
      <c r="M378" s="30"/>
    </row>
    <row r="379" spans="11:13" x14ac:dyDescent="0.2">
      <c r="K379" s="30"/>
      <c r="L379" s="30"/>
      <c r="M379" s="30"/>
    </row>
    <row r="380" spans="11:13" x14ac:dyDescent="0.2">
      <c r="K380" s="30"/>
      <c r="L380" s="30"/>
      <c r="M380" s="30"/>
    </row>
    <row r="381" spans="11:13" x14ac:dyDescent="0.2">
      <c r="K381" s="30"/>
      <c r="L381" s="30"/>
      <c r="M381" s="30"/>
    </row>
    <row r="382" spans="11:13" x14ac:dyDescent="0.2">
      <c r="K382" s="30"/>
      <c r="L382" s="30"/>
      <c r="M382" s="30"/>
    </row>
    <row r="383" spans="11:13" x14ac:dyDescent="0.2">
      <c r="K383" s="30"/>
      <c r="L383" s="30"/>
      <c r="M383" s="30"/>
    </row>
    <row r="384" spans="11:13" x14ac:dyDescent="0.2">
      <c r="K384" s="30"/>
      <c r="L384" s="30"/>
      <c r="M384" s="30"/>
    </row>
    <row r="385" spans="11:13" x14ac:dyDescent="0.2">
      <c r="K385" s="30"/>
      <c r="L385" s="30"/>
      <c r="M385" s="30"/>
    </row>
    <row r="386" spans="11:13" x14ac:dyDescent="0.2">
      <c r="K386" s="30"/>
      <c r="L386" s="30"/>
      <c r="M386" s="30"/>
    </row>
    <row r="387" spans="11:13" x14ac:dyDescent="0.2">
      <c r="K387" s="30"/>
      <c r="L387" s="30"/>
      <c r="M387" s="30"/>
    </row>
    <row r="388" spans="11:13" x14ac:dyDescent="0.2">
      <c r="K388" s="30"/>
      <c r="L388" s="30"/>
      <c r="M388" s="30"/>
    </row>
    <row r="389" spans="11:13" x14ac:dyDescent="0.2">
      <c r="K389" s="30"/>
      <c r="L389" s="30"/>
      <c r="M389" s="30"/>
    </row>
    <row r="390" spans="11:13" x14ac:dyDescent="0.2">
      <c r="K390" s="30"/>
      <c r="L390" s="30"/>
      <c r="M390" s="30"/>
    </row>
    <row r="391" spans="11:13" x14ac:dyDescent="0.2">
      <c r="K391" s="30"/>
      <c r="L391" s="30"/>
      <c r="M391" s="30"/>
    </row>
    <row r="392" spans="11:13" x14ac:dyDescent="0.2">
      <c r="K392" s="30"/>
      <c r="L392" s="30"/>
      <c r="M392" s="30"/>
    </row>
    <row r="393" spans="11:13" x14ac:dyDescent="0.2">
      <c r="K393" s="30"/>
      <c r="L393" s="30"/>
      <c r="M393" s="30"/>
    </row>
    <row r="394" spans="11:13" x14ac:dyDescent="0.2">
      <c r="K394" s="30"/>
      <c r="L394" s="30"/>
      <c r="M394" s="30"/>
    </row>
    <row r="395" spans="11:13" x14ac:dyDescent="0.2">
      <c r="K395" s="30"/>
      <c r="L395" s="30"/>
      <c r="M395" s="30"/>
    </row>
    <row r="396" spans="11:13" x14ac:dyDescent="0.2">
      <c r="K396" s="30"/>
      <c r="L396" s="30"/>
      <c r="M396" s="30"/>
    </row>
    <row r="397" spans="11:13" x14ac:dyDescent="0.2">
      <c r="K397" s="30"/>
      <c r="L397" s="30"/>
      <c r="M397" s="30"/>
    </row>
    <row r="398" spans="11:13" x14ac:dyDescent="0.2">
      <c r="K398" s="30"/>
      <c r="L398" s="30"/>
      <c r="M398" s="30"/>
    </row>
    <row r="399" spans="11:13" x14ac:dyDescent="0.2">
      <c r="K399" s="30"/>
      <c r="L399" s="30"/>
      <c r="M399" s="30"/>
    </row>
    <row r="400" spans="11:13" x14ac:dyDescent="0.2">
      <c r="K400" s="30"/>
      <c r="L400" s="30"/>
      <c r="M400" s="30"/>
    </row>
    <row r="401" spans="11:13" x14ac:dyDescent="0.2">
      <c r="K401" s="30"/>
      <c r="L401" s="30"/>
      <c r="M401" s="30"/>
    </row>
    <row r="402" spans="11:13" x14ac:dyDescent="0.2">
      <c r="K402" s="30"/>
      <c r="L402" s="30"/>
      <c r="M402" s="30"/>
    </row>
    <row r="403" spans="11:13" x14ac:dyDescent="0.2">
      <c r="K403" s="30"/>
      <c r="L403" s="30"/>
      <c r="M403" s="30"/>
    </row>
    <row r="404" spans="11:13" x14ac:dyDescent="0.2">
      <c r="K404" s="30"/>
      <c r="L404" s="30"/>
      <c r="M404" s="30"/>
    </row>
    <row r="405" spans="11:13" x14ac:dyDescent="0.2">
      <c r="K405" s="30"/>
      <c r="L405" s="30"/>
      <c r="M405" s="30"/>
    </row>
    <row r="406" spans="11:13" x14ac:dyDescent="0.2">
      <c r="K406" s="30"/>
      <c r="L406" s="30"/>
      <c r="M406" s="30"/>
    </row>
    <row r="407" spans="11:13" x14ac:dyDescent="0.2">
      <c r="K407" s="30"/>
      <c r="L407" s="30"/>
      <c r="M407" s="30"/>
    </row>
    <row r="408" spans="11:13" x14ac:dyDescent="0.2">
      <c r="K408" s="30"/>
      <c r="L408" s="30"/>
      <c r="M408" s="30"/>
    </row>
    <row r="409" spans="11:13" x14ac:dyDescent="0.2">
      <c r="K409" s="30"/>
      <c r="L409" s="30"/>
      <c r="M409" s="30"/>
    </row>
    <row r="410" spans="11:13" x14ac:dyDescent="0.2">
      <c r="K410" s="30"/>
      <c r="L410" s="30"/>
      <c r="M410" s="30"/>
    </row>
    <row r="411" spans="11:13" x14ac:dyDescent="0.2">
      <c r="K411" s="30"/>
      <c r="L411" s="30"/>
      <c r="M411" s="30"/>
    </row>
    <row r="412" spans="11:13" x14ac:dyDescent="0.2">
      <c r="K412" s="30"/>
      <c r="L412" s="30"/>
      <c r="M412" s="30"/>
    </row>
    <row r="413" spans="11:13" x14ac:dyDescent="0.2">
      <c r="K413" s="30"/>
      <c r="L413" s="30"/>
      <c r="M413" s="30"/>
    </row>
    <row r="414" spans="11:13" x14ac:dyDescent="0.2">
      <c r="K414" s="30"/>
      <c r="L414" s="30"/>
      <c r="M414" s="30"/>
    </row>
    <row r="415" spans="11:13" x14ac:dyDescent="0.2">
      <c r="K415" s="30"/>
      <c r="L415" s="30"/>
      <c r="M415" s="30"/>
    </row>
    <row r="416" spans="11:13" x14ac:dyDescent="0.2">
      <c r="K416" s="30"/>
      <c r="L416" s="30"/>
      <c r="M416" s="30"/>
    </row>
    <row r="417" spans="11:13" x14ac:dyDescent="0.2">
      <c r="K417" s="30"/>
      <c r="L417" s="30"/>
      <c r="M417" s="30"/>
    </row>
    <row r="418" spans="11:13" x14ac:dyDescent="0.2">
      <c r="K418" s="30"/>
      <c r="L418" s="30"/>
      <c r="M418" s="30"/>
    </row>
    <row r="419" spans="11:13" x14ac:dyDescent="0.2">
      <c r="K419" s="30"/>
      <c r="L419" s="30"/>
      <c r="M419" s="30"/>
    </row>
    <row r="420" spans="11:13" x14ac:dyDescent="0.2">
      <c r="K420" s="30"/>
      <c r="L420" s="30"/>
      <c r="M420" s="30"/>
    </row>
    <row r="421" spans="11:13" x14ac:dyDescent="0.2">
      <c r="K421" s="30"/>
      <c r="L421" s="30"/>
      <c r="M421" s="30"/>
    </row>
    <row r="422" spans="11:13" x14ac:dyDescent="0.2">
      <c r="K422" s="30"/>
      <c r="L422" s="30"/>
      <c r="M422" s="30"/>
    </row>
    <row r="423" spans="11:13" x14ac:dyDescent="0.2">
      <c r="K423" s="30"/>
      <c r="L423" s="30"/>
      <c r="M423" s="30"/>
    </row>
    <row r="424" spans="11:13" x14ac:dyDescent="0.2">
      <c r="K424" s="30"/>
      <c r="L424" s="30"/>
      <c r="M424" s="30"/>
    </row>
    <row r="425" spans="11:13" x14ac:dyDescent="0.2">
      <c r="K425" s="30"/>
      <c r="L425" s="30"/>
      <c r="M425" s="30"/>
    </row>
    <row r="426" spans="11:13" x14ac:dyDescent="0.2">
      <c r="K426" s="30"/>
      <c r="L426" s="30"/>
      <c r="M426" s="30"/>
    </row>
    <row r="427" spans="11:13" x14ac:dyDescent="0.2">
      <c r="K427" s="30"/>
      <c r="L427" s="30"/>
      <c r="M427" s="30"/>
    </row>
    <row r="428" spans="11:13" x14ac:dyDescent="0.2">
      <c r="K428" s="30"/>
      <c r="L428" s="30"/>
      <c r="M428" s="30"/>
    </row>
    <row r="429" spans="11:13" x14ac:dyDescent="0.2">
      <c r="K429" s="30"/>
      <c r="L429" s="30"/>
      <c r="M429" s="30"/>
    </row>
    <row r="430" spans="11:13" x14ac:dyDescent="0.2">
      <c r="K430" s="30"/>
      <c r="L430" s="30"/>
      <c r="M430" s="30"/>
    </row>
    <row r="431" spans="11:13" x14ac:dyDescent="0.2">
      <c r="K431" s="30"/>
      <c r="L431" s="30"/>
      <c r="M431" s="30"/>
    </row>
    <row r="432" spans="11:13" x14ac:dyDescent="0.2">
      <c r="K432" s="30"/>
      <c r="L432" s="30"/>
      <c r="M432" s="30"/>
    </row>
    <row r="433" spans="11:13" x14ac:dyDescent="0.2">
      <c r="K433" s="30"/>
      <c r="L433" s="30"/>
      <c r="M433" s="30"/>
    </row>
    <row r="434" spans="11:13" x14ac:dyDescent="0.2">
      <c r="K434" s="30"/>
      <c r="L434" s="30"/>
      <c r="M434" s="30"/>
    </row>
    <row r="435" spans="11:13" x14ac:dyDescent="0.2">
      <c r="K435" s="30"/>
      <c r="L435" s="30"/>
      <c r="M435" s="30"/>
    </row>
    <row r="436" spans="11:13" x14ac:dyDescent="0.2">
      <c r="K436" s="30"/>
      <c r="L436" s="30"/>
      <c r="M436" s="30"/>
    </row>
    <row r="437" spans="11:13" x14ac:dyDescent="0.2">
      <c r="K437" s="30"/>
      <c r="L437" s="30"/>
      <c r="M437" s="30"/>
    </row>
    <row r="438" spans="11:13" x14ac:dyDescent="0.2">
      <c r="K438" s="30"/>
      <c r="L438" s="30"/>
      <c r="M438" s="30"/>
    </row>
    <row r="439" spans="11:13" x14ac:dyDescent="0.2">
      <c r="K439" s="30"/>
      <c r="L439" s="30"/>
      <c r="M439" s="30"/>
    </row>
    <row r="440" spans="11:13" x14ac:dyDescent="0.2">
      <c r="K440" s="30"/>
      <c r="L440" s="30"/>
      <c r="M440" s="30"/>
    </row>
    <row r="441" spans="11:13" x14ac:dyDescent="0.2">
      <c r="K441" s="30"/>
      <c r="L441" s="30"/>
      <c r="M441" s="30"/>
    </row>
    <row r="442" spans="11:13" x14ac:dyDescent="0.2">
      <c r="K442" s="30"/>
      <c r="L442" s="30"/>
      <c r="M442" s="30"/>
    </row>
    <row r="443" spans="11:13" x14ac:dyDescent="0.2">
      <c r="K443" s="30"/>
      <c r="L443" s="30"/>
      <c r="M443" s="30"/>
    </row>
    <row r="444" spans="11:13" x14ac:dyDescent="0.2">
      <c r="K444" s="30"/>
      <c r="L444" s="30"/>
      <c r="M444" s="30"/>
    </row>
    <row r="445" spans="11:13" x14ac:dyDescent="0.2">
      <c r="K445" s="30"/>
      <c r="L445" s="30"/>
      <c r="M445" s="30"/>
    </row>
    <row r="446" spans="11:13" x14ac:dyDescent="0.2">
      <c r="K446" s="30"/>
      <c r="L446" s="30"/>
      <c r="M446" s="30"/>
    </row>
    <row r="447" spans="11:13" x14ac:dyDescent="0.2">
      <c r="K447" s="30"/>
      <c r="L447" s="30"/>
      <c r="M447" s="30"/>
    </row>
    <row r="448" spans="11:13" x14ac:dyDescent="0.2">
      <c r="K448" s="30"/>
      <c r="L448" s="30"/>
      <c r="M448" s="30"/>
    </row>
    <row r="449" spans="11:13" x14ac:dyDescent="0.2">
      <c r="K449" s="30"/>
      <c r="L449" s="30"/>
      <c r="M449" s="30"/>
    </row>
    <row r="450" spans="11:13" x14ac:dyDescent="0.2">
      <c r="K450" s="30"/>
      <c r="L450" s="30"/>
      <c r="M450" s="30"/>
    </row>
    <row r="451" spans="11:13" x14ac:dyDescent="0.2">
      <c r="K451" s="30"/>
      <c r="L451" s="30"/>
      <c r="M451" s="30"/>
    </row>
    <row r="452" spans="11:13" x14ac:dyDescent="0.2">
      <c r="K452" s="30"/>
      <c r="L452" s="30"/>
      <c r="M452" s="30"/>
    </row>
    <row r="453" spans="11:13" x14ac:dyDescent="0.2">
      <c r="K453" s="30"/>
      <c r="L453" s="30"/>
      <c r="M453" s="30"/>
    </row>
    <row r="454" spans="11:13" x14ac:dyDescent="0.2">
      <c r="K454" s="30"/>
      <c r="L454" s="30"/>
      <c r="M454" s="30"/>
    </row>
    <row r="455" spans="11:13" x14ac:dyDescent="0.2">
      <c r="K455" s="30"/>
      <c r="L455" s="30"/>
      <c r="M455" s="30"/>
    </row>
    <row r="456" spans="11:13" x14ac:dyDescent="0.2">
      <c r="K456" s="30"/>
      <c r="L456" s="30"/>
      <c r="M456" s="30"/>
    </row>
    <row r="457" spans="11:13" x14ac:dyDescent="0.2">
      <c r="K457" s="30"/>
      <c r="L457" s="30"/>
      <c r="M457" s="30"/>
    </row>
    <row r="458" spans="11:13" x14ac:dyDescent="0.2">
      <c r="K458" s="30"/>
      <c r="L458" s="30"/>
      <c r="M458" s="30"/>
    </row>
    <row r="459" spans="11:13" x14ac:dyDescent="0.2">
      <c r="K459" s="30"/>
      <c r="L459" s="30"/>
      <c r="M459" s="30"/>
    </row>
    <row r="460" spans="11:13" x14ac:dyDescent="0.2">
      <c r="K460" s="30"/>
      <c r="L460" s="30"/>
      <c r="M460" s="30"/>
    </row>
    <row r="461" spans="11:13" x14ac:dyDescent="0.2">
      <c r="K461" s="30"/>
      <c r="L461" s="30"/>
      <c r="M461" s="30"/>
    </row>
    <row r="462" spans="11:13" x14ac:dyDescent="0.2">
      <c r="K462" s="30"/>
      <c r="L462" s="30"/>
      <c r="M462" s="30"/>
    </row>
    <row r="463" spans="11:13" x14ac:dyDescent="0.2">
      <c r="K463" s="30"/>
      <c r="L463" s="30"/>
      <c r="M463" s="30"/>
    </row>
  </sheetData>
  <mergeCells count="7">
    <mergeCell ref="B52:M53"/>
    <mergeCell ref="C8:G8"/>
    <mergeCell ref="I8:M8"/>
    <mergeCell ref="A2:M2"/>
    <mergeCell ref="A3:M3"/>
    <mergeCell ref="A4:M4"/>
    <mergeCell ref="A6:B6"/>
  </mergeCells>
  <phoneticPr fontId="0" type="noConversion"/>
  <printOptions horizontalCentered="1"/>
  <pageMargins left="0.75" right="0.5" top="1" bottom="0.5" header="0.5" footer="0.5"/>
  <pageSetup firstPageNumber="20" orientation="portrait" useFirstPageNumber="1" horizontalDpi="2400" verticalDpi="2400" r:id="rId1"/>
  <headerFooter alignWithMargins="0">
    <oddFooter>&amp;C&amp;"Calibri,Regular"&amp;11&amp;B&amp;K000000AEP CONFIDENTIAL</oddFooter>
    <evenFooter>&amp;C&amp;"Calibri,Regular"&amp;11&amp;B&amp;K000000AEP CONFIDENTIAL</evenFooter>
    <firstFooter>&amp;C&amp;"Calibri,Regular"&amp;11&amp;B&amp;K000000AEP CONFIDENTIAL</firstFooter>
  </headerFooter>
  <rowBreaks count="1" manualBreakCount="1">
    <brk id="10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1f6a98d5-4e6a-406f-8258-3f07b61a1b98" value=""/>
  <element uid="c64218ab-b8d1-40b6-a478-cb8be1e10ecc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79CDF1-2630-48E4-93E8-92CBEEAF32F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C4AE2CD-C163-42C5-A9B7-C5D733917FBF}"/>
</file>

<file path=customXml/itemProps3.xml><?xml version="1.0" encoding="utf-8"?>
<ds:datastoreItem xmlns:ds="http://schemas.openxmlformats.org/officeDocument/2006/customXml" ds:itemID="{EBE5109F-1449-44E1-9314-5B6286DD5C03}"/>
</file>

<file path=customXml/itemProps4.xml><?xml version="1.0" encoding="utf-8"?>
<ds:datastoreItem xmlns:ds="http://schemas.openxmlformats.org/officeDocument/2006/customXml" ds:itemID="{02A9A345-12F4-4398-8D2E-880B0D8A3B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 Davis</dc:creator>
  <cp:keywords>AEP Confidential</cp:keywords>
  <cp:lastModifiedBy>s998130</cp:lastModifiedBy>
  <cp:lastPrinted>2019-04-05T12:54:48Z</cp:lastPrinted>
  <dcterms:created xsi:type="dcterms:W3CDTF">2003-04-26T23:24:47Z</dcterms:created>
  <dcterms:modified xsi:type="dcterms:W3CDTF">2019-04-05T12:57:04Z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7d815c93-88df-41de-bf80-da262c243965</vt:lpwstr>
  </property>
  <property fmtid="{D5CDD505-2E9C-101B-9397-08002B2CF9AE}" pid="3" name="bjDocumentSecurityLabel">
    <vt:lpwstr>AEP Confidential</vt:lpwstr>
  </property>
  <property fmtid="{D5CDD505-2E9C-101B-9397-08002B2CF9AE}" pid="4" name="bjSaver">
    <vt:lpwstr>MSLcv1Deu+j/oxKLp9zJIfjP3BgDQ2g+</vt:lpwstr>
  </property>
  <property fmtid="{D5CDD505-2E9C-101B-9397-08002B2CF9AE}" pid="5" name="bjCentreFooterLabel-even">
    <vt:lpwstr>&amp;"Calibri,Regular"&amp;11&amp;B&amp;K000000AEP CONFIDENTIAL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7" name="bjDocumentLabelXML-0">
    <vt:lpwstr>ww.boldonjames.com/2008/01/sie/internal/label"&gt;&lt;element uid="1f6a98d5-4e6a-406f-8258-3f07b61a1b98" value="" /&gt;&lt;element uid="c64218ab-b8d1-40b6-a478-cb8be1e10ecc" value="" /&gt;&lt;/sisl&gt;</vt:lpwstr>
  </property>
  <property fmtid="{D5CDD505-2E9C-101B-9397-08002B2CF9AE}" pid="8" name="Visual Markings Removed">
    <vt:lpwstr>No</vt:lpwstr>
  </property>
  <property fmtid="{D5CDD505-2E9C-101B-9397-08002B2CF9AE}" pid="9" name="bjCentreFooterLabel-first">
    <vt:lpwstr>&amp;"Calibri,Regular"&amp;11&amp;B&amp;K000000AEP CONFIDENTIAL</vt:lpwstr>
  </property>
  <property fmtid="{D5CDD505-2E9C-101B-9397-08002B2CF9AE}" pid="10" name="bjCentreFooterLabel">
    <vt:lpwstr>&amp;"Calibri,Regular"&amp;11&amp;B&amp;K000000AEP CONFIDENTIAL</vt:lpwstr>
  </property>
  <property fmtid="{D5CDD505-2E9C-101B-9397-08002B2CF9AE}" pid="11" name="ContentTypeId">
    <vt:lpwstr>0x01010068D7645638A6BA4A903C04B5C9F7EDEE</vt:lpwstr>
  </property>
</Properties>
</file>