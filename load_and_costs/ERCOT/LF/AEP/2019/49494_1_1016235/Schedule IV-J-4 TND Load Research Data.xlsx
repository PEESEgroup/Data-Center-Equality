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ttps://sharenow.sp.aepsc.com/shsvcs/regsvcs/aeptexas/2018 Base Rate Case/Schedules/North Schedules/"/>
    </mc:Choice>
  </mc:AlternateContent>
  <bookViews>
    <workbookView xWindow="0" yWindow="0" windowWidth="19200" windowHeight="6470"/>
  </bookViews>
  <sheets>
    <sheet name="IV-J-4(a) TND" sheetId="9" r:id="rId1"/>
    <sheet name="IV-J-4(b1) TND" sheetId="11" r:id="rId2"/>
    <sheet name="IV-J-4(b2) TND" sheetId="12" r:id="rId3"/>
    <sheet name="IV-J-4(c) TND" sheetId="10" r:id="rId4"/>
  </sheets>
  <externalReferences>
    <externalReference r:id="rId5"/>
    <externalReference r:id="rId6"/>
    <externalReference r:id="rId7"/>
  </externalReferences>
  <definedNames>
    <definedName name="a">#REF!</definedName>
    <definedName name="_xlnm.Criteria">[1]DECAPAR!#REF!</definedName>
    <definedName name="_xlnm.Data_Form">[1]DECAPAR!#REF!</definedName>
    <definedName name="_xlnm.Extract">[1]DECAPAR!#REF!</definedName>
    <definedName name="page1">#REF!</definedName>
    <definedName name="page10">#REF!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_xlnm.Print_Area" localSheetId="0">'IV-J-4(a) TND'!$A$1:$P$135</definedName>
    <definedName name="_xlnm.Print_Area" localSheetId="1">'IV-J-4(b1) TND'!$A$1:$J$329</definedName>
    <definedName name="_xlnm.Print_Area" localSheetId="2">'IV-J-4(b2) TND'!$A$1:$O$126</definedName>
    <definedName name="_xlnm.Print_Area" localSheetId="3">'IV-J-4(c) TND'!$A$1:$E$13</definedName>
    <definedName name="_xlnm.Print_Titles" localSheetId="3">'IV-J-4(c) TND'!$2:$9</definedName>
    <definedName name="q">[2]Summary!#REF!</definedName>
    <definedName name="ResBasic" localSheetId="0">[3]Summary!#REF!</definedName>
    <definedName name="ResBasic" localSheetId="3">[3]Summary!#REF!</definedName>
    <definedName name="ResBasic">#REF!</definedName>
    <definedName name="ResEconomy1" localSheetId="0">[3]Summary!#REF!</definedName>
    <definedName name="ResEconomy1" localSheetId="3">[3]Summary!#REF!</definedName>
    <definedName name="ResEconomy1">#REF!</definedName>
    <definedName name="ResEconomy2" localSheetId="0">[3]Summary!#REF!</definedName>
    <definedName name="ResEconomy2" localSheetId="3">[3]Summary!#REF!</definedName>
    <definedName name="ResEconomy2">#REF!</definedName>
    <definedName name="ResSummary">#REF!</definedName>
    <definedName name="ResWaterHeating" localSheetId="0">[3]Summary!#REF!</definedName>
    <definedName name="ResWaterHeating" localSheetId="3">[3]Summary!#REF!</definedName>
    <definedName name="ResWaterHeating">#REF!</definedName>
    <definedName name="test">[2]Summary!#REF!</definedName>
    <definedName name="test1">[2]Summary!#REF!</definedName>
    <definedName name="total">#REF!</definedName>
    <definedName name="w">[2]Summary!#REF!</definedName>
  </definedNames>
  <calcPr calcId="162913"/>
</workbook>
</file>

<file path=xl/calcChain.xml><?xml version="1.0" encoding="utf-8"?>
<calcChain xmlns="http://schemas.openxmlformats.org/spreadsheetml/2006/main">
  <c r="B120" i="12" l="1"/>
  <c r="B121" i="12" s="1"/>
  <c r="B122" i="12" s="1"/>
  <c r="J106" i="12"/>
  <c r="J107" i="12" s="1"/>
  <c r="J108" i="12" s="1"/>
  <c r="J109" i="12" s="1"/>
  <c r="J110" i="12" s="1"/>
  <c r="F106" i="12"/>
  <c r="F107" i="12" s="1"/>
  <c r="F108" i="12" s="1"/>
  <c r="F109" i="12" s="1"/>
  <c r="B106" i="12"/>
  <c r="B107" i="12" s="1"/>
  <c r="B108" i="12" s="1"/>
  <c r="B109" i="12" s="1"/>
  <c r="B110" i="12" s="1"/>
  <c r="B111" i="12" s="1"/>
  <c r="B112" i="12" s="1"/>
  <c r="B113" i="12" s="1"/>
  <c r="B114" i="12" s="1"/>
  <c r="B96" i="12"/>
  <c r="B97" i="12" s="1"/>
  <c r="B98" i="12" s="1"/>
  <c r="B99" i="12" s="1"/>
  <c r="B100" i="12" s="1"/>
  <c r="N79" i="12"/>
  <c r="N80" i="12" s="1"/>
  <c r="N81" i="12" s="1"/>
  <c r="N82" i="12" s="1"/>
  <c r="N83" i="12" s="1"/>
  <c r="N84" i="12" s="1"/>
  <c r="N85" i="12" s="1"/>
  <c r="N86" i="12" s="1"/>
  <c r="N87" i="12" s="1"/>
  <c r="N88" i="12" s="1"/>
  <c r="N89" i="12" s="1"/>
  <c r="N90" i="12" s="1"/>
  <c r="J79" i="12"/>
  <c r="J80" i="12" s="1"/>
  <c r="J81" i="12" s="1"/>
  <c r="J82" i="12" s="1"/>
  <c r="J83" i="12" s="1"/>
  <c r="J84" i="12" s="1"/>
  <c r="F79" i="12"/>
  <c r="F80" i="12" s="1"/>
  <c r="F81" i="12" s="1"/>
  <c r="F82" i="12" s="1"/>
  <c r="B79" i="12"/>
  <c r="B80" i="12" s="1"/>
  <c r="B81" i="12" s="1"/>
  <c r="N41" i="12"/>
  <c r="N42" i="12" s="1"/>
  <c r="N43" i="12" s="1"/>
  <c r="N44" i="12" s="1"/>
  <c r="N45" i="12" s="1"/>
  <c r="N46" i="12" s="1"/>
  <c r="N47" i="12" s="1"/>
  <c r="N48" i="12" s="1"/>
  <c r="N49" i="12" s="1"/>
  <c r="N50" i="12" s="1"/>
  <c r="N51" i="12" s="1"/>
  <c r="N52" i="12" s="1"/>
  <c r="J41" i="12"/>
  <c r="J42" i="12" s="1"/>
  <c r="J43" i="12" s="1"/>
  <c r="J44" i="12" s="1"/>
  <c r="J45" i="12" s="1"/>
  <c r="J46" i="12" s="1"/>
  <c r="J47" i="12" s="1"/>
  <c r="J48" i="12" s="1"/>
  <c r="J49" i="12" s="1"/>
  <c r="J50" i="12" s="1"/>
  <c r="J51" i="12" s="1"/>
  <c r="F41" i="12"/>
  <c r="F42" i="12" s="1"/>
  <c r="F43" i="12" s="1"/>
  <c r="F44" i="12" s="1"/>
  <c r="F45" i="12" s="1"/>
  <c r="F46" i="12" s="1"/>
  <c r="F47" i="12" s="1"/>
  <c r="F48" i="12" s="1"/>
  <c r="F49" i="12" s="1"/>
  <c r="F50" i="12" s="1"/>
  <c r="F51" i="12" s="1"/>
  <c r="F52" i="12" s="1"/>
  <c r="B41" i="12"/>
  <c r="B42" i="12" s="1"/>
  <c r="B43" i="12" s="1"/>
  <c r="B44" i="12" s="1"/>
  <c r="B45" i="12" s="1"/>
  <c r="B46" i="12" s="1"/>
  <c r="B47" i="12" s="1"/>
  <c r="B48" i="12" s="1"/>
  <c r="B49" i="12" s="1"/>
  <c r="B50" i="12" s="1"/>
  <c r="B51" i="12" s="1"/>
  <c r="B52" i="12" s="1"/>
  <c r="B53" i="12" s="1"/>
  <c r="B54" i="12" s="1"/>
  <c r="B55" i="12" s="1"/>
  <c r="B56" i="12" s="1"/>
  <c r="B57" i="12" s="1"/>
  <c r="B58" i="12" s="1"/>
  <c r="B59" i="12" s="1"/>
  <c r="B60" i="12" s="1"/>
  <c r="B61" i="12" s="1"/>
  <c r="B62" i="12" s="1"/>
  <c r="B63" i="12" s="1"/>
  <c r="B64" i="12" s="1"/>
  <c r="B65" i="12" s="1"/>
  <c r="B66" i="12" s="1"/>
  <c r="B67" i="12" s="1"/>
  <c r="B68" i="12" s="1"/>
  <c r="N10" i="12"/>
  <c r="N11" i="12" s="1"/>
  <c r="N12" i="12" s="1"/>
  <c r="N13" i="12" s="1"/>
  <c r="N14" i="12" s="1"/>
  <c r="N15" i="12" s="1"/>
  <c r="N16" i="12" s="1"/>
  <c r="N17" i="12" s="1"/>
  <c r="N18" i="12" s="1"/>
  <c r="N19" i="12" s="1"/>
  <c r="N20" i="12" s="1"/>
  <c r="N21" i="12" s="1"/>
  <c r="N22" i="12" s="1"/>
  <c r="N23" i="12" s="1"/>
  <c r="N24" i="12" s="1"/>
  <c r="N25" i="12" s="1"/>
  <c r="N26" i="12" s="1"/>
  <c r="N27" i="12" s="1"/>
  <c r="N28" i="12" s="1"/>
  <c r="N29" i="12" s="1"/>
  <c r="N30" i="12" s="1"/>
  <c r="N31" i="12" s="1"/>
  <c r="N32" i="12" s="1"/>
  <c r="N33" i="12" s="1"/>
  <c r="N34" i="12" s="1"/>
  <c r="N35" i="12" s="1"/>
  <c r="J10" i="12"/>
  <c r="J11" i="12" s="1"/>
  <c r="J12" i="12" s="1"/>
  <c r="J13" i="12" s="1"/>
  <c r="J14" i="12" s="1"/>
  <c r="J15" i="12" s="1"/>
  <c r="J16" i="12" s="1"/>
  <c r="J17" i="12" s="1"/>
  <c r="J18" i="12" s="1"/>
  <c r="J19" i="12" s="1"/>
  <c r="J20" i="12" s="1"/>
  <c r="J21" i="12" s="1"/>
  <c r="J22" i="12" s="1"/>
  <c r="J23" i="12" s="1"/>
  <c r="J24" i="12" s="1"/>
  <c r="J25" i="12" s="1"/>
  <c r="J26" i="12" s="1"/>
  <c r="J27" i="12" s="1"/>
  <c r="J28" i="12" s="1"/>
  <c r="J29" i="12" s="1"/>
  <c r="J30" i="12" s="1"/>
  <c r="J31" i="12" s="1"/>
  <c r="J32" i="12" s="1"/>
  <c r="J33" i="12" s="1"/>
  <c r="F10" i="12"/>
  <c r="F11" i="12" s="1"/>
  <c r="F12" i="12" s="1"/>
  <c r="F13" i="12" s="1"/>
  <c r="F14" i="12" s="1"/>
  <c r="F15" i="12" s="1"/>
  <c r="F16" i="12" s="1"/>
  <c r="F17" i="12" s="1"/>
  <c r="F18" i="12" s="1"/>
  <c r="F19" i="12" s="1"/>
  <c r="F20" i="12" s="1"/>
  <c r="F21" i="12" s="1"/>
  <c r="B10" i="12"/>
  <c r="B11" i="12" s="1"/>
  <c r="B12" i="12" s="1"/>
  <c r="B13" i="12" s="1"/>
  <c r="B14" i="12" s="1"/>
  <c r="B15" i="12" s="1"/>
  <c r="B16" i="12" s="1"/>
  <c r="B17" i="12" s="1"/>
  <c r="B18" i="12" s="1"/>
  <c r="B19" i="12" s="1"/>
  <c r="B20" i="12" s="1"/>
  <c r="B21" i="12" s="1"/>
  <c r="B22" i="12" s="1"/>
  <c r="B23" i="12" s="1"/>
  <c r="B24" i="12" s="1"/>
  <c r="B25" i="12" s="1"/>
  <c r="B26" i="12" s="1"/>
  <c r="B27" i="12" s="1"/>
  <c r="B28" i="12" s="1"/>
  <c r="B29" i="12" s="1"/>
  <c r="B30" i="12" s="1"/>
  <c r="B31" i="12" s="1"/>
  <c r="B32" i="12" s="1"/>
  <c r="P11" i="9"/>
  <c r="P13" i="9"/>
  <c r="P15" i="9"/>
  <c r="P17" i="9"/>
  <c r="D19" i="9"/>
  <c r="E19" i="9"/>
  <c r="F19" i="9"/>
  <c r="G19" i="9"/>
  <c r="H19" i="9"/>
  <c r="I19" i="9"/>
  <c r="J19" i="9"/>
  <c r="K19" i="9"/>
  <c r="L19" i="9"/>
  <c r="M19" i="9"/>
  <c r="N19" i="9"/>
  <c r="O19" i="9"/>
  <c r="D24" i="9"/>
  <c r="P27" i="9"/>
  <c r="P29" i="9"/>
  <c r="P31" i="9"/>
  <c r="P33" i="9"/>
  <c r="D35" i="9"/>
  <c r="E35" i="9"/>
  <c r="F35" i="9"/>
  <c r="G35" i="9"/>
  <c r="H35" i="9"/>
  <c r="I35" i="9"/>
  <c r="J35" i="9"/>
  <c r="K35" i="9"/>
  <c r="L35" i="9"/>
  <c r="M35" i="9"/>
  <c r="N35" i="9"/>
  <c r="O35" i="9"/>
  <c r="D40" i="9"/>
  <c r="P43" i="9"/>
  <c r="P45" i="9"/>
  <c r="P47" i="9"/>
  <c r="P49" i="9"/>
  <c r="D51" i="9"/>
  <c r="E51" i="9"/>
  <c r="F51" i="9"/>
  <c r="G51" i="9"/>
  <c r="H51" i="9"/>
  <c r="I51" i="9"/>
  <c r="J51" i="9"/>
  <c r="K51" i="9"/>
  <c r="L51" i="9"/>
  <c r="M51" i="9"/>
  <c r="N51" i="9"/>
  <c r="O51" i="9"/>
  <c r="D56" i="9"/>
  <c r="P59" i="9"/>
  <c r="P61" i="9"/>
  <c r="P63" i="9"/>
  <c r="P65" i="9"/>
  <c r="D67" i="9"/>
  <c r="E67" i="9"/>
  <c r="F67" i="9"/>
  <c r="G67" i="9"/>
  <c r="H67" i="9"/>
  <c r="I67" i="9"/>
  <c r="J67" i="9"/>
  <c r="K67" i="9"/>
  <c r="L67" i="9"/>
  <c r="M67" i="9"/>
  <c r="N67" i="9"/>
  <c r="O67" i="9"/>
  <c r="D76" i="9"/>
  <c r="P79" i="9"/>
  <c r="P81" i="9"/>
  <c r="P83" i="9"/>
  <c r="P85" i="9"/>
  <c r="D87" i="9"/>
  <c r="E87" i="9"/>
  <c r="F87" i="9"/>
  <c r="G87" i="9"/>
  <c r="H87" i="9"/>
  <c r="I87" i="9"/>
  <c r="J87" i="9"/>
  <c r="K87" i="9"/>
  <c r="L87" i="9"/>
  <c r="M87" i="9"/>
  <c r="N87" i="9"/>
  <c r="O87" i="9"/>
  <c r="D92" i="9"/>
  <c r="P95" i="9"/>
  <c r="P97" i="9"/>
  <c r="P99" i="9"/>
  <c r="P101" i="9"/>
  <c r="D103" i="9"/>
  <c r="E103" i="9"/>
  <c r="F103" i="9"/>
  <c r="G103" i="9"/>
  <c r="H103" i="9"/>
  <c r="I103" i="9"/>
  <c r="J103" i="9"/>
  <c r="K103" i="9"/>
  <c r="L103" i="9"/>
  <c r="M103" i="9"/>
  <c r="N103" i="9"/>
  <c r="O103" i="9"/>
  <c r="D108" i="9"/>
  <c r="P111" i="9"/>
  <c r="P113" i="9"/>
  <c r="P115" i="9"/>
  <c r="P117" i="9"/>
  <c r="D119" i="9"/>
  <c r="E119" i="9"/>
  <c r="F119" i="9"/>
  <c r="G119" i="9"/>
  <c r="H119" i="9"/>
  <c r="I119" i="9"/>
  <c r="J119" i="9"/>
  <c r="K119" i="9"/>
  <c r="L119" i="9"/>
  <c r="M119" i="9"/>
  <c r="N119" i="9"/>
  <c r="O119" i="9"/>
  <c r="D124" i="9"/>
  <c r="P127" i="9"/>
  <c r="P129" i="9"/>
  <c r="P131" i="9"/>
  <c r="P133" i="9"/>
  <c r="D135" i="9"/>
  <c r="E135" i="9"/>
  <c r="F135" i="9"/>
  <c r="G135" i="9"/>
  <c r="H135" i="9"/>
  <c r="I135" i="9"/>
  <c r="J135" i="9"/>
  <c r="K135" i="9"/>
  <c r="L135" i="9"/>
  <c r="M135" i="9"/>
  <c r="N135" i="9"/>
  <c r="O135" i="9"/>
  <c r="P51" i="9" l="1"/>
  <c r="P19" i="9"/>
  <c r="P135" i="9"/>
  <c r="P87" i="9"/>
  <c r="P67" i="9"/>
  <c r="P103" i="9"/>
  <c r="P35" i="9"/>
  <c r="P119" i="9"/>
</calcChain>
</file>

<file path=xl/sharedStrings.xml><?xml version="1.0" encoding="utf-8"?>
<sst xmlns="http://schemas.openxmlformats.org/spreadsheetml/2006/main" count="1201" uniqueCount="115">
  <si>
    <t xml:space="preserve"> </t>
  </si>
  <si>
    <t>LINE</t>
  </si>
  <si>
    <t>DESCRIPTION</t>
  </si>
  <si>
    <t>VOLT</t>
  </si>
  <si>
    <t>January</t>
  </si>
  <si>
    <t>February</t>
  </si>
  <si>
    <t>March</t>
  </si>
  <si>
    <t>April</t>
  </si>
  <si>
    <t>May</t>
  </si>
  <si>
    <t>June</t>
  </si>
  <si>
    <t>July</t>
  </si>
  <si>
    <t>August</t>
  </si>
  <si>
    <t>September</t>
  </si>
  <si>
    <t>October</t>
  </si>
  <si>
    <t>November</t>
  </si>
  <si>
    <t>December</t>
  </si>
  <si>
    <t>TOTAL</t>
  </si>
  <si>
    <t>SEC</t>
  </si>
  <si>
    <t>TRA</t>
  </si>
  <si>
    <t>Total at Source</t>
  </si>
  <si>
    <t>SECONDARY &gt; 10 kW IDR</t>
  </si>
  <si>
    <t>PRIMARY IDR</t>
  </si>
  <si>
    <t>PRI</t>
  </si>
  <si>
    <t>TRANSMISSION IDR</t>
  </si>
  <si>
    <t>Description of Methodology to Develop Demand Estimates</t>
  </si>
  <si>
    <t>RATE</t>
  </si>
  <si>
    <t>DEMAND ESTIMATE METHODOLOGY</t>
  </si>
  <si>
    <t>LIGHTING</t>
  </si>
  <si>
    <t>SFR</t>
  </si>
  <si>
    <t>Sum of Customer Unadjusted Non-Coincident Maximum Demands (At Source)</t>
  </si>
  <si>
    <t>Sum of Customer Unadjusted Non-Coincident Maximum Demands (At Meter)</t>
  </si>
  <si>
    <t>Rate Unadjusted Class Peak Demands (At Source)</t>
  </si>
  <si>
    <t>Rate Unadjusted Class Peak Demands (At Meter)</t>
  </si>
  <si>
    <t>Sum of Customer Adjusted Non-Coincident Maximum Demands (At Source)</t>
  </si>
  <si>
    <t>Sum of Customer Adjusted Non-Coincident Maximum Demands (At Meter)</t>
  </si>
  <si>
    <t>Rate Adjusted Class Peak Demands (At Source)</t>
  </si>
  <si>
    <t>Rate Adjusted Class Peak Demands (At Meter)</t>
  </si>
  <si>
    <t>Total at Meter</t>
  </si>
  <si>
    <t xml:space="preserve">Per the ERCOT aggregation method, lighting customers were assigned a profile based on the lights turning on at dusk and off at dawn. The ERCOT profiles are based on a calculated time of sunrise and sunset for each day of the year based on the latitude and longitude of weather stations included in each profile weather zone.
</t>
  </si>
  <si>
    <t xml:space="preserve">Customer peak demands were estimated using monthly coincidence factors for individual tariff codes within the class. The coincidence factor is the ratio of the class peak to the sum of the individual customer peaks. The coincidence factors for all lighting tariff codes were assumed to be 1.0 in all months since  lighting loads always turn on at dusk and off at dawn.
</t>
  </si>
  <si>
    <t>Rate Class</t>
  </si>
  <si>
    <t>Strata</t>
  </si>
  <si>
    <t xml:space="preserve">Class load shapes were developed using AEP's Customer Load Aggregation System. This system employs the same aggregation method used by ERCOT  for aggregation and market settlement of these customers. Each customer was assigned a load profile ID based on ERCOT protocols. The metered kWh for each monthly billing cycle for each premise were allocated to each 15-minute interval using backcast load profiles provided by ERCOT. The 15-minute load profiles for all customers in the class were then added together to obtain the total class load shape. Coincident peak and class peak demands were taken directly from the resulting class profile. For demand values at the source, losses were added to metered demands based on the 1998 system loss study performed by AEP-TCC. 
</t>
  </si>
  <si>
    <t>Stratum 1</t>
  </si>
  <si>
    <t>Stratum 2</t>
  </si>
  <si>
    <t>Stratum 3</t>
  </si>
  <si>
    <t>Stratum 4</t>
  </si>
  <si>
    <t>Count</t>
  </si>
  <si>
    <t>Adjusted demands for lighting were based on billed kWh for the calendar month of June 2006. Since AEP-TCC lighting tariffs are billed every month using the average monthly kWh for the year, monthly kWh used to determine demands were adjusted to the percent of annual usage during each calendar month, based on ERCOT profiles.</t>
  </si>
  <si>
    <t>September 2018</t>
  </si>
  <si>
    <t>October 2018</t>
  </si>
  <si>
    <t>November 2018</t>
  </si>
  <si>
    <t>December 2018</t>
  </si>
  <si>
    <t>January 2018</t>
  </si>
  <si>
    <t>March 2018</t>
  </si>
  <si>
    <t>April 2018</t>
  </si>
  <si>
    <t>May 2018</t>
  </si>
  <si>
    <t>June 2018</t>
  </si>
  <si>
    <t>Febuary 2018</t>
  </si>
  <si>
    <t>July 2018</t>
  </si>
  <si>
    <t>August 2018</t>
  </si>
  <si>
    <t>Annual KWH</t>
  </si>
  <si>
    <t>Mean KW</t>
  </si>
  <si>
    <t>&gt; 100</t>
  </si>
  <si>
    <t>GSNIDR</t>
  </si>
  <si>
    <t>Sector</t>
  </si>
  <si>
    <t>0 - 10692</t>
  </si>
  <si>
    <t>10692 - 15168</t>
  </si>
  <si>
    <t>15168 - 20767</t>
  </si>
  <si>
    <t>&gt; 20767</t>
  </si>
  <si>
    <t>0 - 5166</t>
  </si>
  <si>
    <t>5166 - 10961</t>
  </si>
  <si>
    <t>10961 - 20543</t>
  </si>
  <si>
    <t>&gt; 20543</t>
  </si>
  <si>
    <t>0 - 19</t>
  </si>
  <si>
    <t>19 - 41</t>
  </si>
  <si>
    <t>41 - 100</t>
  </si>
  <si>
    <t>0 - 305</t>
  </si>
  <si>
    <t>0 - 81</t>
  </si>
  <si>
    <t>81 - 245</t>
  </si>
  <si>
    <t>&gt; 245</t>
  </si>
  <si>
    <t>0 - 32</t>
  </si>
  <si>
    <t>RES</t>
  </si>
  <si>
    <t>GSLT10</t>
  </si>
  <si>
    <t>AGR</t>
  </si>
  <si>
    <t>GSPNIDR</t>
  </si>
  <si>
    <t xml:space="preserve">RESIDENTIAL  </t>
  </si>
  <si>
    <t>SECONDARY</t>
  </si>
  <si>
    <t xml:space="preserve"> &lt;= 10 kW</t>
  </si>
  <si>
    <t xml:space="preserve">SECONDARY </t>
  </si>
  <si>
    <t>&gt; 10 kW NON-IDR</t>
  </si>
  <si>
    <t>PRIMARY</t>
  </si>
  <si>
    <t xml:space="preserve"> NON-IDR</t>
  </si>
  <si>
    <t>Stratum Variable</t>
  </si>
  <si>
    <t>Stratum Range</t>
  </si>
  <si>
    <t>Number of Sample Meters</t>
  </si>
  <si>
    <t>Average kWh Consumption</t>
  </si>
  <si>
    <t xml:space="preserve"> Average Customer Non-Coincident Maximum Demand kW</t>
  </si>
  <si>
    <t>Contribution to Rate Class Peak kW</t>
  </si>
  <si>
    <t>Contribution to System Peak Demand kW</t>
  </si>
  <si>
    <t>RESIDENTIAL SERVICE Sector: RES</t>
  </si>
  <si>
    <t>SECONDARY &lt;= 10 kW Sector: GSLT10</t>
  </si>
  <si>
    <t>SECONDARY &gt; 10 kW NON-IDR Sector: GSNIDR</t>
  </si>
  <si>
    <t>SECONDARY &gt; 10 kW NON-IDR Sector: AGR</t>
  </si>
  <si>
    <t>PRIMARY NON-IDR Sector: GSPNIDR</t>
  </si>
  <si>
    <t>PRIMARY NON-IDR Sector: AGR</t>
  </si>
  <si>
    <t>Cum Count</t>
  </si>
  <si>
    <t>Method by Which Contributions Were Obtained</t>
  </si>
  <si>
    <t xml:space="preserve">The contributions to rate class and system peak demand were obtained using the Kema Load Research Analysis System.  The Kema Load Research System uses a ratio estimation approach consistent with Association of Edison Illuminating Companies (AEIC) standards to optimally stratify the population and sample, calculate the stratum average demands per customer for each hour, and combine the strata through a weighted average methodology to arrive at class hourly values.  </t>
  </si>
  <si>
    <t>PUBLIC UTILITY OF COMMISSION OF TEXAS</t>
  </si>
  <si>
    <t>AEP TEXAS NORTH DIVISION</t>
  </si>
  <si>
    <t>SCHEDULE IV-J-4(a)</t>
  </si>
  <si>
    <t>TEST YEAR ENDING 12/31/2018</t>
  </si>
  <si>
    <t>SCHEDULE IV-J-4(b)</t>
  </si>
  <si>
    <t>SCHEDULE IV-J-4(c)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</si>
</sst>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43" formatCode="_(* #,##0.00_);_(* \(#,##0.00\);_(* &quot;-&quot;??_);_(@_)"/>
    <numFmt numFmtId="164" formatCode="_(* #,##0_);_(* \(#,##0\);_(* &quot;-&quot;??_);_(@_)"/>
    <numFmt numFmtId="165" formatCode="0.0000%"/>
    <numFmt numFmtId="166" formatCode="0_);\(0\)"/>
    <numFmt numFmtId="167" formatCode="#,##0.000"/>
    <numFmt numFmtId="168" formatCode="#,##0;[Red]#,##0"/>
  </numFmts>
  <fonts count="10" x14ac:knownFonts="1">
    <font>
      <sz val="10"/>
      <name val="Arial"/>
    </font>
    <font>
      <sz val="10"/>
      <name val="Arial"/>
      <family val="2"/>
    </font>
    <font>
      <sz val="10"/>
      <name val="Helv"/>
    </font>
    <font>
      <sz val="8"/>
      <name val="Arial"/>
      <family val="2"/>
    </font>
    <font>
      <b/>
      <sz val="10"/>
      <name val="Arial"/>
      <family val="2"/>
    </font>
    <font>
      <sz val="10"/>
      <name val="Arial"/>
      <family val="2"/>
    </font>
    <font>
      <b/>
      <sz val="10"/>
      <color indexed="8"/>
      <name val="Arial"/>
      <family val="2"/>
    </font>
    <font>
      <sz val="10"/>
      <color indexed="8"/>
      <name val="Arial"/>
      <family val="2"/>
    </font>
    <font>
      <sz val="10"/>
      <color indexed="12"/>
      <name val="Arial"/>
      <family val="2"/>
    </font>
    <font>
      <sz val="11"/>
      <name val="Calibri"/>
      <family val="2"/>
      <scheme val="minor"/>
    </font>
  </fonts>
  <fills count="2">
    <fill>
      <patternFill patternType="none"/>
    </fill>
    <fill>
      <patternFill patternType="gray125"/>
    </fill>
  </fills>
  <borders count="5">
    <border>
      <left/>
      <right/>
      <top/>
      <bottom/>
      <diagonal/>
    </border>
    <border>
      <left/>
      <right/>
      <top/>
      <bottom style="thin">
        <color indexed="64"/>
      </bottom>
      <diagonal/>
    </border>
    <border>
      <left/>
      <right/>
      <top style="thin">
        <color indexed="64"/>
      </top>
      <bottom/>
      <diagonal/>
    </border>
    <border>
      <left/>
      <right/>
      <top/>
      <bottom style="double">
        <color indexed="64"/>
      </bottom>
      <diagonal/>
    </border>
    <border>
      <left style="thin">
        <color indexed="64"/>
      </left>
      <right/>
      <top/>
      <bottom/>
      <diagonal/>
    </border>
  </borders>
  <cellStyleXfs count="4">
    <xf numFmtId="0" fontId="0" fillId="0" borderId="0"/>
    <xf numFmtId="43" fontId="1" fillId="0" borderId="0" applyFont="0" applyFill="0" applyBorder="0" applyAlignment="0" applyProtection="0"/>
    <xf numFmtId="3" fontId="2" fillId="0" borderId="0" applyFont="0" applyFill="0" applyBorder="0" applyAlignment="0" applyProtection="0"/>
    <xf numFmtId="165" fontId="1" fillId="0" borderId="0" applyFont="0" applyFill="0" applyBorder="0" applyAlignment="0" applyProtection="0"/>
  </cellStyleXfs>
  <cellXfs count="114">
    <xf numFmtId="0" fontId="0" fillId="0" borderId="0" xfId="0"/>
    <xf numFmtId="0" fontId="4" fillId="0" borderId="0" xfId="0" applyFont="1" applyAlignment="1">
      <alignment horizontal="centerContinuous"/>
    </xf>
    <xf numFmtId="0" fontId="5" fillId="0" borderId="0" xfId="0" applyFont="1" applyAlignment="1">
      <alignment horizontal="centerContinuous"/>
    </xf>
    <xf numFmtId="0" fontId="5" fillId="0" borderId="0" xfId="0" applyFont="1" applyAlignment="1">
      <alignment horizontal="centerContinuous" vertical="top"/>
    </xf>
    <xf numFmtId="0" fontId="5" fillId="0" borderId="0" xfId="0" applyFont="1" applyAlignment="1"/>
    <xf numFmtId="0" fontId="6" fillId="0" borderId="0" xfId="0" applyFont="1" applyFill="1" applyAlignment="1">
      <alignment horizontal="centerContinuous"/>
    </xf>
    <xf numFmtId="0" fontId="5" fillId="0" borderId="0" xfId="0" applyFont="1" applyAlignment="1">
      <alignment horizontal="left"/>
    </xf>
    <xf numFmtId="0" fontId="4" fillId="0" borderId="0" xfId="0" applyFont="1" applyAlignment="1"/>
    <xf numFmtId="0" fontId="4" fillId="0" borderId="0" xfId="0" applyFont="1" applyAlignment="1">
      <alignment horizontal="center"/>
    </xf>
    <xf numFmtId="0" fontId="5" fillId="0" borderId="0" xfId="0" applyFont="1" applyAlignment="1">
      <alignment vertical="top" wrapText="1"/>
    </xf>
    <xf numFmtId="0" fontId="6" fillId="0" borderId="0" xfId="0" applyFont="1" applyAlignment="1"/>
    <xf numFmtId="0" fontId="5" fillId="0" borderId="0" xfId="0" applyFont="1" applyAlignment="1">
      <alignment horizontal="center"/>
    </xf>
    <xf numFmtId="0" fontId="4" fillId="0" borderId="1" xfId="0" applyFont="1" applyBorder="1" applyAlignment="1">
      <alignment horizontal="left"/>
    </xf>
    <xf numFmtId="0" fontId="4" fillId="0" borderId="1" xfId="0" applyFont="1" applyBorder="1" applyAlignment="1"/>
    <xf numFmtId="0" fontId="4" fillId="0" borderId="1" xfId="0" applyFont="1" applyBorder="1" applyAlignment="1">
      <alignment horizontal="center"/>
    </xf>
    <xf numFmtId="0" fontId="4" fillId="0" borderId="1" xfId="0" applyFont="1" applyBorder="1" applyAlignment="1">
      <alignment vertical="top" wrapText="1"/>
    </xf>
    <xf numFmtId="0" fontId="5" fillId="0" borderId="0" xfId="0" applyFont="1" applyAlignment="1">
      <alignment horizontal="left" vertical="top" wrapText="1"/>
    </xf>
    <xf numFmtId="0" fontId="5" fillId="0" borderId="0" xfId="0" quotePrefix="1" applyFont="1" applyAlignment="1">
      <alignment horizontal="left" vertical="top" wrapText="1"/>
    </xf>
    <xf numFmtId="0" fontId="3" fillId="0" borderId="0" xfId="0" quotePrefix="1" applyFont="1" applyFill="1" applyAlignment="1">
      <alignment horizontal="center"/>
    </xf>
    <xf numFmtId="0" fontId="3" fillId="0" borderId="0" xfId="0" applyFont="1" applyFill="1"/>
    <xf numFmtId="0" fontId="5" fillId="0" borderId="0" xfId="0" applyFont="1"/>
    <xf numFmtId="164" fontId="6" fillId="0" borderId="0" xfId="1" applyNumberFormat="1" applyFont="1" applyAlignment="1">
      <alignment horizontal="center"/>
    </xf>
    <xf numFmtId="0" fontId="5" fillId="0" borderId="0" xfId="0" applyFont="1" applyBorder="1" applyAlignment="1">
      <alignment horizontal="center"/>
    </xf>
    <xf numFmtId="0" fontId="5" fillId="0" borderId="2" xfId="0" quotePrefix="1" applyFont="1" applyBorder="1" applyAlignment="1">
      <alignment horizontal="center" vertical="top" wrapText="1"/>
    </xf>
    <xf numFmtId="0" fontId="5" fillId="0" borderId="2" xfId="0" applyFont="1" applyBorder="1" applyAlignment="1">
      <alignment horizontal="left" vertical="top" wrapText="1"/>
    </xf>
    <xf numFmtId="0" fontId="5" fillId="0" borderId="2" xfId="0" applyFont="1" applyBorder="1" applyAlignment="1">
      <alignment horizontal="center" vertical="top" wrapText="1"/>
    </xf>
    <xf numFmtId="0" fontId="4" fillId="0" borderId="0" xfId="0" applyFont="1" applyAlignment="1">
      <alignment horizontal="left"/>
    </xf>
    <xf numFmtId="1" fontId="5" fillId="0" borderId="0" xfId="0" applyNumberFormat="1" applyFont="1" applyAlignment="1">
      <alignment horizontal="center"/>
    </xf>
    <xf numFmtId="2" fontId="5" fillId="0" borderId="0" xfId="0" applyNumberFormat="1" applyFont="1" applyAlignment="1">
      <alignment horizontal="center"/>
    </xf>
    <xf numFmtId="2" fontId="5" fillId="0" borderId="0" xfId="0" applyNumberFormat="1" applyFont="1" applyBorder="1" applyAlignment="1">
      <alignment horizontal="center"/>
    </xf>
    <xf numFmtId="2" fontId="0" fillId="0" borderId="0" xfId="0" applyNumberFormat="1" applyBorder="1" applyAlignment="1">
      <alignment horizontal="center"/>
    </xf>
    <xf numFmtId="0" fontId="6" fillId="0" borderId="0" xfId="0" applyFont="1" applyFill="1" applyAlignment="1">
      <alignment horizontal="left"/>
    </xf>
    <xf numFmtId="0" fontId="4" fillId="0" borderId="0" xfId="0" applyFont="1" applyAlignment="1">
      <alignment horizontal="centerContinuous" wrapText="1"/>
    </xf>
    <xf numFmtId="0" fontId="6" fillId="0" borderId="0" xfId="0" applyFont="1" applyFill="1" applyAlignment="1">
      <alignment horizontal="centerContinuous" wrapText="1"/>
    </xf>
    <xf numFmtId="0" fontId="4" fillId="0" borderId="0" xfId="0" applyFont="1" applyAlignment="1">
      <alignment horizontal="center" wrapText="1"/>
    </xf>
    <xf numFmtId="49" fontId="4" fillId="0" borderId="0" xfId="0" quotePrefix="1" applyNumberFormat="1" applyFont="1" applyAlignment="1">
      <alignment horizontal="centerContinuous"/>
    </xf>
    <xf numFmtId="0" fontId="5" fillId="0" borderId="0" xfId="0" applyFont="1" applyAlignment="1">
      <alignment wrapText="1"/>
    </xf>
    <xf numFmtId="164" fontId="6" fillId="0" borderId="0" xfId="1" applyNumberFormat="1" applyFont="1" applyAlignment="1">
      <alignment horizontal="center" wrapText="1"/>
    </xf>
    <xf numFmtId="0" fontId="0" fillId="0" borderId="0" xfId="0" applyAlignment="1">
      <alignment wrapText="1"/>
    </xf>
    <xf numFmtId="0" fontId="5" fillId="0" borderId="0" xfId="0" applyFont="1" applyFill="1" applyAlignment="1">
      <alignment horizontal="centerContinuous"/>
    </xf>
    <xf numFmtId="0" fontId="5" fillId="0" borderId="0" xfId="0" applyFont="1" applyFill="1"/>
    <xf numFmtId="0" fontId="4" fillId="0" borderId="0" xfId="0" applyFont="1" applyAlignment="1">
      <alignment horizontal="right"/>
    </xf>
    <xf numFmtId="0" fontId="4" fillId="0" borderId="0" xfId="0" applyFont="1" applyAlignment="1">
      <alignment horizontal="right" wrapText="1"/>
    </xf>
    <xf numFmtId="0" fontId="0" fillId="0" borderId="0" xfId="0" applyAlignment="1">
      <alignment horizontal="right" wrapText="1"/>
    </xf>
    <xf numFmtId="1" fontId="1" fillId="0" borderId="0" xfId="0" applyNumberFormat="1" applyFont="1" applyAlignment="1">
      <alignment horizontal="center"/>
    </xf>
    <xf numFmtId="0" fontId="1" fillId="0" borderId="0" xfId="0" applyFont="1" applyAlignment="1">
      <alignment horizontal="center"/>
    </xf>
    <xf numFmtId="0" fontId="1" fillId="0" borderId="0" xfId="0" applyFont="1" applyBorder="1" applyAlignment="1">
      <alignment horizontal="center"/>
    </xf>
    <xf numFmtId="0" fontId="1" fillId="0" borderId="0" xfId="0" applyFont="1" applyAlignment="1">
      <alignment horizontal="left" vertical="top" wrapText="1"/>
    </xf>
    <xf numFmtId="0" fontId="1" fillId="0" borderId="0" xfId="0" applyFont="1" applyAlignment="1">
      <alignment horizontal="center" vertical="top" wrapText="1"/>
    </xf>
    <xf numFmtId="0" fontId="1" fillId="0" borderId="0" xfId="0" quotePrefix="1" applyFont="1" applyAlignment="1">
      <alignment horizontal="center" vertical="top" wrapText="1"/>
    </xf>
    <xf numFmtId="0" fontId="1" fillId="0" borderId="0" xfId="0" applyFont="1" applyFill="1" applyBorder="1"/>
    <xf numFmtId="0" fontId="1" fillId="0" borderId="0" xfId="0" applyFont="1" applyFill="1" applyBorder="1" applyAlignment="1">
      <alignment horizontal="center"/>
    </xf>
    <xf numFmtId="0" fontId="1" fillId="0" borderId="0" xfId="0" applyFont="1" applyAlignment="1"/>
    <xf numFmtId="0" fontId="1" fillId="0" borderId="0" xfId="0" applyFont="1"/>
    <xf numFmtId="0" fontId="1" fillId="0" borderId="0" xfId="0" applyFont="1" applyAlignment="1">
      <alignment horizontal="left"/>
    </xf>
    <xf numFmtId="0" fontId="1" fillId="0" borderId="0" xfId="0" applyFont="1" applyBorder="1"/>
    <xf numFmtId="0" fontId="0" fillId="0" borderId="0" xfId="0" applyAlignment="1">
      <alignment horizontal="center" wrapText="1"/>
    </xf>
    <xf numFmtId="0" fontId="1" fillId="0" borderId="0" xfId="0" applyFont="1" applyAlignment="1">
      <alignment wrapText="1"/>
    </xf>
    <xf numFmtId="0" fontId="1" fillId="0" borderId="0" xfId="0" applyFont="1" applyAlignment="1">
      <alignment vertical="top" wrapText="1"/>
    </xf>
    <xf numFmtId="0" fontId="6" fillId="0" borderId="0" xfId="0" applyFont="1" applyFill="1" applyAlignment="1"/>
    <xf numFmtId="164" fontId="0" fillId="0" borderId="0" xfId="1" applyNumberFormat="1" applyFont="1"/>
    <xf numFmtId="0" fontId="5" fillId="0" borderId="0" xfId="0" applyFont="1" applyFill="1" applyBorder="1"/>
    <xf numFmtId="0" fontId="5" fillId="0" borderId="0" xfId="0" applyFont="1" applyFill="1" applyBorder="1" applyAlignment="1">
      <alignment horizontal="center"/>
    </xf>
    <xf numFmtId="0" fontId="4" fillId="0" borderId="0" xfId="0" applyFont="1" applyFill="1" applyBorder="1" applyAlignment="1">
      <alignment horizontal="center"/>
    </xf>
    <xf numFmtId="37" fontId="6" fillId="0" borderId="0" xfId="1" applyNumberFormat="1" applyFont="1" applyFill="1" applyBorder="1" applyAlignment="1">
      <alignment horizontal="right"/>
    </xf>
    <xf numFmtId="0" fontId="6" fillId="0" borderId="0" xfId="0" applyFont="1" applyFill="1" applyBorder="1" applyAlignment="1">
      <alignment horizontal="left"/>
    </xf>
    <xf numFmtId="1" fontId="6" fillId="0" borderId="0" xfId="1" applyNumberFormat="1" applyFont="1" applyFill="1" applyBorder="1" applyAlignment="1">
      <alignment horizontal="center"/>
    </xf>
    <xf numFmtId="164" fontId="6" fillId="0" borderId="0" xfId="1" applyNumberFormat="1" applyFont="1" applyFill="1" applyBorder="1"/>
    <xf numFmtId="164" fontId="4" fillId="0" borderId="0" xfId="1" applyNumberFormat="1" applyFont="1" applyFill="1" applyBorder="1"/>
    <xf numFmtId="164" fontId="7" fillId="0" borderId="0" xfId="1" applyNumberFormat="1" applyFont="1" applyFill="1" applyBorder="1"/>
    <xf numFmtId="166" fontId="6" fillId="0" borderId="0" xfId="1" quotePrefix="1" applyNumberFormat="1" applyFont="1" applyFill="1" applyBorder="1" applyAlignment="1">
      <alignment horizontal="center"/>
    </xf>
    <xf numFmtId="164" fontId="6" fillId="0" borderId="0" xfId="1" quotePrefix="1" applyNumberFormat="1" applyFont="1" applyFill="1" applyBorder="1" applyAlignment="1">
      <alignment horizontal="center"/>
    </xf>
    <xf numFmtId="164" fontId="6" fillId="0" borderId="0" xfId="1" applyNumberFormat="1" applyFont="1" applyFill="1" applyBorder="1" applyAlignment="1">
      <alignment horizontal="center"/>
    </xf>
    <xf numFmtId="164" fontId="4" fillId="0" borderId="0" xfId="1" applyNumberFormat="1" applyFont="1" applyFill="1" applyBorder="1" applyAlignment="1">
      <alignment horizontal="center"/>
    </xf>
    <xf numFmtId="0" fontId="5" fillId="0" borderId="0" xfId="0" quotePrefix="1" applyFont="1" applyFill="1" applyBorder="1" applyAlignment="1">
      <alignment horizontal="center"/>
    </xf>
    <xf numFmtId="37" fontId="9" fillId="0" borderId="0" xfId="1" applyNumberFormat="1" applyFont="1" applyFill="1" applyBorder="1" applyAlignment="1">
      <alignment horizontal="right"/>
    </xf>
    <xf numFmtId="167" fontId="8" fillId="0" borderId="0" xfId="1" applyNumberFormat="1" applyFont="1" applyFill="1" applyBorder="1"/>
    <xf numFmtId="167" fontId="5" fillId="0" borderId="0" xfId="1" applyNumberFormat="1" applyFont="1" applyFill="1" applyBorder="1"/>
    <xf numFmtId="167" fontId="5" fillId="0" borderId="0" xfId="0" applyNumberFormat="1" applyFont="1" applyFill="1" applyBorder="1" applyAlignment="1">
      <alignment horizontal="center"/>
    </xf>
    <xf numFmtId="167" fontId="7" fillId="0" borderId="0" xfId="1" applyNumberFormat="1" applyFont="1" applyFill="1" applyBorder="1"/>
    <xf numFmtId="167" fontId="5" fillId="0" borderId="0" xfId="0" applyNumberFormat="1" applyFont="1" applyFill="1" applyBorder="1" applyAlignment="1">
      <alignment horizontal="right"/>
    </xf>
    <xf numFmtId="167" fontId="7" fillId="0" borderId="0" xfId="1" applyNumberFormat="1" applyFont="1" applyFill="1" applyBorder="1" applyAlignment="1">
      <alignment horizontal="right"/>
    </xf>
    <xf numFmtId="0" fontId="4" fillId="0" borderId="0" xfId="0" applyFont="1" applyFill="1" applyBorder="1"/>
    <xf numFmtId="167" fontId="8" fillId="0" borderId="0" xfId="0" applyNumberFormat="1" applyFont="1" applyFill="1" applyBorder="1" applyAlignment="1">
      <alignment horizontal="right"/>
    </xf>
    <xf numFmtId="3" fontId="5" fillId="0" borderId="0" xfId="1" applyNumberFormat="1" applyFont="1" applyFill="1" applyBorder="1"/>
    <xf numFmtId="3" fontId="7" fillId="0" borderId="0" xfId="1" applyNumberFormat="1" applyFont="1" applyFill="1" applyBorder="1"/>
    <xf numFmtId="164" fontId="5" fillId="0" borderId="0" xfId="1" applyNumberFormat="1" applyFont="1" applyFill="1" applyBorder="1"/>
    <xf numFmtId="167" fontId="5" fillId="0" borderId="3" xfId="0" applyNumberFormat="1" applyFont="1" applyFill="1" applyBorder="1" applyAlignment="1">
      <alignment horizontal="center"/>
    </xf>
    <xf numFmtId="167" fontId="7" fillId="0" borderId="3" xfId="1" applyNumberFormat="1" applyFont="1" applyFill="1" applyBorder="1"/>
    <xf numFmtId="167" fontId="5" fillId="0" borderId="3" xfId="1" applyNumberFormat="1" applyFont="1" applyFill="1" applyBorder="1"/>
    <xf numFmtId="0" fontId="6" fillId="0" borderId="0" xfId="0" applyFont="1" applyFill="1" applyAlignment="1">
      <alignment horizontal="center"/>
    </xf>
    <xf numFmtId="0" fontId="0" fillId="0" borderId="0" xfId="0" applyAlignment="1"/>
    <xf numFmtId="37" fontId="5" fillId="0" borderId="0" xfId="1" applyNumberFormat="1" applyFont="1" applyFill="1" applyBorder="1" applyAlignment="1">
      <alignment horizontal="center"/>
    </xf>
    <xf numFmtId="167" fontId="1" fillId="0" borderId="0" xfId="1" applyNumberFormat="1" applyFont="1" applyFill="1" applyBorder="1"/>
    <xf numFmtId="167" fontId="1" fillId="0" borderId="0" xfId="0" applyNumberFormat="1" applyFont="1" applyFill="1" applyBorder="1" applyAlignment="1">
      <alignment horizontal="center"/>
    </xf>
    <xf numFmtId="167" fontId="1" fillId="0" borderId="0" xfId="0" applyNumberFormat="1" applyFont="1" applyFill="1" applyBorder="1" applyAlignment="1">
      <alignment horizontal="right"/>
    </xf>
    <xf numFmtId="167" fontId="1" fillId="0" borderId="3" xfId="0" applyNumberFormat="1" applyFont="1" applyFill="1" applyBorder="1" applyAlignment="1">
      <alignment horizontal="center"/>
    </xf>
    <xf numFmtId="167" fontId="1" fillId="0" borderId="3" xfId="1" applyNumberFormat="1" applyFont="1" applyFill="1" applyBorder="1"/>
    <xf numFmtId="168" fontId="8" fillId="0" borderId="4" xfId="1" applyNumberFormat="1" applyFont="1" applyFill="1" applyBorder="1"/>
    <xf numFmtId="168" fontId="8" fillId="0" borderId="0" xfId="1" applyNumberFormat="1" applyFont="1" applyFill="1" applyBorder="1"/>
    <xf numFmtId="168" fontId="1" fillId="0" borderId="0" xfId="1" applyNumberFormat="1" applyFont="1" applyFill="1" applyBorder="1"/>
    <xf numFmtId="164" fontId="8" fillId="0" borderId="0" xfId="1" applyNumberFormat="1" applyFont="1" applyFill="1" applyBorder="1" applyAlignment="1">
      <alignment horizontal="right"/>
    </xf>
    <xf numFmtId="164" fontId="8" fillId="0" borderId="0" xfId="1" applyNumberFormat="1" applyFont="1" applyFill="1" applyBorder="1"/>
    <xf numFmtId="0" fontId="0" fillId="0" borderId="0" xfId="0" applyAlignment="1">
      <alignment horizontal="center"/>
    </xf>
    <xf numFmtId="0" fontId="4" fillId="0" borderId="0" xfId="0" applyFont="1" applyFill="1" applyBorder="1" applyAlignment="1">
      <alignment horizontal="center"/>
    </xf>
    <xf numFmtId="43" fontId="4" fillId="0" borderId="0" xfId="1" applyFont="1" applyFill="1" applyBorder="1" applyAlignment="1">
      <alignment horizontal="center"/>
    </xf>
    <xf numFmtId="0" fontId="0" fillId="0" borderId="0" xfId="0" applyAlignment="1"/>
    <xf numFmtId="0" fontId="4" fillId="0" borderId="0" xfId="0" applyFont="1" applyAlignment="1">
      <alignment horizontal="center"/>
    </xf>
    <xf numFmtId="0" fontId="0" fillId="0" borderId="0" xfId="0" applyAlignment="1">
      <alignment horizontal="center"/>
    </xf>
    <xf numFmtId="49" fontId="4" fillId="0" borderId="0" xfId="0" quotePrefix="1" applyNumberFormat="1" applyFont="1" applyAlignment="1">
      <alignment horizontal="center"/>
    </xf>
    <xf numFmtId="0" fontId="6" fillId="0" borderId="0" xfId="0" applyFont="1" applyFill="1" applyAlignment="1">
      <alignment horizontal="center"/>
    </xf>
    <xf numFmtId="0" fontId="1" fillId="0" borderId="0" xfId="0" applyFont="1" applyAlignment="1">
      <alignment horizontal="center" wrapText="1"/>
    </xf>
    <xf numFmtId="0" fontId="0" fillId="0" borderId="0" xfId="0" applyAlignment="1">
      <alignment horizontal="center" wrapText="1"/>
    </xf>
    <xf numFmtId="0" fontId="6" fillId="0" borderId="0" xfId="0" applyFont="1" applyFill="1" applyAlignment="1">
      <alignment horizontal="left"/>
    </xf>
  </cellXfs>
  <cellStyles count="4">
    <cellStyle name="Comma" xfId="1" builtinId="3"/>
    <cellStyle name="Comma(0)" xfId="2"/>
    <cellStyle name="Normal" xfId="0" builtinId="0"/>
    <cellStyle name="Percent(4)"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5" Type="http://schemas.openxmlformats.org/officeDocument/2006/relationships/customXml" Target="../customXml/item4.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DATA/EXCEL/SWEPCO/dryrun/RVCAPAK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ndows/TEMP/Q7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ATA/EXCEL/CPL/CPL%20Rate%20Case/Final/Q7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Q-1.1"/>
      <sheetName val="Summary"/>
      <sheetName val="Fuel Adjustment"/>
      <sheetName val="Embed Fuel"/>
      <sheetName val="Base Revenue"/>
      <sheetName val="DECAPAR"/>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ERS"/>
      <sheetName val="SRS "/>
      <sheetName val="RSWH "/>
      <sheetName val="RSTOU"/>
      <sheetName val="GS"/>
      <sheetName val="LP"/>
      <sheetName val="IP"/>
      <sheetName val="PS"/>
      <sheetName val="Irr 28"/>
      <sheetName val="Irr 29"/>
      <sheetName val="CG"/>
      <sheetName val="CG-TOU"/>
      <sheetName val="Rec Lights"/>
      <sheetName val="MPS"/>
      <sheetName val="Security"/>
      <sheetName val="Flood"/>
      <sheetName val="Flood-Cust. Owned"/>
      <sheetName val="Street Lighting"/>
      <sheetName val="Sheet9"/>
      <sheetName val="Street"/>
      <sheetName val="Security-Adjustments"/>
      <sheetName val="Security-Adj. Revenue"/>
      <sheetName val="Security Lights"/>
      <sheetName val="Flood Lights"/>
      <sheetName val="Flood Lights-Cust. Own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2)"/>
      <sheetName val="Summary"/>
      <sheetName val="ERS"/>
      <sheetName val="SRS "/>
      <sheetName val="RSWH "/>
      <sheetName val="RSTOU"/>
      <sheetName val="SH, WH, UMS"/>
      <sheetName val="GS"/>
      <sheetName val="LP"/>
      <sheetName val="PS"/>
      <sheetName val="IP"/>
      <sheetName val="CG "/>
      <sheetName val="Irr 28"/>
      <sheetName val="Irr 29"/>
      <sheetName val="Rec Lights"/>
      <sheetName val="MPS"/>
      <sheetName val="Security Lights"/>
      <sheetName val="Flood Lights"/>
      <sheetName val="Street Lighting"/>
      <sheetName val="Traffic Lighting"/>
      <sheetName val="Flood_CustOwn"/>
      <sheetName val="LI68"/>
      <sheetName val="Wholesale"/>
      <sheetName val="Robstown"/>
      <sheetName val="KWH"/>
      <sheetName val="KW"/>
      <sheetName val="Whol Prof"/>
      <sheetName val="BFCust"/>
      <sheetName val="Block kw"/>
      <sheetName val="Block kWh"/>
      <sheetName val="Whtr Adj"/>
      <sheetName val="Cust Adj"/>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135"/>
  <sheetViews>
    <sheetView tabSelected="1" topLeftCell="C1" zoomScaleNormal="100" zoomScaleSheetLayoutView="100" workbookViewId="0">
      <selection activeCell="B1" sqref="B1:O1"/>
    </sheetView>
  </sheetViews>
  <sheetFormatPr defaultColWidth="9.1796875" defaultRowHeight="12.5" x14ac:dyDescent="0.25"/>
  <cols>
    <col min="1" max="1" width="5.1796875" style="61" bestFit="1" customWidth="1"/>
    <col min="2" max="2" width="27.7265625" style="61" customWidth="1"/>
    <col min="3" max="3" width="9.1796875" style="62" customWidth="1"/>
    <col min="4" max="6" width="15.1796875" style="62" customWidth="1"/>
    <col min="7" max="15" width="15.1796875" style="69" customWidth="1"/>
    <col min="16" max="16" width="15.1796875" style="86" customWidth="1"/>
    <col min="17" max="16384" width="9.1796875" style="61"/>
  </cols>
  <sheetData>
    <row r="1" spans="1:16" ht="13" x14ac:dyDescent="0.3">
      <c r="B1" s="105" t="s">
        <v>109</v>
      </c>
      <c r="C1" s="105"/>
      <c r="D1" s="105"/>
      <c r="E1" s="105"/>
      <c r="F1" s="105"/>
      <c r="G1" s="105"/>
      <c r="H1" s="105"/>
      <c r="I1" s="105"/>
      <c r="J1" s="105"/>
      <c r="K1" s="105"/>
      <c r="L1" s="105"/>
      <c r="M1" s="105"/>
      <c r="N1" s="105"/>
      <c r="O1" s="105"/>
    </row>
    <row r="2" spans="1:16" ht="13" x14ac:dyDescent="0.3">
      <c r="B2" s="104" t="s">
        <v>110</v>
      </c>
      <c r="C2" s="104"/>
      <c r="D2" s="104"/>
      <c r="E2" s="104"/>
      <c r="F2" s="104"/>
      <c r="G2" s="104"/>
      <c r="H2" s="104"/>
      <c r="I2" s="104"/>
      <c r="J2" s="104"/>
      <c r="K2" s="104"/>
      <c r="L2" s="104"/>
      <c r="M2" s="104"/>
      <c r="N2" s="104"/>
      <c r="O2" s="104"/>
      <c r="P2" s="61"/>
    </row>
    <row r="3" spans="1:16" ht="13" x14ac:dyDescent="0.3">
      <c r="B3" s="104" t="s">
        <v>111</v>
      </c>
      <c r="C3" s="104"/>
      <c r="D3" s="104"/>
      <c r="E3" s="104"/>
      <c r="F3" s="104"/>
      <c r="G3" s="104"/>
      <c r="H3" s="104"/>
      <c r="I3" s="104"/>
      <c r="J3" s="104"/>
      <c r="K3" s="104"/>
      <c r="L3" s="104"/>
      <c r="M3" s="104"/>
      <c r="N3" s="104"/>
      <c r="O3" s="104"/>
      <c r="P3" s="61"/>
    </row>
    <row r="4" spans="1:16" ht="13" x14ac:dyDescent="0.3">
      <c r="B4" s="104" t="s">
        <v>112</v>
      </c>
      <c r="C4" s="104"/>
      <c r="D4" s="104"/>
      <c r="E4" s="104"/>
      <c r="F4" s="104"/>
      <c r="G4" s="104"/>
      <c r="H4" s="104"/>
      <c r="I4" s="104"/>
      <c r="J4" s="104"/>
      <c r="K4" s="104"/>
      <c r="L4" s="104"/>
      <c r="M4" s="104"/>
      <c r="N4" s="104"/>
      <c r="O4" s="104"/>
      <c r="P4" s="61"/>
    </row>
    <row r="5" spans="1:16" ht="13" x14ac:dyDescent="0.3">
      <c r="B5" s="63"/>
      <c r="C5" s="91"/>
      <c r="D5" s="91"/>
      <c r="E5" s="91"/>
      <c r="F5" s="91"/>
      <c r="G5" s="91"/>
      <c r="H5" s="91"/>
      <c r="I5" s="91"/>
      <c r="J5" s="91"/>
      <c r="K5" s="91"/>
      <c r="L5" s="91"/>
      <c r="M5" s="91"/>
      <c r="N5" s="91"/>
      <c r="O5" s="91"/>
      <c r="P5" s="61"/>
    </row>
    <row r="6" spans="1:16" ht="13" x14ac:dyDescent="0.3">
      <c r="B6" s="104" t="s">
        <v>29</v>
      </c>
      <c r="C6" s="104"/>
      <c r="D6" s="104"/>
      <c r="E6" s="104"/>
      <c r="F6" s="104"/>
      <c r="G6" s="104"/>
      <c r="H6" s="104"/>
      <c r="I6" s="104"/>
      <c r="J6" s="104"/>
      <c r="K6" s="104"/>
      <c r="L6" s="104"/>
      <c r="M6" s="104"/>
      <c r="N6" s="104"/>
      <c r="O6" s="92" t="s">
        <v>0</v>
      </c>
      <c r="P6" s="61"/>
    </row>
    <row r="7" spans="1:16" ht="13" x14ac:dyDescent="0.3">
      <c r="B7" s="63"/>
      <c r="C7" s="63"/>
      <c r="D7" s="63"/>
      <c r="E7" s="63"/>
      <c r="F7" s="63"/>
      <c r="G7" s="63"/>
      <c r="H7" s="63"/>
      <c r="I7" s="63"/>
      <c r="J7" s="63"/>
      <c r="K7" s="63"/>
      <c r="L7" s="63"/>
      <c r="M7" s="63"/>
      <c r="N7" s="63"/>
      <c r="O7" s="63"/>
      <c r="P7" s="61"/>
    </row>
    <row r="8" spans="1:16" ht="13" x14ac:dyDescent="0.3">
      <c r="B8" s="65"/>
      <c r="D8" s="66">
        <v>2018</v>
      </c>
      <c r="E8" s="67"/>
      <c r="F8" s="68"/>
      <c r="H8" s="67"/>
      <c r="I8" s="67"/>
      <c r="J8" s="70"/>
      <c r="K8" s="67"/>
      <c r="L8" s="67"/>
      <c r="M8" s="71"/>
      <c r="N8" s="67"/>
      <c r="O8" s="67"/>
      <c r="P8" s="68"/>
    </row>
    <row r="9" spans="1:16" ht="13" x14ac:dyDescent="0.3">
      <c r="A9" s="63" t="s">
        <v>1</v>
      </c>
      <c r="B9" s="63" t="s">
        <v>2</v>
      </c>
      <c r="C9" s="63" t="s">
        <v>3</v>
      </c>
      <c r="D9" s="72" t="s">
        <v>4</v>
      </c>
      <c r="E9" s="72" t="s">
        <v>5</v>
      </c>
      <c r="F9" s="72" t="s">
        <v>6</v>
      </c>
      <c r="G9" s="72" t="s">
        <v>7</v>
      </c>
      <c r="H9" s="72" t="s">
        <v>8</v>
      </c>
      <c r="I9" s="72" t="s">
        <v>9</v>
      </c>
      <c r="J9" s="72" t="s">
        <v>10</v>
      </c>
      <c r="K9" s="72" t="s">
        <v>11</v>
      </c>
      <c r="L9" s="72" t="s">
        <v>12</v>
      </c>
      <c r="M9" s="72" t="s">
        <v>13</v>
      </c>
      <c r="N9" s="72" t="s">
        <v>14</v>
      </c>
      <c r="O9" s="72" t="s">
        <v>15</v>
      </c>
      <c r="P9" s="73" t="s">
        <v>16</v>
      </c>
    </row>
    <row r="10" spans="1:16" ht="13" x14ac:dyDescent="0.3">
      <c r="A10" s="63"/>
      <c r="B10" s="63"/>
      <c r="C10" s="63"/>
      <c r="D10" s="72"/>
      <c r="E10" s="72"/>
      <c r="F10" s="72"/>
      <c r="G10" s="72"/>
      <c r="H10" s="72"/>
      <c r="I10" s="72"/>
      <c r="J10" s="72"/>
      <c r="K10" s="72"/>
      <c r="L10" s="72"/>
      <c r="M10" s="72"/>
      <c r="N10" s="72"/>
      <c r="O10" s="72"/>
      <c r="P10" s="73"/>
    </row>
    <row r="11" spans="1:16" ht="14.5" x14ac:dyDescent="0.35">
      <c r="A11" s="74">
        <v>4</v>
      </c>
      <c r="B11" s="61" t="s">
        <v>20</v>
      </c>
      <c r="C11" s="62" t="s">
        <v>17</v>
      </c>
      <c r="D11" s="75">
        <v>114368.08320929688</v>
      </c>
      <c r="E11" s="75">
        <v>109227.49483261576</v>
      </c>
      <c r="F11" s="75">
        <v>88195.121481197581</v>
      </c>
      <c r="G11" s="75">
        <v>81732.1467800721</v>
      </c>
      <c r="H11" s="75">
        <v>80949.791408423043</v>
      </c>
      <c r="I11" s="75">
        <v>72828.182910887801</v>
      </c>
      <c r="J11" s="75">
        <v>99777.567321129318</v>
      </c>
      <c r="K11" s="75">
        <v>82797.135687474627</v>
      </c>
      <c r="L11" s="75">
        <v>91806.328073573575</v>
      </c>
      <c r="M11" s="75">
        <v>86711.019071819421</v>
      </c>
      <c r="N11" s="75">
        <v>94640.819697897416</v>
      </c>
      <c r="O11" s="75">
        <v>94957.456229540257</v>
      </c>
      <c r="P11" s="98">
        <f>SUM(D11:O11)</f>
        <v>1097991.1467039275</v>
      </c>
    </row>
    <row r="12" spans="1:16" x14ac:dyDescent="0.25">
      <c r="A12" s="74"/>
      <c r="D12" s="93"/>
      <c r="E12" s="93"/>
      <c r="F12" s="93"/>
      <c r="G12" s="93"/>
      <c r="H12" s="93"/>
      <c r="I12" s="93"/>
      <c r="J12" s="93"/>
      <c r="K12" s="93"/>
      <c r="L12" s="93"/>
      <c r="M12" s="93"/>
      <c r="N12" s="93"/>
      <c r="O12" s="93"/>
      <c r="P12" s="99"/>
    </row>
    <row r="13" spans="1:16" ht="14.5" x14ac:dyDescent="0.35">
      <c r="A13" s="74">
        <v>7</v>
      </c>
      <c r="B13" s="61" t="s">
        <v>21</v>
      </c>
      <c r="C13" s="62" t="s">
        <v>22</v>
      </c>
      <c r="D13" s="75">
        <v>267260.33840655355</v>
      </c>
      <c r="E13" s="75">
        <v>250132.90790439479</v>
      </c>
      <c r="F13" s="75">
        <v>234551.49227251048</v>
      </c>
      <c r="G13" s="75">
        <v>257060.41249592949</v>
      </c>
      <c r="H13" s="75">
        <v>254247.13326889052</v>
      </c>
      <c r="I13" s="75">
        <v>277846.10606737644</v>
      </c>
      <c r="J13" s="75">
        <v>262507.31432025577</v>
      </c>
      <c r="K13" s="75">
        <v>261445.8772641664</v>
      </c>
      <c r="L13" s="75">
        <v>277302.36564578768</v>
      </c>
      <c r="M13" s="75">
        <v>278323.46063881816</v>
      </c>
      <c r="N13" s="75">
        <v>268137.48179077258</v>
      </c>
      <c r="O13" s="75">
        <v>259653.93453996017</v>
      </c>
      <c r="P13" s="98">
        <f>SUM(D13:O13)</f>
        <v>3148468.8246154166</v>
      </c>
    </row>
    <row r="14" spans="1:16" x14ac:dyDescent="0.25">
      <c r="A14" s="74"/>
      <c r="D14" s="93"/>
      <c r="E14" s="93"/>
      <c r="F14" s="93"/>
      <c r="G14" s="93"/>
      <c r="H14" s="93"/>
      <c r="I14" s="93"/>
      <c r="J14" s="93"/>
      <c r="K14" s="93"/>
      <c r="L14" s="93"/>
      <c r="M14" s="93"/>
      <c r="N14" s="93"/>
      <c r="O14" s="93"/>
      <c r="P14" s="99"/>
    </row>
    <row r="15" spans="1:16" ht="14.5" x14ac:dyDescent="0.35">
      <c r="A15" s="74">
        <v>9</v>
      </c>
      <c r="B15" s="61" t="s">
        <v>23</v>
      </c>
      <c r="C15" s="62" t="s">
        <v>18</v>
      </c>
      <c r="D15" s="75">
        <v>31299.85446140611</v>
      </c>
      <c r="E15" s="75">
        <v>33116.940369572534</v>
      </c>
      <c r="F15" s="75">
        <v>29186.972590392084</v>
      </c>
      <c r="G15" s="75">
        <v>43576.319884571269</v>
      </c>
      <c r="H15" s="75">
        <v>47029.086846770144</v>
      </c>
      <c r="I15" s="75">
        <v>63246.597152480768</v>
      </c>
      <c r="J15" s="75">
        <v>37344.31318860325</v>
      </c>
      <c r="K15" s="75">
        <v>32766.460002622905</v>
      </c>
      <c r="L15" s="75">
        <v>37067.322943763262</v>
      </c>
      <c r="M15" s="75">
        <v>45934.642780972987</v>
      </c>
      <c r="N15" s="75">
        <v>39075.534127412699</v>
      </c>
      <c r="O15" s="75">
        <v>42283.208080073891</v>
      </c>
      <c r="P15" s="98">
        <f>SUM(D15:O15)</f>
        <v>481927.25242864195</v>
      </c>
    </row>
    <row r="16" spans="1:16" x14ac:dyDescent="0.25">
      <c r="D16" s="94"/>
      <c r="E16" s="94"/>
      <c r="F16" s="94"/>
      <c r="G16" s="79"/>
      <c r="H16" s="79"/>
      <c r="I16" s="79"/>
      <c r="J16" s="79"/>
      <c r="K16" s="79"/>
      <c r="L16" s="79"/>
      <c r="M16" s="79"/>
      <c r="N16" s="79"/>
      <c r="O16" s="79"/>
      <c r="P16" s="100"/>
    </row>
    <row r="17" spans="1:16" x14ac:dyDescent="0.25">
      <c r="A17" s="62">
        <v>12</v>
      </c>
      <c r="B17" s="61" t="s">
        <v>28</v>
      </c>
      <c r="C17" s="62" t="s">
        <v>22</v>
      </c>
      <c r="D17" s="95"/>
      <c r="E17" s="95"/>
      <c r="F17" s="95"/>
      <c r="G17" s="81"/>
      <c r="H17" s="81"/>
      <c r="I17" s="81"/>
      <c r="J17" s="81"/>
      <c r="K17" s="81"/>
      <c r="L17" s="81"/>
      <c r="M17" s="81"/>
      <c r="N17" s="81"/>
      <c r="O17" s="81"/>
      <c r="P17" s="99">
        <f>SUM(D17:O17)</f>
        <v>0</v>
      </c>
    </row>
    <row r="18" spans="1:16" ht="13" thickBot="1" x14ac:dyDescent="0.3">
      <c r="A18" s="62"/>
      <c r="D18" s="96"/>
      <c r="E18" s="96"/>
      <c r="F18" s="96"/>
      <c r="G18" s="88"/>
      <c r="H18" s="88"/>
      <c r="I18" s="88"/>
      <c r="J18" s="88"/>
      <c r="K18" s="88"/>
      <c r="L18" s="88"/>
      <c r="M18" s="88"/>
      <c r="N18" s="88"/>
      <c r="O18" s="88"/>
      <c r="P18" s="97"/>
    </row>
    <row r="19" spans="1:16" ht="13.5" thickTop="1" x14ac:dyDescent="0.3">
      <c r="B19" s="82" t="s">
        <v>19</v>
      </c>
      <c r="D19" s="101">
        <f>D11+D13+D15+D17</f>
        <v>412928.27607725654</v>
      </c>
      <c r="E19" s="101">
        <f t="shared" ref="E19:O19" si="0">E11+E13+E15+E17</f>
        <v>392477.34310658311</v>
      </c>
      <c r="F19" s="101">
        <f t="shared" si="0"/>
        <v>351933.58634410019</v>
      </c>
      <c r="G19" s="101">
        <f t="shared" si="0"/>
        <v>382368.87916057283</v>
      </c>
      <c r="H19" s="101">
        <f t="shared" si="0"/>
        <v>382226.01152408367</v>
      </c>
      <c r="I19" s="101">
        <f t="shared" si="0"/>
        <v>413920.88613074506</v>
      </c>
      <c r="J19" s="101">
        <f t="shared" si="0"/>
        <v>399629.19482998835</v>
      </c>
      <c r="K19" s="101">
        <f t="shared" si="0"/>
        <v>377009.47295426391</v>
      </c>
      <c r="L19" s="101">
        <f t="shared" si="0"/>
        <v>406176.01666312455</v>
      </c>
      <c r="M19" s="101">
        <f t="shared" si="0"/>
        <v>410969.12249161059</v>
      </c>
      <c r="N19" s="101">
        <f t="shared" si="0"/>
        <v>401853.83561608271</v>
      </c>
      <c r="O19" s="101">
        <f t="shared" si="0"/>
        <v>396894.59884957428</v>
      </c>
      <c r="P19" s="102">
        <f>SUM(D19:O19)</f>
        <v>4728387.2237479854</v>
      </c>
    </row>
    <row r="22" spans="1:16" ht="13" x14ac:dyDescent="0.3">
      <c r="B22" s="104" t="s">
        <v>30</v>
      </c>
      <c r="C22" s="104"/>
      <c r="D22" s="104"/>
      <c r="E22" s="104"/>
      <c r="F22" s="104"/>
      <c r="G22" s="104"/>
      <c r="H22" s="104"/>
      <c r="I22" s="104"/>
      <c r="J22" s="104"/>
      <c r="K22" s="104"/>
      <c r="L22" s="104"/>
      <c r="M22" s="104"/>
      <c r="N22" s="104"/>
      <c r="O22" s="92" t="s">
        <v>0</v>
      </c>
      <c r="P22" s="61"/>
    </row>
    <row r="23" spans="1:16" ht="13" x14ac:dyDescent="0.3">
      <c r="B23" s="63"/>
      <c r="C23" s="63"/>
      <c r="D23" s="63"/>
      <c r="E23" s="63"/>
      <c r="F23" s="63"/>
      <c r="G23" s="63"/>
      <c r="H23" s="63"/>
      <c r="I23" s="63"/>
      <c r="J23" s="63"/>
      <c r="K23" s="63"/>
      <c r="L23" s="63"/>
      <c r="M23" s="63"/>
      <c r="N23" s="63"/>
      <c r="O23" s="63"/>
      <c r="P23" s="61"/>
    </row>
    <row r="24" spans="1:16" ht="13" x14ac:dyDescent="0.3">
      <c r="B24" s="65"/>
      <c r="D24" s="66">
        <f>D8</f>
        <v>2018</v>
      </c>
      <c r="E24" s="67"/>
      <c r="F24" s="68"/>
      <c r="H24" s="67"/>
      <c r="I24" s="67"/>
      <c r="J24" s="70"/>
      <c r="K24" s="67"/>
      <c r="L24" s="67"/>
      <c r="M24" s="71"/>
      <c r="N24" s="67"/>
      <c r="O24" s="67"/>
      <c r="P24" s="68"/>
    </row>
    <row r="25" spans="1:16" ht="13" x14ac:dyDescent="0.3">
      <c r="A25" s="63" t="s">
        <v>1</v>
      </c>
      <c r="B25" s="63" t="s">
        <v>2</v>
      </c>
      <c r="C25" s="63" t="s">
        <v>3</v>
      </c>
      <c r="D25" s="72" t="s">
        <v>4</v>
      </c>
      <c r="E25" s="72" t="s">
        <v>5</v>
      </c>
      <c r="F25" s="72" t="s">
        <v>6</v>
      </c>
      <c r="G25" s="72" t="s">
        <v>7</v>
      </c>
      <c r="H25" s="72" t="s">
        <v>8</v>
      </c>
      <c r="I25" s="72" t="s">
        <v>9</v>
      </c>
      <c r="J25" s="72" t="s">
        <v>10</v>
      </c>
      <c r="K25" s="72" t="s">
        <v>11</v>
      </c>
      <c r="L25" s="72" t="s">
        <v>12</v>
      </c>
      <c r="M25" s="72" t="s">
        <v>13</v>
      </c>
      <c r="N25" s="72" t="s">
        <v>14</v>
      </c>
      <c r="O25" s="72" t="s">
        <v>15</v>
      </c>
      <c r="P25" s="73" t="s">
        <v>16</v>
      </c>
    </row>
    <row r="26" spans="1:16" ht="13" x14ac:dyDescent="0.3">
      <c r="A26" s="63"/>
      <c r="B26" s="63"/>
      <c r="C26" s="63"/>
      <c r="D26" s="72"/>
      <c r="E26" s="72"/>
      <c r="F26" s="72"/>
      <c r="G26" s="72"/>
      <c r="H26" s="72"/>
      <c r="I26" s="72"/>
      <c r="J26" s="72"/>
      <c r="K26" s="72"/>
      <c r="L26" s="72"/>
      <c r="M26" s="72"/>
      <c r="N26" s="72"/>
      <c r="O26" s="72"/>
      <c r="P26" s="73"/>
    </row>
    <row r="27" spans="1:16" ht="14.5" x14ac:dyDescent="0.35">
      <c r="A27" s="74">
        <v>4</v>
      </c>
      <c r="B27" s="61" t="s">
        <v>20</v>
      </c>
      <c r="C27" s="62" t="s">
        <v>17</v>
      </c>
      <c r="D27" s="75">
        <v>103957.75374888365</v>
      </c>
      <c r="E27" s="75">
        <v>99285.086291395419</v>
      </c>
      <c r="F27" s="75">
        <v>80167.180069079914</v>
      </c>
      <c r="G27" s="75">
        <v>74292.496209638863</v>
      </c>
      <c r="H27" s="75">
        <v>73581.354562531167</v>
      </c>
      <c r="I27" s="75">
        <v>66199.013680884062</v>
      </c>
      <c r="J27" s="75">
        <v>90695.336340037917</v>
      </c>
      <c r="K27" s="75">
        <v>75260.544737464879</v>
      </c>
      <c r="L27" s="75">
        <v>83449.677380672976</v>
      </c>
      <c r="M27" s="75">
        <v>78818.167753030895</v>
      </c>
      <c r="N27" s="75">
        <v>86026.160032266256</v>
      </c>
      <c r="O27" s="75">
        <v>86313.974793699206</v>
      </c>
      <c r="P27" s="98">
        <f>SUM(D27:O27)</f>
        <v>998046.74559958524</v>
      </c>
    </row>
    <row r="28" spans="1:16" x14ac:dyDescent="0.25">
      <c r="A28" s="74"/>
      <c r="D28" s="93"/>
      <c r="E28" s="93"/>
      <c r="F28" s="93"/>
      <c r="G28" s="93"/>
      <c r="H28" s="93"/>
      <c r="I28" s="93"/>
      <c r="J28" s="93"/>
      <c r="K28" s="93"/>
      <c r="L28" s="93"/>
      <c r="M28" s="93"/>
      <c r="N28" s="93"/>
      <c r="O28" s="93"/>
      <c r="P28" s="99"/>
    </row>
    <row r="29" spans="1:16" ht="14.5" x14ac:dyDescent="0.35">
      <c r="A29" s="74">
        <v>7</v>
      </c>
      <c r="B29" s="61" t="s">
        <v>21</v>
      </c>
      <c r="C29" s="62" t="s">
        <v>22</v>
      </c>
      <c r="D29" s="75">
        <v>252804.95129169445</v>
      </c>
      <c r="E29" s="75">
        <v>236603.89706993586</v>
      </c>
      <c r="F29" s="75">
        <v>221865.23796563546</v>
      </c>
      <c r="G29" s="75">
        <v>243156.71171979178</v>
      </c>
      <c r="H29" s="75">
        <v>240495.59513885103</v>
      </c>
      <c r="I29" s="75">
        <v>262818.16347961221</v>
      </c>
      <c r="J29" s="75">
        <v>248309.00539194437</v>
      </c>
      <c r="K29" s="75">
        <v>247304.97858847727</v>
      </c>
      <c r="L29" s="75">
        <v>262303.83250325173</v>
      </c>
      <c r="M29" s="75">
        <v>263269.69923647644</v>
      </c>
      <c r="N29" s="75">
        <v>253634.65236835033</v>
      </c>
      <c r="O29" s="75">
        <v>245609.95718795303</v>
      </c>
      <c r="P29" s="98">
        <f>SUM(D29:O29)</f>
        <v>2978176.681941974</v>
      </c>
    </row>
    <row r="30" spans="1:16" x14ac:dyDescent="0.25">
      <c r="A30" s="74"/>
      <c r="D30" s="93"/>
      <c r="E30" s="93"/>
      <c r="F30" s="93"/>
      <c r="G30" s="93"/>
      <c r="H30" s="93"/>
      <c r="I30" s="93"/>
      <c r="J30" s="93"/>
      <c r="K30" s="93"/>
      <c r="L30" s="93"/>
      <c r="M30" s="93"/>
      <c r="N30" s="93"/>
      <c r="O30" s="93"/>
      <c r="P30" s="99"/>
    </row>
    <row r="31" spans="1:16" ht="14.5" x14ac:dyDescent="0.35">
      <c r="A31" s="74">
        <v>9</v>
      </c>
      <c r="B31" s="61" t="s">
        <v>23</v>
      </c>
      <c r="C31" s="62" t="s">
        <v>18</v>
      </c>
      <c r="D31" s="75">
        <v>30268.895868137399</v>
      </c>
      <c r="E31" s="75">
        <v>32026.130369197661</v>
      </c>
      <c r="F31" s="75">
        <v>28225.608369332615</v>
      </c>
      <c r="G31" s="75">
        <v>42140.997509401066</v>
      </c>
      <c r="H31" s="75">
        <v>45480.036793580781</v>
      </c>
      <c r="I31" s="75">
        <v>61163.372679032909</v>
      </c>
      <c r="J31" s="75">
        <v>36114.261443826523</v>
      </c>
      <c r="K31" s="75">
        <v>31687.194169219296</v>
      </c>
      <c r="L31" s="75">
        <v>35846.39473895447</v>
      </c>
      <c r="M31" s="75">
        <v>44421.641665834657</v>
      </c>
      <c r="N31" s="75">
        <v>37788.459206828134</v>
      </c>
      <c r="O31" s="75">
        <v>40890.478386238603</v>
      </c>
      <c r="P31" s="98">
        <f>SUM(D31:O31)</f>
        <v>466053.47119958414</v>
      </c>
    </row>
    <row r="32" spans="1:16" x14ac:dyDescent="0.25">
      <c r="D32" s="94"/>
      <c r="E32" s="94"/>
      <c r="F32" s="94"/>
      <c r="G32" s="79"/>
      <c r="H32" s="79"/>
      <c r="I32" s="79"/>
      <c r="J32" s="79"/>
      <c r="K32" s="79"/>
      <c r="L32" s="79"/>
      <c r="M32" s="79"/>
      <c r="N32" s="79"/>
      <c r="O32" s="79"/>
      <c r="P32" s="100"/>
    </row>
    <row r="33" spans="1:16" x14ac:dyDescent="0.25">
      <c r="A33" s="62">
        <v>12</v>
      </c>
      <c r="B33" s="61" t="s">
        <v>28</v>
      </c>
      <c r="C33" s="62" t="s">
        <v>22</v>
      </c>
      <c r="D33" s="95"/>
      <c r="E33" s="95"/>
      <c r="F33" s="95"/>
      <c r="G33" s="81"/>
      <c r="H33" s="81"/>
      <c r="I33" s="81"/>
      <c r="J33" s="81"/>
      <c r="K33" s="81"/>
      <c r="L33" s="81"/>
      <c r="M33" s="81"/>
      <c r="N33" s="81"/>
      <c r="O33" s="81"/>
      <c r="P33" s="99">
        <f>SUM(D33:O33)</f>
        <v>0</v>
      </c>
    </row>
    <row r="34" spans="1:16" ht="13" thickBot="1" x14ac:dyDescent="0.3">
      <c r="A34" s="62"/>
      <c r="D34" s="96"/>
      <c r="E34" s="96"/>
      <c r="F34" s="96"/>
      <c r="G34" s="88"/>
      <c r="H34" s="88"/>
      <c r="I34" s="88"/>
      <c r="J34" s="88"/>
      <c r="K34" s="88"/>
      <c r="L34" s="88"/>
      <c r="M34" s="88"/>
      <c r="N34" s="88"/>
      <c r="O34" s="88"/>
      <c r="P34" s="97"/>
    </row>
    <row r="35" spans="1:16" ht="13.5" thickTop="1" x14ac:dyDescent="0.3">
      <c r="B35" s="82" t="s">
        <v>37</v>
      </c>
      <c r="D35" s="101">
        <f>D27+D29+D31+D33</f>
        <v>387031.60090871551</v>
      </c>
      <c r="E35" s="101">
        <f t="shared" ref="E35:O35" si="1">E27+E29+E31+E33</f>
        <v>367915.11373052892</v>
      </c>
      <c r="F35" s="101">
        <f t="shared" si="1"/>
        <v>330258.02640404797</v>
      </c>
      <c r="G35" s="101">
        <f t="shared" si="1"/>
        <v>359590.2054388317</v>
      </c>
      <c r="H35" s="101">
        <f t="shared" si="1"/>
        <v>359556.986494963</v>
      </c>
      <c r="I35" s="101">
        <f t="shared" si="1"/>
        <v>390180.54983952915</v>
      </c>
      <c r="J35" s="101">
        <f t="shared" si="1"/>
        <v>375118.60317580885</v>
      </c>
      <c r="K35" s="101">
        <f t="shared" si="1"/>
        <v>354252.71749516146</v>
      </c>
      <c r="L35" s="101">
        <f t="shared" si="1"/>
        <v>381599.90462287923</v>
      </c>
      <c r="M35" s="101">
        <f t="shared" si="1"/>
        <v>386509.50865534198</v>
      </c>
      <c r="N35" s="101">
        <f t="shared" si="1"/>
        <v>377449.27160744474</v>
      </c>
      <c r="O35" s="101">
        <f t="shared" si="1"/>
        <v>372814.41036789084</v>
      </c>
      <c r="P35" s="102">
        <f>SUM(D35:O35)</f>
        <v>4442276.8987411438</v>
      </c>
    </row>
    <row r="36" spans="1:16" x14ac:dyDescent="0.25">
      <c r="A36" s="74"/>
      <c r="D36" s="84"/>
      <c r="E36" s="84"/>
      <c r="F36" s="84"/>
      <c r="G36" s="84"/>
      <c r="H36" s="84"/>
      <c r="I36" s="84"/>
      <c r="J36" s="84"/>
      <c r="K36" s="84"/>
      <c r="L36" s="84"/>
      <c r="M36" s="84"/>
      <c r="N36" s="84"/>
      <c r="O36" s="84"/>
      <c r="P36" s="85"/>
    </row>
    <row r="37" spans="1:16" x14ac:dyDescent="0.25">
      <c r="A37" s="74"/>
      <c r="D37" s="84"/>
      <c r="E37" s="84"/>
      <c r="F37" s="84"/>
      <c r="G37" s="84"/>
      <c r="H37" s="84"/>
      <c r="I37" s="84"/>
      <c r="J37" s="84"/>
      <c r="K37" s="84"/>
      <c r="L37" s="84"/>
      <c r="M37" s="84"/>
      <c r="N37" s="84"/>
      <c r="O37" s="84"/>
      <c r="P37" s="85"/>
    </row>
    <row r="38" spans="1:16" ht="13" x14ac:dyDescent="0.3">
      <c r="B38" s="104" t="s">
        <v>31</v>
      </c>
      <c r="C38" s="104"/>
      <c r="D38" s="104"/>
      <c r="E38" s="104"/>
      <c r="F38" s="104"/>
      <c r="G38" s="104"/>
      <c r="H38" s="104"/>
      <c r="I38" s="104"/>
      <c r="J38" s="104"/>
      <c r="K38" s="104"/>
      <c r="L38" s="104"/>
      <c r="M38" s="104"/>
      <c r="N38" s="104"/>
      <c r="O38" s="92" t="s">
        <v>0</v>
      </c>
      <c r="P38" s="61"/>
    </row>
    <row r="39" spans="1:16" ht="13" x14ac:dyDescent="0.3">
      <c r="B39" s="63"/>
      <c r="C39" s="63"/>
      <c r="D39" s="63"/>
      <c r="E39" s="63"/>
      <c r="F39" s="63"/>
      <c r="G39" s="63"/>
      <c r="H39" s="63"/>
      <c r="I39" s="63"/>
      <c r="J39" s="63"/>
      <c r="K39" s="63"/>
      <c r="L39" s="63"/>
      <c r="M39" s="63"/>
      <c r="N39" s="63"/>
      <c r="O39" s="63"/>
      <c r="P39" s="61"/>
    </row>
    <row r="40" spans="1:16" ht="13" x14ac:dyDescent="0.3">
      <c r="B40" s="65"/>
      <c r="D40" s="66">
        <f>D8</f>
        <v>2018</v>
      </c>
      <c r="E40" s="67"/>
      <c r="F40" s="68"/>
      <c r="H40" s="67"/>
      <c r="I40" s="67"/>
      <c r="J40" s="70"/>
      <c r="K40" s="67"/>
      <c r="L40" s="67"/>
      <c r="M40" s="71"/>
      <c r="N40" s="67"/>
      <c r="O40" s="67"/>
      <c r="P40" s="68"/>
    </row>
    <row r="41" spans="1:16" ht="13" x14ac:dyDescent="0.3">
      <c r="A41" s="63" t="s">
        <v>1</v>
      </c>
      <c r="B41" s="63" t="s">
        <v>2</v>
      </c>
      <c r="C41" s="63" t="s">
        <v>3</v>
      </c>
      <c r="D41" s="72" t="s">
        <v>4</v>
      </c>
      <c r="E41" s="72" t="s">
        <v>5</v>
      </c>
      <c r="F41" s="72" t="s">
        <v>6</v>
      </c>
      <c r="G41" s="72" t="s">
        <v>7</v>
      </c>
      <c r="H41" s="72" t="s">
        <v>8</v>
      </c>
      <c r="I41" s="72" t="s">
        <v>9</v>
      </c>
      <c r="J41" s="72" t="s">
        <v>10</v>
      </c>
      <c r="K41" s="72" t="s">
        <v>11</v>
      </c>
      <c r="L41" s="72" t="s">
        <v>12</v>
      </c>
      <c r="M41" s="72" t="s">
        <v>13</v>
      </c>
      <c r="N41" s="72" t="s">
        <v>14</v>
      </c>
      <c r="O41" s="72" t="s">
        <v>15</v>
      </c>
      <c r="P41" s="73" t="s">
        <v>16</v>
      </c>
    </row>
    <row r="42" spans="1:16" ht="13" x14ac:dyDescent="0.3">
      <c r="A42" s="63"/>
      <c r="B42" s="63"/>
      <c r="C42" s="63"/>
      <c r="D42" s="72"/>
      <c r="E42" s="72"/>
      <c r="F42" s="72"/>
      <c r="G42" s="72"/>
      <c r="H42" s="72"/>
      <c r="I42" s="72"/>
      <c r="J42" s="72"/>
      <c r="K42" s="72"/>
      <c r="L42" s="72"/>
      <c r="M42" s="72"/>
      <c r="N42" s="72"/>
      <c r="O42" s="72"/>
      <c r="P42" s="73"/>
    </row>
    <row r="43" spans="1:16" ht="14.5" x14ac:dyDescent="0.35">
      <c r="A43" s="74">
        <v>4</v>
      </c>
      <c r="B43" s="61" t="s">
        <v>20</v>
      </c>
      <c r="C43" s="62" t="s">
        <v>17</v>
      </c>
      <c r="D43" s="75">
        <v>90792.267220560578</v>
      </c>
      <c r="E43" s="75">
        <v>83485.177423550762</v>
      </c>
      <c r="F43" s="75">
        <v>64560.451824099546</v>
      </c>
      <c r="G43" s="75">
        <v>67061.121810124765</v>
      </c>
      <c r="H43" s="75">
        <v>65323.529834365414</v>
      </c>
      <c r="I43" s="75">
        <v>59994.265209219229</v>
      </c>
      <c r="J43" s="75">
        <v>81389.580976620506</v>
      </c>
      <c r="K43" s="75">
        <v>69016.95167924861</v>
      </c>
      <c r="L43" s="75">
        <v>75278.060646196085</v>
      </c>
      <c r="M43" s="75">
        <v>67535.026015421987</v>
      </c>
      <c r="N43" s="75">
        <v>69931.955112962794</v>
      </c>
      <c r="O43" s="75">
        <v>72202.070475834931</v>
      </c>
      <c r="P43" s="98">
        <f>SUM(D43:O43)</f>
        <v>866570.4582282051</v>
      </c>
    </row>
    <row r="44" spans="1:16" x14ac:dyDescent="0.25">
      <c r="A44" s="74"/>
      <c r="D44" s="93"/>
      <c r="E44" s="93"/>
      <c r="F44" s="93"/>
      <c r="G44" s="93"/>
      <c r="H44" s="93"/>
      <c r="I44" s="93"/>
      <c r="J44" s="93"/>
      <c r="K44" s="93"/>
      <c r="L44" s="93"/>
      <c r="M44" s="93"/>
      <c r="N44" s="93"/>
      <c r="O44" s="93"/>
      <c r="P44" s="99"/>
    </row>
    <row r="45" spans="1:16" ht="14.5" x14ac:dyDescent="0.35">
      <c r="A45" s="74">
        <v>7</v>
      </c>
      <c r="B45" s="61" t="s">
        <v>21</v>
      </c>
      <c r="C45" s="62" t="s">
        <v>22</v>
      </c>
      <c r="D45" s="75">
        <v>221695.36279170692</v>
      </c>
      <c r="E45" s="75">
        <v>208026.52903880217</v>
      </c>
      <c r="F45" s="75">
        <v>195526.48062852063</v>
      </c>
      <c r="G45" s="75">
        <v>222362.78591701141</v>
      </c>
      <c r="H45" s="75">
        <v>210155.11105785501</v>
      </c>
      <c r="I45" s="75">
        <v>235132.3614347711</v>
      </c>
      <c r="J45" s="75">
        <v>222279.50315810778</v>
      </c>
      <c r="K45" s="75">
        <v>223454.01788363358</v>
      </c>
      <c r="L45" s="75">
        <v>238454.01112759186</v>
      </c>
      <c r="M45" s="75">
        <v>226065.82633122406</v>
      </c>
      <c r="N45" s="75">
        <v>224777.70974733779</v>
      </c>
      <c r="O45" s="75">
        <v>222455.91978589472</v>
      </c>
      <c r="P45" s="98">
        <f>SUM(D45:O45)</f>
        <v>2650385.6189024574</v>
      </c>
    </row>
    <row r="46" spans="1:16" x14ac:dyDescent="0.25">
      <c r="A46" s="74"/>
      <c r="D46" s="93"/>
      <c r="E46" s="93"/>
      <c r="F46" s="93"/>
      <c r="G46" s="93"/>
      <c r="H46" s="93"/>
      <c r="I46" s="93"/>
      <c r="J46" s="93"/>
      <c r="K46" s="93"/>
      <c r="L46" s="93"/>
      <c r="M46" s="93"/>
      <c r="N46" s="93"/>
      <c r="O46" s="93"/>
      <c r="P46" s="99"/>
    </row>
    <row r="47" spans="1:16" ht="14.5" x14ac:dyDescent="0.35">
      <c r="A47" s="74">
        <v>9</v>
      </c>
      <c r="B47" s="61" t="s">
        <v>23</v>
      </c>
      <c r="C47" s="62" t="s">
        <v>18</v>
      </c>
      <c r="D47" s="75">
        <v>24636.90109627229</v>
      </c>
      <c r="E47" s="75">
        <v>24898.476703128206</v>
      </c>
      <c r="F47" s="75">
        <v>22082.302532259455</v>
      </c>
      <c r="G47" s="75">
        <v>30478.213217428238</v>
      </c>
      <c r="H47" s="75">
        <v>40713.739143149258</v>
      </c>
      <c r="I47" s="75">
        <v>51038.412228788919</v>
      </c>
      <c r="J47" s="75">
        <v>29759.6631622165</v>
      </c>
      <c r="K47" s="75">
        <v>26702.110480935724</v>
      </c>
      <c r="L47" s="75">
        <v>30505.507435205112</v>
      </c>
      <c r="M47" s="75">
        <v>36433.354145346704</v>
      </c>
      <c r="N47" s="75">
        <v>29839.187621288882</v>
      </c>
      <c r="O47" s="75">
        <v>33260.078275368949</v>
      </c>
      <c r="P47" s="98">
        <f>SUM(D47:O47)</f>
        <v>380347.9460413882</v>
      </c>
    </row>
    <row r="48" spans="1:16" x14ac:dyDescent="0.25">
      <c r="D48" s="94"/>
      <c r="E48" s="94"/>
      <c r="F48" s="94"/>
      <c r="G48" s="79"/>
      <c r="H48" s="79"/>
      <c r="I48" s="79"/>
      <c r="J48" s="79"/>
      <c r="K48" s="79"/>
      <c r="L48" s="79"/>
      <c r="M48" s="79"/>
      <c r="N48" s="79"/>
      <c r="O48" s="79"/>
      <c r="P48" s="100"/>
    </row>
    <row r="49" spans="1:16" x14ac:dyDescent="0.25">
      <c r="A49" s="62">
        <v>12</v>
      </c>
      <c r="B49" s="61" t="s">
        <v>28</v>
      </c>
      <c r="C49" s="62" t="s">
        <v>22</v>
      </c>
      <c r="D49" s="95"/>
      <c r="E49" s="95"/>
      <c r="F49" s="95"/>
      <c r="G49" s="81"/>
      <c r="H49" s="81"/>
      <c r="I49" s="81"/>
      <c r="J49" s="81"/>
      <c r="K49" s="81"/>
      <c r="L49" s="81"/>
      <c r="M49" s="81"/>
      <c r="N49" s="81"/>
      <c r="O49" s="81"/>
      <c r="P49" s="99">
        <f>SUM(D49:O49)</f>
        <v>0</v>
      </c>
    </row>
    <row r="50" spans="1:16" ht="13" thickBot="1" x14ac:dyDescent="0.3">
      <c r="A50" s="62"/>
      <c r="D50" s="96"/>
      <c r="E50" s="96"/>
      <c r="F50" s="96"/>
      <c r="G50" s="88"/>
      <c r="H50" s="88"/>
      <c r="I50" s="88"/>
      <c r="J50" s="88"/>
      <c r="K50" s="88"/>
      <c r="L50" s="88"/>
      <c r="M50" s="88"/>
      <c r="N50" s="88"/>
      <c r="O50" s="88"/>
      <c r="P50" s="97"/>
    </row>
    <row r="51" spans="1:16" ht="13.5" thickTop="1" x14ac:dyDescent="0.3">
      <c r="B51" s="82" t="s">
        <v>19</v>
      </c>
      <c r="D51" s="101">
        <f>D43+D45+D47+D49</f>
        <v>337124.53110853978</v>
      </c>
      <c r="E51" s="101">
        <f t="shared" ref="E51:O51" si="2">E43+E45+E47+E49</f>
        <v>316410.18316548114</v>
      </c>
      <c r="F51" s="101">
        <f t="shared" si="2"/>
        <v>282169.23498487961</v>
      </c>
      <c r="G51" s="101">
        <f t="shared" si="2"/>
        <v>319902.12094456441</v>
      </c>
      <c r="H51" s="101">
        <f t="shared" si="2"/>
        <v>316192.38003536966</v>
      </c>
      <c r="I51" s="101">
        <f t="shared" si="2"/>
        <v>346165.03887277923</v>
      </c>
      <c r="J51" s="101">
        <f t="shared" si="2"/>
        <v>333428.74729694478</v>
      </c>
      <c r="K51" s="101">
        <f t="shared" si="2"/>
        <v>319173.08004381793</v>
      </c>
      <c r="L51" s="101">
        <f t="shared" si="2"/>
        <v>344237.57920899306</v>
      </c>
      <c r="M51" s="101">
        <f t="shared" si="2"/>
        <v>330034.20649199269</v>
      </c>
      <c r="N51" s="101">
        <f t="shared" si="2"/>
        <v>324548.85248158948</v>
      </c>
      <c r="O51" s="101">
        <f t="shared" si="2"/>
        <v>327918.06853709859</v>
      </c>
      <c r="P51" s="102">
        <f>SUM(D51:O51)</f>
        <v>3897304.0231720507</v>
      </c>
    </row>
    <row r="52" spans="1:16" x14ac:dyDescent="0.25">
      <c r="A52" s="74"/>
      <c r="D52" s="84"/>
      <c r="E52" s="84"/>
      <c r="F52" s="84"/>
      <c r="G52" s="84"/>
      <c r="H52" s="84"/>
      <c r="I52" s="84"/>
      <c r="J52" s="84"/>
      <c r="K52" s="84"/>
      <c r="L52" s="84"/>
      <c r="M52" s="84"/>
      <c r="N52" s="84"/>
      <c r="O52" s="84"/>
      <c r="P52" s="85"/>
    </row>
    <row r="53" spans="1:16" x14ac:dyDescent="0.25">
      <c r="A53" s="74"/>
      <c r="D53" s="84"/>
      <c r="E53" s="84"/>
      <c r="F53" s="84"/>
      <c r="G53" s="84"/>
      <c r="H53" s="84"/>
      <c r="I53" s="84"/>
      <c r="J53" s="84"/>
      <c r="K53" s="84"/>
      <c r="L53" s="84"/>
      <c r="M53" s="84"/>
      <c r="N53" s="84"/>
      <c r="O53" s="84"/>
      <c r="P53" s="85"/>
    </row>
    <row r="54" spans="1:16" ht="13" x14ac:dyDescent="0.3">
      <c r="B54" s="104" t="s">
        <v>32</v>
      </c>
      <c r="C54" s="104"/>
      <c r="D54" s="104"/>
      <c r="E54" s="104"/>
      <c r="F54" s="104"/>
      <c r="G54" s="104"/>
      <c r="H54" s="104"/>
      <c r="I54" s="104"/>
      <c r="J54" s="104"/>
      <c r="K54" s="104"/>
      <c r="L54" s="104"/>
      <c r="M54" s="104"/>
      <c r="N54" s="104"/>
      <c r="O54" s="92" t="s">
        <v>0</v>
      </c>
      <c r="P54" s="61"/>
    </row>
    <row r="55" spans="1:16" ht="13" x14ac:dyDescent="0.3">
      <c r="B55" s="63"/>
      <c r="C55" s="63"/>
      <c r="D55" s="63"/>
      <c r="E55" s="63"/>
      <c r="F55" s="63"/>
      <c r="G55" s="63"/>
      <c r="H55" s="63"/>
      <c r="I55" s="63"/>
      <c r="J55" s="63"/>
      <c r="K55" s="63"/>
      <c r="L55" s="63"/>
      <c r="M55" s="63"/>
      <c r="N55" s="63"/>
      <c r="O55" s="63"/>
      <c r="P55" s="61"/>
    </row>
    <row r="56" spans="1:16" ht="13" x14ac:dyDescent="0.3">
      <c r="B56" s="65"/>
      <c r="D56" s="66">
        <f>D8</f>
        <v>2018</v>
      </c>
      <c r="E56" s="67"/>
      <c r="F56" s="68"/>
      <c r="H56" s="67"/>
      <c r="I56" s="67"/>
      <c r="J56" s="70"/>
      <c r="K56" s="67"/>
      <c r="L56" s="67"/>
      <c r="M56" s="71"/>
      <c r="N56" s="67"/>
      <c r="O56" s="67"/>
      <c r="P56" s="68"/>
    </row>
    <row r="57" spans="1:16" ht="13" x14ac:dyDescent="0.3">
      <c r="A57" s="63" t="s">
        <v>1</v>
      </c>
      <c r="B57" s="63" t="s">
        <v>2</v>
      </c>
      <c r="C57" s="63" t="s">
        <v>3</v>
      </c>
      <c r="D57" s="72" t="s">
        <v>4</v>
      </c>
      <c r="E57" s="72" t="s">
        <v>5</v>
      </c>
      <c r="F57" s="72" t="s">
        <v>6</v>
      </c>
      <c r="G57" s="72" t="s">
        <v>7</v>
      </c>
      <c r="H57" s="72" t="s">
        <v>8</v>
      </c>
      <c r="I57" s="72" t="s">
        <v>9</v>
      </c>
      <c r="J57" s="72" t="s">
        <v>10</v>
      </c>
      <c r="K57" s="72" t="s">
        <v>11</v>
      </c>
      <c r="L57" s="72" t="s">
        <v>12</v>
      </c>
      <c r="M57" s="72" t="s">
        <v>13</v>
      </c>
      <c r="N57" s="72" t="s">
        <v>14</v>
      </c>
      <c r="O57" s="72" t="s">
        <v>15</v>
      </c>
      <c r="P57" s="73" t="s">
        <v>16</v>
      </c>
    </row>
    <row r="58" spans="1:16" ht="13" x14ac:dyDescent="0.3">
      <c r="A58" s="63"/>
      <c r="B58" s="63"/>
      <c r="C58" s="63"/>
      <c r="D58" s="72"/>
      <c r="E58" s="72"/>
      <c r="F58" s="72"/>
      <c r="G58" s="72"/>
      <c r="H58" s="72"/>
      <c r="I58" s="72"/>
      <c r="J58" s="72"/>
      <c r="K58" s="72"/>
      <c r="L58" s="72"/>
      <c r="M58" s="72"/>
      <c r="N58" s="72"/>
      <c r="O58" s="72"/>
      <c r="P58" s="73"/>
    </row>
    <row r="59" spans="1:16" ht="14.5" x14ac:dyDescent="0.35">
      <c r="A59" s="74">
        <v>4</v>
      </c>
      <c r="B59" s="61" t="s">
        <v>20</v>
      </c>
      <c r="C59" s="62" t="s">
        <v>17</v>
      </c>
      <c r="D59" s="75">
        <v>82527.921192357855</v>
      </c>
      <c r="E59" s="75">
        <v>75885.95762680273</v>
      </c>
      <c r="F59" s="75">
        <v>58683.850986328594</v>
      </c>
      <c r="G59" s="75">
        <v>60956.898040362823</v>
      </c>
      <c r="H59" s="75">
        <v>59377.469989606238</v>
      </c>
      <c r="I59" s="75">
        <v>54533.300497408716</v>
      </c>
      <c r="J59" s="75">
        <v>73981.112382624488</v>
      </c>
      <c r="K59" s="75">
        <v>62734.698928544189</v>
      </c>
      <c r="L59" s="75">
        <v>68425.891837580741</v>
      </c>
      <c r="M59" s="75">
        <v>61387.665220264673</v>
      </c>
      <c r="N59" s="75">
        <v>63566.414377227251</v>
      </c>
      <c r="O59" s="75">
        <v>65629.892991650995</v>
      </c>
      <c r="P59" s="98">
        <f>SUM(D59:O59)</f>
        <v>787691.07407075923</v>
      </c>
    </row>
    <row r="60" spans="1:16" x14ac:dyDescent="0.25">
      <c r="A60" s="74"/>
      <c r="D60" s="77"/>
      <c r="E60" s="77"/>
      <c r="F60" s="77"/>
      <c r="G60" s="77"/>
      <c r="H60" s="77"/>
      <c r="I60" s="77"/>
      <c r="J60" s="77"/>
      <c r="K60" s="77"/>
      <c r="L60" s="77"/>
      <c r="M60" s="77"/>
      <c r="N60" s="77"/>
      <c r="O60" s="77"/>
      <c r="P60" s="99"/>
    </row>
    <row r="61" spans="1:16" ht="14.5" x14ac:dyDescent="0.35">
      <c r="A61" s="74">
        <v>7</v>
      </c>
      <c r="B61" s="61" t="s">
        <v>21</v>
      </c>
      <c r="C61" s="62" t="s">
        <v>22</v>
      </c>
      <c r="D61" s="75">
        <v>209704.46167323153</v>
      </c>
      <c r="E61" s="75">
        <v>196774.93807942088</v>
      </c>
      <c r="F61" s="75">
        <v>184950.98339783255</v>
      </c>
      <c r="G61" s="75">
        <v>210335.7856911892</v>
      </c>
      <c r="H61" s="75">
        <v>198788.39086802155</v>
      </c>
      <c r="I61" s="75">
        <v>222414.68948974734</v>
      </c>
      <c r="J61" s="75">
        <v>210257.00747092054</v>
      </c>
      <c r="K61" s="75">
        <v>211367.99587925762</v>
      </c>
      <c r="L61" s="75">
        <v>225556.68015625709</v>
      </c>
      <c r="M61" s="75">
        <v>213838.53868898773</v>
      </c>
      <c r="N61" s="75">
        <v>212620.09283881439</v>
      </c>
      <c r="O61" s="75">
        <v>210423.88220160684</v>
      </c>
      <c r="P61" s="98">
        <f>SUM(D61:O61)</f>
        <v>2507033.4464352871</v>
      </c>
    </row>
    <row r="62" spans="1:16" x14ac:dyDescent="0.25">
      <c r="A62" s="74"/>
      <c r="D62" s="77"/>
      <c r="E62" s="77"/>
      <c r="F62" s="77"/>
      <c r="G62" s="77"/>
      <c r="H62" s="77"/>
      <c r="I62" s="77"/>
      <c r="J62" s="77"/>
      <c r="K62" s="77"/>
      <c r="L62" s="77"/>
      <c r="M62" s="77"/>
      <c r="N62" s="77"/>
      <c r="O62" s="77"/>
      <c r="P62" s="99"/>
    </row>
    <row r="63" spans="1:16" ht="14.5" x14ac:dyDescent="0.35">
      <c r="A63" s="74">
        <v>9</v>
      </c>
      <c r="B63" s="61" t="s">
        <v>23</v>
      </c>
      <c r="C63" s="62" t="s">
        <v>18</v>
      </c>
      <c r="D63" s="75">
        <v>23825.40770968057</v>
      </c>
      <c r="E63" s="75">
        <v>24078.367505878003</v>
      </c>
      <c r="F63" s="75">
        <v>21354.952838577505</v>
      </c>
      <c r="G63" s="75">
        <v>29474.317948115426</v>
      </c>
      <c r="H63" s="75">
        <v>39372.704817079531</v>
      </c>
      <c r="I63" s="75">
        <v>49357.302505453183</v>
      </c>
      <c r="J63" s="75">
        <v>28779.435586152158</v>
      </c>
      <c r="K63" s="75">
        <v>25822.592964562718</v>
      </c>
      <c r="L63" s="75">
        <v>29500.713145470392</v>
      </c>
      <c r="M63" s="75">
        <v>35233.307685575986</v>
      </c>
      <c r="N63" s="75">
        <v>28856.340658461679</v>
      </c>
      <c r="O63" s="75">
        <v>32164.553580419848</v>
      </c>
      <c r="P63" s="98">
        <f>SUM(D63:O63)</f>
        <v>367819.99694542697</v>
      </c>
    </row>
    <row r="64" spans="1:16" x14ac:dyDescent="0.25">
      <c r="D64" s="78"/>
      <c r="E64" s="78"/>
      <c r="F64" s="78"/>
      <c r="G64" s="79"/>
      <c r="H64" s="79"/>
      <c r="I64" s="79"/>
      <c r="J64" s="79"/>
      <c r="K64" s="79"/>
      <c r="L64" s="79"/>
      <c r="M64" s="79"/>
      <c r="N64" s="79"/>
      <c r="O64" s="79"/>
      <c r="P64" s="100"/>
    </row>
    <row r="65" spans="1:16" x14ac:dyDescent="0.25">
      <c r="A65" s="62">
        <v>12</v>
      </c>
      <c r="B65" s="61" t="s">
        <v>28</v>
      </c>
      <c r="C65" s="62" t="s">
        <v>22</v>
      </c>
      <c r="D65" s="80"/>
      <c r="E65" s="80"/>
      <c r="F65" s="80"/>
      <c r="G65" s="81"/>
      <c r="H65" s="81"/>
      <c r="I65" s="81"/>
      <c r="J65" s="81"/>
      <c r="K65" s="81"/>
      <c r="L65" s="81"/>
      <c r="M65" s="81"/>
      <c r="N65" s="81"/>
      <c r="O65" s="81"/>
      <c r="P65" s="99">
        <f>SUM(D65:O65)</f>
        <v>0</v>
      </c>
    </row>
    <row r="66" spans="1:16" ht="13" thickBot="1" x14ac:dyDescent="0.3">
      <c r="A66" s="62"/>
      <c r="D66" s="87"/>
      <c r="E66" s="87"/>
      <c r="F66" s="87"/>
      <c r="G66" s="88"/>
      <c r="H66" s="88"/>
      <c r="I66" s="88"/>
      <c r="J66" s="88"/>
      <c r="K66" s="88"/>
      <c r="L66" s="88"/>
      <c r="M66" s="88"/>
      <c r="N66" s="88"/>
      <c r="O66" s="88"/>
      <c r="P66" s="89"/>
    </row>
    <row r="67" spans="1:16" ht="13.5" thickTop="1" x14ac:dyDescent="0.3">
      <c r="B67" s="82" t="s">
        <v>37</v>
      </c>
      <c r="D67" s="101">
        <f>D59+D61+D63+D65</f>
        <v>316057.79057526996</v>
      </c>
      <c r="E67" s="101">
        <f t="shared" ref="E67:O67" si="3">E59+E61+E63+E65</f>
        <v>296739.26321210159</v>
      </c>
      <c r="F67" s="101">
        <f t="shared" si="3"/>
        <v>264989.78722273861</v>
      </c>
      <c r="G67" s="101">
        <f t="shared" si="3"/>
        <v>300767.00167966745</v>
      </c>
      <c r="H67" s="101">
        <f t="shared" si="3"/>
        <v>297538.56567470729</v>
      </c>
      <c r="I67" s="101">
        <f t="shared" si="3"/>
        <v>326305.29249260924</v>
      </c>
      <c r="J67" s="101">
        <f t="shared" si="3"/>
        <v>313017.55543969717</v>
      </c>
      <c r="K67" s="101">
        <f t="shared" si="3"/>
        <v>299925.28777236451</v>
      </c>
      <c r="L67" s="101">
        <f t="shared" si="3"/>
        <v>323483.28513930819</v>
      </c>
      <c r="M67" s="101">
        <f t="shared" si="3"/>
        <v>310459.51159482839</v>
      </c>
      <c r="N67" s="101">
        <f t="shared" si="3"/>
        <v>305042.84787450335</v>
      </c>
      <c r="O67" s="101">
        <f t="shared" si="3"/>
        <v>308218.3287736777</v>
      </c>
      <c r="P67" s="102">
        <f>SUM(D67:O67)</f>
        <v>3662544.517451474</v>
      </c>
    </row>
    <row r="68" spans="1:16" ht="13" x14ac:dyDescent="0.3">
      <c r="B68" s="82"/>
      <c r="D68" s="83"/>
      <c r="E68" s="83"/>
      <c r="F68" s="83"/>
      <c r="G68" s="83"/>
      <c r="H68" s="83"/>
      <c r="I68" s="83"/>
      <c r="J68" s="83"/>
      <c r="K68" s="83"/>
      <c r="L68" s="83"/>
      <c r="M68" s="83"/>
      <c r="N68" s="83"/>
      <c r="O68" s="83"/>
      <c r="P68" s="76"/>
    </row>
    <row r="69" spans="1:16" ht="13" x14ac:dyDescent="0.3">
      <c r="B69" s="105" t="s">
        <v>109</v>
      </c>
      <c r="C69" s="105"/>
      <c r="D69" s="105"/>
      <c r="E69" s="105"/>
      <c r="F69" s="105"/>
      <c r="G69" s="105"/>
      <c r="H69" s="105"/>
      <c r="I69" s="105"/>
      <c r="J69" s="105"/>
      <c r="K69" s="105"/>
      <c r="L69" s="105"/>
      <c r="M69" s="105"/>
      <c r="N69" s="105"/>
      <c r="O69" s="105"/>
    </row>
    <row r="70" spans="1:16" ht="13" x14ac:dyDescent="0.3">
      <c r="B70" s="104" t="s">
        <v>110</v>
      </c>
      <c r="C70" s="104"/>
      <c r="D70" s="104"/>
      <c r="E70" s="104"/>
      <c r="F70" s="104"/>
      <c r="G70" s="104"/>
      <c r="H70" s="104"/>
      <c r="I70" s="104"/>
      <c r="J70" s="104"/>
      <c r="K70" s="104"/>
      <c r="L70" s="104"/>
      <c r="M70" s="104"/>
      <c r="N70" s="104"/>
      <c r="O70" s="104"/>
      <c r="P70" s="61"/>
    </row>
    <row r="71" spans="1:16" ht="13" x14ac:dyDescent="0.3">
      <c r="B71" s="104" t="s">
        <v>111</v>
      </c>
      <c r="C71" s="104"/>
      <c r="D71" s="104"/>
      <c r="E71" s="104"/>
      <c r="F71" s="104"/>
      <c r="G71" s="104"/>
      <c r="H71" s="104"/>
      <c r="I71" s="104"/>
      <c r="J71" s="104"/>
      <c r="K71" s="104"/>
      <c r="L71" s="104"/>
      <c r="M71" s="104"/>
      <c r="N71" s="104"/>
      <c r="O71" s="104"/>
      <c r="P71" s="61"/>
    </row>
    <row r="72" spans="1:16" ht="13" x14ac:dyDescent="0.3">
      <c r="B72" s="104" t="s">
        <v>112</v>
      </c>
      <c r="C72" s="104"/>
      <c r="D72" s="104"/>
      <c r="E72" s="104"/>
      <c r="F72" s="104"/>
      <c r="G72" s="104"/>
      <c r="H72" s="104"/>
      <c r="I72" s="104"/>
      <c r="J72" s="104"/>
      <c r="K72" s="104"/>
      <c r="L72" s="104"/>
      <c r="M72" s="104"/>
      <c r="N72" s="104"/>
      <c r="O72" s="104"/>
      <c r="P72" s="61"/>
    </row>
    <row r="73" spans="1:16" ht="13" x14ac:dyDescent="0.3">
      <c r="B73" s="104"/>
      <c r="C73" s="104"/>
      <c r="D73" s="104"/>
      <c r="E73" s="104"/>
      <c r="F73" s="104"/>
      <c r="G73" s="104"/>
      <c r="H73" s="104"/>
      <c r="I73" s="104"/>
      <c r="J73" s="104"/>
      <c r="K73" s="104"/>
      <c r="L73" s="104"/>
      <c r="M73" s="104"/>
      <c r="N73" s="104"/>
      <c r="O73" s="64"/>
      <c r="P73" s="61"/>
    </row>
    <row r="74" spans="1:16" ht="13" x14ac:dyDescent="0.3">
      <c r="B74" s="104" t="s">
        <v>33</v>
      </c>
      <c r="C74" s="104"/>
      <c r="D74" s="104"/>
      <c r="E74" s="104"/>
      <c r="F74" s="104"/>
      <c r="G74" s="104"/>
      <c r="H74" s="104"/>
      <c r="I74" s="104"/>
      <c r="J74" s="104"/>
      <c r="K74" s="104"/>
      <c r="L74" s="104"/>
      <c r="M74" s="104"/>
      <c r="N74" s="104"/>
      <c r="O74" s="92" t="s">
        <v>0</v>
      </c>
      <c r="P74" s="61"/>
    </row>
    <row r="75" spans="1:16" ht="13" x14ac:dyDescent="0.3">
      <c r="B75" s="63"/>
      <c r="C75" s="63"/>
      <c r="D75" s="63"/>
      <c r="E75" s="63"/>
      <c r="F75" s="63"/>
      <c r="G75" s="63"/>
      <c r="H75" s="63"/>
      <c r="I75" s="63"/>
      <c r="J75" s="63"/>
      <c r="K75" s="63"/>
      <c r="L75" s="63"/>
      <c r="M75" s="63"/>
      <c r="N75" s="63"/>
      <c r="O75" s="63"/>
      <c r="P75" s="61"/>
    </row>
    <row r="76" spans="1:16" ht="13" x14ac:dyDescent="0.3">
      <c r="B76" s="65"/>
      <c r="D76" s="66">
        <f>D8</f>
        <v>2018</v>
      </c>
      <c r="E76" s="67"/>
      <c r="F76" s="68"/>
      <c r="H76" s="67"/>
      <c r="I76" s="67"/>
      <c r="J76" s="70"/>
      <c r="K76" s="67"/>
      <c r="L76" s="67"/>
      <c r="M76" s="71"/>
      <c r="N76" s="67"/>
      <c r="O76" s="67"/>
      <c r="P76" s="68"/>
    </row>
    <row r="77" spans="1:16" ht="13" x14ac:dyDescent="0.3">
      <c r="A77" s="63" t="s">
        <v>1</v>
      </c>
      <c r="B77" s="63" t="s">
        <v>2</v>
      </c>
      <c r="C77" s="63" t="s">
        <v>3</v>
      </c>
      <c r="D77" s="72" t="s">
        <v>4</v>
      </c>
      <c r="E77" s="72" t="s">
        <v>5</v>
      </c>
      <c r="F77" s="72" t="s">
        <v>6</v>
      </c>
      <c r="G77" s="72" t="s">
        <v>7</v>
      </c>
      <c r="H77" s="72" t="s">
        <v>8</v>
      </c>
      <c r="I77" s="72" t="s">
        <v>9</v>
      </c>
      <c r="J77" s="72" t="s">
        <v>10</v>
      </c>
      <c r="K77" s="72" t="s">
        <v>11</v>
      </c>
      <c r="L77" s="72" t="s">
        <v>12</v>
      </c>
      <c r="M77" s="72" t="s">
        <v>13</v>
      </c>
      <c r="N77" s="72" t="s">
        <v>14</v>
      </c>
      <c r="O77" s="72" t="s">
        <v>15</v>
      </c>
      <c r="P77" s="73" t="s">
        <v>16</v>
      </c>
    </row>
    <row r="78" spans="1:16" ht="13" x14ac:dyDescent="0.3">
      <c r="A78" s="63"/>
      <c r="B78" s="63"/>
      <c r="C78" s="63"/>
      <c r="D78" s="72"/>
      <c r="E78" s="72"/>
      <c r="F78" s="72"/>
      <c r="G78" s="72"/>
      <c r="H78" s="72"/>
      <c r="I78" s="72"/>
      <c r="J78" s="72"/>
      <c r="K78" s="72"/>
      <c r="L78" s="72"/>
      <c r="M78" s="72"/>
      <c r="N78" s="72"/>
      <c r="O78" s="72"/>
      <c r="P78" s="73"/>
    </row>
    <row r="79" spans="1:16" ht="14.5" x14ac:dyDescent="0.35">
      <c r="A79" s="74">
        <v>4</v>
      </c>
      <c r="B79" s="61" t="s">
        <v>20</v>
      </c>
      <c r="C79" s="62" t="s">
        <v>17</v>
      </c>
      <c r="D79" s="75">
        <v>108793.08910238009</v>
      </c>
      <c r="E79" s="75">
        <v>105058.33548014639</v>
      </c>
      <c r="F79" s="75">
        <v>85619.780882249499</v>
      </c>
      <c r="G79" s="75">
        <v>80691.746411333297</v>
      </c>
      <c r="H79" s="75">
        <v>78201.248723450568</v>
      </c>
      <c r="I79" s="75">
        <v>68612.748773281943</v>
      </c>
      <c r="J79" s="75">
        <v>95353.573233141113</v>
      </c>
      <c r="K79" s="75">
        <v>83286.559844593547</v>
      </c>
      <c r="L79" s="75">
        <v>92932.040322262241</v>
      </c>
      <c r="M79" s="75">
        <v>88597.463468780858</v>
      </c>
      <c r="N79" s="75">
        <v>94686.017082031001</v>
      </c>
      <c r="O79" s="75">
        <v>94504.960948782435</v>
      </c>
      <c r="P79" s="98">
        <f>SUM(D79:O79)</f>
        <v>1076337.5642724331</v>
      </c>
    </row>
    <row r="80" spans="1:16" x14ac:dyDescent="0.25">
      <c r="A80" s="74"/>
      <c r="D80" s="77"/>
      <c r="E80" s="77"/>
      <c r="F80" s="77"/>
      <c r="G80" s="77"/>
      <c r="H80" s="77"/>
      <c r="I80" s="77"/>
      <c r="J80" s="77"/>
      <c r="K80" s="77"/>
      <c r="L80" s="77"/>
      <c r="M80" s="77"/>
      <c r="N80" s="77"/>
      <c r="O80" s="77"/>
      <c r="P80" s="99"/>
    </row>
    <row r="81" spans="1:16" ht="14.5" x14ac:dyDescent="0.35">
      <c r="A81" s="74">
        <v>7</v>
      </c>
      <c r="B81" s="61" t="s">
        <v>21</v>
      </c>
      <c r="C81" s="62" t="s">
        <v>22</v>
      </c>
      <c r="D81" s="75">
        <v>252301.04333027219</v>
      </c>
      <c r="E81" s="75">
        <v>254170.95822265063</v>
      </c>
      <c r="F81" s="75">
        <v>259842.97058199282</v>
      </c>
      <c r="G81" s="75">
        <v>259362.29646549775</v>
      </c>
      <c r="H81" s="75">
        <v>277619.45491224795</v>
      </c>
      <c r="I81" s="75">
        <v>284195.59698573477</v>
      </c>
      <c r="J81" s="75">
        <v>285368.87494473741</v>
      </c>
      <c r="K81" s="75">
        <v>284054.34979360504</v>
      </c>
      <c r="L81" s="75">
        <v>273858.09426446795</v>
      </c>
      <c r="M81" s="75">
        <v>283658.08421636513</v>
      </c>
      <c r="N81" s="75">
        <v>267497.62789335626</v>
      </c>
      <c r="O81" s="75">
        <v>262582.35071242071</v>
      </c>
      <c r="P81" s="98">
        <f>SUM(D81:O81)</f>
        <v>3244511.7023233487</v>
      </c>
    </row>
    <row r="82" spans="1:16" x14ac:dyDescent="0.25">
      <c r="A82" s="74"/>
      <c r="D82" s="77"/>
      <c r="E82" s="77"/>
      <c r="F82" s="77"/>
      <c r="G82" s="77"/>
      <c r="H82" s="77"/>
      <c r="I82" s="77"/>
      <c r="J82" s="77"/>
      <c r="K82" s="77"/>
      <c r="L82" s="77"/>
      <c r="M82" s="77"/>
      <c r="N82" s="77"/>
      <c r="O82" s="77"/>
      <c r="P82" s="99"/>
    </row>
    <row r="83" spans="1:16" ht="14.5" x14ac:dyDescent="0.35">
      <c r="A83" s="74">
        <v>9</v>
      </c>
      <c r="B83" s="61" t="s">
        <v>23</v>
      </c>
      <c r="C83" s="62" t="s">
        <v>18</v>
      </c>
      <c r="D83" s="75">
        <v>29814.799772765997</v>
      </c>
      <c r="E83" s="75">
        <v>29208.894332183001</v>
      </c>
      <c r="F83" s="75">
        <v>33382.980721371001</v>
      </c>
      <c r="G83" s="75">
        <v>46549.383265524993</v>
      </c>
      <c r="H83" s="75">
        <v>53726.782299162005</v>
      </c>
      <c r="I83" s="75">
        <v>61272.270552401998</v>
      </c>
      <c r="J83" s="75">
        <v>36334.016824441009</v>
      </c>
      <c r="K83" s="75">
        <v>35145.615562287996</v>
      </c>
      <c r="L83" s="75">
        <v>37045.885495404007</v>
      </c>
      <c r="M83" s="75">
        <v>37347.741103887005</v>
      </c>
      <c r="N83" s="75">
        <v>57248.566009627</v>
      </c>
      <c r="O83" s="75">
        <v>35333.934174733011</v>
      </c>
      <c r="P83" s="98">
        <f>SUM(D83:O83)</f>
        <v>492410.87011378905</v>
      </c>
    </row>
    <row r="84" spans="1:16" x14ac:dyDescent="0.25">
      <c r="D84" s="78"/>
      <c r="E84" s="78"/>
      <c r="F84" s="78"/>
      <c r="G84" s="79"/>
      <c r="H84" s="79"/>
      <c r="I84" s="79"/>
      <c r="J84" s="79"/>
      <c r="K84" s="79"/>
      <c r="L84" s="79"/>
      <c r="M84" s="79"/>
      <c r="N84" s="79"/>
      <c r="O84" s="79"/>
      <c r="P84" s="100"/>
    </row>
    <row r="85" spans="1:16" x14ac:dyDescent="0.25">
      <c r="A85" s="62">
        <v>12</v>
      </c>
      <c r="B85" s="61" t="s">
        <v>28</v>
      </c>
      <c r="C85" s="62" t="s">
        <v>22</v>
      </c>
      <c r="D85" s="80"/>
      <c r="E85" s="80"/>
      <c r="F85" s="80"/>
      <c r="G85" s="81"/>
      <c r="H85" s="81"/>
      <c r="I85" s="81"/>
      <c r="J85" s="81"/>
      <c r="K85" s="81"/>
      <c r="L85" s="81"/>
      <c r="M85" s="81"/>
      <c r="N85" s="81"/>
      <c r="O85" s="81"/>
      <c r="P85" s="99">
        <f>SUM(D85:O85)</f>
        <v>0</v>
      </c>
    </row>
    <row r="86" spans="1:16" ht="13" thickBot="1" x14ac:dyDescent="0.3">
      <c r="A86" s="62"/>
      <c r="D86" s="87"/>
      <c r="E86" s="87"/>
      <c r="F86" s="87"/>
      <c r="G86" s="88"/>
      <c r="H86" s="88"/>
      <c r="I86" s="88"/>
      <c r="J86" s="88"/>
      <c r="K86" s="88"/>
      <c r="L86" s="88"/>
      <c r="M86" s="88"/>
      <c r="N86" s="88"/>
      <c r="O86" s="88"/>
      <c r="P86" s="89"/>
    </row>
    <row r="87" spans="1:16" ht="13.5" thickTop="1" x14ac:dyDescent="0.3">
      <c r="B87" s="82" t="s">
        <v>19</v>
      </c>
      <c r="D87" s="101">
        <f>D79+D81+D83+D85</f>
        <v>390908.9322054183</v>
      </c>
      <c r="E87" s="101">
        <f t="shared" ref="E87:O87" si="4">E79+E81+E83+E85</f>
        <v>388438.18803498003</v>
      </c>
      <c r="F87" s="101">
        <f t="shared" si="4"/>
        <v>378845.73218561336</v>
      </c>
      <c r="G87" s="101">
        <f t="shared" si="4"/>
        <v>386603.42614235601</v>
      </c>
      <c r="H87" s="101">
        <f t="shared" si="4"/>
        <v>409547.48593486054</v>
      </c>
      <c r="I87" s="101">
        <f t="shared" si="4"/>
        <v>414080.61631141871</v>
      </c>
      <c r="J87" s="101">
        <f t="shared" si="4"/>
        <v>417056.46500231954</v>
      </c>
      <c r="K87" s="101">
        <f t="shared" si="4"/>
        <v>402486.52520048653</v>
      </c>
      <c r="L87" s="101">
        <f t="shared" si="4"/>
        <v>403836.02008213417</v>
      </c>
      <c r="M87" s="101">
        <f t="shared" si="4"/>
        <v>409603.28878903296</v>
      </c>
      <c r="N87" s="101">
        <f t="shared" si="4"/>
        <v>419432.21098501427</v>
      </c>
      <c r="O87" s="101">
        <f t="shared" si="4"/>
        <v>392421.24583593616</v>
      </c>
      <c r="P87" s="102">
        <f>SUM(D87:O87)</f>
        <v>4813260.1367095709</v>
      </c>
    </row>
    <row r="88" spans="1:16" ht="13" x14ac:dyDescent="0.3">
      <c r="B88" s="82"/>
      <c r="D88" s="83"/>
      <c r="E88" s="83"/>
      <c r="F88" s="83"/>
      <c r="G88" s="83"/>
      <c r="H88" s="83"/>
      <c r="I88" s="83"/>
      <c r="J88" s="83"/>
      <c r="K88" s="83"/>
      <c r="L88" s="83"/>
      <c r="M88" s="83"/>
      <c r="N88" s="83"/>
      <c r="O88" s="83"/>
      <c r="P88" s="76"/>
    </row>
    <row r="89" spans="1:16" ht="13" x14ac:dyDescent="0.3">
      <c r="B89" s="82"/>
      <c r="D89" s="83"/>
      <c r="E89" s="83"/>
      <c r="F89" s="83"/>
      <c r="G89" s="83"/>
      <c r="H89" s="83"/>
      <c r="I89" s="83"/>
      <c r="J89" s="83"/>
      <c r="K89" s="83"/>
      <c r="L89" s="83"/>
      <c r="M89" s="83"/>
      <c r="N89" s="83"/>
      <c r="O89" s="83"/>
      <c r="P89" s="76"/>
    </row>
    <row r="90" spans="1:16" ht="13" x14ac:dyDescent="0.3">
      <c r="B90" s="104" t="s">
        <v>34</v>
      </c>
      <c r="C90" s="104"/>
      <c r="D90" s="104"/>
      <c r="E90" s="104"/>
      <c r="F90" s="104"/>
      <c r="G90" s="104"/>
      <c r="H90" s="104"/>
      <c r="I90" s="104"/>
      <c r="J90" s="104"/>
      <c r="K90" s="104"/>
      <c r="L90" s="104"/>
      <c r="M90" s="104"/>
      <c r="N90" s="104"/>
      <c r="O90" s="92" t="s">
        <v>0</v>
      </c>
      <c r="P90" s="61"/>
    </row>
    <row r="91" spans="1:16" ht="13" x14ac:dyDescent="0.3">
      <c r="B91" s="63"/>
      <c r="C91" s="63"/>
      <c r="D91" s="63"/>
      <c r="E91" s="63"/>
      <c r="F91" s="63"/>
      <c r="G91" s="63"/>
      <c r="H91" s="63"/>
      <c r="I91" s="63"/>
      <c r="J91" s="63"/>
      <c r="K91" s="63"/>
      <c r="L91" s="63"/>
      <c r="M91" s="63"/>
      <c r="N91" s="63"/>
      <c r="O91" s="63"/>
      <c r="P91" s="61"/>
    </row>
    <row r="92" spans="1:16" ht="13" x14ac:dyDescent="0.3">
      <c r="B92" s="65"/>
      <c r="D92" s="66">
        <f>D8</f>
        <v>2018</v>
      </c>
      <c r="E92" s="67"/>
      <c r="F92" s="68"/>
      <c r="H92" s="67"/>
      <c r="I92" s="67"/>
      <c r="J92" s="70"/>
      <c r="K92" s="67"/>
      <c r="L92" s="67"/>
      <c r="M92" s="71"/>
      <c r="N92" s="67"/>
      <c r="O92" s="67"/>
      <c r="P92" s="68"/>
    </row>
    <row r="93" spans="1:16" ht="13" x14ac:dyDescent="0.3">
      <c r="A93" s="63" t="s">
        <v>1</v>
      </c>
      <c r="B93" s="63" t="s">
        <v>2</v>
      </c>
      <c r="C93" s="63" t="s">
        <v>3</v>
      </c>
      <c r="D93" s="72" t="s">
        <v>4</v>
      </c>
      <c r="E93" s="72" t="s">
        <v>5</v>
      </c>
      <c r="F93" s="72" t="s">
        <v>6</v>
      </c>
      <c r="G93" s="72" t="s">
        <v>7</v>
      </c>
      <c r="H93" s="72" t="s">
        <v>8</v>
      </c>
      <c r="I93" s="72" t="s">
        <v>9</v>
      </c>
      <c r="J93" s="72" t="s">
        <v>10</v>
      </c>
      <c r="K93" s="72" t="s">
        <v>11</v>
      </c>
      <c r="L93" s="72" t="s">
        <v>12</v>
      </c>
      <c r="M93" s="72" t="s">
        <v>13</v>
      </c>
      <c r="N93" s="72" t="s">
        <v>14</v>
      </c>
      <c r="O93" s="72" t="s">
        <v>15</v>
      </c>
      <c r="P93" s="73" t="s">
        <v>16</v>
      </c>
    </row>
    <row r="94" spans="1:16" ht="13" x14ac:dyDescent="0.3">
      <c r="A94" s="63"/>
      <c r="B94" s="63"/>
      <c r="C94" s="63"/>
      <c r="D94" s="72"/>
      <c r="E94" s="72"/>
      <c r="F94" s="72"/>
      <c r="G94" s="72"/>
      <c r="H94" s="72"/>
      <c r="I94" s="72"/>
      <c r="J94" s="72"/>
      <c r="K94" s="72"/>
      <c r="L94" s="72"/>
      <c r="M94" s="72"/>
      <c r="N94" s="72"/>
      <c r="O94" s="72"/>
      <c r="P94" s="73"/>
    </row>
    <row r="95" spans="1:16" ht="14.5" x14ac:dyDescent="0.35">
      <c r="A95" s="74">
        <v>4</v>
      </c>
      <c r="B95" s="61" t="s">
        <v>20</v>
      </c>
      <c r="C95" s="62" t="s">
        <v>17</v>
      </c>
      <c r="D95" s="75">
        <v>98890.222246605059</v>
      </c>
      <c r="E95" s="75">
        <v>95495.423746201734</v>
      </c>
      <c r="F95" s="75">
        <v>77826.259278136858</v>
      </c>
      <c r="G95" s="75">
        <v>73346.798054187006</v>
      </c>
      <c r="H95" s="75">
        <v>71082.997367108328</v>
      </c>
      <c r="I95" s="75">
        <v>62367.288502628697</v>
      </c>
      <c r="J95" s="75">
        <v>86674.035334722037</v>
      </c>
      <c r="K95" s="75">
        <v>75705.419169008979</v>
      </c>
      <c r="L95" s="75">
        <v>84472.921921084795</v>
      </c>
      <c r="M95" s="75">
        <v>80532.898966295965</v>
      </c>
      <c r="N95" s="75">
        <v>86067.243334512867</v>
      </c>
      <c r="O95" s="75">
        <v>85902.667795719113</v>
      </c>
      <c r="P95" s="98">
        <f>SUM(D95:O95)</f>
        <v>978364.17571621132</v>
      </c>
    </row>
    <row r="96" spans="1:16" x14ac:dyDescent="0.25">
      <c r="A96" s="74"/>
      <c r="D96" s="77"/>
      <c r="E96" s="77"/>
      <c r="F96" s="77"/>
      <c r="G96" s="77"/>
      <c r="H96" s="77"/>
      <c r="I96" s="77"/>
      <c r="J96" s="77"/>
      <c r="K96" s="77"/>
      <c r="L96" s="77"/>
      <c r="M96" s="77"/>
      <c r="N96" s="77"/>
      <c r="O96" s="77"/>
      <c r="P96" s="99"/>
    </row>
    <row r="97" spans="1:16" ht="14.5" x14ac:dyDescent="0.35">
      <c r="A97" s="74">
        <v>7</v>
      </c>
      <c r="B97" s="61" t="s">
        <v>21</v>
      </c>
      <c r="C97" s="62" t="s">
        <v>22</v>
      </c>
      <c r="D97" s="75">
        <v>238654.76392882215</v>
      </c>
      <c r="E97" s="75">
        <v>240423.54019433836</v>
      </c>
      <c r="F97" s="75">
        <v>245788.7687829819</v>
      </c>
      <c r="G97" s="75">
        <v>245334.09302625642</v>
      </c>
      <c r="H97" s="75">
        <v>262603.77127097367</v>
      </c>
      <c r="I97" s="75">
        <v>268824.22764877765</v>
      </c>
      <c r="J97" s="75">
        <v>269934.04618393973</v>
      </c>
      <c r="K97" s="75">
        <v>268690.62013432436</v>
      </c>
      <c r="L97" s="75">
        <v>259045.85242292506</v>
      </c>
      <c r="M97" s="75">
        <v>268315.78748781205</v>
      </c>
      <c r="N97" s="75">
        <v>253029.40643348935</v>
      </c>
      <c r="O97" s="75">
        <v>248379.98326909391</v>
      </c>
      <c r="P97" s="98">
        <f>SUM(D97:O97)</f>
        <v>3069024.8607837344</v>
      </c>
    </row>
    <row r="98" spans="1:16" x14ac:dyDescent="0.25">
      <c r="A98" s="74"/>
      <c r="D98" s="77"/>
      <c r="E98" s="77"/>
      <c r="F98" s="77"/>
      <c r="G98" s="77"/>
      <c r="H98" s="77"/>
      <c r="I98" s="77"/>
      <c r="J98" s="77"/>
      <c r="K98" s="77"/>
      <c r="L98" s="77"/>
      <c r="M98" s="77"/>
      <c r="N98" s="77"/>
      <c r="O98" s="77"/>
      <c r="P98" s="99"/>
    </row>
    <row r="99" spans="1:16" ht="14.5" x14ac:dyDescent="0.35">
      <c r="A99" s="74">
        <v>9</v>
      </c>
      <c r="B99" s="61" t="s">
        <v>23</v>
      </c>
      <c r="C99" s="62" t="s">
        <v>18</v>
      </c>
      <c r="D99" s="75">
        <v>28832.756099999999</v>
      </c>
      <c r="E99" s="75">
        <v>28246.808050000003</v>
      </c>
      <c r="F99" s="75">
        <v>32283.407850000003</v>
      </c>
      <c r="G99" s="75">
        <v>45016.133749999994</v>
      </c>
      <c r="H99" s="75">
        <v>51957.122700000007</v>
      </c>
      <c r="I99" s="75">
        <v>59254.076699999998</v>
      </c>
      <c r="J99" s="75">
        <v>35137.242350000008</v>
      </c>
      <c r="K99" s="75">
        <v>33987.984799999998</v>
      </c>
      <c r="L99" s="75">
        <v>35825.663400000005</v>
      </c>
      <c r="M99" s="75">
        <v>36117.576450000008</v>
      </c>
      <c r="N99" s="75">
        <v>55362.905449999998</v>
      </c>
      <c r="O99" s="75">
        <v>34170.10055000001</v>
      </c>
      <c r="P99" s="98">
        <f>SUM(D99:O99)</f>
        <v>476191.77815000003</v>
      </c>
    </row>
    <row r="100" spans="1:16" x14ac:dyDescent="0.25">
      <c r="D100" s="78"/>
      <c r="E100" s="78"/>
      <c r="F100" s="78"/>
      <c r="G100" s="79"/>
      <c r="H100" s="79"/>
      <c r="I100" s="79"/>
      <c r="J100" s="79"/>
      <c r="K100" s="79"/>
      <c r="L100" s="79"/>
      <c r="M100" s="79"/>
      <c r="N100" s="79"/>
      <c r="O100" s="79"/>
      <c r="P100" s="100"/>
    </row>
    <row r="101" spans="1:16" x14ac:dyDescent="0.25">
      <c r="A101" s="62">
        <v>12</v>
      </c>
      <c r="B101" s="61" t="s">
        <v>28</v>
      </c>
      <c r="C101" s="62" t="s">
        <v>22</v>
      </c>
      <c r="D101" s="80"/>
      <c r="E101" s="80"/>
      <c r="F101" s="80"/>
      <c r="G101" s="81"/>
      <c r="H101" s="81"/>
      <c r="I101" s="81"/>
      <c r="J101" s="81"/>
      <c r="K101" s="81"/>
      <c r="L101" s="81"/>
      <c r="M101" s="81"/>
      <c r="N101" s="81"/>
      <c r="O101" s="81"/>
      <c r="P101" s="99">
        <f>SUM(D101:O101)</f>
        <v>0</v>
      </c>
    </row>
    <row r="102" spans="1:16" ht="13" thickBot="1" x14ac:dyDescent="0.3">
      <c r="A102" s="62"/>
      <c r="D102" s="87"/>
      <c r="E102" s="87"/>
      <c r="F102" s="87"/>
      <c r="G102" s="88"/>
      <c r="H102" s="88"/>
      <c r="I102" s="88"/>
      <c r="J102" s="88"/>
      <c r="K102" s="88"/>
      <c r="L102" s="88"/>
      <c r="M102" s="88"/>
      <c r="N102" s="88"/>
      <c r="O102" s="88"/>
      <c r="P102" s="89"/>
    </row>
    <row r="103" spans="1:16" ht="13.5" thickTop="1" x14ac:dyDescent="0.3">
      <c r="B103" s="82" t="s">
        <v>37</v>
      </c>
      <c r="D103" s="101">
        <f>D95+D97+D99+D101</f>
        <v>366377.74227542721</v>
      </c>
      <c r="E103" s="101">
        <f t="shared" ref="E103:O103" si="5">E95+E97+E99+E101</f>
        <v>364165.77199054009</v>
      </c>
      <c r="F103" s="101">
        <f t="shared" si="5"/>
        <v>355898.43591111881</v>
      </c>
      <c r="G103" s="101">
        <f t="shared" si="5"/>
        <v>363697.02483044338</v>
      </c>
      <c r="H103" s="101">
        <f t="shared" si="5"/>
        <v>385643.89133808197</v>
      </c>
      <c r="I103" s="101">
        <f t="shared" si="5"/>
        <v>390445.59285140631</v>
      </c>
      <c r="J103" s="101">
        <f t="shared" si="5"/>
        <v>391745.32386866177</v>
      </c>
      <c r="K103" s="101">
        <f t="shared" si="5"/>
        <v>378384.0241033333</v>
      </c>
      <c r="L103" s="101">
        <f t="shared" si="5"/>
        <v>379344.43774400989</v>
      </c>
      <c r="M103" s="101">
        <f t="shared" si="5"/>
        <v>384966.26290410798</v>
      </c>
      <c r="N103" s="101">
        <f t="shared" si="5"/>
        <v>394459.55521800224</v>
      </c>
      <c r="O103" s="101">
        <f t="shared" si="5"/>
        <v>368452.75161481305</v>
      </c>
      <c r="P103" s="102">
        <f>SUM(D103:O103)</f>
        <v>4523580.8146499461</v>
      </c>
    </row>
    <row r="104" spans="1:16" ht="13" x14ac:dyDescent="0.3">
      <c r="B104" s="82"/>
      <c r="D104" s="83"/>
      <c r="E104" s="83"/>
      <c r="F104" s="83"/>
      <c r="G104" s="83"/>
      <c r="H104" s="83"/>
      <c r="I104" s="83"/>
      <c r="J104" s="83"/>
      <c r="K104" s="83"/>
      <c r="L104" s="83"/>
      <c r="M104" s="83"/>
      <c r="N104" s="83"/>
      <c r="O104" s="83"/>
      <c r="P104" s="76"/>
    </row>
    <row r="105" spans="1:16" ht="13" x14ac:dyDescent="0.3">
      <c r="B105" s="82"/>
      <c r="D105" s="83"/>
      <c r="E105" s="83"/>
      <c r="F105" s="83"/>
      <c r="G105" s="83"/>
      <c r="H105" s="83"/>
      <c r="I105" s="83"/>
      <c r="J105" s="83"/>
      <c r="K105" s="83"/>
      <c r="L105" s="83"/>
      <c r="M105" s="83"/>
      <c r="N105" s="83"/>
      <c r="O105" s="83"/>
      <c r="P105" s="76"/>
    </row>
    <row r="106" spans="1:16" ht="13" x14ac:dyDescent="0.3">
      <c r="B106" s="104" t="s">
        <v>35</v>
      </c>
      <c r="C106" s="104"/>
      <c r="D106" s="104"/>
      <c r="E106" s="104"/>
      <c r="F106" s="104"/>
      <c r="G106" s="104"/>
      <c r="H106" s="104"/>
      <c r="I106" s="104"/>
      <c r="J106" s="104"/>
      <c r="K106" s="104"/>
      <c r="L106" s="104"/>
      <c r="M106" s="104"/>
      <c r="N106" s="104"/>
      <c r="O106" s="92" t="s">
        <v>0</v>
      </c>
      <c r="P106" s="61"/>
    </row>
    <row r="107" spans="1:16" ht="13" x14ac:dyDescent="0.3">
      <c r="B107" s="63"/>
      <c r="C107" s="63"/>
      <c r="D107" s="63"/>
      <c r="E107" s="63"/>
      <c r="F107" s="63"/>
      <c r="G107" s="63"/>
      <c r="H107" s="63"/>
      <c r="I107" s="63"/>
      <c r="J107" s="63"/>
      <c r="K107" s="63"/>
      <c r="L107" s="63"/>
      <c r="M107" s="63"/>
      <c r="N107" s="63"/>
      <c r="O107" s="63"/>
      <c r="P107" s="61"/>
    </row>
    <row r="108" spans="1:16" ht="13" x14ac:dyDescent="0.3">
      <c r="B108" s="65"/>
      <c r="D108" s="66">
        <f>D8</f>
        <v>2018</v>
      </c>
      <c r="E108" s="67"/>
      <c r="F108" s="68"/>
      <c r="H108" s="67"/>
      <c r="I108" s="67"/>
      <c r="J108" s="70"/>
      <c r="K108" s="67"/>
      <c r="L108" s="67"/>
      <c r="M108" s="71"/>
      <c r="N108" s="67"/>
      <c r="O108" s="67"/>
      <c r="P108" s="68"/>
    </row>
    <row r="109" spans="1:16" ht="13" x14ac:dyDescent="0.3">
      <c r="A109" s="63" t="s">
        <v>1</v>
      </c>
      <c r="B109" s="63" t="s">
        <v>2</v>
      </c>
      <c r="C109" s="63" t="s">
        <v>3</v>
      </c>
      <c r="D109" s="72" t="s">
        <v>4</v>
      </c>
      <c r="E109" s="72" t="s">
        <v>5</v>
      </c>
      <c r="F109" s="72" t="s">
        <v>6</v>
      </c>
      <c r="G109" s="72" t="s">
        <v>7</v>
      </c>
      <c r="H109" s="72" t="s">
        <v>8</v>
      </c>
      <c r="I109" s="72" t="s">
        <v>9</v>
      </c>
      <c r="J109" s="72" t="s">
        <v>10</v>
      </c>
      <c r="K109" s="72" t="s">
        <v>11</v>
      </c>
      <c r="L109" s="72" t="s">
        <v>12</v>
      </c>
      <c r="M109" s="72" t="s">
        <v>13</v>
      </c>
      <c r="N109" s="72" t="s">
        <v>14</v>
      </c>
      <c r="O109" s="72" t="s">
        <v>15</v>
      </c>
      <c r="P109" s="73" t="s">
        <v>16</v>
      </c>
    </row>
    <row r="110" spans="1:16" ht="13" x14ac:dyDescent="0.3">
      <c r="A110" s="63"/>
      <c r="B110" s="63"/>
      <c r="C110" s="63"/>
      <c r="D110" s="72"/>
      <c r="E110" s="72"/>
      <c r="F110" s="72"/>
      <c r="G110" s="72"/>
      <c r="H110" s="72"/>
      <c r="I110" s="72"/>
      <c r="J110" s="72"/>
      <c r="K110" s="72"/>
      <c r="L110" s="72"/>
      <c r="M110" s="72"/>
      <c r="N110" s="72"/>
      <c r="O110" s="72"/>
      <c r="P110" s="73"/>
    </row>
    <row r="111" spans="1:16" ht="14.5" x14ac:dyDescent="0.35">
      <c r="A111" s="74">
        <v>4</v>
      </c>
      <c r="B111" s="61" t="s">
        <v>20</v>
      </c>
      <c r="C111" s="62" t="s">
        <v>17</v>
      </c>
      <c r="D111" s="75">
        <v>86366.501390578618</v>
      </c>
      <c r="E111" s="75">
        <v>80298.589570544093</v>
      </c>
      <c r="F111" s="75">
        <v>62675.255116201341</v>
      </c>
      <c r="G111" s="75">
        <v>66207.474639360575</v>
      </c>
      <c r="H111" s="75">
        <v>63105.556113136721</v>
      </c>
      <c r="I111" s="75">
        <v>56521.682707291766</v>
      </c>
      <c r="J111" s="75">
        <v>77780.883804183468</v>
      </c>
      <c r="K111" s="75">
        <v>69424.919456419491</v>
      </c>
      <c r="L111" s="75">
        <v>76201.106330574607</v>
      </c>
      <c r="M111" s="75">
        <v>69004.286471465239</v>
      </c>
      <c r="N111" s="75">
        <v>69965.352345241045</v>
      </c>
      <c r="O111" s="75">
        <v>71858.010120297578</v>
      </c>
      <c r="P111" s="98">
        <f>SUM(D111:O111)</f>
        <v>849409.61806529446</v>
      </c>
    </row>
    <row r="112" spans="1:16" x14ac:dyDescent="0.25">
      <c r="A112" s="74"/>
      <c r="D112" s="77"/>
      <c r="E112" s="77"/>
      <c r="F112" s="77"/>
      <c r="G112" s="77"/>
      <c r="H112" s="77"/>
      <c r="I112" s="77"/>
      <c r="J112" s="77"/>
      <c r="K112" s="77"/>
      <c r="L112" s="77"/>
      <c r="M112" s="77"/>
      <c r="N112" s="77"/>
      <c r="O112" s="77"/>
      <c r="P112" s="99"/>
    </row>
    <row r="113" spans="1:16" ht="14.5" x14ac:dyDescent="0.35">
      <c r="A113" s="74">
        <v>7</v>
      </c>
      <c r="B113" s="61" t="s">
        <v>21</v>
      </c>
      <c r="C113" s="62" t="s">
        <v>22</v>
      </c>
      <c r="D113" s="75">
        <v>209286.46452862269</v>
      </c>
      <c r="E113" s="75">
        <v>211384.83002697869</v>
      </c>
      <c r="F113" s="75">
        <v>216609.92672316398</v>
      </c>
      <c r="G113" s="75">
        <v>224353.96506187107</v>
      </c>
      <c r="H113" s="75">
        <v>229474.1601558245</v>
      </c>
      <c r="I113" s="75">
        <v>240505.73453930614</v>
      </c>
      <c r="J113" s="75">
        <v>241637.65456881162</v>
      </c>
      <c r="K113" s="75">
        <v>242777.15304942659</v>
      </c>
      <c r="L113" s="75">
        <v>235492.26096590463</v>
      </c>
      <c r="M113" s="75">
        <v>230398.82824366144</v>
      </c>
      <c r="N113" s="75">
        <v>224241.32485749095</v>
      </c>
      <c r="O113" s="75">
        <v>224964.81114667759</v>
      </c>
      <c r="P113" s="98">
        <f>SUM(D113:O113)</f>
        <v>2731127.1138677401</v>
      </c>
    </row>
    <row r="114" spans="1:16" x14ac:dyDescent="0.25">
      <c r="A114" s="74"/>
      <c r="D114" s="77"/>
      <c r="E114" s="77"/>
      <c r="F114" s="77"/>
      <c r="G114" s="77"/>
      <c r="H114" s="77"/>
      <c r="I114" s="77"/>
      <c r="J114" s="77"/>
      <c r="K114" s="77"/>
      <c r="L114" s="77"/>
      <c r="M114" s="77"/>
      <c r="N114" s="77"/>
      <c r="O114" s="77"/>
      <c r="P114" s="99"/>
    </row>
    <row r="115" spans="1:16" ht="14.5" x14ac:dyDescent="0.35">
      <c r="A115" s="74">
        <v>9</v>
      </c>
      <c r="B115" s="61" t="s">
        <v>23</v>
      </c>
      <c r="C115" s="62" t="s">
        <v>18</v>
      </c>
      <c r="D115" s="75">
        <v>23467.977274862984</v>
      </c>
      <c r="E115" s="75">
        <v>21960.270693429986</v>
      </c>
      <c r="F115" s="75">
        <v>25256.921643204812</v>
      </c>
      <c r="G115" s="75">
        <v>32557.637544073103</v>
      </c>
      <c r="H115" s="75">
        <v>46512.027900007546</v>
      </c>
      <c r="I115" s="75">
        <v>49445.180348721973</v>
      </c>
      <c r="J115" s="75">
        <v>28954.558531167721</v>
      </c>
      <c r="K115" s="75">
        <v>28640.936786872477</v>
      </c>
      <c r="L115" s="75">
        <v>30487.864935332458</v>
      </c>
      <c r="M115" s="75">
        <v>29622.598452649047</v>
      </c>
      <c r="N115" s="75">
        <v>43716.630888293097</v>
      </c>
      <c r="O115" s="75">
        <v>27793.761868843991</v>
      </c>
      <c r="P115" s="98">
        <f>SUM(D115:O115)</f>
        <v>388416.36686745915</v>
      </c>
    </row>
    <row r="116" spans="1:16" x14ac:dyDescent="0.25">
      <c r="D116" s="78"/>
      <c r="E116" s="78"/>
      <c r="F116" s="78"/>
      <c r="G116" s="79"/>
      <c r="H116" s="79"/>
      <c r="I116" s="79"/>
      <c r="J116" s="79"/>
      <c r="K116" s="79"/>
      <c r="L116" s="79"/>
      <c r="M116" s="79"/>
      <c r="N116" s="79"/>
      <c r="O116" s="79"/>
      <c r="P116" s="100"/>
    </row>
    <row r="117" spans="1:16" x14ac:dyDescent="0.25">
      <c r="A117" s="62">
        <v>12</v>
      </c>
      <c r="B117" s="61" t="s">
        <v>28</v>
      </c>
      <c r="C117" s="62" t="s">
        <v>22</v>
      </c>
      <c r="D117" s="80"/>
      <c r="E117" s="80"/>
      <c r="F117" s="80"/>
      <c r="G117" s="81"/>
      <c r="H117" s="81"/>
      <c r="I117" s="81"/>
      <c r="J117" s="81"/>
      <c r="K117" s="81"/>
      <c r="L117" s="81"/>
      <c r="M117" s="81"/>
      <c r="N117" s="81"/>
      <c r="O117" s="81"/>
      <c r="P117" s="99">
        <f>SUM(D117:O117)</f>
        <v>0</v>
      </c>
    </row>
    <row r="118" spans="1:16" ht="13" thickBot="1" x14ac:dyDescent="0.3">
      <c r="A118" s="62"/>
      <c r="D118" s="87"/>
      <c r="E118" s="87"/>
      <c r="F118" s="87"/>
      <c r="G118" s="88"/>
      <c r="H118" s="88"/>
      <c r="I118" s="88"/>
      <c r="J118" s="88"/>
      <c r="K118" s="88"/>
      <c r="L118" s="88"/>
      <c r="M118" s="88"/>
      <c r="N118" s="88"/>
      <c r="O118" s="88"/>
      <c r="P118" s="89"/>
    </row>
    <row r="119" spans="1:16" ht="13.5" thickTop="1" x14ac:dyDescent="0.3">
      <c r="B119" s="82" t="s">
        <v>19</v>
      </c>
      <c r="D119" s="101">
        <f>D111+D113+D115+D117</f>
        <v>319120.94319406431</v>
      </c>
      <c r="E119" s="101">
        <f t="shared" ref="E119:O119" si="6">E111+E113+E115+E117</f>
        <v>313643.69029095274</v>
      </c>
      <c r="F119" s="101">
        <f t="shared" si="6"/>
        <v>304542.10348257015</v>
      </c>
      <c r="G119" s="101">
        <f t="shared" si="6"/>
        <v>323119.07724530477</v>
      </c>
      <c r="H119" s="101">
        <f t="shared" si="6"/>
        <v>339091.74416896875</v>
      </c>
      <c r="I119" s="101">
        <f t="shared" si="6"/>
        <v>346472.59759531991</v>
      </c>
      <c r="J119" s="101">
        <f t="shared" si="6"/>
        <v>348373.09690416284</v>
      </c>
      <c r="K119" s="101">
        <f t="shared" si="6"/>
        <v>340843.00929271855</v>
      </c>
      <c r="L119" s="101">
        <f t="shared" si="6"/>
        <v>342181.23223181168</v>
      </c>
      <c r="M119" s="101">
        <f t="shared" si="6"/>
        <v>329025.71316777571</v>
      </c>
      <c r="N119" s="101">
        <f t="shared" si="6"/>
        <v>337923.3080910251</v>
      </c>
      <c r="O119" s="101">
        <f t="shared" si="6"/>
        <v>324616.58313581912</v>
      </c>
      <c r="P119" s="102">
        <f>SUM(D119:O119)</f>
        <v>3968953.0988004934</v>
      </c>
    </row>
    <row r="120" spans="1:16" ht="13" x14ac:dyDescent="0.3">
      <c r="B120" s="82"/>
      <c r="D120" s="83"/>
      <c r="E120" s="83"/>
      <c r="F120" s="83"/>
      <c r="G120" s="83"/>
      <c r="H120" s="83"/>
      <c r="I120" s="83"/>
      <c r="J120" s="83"/>
      <c r="K120" s="83"/>
      <c r="L120" s="83"/>
      <c r="M120" s="83"/>
      <c r="N120" s="83"/>
      <c r="O120" s="83"/>
      <c r="P120" s="76"/>
    </row>
    <row r="121" spans="1:16" ht="13" x14ac:dyDescent="0.3">
      <c r="B121" s="82"/>
      <c r="D121" s="83"/>
      <c r="E121" s="83"/>
      <c r="F121" s="83"/>
      <c r="G121" s="83"/>
      <c r="H121" s="83"/>
      <c r="I121" s="83"/>
      <c r="J121" s="83"/>
      <c r="K121" s="83"/>
      <c r="L121" s="83"/>
      <c r="M121" s="83"/>
      <c r="N121" s="83"/>
      <c r="O121" s="83"/>
      <c r="P121" s="76"/>
    </row>
    <row r="122" spans="1:16" ht="13" x14ac:dyDescent="0.3">
      <c r="B122" s="104" t="s">
        <v>36</v>
      </c>
      <c r="C122" s="104"/>
      <c r="D122" s="104"/>
      <c r="E122" s="104"/>
      <c r="F122" s="104"/>
      <c r="G122" s="104"/>
      <c r="H122" s="104"/>
      <c r="I122" s="104"/>
      <c r="J122" s="104"/>
      <c r="K122" s="104"/>
      <c r="L122" s="104"/>
      <c r="M122" s="104"/>
      <c r="N122" s="104"/>
      <c r="O122" s="92" t="s">
        <v>0</v>
      </c>
      <c r="P122" s="61"/>
    </row>
    <row r="123" spans="1:16" ht="13" x14ac:dyDescent="0.3">
      <c r="B123" s="63"/>
      <c r="C123" s="63"/>
      <c r="D123" s="63"/>
      <c r="E123" s="63"/>
      <c r="F123" s="63"/>
      <c r="G123" s="63"/>
      <c r="H123" s="63"/>
      <c r="I123" s="63"/>
      <c r="J123" s="63"/>
      <c r="K123" s="63"/>
      <c r="L123" s="63"/>
      <c r="M123" s="63"/>
      <c r="N123" s="63"/>
      <c r="O123" s="63"/>
      <c r="P123" s="61"/>
    </row>
    <row r="124" spans="1:16" ht="13" x14ac:dyDescent="0.3">
      <c r="B124" s="65"/>
      <c r="D124" s="66">
        <f>D8</f>
        <v>2018</v>
      </c>
      <c r="E124" s="67"/>
      <c r="F124" s="68"/>
      <c r="H124" s="67"/>
      <c r="I124" s="67"/>
      <c r="J124" s="70"/>
      <c r="K124" s="67"/>
      <c r="L124" s="67"/>
      <c r="M124" s="71"/>
      <c r="N124" s="67"/>
      <c r="O124" s="67"/>
      <c r="P124" s="68"/>
    </row>
    <row r="125" spans="1:16" ht="13" x14ac:dyDescent="0.3">
      <c r="A125" s="63" t="s">
        <v>1</v>
      </c>
      <c r="B125" s="63" t="s">
        <v>2</v>
      </c>
      <c r="C125" s="63" t="s">
        <v>3</v>
      </c>
      <c r="D125" s="72" t="s">
        <v>4</v>
      </c>
      <c r="E125" s="72" t="s">
        <v>5</v>
      </c>
      <c r="F125" s="72" t="s">
        <v>6</v>
      </c>
      <c r="G125" s="72" t="s">
        <v>7</v>
      </c>
      <c r="H125" s="72" t="s">
        <v>8</v>
      </c>
      <c r="I125" s="72" t="s">
        <v>9</v>
      </c>
      <c r="J125" s="72" t="s">
        <v>10</v>
      </c>
      <c r="K125" s="72" t="s">
        <v>11</v>
      </c>
      <c r="L125" s="72" t="s">
        <v>12</v>
      </c>
      <c r="M125" s="72" t="s">
        <v>13</v>
      </c>
      <c r="N125" s="72" t="s">
        <v>14</v>
      </c>
      <c r="O125" s="72" t="s">
        <v>15</v>
      </c>
      <c r="P125" s="73" t="s">
        <v>16</v>
      </c>
    </row>
    <row r="126" spans="1:16" ht="13" x14ac:dyDescent="0.3">
      <c r="A126" s="63"/>
      <c r="B126" s="63"/>
      <c r="C126" s="63"/>
      <c r="D126" s="72"/>
      <c r="E126" s="72"/>
      <c r="F126" s="72"/>
      <c r="G126" s="72"/>
      <c r="H126" s="72"/>
      <c r="I126" s="72"/>
      <c r="J126" s="72"/>
      <c r="K126" s="72"/>
      <c r="L126" s="72"/>
      <c r="M126" s="72"/>
      <c r="N126" s="72"/>
      <c r="O126" s="72"/>
      <c r="P126" s="73"/>
    </row>
    <row r="127" spans="1:16" ht="14.5" x14ac:dyDescent="0.35">
      <c r="A127" s="74">
        <v>4</v>
      </c>
      <c r="B127" s="61" t="s">
        <v>20</v>
      </c>
      <c r="C127" s="62" t="s">
        <v>17</v>
      </c>
      <c r="D127" s="75">
        <v>78505.009717471054</v>
      </c>
      <c r="E127" s="75">
        <v>72989.428227811077</v>
      </c>
      <c r="F127" s="75">
        <v>56970.253891505927</v>
      </c>
      <c r="G127" s="75">
        <v>60180.953914375052</v>
      </c>
      <c r="H127" s="75">
        <v>57361.38683543614</v>
      </c>
      <c r="I127" s="75">
        <v>51376.80904911353</v>
      </c>
      <c r="J127" s="75">
        <v>70700.896071575859</v>
      </c>
      <c r="K127" s="75">
        <v>63105.531529095824</v>
      </c>
      <c r="L127" s="75">
        <v>69264.917492841458</v>
      </c>
      <c r="M127" s="75">
        <v>62723.186568496043</v>
      </c>
      <c r="N127" s="75">
        <v>63596.771633829361</v>
      </c>
      <c r="O127" s="75">
        <v>65317.150653823664</v>
      </c>
      <c r="P127" s="98">
        <f>SUM(D127:O127)</f>
        <v>772092.29558537505</v>
      </c>
    </row>
    <row r="128" spans="1:16" x14ac:dyDescent="0.25">
      <c r="A128" s="74"/>
      <c r="D128" s="77"/>
      <c r="E128" s="77"/>
      <c r="F128" s="77"/>
      <c r="G128" s="77"/>
      <c r="H128" s="77"/>
      <c r="I128" s="77"/>
      <c r="J128" s="77"/>
      <c r="K128" s="77"/>
      <c r="L128" s="77"/>
      <c r="M128" s="77"/>
      <c r="N128" s="77"/>
      <c r="O128" s="77"/>
      <c r="P128" s="99"/>
    </row>
    <row r="129" spans="1:16" ht="14.5" x14ac:dyDescent="0.35">
      <c r="A129" s="74">
        <v>7</v>
      </c>
      <c r="B129" s="61" t="s">
        <v>21</v>
      </c>
      <c r="C129" s="62" t="s">
        <v>22</v>
      </c>
      <c r="D129" s="75">
        <v>197966.72707450262</v>
      </c>
      <c r="E129" s="75">
        <v>199951.59767208865</v>
      </c>
      <c r="F129" s="75">
        <v>204894.08305412889</v>
      </c>
      <c r="G129" s="75">
        <v>212219.26735453855</v>
      </c>
      <c r="H129" s="75">
        <v>217062.52497760503</v>
      </c>
      <c r="I129" s="75">
        <v>227497.43141121298</v>
      </c>
      <c r="J129" s="75">
        <v>228568.12895515581</v>
      </c>
      <c r="K129" s="75">
        <v>229645.99505233412</v>
      </c>
      <c r="L129" s="75">
        <v>222755.12303099249</v>
      </c>
      <c r="M129" s="75">
        <v>217937.18027550788</v>
      </c>
      <c r="N129" s="75">
        <v>212112.71955342605</v>
      </c>
      <c r="O129" s="75">
        <v>212797.07443072853</v>
      </c>
      <c r="P129" s="98">
        <f>SUM(D129:O129)</f>
        <v>2583407.8528422215</v>
      </c>
    </row>
    <row r="130" spans="1:16" x14ac:dyDescent="0.25">
      <c r="A130" s="74"/>
      <c r="D130" s="77"/>
      <c r="E130" s="77"/>
      <c r="F130" s="77"/>
      <c r="G130" s="77"/>
      <c r="H130" s="77"/>
      <c r="I130" s="77"/>
      <c r="J130" s="77"/>
      <c r="K130" s="77"/>
      <c r="L130" s="77"/>
      <c r="M130" s="77"/>
      <c r="N130" s="77"/>
      <c r="O130" s="77"/>
      <c r="P130" s="99"/>
    </row>
    <row r="131" spans="1:16" ht="14.5" x14ac:dyDescent="0.35">
      <c r="A131" s="74">
        <v>9</v>
      </c>
      <c r="B131" s="61" t="s">
        <v>23</v>
      </c>
      <c r="C131" s="62" t="s">
        <v>18</v>
      </c>
      <c r="D131" s="75">
        <v>22694.986049999985</v>
      </c>
      <c r="E131" s="75">
        <v>21236.940499999986</v>
      </c>
      <c r="F131" s="75">
        <v>24425.005940859151</v>
      </c>
      <c r="G131" s="75">
        <v>31485.249931409304</v>
      </c>
      <c r="H131" s="75">
        <v>44980.008800270341</v>
      </c>
      <c r="I131" s="75">
        <v>47816.548699999978</v>
      </c>
      <c r="J131" s="75">
        <v>28000.849593996209</v>
      </c>
      <c r="K131" s="75">
        <v>27697.557962664137</v>
      </c>
      <c r="L131" s="75">
        <v>29483.651756505868</v>
      </c>
      <c r="M131" s="75">
        <v>28646.88553144793</v>
      </c>
      <c r="N131" s="75">
        <v>42276.686931409298</v>
      </c>
      <c r="O131" s="75">
        <v>26878.28739999999</v>
      </c>
      <c r="P131" s="98">
        <f>SUM(D131:O131)</f>
        <v>375622.6590985622</v>
      </c>
    </row>
    <row r="132" spans="1:16" x14ac:dyDescent="0.25">
      <c r="D132" s="78"/>
      <c r="E132" s="78"/>
      <c r="F132" s="78"/>
      <c r="G132" s="79"/>
      <c r="H132" s="79"/>
      <c r="I132" s="79"/>
      <c r="J132" s="79"/>
      <c r="K132" s="79"/>
      <c r="L132" s="79"/>
      <c r="M132" s="79"/>
      <c r="N132" s="79"/>
      <c r="O132" s="79"/>
      <c r="P132" s="100"/>
    </row>
    <row r="133" spans="1:16" x14ac:dyDescent="0.25">
      <c r="A133" s="62">
        <v>12</v>
      </c>
      <c r="B133" s="61" t="s">
        <v>28</v>
      </c>
      <c r="C133" s="62" t="s">
        <v>22</v>
      </c>
      <c r="D133" s="80"/>
      <c r="E133" s="80"/>
      <c r="F133" s="80"/>
      <c r="G133" s="81"/>
      <c r="H133" s="81"/>
      <c r="I133" s="81"/>
      <c r="J133" s="81"/>
      <c r="K133" s="81"/>
      <c r="L133" s="81"/>
      <c r="M133" s="81"/>
      <c r="N133" s="81"/>
      <c r="O133" s="81"/>
      <c r="P133" s="99">
        <f>SUM(D133:O133)</f>
        <v>0</v>
      </c>
    </row>
    <row r="134" spans="1:16" ht="13" thickBot="1" x14ac:dyDescent="0.3">
      <c r="A134" s="62"/>
      <c r="D134" s="87"/>
      <c r="E134" s="87"/>
      <c r="F134" s="87"/>
      <c r="G134" s="88"/>
      <c r="H134" s="88"/>
      <c r="I134" s="88"/>
      <c r="J134" s="88"/>
      <c r="K134" s="88"/>
      <c r="L134" s="88"/>
      <c r="M134" s="88"/>
      <c r="N134" s="88"/>
      <c r="O134" s="88"/>
      <c r="P134" s="89"/>
    </row>
    <row r="135" spans="1:16" ht="13.5" thickTop="1" x14ac:dyDescent="0.3">
      <c r="B135" s="82" t="s">
        <v>37</v>
      </c>
      <c r="D135" s="101">
        <f>D127+D129+D131+D133</f>
        <v>299166.72284197371</v>
      </c>
      <c r="E135" s="101">
        <f t="shared" ref="E135:O135" si="7">E127+E129+E131+E133</f>
        <v>294177.96639989968</v>
      </c>
      <c r="F135" s="101">
        <f t="shared" si="7"/>
        <v>286289.34288649395</v>
      </c>
      <c r="G135" s="101">
        <f t="shared" si="7"/>
        <v>303885.47120032291</v>
      </c>
      <c r="H135" s="101">
        <f t="shared" si="7"/>
        <v>319403.92061331152</v>
      </c>
      <c r="I135" s="101">
        <f t="shared" si="7"/>
        <v>326690.78916032647</v>
      </c>
      <c r="J135" s="101">
        <f t="shared" si="7"/>
        <v>327269.87462072785</v>
      </c>
      <c r="K135" s="101">
        <f t="shared" si="7"/>
        <v>320449.08454409405</v>
      </c>
      <c r="L135" s="101">
        <f t="shared" si="7"/>
        <v>321503.69228033983</v>
      </c>
      <c r="M135" s="101">
        <f t="shared" si="7"/>
        <v>309307.25237545185</v>
      </c>
      <c r="N135" s="101">
        <f t="shared" si="7"/>
        <v>317986.17811866471</v>
      </c>
      <c r="O135" s="101">
        <f t="shared" si="7"/>
        <v>304992.51248455216</v>
      </c>
      <c r="P135" s="102">
        <f>SUM(D135:O135)</f>
        <v>3731122.8075261591</v>
      </c>
    </row>
  </sheetData>
  <mergeCells count="17">
    <mergeCell ref="B122:N122"/>
    <mergeCell ref="B73:N73"/>
    <mergeCell ref="B74:N74"/>
    <mergeCell ref="B90:N90"/>
    <mergeCell ref="B106:N106"/>
    <mergeCell ref="B71:O71"/>
    <mergeCell ref="B72:O72"/>
    <mergeCell ref="B1:O1"/>
    <mergeCell ref="B2:O2"/>
    <mergeCell ref="B3:O3"/>
    <mergeCell ref="B4:O4"/>
    <mergeCell ref="B69:O69"/>
    <mergeCell ref="B70:O70"/>
    <mergeCell ref="B6:N6"/>
    <mergeCell ref="B22:N22"/>
    <mergeCell ref="B54:N54"/>
    <mergeCell ref="B38:N38"/>
  </mergeCells>
  <phoneticPr fontId="0" type="noConversion"/>
  <printOptions horizontalCentered="1"/>
  <pageMargins left="0.31" right="0.34" top="1" bottom="1" header="0.5" footer="0.5"/>
  <pageSetup scale="55" fitToHeight="0" orientation="landscape" horizontalDpi="4294967292" r:id="rId1"/>
  <headerFooter alignWithMargins="0">
    <oddHeader xml:space="preserve">&amp;RSchedule IV-J-4
&amp;A
Page &amp;P of &amp;N
</oddHeader>
    <oddFooter>&amp;LSponsored by: Nora D. Williams</oddFooter>
  </headerFooter>
  <rowBreaks count="1" manualBreakCount="1">
    <brk id="68" max="15" man="1"/>
  </rowBreaks>
  <colBreaks count="1" manualBreakCount="1">
    <brk id="1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1"/>
  <sheetViews>
    <sheetView topLeftCell="A161" zoomScaleNormal="100" workbookViewId="0">
      <selection activeCell="G182" sqref="G182"/>
    </sheetView>
  </sheetViews>
  <sheetFormatPr defaultColWidth="9.1796875" defaultRowHeight="12.5" x14ac:dyDescent="0.25"/>
  <cols>
    <col min="1" max="1" width="16" style="6" customWidth="1"/>
    <col min="2" max="2" width="9.26953125" style="6" customWidth="1"/>
    <col min="3" max="3" width="6.453125" style="11" customWidth="1"/>
    <col min="4" max="4" width="11.7265625" style="36" customWidth="1"/>
    <col min="5" max="5" width="12.7265625" style="9" customWidth="1"/>
    <col min="6" max="6" width="12.7265625" style="4" bestFit="1" customWidth="1"/>
    <col min="7" max="7" width="16.1796875" style="4" customWidth="1"/>
    <col min="8" max="8" width="14.1796875" style="4" customWidth="1"/>
    <col min="9" max="9" width="16.81640625" style="4" customWidth="1"/>
    <col min="10" max="10" width="18.453125" style="4" customWidth="1"/>
    <col min="11" max="11" width="22.453125" style="4" bestFit="1" customWidth="1"/>
    <col min="12" max="13" width="11" style="4" customWidth="1"/>
    <col min="14" max="16384" width="9.1796875" style="4"/>
  </cols>
  <sheetData>
    <row r="1" spans="1:11" ht="13" x14ac:dyDescent="0.3">
      <c r="A1" s="105" t="s">
        <v>109</v>
      </c>
      <c r="B1" s="106"/>
      <c r="C1" s="106"/>
      <c r="D1" s="106"/>
      <c r="E1" s="106"/>
      <c r="F1" s="106"/>
      <c r="G1" s="106"/>
      <c r="H1" s="106"/>
      <c r="I1" s="106"/>
      <c r="J1" s="106"/>
    </row>
    <row r="2" spans="1:11" ht="13" x14ac:dyDescent="0.3">
      <c r="A2" s="107" t="s">
        <v>110</v>
      </c>
      <c r="B2" s="108"/>
      <c r="C2" s="108"/>
      <c r="D2" s="108"/>
      <c r="E2" s="108"/>
      <c r="F2" s="108"/>
      <c r="G2" s="108"/>
      <c r="H2" s="108"/>
      <c r="I2" s="108"/>
      <c r="J2" s="108"/>
      <c r="K2" s="2"/>
    </row>
    <row r="3" spans="1:11" ht="13" x14ac:dyDescent="0.3">
      <c r="A3" s="104" t="s">
        <v>113</v>
      </c>
      <c r="B3" s="106"/>
      <c r="C3" s="106"/>
      <c r="D3" s="106"/>
      <c r="E3" s="106"/>
      <c r="F3" s="106"/>
      <c r="G3" s="106"/>
      <c r="H3" s="106"/>
      <c r="I3" s="106"/>
      <c r="J3" s="106"/>
      <c r="K3" s="2"/>
    </row>
    <row r="4" spans="1:11" ht="13" x14ac:dyDescent="0.3">
      <c r="A4" s="104" t="s">
        <v>112</v>
      </c>
      <c r="B4" s="106"/>
      <c r="C4" s="106"/>
      <c r="D4" s="106"/>
      <c r="E4" s="106"/>
      <c r="F4" s="106"/>
      <c r="G4" s="106"/>
      <c r="H4" s="106"/>
      <c r="I4" s="106"/>
      <c r="J4" s="106"/>
      <c r="K4" s="2"/>
    </row>
    <row r="5" spans="1:11" ht="13" x14ac:dyDescent="0.3">
      <c r="A5" s="5"/>
      <c r="B5" s="5"/>
      <c r="C5" s="2"/>
      <c r="D5" s="33"/>
      <c r="E5" s="3"/>
      <c r="F5" s="2"/>
      <c r="G5" s="2"/>
      <c r="H5" s="2"/>
      <c r="I5" s="2"/>
      <c r="J5" s="2"/>
      <c r="K5" s="2"/>
    </row>
    <row r="6" spans="1:11" ht="13" x14ac:dyDescent="0.3">
      <c r="C6" s="31"/>
      <c r="D6" s="33"/>
      <c r="E6" s="3"/>
      <c r="F6" s="2"/>
      <c r="G6" s="2"/>
      <c r="H6" s="2"/>
      <c r="I6" s="2"/>
      <c r="J6" s="2"/>
      <c r="K6" s="2"/>
    </row>
    <row r="7" spans="1:11" ht="13" x14ac:dyDescent="0.3">
      <c r="A7" s="54"/>
      <c r="C7" s="8"/>
      <c r="D7" s="34"/>
      <c r="E7" s="109" t="s">
        <v>53</v>
      </c>
      <c r="F7" s="106"/>
      <c r="G7" s="106"/>
      <c r="H7" s="106"/>
      <c r="I7" s="106"/>
      <c r="J7" s="106"/>
      <c r="K7" s="2"/>
    </row>
    <row r="8" spans="1:11" ht="65" x14ac:dyDescent="0.3">
      <c r="A8" s="26" t="s">
        <v>40</v>
      </c>
      <c r="B8" s="8" t="s">
        <v>65</v>
      </c>
      <c r="C8" s="8" t="s">
        <v>41</v>
      </c>
      <c r="D8" s="37" t="s">
        <v>93</v>
      </c>
      <c r="E8" s="37" t="s">
        <v>94</v>
      </c>
      <c r="F8" s="37" t="s">
        <v>95</v>
      </c>
      <c r="G8" s="37" t="s">
        <v>96</v>
      </c>
      <c r="H8" s="37" t="s">
        <v>97</v>
      </c>
      <c r="I8" s="37" t="s">
        <v>98</v>
      </c>
      <c r="J8" s="37" t="s">
        <v>99</v>
      </c>
    </row>
    <row r="9" spans="1:11" s="20" customFormat="1" ht="13" x14ac:dyDescent="0.3">
      <c r="A9" s="26"/>
      <c r="B9" s="26"/>
      <c r="C9" s="8"/>
      <c r="D9" s="21"/>
      <c r="E9" s="21"/>
      <c r="F9" s="21"/>
      <c r="G9" s="21"/>
      <c r="H9" s="21"/>
      <c r="I9" s="21"/>
      <c r="J9" s="21"/>
    </row>
    <row r="10" spans="1:11" s="20" customFormat="1" x14ac:dyDescent="0.25">
      <c r="A10" s="52" t="s">
        <v>86</v>
      </c>
      <c r="B10" s="45" t="s">
        <v>82</v>
      </c>
      <c r="C10" s="11">
        <v>1</v>
      </c>
      <c r="D10" s="44" t="s">
        <v>61</v>
      </c>
      <c r="E10" s="44" t="s">
        <v>66</v>
      </c>
      <c r="F10" s="27">
        <v>103</v>
      </c>
      <c r="G10" s="60">
        <v>34758181.315130524</v>
      </c>
      <c r="H10" s="60">
        <v>273484.30042087159</v>
      </c>
      <c r="I10" s="60">
        <v>89137.374558096548</v>
      </c>
      <c r="J10" s="60">
        <v>70637.943315598037</v>
      </c>
    </row>
    <row r="11" spans="1:11" s="20" customFormat="1" x14ac:dyDescent="0.25">
      <c r="A11" s="53"/>
      <c r="B11" s="45" t="s">
        <v>82</v>
      </c>
      <c r="C11" s="11">
        <v>2</v>
      </c>
      <c r="D11" s="44" t="s">
        <v>61</v>
      </c>
      <c r="E11" s="44" t="s">
        <v>67</v>
      </c>
      <c r="F11" s="27">
        <v>92</v>
      </c>
      <c r="G11" s="60">
        <v>44775319.027032539</v>
      </c>
      <c r="H11" s="60">
        <v>264765.7126664666</v>
      </c>
      <c r="I11" s="60">
        <v>125351.15285219514</v>
      </c>
      <c r="J11" s="60">
        <v>107838.07409814856</v>
      </c>
    </row>
    <row r="12" spans="1:11" s="20" customFormat="1" x14ac:dyDescent="0.25">
      <c r="A12" s="53"/>
      <c r="B12" s="45" t="s">
        <v>82</v>
      </c>
      <c r="C12" s="11">
        <v>3</v>
      </c>
      <c r="D12" s="44" t="s">
        <v>61</v>
      </c>
      <c r="E12" s="44" t="s">
        <v>68</v>
      </c>
      <c r="F12" s="27">
        <v>92</v>
      </c>
      <c r="G12" s="60">
        <v>45073464.487618797</v>
      </c>
      <c r="H12" s="60">
        <v>243901.70228954672</v>
      </c>
      <c r="I12" s="60">
        <v>126127.8246959692</v>
      </c>
      <c r="J12" s="60">
        <v>104860.29786182153</v>
      </c>
    </row>
    <row r="13" spans="1:11" s="20" customFormat="1" x14ac:dyDescent="0.25">
      <c r="A13" s="53"/>
      <c r="B13" s="45" t="s">
        <v>82</v>
      </c>
      <c r="C13" s="11">
        <v>4</v>
      </c>
      <c r="D13" s="44" t="s">
        <v>61</v>
      </c>
      <c r="E13" s="44" t="s">
        <v>69</v>
      </c>
      <c r="F13" s="27">
        <v>100</v>
      </c>
      <c r="G13" s="60">
        <v>56287466.182430051</v>
      </c>
      <c r="H13" s="60">
        <v>262001.93308446376</v>
      </c>
      <c r="I13" s="60">
        <v>162022.5830647765</v>
      </c>
      <c r="J13" s="60">
        <v>131770.83864982871</v>
      </c>
    </row>
    <row r="14" spans="1:11" s="20" customFormat="1" x14ac:dyDescent="0.25">
      <c r="A14" s="53"/>
      <c r="B14" s="45"/>
      <c r="C14" s="11"/>
      <c r="D14" s="27"/>
      <c r="E14" s="27"/>
      <c r="F14" s="27"/>
      <c r="G14" s="60"/>
      <c r="H14" s="60"/>
      <c r="I14" s="60"/>
      <c r="J14" s="60"/>
    </row>
    <row r="15" spans="1:11" s="20" customFormat="1" x14ac:dyDescent="0.25">
      <c r="A15" s="53" t="s">
        <v>87</v>
      </c>
      <c r="B15" s="45" t="s">
        <v>83</v>
      </c>
      <c r="C15" s="11">
        <v>1</v>
      </c>
      <c r="D15" s="44" t="s">
        <v>61</v>
      </c>
      <c r="E15" s="45" t="s">
        <v>70</v>
      </c>
      <c r="F15" s="11">
        <v>99</v>
      </c>
      <c r="G15" s="60">
        <v>2351007.045367633</v>
      </c>
      <c r="H15" s="60">
        <v>21056.649380321727</v>
      </c>
      <c r="I15" s="60">
        <v>5795.4785661064552</v>
      </c>
      <c r="J15" s="60">
        <v>3067.1353193928176</v>
      </c>
    </row>
    <row r="16" spans="1:11" s="20" customFormat="1" x14ac:dyDescent="0.25">
      <c r="A16" s="53" t="s">
        <v>88</v>
      </c>
      <c r="B16" s="45" t="s">
        <v>83</v>
      </c>
      <c r="C16" s="11">
        <v>2</v>
      </c>
      <c r="D16" s="44" t="s">
        <v>61</v>
      </c>
      <c r="E16" s="44" t="s">
        <v>71</v>
      </c>
      <c r="F16" s="27">
        <v>69</v>
      </c>
      <c r="G16" s="60">
        <v>3397556.2035433082</v>
      </c>
      <c r="H16" s="60">
        <v>17064.85756426079</v>
      </c>
      <c r="I16" s="60">
        <v>9439.8760528993898</v>
      </c>
      <c r="J16" s="60">
        <v>8583.8835476551012</v>
      </c>
    </row>
    <row r="17" spans="1:10" s="20" customFormat="1" x14ac:dyDescent="0.25">
      <c r="A17" s="53"/>
      <c r="B17" s="45" t="s">
        <v>83</v>
      </c>
      <c r="C17" s="11">
        <v>3</v>
      </c>
      <c r="D17" s="44" t="s">
        <v>61</v>
      </c>
      <c r="E17" s="44" t="s">
        <v>72</v>
      </c>
      <c r="F17" s="27">
        <v>85</v>
      </c>
      <c r="G17" s="60">
        <v>2955356.264231489</v>
      </c>
      <c r="H17" s="60">
        <v>11813.118864802678</v>
      </c>
      <c r="I17" s="60">
        <v>7174.6903207107353</v>
      </c>
      <c r="J17" s="60">
        <v>6951.4930317529897</v>
      </c>
    </row>
    <row r="18" spans="1:10" s="20" customFormat="1" x14ac:dyDescent="0.25">
      <c r="A18" s="53"/>
      <c r="B18" s="45" t="s">
        <v>83</v>
      </c>
      <c r="C18" s="11">
        <v>4</v>
      </c>
      <c r="D18" s="44" t="s">
        <v>61</v>
      </c>
      <c r="E18" s="44" t="s">
        <v>73</v>
      </c>
      <c r="F18" s="27">
        <v>75</v>
      </c>
      <c r="G18" s="60">
        <v>3459350.9202689813</v>
      </c>
      <c r="H18" s="60">
        <v>8807.0636478536944</v>
      </c>
      <c r="I18" s="60">
        <v>5616.8437204095517</v>
      </c>
      <c r="J18" s="60">
        <v>4771.1434938635439</v>
      </c>
    </row>
    <row r="19" spans="1:10" s="20" customFormat="1" x14ac:dyDescent="0.25">
      <c r="A19" s="53"/>
      <c r="B19" s="45"/>
      <c r="C19" s="11"/>
      <c r="D19" s="27"/>
      <c r="E19" s="27"/>
      <c r="F19" s="27"/>
      <c r="G19" s="60"/>
      <c r="H19" s="60"/>
      <c r="I19" s="60"/>
      <c r="J19" s="60"/>
    </row>
    <row r="20" spans="1:10" s="20" customFormat="1" x14ac:dyDescent="0.25">
      <c r="A20" s="53" t="s">
        <v>89</v>
      </c>
      <c r="B20" s="45" t="s">
        <v>64</v>
      </c>
      <c r="C20" s="11">
        <v>1</v>
      </c>
      <c r="D20" s="44" t="s">
        <v>62</v>
      </c>
      <c r="E20" s="44" t="s">
        <v>74</v>
      </c>
      <c r="F20" s="27">
        <v>128</v>
      </c>
      <c r="G20" s="60">
        <v>17517453.97864338</v>
      </c>
      <c r="H20" s="60">
        <v>76236.285306322796</v>
      </c>
      <c r="I20" s="60">
        <v>40609.652338361964</v>
      </c>
      <c r="J20" s="60">
        <v>38825.156272024396</v>
      </c>
    </row>
    <row r="21" spans="1:10" s="20" customFormat="1" x14ac:dyDescent="0.25">
      <c r="A21" s="53" t="s">
        <v>90</v>
      </c>
      <c r="B21" s="45" t="s">
        <v>64</v>
      </c>
      <c r="C21" s="11">
        <v>2</v>
      </c>
      <c r="D21" s="44" t="s">
        <v>62</v>
      </c>
      <c r="E21" s="45" t="s">
        <v>75</v>
      </c>
      <c r="F21" s="11">
        <v>85</v>
      </c>
      <c r="G21" s="60">
        <v>22667774.589982554</v>
      </c>
      <c r="H21" s="60">
        <v>88729.534324169843</v>
      </c>
      <c r="I21" s="60">
        <v>54210.662468168877</v>
      </c>
      <c r="J21" s="60">
        <v>49454.920147379111</v>
      </c>
    </row>
    <row r="22" spans="1:10" s="20" customFormat="1" x14ac:dyDescent="0.25">
      <c r="A22" s="55"/>
      <c r="B22" s="45" t="s">
        <v>64</v>
      </c>
      <c r="C22" s="11">
        <v>3</v>
      </c>
      <c r="D22" s="44" t="s">
        <v>62</v>
      </c>
      <c r="E22" s="46" t="s">
        <v>76</v>
      </c>
      <c r="F22" s="22">
        <v>104</v>
      </c>
      <c r="G22" s="60">
        <v>31084348.049787045</v>
      </c>
      <c r="H22" s="60">
        <v>97142.461494906587</v>
      </c>
      <c r="I22" s="60">
        <v>65793.904547646613</v>
      </c>
      <c r="J22" s="60">
        <v>61905.623140793701</v>
      </c>
    </row>
    <row r="23" spans="1:10" s="20" customFormat="1" x14ac:dyDescent="0.25">
      <c r="A23" s="53"/>
      <c r="B23" s="45" t="s">
        <v>64</v>
      </c>
      <c r="C23" s="11">
        <v>4</v>
      </c>
      <c r="D23" s="44" t="s">
        <v>62</v>
      </c>
      <c r="E23" s="44" t="s">
        <v>63</v>
      </c>
      <c r="F23" s="27">
        <v>118</v>
      </c>
      <c r="G23" s="60">
        <v>46199791.12092191</v>
      </c>
      <c r="H23" s="60">
        <v>125408.90771414321</v>
      </c>
      <c r="I23" s="60">
        <v>94187.291131285689</v>
      </c>
      <c r="J23" s="60">
        <v>93850.411216987806</v>
      </c>
    </row>
    <row r="24" spans="1:10" s="20" customFormat="1" x14ac:dyDescent="0.25">
      <c r="A24" s="53" t="s">
        <v>0</v>
      </c>
      <c r="B24" s="51" t="s">
        <v>84</v>
      </c>
      <c r="C24" s="11">
        <v>1</v>
      </c>
      <c r="D24" s="44" t="s">
        <v>62</v>
      </c>
      <c r="E24" s="44" t="s">
        <v>77</v>
      </c>
      <c r="F24" s="27">
        <v>125</v>
      </c>
      <c r="G24" s="60">
        <v>582566.33265499771</v>
      </c>
      <c r="H24" s="60">
        <v>3600.2346553441425</v>
      </c>
      <c r="I24" s="60">
        <v>1285.0899559148404</v>
      </c>
      <c r="J24" s="60">
        <v>1039.7729562716356</v>
      </c>
    </row>
    <row r="25" spans="1:10" s="20" customFormat="1" x14ac:dyDescent="0.25">
      <c r="A25" s="53"/>
      <c r="B25" s="51"/>
      <c r="C25" s="11"/>
      <c r="D25" s="27"/>
      <c r="E25" s="27"/>
      <c r="F25" s="27"/>
      <c r="G25" s="60"/>
      <c r="H25" s="60"/>
      <c r="I25" s="60"/>
      <c r="J25" s="60"/>
    </row>
    <row r="26" spans="1:10" s="20" customFormat="1" x14ac:dyDescent="0.25">
      <c r="A26" s="53" t="s">
        <v>91</v>
      </c>
      <c r="B26" s="51" t="s">
        <v>85</v>
      </c>
      <c r="C26" s="11">
        <v>1</v>
      </c>
      <c r="D26" s="44" t="s">
        <v>62</v>
      </c>
      <c r="E26" s="44" t="s">
        <v>78</v>
      </c>
      <c r="F26" s="27">
        <v>245</v>
      </c>
      <c r="G26" s="60">
        <v>1881525.4049230632</v>
      </c>
      <c r="H26" s="60">
        <v>5762.0280365936387</v>
      </c>
      <c r="I26" s="60">
        <v>2977.4383970645549</v>
      </c>
      <c r="J26" s="60">
        <v>2318.4804624535618</v>
      </c>
    </row>
    <row r="27" spans="1:10" s="20" customFormat="1" x14ac:dyDescent="0.25">
      <c r="A27" s="53" t="s">
        <v>92</v>
      </c>
      <c r="B27" s="51" t="s">
        <v>85</v>
      </c>
      <c r="C27" s="11">
        <v>2</v>
      </c>
      <c r="D27" s="44" t="s">
        <v>62</v>
      </c>
      <c r="E27" s="44" t="s">
        <v>79</v>
      </c>
      <c r="F27" s="27">
        <v>48</v>
      </c>
      <c r="G27" s="60">
        <v>3175340.5945511679</v>
      </c>
      <c r="H27" s="60">
        <v>7998.4236343895191</v>
      </c>
      <c r="I27" s="60">
        <v>5142.6441458442814</v>
      </c>
      <c r="J27" s="60">
        <v>4593.7039813305228</v>
      </c>
    </row>
    <row r="28" spans="1:10" s="20" customFormat="1" x14ac:dyDescent="0.25">
      <c r="A28" s="20" t="s">
        <v>0</v>
      </c>
      <c r="B28" s="51" t="s">
        <v>85</v>
      </c>
      <c r="C28" s="11">
        <v>3</v>
      </c>
      <c r="D28" s="44" t="s">
        <v>62</v>
      </c>
      <c r="E28" s="44" t="s">
        <v>80</v>
      </c>
      <c r="F28" s="27">
        <v>19</v>
      </c>
      <c r="G28" s="60">
        <v>2956297.3765509706</v>
      </c>
      <c r="H28" s="60">
        <v>8116.3162276867943</v>
      </c>
      <c r="I28" s="60">
        <v>6356.9166745236353</v>
      </c>
      <c r="J28" s="60">
        <v>3811.9318027796107</v>
      </c>
    </row>
    <row r="29" spans="1:10" s="20" customFormat="1" x14ac:dyDescent="0.25">
      <c r="B29" s="51" t="s">
        <v>84</v>
      </c>
      <c r="C29" s="11">
        <v>1</v>
      </c>
      <c r="D29" s="44" t="s">
        <v>62</v>
      </c>
      <c r="E29" s="44" t="s">
        <v>81</v>
      </c>
      <c r="F29" s="27">
        <v>2</v>
      </c>
      <c r="G29" s="60">
        <v>6656.2151677237234</v>
      </c>
      <c r="H29" s="60">
        <v>31.404000000000007</v>
      </c>
      <c r="I29" s="60">
        <v>31.577553121864756</v>
      </c>
      <c r="J29" s="60">
        <v>13.840066270836406</v>
      </c>
    </row>
    <row r="30" spans="1:10" s="20" customFormat="1" x14ac:dyDescent="0.25">
      <c r="B30" s="50"/>
      <c r="C30" s="11"/>
      <c r="D30" s="44"/>
      <c r="E30" s="44"/>
      <c r="F30" s="27"/>
      <c r="G30" s="27"/>
      <c r="H30" s="28"/>
      <c r="I30" s="30"/>
      <c r="J30" s="30"/>
    </row>
    <row r="31" spans="1:10" ht="13" x14ac:dyDescent="0.3">
      <c r="C31" s="31"/>
      <c r="D31" s="3"/>
      <c r="E31" s="2"/>
      <c r="F31" s="2"/>
      <c r="G31" s="2"/>
      <c r="H31" s="2"/>
      <c r="I31" s="2"/>
      <c r="J31" s="2"/>
    </row>
    <row r="32" spans="1:10" ht="13" x14ac:dyDescent="0.3">
      <c r="C32" s="8"/>
      <c r="D32" s="9"/>
      <c r="E32" s="35" t="s">
        <v>58</v>
      </c>
      <c r="F32" s="2"/>
      <c r="G32" s="2"/>
      <c r="H32" s="2"/>
      <c r="I32" s="2"/>
      <c r="J32" s="2"/>
    </row>
    <row r="33" spans="1:10" ht="65" x14ac:dyDescent="0.3">
      <c r="A33" s="26" t="s">
        <v>40</v>
      </c>
      <c r="B33" s="8" t="s">
        <v>65</v>
      </c>
      <c r="C33" s="8" t="s">
        <v>41</v>
      </c>
      <c r="D33" s="37" t="s">
        <v>93</v>
      </c>
      <c r="E33" s="37" t="s">
        <v>94</v>
      </c>
      <c r="F33" s="37" t="s">
        <v>95</v>
      </c>
      <c r="G33" s="37" t="s">
        <v>96</v>
      </c>
      <c r="H33" s="37" t="s">
        <v>97</v>
      </c>
      <c r="I33" s="37" t="s">
        <v>98</v>
      </c>
      <c r="J33" s="37" t="s">
        <v>99</v>
      </c>
    </row>
    <row r="34" spans="1:10" s="20" customFormat="1" ht="13" x14ac:dyDescent="0.3">
      <c r="A34" s="26"/>
      <c r="B34" s="26"/>
      <c r="C34" s="8"/>
      <c r="D34" s="21"/>
      <c r="E34" s="21"/>
      <c r="F34" s="21"/>
      <c r="G34" s="21"/>
      <c r="H34" s="21"/>
      <c r="I34" s="21"/>
      <c r="J34" s="21"/>
    </row>
    <row r="35" spans="1:10" s="20" customFormat="1" x14ac:dyDescent="0.25">
      <c r="A35" s="52" t="s">
        <v>86</v>
      </c>
      <c r="B35" s="45" t="s">
        <v>82</v>
      </c>
      <c r="C35" s="11">
        <v>1</v>
      </c>
      <c r="D35" s="44" t="s">
        <v>61</v>
      </c>
      <c r="E35" s="44" t="s">
        <v>66</v>
      </c>
      <c r="F35" s="27">
        <v>103</v>
      </c>
      <c r="G35" s="60">
        <v>26205457.260514811</v>
      </c>
      <c r="H35" s="60">
        <v>240710.07957567283</v>
      </c>
      <c r="I35" s="60">
        <v>71942.835888760936</v>
      </c>
      <c r="J35" s="60">
        <v>65006.816058817349</v>
      </c>
    </row>
    <row r="36" spans="1:10" s="20" customFormat="1" x14ac:dyDescent="0.25">
      <c r="A36" s="53"/>
      <c r="B36" s="45" t="s">
        <v>82</v>
      </c>
      <c r="C36" s="11">
        <v>2</v>
      </c>
      <c r="D36" s="44" t="s">
        <v>61</v>
      </c>
      <c r="E36" s="44" t="s">
        <v>67</v>
      </c>
      <c r="F36" s="27">
        <v>92</v>
      </c>
      <c r="G36" s="60">
        <v>34195113.399177559</v>
      </c>
      <c r="H36" s="60">
        <v>257218.5341939042</v>
      </c>
      <c r="I36" s="60">
        <v>118478.73474884345</v>
      </c>
      <c r="J36" s="60">
        <v>108965.09726391885</v>
      </c>
    </row>
    <row r="37" spans="1:10" s="20" customFormat="1" x14ac:dyDescent="0.25">
      <c r="A37" s="53"/>
      <c r="B37" s="45" t="s">
        <v>82</v>
      </c>
      <c r="C37" s="11">
        <v>3</v>
      </c>
      <c r="D37" s="44" t="s">
        <v>61</v>
      </c>
      <c r="E37" s="44" t="s">
        <v>68</v>
      </c>
      <c r="F37" s="27">
        <v>92</v>
      </c>
      <c r="G37" s="60">
        <v>34034802.613616228</v>
      </c>
      <c r="H37" s="60">
        <v>220178.33064422794</v>
      </c>
      <c r="I37" s="60">
        <v>103795.89953426561</v>
      </c>
      <c r="J37" s="60">
        <v>101337.16564776152</v>
      </c>
    </row>
    <row r="38" spans="1:10" s="20" customFormat="1" x14ac:dyDescent="0.25">
      <c r="A38" s="53"/>
      <c r="B38" s="45" t="s">
        <v>82</v>
      </c>
      <c r="C38" s="11">
        <v>4</v>
      </c>
      <c r="D38" s="44" t="s">
        <v>61</v>
      </c>
      <c r="E38" s="44" t="s">
        <v>69</v>
      </c>
      <c r="F38" s="27">
        <v>100</v>
      </c>
      <c r="G38" s="60">
        <v>41561970.785772942</v>
      </c>
      <c r="H38" s="60">
        <v>233066.42394991685</v>
      </c>
      <c r="I38" s="60">
        <v>126638.59469755685</v>
      </c>
      <c r="J38" s="60">
        <v>126638.59469755685</v>
      </c>
    </row>
    <row r="39" spans="1:10" s="20" customFormat="1" x14ac:dyDescent="0.25">
      <c r="A39" s="53"/>
      <c r="B39" s="45"/>
      <c r="C39" s="11"/>
      <c r="D39" s="27"/>
      <c r="E39" s="27"/>
      <c r="F39" s="27"/>
      <c r="G39" s="60"/>
      <c r="H39" s="60"/>
      <c r="I39" s="60"/>
      <c r="J39" s="60"/>
    </row>
    <row r="40" spans="1:10" s="20" customFormat="1" x14ac:dyDescent="0.25">
      <c r="A40" s="53" t="s">
        <v>87</v>
      </c>
      <c r="B40" s="45" t="s">
        <v>83</v>
      </c>
      <c r="C40" s="11">
        <v>1</v>
      </c>
      <c r="D40" s="44" t="s">
        <v>61</v>
      </c>
      <c r="E40" s="45" t="s">
        <v>70</v>
      </c>
      <c r="F40" s="11">
        <v>99</v>
      </c>
      <c r="G40" s="60">
        <v>1551530.4061173985</v>
      </c>
      <c r="H40" s="60">
        <v>17539.242564256063</v>
      </c>
      <c r="I40" s="60">
        <v>3609.3360183852851</v>
      </c>
      <c r="J40" s="60">
        <v>2777.1168561269001</v>
      </c>
    </row>
    <row r="41" spans="1:10" s="20" customFormat="1" x14ac:dyDescent="0.25">
      <c r="A41" s="53" t="s">
        <v>88</v>
      </c>
      <c r="B41" s="45" t="s">
        <v>83</v>
      </c>
      <c r="C41" s="11">
        <v>2</v>
      </c>
      <c r="D41" s="44" t="s">
        <v>61</v>
      </c>
      <c r="E41" s="44" t="s">
        <v>71</v>
      </c>
      <c r="F41" s="27">
        <v>69</v>
      </c>
      <c r="G41" s="60">
        <v>2499239.8260223609</v>
      </c>
      <c r="H41" s="60">
        <v>15570.628998473239</v>
      </c>
      <c r="I41" s="60">
        <v>7917.8934708773304</v>
      </c>
      <c r="J41" s="60">
        <v>4470.4400036852248</v>
      </c>
    </row>
    <row r="42" spans="1:10" s="20" customFormat="1" x14ac:dyDescent="0.25">
      <c r="A42" s="53"/>
      <c r="B42" s="45" t="s">
        <v>83</v>
      </c>
      <c r="C42" s="11">
        <v>3</v>
      </c>
      <c r="D42" s="44" t="s">
        <v>61</v>
      </c>
      <c r="E42" s="44" t="s">
        <v>72</v>
      </c>
      <c r="F42" s="27">
        <v>85</v>
      </c>
      <c r="G42" s="60">
        <v>2377701.613860786</v>
      </c>
      <c r="H42" s="60">
        <v>11790.861715772045</v>
      </c>
      <c r="I42" s="60">
        <v>6180.6236208141063</v>
      </c>
      <c r="J42" s="60">
        <v>3859.6104898890735</v>
      </c>
    </row>
    <row r="43" spans="1:10" s="20" customFormat="1" x14ac:dyDescent="0.25">
      <c r="A43" s="53"/>
      <c r="B43" s="45" t="s">
        <v>83</v>
      </c>
      <c r="C43" s="11">
        <v>4</v>
      </c>
      <c r="D43" s="44" t="s">
        <v>61</v>
      </c>
      <c r="E43" s="44" t="s">
        <v>73</v>
      </c>
      <c r="F43" s="27">
        <v>75</v>
      </c>
      <c r="G43" s="60">
        <v>3154000.0320534208</v>
      </c>
      <c r="H43" s="60">
        <v>8387.6214371137175</v>
      </c>
      <c r="I43" s="60">
        <v>5708.9497584604496</v>
      </c>
      <c r="J43" s="60">
        <v>5673.7635538129689</v>
      </c>
    </row>
    <row r="44" spans="1:10" s="20" customFormat="1" x14ac:dyDescent="0.25">
      <c r="A44" s="53"/>
      <c r="B44" s="45"/>
      <c r="C44" s="11"/>
      <c r="D44" s="27"/>
      <c r="E44" s="27"/>
      <c r="F44" s="27"/>
      <c r="G44" s="60"/>
      <c r="H44" s="60"/>
      <c r="I44" s="60"/>
      <c r="J44" s="60"/>
    </row>
    <row r="45" spans="1:10" s="20" customFormat="1" x14ac:dyDescent="0.25">
      <c r="A45" s="53" t="s">
        <v>89</v>
      </c>
      <c r="B45" s="45" t="s">
        <v>64</v>
      </c>
      <c r="C45" s="11">
        <v>1</v>
      </c>
      <c r="D45" s="44" t="s">
        <v>62</v>
      </c>
      <c r="E45" s="44" t="s">
        <v>74</v>
      </c>
      <c r="F45" s="27">
        <v>128</v>
      </c>
      <c r="G45" s="60">
        <v>14309531.285629697</v>
      </c>
      <c r="H45" s="60">
        <v>69407.20458924408</v>
      </c>
      <c r="I45" s="60">
        <v>34979.996544027155</v>
      </c>
      <c r="J45" s="60">
        <v>27199.487462685844</v>
      </c>
    </row>
    <row r="46" spans="1:10" s="20" customFormat="1" x14ac:dyDescent="0.25">
      <c r="A46" s="53" t="s">
        <v>90</v>
      </c>
      <c r="B46" s="45" t="s">
        <v>64</v>
      </c>
      <c r="C46" s="11">
        <v>2</v>
      </c>
      <c r="D46" s="44" t="s">
        <v>62</v>
      </c>
      <c r="E46" s="45" t="s">
        <v>75</v>
      </c>
      <c r="F46" s="11">
        <v>85</v>
      </c>
      <c r="G46" s="60">
        <v>18816512.932133585</v>
      </c>
      <c r="H46" s="60">
        <v>82072.942601361807</v>
      </c>
      <c r="I46" s="60">
        <v>43158.417500886579</v>
      </c>
      <c r="J46" s="60">
        <v>36219.633040180575</v>
      </c>
    </row>
    <row r="47" spans="1:10" s="20" customFormat="1" x14ac:dyDescent="0.25">
      <c r="A47" s="55"/>
      <c r="B47" s="45" t="s">
        <v>64</v>
      </c>
      <c r="C47" s="11">
        <v>3</v>
      </c>
      <c r="D47" s="44" t="s">
        <v>62</v>
      </c>
      <c r="E47" s="46" t="s">
        <v>76</v>
      </c>
      <c r="F47" s="22">
        <v>104</v>
      </c>
      <c r="G47" s="60">
        <v>25682518.230991535</v>
      </c>
      <c r="H47" s="60">
        <v>88717.719954135755</v>
      </c>
      <c r="I47" s="60">
        <v>55197.359145337352</v>
      </c>
      <c r="J47" s="60">
        <v>45947.638845152425</v>
      </c>
    </row>
    <row r="48" spans="1:10" s="20" customFormat="1" x14ac:dyDescent="0.25">
      <c r="A48" s="53"/>
      <c r="B48" s="45" t="s">
        <v>64</v>
      </c>
      <c r="C48" s="11">
        <v>4</v>
      </c>
      <c r="D48" s="44" t="s">
        <v>62</v>
      </c>
      <c r="E48" s="44" t="s">
        <v>63</v>
      </c>
      <c r="F48" s="27">
        <v>118</v>
      </c>
      <c r="G48" s="60">
        <v>41696077.908566616</v>
      </c>
      <c r="H48" s="60">
        <v>125434.86356587875</v>
      </c>
      <c r="I48" s="60">
        <v>87906.982947489771</v>
      </c>
      <c r="J48" s="60">
        <v>66057.156249682303</v>
      </c>
    </row>
    <row r="49" spans="1:11" s="20" customFormat="1" x14ac:dyDescent="0.25">
      <c r="A49" s="53" t="s">
        <v>0</v>
      </c>
      <c r="B49" s="51" t="s">
        <v>84</v>
      </c>
      <c r="C49" s="11">
        <v>1</v>
      </c>
      <c r="D49" s="44" t="s">
        <v>62</v>
      </c>
      <c r="E49" s="44" t="s">
        <v>77</v>
      </c>
      <c r="F49" s="27">
        <v>125</v>
      </c>
      <c r="G49" s="60">
        <v>710265.50764689408</v>
      </c>
      <c r="H49" s="60">
        <v>3525.4968325492946</v>
      </c>
      <c r="I49" s="60">
        <v>1907.3934095387485</v>
      </c>
      <c r="J49" s="60">
        <v>966.16141217365544</v>
      </c>
    </row>
    <row r="50" spans="1:11" s="20" customFormat="1" x14ac:dyDescent="0.25">
      <c r="A50" s="53"/>
      <c r="B50" s="51"/>
      <c r="C50" s="11"/>
      <c r="D50" s="27"/>
      <c r="E50" s="27"/>
      <c r="F50" s="27"/>
      <c r="G50" s="60"/>
      <c r="H50" s="60"/>
      <c r="I50" s="60"/>
      <c r="J50" s="60"/>
    </row>
    <row r="51" spans="1:11" s="20" customFormat="1" x14ac:dyDescent="0.25">
      <c r="A51" s="53" t="s">
        <v>91</v>
      </c>
      <c r="B51" s="51" t="s">
        <v>85</v>
      </c>
      <c r="C51" s="11">
        <v>1</v>
      </c>
      <c r="D51" s="44" t="s">
        <v>62</v>
      </c>
      <c r="E51" s="44" t="s">
        <v>78</v>
      </c>
      <c r="F51" s="27">
        <v>245</v>
      </c>
      <c r="G51" s="60">
        <v>1779016.8583892453</v>
      </c>
      <c r="H51" s="60">
        <v>5299.5622341147928</v>
      </c>
      <c r="I51" s="60">
        <v>2921.5142225062027</v>
      </c>
      <c r="J51" s="60">
        <v>2760.4542976997172</v>
      </c>
    </row>
    <row r="52" spans="1:11" x14ac:dyDescent="0.25">
      <c r="A52" s="53" t="s">
        <v>92</v>
      </c>
      <c r="B52" s="51" t="s">
        <v>85</v>
      </c>
      <c r="C52" s="11">
        <v>2</v>
      </c>
      <c r="D52" s="44" t="s">
        <v>62</v>
      </c>
      <c r="E52" s="44" t="s">
        <v>79</v>
      </c>
      <c r="F52" s="27">
        <v>48</v>
      </c>
      <c r="G52" s="60">
        <v>2938009.0822601425</v>
      </c>
      <c r="H52" s="60">
        <v>7704.7866851790232</v>
      </c>
      <c r="I52" s="60">
        <v>5225.571659886642</v>
      </c>
      <c r="J52" s="60">
        <v>4129.8522029190408</v>
      </c>
    </row>
    <row r="53" spans="1:11" x14ac:dyDescent="0.25">
      <c r="A53" s="20" t="s">
        <v>0</v>
      </c>
      <c r="B53" s="51" t="s">
        <v>85</v>
      </c>
      <c r="C53" s="11">
        <v>3</v>
      </c>
      <c r="D53" s="44" t="s">
        <v>62</v>
      </c>
      <c r="E53" s="44" t="s">
        <v>80</v>
      </c>
      <c r="F53" s="27">
        <v>19</v>
      </c>
      <c r="G53" s="60">
        <v>2810405.4482438192</v>
      </c>
      <c r="H53" s="60">
        <v>6852.562156345286</v>
      </c>
      <c r="I53" s="60">
        <v>4899.5049439253125</v>
      </c>
      <c r="J53" s="60">
        <v>4154.8119855798905</v>
      </c>
    </row>
    <row r="54" spans="1:11" x14ac:dyDescent="0.25">
      <c r="A54" s="20"/>
      <c r="B54" s="51" t="s">
        <v>84</v>
      </c>
      <c r="C54" s="11">
        <v>1</v>
      </c>
      <c r="D54" s="44" t="s">
        <v>62</v>
      </c>
      <c r="E54" s="44" t="s">
        <v>81</v>
      </c>
      <c r="F54" s="27">
        <v>2</v>
      </c>
      <c r="G54" s="60">
        <v>5470.75979651333</v>
      </c>
      <c r="H54" s="60">
        <v>29.472000000000001</v>
      </c>
      <c r="I54" s="60">
        <v>29.634875990561653</v>
      </c>
      <c r="J54" s="60">
        <v>8.6877486617281736</v>
      </c>
    </row>
    <row r="55" spans="1:11" ht="13" x14ac:dyDescent="0.3">
      <c r="C55" s="8"/>
      <c r="D55" s="9"/>
      <c r="E55" s="35"/>
      <c r="F55" s="2"/>
      <c r="G55" s="2"/>
      <c r="H55"/>
      <c r="I55" s="2"/>
      <c r="J55" s="2"/>
    </row>
    <row r="56" spans="1:11" ht="13" x14ac:dyDescent="0.3">
      <c r="A56" s="105" t="s">
        <v>109</v>
      </c>
      <c r="B56" s="106"/>
      <c r="C56" s="106"/>
      <c r="D56" s="106"/>
      <c r="E56" s="106"/>
      <c r="F56" s="106"/>
      <c r="G56" s="106"/>
      <c r="H56" s="106"/>
      <c r="I56" s="106"/>
      <c r="J56" s="106"/>
    </row>
    <row r="57" spans="1:11" ht="13" x14ac:dyDescent="0.3">
      <c r="A57" s="107" t="s">
        <v>110</v>
      </c>
      <c r="B57" s="108"/>
      <c r="C57" s="108"/>
      <c r="D57" s="108"/>
      <c r="E57" s="108"/>
      <c r="F57" s="108"/>
      <c r="G57" s="108"/>
      <c r="H57" s="108"/>
      <c r="I57" s="108"/>
      <c r="J57" s="108"/>
      <c r="K57" s="2"/>
    </row>
    <row r="58" spans="1:11" ht="13" x14ac:dyDescent="0.3">
      <c r="A58" s="104" t="s">
        <v>113</v>
      </c>
      <c r="B58" s="106"/>
      <c r="C58" s="106"/>
      <c r="D58" s="106"/>
      <c r="E58" s="106"/>
      <c r="F58" s="106"/>
      <c r="G58" s="106"/>
      <c r="H58" s="106"/>
      <c r="I58" s="106"/>
      <c r="J58" s="106"/>
      <c r="K58" s="2"/>
    </row>
    <row r="59" spans="1:11" ht="13" x14ac:dyDescent="0.3">
      <c r="A59" s="104" t="s">
        <v>112</v>
      </c>
      <c r="B59" s="106"/>
      <c r="C59" s="106"/>
      <c r="D59" s="106"/>
      <c r="E59" s="106"/>
      <c r="F59" s="106"/>
      <c r="G59" s="106"/>
      <c r="H59" s="106"/>
      <c r="I59" s="106"/>
      <c r="J59" s="106"/>
      <c r="K59" s="2"/>
    </row>
    <row r="60" spans="1:11" ht="13" x14ac:dyDescent="0.3">
      <c r="A60" s="1"/>
      <c r="B60" s="1"/>
      <c r="C60" s="2"/>
      <c r="D60" s="3"/>
      <c r="E60" s="2"/>
      <c r="F60" s="2"/>
      <c r="G60" s="2"/>
      <c r="H60" s="2"/>
      <c r="I60" s="2"/>
      <c r="J60" s="2"/>
    </row>
    <row r="61" spans="1:11" ht="13" x14ac:dyDescent="0.3">
      <c r="C61" s="31"/>
      <c r="D61" s="3"/>
      <c r="E61" s="2"/>
      <c r="F61" s="2"/>
      <c r="G61" s="2"/>
      <c r="H61" s="2"/>
      <c r="I61" s="2"/>
      <c r="J61" s="2"/>
    </row>
    <row r="62" spans="1:11" ht="13" x14ac:dyDescent="0.3">
      <c r="C62" s="8"/>
      <c r="D62" s="9"/>
      <c r="E62" s="35" t="s">
        <v>54</v>
      </c>
      <c r="F62" s="2"/>
      <c r="G62" s="2"/>
      <c r="H62" s="2"/>
      <c r="I62" s="2"/>
      <c r="J62" s="2"/>
    </row>
    <row r="63" spans="1:11" ht="65" x14ac:dyDescent="0.3">
      <c r="A63" s="26" t="s">
        <v>40</v>
      </c>
      <c r="B63" s="8" t="s">
        <v>65</v>
      </c>
      <c r="C63" s="8" t="s">
        <v>41</v>
      </c>
      <c r="D63" s="37" t="s">
        <v>93</v>
      </c>
      <c r="E63" s="37" t="s">
        <v>94</v>
      </c>
      <c r="F63" s="37" t="s">
        <v>95</v>
      </c>
      <c r="G63" s="37" t="s">
        <v>96</v>
      </c>
      <c r="H63" s="37" t="s">
        <v>97</v>
      </c>
      <c r="I63" s="37" t="s">
        <v>98</v>
      </c>
      <c r="J63" s="37" t="s">
        <v>99</v>
      </c>
    </row>
    <row r="64" spans="1:11" ht="13" x14ac:dyDescent="0.3">
      <c r="A64" s="26"/>
      <c r="B64" s="26"/>
      <c r="C64" s="8"/>
      <c r="D64" s="21"/>
      <c r="E64" s="21"/>
      <c r="F64" s="21"/>
      <c r="G64" s="21"/>
      <c r="H64" s="21"/>
      <c r="I64" s="21"/>
      <c r="J64" s="21"/>
    </row>
    <row r="65" spans="1:10" x14ac:dyDescent="0.25">
      <c r="A65" s="52" t="s">
        <v>86</v>
      </c>
      <c r="B65" s="45" t="s">
        <v>82</v>
      </c>
      <c r="C65" s="11">
        <v>1</v>
      </c>
      <c r="D65" s="44" t="s">
        <v>61</v>
      </c>
      <c r="E65" s="44" t="s">
        <v>66</v>
      </c>
      <c r="F65" s="27">
        <v>103</v>
      </c>
      <c r="G65" s="60">
        <v>22028471.097740162</v>
      </c>
      <c r="H65" s="60">
        <v>226501.13524147333</v>
      </c>
      <c r="I65" s="60">
        <v>54283.169076148086</v>
      </c>
      <c r="J65" s="60">
        <v>51944.85949982849</v>
      </c>
    </row>
    <row r="66" spans="1:10" x14ac:dyDescent="0.25">
      <c r="A66" s="53"/>
      <c r="B66" s="45" t="s">
        <v>82</v>
      </c>
      <c r="C66" s="11">
        <v>2</v>
      </c>
      <c r="D66" s="44" t="s">
        <v>61</v>
      </c>
      <c r="E66" s="44" t="s">
        <v>67</v>
      </c>
      <c r="F66" s="27">
        <v>92</v>
      </c>
      <c r="G66" s="60">
        <v>25673145.017783269</v>
      </c>
      <c r="H66" s="60">
        <v>217954.27938061714</v>
      </c>
      <c r="I66" s="60">
        <v>72408.383028441182</v>
      </c>
      <c r="J66" s="60">
        <v>61296.97180864196</v>
      </c>
    </row>
    <row r="67" spans="1:10" x14ac:dyDescent="0.25">
      <c r="A67" s="53"/>
      <c r="B67" s="45" t="s">
        <v>82</v>
      </c>
      <c r="C67" s="11">
        <v>3</v>
      </c>
      <c r="D67" s="44" t="s">
        <v>61</v>
      </c>
      <c r="E67" s="44" t="s">
        <v>68</v>
      </c>
      <c r="F67" s="27">
        <v>92</v>
      </c>
      <c r="G67" s="60">
        <v>27215245.313692819</v>
      </c>
      <c r="H67" s="60">
        <v>201823.57119293814</v>
      </c>
      <c r="I67" s="60">
        <v>81153.515755898305</v>
      </c>
      <c r="J67" s="60">
        <v>81040.730628239951</v>
      </c>
    </row>
    <row r="68" spans="1:10" x14ac:dyDescent="0.25">
      <c r="A68" s="53"/>
      <c r="B68" s="45" t="s">
        <v>82</v>
      </c>
      <c r="C68" s="11">
        <v>4</v>
      </c>
      <c r="D68" s="44" t="s">
        <v>61</v>
      </c>
      <c r="E68" s="44" t="s">
        <v>69</v>
      </c>
      <c r="F68" s="27">
        <v>100</v>
      </c>
      <c r="G68" s="60">
        <v>31364349.230092626</v>
      </c>
      <c r="H68" s="60">
        <v>194384.79687023241</v>
      </c>
      <c r="I68" s="60">
        <v>81279.009365912541</v>
      </c>
      <c r="J68" s="60">
        <v>81279.009365912541</v>
      </c>
    </row>
    <row r="69" spans="1:10" x14ac:dyDescent="0.25">
      <c r="A69" s="53"/>
      <c r="B69" s="45"/>
      <c r="D69" s="27"/>
      <c r="E69" s="27"/>
      <c r="F69" s="27"/>
      <c r="G69" s="60"/>
      <c r="H69" s="60"/>
      <c r="I69" s="60"/>
      <c r="J69" s="60"/>
    </row>
    <row r="70" spans="1:10" x14ac:dyDescent="0.25">
      <c r="A70" s="53" t="s">
        <v>87</v>
      </c>
      <c r="B70" s="45" t="s">
        <v>83</v>
      </c>
      <c r="C70" s="11">
        <v>1</v>
      </c>
      <c r="D70" s="44" t="s">
        <v>61</v>
      </c>
      <c r="E70" s="45" t="s">
        <v>70</v>
      </c>
      <c r="F70" s="11">
        <v>99</v>
      </c>
      <c r="G70" s="60">
        <v>1644806.0366834807</v>
      </c>
      <c r="H70" s="60">
        <v>19077.934314370497</v>
      </c>
      <c r="I70" s="60">
        <v>4306.5486806288645</v>
      </c>
      <c r="J70" s="60">
        <v>2155.7476267211769</v>
      </c>
    </row>
    <row r="71" spans="1:10" x14ac:dyDescent="0.25">
      <c r="A71" s="53" t="s">
        <v>88</v>
      </c>
      <c r="B71" s="45" t="s">
        <v>83</v>
      </c>
      <c r="C71" s="11">
        <v>2</v>
      </c>
      <c r="D71" s="44" t="s">
        <v>61</v>
      </c>
      <c r="E71" s="44" t="s">
        <v>71</v>
      </c>
      <c r="F71" s="27">
        <v>69</v>
      </c>
      <c r="G71" s="60">
        <v>2236171.9819441214</v>
      </c>
      <c r="H71" s="60">
        <v>15212.562709296872</v>
      </c>
      <c r="I71" s="60">
        <v>5508.5308088990996</v>
      </c>
      <c r="J71" s="60">
        <v>2599.239173843052</v>
      </c>
    </row>
    <row r="72" spans="1:10" x14ac:dyDescent="0.25">
      <c r="A72" s="53"/>
      <c r="B72" s="45" t="s">
        <v>83</v>
      </c>
      <c r="C72" s="11">
        <v>3</v>
      </c>
      <c r="D72" s="44" t="s">
        <v>61</v>
      </c>
      <c r="E72" s="44" t="s">
        <v>72</v>
      </c>
      <c r="F72" s="27">
        <v>85</v>
      </c>
      <c r="G72" s="60">
        <v>2286665.535228706</v>
      </c>
      <c r="H72" s="60">
        <v>12108.681662133253</v>
      </c>
      <c r="I72" s="60">
        <v>5296.4903310037489</v>
      </c>
      <c r="J72" s="60">
        <v>2938.6693080174309</v>
      </c>
    </row>
    <row r="73" spans="1:10" x14ac:dyDescent="0.25">
      <c r="A73" s="53"/>
      <c r="B73" s="45" t="s">
        <v>83</v>
      </c>
      <c r="C73" s="11">
        <v>4</v>
      </c>
      <c r="D73" s="44" t="s">
        <v>61</v>
      </c>
      <c r="E73" s="44" t="s">
        <v>73</v>
      </c>
      <c r="F73" s="27">
        <v>75</v>
      </c>
      <c r="G73" s="60">
        <v>3458766.3764419565</v>
      </c>
      <c r="H73" s="60">
        <v>8584.9269292948102</v>
      </c>
      <c r="I73" s="60">
        <v>5672.7380705687783</v>
      </c>
      <c r="J73" s="60">
        <v>4290.27271481567</v>
      </c>
    </row>
    <row r="74" spans="1:10" x14ac:dyDescent="0.25">
      <c r="A74" s="53"/>
      <c r="B74" s="45"/>
      <c r="D74" s="27"/>
      <c r="E74" s="27"/>
      <c r="F74" s="27"/>
      <c r="G74" s="60"/>
      <c r="H74" s="60"/>
      <c r="I74" s="60"/>
      <c r="J74" s="60"/>
    </row>
    <row r="75" spans="1:10" x14ac:dyDescent="0.25">
      <c r="A75" s="53" t="s">
        <v>89</v>
      </c>
      <c r="B75" s="45" t="s">
        <v>64</v>
      </c>
      <c r="C75" s="11">
        <v>1</v>
      </c>
      <c r="D75" s="44" t="s">
        <v>62</v>
      </c>
      <c r="E75" s="44" t="s">
        <v>74</v>
      </c>
      <c r="F75" s="27">
        <v>128</v>
      </c>
      <c r="G75" s="60">
        <v>12832864.182267219</v>
      </c>
      <c r="H75" s="60">
        <v>61764.426197460067</v>
      </c>
      <c r="I75" s="60">
        <v>26054.932188055518</v>
      </c>
      <c r="J75" s="60">
        <v>19911.988681141676</v>
      </c>
    </row>
    <row r="76" spans="1:10" x14ac:dyDescent="0.25">
      <c r="A76" s="53" t="s">
        <v>90</v>
      </c>
      <c r="B76" s="45" t="s">
        <v>64</v>
      </c>
      <c r="C76" s="11">
        <v>2</v>
      </c>
      <c r="D76" s="44" t="s">
        <v>62</v>
      </c>
      <c r="E76" s="45" t="s">
        <v>75</v>
      </c>
      <c r="F76" s="11">
        <v>85</v>
      </c>
      <c r="G76" s="60">
        <v>18848941.941810951</v>
      </c>
      <c r="H76" s="60">
        <v>80197.253069645652</v>
      </c>
      <c r="I76" s="60">
        <v>38442.540350521522</v>
      </c>
      <c r="J76" s="60">
        <v>31849.25403349624</v>
      </c>
    </row>
    <row r="77" spans="1:10" x14ac:dyDescent="0.25">
      <c r="A77" s="55"/>
      <c r="B77" s="45" t="s">
        <v>64</v>
      </c>
      <c r="C77" s="11">
        <v>3</v>
      </c>
      <c r="D77" s="44" t="s">
        <v>62</v>
      </c>
      <c r="E77" s="46" t="s">
        <v>76</v>
      </c>
      <c r="F77" s="22">
        <v>104</v>
      </c>
      <c r="G77" s="60">
        <v>27420149.662387624</v>
      </c>
      <c r="H77" s="60">
        <v>88028.2201867681</v>
      </c>
      <c r="I77" s="60">
        <v>56441.930406016902</v>
      </c>
      <c r="J77" s="60">
        <v>44916.275865877891</v>
      </c>
    </row>
    <row r="78" spans="1:10" x14ac:dyDescent="0.25">
      <c r="A78" s="53"/>
      <c r="B78" s="45" t="s">
        <v>64</v>
      </c>
      <c r="C78" s="11">
        <v>4</v>
      </c>
      <c r="D78" s="44" t="s">
        <v>62</v>
      </c>
      <c r="E78" s="44" t="s">
        <v>63</v>
      </c>
      <c r="F78" s="27">
        <v>118</v>
      </c>
      <c r="G78" s="60">
        <v>45234362.638555288</v>
      </c>
      <c r="H78" s="60">
        <v>122215.52000419727</v>
      </c>
      <c r="I78" s="60">
        <v>92976.9627759539</v>
      </c>
      <c r="J78" s="60">
        <v>64847.245523884318</v>
      </c>
    </row>
    <row r="79" spans="1:10" x14ac:dyDescent="0.25">
      <c r="A79" s="53" t="s">
        <v>0</v>
      </c>
      <c r="B79" s="51" t="s">
        <v>84</v>
      </c>
      <c r="C79" s="11">
        <v>1</v>
      </c>
      <c r="D79" s="44" t="s">
        <v>62</v>
      </c>
      <c r="E79" s="44" t="s">
        <v>77</v>
      </c>
      <c r="F79" s="27">
        <v>125</v>
      </c>
      <c r="G79" s="60">
        <v>1031591.6479587331</v>
      </c>
      <c r="H79" s="60">
        <v>3983.5306271504801</v>
      </c>
      <c r="I79" s="60">
        <v>2478.5549157196338</v>
      </c>
      <c r="J79" s="60">
        <v>1824.0076648947843</v>
      </c>
    </row>
    <row r="80" spans="1:10" x14ac:dyDescent="0.25">
      <c r="A80" s="53"/>
      <c r="B80" s="51"/>
      <c r="D80" s="27"/>
      <c r="E80" s="27"/>
      <c r="F80" s="27"/>
      <c r="G80" s="60"/>
      <c r="H80" s="60"/>
      <c r="I80" s="60"/>
      <c r="J80" s="60"/>
    </row>
    <row r="81" spans="1:10" x14ac:dyDescent="0.25">
      <c r="A81" s="53" t="s">
        <v>91</v>
      </c>
      <c r="B81" s="51" t="s">
        <v>85</v>
      </c>
      <c r="C81" s="11">
        <v>1</v>
      </c>
      <c r="D81" s="44" t="s">
        <v>62</v>
      </c>
      <c r="E81" s="44" t="s">
        <v>78</v>
      </c>
      <c r="F81" s="27">
        <v>245</v>
      </c>
      <c r="G81" s="60">
        <v>1902287.3625906156</v>
      </c>
      <c r="H81" s="60">
        <v>5413.6061773386027</v>
      </c>
      <c r="I81" s="60">
        <v>2885.6566882352581</v>
      </c>
      <c r="J81" s="60">
        <v>2410.8035435212814</v>
      </c>
    </row>
    <row r="82" spans="1:10" x14ac:dyDescent="0.25">
      <c r="A82" s="53" t="s">
        <v>92</v>
      </c>
      <c r="B82" s="51" t="s">
        <v>85</v>
      </c>
      <c r="C82" s="11">
        <v>2</v>
      </c>
      <c r="D82" s="44" t="s">
        <v>62</v>
      </c>
      <c r="E82" s="44" t="s">
        <v>79</v>
      </c>
      <c r="F82" s="27">
        <v>48</v>
      </c>
      <c r="G82" s="60">
        <v>3317700.0796838743</v>
      </c>
      <c r="H82" s="60">
        <v>7889.393795347517</v>
      </c>
      <c r="I82" s="60">
        <v>5028.2983849350712</v>
      </c>
      <c r="J82" s="60">
        <v>4113.7867900881574</v>
      </c>
    </row>
    <row r="83" spans="1:10" x14ac:dyDescent="0.25">
      <c r="A83" s="20" t="s">
        <v>0</v>
      </c>
      <c r="B83" s="51" t="s">
        <v>85</v>
      </c>
      <c r="C83" s="11">
        <v>3</v>
      </c>
      <c r="D83" s="44" t="s">
        <v>62</v>
      </c>
      <c r="E83" s="44" t="s">
        <v>80</v>
      </c>
      <c r="F83" s="27">
        <v>19</v>
      </c>
      <c r="G83" s="60">
        <v>3014918.2002515639</v>
      </c>
      <c r="H83" s="60">
        <v>6102.2581633725495</v>
      </c>
      <c r="I83" s="60">
        <v>4919.8342057192231</v>
      </c>
      <c r="J83" s="60">
        <v>4599.308510631854</v>
      </c>
    </row>
    <row r="84" spans="1:10" x14ac:dyDescent="0.25">
      <c r="A84" s="20"/>
      <c r="B84" s="51" t="s">
        <v>84</v>
      </c>
      <c r="C84" s="11">
        <v>1</v>
      </c>
      <c r="D84" s="44" t="s">
        <v>62</v>
      </c>
      <c r="E84" s="44" t="s">
        <v>81</v>
      </c>
      <c r="F84" s="27">
        <v>2</v>
      </c>
      <c r="G84" s="60">
        <v>5883.5726537564469</v>
      </c>
      <c r="H84" s="60">
        <v>54.384000000000007</v>
      </c>
      <c r="I84" s="60">
        <v>54.684551298544548</v>
      </c>
      <c r="J84" s="60">
        <v>7.1794589635114727</v>
      </c>
    </row>
    <row r="85" spans="1:10" x14ac:dyDescent="0.25">
      <c r="A85" s="20"/>
      <c r="B85" s="51"/>
      <c r="D85" s="44"/>
      <c r="E85" s="44"/>
      <c r="F85" s="27"/>
      <c r="G85" s="60"/>
      <c r="H85" s="60"/>
      <c r="I85" s="60"/>
      <c r="J85" s="60"/>
    </row>
    <row r="86" spans="1:10" ht="13" x14ac:dyDescent="0.3">
      <c r="C86" s="31"/>
      <c r="D86" s="3"/>
      <c r="E86" s="2"/>
      <c r="F86" s="2"/>
      <c r="G86" s="2"/>
      <c r="H86" s="2"/>
      <c r="I86" s="2"/>
      <c r="J86" s="2"/>
    </row>
    <row r="87" spans="1:10" ht="13" x14ac:dyDescent="0.3">
      <c r="C87" s="8"/>
      <c r="D87" s="9"/>
      <c r="E87" s="35" t="s">
        <v>55</v>
      </c>
      <c r="F87" s="2"/>
      <c r="G87" s="2"/>
      <c r="H87" s="2"/>
      <c r="I87" s="2"/>
      <c r="J87" s="2"/>
    </row>
    <row r="88" spans="1:10" ht="65" x14ac:dyDescent="0.3">
      <c r="A88" s="26" t="s">
        <v>40</v>
      </c>
      <c r="B88" s="8" t="s">
        <v>65</v>
      </c>
      <c r="C88" s="8" t="s">
        <v>41</v>
      </c>
      <c r="D88" s="37" t="s">
        <v>93</v>
      </c>
      <c r="E88" s="37" t="s">
        <v>94</v>
      </c>
      <c r="F88" s="37" t="s">
        <v>95</v>
      </c>
      <c r="G88" s="37" t="s">
        <v>96</v>
      </c>
      <c r="H88" s="37" t="s">
        <v>97</v>
      </c>
      <c r="I88" s="37" t="s">
        <v>98</v>
      </c>
      <c r="J88" s="37" t="s">
        <v>99</v>
      </c>
    </row>
    <row r="89" spans="1:10" ht="13" x14ac:dyDescent="0.3">
      <c r="A89" s="26"/>
      <c r="B89" s="26"/>
      <c r="C89" s="8"/>
      <c r="D89" s="21"/>
      <c r="E89" s="21"/>
      <c r="F89" s="21"/>
      <c r="G89" s="21"/>
      <c r="H89" s="21"/>
      <c r="I89" s="21"/>
      <c r="J89" s="21"/>
    </row>
    <row r="90" spans="1:10" x14ac:dyDescent="0.25">
      <c r="A90" s="52" t="s">
        <v>86</v>
      </c>
      <c r="B90" s="45" t="s">
        <v>82</v>
      </c>
      <c r="C90" s="11">
        <v>1</v>
      </c>
      <c r="D90" s="44" t="s">
        <v>61</v>
      </c>
      <c r="E90" s="44" t="s">
        <v>66</v>
      </c>
      <c r="F90" s="27">
        <v>103</v>
      </c>
      <c r="G90" s="60">
        <v>22056158.830797184</v>
      </c>
      <c r="H90" s="60">
        <v>233303.3047947805</v>
      </c>
      <c r="I90" s="60">
        <v>70677.397765105605</v>
      </c>
      <c r="J90" s="60">
        <v>59632.685674975786</v>
      </c>
    </row>
    <row r="91" spans="1:10" x14ac:dyDescent="0.25">
      <c r="A91" s="53"/>
      <c r="B91" s="45" t="s">
        <v>82</v>
      </c>
      <c r="C91" s="11">
        <v>2</v>
      </c>
      <c r="D91" s="44" t="s">
        <v>61</v>
      </c>
      <c r="E91" s="44" t="s">
        <v>67</v>
      </c>
      <c r="F91" s="27">
        <v>92</v>
      </c>
      <c r="G91" s="60">
        <v>24569576.458912954</v>
      </c>
      <c r="H91" s="60">
        <v>211880.72797979016</v>
      </c>
      <c r="I91" s="60">
        <v>72344.947459948744</v>
      </c>
      <c r="J91" s="60">
        <v>72344.947459948744</v>
      </c>
    </row>
    <row r="92" spans="1:10" x14ac:dyDescent="0.25">
      <c r="A92" s="53"/>
      <c r="B92" s="45" t="s">
        <v>82</v>
      </c>
      <c r="C92" s="11">
        <v>3</v>
      </c>
      <c r="D92" s="44" t="s">
        <v>61</v>
      </c>
      <c r="E92" s="44" t="s">
        <v>68</v>
      </c>
      <c r="F92" s="27">
        <v>92</v>
      </c>
      <c r="G92" s="60">
        <v>27559834.624554578</v>
      </c>
      <c r="H92" s="60">
        <v>204310.10723689594</v>
      </c>
      <c r="I92" s="60">
        <v>80130.484044184937</v>
      </c>
      <c r="J92" s="60">
        <v>79688.395309447049</v>
      </c>
    </row>
    <row r="93" spans="1:10" x14ac:dyDescent="0.25">
      <c r="A93" s="53"/>
      <c r="B93" s="45" t="s">
        <v>82</v>
      </c>
      <c r="C93" s="11">
        <v>4</v>
      </c>
      <c r="D93" s="44" t="s">
        <v>61</v>
      </c>
      <c r="E93" s="44" t="s">
        <v>69</v>
      </c>
      <c r="F93" s="27">
        <v>100</v>
      </c>
      <c r="G93" s="60">
        <v>30384794.675153155</v>
      </c>
      <c r="H93" s="60">
        <v>229872.34349490626</v>
      </c>
      <c r="I93" s="60">
        <v>91583.365156883068</v>
      </c>
      <c r="J93" s="60">
        <v>83207.811076353551</v>
      </c>
    </row>
    <row r="94" spans="1:10" x14ac:dyDescent="0.25">
      <c r="A94" s="53"/>
      <c r="B94" s="45"/>
      <c r="D94" s="27"/>
      <c r="E94" s="27"/>
      <c r="F94" s="27"/>
      <c r="G94" s="60"/>
      <c r="H94" s="60"/>
      <c r="I94" s="60"/>
      <c r="J94" s="60"/>
    </row>
    <row r="95" spans="1:10" x14ac:dyDescent="0.25">
      <c r="A95" s="53" t="s">
        <v>87</v>
      </c>
      <c r="B95" s="45" t="s">
        <v>83</v>
      </c>
      <c r="C95" s="11">
        <v>1</v>
      </c>
      <c r="D95" s="44" t="s">
        <v>61</v>
      </c>
      <c r="E95" s="45" t="s">
        <v>70</v>
      </c>
      <c r="F95" s="11">
        <v>99</v>
      </c>
      <c r="G95" s="60">
        <v>1493362.1520043921</v>
      </c>
      <c r="H95" s="60">
        <v>20213.546896571566</v>
      </c>
      <c r="I95" s="60">
        <v>3602.1522556163441</v>
      </c>
      <c r="J95" s="60">
        <v>2681.1761560673417</v>
      </c>
    </row>
    <row r="96" spans="1:10" x14ac:dyDescent="0.25">
      <c r="A96" s="53" t="s">
        <v>88</v>
      </c>
      <c r="B96" s="45" t="s">
        <v>83</v>
      </c>
      <c r="C96" s="11">
        <v>2</v>
      </c>
      <c r="D96" s="44" t="s">
        <v>61</v>
      </c>
      <c r="E96" s="44" t="s">
        <v>71</v>
      </c>
      <c r="F96" s="27">
        <v>69</v>
      </c>
      <c r="G96" s="60">
        <v>2094220.573672229</v>
      </c>
      <c r="H96" s="60">
        <v>14802.24672762336</v>
      </c>
      <c r="I96" s="60">
        <v>5956.4302513314833</v>
      </c>
      <c r="J96" s="60">
        <v>4145.0371640299827</v>
      </c>
    </row>
    <row r="97" spans="1:11" x14ac:dyDescent="0.25">
      <c r="A97" s="53"/>
      <c r="B97" s="45" t="s">
        <v>83</v>
      </c>
      <c r="C97" s="11">
        <v>3</v>
      </c>
      <c r="D97" s="44" t="s">
        <v>61</v>
      </c>
      <c r="E97" s="44" t="s">
        <v>72</v>
      </c>
      <c r="F97" s="27">
        <v>85</v>
      </c>
      <c r="G97" s="60">
        <v>2228889.1856182739</v>
      </c>
      <c r="H97" s="60">
        <v>12363.535715107262</v>
      </c>
      <c r="I97" s="60">
        <v>7222.4121385390663</v>
      </c>
      <c r="J97" s="60">
        <v>4896.9514255110435</v>
      </c>
    </row>
    <row r="98" spans="1:11" x14ac:dyDescent="0.25">
      <c r="A98" s="53"/>
      <c r="B98" s="45" t="s">
        <v>83</v>
      </c>
      <c r="C98" s="11">
        <v>4</v>
      </c>
      <c r="D98" s="44" t="s">
        <v>61</v>
      </c>
      <c r="E98" s="44" t="s">
        <v>73</v>
      </c>
      <c r="F98" s="27">
        <v>75</v>
      </c>
      <c r="G98" s="60">
        <v>3317900.9606549586</v>
      </c>
      <c r="H98" s="60">
        <v>8440.8196325751323</v>
      </c>
      <c r="I98" s="60">
        <v>5639.5293210660111</v>
      </c>
      <c r="J98" s="60">
        <v>4812.4678957074393</v>
      </c>
    </row>
    <row r="99" spans="1:11" x14ac:dyDescent="0.25">
      <c r="A99" s="53"/>
      <c r="B99" s="45"/>
      <c r="D99" s="27"/>
      <c r="E99" s="27"/>
      <c r="F99" s="27"/>
      <c r="G99" s="60"/>
      <c r="H99" s="60"/>
      <c r="I99" s="60"/>
      <c r="J99" s="60"/>
    </row>
    <row r="100" spans="1:11" x14ac:dyDescent="0.25">
      <c r="A100" s="53" t="s">
        <v>89</v>
      </c>
      <c r="B100" s="45" t="s">
        <v>64</v>
      </c>
      <c r="C100" s="11">
        <v>1</v>
      </c>
      <c r="D100" s="44" t="s">
        <v>62</v>
      </c>
      <c r="E100" s="44" t="s">
        <v>74</v>
      </c>
      <c r="F100" s="27">
        <v>128</v>
      </c>
      <c r="G100" s="60">
        <v>12670326.357148038</v>
      </c>
      <c r="H100" s="60">
        <v>63427.146763021403</v>
      </c>
      <c r="I100" s="60">
        <v>30430.271491079053</v>
      </c>
      <c r="J100" s="60">
        <v>23575.357515549367</v>
      </c>
    </row>
    <row r="101" spans="1:11" x14ac:dyDescent="0.25">
      <c r="A101" s="53" t="s">
        <v>90</v>
      </c>
      <c r="B101" s="45" t="s">
        <v>64</v>
      </c>
      <c r="C101" s="11">
        <v>2</v>
      </c>
      <c r="D101" s="44" t="s">
        <v>62</v>
      </c>
      <c r="E101" s="45" t="s">
        <v>75</v>
      </c>
      <c r="F101" s="11">
        <v>85</v>
      </c>
      <c r="G101" s="60">
        <v>18891022.60302189</v>
      </c>
      <c r="H101" s="60">
        <v>77335.020726014976</v>
      </c>
      <c r="I101" s="60">
        <v>45277.572872121149</v>
      </c>
      <c r="J101" s="60">
        <v>41611.330573359228</v>
      </c>
    </row>
    <row r="102" spans="1:11" x14ac:dyDescent="0.25">
      <c r="A102" s="55"/>
      <c r="B102" s="45" t="s">
        <v>64</v>
      </c>
      <c r="C102" s="11">
        <v>3</v>
      </c>
      <c r="D102" s="44" t="s">
        <v>62</v>
      </c>
      <c r="E102" s="46" t="s">
        <v>76</v>
      </c>
      <c r="F102" s="22">
        <v>104</v>
      </c>
      <c r="G102" s="60">
        <v>27254433.546709247</v>
      </c>
      <c r="H102" s="60">
        <v>89215.664476810547</v>
      </c>
      <c r="I102" s="60">
        <v>62915.057857002372</v>
      </c>
      <c r="J102" s="60">
        <v>53465.194712444361</v>
      </c>
    </row>
    <row r="103" spans="1:11" x14ac:dyDescent="0.25">
      <c r="A103" s="53"/>
      <c r="B103" s="45" t="s">
        <v>64</v>
      </c>
      <c r="C103" s="11">
        <v>4</v>
      </c>
      <c r="D103" s="44" t="s">
        <v>62</v>
      </c>
      <c r="E103" s="44" t="s">
        <v>63</v>
      </c>
      <c r="F103" s="27">
        <v>118</v>
      </c>
      <c r="G103" s="60">
        <v>44289884.048190601</v>
      </c>
      <c r="H103" s="60">
        <v>126551.46616788473</v>
      </c>
      <c r="I103" s="60">
        <v>97941.215891299376</v>
      </c>
      <c r="J103" s="60">
        <v>79556.371265583977</v>
      </c>
    </row>
    <row r="104" spans="1:11" x14ac:dyDescent="0.25">
      <c r="A104" s="53" t="s">
        <v>0</v>
      </c>
      <c r="B104" s="51" t="s">
        <v>84</v>
      </c>
      <c r="C104" s="11">
        <v>1</v>
      </c>
      <c r="D104" s="44" t="s">
        <v>62</v>
      </c>
      <c r="E104" s="44" t="s">
        <v>77</v>
      </c>
      <c r="F104" s="27">
        <v>125</v>
      </c>
      <c r="G104" s="60">
        <v>1083631.3626637079</v>
      </c>
      <c r="H104" s="60">
        <v>5440.3091441018205</v>
      </c>
      <c r="I104" s="60">
        <v>3361.111405488145</v>
      </c>
      <c r="J104" s="60">
        <v>1626.0954321868553</v>
      </c>
    </row>
    <row r="105" spans="1:11" x14ac:dyDescent="0.25">
      <c r="A105" s="53"/>
      <c r="B105" s="51"/>
      <c r="D105" s="27"/>
      <c r="E105" s="27"/>
      <c r="F105" s="27"/>
      <c r="G105" s="60"/>
      <c r="H105" s="60"/>
      <c r="I105" s="60"/>
      <c r="J105" s="60"/>
    </row>
    <row r="106" spans="1:11" x14ac:dyDescent="0.25">
      <c r="A106" s="53" t="s">
        <v>91</v>
      </c>
      <c r="B106" s="51" t="s">
        <v>85</v>
      </c>
      <c r="C106" s="11">
        <v>1</v>
      </c>
      <c r="D106" s="44" t="s">
        <v>62</v>
      </c>
      <c r="E106" s="44" t="s">
        <v>78</v>
      </c>
      <c r="F106" s="27">
        <v>245</v>
      </c>
      <c r="G106" s="60">
        <v>1797018.3673889858</v>
      </c>
      <c r="H106" s="60">
        <v>5353.2625072124756</v>
      </c>
      <c r="I106" s="60">
        <v>2855.4472006925403</v>
      </c>
      <c r="J106" s="60">
        <v>2384.561718882323</v>
      </c>
    </row>
    <row r="107" spans="1:11" x14ac:dyDescent="0.25">
      <c r="A107" s="53" t="s">
        <v>92</v>
      </c>
      <c r="B107" s="51" t="s">
        <v>85</v>
      </c>
      <c r="C107" s="11">
        <v>2</v>
      </c>
      <c r="D107" s="44" t="s">
        <v>62</v>
      </c>
      <c r="E107" s="44" t="s">
        <v>79</v>
      </c>
      <c r="F107" s="27">
        <v>48</v>
      </c>
      <c r="G107" s="60">
        <v>3197748.6889344091</v>
      </c>
      <c r="H107" s="60">
        <v>7750.0650600877971</v>
      </c>
      <c r="I107" s="60">
        <v>5279.6443598698488</v>
      </c>
      <c r="J107" s="60">
        <v>5045.844480976175</v>
      </c>
    </row>
    <row r="108" spans="1:11" x14ac:dyDescent="0.25">
      <c r="A108" s="20" t="s">
        <v>0</v>
      </c>
      <c r="B108" s="51" t="s">
        <v>85</v>
      </c>
      <c r="C108" s="11">
        <v>3</v>
      </c>
      <c r="D108" s="44" t="s">
        <v>62</v>
      </c>
      <c r="E108" s="44" t="s">
        <v>80</v>
      </c>
      <c r="F108" s="27">
        <v>19</v>
      </c>
      <c r="G108" s="60">
        <v>2946717.4139706558</v>
      </c>
      <c r="H108" s="60">
        <v>8662.4594311651617</v>
      </c>
      <c r="I108" s="60">
        <v>6154.2141735148289</v>
      </c>
      <c r="J108" s="60">
        <v>4128.3958456890132</v>
      </c>
    </row>
    <row r="109" spans="1:11" x14ac:dyDescent="0.25">
      <c r="A109" s="20"/>
      <c r="B109" s="51" t="s">
        <v>84</v>
      </c>
      <c r="C109" s="11">
        <v>1</v>
      </c>
      <c r="D109" s="44" t="s">
        <v>62</v>
      </c>
      <c r="E109" s="44" t="s">
        <v>81</v>
      </c>
      <c r="F109" s="27">
        <v>2</v>
      </c>
      <c r="G109" s="60">
        <v>2945.3036584544643</v>
      </c>
      <c r="H109" s="60">
        <v>29.748000000000005</v>
      </c>
      <c r="I109" s="60">
        <v>29.791738119176188</v>
      </c>
      <c r="J109" s="60">
        <v>3.5957626405486045</v>
      </c>
    </row>
    <row r="110" spans="1:11" x14ac:dyDescent="0.25">
      <c r="A110" s="20"/>
      <c r="B110" s="20"/>
      <c r="D110" s="27"/>
      <c r="E110" s="27"/>
      <c r="F110" s="27"/>
      <c r="G110" s="27"/>
      <c r="H110" s="28"/>
      <c r="I110" s="28"/>
      <c r="J110" s="29"/>
    </row>
    <row r="111" spans="1:11" ht="13" x14ac:dyDescent="0.3">
      <c r="A111" s="105" t="s">
        <v>109</v>
      </c>
      <c r="B111" s="106"/>
      <c r="C111" s="106"/>
      <c r="D111" s="106"/>
      <c r="E111" s="106"/>
      <c r="F111" s="106"/>
      <c r="G111" s="106"/>
      <c r="H111" s="106"/>
      <c r="I111" s="106"/>
      <c r="J111" s="106"/>
    </row>
    <row r="112" spans="1:11" ht="13" x14ac:dyDescent="0.3">
      <c r="A112" s="107" t="s">
        <v>110</v>
      </c>
      <c r="B112" s="108"/>
      <c r="C112" s="108"/>
      <c r="D112" s="108"/>
      <c r="E112" s="108"/>
      <c r="F112" s="108"/>
      <c r="G112" s="108"/>
      <c r="H112" s="108"/>
      <c r="I112" s="108"/>
      <c r="J112" s="108"/>
      <c r="K112" s="2"/>
    </row>
    <row r="113" spans="1:11" ht="13" x14ac:dyDescent="0.3">
      <c r="A113" s="104" t="s">
        <v>113</v>
      </c>
      <c r="B113" s="106"/>
      <c r="C113" s="106"/>
      <c r="D113" s="106"/>
      <c r="E113" s="106"/>
      <c r="F113" s="106"/>
      <c r="G113" s="106"/>
      <c r="H113" s="106"/>
      <c r="I113" s="106"/>
      <c r="J113" s="106"/>
      <c r="K113" s="2"/>
    </row>
    <row r="114" spans="1:11" ht="13" x14ac:dyDescent="0.3">
      <c r="A114" s="104" t="s">
        <v>112</v>
      </c>
      <c r="B114" s="106"/>
      <c r="C114" s="106"/>
      <c r="D114" s="106"/>
      <c r="E114" s="106"/>
      <c r="F114" s="106"/>
      <c r="G114" s="106"/>
      <c r="H114" s="106"/>
      <c r="I114" s="106"/>
      <c r="J114" s="106"/>
      <c r="K114" s="2"/>
    </row>
    <row r="115" spans="1:11" ht="13" x14ac:dyDescent="0.3">
      <c r="A115" s="1"/>
      <c r="B115" s="1"/>
      <c r="C115" s="2"/>
      <c r="D115" s="3"/>
      <c r="E115" s="2"/>
      <c r="F115" s="2"/>
      <c r="G115" s="2"/>
      <c r="H115" s="2"/>
      <c r="I115" s="2"/>
      <c r="J115" s="2"/>
    </row>
    <row r="116" spans="1:11" ht="13" x14ac:dyDescent="0.3">
      <c r="C116" s="31"/>
      <c r="D116" s="3"/>
      <c r="E116" s="2"/>
      <c r="F116" s="2"/>
      <c r="G116" s="2"/>
      <c r="H116" s="2"/>
      <c r="I116" s="2"/>
      <c r="J116" s="2"/>
    </row>
    <row r="117" spans="1:11" ht="13" x14ac:dyDescent="0.3">
      <c r="C117" s="8"/>
      <c r="D117" s="9"/>
      <c r="E117" s="35" t="s">
        <v>56</v>
      </c>
      <c r="F117" s="2"/>
      <c r="G117" s="2"/>
      <c r="H117" s="2"/>
      <c r="I117" s="2"/>
      <c r="J117" s="2"/>
    </row>
    <row r="118" spans="1:11" ht="65" x14ac:dyDescent="0.3">
      <c r="A118" s="26" t="s">
        <v>40</v>
      </c>
      <c r="B118" s="8" t="s">
        <v>65</v>
      </c>
      <c r="C118" s="8" t="s">
        <v>41</v>
      </c>
      <c r="D118" s="37" t="s">
        <v>93</v>
      </c>
      <c r="E118" s="37" t="s">
        <v>94</v>
      </c>
      <c r="F118" s="37" t="s">
        <v>95</v>
      </c>
      <c r="G118" s="37" t="s">
        <v>96</v>
      </c>
      <c r="H118" s="37" t="s">
        <v>97</v>
      </c>
      <c r="I118" s="37" t="s">
        <v>98</v>
      </c>
      <c r="J118" s="37" t="s">
        <v>99</v>
      </c>
    </row>
    <row r="119" spans="1:11" ht="13" x14ac:dyDescent="0.3">
      <c r="A119" s="26"/>
      <c r="B119" s="26"/>
      <c r="C119" s="8"/>
      <c r="D119" s="21"/>
      <c r="E119" s="21"/>
      <c r="F119" s="21"/>
      <c r="G119" s="21"/>
      <c r="H119" s="21"/>
      <c r="I119" s="21"/>
      <c r="J119" s="21"/>
    </row>
    <row r="120" spans="1:11" x14ac:dyDescent="0.25">
      <c r="A120" s="52" t="s">
        <v>86</v>
      </c>
      <c r="B120" s="45" t="s">
        <v>82</v>
      </c>
      <c r="C120" s="11">
        <v>1</v>
      </c>
      <c r="D120" s="44" t="s">
        <v>61</v>
      </c>
      <c r="E120" s="44" t="s">
        <v>66</v>
      </c>
      <c r="F120" s="27">
        <v>103</v>
      </c>
      <c r="G120" s="60">
        <v>38822105.624969348</v>
      </c>
      <c r="H120" s="60">
        <v>261324.01544672906</v>
      </c>
      <c r="I120" s="60">
        <v>128334.58588109884</v>
      </c>
      <c r="J120" s="60">
        <v>112058.59988485511</v>
      </c>
    </row>
    <row r="121" spans="1:11" x14ac:dyDescent="0.25">
      <c r="A121" s="53"/>
      <c r="B121" s="45" t="s">
        <v>82</v>
      </c>
      <c r="C121" s="11">
        <v>2</v>
      </c>
      <c r="D121" s="44" t="s">
        <v>61</v>
      </c>
      <c r="E121" s="44" t="s">
        <v>67</v>
      </c>
      <c r="F121" s="27">
        <v>92</v>
      </c>
      <c r="G121" s="60">
        <v>41096984.359160252</v>
      </c>
      <c r="H121" s="60">
        <v>225751.61083410829</v>
      </c>
      <c r="I121" s="60">
        <v>126592.54525459048</v>
      </c>
      <c r="J121" s="60">
        <v>122654.369469023</v>
      </c>
    </row>
    <row r="122" spans="1:11" x14ac:dyDescent="0.25">
      <c r="A122" s="53"/>
      <c r="B122" s="45" t="s">
        <v>82</v>
      </c>
      <c r="C122" s="11">
        <v>3</v>
      </c>
      <c r="D122" s="44" t="s">
        <v>61</v>
      </c>
      <c r="E122" s="44" t="s">
        <v>68</v>
      </c>
      <c r="F122" s="27">
        <v>92</v>
      </c>
      <c r="G122" s="60">
        <v>45974017.928868435</v>
      </c>
      <c r="H122" s="60">
        <v>219215.59072400341</v>
      </c>
      <c r="I122" s="60">
        <v>131462.19997017263</v>
      </c>
      <c r="J122" s="60">
        <v>125425.3895899226</v>
      </c>
    </row>
    <row r="123" spans="1:11" x14ac:dyDescent="0.25">
      <c r="A123" s="53"/>
      <c r="B123" s="45" t="s">
        <v>82</v>
      </c>
      <c r="C123" s="11">
        <v>4</v>
      </c>
      <c r="D123" s="44" t="s">
        <v>61</v>
      </c>
      <c r="E123" s="44" t="s">
        <v>69</v>
      </c>
      <c r="F123" s="27">
        <v>100</v>
      </c>
      <c r="G123" s="60">
        <v>46169994.006971456</v>
      </c>
      <c r="H123" s="60">
        <v>202848.32436637962</v>
      </c>
      <c r="I123" s="60">
        <v>132278.13457520938</v>
      </c>
      <c r="J123" s="60">
        <v>123512.97581895179</v>
      </c>
    </row>
    <row r="124" spans="1:11" x14ac:dyDescent="0.25">
      <c r="A124" s="53"/>
      <c r="B124" s="45"/>
      <c r="D124" s="27"/>
      <c r="E124" s="27"/>
      <c r="F124" s="27"/>
      <c r="G124" s="60"/>
      <c r="H124" s="60"/>
      <c r="I124" s="60"/>
      <c r="J124" s="60"/>
    </row>
    <row r="125" spans="1:11" x14ac:dyDescent="0.25">
      <c r="A125" s="53" t="s">
        <v>87</v>
      </c>
      <c r="B125" s="45" t="s">
        <v>83</v>
      </c>
      <c r="C125" s="11">
        <v>1</v>
      </c>
      <c r="D125" s="44" t="s">
        <v>61</v>
      </c>
      <c r="E125" s="45" t="s">
        <v>70</v>
      </c>
      <c r="F125" s="11">
        <v>99</v>
      </c>
      <c r="G125" s="60">
        <v>1875115.1344376144</v>
      </c>
      <c r="H125" s="60">
        <v>24240.173936398849</v>
      </c>
      <c r="I125" s="60">
        <v>5000.8291414192108</v>
      </c>
      <c r="J125" s="60">
        <v>4198.9299157864134</v>
      </c>
    </row>
    <row r="126" spans="1:11" x14ac:dyDescent="0.25">
      <c r="A126" s="53" t="s">
        <v>88</v>
      </c>
      <c r="B126" s="45" t="s">
        <v>83</v>
      </c>
      <c r="C126" s="11">
        <v>2</v>
      </c>
      <c r="D126" s="44" t="s">
        <v>61</v>
      </c>
      <c r="E126" s="44" t="s">
        <v>71</v>
      </c>
      <c r="F126" s="27">
        <v>69</v>
      </c>
      <c r="G126" s="60">
        <v>2669361.5905473027</v>
      </c>
      <c r="H126" s="60">
        <v>16406.322983107202</v>
      </c>
      <c r="I126" s="60">
        <v>9441.9420795186652</v>
      </c>
      <c r="J126" s="60">
        <v>7507.346494750067</v>
      </c>
    </row>
    <row r="127" spans="1:11" x14ac:dyDescent="0.25">
      <c r="A127" s="53"/>
      <c r="B127" s="45" t="s">
        <v>83</v>
      </c>
      <c r="C127" s="11">
        <v>3</v>
      </c>
      <c r="D127" s="44" t="s">
        <v>61</v>
      </c>
      <c r="E127" s="44" t="s">
        <v>72</v>
      </c>
      <c r="F127" s="27">
        <v>85</v>
      </c>
      <c r="G127" s="60">
        <v>3399784.1304788757</v>
      </c>
      <c r="H127" s="60">
        <v>14596.333332598271</v>
      </c>
      <c r="I127" s="60">
        <v>10928.788029756408</v>
      </c>
      <c r="J127" s="60">
        <v>10799.849713061916</v>
      </c>
    </row>
    <row r="128" spans="1:11" x14ac:dyDescent="0.25">
      <c r="A128" s="53"/>
      <c r="B128" s="45" t="s">
        <v>83</v>
      </c>
      <c r="C128" s="11">
        <v>4</v>
      </c>
      <c r="D128" s="44" t="s">
        <v>61</v>
      </c>
      <c r="E128" s="44" t="s">
        <v>73</v>
      </c>
      <c r="F128" s="27">
        <v>75</v>
      </c>
      <c r="G128" s="60">
        <v>3879774.9882870144</v>
      </c>
      <c r="H128" s="60">
        <v>8981.8582448076886</v>
      </c>
      <c r="I128" s="60">
        <v>6761.3675589727172</v>
      </c>
      <c r="J128" s="60">
        <v>6167.1092078815836</v>
      </c>
    </row>
    <row r="129" spans="1:10" x14ac:dyDescent="0.25">
      <c r="A129" s="53"/>
      <c r="B129" s="45"/>
      <c r="D129" s="27"/>
      <c r="E129" s="27"/>
      <c r="F129" s="27"/>
      <c r="G129" s="60"/>
      <c r="H129" s="60"/>
      <c r="I129" s="60"/>
      <c r="J129" s="60"/>
    </row>
    <row r="130" spans="1:10" x14ac:dyDescent="0.25">
      <c r="A130" s="53" t="s">
        <v>89</v>
      </c>
      <c r="B130" s="45" t="s">
        <v>64</v>
      </c>
      <c r="C130" s="11">
        <v>1</v>
      </c>
      <c r="D130" s="44" t="s">
        <v>62</v>
      </c>
      <c r="E130" s="44" t="s">
        <v>74</v>
      </c>
      <c r="F130" s="27">
        <v>128</v>
      </c>
      <c r="G130" s="60">
        <v>16684031.228385676</v>
      </c>
      <c r="H130" s="60">
        <v>71028.091728650703</v>
      </c>
      <c r="I130" s="60">
        <v>44149.681865523817</v>
      </c>
      <c r="J130" s="60">
        <v>43875.823143751608</v>
      </c>
    </row>
    <row r="131" spans="1:10" x14ac:dyDescent="0.25">
      <c r="A131" s="53" t="s">
        <v>90</v>
      </c>
      <c r="B131" s="45" t="s">
        <v>64</v>
      </c>
      <c r="C131" s="11">
        <v>2</v>
      </c>
      <c r="D131" s="44" t="s">
        <v>62</v>
      </c>
      <c r="E131" s="45" t="s">
        <v>75</v>
      </c>
      <c r="F131" s="11">
        <v>85</v>
      </c>
      <c r="G131" s="60">
        <v>24565353.078748036</v>
      </c>
      <c r="H131" s="60">
        <v>91457.875882155728</v>
      </c>
      <c r="I131" s="60">
        <v>60521.514554966365</v>
      </c>
      <c r="J131" s="60">
        <v>60521.514554966365</v>
      </c>
    </row>
    <row r="132" spans="1:10" x14ac:dyDescent="0.25">
      <c r="A132" s="55"/>
      <c r="B132" s="45" t="s">
        <v>64</v>
      </c>
      <c r="C132" s="11">
        <v>3</v>
      </c>
      <c r="D132" s="44" t="s">
        <v>62</v>
      </c>
      <c r="E132" s="46" t="s">
        <v>76</v>
      </c>
      <c r="F132" s="22">
        <v>104</v>
      </c>
      <c r="G132" s="60">
        <v>36894765.363872968</v>
      </c>
      <c r="H132" s="60">
        <v>105860.31293651795</v>
      </c>
      <c r="I132" s="60">
        <v>81100.416798877981</v>
      </c>
      <c r="J132" s="60">
        <v>81007.564501264409</v>
      </c>
    </row>
    <row r="133" spans="1:10" x14ac:dyDescent="0.25">
      <c r="A133" s="53"/>
      <c r="B133" s="45" t="s">
        <v>64</v>
      </c>
      <c r="C133" s="11">
        <v>4</v>
      </c>
      <c r="D133" s="44" t="s">
        <v>62</v>
      </c>
      <c r="E133" s="44" t="s">
        <v>63</v>
      </c>
      <c r="F133" s="27">
        <v>118</v>
      </c>
      <c r="G133" s="60">
        <v>53873346.599405989</v>
      </c>
      <c r="H133" s="60">
        <v>145248.1182745588</v>
      </c>
      <c r="I133" s="60">
        <v>117381.00221102458</v>
      </c>
      <c r="J133" s="60">
        <v>107909.13590924462</v>
      </c>
    </row>
    <row r="134" spans="1:10" x14ac:dyDescent="0.25">
      <c r="A134" s="53" t="s">
        <v>0</v>
      </c>
      <c r="B134" s="51" t="s">
        <v>84</v>
      </c>
      <c r="C134" s="11">
        <v>1</v>
      </c>
      <c r="D134" s="44" t="s">
        <v>62</v>
      </c>
      <c r="E134" s="44" t="s">
        <v>77</v>
      </c>
      <c r="F134" s="27">
        <v>125</v>
      </c>
      <c r="G134" s="60">
        <v>2007951.3073931932</v>
      </c>
      <c r="H134" s="60">
        <v>6483.4654512684483</v>
      </c>
      <c r="I134" s="60">
        <v>3916.675583208661</v>
      </c>
      <c r="J134" s="60">
        <v>3842.4455020847568</v>
      </c>
    </row>
    <row r="135" spans="1:10" x14ac:dyDescent="0.25">
      <c r="A135" s="53"/>
      <c r="B135" s="51"/>
      <c r="D135" s="27"/>
      <c r="E135" s="27"/>
      <c r="F135" s="27"/>
      <c r="G135" s="60"/>
      <c r="H135" s="60"/>
      <c r="I135" s="60"/>
      <c r="J135" s="60"/>
    </row>
    <row r="136" spans="1:10" x14ac:dyDescent="0.25">
      <c r="A136" s="53" t="s">
        <v>91</v>
      </c>
      <c r="B136" s="51" t="s">
        <v>85</v>
      </c>
      <c r="C136" s="11">
        <v>1</v>
      </c>
      <c r="D136" s="44" t="s">
        <v>62</v>
      </c>
      <c r="E136" s="44" t="s">
        <v>78</v>
      </c>
      <c r="F136" s="27">
        <v>245</v>
      </c>
      <c r="G136" s="60">
        <v>1844071.2018005431</v>
      </c>
      <c r="H136" s="60">
        <v>5212.1603481221191</v>
      </c>
      <c r="I136" s="60">
        <v>2823.7042218819729</v>
      </c>
      <c r="J136" s="60">
        <v>2618.3340177405607</v>
      </c>
    </row>
    <row r="137" spans="1:10" x14ac:dyDescent="0.25">
      <c r="A137" s="53" t="s">
        <v>92</v>
      </c>
      <c r="B137" s="51" t="s">
        <v>85</v>
      </c>
      <c r="C137" s="11">
        <v>2</v>
      </c>
      <c r="D137" s="44" t="s">
        <v>62</v>
      </c>
      <c r="E137" s="44" t="s">
        <v>79</v>
      </c>
      <c r="F137" s="27">
        <v>48</v>
      </c>
      <c r="G137" s="60">
        <v>3074947.0241867723</v>
      </c>
      <c r="H137" s="60">
        <v>8120.5152536912328</v>
      </c>
      <c r="I137" s="60">
        <v>5084.925263455908</v>
      </c>
      <c r="J137" s="60">
        <v>4362.7405362114241</v>
      </c>
    </row>
    <row r="138" spans="1:10" x14ac:dyDescent="0.25">
      <c r="A138" s="20" t="s">
        <v>0</v>
      </c>
      <c r="B138" s="51" t="s">
        <v>85</v>
      </c>
      <c r="C138" s="11">
        <v>3</v>
      </c>
      <c r="D138" s="44" t="s">
        <v>62</v>
      </c>
      <c r="E138" s="44" t="s">
        <v>80</v>
      </c>
      <c r="F138" s="27">
        <v>19</v>
      </c>
      <c r="G138" s="60">
        <v>3099204.3693872374</v>
      </c>
      <c r="H138" s="60">
        <v>8617.238676862924</v>
      </c>
      <c r="I138" s="60">
        <v>6416.2737372838628</v>
      </c>
      <c r="J138" s="60">
        <v>5269.9937071322483</v>
      </c>
    </row>
    <row r="139" spans="1:10" x14ac:dyDescent="0.25">
      <c r="A139" s="20"/>
      <c r="B139" s="51" t="s">
        <v>84</v>
      </c>
      <c r="C139" s="11">
        <v>1</v>
      </c>
      <c r="D139" s="44" t="s">
        <v>62</v>
      </c>
      <c r="E139" s="44" t="s">
        <v>81</v>
      </c>
      <c r="F139" s="27">
        <v>2</v>
      </c>
      <c r="G139" s="60">
        <v>3439.6787894183481</v>
      </c>
      <c r="H139" s="60">
        <v>26.232000000000006</v>
      </c>
      <c r="I139" s="60">
        <v>26.376970242413591</v>
      </c>
      <c r="J139" s="60">
        <v>5.4539755487515746</v>
      </c>
    </row>
    <row r="140" spans="1:10" x14ac:dyDescent="0.25">
      <c r="A140" s="20"/>
      <c r="B140" s="20"/>
      <c r="D140" s="27"/>
      <c r="E140" s="27"/>
      <c r="F140" s="27"/>
      <c r="G140" s="27"/>
      <c r="H140" s="28"/>
      <c r="I140" s="28"/>
      <c r="J140" s="29"/>
    </row>
    <row r="141" spans="1:10" ht="13" x14ac:dyDescent="0.3">
      <c r="C141" s="31"/>
      <c r="D141" s="3"/>
      <c r="E141" s="2"/>
      <c r="F141" s="2"/>
      <c r="G141" s="2"/>
      <c r="H141" s="2"/>
      <c r="I141" s="2"/>
      <c r="J141" s="2"/>
    </row>
    <row r="142" spans="1:10" ht="13" x14ac:dyDescent="0.3">
      <c r="C142" s="8"/>
      <c r="D142" s="9"/>
      <c r="E142" s="35" t="s">
        <v>57</v>
      </c>
      <c r="F142" s="2"/>
      <c r="G142" s="2"/>
      <c r="H142" s="2"/>
      <c r="I142" s="2"/>
      <c r="J142" s="2"/>
    </row>
    <row r="143" spans="1:10" ht="65" x14ac:dyDescent="0.3">
      <c r="A143" s="26" t="s">
        <v>40</v>
      </c>
      <c r="B143" s="8" t="s">
        <v>65</v>
      </c>
      <c r="C143" s="8" t="s">
        <v>41</v>
      </c>
      <c r="D143" s="37" t="s">
        <v>93</v>
      </c>
      <c r="E143" s="37" t="s">
        <v>94</v>
      </c>
      <c r="F143" s="37" t="s">
        <v>95</v>
      </c>
      <c r="G143" s="37" t="s">
        <v>96</v>
      </c>
      <c r="H143" s="37" t="s">
        <v>97</v>
      </c>
      <c r="I143" s="37" t="s">
        <v>98</v>
      </c>
      <c r="J143" s="37" t="s">
        <v>99</v>
      </c>
    </row>
    <row r="144" spans="1:10" ht="13" x14ac:dyDescent="0.3">
      <c r="A144" s="26"/>
      <c r="B144" s="26"/>
      <c r="C144" s="8"/>
      <c r="D144" s="21"/>
      <c r="E144" s="21"/>
      <c r="F144" s="21"/>
      <c r="G144" s="21"/>
      <c r="H144" s="21"/>
      <c r="I144" s="21"/>
      <c r="J144" s="21"/>
    </row>
    <row r="145" spans="1:10" x14ac:dyDescent="0.25">
      <c r="A145" s="52" t="s">
        <v>86</v>
      </c>
      <c r="B145" s="45" t="s">
        <v>82</v>
      </c>
      <c r="C145" s="11">
        <v>1</v>
      </c>
      <c r="D145" s="44" t="s">
        <v>61</v>
      </c>
      <c r="E145" s="44" t="s">
        <v>66</v>
      </c>
      <c r="F145" s="27">
        <v>103</v>
      </c>
      <c r="G145" s="60">
        <v>52614883.527928285</v>
      </c>
      <c r="H145" s="60">
        <v>257206.85586294171</v>
      </c>
      <c r="I145" s="60">
        <v>129029.08071707904</v>
      </c>
      <c r="J145" s="60">
        <v>121681.86589043283</v>
      </c>
    </row>
    <row r="146" spans="1:10" x14ac:dyDescent="0.25">
      <c r="A146" s="53"/>
      <c r="B146" s="45" t="s">
        <v>82</v>
      </c>
      <c r="C146" s="11">
        <v>2</v>
      </c>
      <c r="D146" s="44" t="s">
        <v>61</v>
      </c>
      <c r="E146" s="44" t="s">
        <v>67</v>
      </c>
      <c r="F146" s="27">
        <v>92</v>
      </c>
      <c r="G146" s="60">
        <v>54077114.665732257</v>
      </c>
      <c r="H146" s="60">
        <v>233112.98114597439</v>
      </c>
      <c r="I146" s="60">
        <v>129537.74602824563</v>
      </c>
      <c r="J146" s="60">
        <v>117705.27612936022</v>
      </c>
    </row>
    <row r="147" spans="1:10" x14ac:dyDescent="0.25">
      <c r="A147" s="53"/>
      <c r="B147" s="45" t="s">
        <v>82</v>
      </c>
      <c r="C147" s="11">
        <v>3</v>
      </c>
      <c r="D147" s="44" t="s">
        <v>61</v>
      </c>
      <c r="E147" s="44" t="s">
        <v>68</v>
      </c>
      <c r="F147" s="27">
        <v>92</v>
      </c>
      <c r="G147" s="60">
        <v>57168911.294159293</v>
      </c>
      <c r="H147" s="60">
        <v>221520.34817191307</v>
      </c>
      <c r="I147" s="60">
        <v>137364.68199613289</v>
      </c>
      <c r="J147" s="60">
        <v>130352.45224538</v>
      </c>
    </row>
    <row r="148" spans="1:10" x14ac:dyDescent="0.25">
      <c r="A148" s="53"/>
      <c r="B148" s="45" t="s">
        <v>82</v>
      </c>
      <c r="C148" s="11">
        <v>4</v>
      </c>
      <c r="D148" s="44" t="s">
        <v>61</v>
      </c>
      <c r="E148" s="44" t="s">
        <v>69</v>
      </c>
      <c r="F148" s="27">
        <v>100</v>
      </c>
      <c r="G148" s="60">
        <v>57235547.216889344</v>
      </c>
      <c r="H148" s="60">
        <v>206365.84389890931</v>
      </c>
      <c r="I148" s="60">
        <v>129548.46254711867</v>
      </c>
      <c r="J148" s="60">
        <v>111910.38660638571</v>
      </c>
    </row>
    <row r="149" spans="1:10" x14ac:dyDescent="0.25">
      <c r="A149" s="53"/>
      <c r="B149" s="45"/>
      <c r="D149" s="27"/>
      <c r="E149" s="27"/>
      <c r="F149" s="27"/>
      <c r="G149" s="60"/>
      <c r="H149" s="60"/>
      <c r="I149" s="60"/>
      <c r="J149" s="60"/>
    </row>
    <row r="150" spans="1:10" x14ac:dyDescent="0.25">
      <c r="A150" s="53" t="s">
        <v>87</v>
      </c>
      <c r="B150" s="45" t="s">
        <v>83</v>
      </c>
      <c r="C150" s="11">
        <v>1</v>
      </c>
      <c r="D150" s="44" t="s">
        <v>61</v>
      </c>
      <c r="E150" s="45" t="s">
        <v>70</v>
      </c>
      <c r="F150" s="11">
        <v>99</v>
      </c>
      <c r="G150" s="60">
        <v>3123134.7966292361</v>
      </c>
      <c r="H150" s="60">
        <v>27253.575325314654</v>
      </c>
      <c r="I150" s="60">
        <v>7444.6223403605454</v>
      </c>
      <c r="J150" s="60">
        <v>4857.6647617728649</v>
      </c>
    </row>
    <row r="151" spans="1:10" x14ac:dyDescent="0.25">
      <c r="A151" s="53" t="s">
        <v>88</v>
      </c>
      <c r="B151" s="45" t="s">
        <v>83</v>
      </c>
      <c r="C151" s="11">
        <v>2</v>
      </c>
      <c r="D151" s="44" t="s">
        <v>61</v>
      </c>
      <c r="E151" s="44" t="s">
        <v>71</v>
      </c>
      <c r="F151" s="27">
        <v>69</v>
      </c>
      <c r="G151" s="60">
        <v>3220943.3654472604</v>
      </c>
      <c r="H151" s="60">
        <v>16882.835725094355</v>
      </c>
      <c r="I151" s="60">
        <v>9484.2833562325395</v>
      </c>
      <c r="J151" s="60">
        <v>8473.4245795747047</v>
      </c>
    </row>
    <row r="152" spans="1:10" x14ac:dyDescent="0.25">
      <c r="A152" s="53"/>
      <c r="B152" s="45" t="s">
        <v>83</v>
      </c>
      <c r="C152" s="11">
        <v>3</v>
      </c>
      <c r="D152" s="44" t="s">
        <v>61</v>
      </c>
      <c r="E152" s="44" t="s">
        <v>72</v>
      </c>
      <c r="F152" s="27">
        <v>85</v>
      </c>
      <c r="G152" s="60">
        <v>4310667.2789711198</v>
      </c>
      <c r="H152" s="60">
        <v>15260.922415245597</v>
      </c>
      <c r="I152" s="60">
        <v>11159.110063179152</v>
      </c>
      <c r="J152" s="60">
        <v>9887.4968471352749</v>
      </c>
    </row>
    <row r="153" spans="1:10" x14ac:dyDescent="0.25">
      <c r="A153" s="53"/>
      <c r="B153" s="45" t="s">
        <v>83</v>
      </c>
      <c r="C153" s="11">
        <v>4</v>
      </c>
      <c r="D153" s="44" t="s">
        <v>61</v>
      </c>
      <c r="E153" s="44" t="s">
        <v>73</v>
      </c>
      <c r="F153" s="27">
        <v>75</v>
      </c>
      <c r="G153" s="60">
        <v>3962108.8767296616</v>
      </c>
      <c r="H153" s="60">
        <v>9089.4000690445991</v>
      </c>
      <c r="I153" s="60">
        <v>6565.8843561027779</v>
      </c>
      <c r="J153" s="60">
        <v>5813.0785767685175</v>
      </c>
    </row>
    <row r="154" spans="1:10" x14ac:dyDescent="0.25">
      <c r="A154" s="53"/>
      <c r="B154" s="45"/>
      <c r="D154" s="27"/>
      <c r="E154" s="27"/>
      <c r="F154" s="27"/>
      <c r="G154" s="60"/>
      <c r="H154" s="60"/>
      <c r="I154" s="60"/>
      <c r="J154" s="60"/>
    </row>
    <row r="155" spans="1:10" x14ac:dyDescent="0.25">
      <c r="A155" s="53" t="s">
        <v>89</v>
      </c>
      <c r="B155" s="45" t="s">
        <v>64</v>
      </c>
      <c r="C155" s="11">
        <v>1</v>
      </c>
      <c r="D155" s="44" t="s">
        <v>62</v>
      </c>
      <c r="E155" s="44" t="s">
        <v>74</v>
      </c>
      <c r="F155" s="27">
        <v>128</v>
      </c>
      <c r="G155" s="60">
        <v>19615080.325183325</v>
      </c>
      <c r="H155" s="60">
        <v>72726.90005267947</v>
      </c>
      <c r="I155" s="60">
        <v>43887.391437651364</v>
      </c>
      <c r="J155" s="60">
        <v>37580.302573344663</v>
      </c>
    </row>
    <row r="156" spans="1:10" x14ac:dyDescent="0.25">
      <c r="A156" s="53" t="s">
        <v>90</v>
      </c>
      <c r="B156" s="45" t="s">
        <v>64</v>
      </c>
      <c r="C156" s="11">
        <v>2</v>
      </c>
      <c r="D156" s="44" t="s">
        <v>62</v>
      </c>
      <c r="E156" s="45" t="s">
        <v>75</v>
      </c>
      <c r="F156" s="11">
        <v>85</v>
      </c>
      <c r="G156" s="60">
        <v>27659675.383382257</v>
      </c>
      <c r="H156" s="60">
        <v>89469.061092281103</v>
      </c>
      <c r="I156" s="60">
        <v>58626.810992445637</v>
      </c>
      <c r="J156" s="60">
        <v>54862.291629059881</v>
      </c>
    </row>
    <row r="157" spans="1:10" x14ac:dyDescent="0.25">
      <c r="A157" s="55"/>
      <c r="B157" s="45" t="s">
        <v>64</v>
      </c>
      <c r="C157" s="11">
        <v>3</v>
      </c>
      <c r="D157" s="44" t="s">
        <v>62</v>
      </c>
      <c r="E157" s="46" t="s">
        <v>76</v>
      </c>
      <c r="F157" s="22">
        <v>104</v>
      </c>
      <c r="G157" s="60">
        <v>41008499.10368859</v>
      </c>
      <c r="H157" s="60">
        <v>107901.1858725847</v>
      </c>
      <c r="I157" s="60">
        <v>80302.156398299994</v>
      </c>
      <c r="J157" s="60">
        <v>74441.953590702731</v>
      </c>
    </row>
    <row r="158" spans="1:10" x14ac:dyDescent="0.25">
      <c r="A158" s="53"/>
      <c r="B158" s="45" t="s">
        <v>64</v>
      </c>
      <c r="C158" s="11">
        <v>4</v>
      </c>
      <c r="D158" s="44" t="s">
        <v>62</v>
      </c>
      <c r="E158" s="44" t="s">
        <v>63</v>
      </c>
      <c r="F158" s="27">
        <v>118</v>
      </c>
      <c r="G158" s="60">
        <v>54671419.6444548</v>
      </c>
      <c r="H158" s="60">
        <v>142257.85552342643</v>
      </c>
      <c r="I158" s="60">
        <v>109053.96524172394</v>
      </c>
      <c r="J158" s="60">
        <v>95196.421712909549</v>
      </c>
    </row>
    <row r="159" spans="1:10" x14ac:dyDescent="0.25">
      <c r="A159" s="53" t="s">
        <v>0</v>
      </c>
      <c r="B159" s="51" t="s">
        <v>84</v>
      </c>
      <c r="C159" s="11">
        <v>1</v>
      </c>
      <c r="D159" s="44" t="s">
        <v>62</v>
      </c>
      <c r="E159" s="44" t="s">
        <v>77</v>
      </c>
      <c r="F159" s="27">
        <v>125</v>
      </c>
      <c r="G159" s="60">
        <v>2036823.3910223786</v>
      </c>
      <c r="H159" s="60">
        <v>6663.4978919114264</v>
      </c>
      <c r="I159" s="60">
        <v>4071.0685797100505</v>
      </c>
      <c r="J159" s="60">
        <v>3697.8870798534931</v>
      </c>
    </row>
    <row r="160" spans="1:10" x14ac:dyDescent="0.25">
      <c r="A160" s="53"/>
      <c r="B160" s="51"/>
      <c r="D160" s="27"/>
      <c r="E160" s="27"/>
      <c r="F160" s="27"/>
      <c r="G160" s="60"/>
      <c r="H160" s="60"/>
      <c r="I160" s="60"/>
      <c r="J160" s="60"/>
    </row>
    <row r="161" spans="1:11" x14ac:dyDescent="0.25">
      <c r="A161" s="53" t="s">
        <v>91</v>
      </c>
      <c r="B161" s="51" t="s">
        <v>85</v>
      </c>
      <c r="C161" s="11">
        <v>1</v>
      </c>
      <c r="D161" s="44" t="s">
        <v>62</v>
      </c>
      <c r="E161" s="44" t="s">
        <v>78</v>
      </c>
      <c r="F161" s="27">
        <v>245</v>
      </c>
      <c r="G161" s="60">
        <v>1833666.9723661148</v>
      </c>
      <c r="H161" s="60">
        <v>5267.8683806716563</v>
      </c>
      <c r="I161" s="60">
        <v>3017.9043362200573</v>
      </c>
      <c r="J161" s="60">
        <v>2577.4891739827458</v>
      </c>
    </row>
    <row r="162" spans="1:11" x14ac:dyDescent="0.25">
      <c r="A162" s="53" t="s">
        <v>92</v>
      </c>
      <c r="B162" s="51" t="s">
        <v>85</v>
      </c>
      <c r="C162" s="11">
        <v>2</v>
      </c>
      <c r="D162" s="44" t="s">
        <v>62</v>
      </c>
      <c r="E162" s="44" t="s">
        <v>79</v>
      </c>
      <c r="F162" s="27">
        <v>48</v>
      </c>
      <c r="G162" s="60">
        <v>2992734.7021138389</v>
      </c>
      <c r="H162" s="60">
        <v>7895.2642064896982</v>
      </c>
      <c r="I162" s="60">
        <v>5188.8507162731958</v>
      </c>
      <c r="J162" s="60">
        <v>4654.8006722922091</v>
      </c>
    </row>
    <row r="163" spans="1:11" x14ac:dyDescent="0.25">
      <c r="A163" s="20" t="s">
        <v>0</v>
      </c>
      <c r="B163" s="51" t="s">
        <v>85</v>
      </c>
      <c r="C163" s="11">
        <v>3</v>
      </c>
      <c r="D163" s="44" t="s">
        <v>62</v>
      </c>
      <c r="E163" s="44" t="s">
        <v>80</v>
      </c>
      <c r="F163" s="27">
        <v>19</v>
      </c>
      <c r="G163" s="60">
        <v>3718972.5416704267</v>
      </c>
      <c r="H163" s="60">
        <v>10023.038876233728</v>
      </c>
      <c r="I163" s="60">
        <v>7322.9118599065669</v>
      </c>
      <c r="J163" s="60">
        <v>5179.3298948699785</v>
      </c>
    </row>
    <row r="164" spans="1:11" x14ac:dyDescent="0.25">
      <c r="A164" s="20"/>
      <c r="B164" s="51" t="s">
        <v>84</v>
      </c>
      <c r="C164" s="11">
        <v>1</v>
      </c>
      <c r="D164" s="44" t="s">
        <v>62</v>
      </c>
      <c r="E164" s="44" t="s">
        <v>81</v>
      </c>
      <c r="F164" s="27">
        <v>2</v>
      </c>
      <c r="G164" s="60">
        <v>3698.7124621900839</v>
      </c>
      <c r="H164" s="60">
        <v>23.784000000000002</v>
      </c>
      <c r="I164" s="60">
        <v>23.91544145492394</v>
      </c>
      <c r="J164" s="60">
        <v>5.8642303466665169</v>
      </c>
    </row>
    <row r="165" spans="1:11" x14ac:dyDescent="0.25">
      <c r="A165" s="20"/>
      <c r="B165" s="20"/>
      <c r="D165" s="27"/>
      <c r="E165" s="27"/>
      <c r="F165" s="27"/>
      <c r="G165" s="27"/>
      <c r="H165" s="28"/>
      <c r="I165" s="30"/>
      <c r="J165" s="30"/>
    </row>
    <row r="166" spans="1:11" ht="13" x14ac:dyDescent="0.3">
      <c r="A166" s="105" t="s">
        <v>109</v>
      </c>
      <c r="B166" s="106"/>
      <c r="C166" s="106"/>
      <c r="D166" s="106"/>
      <c r="E166" s="106"/>
      <c r="F166" s="106"/>
      <c r="G166" s="106"/>
      <c r="H166" s="106"/>
      <c r="I166" s="106"/>
      <c r="J166" s="106"/>
    </row>
    <row r="167" spans="1:11" ht="13" x14ac:dyDescent="0.3">
      <c r="A167" s="107" t="s">
        <v>110</v>
      </c>
      <c r="B167" s="108"/>
      <c r="C167" s="108"/>
      <c r="D167" s="108"/>
      <c r="E167" s="108"/>
      <c r="F167" s="108"/>
      <c r="G167" s="108"/>
      <c r="H167" s="108"/>
      <c r="I167" s="108"/>
      <c r="J167" s="108"/>
      <c r="K167" s="2"/>
    </row>
    <row r="168" spans="1:11" ht="13" x14ac:dyDescent="0.3">
      <c r="A168" s="104" t="s">
        <v>113</v>
      </c>
      <c r="B168" s="106"/>
      <c r="C168" s="106"/>
      <c r="D168" s="106"/>
      <c r="E168" s="106"/>
      <c r="F168" s="106"/>
      <c r="G168" s="106"/>
      <c r="H168" s="106"/>
      <c r="I168" s="106"/>
      <c r="J168" s="106"/>
      <c r="K168" s="2"/>
    </row>
    <row r="169" spans="1:11" ht="13" x14ac:dyDescent="0.3">
      <c r="A169" s="104" t="s">
        <v>112</v>
      </c>
      <c r="B169" s="106"/>
      <c r="C169" s="106"/>
      <c r="D169" s="106"/>
      <c r="E169" s="106"/>
      <c r="F169" s="106"/>
      <c r="G169" s="106"/>
      <c r="H169" s="106"/>
      <c r="I169" s="106"/>
      <c r="J169" s="106"/>
      <c r="K169" s="2"/>
    </row>
    <row r="170" spans="1:11" ht="13" x14ac:dyDescent="0.3">
      <c r="A170" s="1"/>
      <c r="B170" s="1"/>
      <c r="C170" s="2"/>
      <c r="D170" s="3"/>
      <c r="E170" s="2"/>
      <c r="F170" s="2"/>
      <c r="G170" s="2"/>
      <c r="H170" s="2"/>
      <c r="I170" s="2"/>
      <c r="J170" s="2"/>
    </row>
    <row r="171" spans="1:11" ht="13" x14ac:dyDescent="0.3">
      <c r="C171" s="31"/>
      <c r="D171" s="3"/>
      <c r="E171" s="2"/>
      <c r="F171" s="2"/>
      <c r="G171" s="2"/>
      <c r="H171" s="2"/>
      <c r="I171" s="2"/>
      <c r="J171" s="2"/>
    </row>
    <row r="172" spans="1:11" ht="13" x14ac:dyDescent="0.3">
      <c r="C172" s="8"/>
      <c r="D172" s="9"/>
      <c r="E172" s="35" t="s">
        <v>59</v>
      </c>
      <c r="F172" s="2"/>
      <c r="G172" s="2"/>
      <c r="H172" s="2"/>
      <c r="I172" s="2"/>
      <c r="J172" s="2"/>
    </row>
    <row r="173" spans="1:11" ht="65" x14ac:dyDescent="0.3">
      <c r="A173" s="26" t="s">
        <v>40</v>
      </c>
      <c r="B173" s="8" t="s">
        <v>65</v>
      </c>
      <c r="C173" s="8" t="s">
        <v>41</v>
      </c>
      <c r="D173" s="37" t="s">
        <v>93</v>
      </c>
      <c r="E173" s="37" t="s">
        <v>94</v>
      </c>
      <c r="F173" s="37" t="s">
        <v>95</v>
      </c>
      <c r="G173" s="37" t="s">
        <v>96</v>
      </c>
      <c r="H173" s="37" t="s">
        <v>97</v>
      </c>
      <c r="I173" s="37" t="s">
        <v>98</v>
      </c>
      <c r="J173" s="37" t="s">
        <v>99</v>
      </c>
    </row>
    <row r="174" spans="1:11" ht="13" x14ac:dyDescent="0.3">
      <c r="A174" s="26"/>
      <c r="B174" s="26"/>
      <c r="C174" s="8"/>
      <c r="D174" s="21"/>
      <c r="E174" s="21"/>
      <c r="F174" s="21"/>
      <c r="G174" s="21"/>
      <c r="H174" s="21"/>
      <c r="I174" s="21"/>
      <c r="J174" s="21"/>
    </row>
    <row r="175" spans="1:11" x14ac:dyDescent="0.25">
      <c r="A175" s="52" t="s">
        <v>86</v>
      </c>
      <c r="B175" s="45" t="s">
        <v>82</v>
      </c>
      <c r="C175" s="11">
        <v>1</v>
      </c>
      <c r="D175" s="44" t="s">
        <v>61</v>
      </c>
      <c r="E175" s="44" t="s">
        <v>66</v>
      </c>
      <c r="F175" s="27">
        <v>103</v>
      </c>
      <c r="G175" s="60">
        <v>53244114.862000808</v>
      </c>
      <c r="H175" s="60">
        <v>269850.89716774749</v>
      </c>
      <c r="I175" s="60">
        <v>140865.26834767373</v>
      </c>
      <c r="J175" s="60">
        <v>126404.59261208368</v>
      </c>
    </row>
    <row r="176" spans="1:11" x14ac:dyDescent="0.25">
      <c r="A176" s="53"/>
      <c r="B176" s="45" t="s">
        <v>82</v>
      </c>
      <c r="C176" s="11">
        <v>2</v>
      </c>
      <c r="D176" s="44" t="s">
        <v>61</v>
      </c>
      <c r="E176" s="44" t="s">
        <v>67</v>
      </c>
      <c r="F176" s="27">
        <v>92</v>
      </c>
      <c r="G176" s="60">
        <v>53300126.844666868</v>
      </c>
      <c r="H176" s="60">
        <v>241217.04597190145</v>
      </c>
      <c r="I176" s="60">
        <v>134559.49701722187</v>
      </c>
      <c r="J176" s="60">
        <v>134559.49701722187</v>
      </c>
    </row>
    <row r="177" spans="1:10" x14ac:dyDescent="0.25">
      <c r="A177" s="53"/>
      <c r="B177" s="45" t="s">
        <v>82</v>
      </c>
      <c r="C177" s="11">
        <v>3</v>
      </c>
      <c r="D177" s="44" t="s">
        <v>61</v>
      </c>
      <c r="E177" s="44" t="s">
        <v>68</v>
      </c>
      <c r="F177" s="27">
        <v>92</v>
      </c>
      <c r="G177" s="60">
        <v>59241886.099912174</v>
      </c>
      <c r="H177" s="60">
        <v>226897.8143929861</v>
      </c>
      <c r="I177" s="60">
        <v>144934.13907101486</v>
      </c>
      <c r="J177" s="60">
        <v>137472.21709377185</v>
      </c>
    </row>
    <row r="178" spans="1:10" x14ac:dyDescent="0.25">
      <c r="A178" s="53"/>
      <c r="B178" s="45" t="s">
        <v>82</v>
      </c>
      <c r="C178" s="11">
        <v>4</v>
      </c>
      <c r="D178" s="44" t="s">
        <v>61</v>
      </c>
      <c r="E178" s="44" t="s">
        <v>69</v>
      </c>
      <c r="F178" s="27">
        <v>100</v>
      </c>
      <c r="G178" s="60">
        <v>58395599.168589666</v>
      </c>
      <c r="H178" s="60">
        <v>205840.65801312416</v>
      </c>
      <c r="I178" s="60">
        <v>144516.79513289704</v>
      </c>
      <c r="J178" s="60">
        <v>129164.88781603385</v>
      </c>
    </row>
    <row r="179" spans="1:10" x14ac:dyDescent="0.25">
      <c r="A179" s="53"/>
      <c r="B179" s="45"/>
      <c r="D179" s="27"/>
      <c r="E179" s="27"/>
      <c r="F179" s="27"/>
      <c r="G179" s="60"/>
      <c r="H179" s="60"/>
      <c r="I179" s="60"/>
      <c r="J179" s="60"/>
    </row>
    <row r="180" spans="1:10" x14ac:dyDescent="0.25">
      <c r="A180" s="53" t="s">
        <v>87</v>
      </c>
      <c r="B180" s="45" t="s">
        <v>83</v>
      </c>
      <c r="C180" s="11">
        <v>1</v>
      </c>
      <c r="D180" s="44" t="s">
        <v>61</v>
      </c>
      <c r="E180" s="45" t="s">
        <v>70</v>
      </c>
      <c r="F180" s="11">
        <v>99</v>
      </c>
      <c r="G180" s="60">
        <v>3220145.7571669025</v>
      </c>
      <c r="H180" s="60">
        <v>28744.524326209954</v>
      </c>
      <c r="I180" s="60">
        <v>7140.8432279484041</v>
      </c>
      <c r="J180" s="60">
        <v>5732.5886203315576</v>
      </c>
    </row>
    <row r="181" spans="1:10" x14ac:dyDescent="0.25">
      <c r="A181" s="53" t="s">
        <v>88</v>
      </c>
      <c r="B181" s="45" t="s">
        <v>83</v>
      </c>
      <c r="C181" s="11">
        <v>2</v>
      </c>
      <c r="D181" s="44" t="s">
        <v>61</v>
      </c>
      <c r="E181" s="44" t="s">
        <v>71</v>
      </c>
      <c r="F181" s="27">
        <v>69</v>
      </c>
      <c r="G181" s="60">
        <v>3351735.860853306</v>
      </c>
      <c r="H181" s="60">
        <v>16232.845514538134</v>
      </c>
      <c r="I181" s="60">
        <v>9171.9255245056138</v>
      </c>
      <c r="J181" s="60">
        <v>6094.4501107769684</v>
      </c>
    </row>
    <row r="182" spans="1:10" x14ac:dyDescent="0.25">
      <c r="A182" s="53"/>
      <c r="B182" s="45" t="s">
        <v>83</v>
      </c>
      <c r="C182" s="11">
        <v>3</v>
      </c>
      <c r="D182" s="44" t="s">
        <v>61</v>
      </c>
      <c r="E182" s="44" t="s">
        <v>72</v>
      </c>
      <c r="F182" s="27">
        <v>85</v>
      </c>
      <c r="G182" s="60">
        <v>4555952.0712953974</v>
      </c>
      <c r="H182" s="60">
        <v>15598.172046068064</v>
      </c>
      <c r="I182" s="60">
        <v>11951.873394756363</v>
      </c>
      <c r="J182" s="60">
        <v>9044.0444512113645</v>
      </c>
    </row>
    <row r="183" spans="1:10" x14ac:dyDescent="0.25">
      <c r="A183" s="53"/>
      <c r="B183" s="45" t="s">
        <v>83</v>
      </c>
      <c r="C183" s="11">
        <v>4</v>
      </c>
      <c r="D183" s="44" t="s">
        <v>61</v>
      </c>
      <c r="E183" s="44" t="s">
        <v>73</v>
      </c>
      <c r="F183" s="27">
        <v>75</v>
      </c>
      <c r="G183" s="60">
        <v>4061359.7946950234</v>
      </c>
      <c r="H183" s="60">
        <v>8903.6741342250916</v>
      </c>
      <c r="I183" s="60">
        <v>6504.5850844002425</v>
      </c>
      <c r="J183" s="60">
        <v>5787.1400991546789</v>
      </c>
    </row>
    <row r="184" spans="1:10" x14ac:dyDescent="0.25">
      <c r="A184" s="53"/>
      <c r="B184" s="45"/>
      <c r="D184" s="27"/>
      <c r="E184" s="27"/>
      <c r="F184" s="27"/>
      <c r="G184" s="60"/>
      <c r="H184" s="60"/>
      <c r="I184" s="60"/>
      <c r="J184" s="60"/>
    </row>
    <row r="185" spans="1:10" x14ac:dyDescent="0.25">
      <c r="A185" s="53" t="s">
        <v>89</v>
      </c>
      <c r="B185" s="45" t="s">
        <v>64</v>
      </c>
      <c r="C185" s="11">
        <v>1</v>
      </c>
      <c r="D185" s="44" t="s">
        <v>62</v>
      </c>
      <c r="E185" s="44" t="s">
        <v>74</v>
      </c>
      <c r="F185" s="27">
        <v>128</v>
      </c>
      <c r="G185" s="60">
        <v>20335075.594861429</v>
      </c>
      <c r="H185" s="60">
        <v>74564.786637350568</v>
      </c>
      <c r="I185" s="60">
        <v>45607.478306102268</v>
      </c>
      <c r="J185" s="60">
        <v>37886.461598663336</v>
      </c>
    </row>
    <row r="186" spans="1:10" x14ac:dyDescent="0.25">
      <c r="A186" s="53" t="s">
        <v>90</v>
      </c>
      <c r="B186" s="45" t="s">
        <v>64</v>
      </c>
      <c r="C186" s="11">
        <v>2</v>
      </c>
      <c r="D186" s="44" t="s">
        <v>62</v>
      </c>
      <c r="E186" s="45" t="s">
        <v>75</v>
      </c>
      <c r="F186" s="11">
        <v>85</v>
      </c>
      <c r="G186" s="60">
        <v>28453922.202294674</v>
      </c>
      <c r="H186" s="60">
        <v>87435.088490376365</v>
      </c>
      <c r="I186" s="60">
        <v>63190.315564924531</v>
      </c>
      <c r="J186" s="60">
        <v>54436.774423396877</v>
      </c>
    </row>
    <row r="187" spans="1:10" x14ac:dyDescent="0.25">
      <c r="A187" s="55"/>
      <c r="B187" s="45" t="s">
        <v>64</v>
      </c>
      <c r="C187" s="11">
        <v>3</v>
      </c>
      <c r="D187" s="44" t="s">
        <v>62</v>
      </c>
      <c r="E187" s="46" t="s">
        <v>76</v>
      </c>
      <c r="F187" s="22">
        <v>104</v>
      </c>
      <c r="G187" s="60">
        <v>42103186.114863813</v>
      </c>
      <c r="H187" s="60">
        <v>107730.67695701697</v>
      </c>
      <c r="I187" s="60">
        <v>83892.878866372426</v>
      </c>
      <c r="J187" s="60">
        <v>73284.389845626036</v>
      </c>
    </row>
    <row r="188" spans="1:10" x14ac:dyDescent="0.25">
      <c r="A188" s="53"/>
      <c r="B188" s="45" t="s">
        <v>64</v>
      </c>
      <c r="C188" s="11">
        <v>4</v>
      </c>
      <c r="D188" s="44" t="s">
        <v>62</v>
      </c>
      <c r="E188" s="44" t="s">
        <v>63</v>
      </c>
      <c r="F188" s="27">
        <v>118</v>
      </c>
      <c r="G188" s="60">
        <v>55861719.866589859</v>
      </c>
      <c r="H188" s="60">
        <v>138388.31514532553</v>
      </c>
      <c r="I188" s="60">
        <v>109277.25229571787</v>
      </c>
      <c r="J188" s="60">
        <v>96105.942904927142</v>
      </c>
    </row>
    <row r="189" spans="1:10" x14ac:dyDescent="0.25">
      <c r="A189" s="53" t="s">
        <v>0</v>
      </c>
      <c r="B189" s="51" t="s">
        <v>84</v>
      </c>
      <c r="C189" s="11">
        <v>1</v>
      </c>
      <c r="D189" s="44" t="s">
        <v>62</v>
      </c>
      <c r="E189" s="44" t="s">
        <v>77</v>
      </c>
      <c r="F189" s="27">
        <v>125</v>
      </c>
      <c r="G189" s="60">
        <v>2247074.2352086245</v>
      </c>
      <c r="H189" s="60">
        <v>6416.5949777843161</v>
      </c>
      <c r="I189" s="60">
        <v>4146.7372938558883</v>
      </c>
      <c r="J189" s="60">
        <v>3293.041088647085</v>
      </c>
    </row>
    <row r="190" spans="1:10" x14ac:dyDescent="0.25">
      <c r="A190" s="53"/>
      <c r="B190" s="51"/>
      <c r="D190" s="27"/>
      <c r="E190" s="27"/>
      <c r="F190" s="27"/>
      <c r="G190" s="60"/>
      <c r="H190" s="60"/>
      <c r="I190" s="60"/>
      <c r="J190" s="60"/>
    </row>
    <row r="191" spans="1:10" x14ac:dyDescent="0.25">
      <c r="A191" s="53" t="s">
        <v>91</v>
      </c>
      <c r="B191" s="51" t="s">
        <v>85</v>
      </c>
      <c r="C191" s="11">
        <v>1</v>
      </c>
      <c r="D191" s="44" t="s">
        <v>62</v>
      </c>
      <c r="E191" s="44" t="s">
        <v>78</v>
      </c>
      <c r="F191" s="27">
        <v>245</v>
      </c>
      <c r="G191" s="60">
        <v>1846503.6575303208</v>
      </c>
      <c r="H191" s="60">
        <v>5244.2246027905103</v>
      </c>
      <c r="I191" s="60">
        <v>2845.3510462803229</v>
      </c>
      <c r="J191" s="60">
        <v>2537.249773309994</v>
      </c>
    </row>
    <row r="192" spans="1:10" x14ac:dyDescent="0.25">
      <c r="A192" s="53" t="s">
        <v>92</v>
      </c>
      <c r="B192" s="51" t="s">
        <v>85</v>
      </c>
      <c r="C192" s="11">
        <v>2</v>
      </c>
      <c r="D192" s="44" t="s">
        <v>62</v>
      </c>
      <c r="E192" s="44" t="s">
        <v>79</v>
      </c>
      <c r="F192" s="27">
        <v>48</v>
      </c>
      <c r="G192" s="60">
        <v>3152745.6299649905</v>
      </c>
      <c r="H192" s="60">
        <v>7531.2578398768364</v>
      </c>
      <c r="I192" s="60">
        <v>5033.1568767186054</v>
      </c>
      <c r="J192" s="60">
        <v>4902.6624145479391</v>
      </c>
    </row>
    <row r="193" spans="1:10" x14ac:dyDescent="0.25">
      <c r="A193" s="20" t="s">
        <v>0</v>
      </c>
      <c r="B193" s="51" t="s">
        <v>85</v>
      </c>
      <c r="C193" s="11">
        <v>3</v>
      </c>
      <c r="D193" s="44" t="s">
        <v>62</v>
      </c>
      <c r="E193" s="44" t="s">
        <v>80</v>
      </c>
      <c r="F193" s="27">
        <v>19</v>
      </c>
      <c r="G193" s="60">
        <v>3774570.3151658271</v>
      </c>
      <c r="H193" s="60">
        <v>10785.291215940817</v>
      </c>
      <c r="I193" s="60">
        <v>7773.5351271130939</v>
      </c>
      <c r="J193" s="60">
        <v>5545.2484736249007</v>
      </c>
    </row>
    <row r="194" spans="1:10" x14ac:dyDescent="0.25">
      <c r="A194" s="20"/>
      <c r="B194" s="51" t="s">
        <v>84</v>
      </c>
      <c r="C194" s="11">
        <v>1</v>
      </c>
      <c r="D194" s="44" t="s">
        <v>62</v>
      </c>
      <c r="E194" s="44" t="s">
        <v>81</v>
      </c>
      <c r="F194" s="27">
        <v>2</v>
      </c>
      <c r="G194" s="60">
        <v>3160.7839579004954</v>
      </c>
      <c r="H194" s="60">
        <v>21.372</v>
      </c>
      <c r="I194" s="60">
        <v>21.490111620191492</v>
      </c>
      <c r="J194" s="60">
        <v>6.6002757193962651</v>
      </c>
    </row>
    <row r="195" spans="1:10" x14ac:dyDescent="0.25">
      <c r="A195" s="20"/>
      <c r="B195" s="20"/>
      <c r="D195" s="27"/>
      <c r="E195" s="27"/>
      <c r="F195" s="27"/>
      <c r="G195" s="27"/>
      <c r="H195" s="28"/>
      <c r="I195" s="30"/>
      <c r="J195" s="30"/>
    </row>
    <row r="196" spans="1:10" ht="13" x14ac:dyDescent="0.3">
      <c r="C196" s="31"/>
      <c r="D196" s="3"/>
      <c r="E196" s="2"/>
      <c r="F196" s="2"/>
      <c r="G196" s="2"/>
      <c r="H196" s="2"/>
      <c r="I196" s="2"/>
      <c r="J196" s="2"/>
    </row>
    <row r="197" spans="1:10" ht="13" x14ac:dyDescent="0.3">
      <c r="C197" s="8"/>
      <c r="D197" s="9"/>
      <c r="E197" s="35" t="s">
        <v>60</v>
      </c>
      <c r="F197" s="2"/>
      <c r="G197" s="2"/>
      <c r="H197" s="2"/>
      <c r="I197" s="2"/>
      <c r="J197" s="2"/>
    </row>
    <row r="198" spans="1:10" ht="65" x14ac:dyDescent="0.3">
      <c r="A198" s="26" t="s">
        <v>40</v>
      </c>
      <c r="B198" s="8" t="s">
        <v>65</v>
      </c>
      <c r="C198" s="8" t="s">
        <v>41</v>
      </c>
      <c r="D198" s="37" t="s">
        <v>93</v>
      </c>
      <c r="E198" s="37" t="s">
        <v>94</v>
      </c>
      <c r="F198" s="37" t="s">
        <v>95</v>
      </c>
      <c r="G198" s="37" t="s">
        <v>96</v>
      </c>
      <c r="H198" s="37" t="s">
        <v>97</v>
      </c>
      <c r="I198" s="37" t="s">
        <v>98</v>
      </c>
      <c r="J198" s="37" t="s">
        <v>99</v>
      </c>
    </row>
    <row r="199" spans="1:10" ht="13" x14ac:dyDescent="0.3">
      <c r="A199" s="26"/>
      <c r="B199" s="26"/>
      <c r="C199" s="8"/>
      <c r="D199" s="21"/>
      <c r="E199" s="21"/>
      <c r="F199" s="21"/>
      <c r="G199" s="21"/>
      <c r="H199" s="21"/>
      <c r="I199" s="21"/>
      <c r="J199" s="21"/>
    </row>
    <row r="200" spans="1:10" x14ac:dyDescent="0.25">
      <c r="A200" s="52" t="s">
        <v>86</v>
      </c>
      <c r="B200" s="45" t="s">
        <v>82</v>
      </c>
      <c r="C200" s="11">
        <v>1</v>
      </c>
      <c r="D200" s="44" t="s">
        <v>61</v>
      </c>
      <c r="E200" s="44" t="s">
        <v>66</v>
      </c>
      <c r="F200" s="27">
        <v>103</v>
      </c>
      <c r="G200" s="60">
        <v>47287784.175113618</v>
      </c>
      <c r="H200" s="60">
        <v>251100.19876714272</v>
      </c>
      <c r="I200" s="60">
        <v>121553.72942138996</v>
      </c>
      <c r="J200" s="60">
        <v>112705.07370889644</v>
      </c>
    </row>
    <row r="201" spans="1:10" x14ac:dyDescent="0.25">
      <c r="A201" s="53"/>
      <c r="B201" s="45" t="s">
        <v>82</v>
      </c>
      <c r="C201" s="11">
        <v>2</v>
      </c>
      <c r="D201" s="44" t="s">
        <v>61</v>
      </c>
      <c r="E201" s="44" t="s">
        <v>67</v>
      </c>
      <c r="F201" s="27">
        <v>92</v>
      </c>
      <c r="G201" s="60">
        <v>50456524.500660837</v>
      </c>
      <c r="H201" s="60">
        <v>231195.93600601595</v>
      </c>
      <c r="I201" s="60">
        <v>121517.69977519722</v>
      </c>
      <c r="J201" s="60">
        <v>111862.21974174584</v>
      </c>
    </row>
    <row r="202" spans="1:10" x14ac:dyDescent="0.25">
      <c r="A202" s="53"/>
      <c r="B202" s="45" t="s">
        <v>82</v>
      </c>
      <c r="C202" s="11">
        <v>3</v>
      </c>
      <c r="D202" s="44" t="s">
        <v>61</v>
      </c>
      <c r="E202" s="44" t="s">
        <v>68</v>
      </c>
      <c r="F202" s="27">
        <v>92</v>
      </c>
      <c r="G202" s="60">
        <v>53921104.744914964</v>
      </c>
      <c r="H202" s="60">
        <v>217500.98128274808</v>
      </c>
      <c r="I202" s="60">
        <v>127772.33404411687</v>
      </c>
      <c r="J202" s="60">
        <v>117356.45552112514</v>
      </c>
    </row>
    <row r="203" spans="1:10" x14ac:dyDescent="0.25">
      <c r="A203" s="53"/>
      <c r="B203" s="45" t="s">
        <v>82</v>
      </c>
      <c r="C203" s="11">
        <v>4</v>
      </c>
      <c r="D203" s="44" t="s">
        <v>61</v>
      </c>
      <c r="E203" s="44" t="s">
        <v>69</v>
      </c>
      <c r="F203" s="27">
        <v>100</v>
      </c>
      <c r="G203" s="60">
        <v>54885912.274302043</v>
      </c>
      <c r="H203" s="60">
        <v>202437.06149685392</v>
      </c>
      <c r="I203" s="60">
        <v>126922.97781498158</v>
      </c>
      <c r="J203" s="60">
        <v>111708.1785598095</v>
      </c>
    </row>
    <row r="204" spans="1:10" x14ac:dyDescent="0.25">
      <c r="A204" s="53"/>
      <c r="B204" s="45"/>
      <c r="D204" s="27"/>
      <c r="E204" s="27"/>
      <c r="F204" s="27"/>
      <c r="G204" s="60"/>
      <c r="H204" s="60"/>
      <c r="I204" s="60"/>
      <c r="J204" s="60"/>
    </row>
    <row r="205" spans="1:10" x14ac:dyDescent="0.25">
      <c r="A205" s="53" t="s">
        <v>87</v>
      </c>
      <c r="B205" s="45" t="s">
        <v>83</v>
      </c>
      <c r="C205" s="11">
        <v>1</v>
      </c>
      <c r="D205" s="44" t="s">
        <v>61</v>
      </c>
      <c r="E205" s="45" t="s">
        <v>70</v>
      </c>
      <c r="F205" s="11">
        <v>99</v>
      </c>
      <c r="G205" s="60">
        <v>2987275.1140384153</v>
      </c>
      <c r="H205" s="60">
        <v>24078.780035948679</v>
      </c>
      <c r="I205" s="60">
        <v>6859.0414679143487</v>
      </c>
      <c r="J205" s="60">
        <v>4936.7829367508948</v>
      </c>
    </row>
    <row r="206" spans="1:10" x14ac:dyDescent="0.25">
      <c r="A206" s="53" t="s">
        <v>88</v>
      </c>
      <c r="B206" s="45" t="s">
        <v>83</v>
      </c>
      <c r="C206" s="11">
        <v>2</v>
      </c>
      <c r="D206" s="44" t="s">
        <v>61</v>
      </c>
      <c r="E206" s="44" t="s">
        <v>71</v>
      </c>
      <c r="F206" s="27">
        <v>69</v>
      </c>
      <c r="G206" s="60">
        <v>3300528.2312803348</v>
      </c>
      <c r="H206" s="60">
        <v>16826.862798680446</v>
      </c>
      <c r="I206" s="60">
        <v>8953.1397055894213</v>
      </c>
      <c r="J206" s="60">
        <v>7559.1513491840324</v>
      </c>
    </row>
    <row r="207" spans="1:10" x14ac:dyDescent="0.25">
      <c r="A207" s="53"/>
      <c r="B207" s="45" t="s">
        <v>83</v>
      </c>
      <c r="C207" s="11">
        <v>3</v>
      </c>
      <c r="D207" s="44" t="s">
        <v>61</v>
      </c>
      <c r="E207" s="44" t="s">
        <v>72</v>
      </c>
      <c r="F207" s="27">
        <v>85</v>
      </c>
      <c r="G207" s="60">
        <v>4325937.6069637509</v>
      </c>
      <c r="H207" s="60">
        <v>14770.06219935938</v>
      </c>
      <c r="I207" s="60">
        <v>10993.251600068772</v>
      </c>
      <c r="J207" s="60">
        <v>10704.864296264976</v>
      </c>
    </row>
    <row r="208" spans="1:10" x14ac:dyDescent="0.25">
      <c r="A208" s="53"/>
      <c r="B208" s="45" t="s">
        <v>83</v>
      </c>
      <c r="C208" s="11">
        <v>4</v>
      </c>
      <c r="D208" s="44" t="s">
        <v>61</v>
      </c>
      <c r="E208" s="44" t="s">
        <v>73</v>
      </c>
      <c r="F208" s="27">
        <v>75</v>
      </c>
      <c r="G208" s="60">
        <v>4132364.4787324546</v>
      </c>
      <c r="H208" s="60">
        <v>8904.6832941223802</v>
      </c>
      <c r="I208" s="60">
        <v>6671.5219947396636</v>
      </c>
      <c r="J208" s="60">
        <v>6058.2425834740061</v>
      </c>
    </row>
    <row r="209" spans="1:11" x14ac:dyDescent="0.25">
      <c r="A209" s="53"/>
      <c r="B209" s="45"/>
      <c r="D209" s="27"/>
      <c r="E209" s="27"/>
      <c r="F209" s="27"/>
      <c r="G209" s="60"/>
      <c r="H209" s="60"/>
      <c r="I209" s="60"/>
      <c r="J209" s="60"/>
    </row>
    <row r="210" spans="1:11" x14ac:dyDescent="0.25">
      <c r="A210" s="53" t="s">
        <v>89</v>
      </c>
      <c r="B210" s="45" t="s">
        <v>64</v>
      </c>
      <c r="C210" s="11">
        <v>1</v>
      </c>
      <c r="D210" s="44" t="s">
        <v>62</v>
      </c>
      <c r="E210" s="44" t="s">
        <v>74</v>
      </c>
      <c r="F210" s="27">
        <v>128</v>
      </c>
      <c r="G210" s="60">
        <v>20806590.078537628</v>
      </c>
      <c r="H210" s="60">
        <v>79204.407383581522</v>
      </c>
      <c r="I210" s="60">
        <v>48417.233859305365</v>
      </c>
      <c r="J210" s="60">
        <v>42260.987412560484</v>
      </c>
    </row>
    <row r="211" spans="1:11" x14ac:dyDescent="0.25">
      <c r="A211" s="53" t="s">
        <v>90</v>
      </c>
      <c r="B211" s="45" t="s">
        <v>64</v>
      </c>
      <c r="C211" s="11">
        <v>2</v>
      </c>
      <c r="D211" s="44" t="s">
        <v>62</v>
      </c>
      <c r="E211" s="45" t="s">
        <v>75</v>
      </c>
      <c r="F211" s="11">
        <v>85</v>
      </c>
      <c r="G211" s="60">
        <v>27697959.812822375</v>
      </c>
      <c r="H211" s="60">
        <v>86314.489057007275</v>
      </c>
      <c r="I211" s="60">
        <v>57780.049653886439</v>
      </c>
      <c r="J211" s="60">
        <v>53731.309598263106</v>
      </c>
    </row>
    <row r="212" spans="1:11" x14ac:dyDescent="0.25">
      <c r="A212" s="55"/>
      <c r="B212" s="45" t="s">
        <v>64</v>
      </c>
      <c r="C212" s="11">
        <v>3</v>
      </c>
      <c r="D212" s="44" t="s">
        <v>62</v>
      </c>
      <c r="E212" s="46" t="s">
        <v>76</v>
      </c>
      <c r="F212" s="22">
        <v>104</v>
      </c>
      <c r="G212" s="60">
        <v>41672597.337289244</v>
      </c>
      <c r="H212" s="60">
        <v>109333.38245143142</v>
      </c>
      <c r="I212" s="60">
        <v>80343.270361100236</v>
      </c>
      <c r="J212" s="60">
        <v>78201.095771041131</v>
      </c>
    </row>
    <row r="213" spans="1:11" x14ac:dyDescent="0.25">
      <c r="A213" s="53"/>
      <c r="B213" s="45" t="s">
        <v>64</v>
      </c>
      <c r="C213" s="11">
        <v>4</v>
      </c>
      <c r="D213" s="44" t="s">
        <v>62</v>
      </c>
      <c r="E213" s="44" t="s">
        <v>63</v>
      </c>
      <c r="F213" s="27">
        <v>118</v>
      </c>
      <c r="G213" s="60">
        <v>58287586.926876739</v>
      </c>
      <c r="H213" s="60">
        <v>150575.01490920733</v>
      </c>
      <c r="I213" s="60">
        <v>124608.28536275751</v>
      </c>
      <c r="J213" s="60">
        <v>109451.99525541916</v>
      </c>
    </row>
    <row r="214" spans="1:11" x14ac:dyDescent="0.25">
      <c r="A214" s="53" t="s">
        <v>0</v>
      </c>
      <c r="B214" s="51" t="s">
        <v>84</v>
      </c>
      <c r="C214" s="11">
        <v>1</v>
      </c>
      <c r="D214" s="44" t="s">
        <v>62</v>
      </c>
      <c r="E214" s="44" t="s">
        <v>77</v>
      </c>
      <c r="F214" s="27">
        <v>125</v>
      </c>
      <c r="G214" s="60">
        <v>2520141.0250976598</v>
      </c>
      <c r="H214" s="60">
        <v>6820.9288131097519</v>
      </c>
      <c r="I214" s="60">
        <v>4461.1359289488109</v>
      </c>
      <c r="J214" s="60">
        <v>4003.2186152162417</v>
      </c>
    </row>
    <row r="215" spans="1:11" x14ac:dyDescent="0.25">
      <c r="A215" s="53"/>
      <c r="B215" s="51"/>
      <c r="D215" s="27"/>
      <c r="E215" s="27"/>
      <c r="F215" s="27"/>
      <c r="G215" s="60"/>
      <c r="H215" s="60"/>
      <c r="I215" s="60"/>
      <c r="J215" s="60"/>
    </row>
    <row r="216" spans="1:11" x14ac:dyDescent="0.25">
      <c r="A216" s="53" t="s">
        <v>91</v>
      </c>
      <c r="B216" s="51" t="s">
        <v>85</v>
      </c>
      <c r="C216" s="11">
        <v>1</v>
      </c>
      <c r="D216" s="44" t="s">
        <v>62</v>
      </c>
      <c r="E216" s="44" t="s">
        <v>78</v>
      </c>
      <c r="F216" s="27">
        <v>245</v>
      </c>
      <c r="G216" s="60">
        <v>1840558.6529213444</v>
      </c>
      <c r="H216" s="60">
        <v>5076.8796226559034</v>
      </c>
      <c r="I216" s="60">
        <v>2818.322815862979</v>
      </c>
      <c r="J216" s="60">
        <v>2391.2863819304471</v>
      </c>
    </row>
    <row r="217" spans="1:11" x14ac:dyDescent="0.25">
      <c r="A217" s="53" t="s">
        <v>92</v>
      </c>
      <c r="B217" s="51" t="s">
        <v>85</v>
      </c>
      <c r="C217" s="11">
        <v>2</v>
      </c>
      <c r="D217" s="44" t="s">
        <v>62</v>
      </c>
      <c r="E217" s="44" t="s">
        <v>79</v>
      </c>
      <c r="F217" s="27">
        <v>48</v>
      </c>
      <c r="G217" s="60">
        <v>3132654.5636163293</v>
      </c>
      <c r="H217" s="60">
        <v>7521.6547987074673</v>
      </c>
      <c r="I217" s="60">
        <v>5129.2115728465697</v>
      </c>
      <c r="J217" s="60">
        <v>4387.4031659316443</v>
      </c>
    </row>
    <row r="218" spans="1:11" x14ac:dyDescent="0.25">
      <c r="A218" s="20" t="s">
        <v>0</v>
      </c>
      <c r="B218" s="51" t="s">
        <v>85</v>
      </c>
      <c r="C218" s="11">
        <v>3</v>
      </c>
      <c r="D218" s="44" t="s">
        <v>62</v>
      </c>
      <c r="E218" s="44" t="s">
        <v>80</v>
      </c>
      <c r="F218" s="27">
        <v>19</v>
      </c>
      <c r="G218" s="60">
        <v>4201597.0838652067</v>
      </c>
      <c r="H218" s="60">
        <v>9034.8240798726456</v>
      </c>
      <c r="I218" s="60">
        <v>7188.6896902663366</v>
      </c>
      <c r="J218" s="60">
        <v>5285.3171683596756</v>
      </c>
    </row>
    <row r="219" spans="1:11" x14ac:dyDescent="0.25">
      <c r="A219" s="20"/>
      <c r="B219" s="51" t="s">
        <v>84</v>
      </c>
      <c r="C219" s="11">
        <v>1</v>
      </c>
      <c r="D219" s="44" t="s">
        <v>62</v>
      </c>
      <c r="E219" s="44" t="s">
        <v>81</v>
      </c>
      <c r="F219" s="27">
        <v>2</v>
      </c>
      <c r="G219" s="60">
        <v>4682.961987658372</v>
      </c>
      <c r="H219" s="60">
        <v>43.596000000000011</v>
      </c>
      <c r="I219" s="60">
        <v>43.716268613112739</v>
      </c>
      <c r="J219" s="60">
        <v>6.0934903807954539</v>
      </c>
    </row>
    <row r="220" spans="1:11" ht="13" x14ac:dyDescent="0.3">
      <c r="C220" s="31"/>
      <c r="D220" s="3"/>
      <c r="E220" s="2"/>
      <c r="F220" s="2"/>
      <c r="G220" s="2"/>
      <c r="H220" s="2"/>
      <c r="I220" s="2"/>
      <c r="J220" s="2"/>
    </row>
    <row r="221" spans="1:11" ht="13" x14ac:dyDescent="0.3">
      <c r="A221" s="105" t="s">
        <v>109</v>
      </c>
      <c r="B221" s="106"/>
      <c r="C221" s="106"/>
      <c r="D221" s="106"/>
      <c r="E221" s="106"/>
      <c r="F221" s="106"/>
      <c r="G221" s="106"/>
      <c r="H221" s="106"/>
      <c r="I221" s="106"/>
      <c r="J221" s="106"/>
    </row>
    <row r="222" spans="1:11" ht="13" x14ac:dyDescent="0.3">
      <c r="A222" s="107" t="s">
        <v>110</v>
      </c>
      <c r="B222" s="108"/>
      <c r="C222" s="108"/>
      <c r="D222" s="108"/>
      <c r="E222" s="108"/>
      <c r="F222" s="108"/>
      <c r="G222" s="108"/>
      <c r="H222" s="108"/>
      <c r="I222" s="108"/>
      <c r="J222" s="108"/>
      <c r="K222" s="2"/>
    </row>
    <row r="223" spans="1:11" ht="13" x14ac:dyDescent="0.3">
      <c r="A223" s="104" t="s">
        <v>113</v>
      </c>
      <c r="B223" s="106"/>
      <c r="C223" s="106"/>
      <c r="D223" s="106"/>
      <c r="E223" s="106"/>
      <c r="F223" s="106"/>
      <c r="G223" s="106"/>
      <c r="H223" s="106"/>
      <c r="I223" s="106"/>
      <c r="J223" s="106"/>
      <c r="K223" s="2"/>
    </row>
    <row r="224" spans="1:11" ht="13" x14ac:dyDescent="0.3">
      <c r="A224" s="104" t="s">
        <v>112</v>
      </c>
      <c r="B224" s="106"/>
      <c r="C224" s="106"/>
      <c r="D224" s="106"/>
      <c r="E224" s="106"/>
      <c r="F224" s="106"/>
      <c r="G224" s="106"/>
      <c r="H224" s="106"/>
      <c r="I224" s="106"/>
      <c r="J224" s="106"/>
      <c r="K224" s="2"/>
    </row>
    <row r="225" spans="1:10" ht="13" x14ac:dyDescent="0.3">
      <c r="A225" s="1"/>
      <c r="B225" s="1"/>
      <c r="C225" s="2"/>
      <c r="D225" s="3"/>
      <c r="E225" s="2"/>
      <c r="F225" s="2"/>
      <c r="G225" s="2"/>
      <c r="H225" s="2"/>
      <c r="I225" s="2"/>
      <c r="J225" s="2"/>
    </row>
    <row r="226" spans="1:10" ht="13" x14ac:dyDescent="0.3">
      <c r="C226" s="31"/>
      <c r="D226" s="3"/>
      <c r="E226" s="2"/>
      <c r="F226" s="2"/>
      <c r="G226" s="2"/>
      <c r="H226" s="2"/>
      <c r="I226" s="2"/>
      <c r="J226" s="2"/>
    </row>
    <row r="227" spans="1:10" ht="13" x14ac:dyDescent="0.3">
      <c r="C227" s="8"/>
      <c r="D227" s="9"/>
      <c r="E227" s="35" t="s">
        <v>49</v>
      </c>
      <c r="F227" s="2"/>
      <c r="G227" s="2"/>
      <c r="H227" s="2"/>
      <c r="I227" s="2"/>
      <c r="J227" s="2"/>
    </row>
    <row r="228" spans="1:10" ht="65" x14ac:dyDescent="0.3">
      <c r="A228" s="26" t="s">
        <v>40</v>
      </c>
      <c r="B228" s="8" t="s">
        <v>65</v>
      </c>
      <c r="C228" s="8" t="s">
        <v>41</v>
      </c>
      <c r="D228" s="37" t="s">
        <v>93</v>
      </c>
      <c r="E228" s="37" t="s">
        <v>94</v>
      </c>
      <c r="F228" s="37" t="s">
        <v>95</v>
      </c>
      <c r="G228" s="37" t="s">
        <v>96</v>
      </c>
      <c r="H228" s="37" t="s">
        <v>97</v>
      </c>
      <c r="I228" s="37" t="s">
        <v>98</v>
      </c>
      <c r="J228" s="37" t="s">
        <v>99</v>
      </c>
    </row>
    <row r="229" spans="1:10" ht="13" x14ac:dyDescent="0.3">
      <c r="A229" s="26"/>
      <c r="B229" s="26"/>
      <c r="C229" s="8"/>
      <c r="D229" s="21"/>
      <c r="E229" s="21"/>
      <c r="F229" s="21"/>
      <c r="G229" s="21"/>
      <c r="H229" s="21"/>
      <c r="I229" s="21"/>
      <c r="J229" s="21"/>
    </row>
    <row r="230" spans="1:10" x14ac:dyDescent="0.25">
      <c r="A230" s="52" t="s">
        <v>86</v>
      </c>
      <c r="B230" s="45" t="s">
        <v>82</v>
      </c>
      <c r="C230" s="11">
        <v>1</v>
      </c>
      <c r="D230" s="44" t="s">
        <v>61</v>
      </c>
      <c r="E230" s="44" t="s">
        <v>66</v>
      </c>
      <c r="F230" s="27">
        <v>103</v>
      </c>
      <c r="G230" s="60">
        <v>30701546.606969558</v>
      </c>
      <c r="H230" s="60">
        <v>238013.88657390059</v>
      </c>
      <c r="I230" s="60">
        <v>104320.09826997342</v>
      </c>
      <c r="J230" s="60">
        <v>102506.64146233239</v>
      </c>
    </row>
    <row r="231" spans="1:10" x14ac:dyDescent="0.25">
      <c r="A231" s="53"/>
      <c r="B231" s="45" t="s">
        <v>82</v>
      </c>
      <c r="C231" s="11">
        <v>2</v>
      </c>
      <c r="D231" s="44" t="s">
        <v>61</v>
      </c>
      <c r="E231" s="44" t="s">
        <v>67</v>
      </c>
      <c r="F231" s="27">
        <v>92</v>
      </c>
      <c r="G231" s="60">
        <v>33939052.061277255</v>
      </c>
      <c r="H231" s="60">
        <v>207210.0012857829</v>
      </c>
      <c r="I231" s="60">
        <v>111318.23273164485</v>
      </c>
      <c r="J231" s="60">
        <v>111318.23273164485</v>
      </c>
    </row>
    <row r="232" spans="1:10" x14ac:dyDescent="0.25">
      <c r="A232" s="53"/>
      <c r="B232" s="45" t="s">
        <v>82</v>
      </c>
      <c r="C232" s="11">
        <v>3</v>
      </c>
      <c r="D232" s="44" t="s">
        <v>61</v>
      </c>
      <c r="E232" s="44" t="s">
        <v>68</v>
      </c>
      <c r="F232" s="27">
        <v>92</v>
      </c>
      <c r="G232" s="60">
        <v>36941009.653577097</v>
      </c>
      <c r="H232" s="60">
        <v>195650.5073989018</v>
      </c>
      <c r="I232" s="60">
        <v>118371.52167005034</v>
      </c>
      <c r="J232" s="60">
        <v>115050.42509397863</v>
      </c>
    </row>
    <row r="233" spans="1:10" x14ac:dyDescent="0.25">
      <c r="A233" s="53"/>
      <c r="B233" s="45" t="s">
        <v>82</v>
      </c>
      <c r="C233" s="11">
        <v>4</v>
      </c>
      <c r="D233" s="44" t="s">
        <v>61</v>
      </c>
      <c r="E233" s="44" t="s">
        <v>69</v>
      </c>
      <c r="F233" s="27">
        <v>100</v>
      </c>
      <c r="G233" s="60">
        <v>38711404.729276858</v>
      </c>
      <c r="H233" s="60">
        <v>184333.92119208598</v>
      </c>
      <c r="I233" s="60">
        <v>111356.763533488</v>
      </c>
      <c r="J233" s="60">
        <v>111356.763533488</v>
      </c>
    </row>
    <row r="234" spans="1:10" x14ac:dyDescent="0.25">
      <c r="A234" s="53"/>
      <c r="B234" s="45"/>
      <c r="D234" s="27"/>
      <c r="E234" s="27"/>
      <c r="F234" s="27"/>
      <c r="G234" s="60"/>
      <c r="H234" s="60"/>
      <c r="I234" s="60"/>
      <c r="J234" s="60"/>
    </row>
    <row r="235" spans="1:10" x14ac:dyDescent="0.25">
      <c r="A235" s="53" t="s">
        <v>87</v>
      </c>
      <c r="B235" s="45" t="s">
        <v>83</v>
      </c>
      <c r="C235" s="11">
        <v>1</v>
      </c>
      <c r="D235" s="44" t="s">
        <v>61</v>
      </c>
      <c r="E235" s="45" t="s">
        <v>70</v>
      </c>
      <c r="F235" s="11">
        <v>99</v>
      </c>
      <c r="G235" s="60">
        <v>1808035.8113613126</v>
      </c>
      <c r="H235" s="60">
        <v>24398.568675381219</v>
      </c>
      <c r="I235" s="60">
        <v>5520.5768094955129</v>
      </c>
      <c r="J235" s="60">
        <v>5262.5479651656415</v>
      </c>
    </row>
    <row r="236" spans="1:10" x14ac:dyDescent="0.25">
      <c r="A236" s="53" t="s">
        <v>88</v>
      </c>
      <c r="B236" s="45" t="s">
        <v>83</v>
      </c>
      <c r="C236" s="11">
        <v>2</v>
      </c>
      <c r="D236" s="44" t="s">
        <v>61</v>
      </c>
      <c r="E236" s="44" t="s">
        <v>71</v>
      </c>
      <c r="F236" s="27">
        <v>69</v>
      </c>
      <c r="G236" s="60">
        <v>2238074.668566463</v>
      </c>
      <c r="H236" s="60">
        <v>14907.00739011095</v>
      </c>
      <c r="I236" s="60">
        <v>7149.0982123025442</v>
      </c>
      <c r="J236" s="60">
        <v>4275.0059909004067</v>
      </c>
    </row>
    <row r="237" spans="1:10" x14ac:dyDescent="0.25">
      <c r="A237" s="53"/>
      <c r="B237" s="45" t="s">
        <v>83</v>
      </c>
      <c r="C237" s="11">
        <v>3</v>
      </c>
      <c r="D237" s="44" t="s">
        <v>61</v>
      </c>
      <c r="E237" s="44" t="s">
        <v>72</v>
      </c>
      <c r="F237" s="27">
        <v>85</v>
      </c>
      <c r="G237" s="60">
        <v>3085715.2242381</v>
      </c>
      <c r="H237" s="60">
        <v>13647.845446619256</v>
      </c>
      <c r="I237" s="60">
        <v>8926.2654401612854</v>
      </c>
      <c r="J237" s="60">
        <v>7395.3282896959536</v>
      </c>
    </row>
    <row r="238" spans="1:10" x14ac:dyDescent="0.25">
      <c r="A238" s="53"/>
      <c r="B238" s="45" t="s">
        <v>83</v>
      </c>
      <c r="C238" s="11">
        <v>4</v>
      </c>
      <c r="D238" s="44" t="s">
        <v>61</v>
      </c>
      <c r="E238" s="44" t="s">
        <v>73</v>
      </c>
      <c r="F238" s="27">
        <v>75</v>
      </c>
      <c r="G238" s="60">
        <v>3594984.5171869574</v>
      </c>
      <c r="H238" s="60">
        <v>8658.2272952649746</v>
      </c>
      <c r="I238" s="60">
        <v>6163.2792668763941</v>
      </c>
      <c r="J238" s="60">
        <v>5276.9199161466968</v>
      </c>
    </row>
    <row r="239" spans="1:10" x14ac:dyDescent="0.25">
      <c r="A239" s="53"/>
      <c r="B239" s="45"/>
      <c r="D239" s="27"/>
      <c r="E239" s="27"/>
      <c r="F239" s="27"/>
      <c r="G239" s="60"/>
      <c r="H239" s="60"/>
      <c r="I239" s="60"/>
      <c r="J239" s="60"/>
    </row>
    <row r="240" spans="1:10" x14ac:dyDescent="0.25">
      <c r="A240" s="53" t="s">
        <v>89</v>
      </c>
      <c r="B240" s="45" t="s">
        <v>64</v>
      </c>
      <c r="C240" s="11">
        <v>1</v>
      </c>
      <c r="D240" s="44" t="s">
        <v>62</v>
      </c>
      <c r="E240" s="44" t="s">
        <v>74</v>
      </c>
      <c r="F240" s="27">
        <v>128</v>
      </c>
      <c r="G240" s="60">
        <v>15292877.551684134</v>
      </c>
      <c r="H240" s="60">
        <v>64588.918404900367</v>
      </c>
      <c r="I240" s="60">
        <v>36840.350471397345</v>
      </c>
      <c r="J240" s="60">
        <v>33587.135676652455</v>
      </c>
    </row>
    <row r="241" spans="1:10" x14ac:dyDescent="0.25">
      <c r="A241" s="53" t="s">
        <v>90</v>
      </c>
      <c r="B241" s="45" t="s">
        <v>64</v>
      </c>
      <c r="C241" s="11">
        <v>2</v>
      </c>
      <c r="D241" s="44" t="s">
        <v>62</v>
      </c>
      <c r="E241" s="45" t="s">
        <v>75</v>
      </c>
      <c r="F241" s="11">
        <v>85</v>
      </c>
      <c r="G241" s="60">
        <v>21950850.527745556</v>
      </c>
      <c r="H241" s="60">
        <v>75291.526985552715</v>
      </c>
      <c r="I241" s="60">
        <v>48622.39997870005</v>
      </c>
      <c r="J241" s="60">
        <v>45468.298443498483</v>
      </c>
    </row>
    <row r="242" spans="1:10" x14ac:dyDescent="0.25">
      <c r="A242" s="55"/>
      <c r="B242" s="45" t="s">
        <v>64</v>
      </c>
      <c r="C242" s="11">
        <v>3</v>
      </c>
      <c r="D242" s="44" t="s">
        <v>62</v>
      </c>
      <c r="E242" s="46" t="s">
        <v>76</v>
      </c>
      <c r="F242" s="22">
        <v>104</v>
      </c>
      <c r="G242" s="60">
        <v>33140417.41533573</v>
      </c>
      <c r="H242" s="60">
        <v>102916.57848298819</v>
      </c>
      <c r="I242" s="60">
        <v>71457.671256623609</v>
      </c>
      <c r="J242" s="60">
        <v>67462.885953431061</v>
      </c>
    </row>
    <row r="243" spans="1:10" x14ac:dyDescent="0.25">
      <c r="A243" s="53"/>
      <c r="B243" s="45" t="s">
        <v>64</v>
      </c>
      <c r="C243" s="11">
        <v>4</v>
      </c>
      <c r="D243" s="44" t="s">
        <v>62</v>
      </c>
      <c r="E243" s="44" t="s">
        <v>63</v>
      </c>
      <c r="F243" s="27">
        <v>118</v>
      </c>
      <c r="G243" s="60">
        <v>50951604.470512412</v>
      </c>
      <c r="H243" s="60">
        <v>141608.52176519445</v>
      </c>
      <c r="I243" s="60">
        <v>110297.76328213833</v>
      </c>
      <c r="J243" s="60">
        <v>84918.359562411191</v>
      </c>
    </row>
    <row r="244" spans="1:10" x14ac:dyDescent="0.25">
      <c r="A244" s="53" t="s">
        <v>0</v>
      </c>
      <c r="B244" s="51" t="s">
        <v>84</v>
      </c>
      <c r="C244" s="11">
        <v>1</v>
      </c>
      <c r="D244" s="44" t="s">
        <v>62</v>
      </c>
      <c r="E244" s="44" t="s">
        <v>77</v>
      </c>
      <c r="F244" s="27">
        <v>125</v>
      </c>
      <c r="G244" s="60">
        <v>760820.45217628928</v>
      </c>
      <c r="H244" s="60">
        <v>5502.0649835754048</v>
      </c>
      <c r="I244" s="60">
        <v>3404.8870538343708</v>
      </c>
      <c r="J244" s="60">
        <v>2938.6442740179764</v>
      </c>
    </row>
    <row r="245" spans="1:10" x14ac:dyDescent="0.25">
      <c r="A245" s="53"/>
      <c r="B245" s="51"/>
      <c r="D245" s="27"/>
      <c r="E245" s="27"/>
      <c r="F245" s="27"/>
      <c r="G245" s="60"/>
      <c r="H245" s="60"/>
      <c r="I245" s="60"/>
      <c r="J245" s="60"/>
    </row>
    <row r="246" spans="1:10" x14ac:dyDescent="0.25">
      <c r="A246" s="53" t="s">
        <v>91</v>
      </c>
      <c r="B246" s="51" t="s">
        <v>85</v>
      </c>
      <c r="C246" s="11">
        <v>1</v>
      </c>
      <c r="D246" s="44" t="s">
        <v>62</v>
      </c>
      <c r="E246" s="44" t="s">
        <v>78</v>
      </c>
      <c r="F246" s="27">
        <v>245</v>
      </c>
      <c r="G246" s="60">
        <v>1715835.6963441744</v>
      </c>
      <c r="H246" s="60">
        <v>4969.8260979871729</v>
      </c>
      <c r="I246" s="60">
        <v>2850.5789691260907</v>
      </c>
      <c r="J246" s="60">
        <v>2418.119127956857</v>
      </c>
    </row>
    <row r="247" spans="1:10" x14ac:dyDescent="0.25">
      <c r="A247" s="53" t="s">
        <v>92</v>
      </c>
      <c r="B247" s="51" t="s">
        <v>85</v>
      </c>
      <c r="C247" s="11">
        <v>2</v>
      </c>
      <c r="D247" s="44" t="s">
        <v>62</v>
      </c>
      <c r="E247" s="44" t="s">
        <v>79</v>
      </c>
      <c r="F247" s="27">
        <v>48</v>
      </c>
      <c r="G247" s="60">
        <v>2978885.8321396159</v>
      </c>
      <c r="H247" s="60">
        <v>7516.1819451097845</v>
      </c>
      <c r="I247" s="60">
        <v>4997.8842263701536</v>
      </c>
      <c r="J247" s="60">
        <v>4252.7489093672666</v>
      </c>
    </row>
    <row r="248" spans="1:10" x14ac:dyDescent="0.25">
      <c r="A248" s="20" t="s">
        <v>0</v>
      </c>
      <c r="B248" s="51" t="s">
        <v>85</v>
      </c>
      <c r="C248" s="11">
        <v>3</v>
      </c>
      <c r="D248" s="44" t="s">
        <v>62</v>
      </c>
      <c r="E248" s="44" t="s">
        <v>80</v>
      </c>
      <c r="F248" s="27">
        <v>19</v>
      </c>
      <c r="G248" s="60">
        <v>4016026.2899427279</v>
      </c>
      <c r="H248" s="60">
        <v>8958.5696408314507</v>
      </c>
      <c r="I248" s="60">
        <v>6867.464540091406</v>
      </c>
      <c r="J248" s="60">
        <v>5229.8405633603816</v>
      </c>
    </row>
    <row r="249" spans="1:10" x14ac:dyDescent="0.25">
      <c r="A249" s="20"/>
      <c r="B249" s="51" t="s">
        <v>84</v>
      </c>
      <c r="C249" s="11">
        <v>1</v>
      </c>
      <c r="D249" s="44" t="s">
        <v>62</v>
      </c>
      <c r="E249" s="44" t="s">
        <v>81</v>
      </c>
      <c r="F249" s="27">
        <v>2</v>
      </c>
      <c r="G249" s="60">
        <v>2713.8354882073377</v>
      </c>
      <c r="H249" s="60">
        <v>10.152000000000003</v>
      </c>
      <c r="I249" s="60">
        <v>10.208104677530603</v>
      </c>
      <c r="J249" s="60">
        <v>4.3318080132783514</v>
      </c>
    </row>
    <row r="250" spans="1:10" ht="13" x14ac:dyDescent="0.3">
      <c r="A250" s="26"/>
      <c r="B250" s="26"/>
      <c r="C250" s="8"/>
      <c r="D250" s="21"/>
      <c r="E250" s="21"/>
      <c r="F250" s="21"/>
      <c r="G250" s="21"/>
      <c r="H250" s="21"/>
      <c r="I250" s="21"/>
      <c r="J250" s="21"/>
    </row>
    <row r="251" spans="1:10" ht="13" x14ac:dyDescent="0.3">
      <c r="C251" s="31"/>
      <c r="D251" s="3"/>
      <c r="E251" s="2"/>
      <c r="F251" s="2"/>
      <c r="G251" s="2"/>
      <c r="H251" s="2"/>
      <c r="I251" s="2"/>
      <c r="J251" s="2"/>
    </row>
    <row r="252" spans="1:10" ht="13" x14ac:dyDescent="0.3">
      <c r="C252" s="8"/>
      <c r="D252" s="9"/>
      <c r="E252" s="35" t="s">
        <v>50</v>
      </c>
      <c r="F252" s="2"/>
      <c r="G252" s="2"/>
      <c r="H252" s="2"/>
      <c r="I252" s="2"/>
      <c r="J252" s="2"/>
    </row>
    <row r="253" spans="1:10" ht="65" x14ac:dyDescent="0.3">
      <c r="A253" s="26" t="s">
        <v>40</v>
      </c>
      <c r="B253" s="8" t="s">
        <v>65</v>
      </c>
      <c r="C253" s="8" t="s">
        <v>41</v>
      </c>
      <c r="D253" s="37" t="s">
        <v>93</v>
      </c>
      <c r="E253" s="37" t="s">
        <v>94</v>
      </c>
      <c r="F253" s="37" t="s">
        <v>95</v>
      </c>
      <c r="G253" s="37" t="s">
        <v>96</v>
      </c>
      <c r="H253" s="37" t="s">
        <v>97</v>
      </c>
      <c r="I253" s="37" t="s">
        <v>98</v>
      </c>
      <c r="J253" s="37" t="s">
        <v>99</v>
      </c>
    </row>
    <row r="254" spans="1:10" ht="13" x14ac:dyDescent="0.3">
      <c r="A254" s="26"/>
      <c r="B254" s="26"/>
      <c r="C254" s="8"/>
      <c r="D254" s="21"/>
      <c r="E254" s="21"/>
      <c r="F254" s="21"/>
      <c r="G254" s="21"/>
      <c r="H254" s="21"/>
      <c r="I254" s="21"/>
      <c r="J254" s="21"/>
    </row>
    <row r="255" spans="1:10" x14ac:dyDescent="0.25">
      <c r="A255" s="52" t="s">
        <v>86</v>
      </c>
      <c r="B255" s="45" t="s">
        <v>82</v>
      </c>
      <c r="C255" s="11">
        <v>1</v>
      </c>
      <c r="D255" s="44" t="s">
        <v>61</v>
      </c>
      <c r="E255" s="44" t="s">
        <v>66</v>
      </c>
      <c r="F255" s="27">
        <v>103</v>
      </c>
      <c r="G255" s="60">
        <v>25462793.7902136</v>
      </c>
      <c r="H255" s="60">
        <v>236244.44227717942</v>
      </c>
      <c r="I255" s="60">
        <v>73608.308346796359</v>
      </c>
      <c r="J255" s="60">
        <v>67696.234039011528</v>
      </c>
    </row>
    <row r="256" spans="1:10" x14ac:dyDescent="0.25">
      <c r="A256" s="53"/>
      <c r="B256" s="45" t="s">
        <v>82</v>
      </c>
      <c r="C256" s="11">
        <v>2</v>
      </c>
      <c r="D256" s="44" t="s">
        <v>61</v>
      </c>
      <c r="E256" s="44" t="s">
        <v>67</v>
      </c>
      <c r="F256" s="27">
        <v>92</v>
      </c>
      <c r="G256" s="60">
        <v>29186096.058751147</v>
      </c>
      <c r="H256" s="60">
        <v>216529.89108708853</v>
      </c>
      <c r="I256" s="60">
        <v>89685.546292364539</v>
      </c>
      <c r="J256" s="60">
        <v>81432.748610395036</v>
      </c>
    </row>
    <row r="257" spans="1:10" x14ac:dyDescent="0.25">
      <c r="A257" s="53"/>
      <c r="B257" s="45" t="s">
        <v>82</v>
      </c>
      <c r="C257" s="11">
        <v>3</v>
      </c>
      <c r="D257" s="44" t="s">
        <v>61</v>
      </c>
      <c r="E257" s="44" t="s">
        <v>68</v>
      </c>
      <c r="F257" s="27">
        <v>92</v>
      </c>
      <c r="G257" s="60">
        <v>30833143.586861808</v>
      </c>
      <c r="H257" s="60">
        <v>205714.10295388987</v>
      </c>
      <c r="I257" s="60">
        <v>87964.252975216514</v>
      </c>
      <c r="J257" s="60">
        <v>86583.133009075842</v>
      </c>
    </row>
    <row r="258" spans="1:10" x14ac:dyDescent="0.25">
      <c r="A258" s="53"/>
      <c r="B258" s="45" t="s">
        <v>82</v>
      </c>
      <c r="C258" s="11">
        <v>4</v>
      </c>
      <c r="D258" s="44" t="s">
        <v>61</v>
      </c>
      <c r="E258" s="44" t="s">
        <v>69</v>
      </c>
      <c r="F258" s="27">
        <v>100</v>
      </c>
      <c r="G258" s="60">
        <v>34569759.302401863</v>
      </c>
      <c r="H258" s="60">
        <v>203719.300572593</v>
      </c>
      <c r="I258" s="60">
        <v>90895.034291521035</v>
      </c>
      <c r="J258" s="60">
        <v>84703.354434151654</v>
      </c>
    </row>
    <row r="259" spans="1:10" x14ac:dyDescent="0.25">
      <c r="A259" s="53"/>
      <c r="B259" s="45"/>
      <c r="D259" s="27"/>
      <c r="E259" s="27"/>
      <c r="F259" s="27"/>
      <c r="G259" s="60"/>
      <c r="H259" s="60"/>
      <c r="I259" s="60"/>
      <c r="J259" s="60"/>
    </row>
    <row r="260" spans="1:10" x14ac:dyDescent="0.25">
      <c r="A260" s="53" t="s">
        <v>87</v>
      </c>
      <c r="B260" s="45" t="s">
        <v>83</v>
      </c>
      <c r="C260" s="11">
        <v>1</v>
      </c>
      <c r="D260" s="44" t="s">
        <v>61</v>
      </c>
      <c r="E260" s="45" t="s">
        <v>70</v>
      </c>
      <c r="F260" s="11">
        <v>99</v>
      </c>
      <c r="G260" s="60">
        <v>1538679.674162877</v>
      </c>
      <c r="H260" s="60">
        <v>16927.596500524043</v>
      </c>
      <c r="I260" s="60">
        <v>3615.3827010472764</v>
      </c>
      <c r="J260" s="60">
        <v>3372.8707114897193</v>
      </c>
    </row>
    <row r="261" spans="1:10" x14ac:dyDescent="0.25">
      <c r="A261" s="53" t="s">
        <v>88</v>
      </c>
      <c r="B261" s="45" t="s">
        <v>83</v>
      </c>
      <c r="C261" s="11">
        <v>2</v>
      </c>
      <c r="D261" s="44" t="s">
        <v>61</v>
      </c>
      <c r="E261" s="44" t="s">
        <v>71</v>
      </c>
      <c r="F261" s="27">
        <v>69</v>
      </c>
      <c r="G261" s="60">
        <v>2151077.5663353493</v>
      </c>
      <c r="H261" s="60">
        <v>15666.628155684884</v>
      </c>
      <c r="I261" s="60">
        <v>6881.5368806776223</v>
      </c>
      <c r="J261" s="60">
        <v>5736.7603729419543</v>
      </c>
    </row>
    <row r="262" spans="1:10" x14ac:dyDescent="0.25">
      <c r="A262" s="53"/>
      <c r="B262" s="45" t="s">
        <v>83</v>
      </c>
      <c r="C262" s="11">
        <v>3</v>
      </c>
      <c r="D262" s="44" t="s">
        <v>61</v>
      </c>
      <c r="E262" s="44" t="s">
        <v>72</v>
      </c>
      <c r="F262" s="27">
        <v>85</v>
      </c>
      <c r="G262" s="60">
        <v>2503533.1674850164</v>
      </c>
      <c r="H262" s="60">
        <v>13582.73506469685</v>
      </c>
      <c r="I262" s="60">
        <v>8772.9521153441783</v>
      </c>
      <c r="J262" s="60">
        <v>8405.4717659265461</v>
      </c>
    </row>
    <row r="263" spans="1:10" x14ac:dyDescent="0.25">
      <c r="A263" s="53"/>
      <c r="B263" s="45" t="s">
        <v>83</v>
      </c>
      <c r="C263" s="11">
        <v>4</v>
      </c>
      <c r="D263" s="44" t="s">
        <v>61</v>
      </c>
      <c r="E263" s="44" t="s">
        <v>73</v>
      </c>
      <c r="F263" s="27">
        <v>75</v>
      </c>
      <c r="G263" s="60">
        <v>3457514.0114622293</v>
      </c>
      <c r="H263" s="60">
        <v>8651.0637332203623</v>
      </c>
      <c r="I263" s="60">
        <v>5666.8773786947131</v>
      </c>
      <c r="J263" s="60">
        <v>5220.5973624105973</v>
      </c>
    </row>
    <row r="264" spans="1:10" x14ac:dyDescent="0.25">
      <c r="A264" s="53"/>
      <c r="B264" s="45"/>
      <c r="D264" s="27"/>
      <c r="E264" s="27"/>
      <c r="F264" s="27"/>
      <c r="G264" s="60"/>
      <c r="H264" s="60"/>
      <c r="I264" s="60"/>
      <c r="J264" s="60"/>
    </row>
    <row r="265" spans="1:10" x14ac:dyDescent="0.25">
      <c r="A265" s="53" t="s">
        <v>89</v>
      </c>
      <c r="B265" s="45" t="s">
        <v>64</v>
      </c>
      <c r="C265" s="11">
        <v>1</v>
      </c>
      <c r="D265" s="44" t="s">
        <v>62</v>
      </c>
      <c r="E265" s="44" t="s">
        <v>74</v>
      </c>
      <c r="F265" s="27">
        <v>128</v>
      </c>
      <c r="G265" s="60">
        <v>14406921.581756962</v>
      </c>
      <c r="H265" s="60">
        <v>78221.91594261305</v>
      </c>
      <c r="I265" s="60">
        <v>37629.422960886033</v>
      </c>
      <c r="J265" s="60">
        <v>35822.328645141322</v>
      </c>
    </row>
    <row r="266" spans="1:10" x14ac:dyDescent="0.25">
      <c r="A266" s="53" t="s">
        <v>90</v>
      </c>
      <c r="B266" s="45" t="s">
        <v>64</v>
      </c>
      <c r="C266" s="11">
        <v>2</v>
      </c>
      <c r="D266" s="44" t="s">
        <v>62</v>
      </c>
      <c r="E266" s="45" t="s">
        <v>75</v>
      </c>
      <c r="F266" s="11">
        <v>85</v>
      </c>
      <c r="G266" s="60">
        <v>19353597.786842637</v>
      </c>
      <c r="H266" s="60">
        <v>78766.115267072513</v>
      </c>
      <c r="I266" s="60">
        <v>50074.844118863919</v>
      </c>
      <c r="J266" s="60">
        <v>49720.933363173397</v>
      </c>
    </row>
    <row r="267" spans="1:10" x14ac:dyDescent="0.25">
      <c r="A267" s="55"/>
      <c r="B267" s="45" t="s">
        <v>64</v>
      </c>
      <c r="C267" s="11">
        <v>3</v>
      </c>
      <c r="D267" s="44" t="s">
        <v>62</v>
      </c>
      <c r="E267" s="46" t="s">
        <v>76</v>
      </c>
      <c r="F267" s="22">
        <v>104</v>
      </c>
      <c r="G267" s="60">
        <v>29877359.938837878</v>
      </c>
      <c r="H267" s="60">
        <v>95910.76179157148</v>
      </c>
      <c r="I267" s="60">
        <v>70597.387908739081</v>
      </c>
      <c r="J267" s="60">
        <v>68345.550577074566</v>
      </c>
    </row>
    <row r="268" spans="1:10" x14ac:dyDescent="0.25">
      <c r="A268" s="53"/>
      <c r="B268" s="45" t="s">
        <v>64</v>
      </c>
      <c r="C268" s="11">
        <v>4</v>
      </c>
      <c r="D268" s="44" t="s">
        <v>62</v>
      </c>
      <c r="E268" s="44" t="s">
        <v>63</v>
      </c>
      <c r="F268" s="27">
        <v>118</v>
      </c>
      <c r="G268" s="60">
        <v>46992594.402020797</v>
      </c>
      <c r="H268" s="60">
        <v>135087.03566473947</v>
      </c>
      <c r="I268" s="60">
        <v>107982.08344974853</v>
      </c>
      <c r="J268" s="60">
        <v>96745.60423124455</v>
      </c>
    </row>
    <row r="269" spans="1:10" x14ac:dyDescent="0.25">
      <c r="A269" s="53" t="s">
        <v>0</v>
      </c>
      <c r="B269" s="51" t="s">
        <v>84</v>
      </c>
      <c r="C269" s="11">
        <v>1</v>
      </c>
      <c r="D269" s="44" t="s">
        <v>62</v>
      </c>
      <c r="E269" s="44" t="s">
        <v>77</v>
      </c>
      <c r="F269" s="27">
        <v>125</v>
      </c>
      <c r="G269" s="60">
        <v>444563.36726597568</v>
      </c>
      <c r="H269" s="60">
        <v>3430.7089964315614</v>
      </c>
      <c r="I269" s="60">
        <v>1451.0000037769969</v>
      </c>
      <c r="J269" s="60">
        <v>950.65687601303432</v>
      </c>
    </row>
    <row r="270" spans="1:10" x14ac:dyDescent="0.25">
      <c r="A270" s="53"/>
      <c r="B270" s="51"/>
      <c r="D270" s="27"/>
      <c r="E270" s="27"/>
      <c r="F270" s="27"/>
      <c r="G270" s="60"/>
      <c r="H270" s="60"/>
      <c r="I270" s="60"/>
      <c r="J270" s="60"/>
    </row>
    <row r="271" spans="1:10" x14ac:dyDescent="0.25">
      <c r="A271" s="53" t="s">
        <v>91</v>
      </c>
      <c r="B271" s="51" t="s">
        <v>85</v>
      </c>
      <c r="C271" s="11">
        <v>1</v>
      </c>
      <c r="D271" s="44" t="s">
        <v>62</v>
      </c>
      <c r="E271" s="44" t="s">
        <v>78</v>
      </c>
      <c r="F271" s="27">
        <v>245</v>
      </c>
      <c r="G271" s="60">
        <v>1746780.0055010719</v>
      </c>
      <c r="H271" s="60">
        <v>5170.8647864519962</v>
      </c>
      <c r="I271" s="60">
        <v>2906.3438518321741</v>
      </c>
      <c r="J271" s="60">
        <v>2790.562133359148</v>
      </c>
    </row>
    <row r="272" spans="1:10" x14ac:dyDescent="0.25">
      <c r="A272" s="53" t="s">
        <v>92</v>
      </c>
      <c r="B272" s="51" t="s">
        <v>85</v>
      </c>
      <c r="C272" s="11">
        <v>2</v>
      </c>
      <c r="D272" s="44" t="s">
        <v>62</v>
      </c>
      <c r="E272" s="44" t="s">
        <v>79</v>
      </c>
      <c r="F272" s="27">
        <v>48</v>
      </c>
      <c r="G272" s="60">
        <v>3123543.8426663708</v>
      </c>
      <c r="H272" s="60">
        <v>7567.9576088572649</v>
      </c>
      <c r="I272" s="60">
        <v>4944.422308211163</v>
      </c>
      <c r="J272" s="60">
        <v>4642.9922236907087</v>
      </c>
    </row>
    <row r="273" spans="1:11" x14ac:dyDescent="0.25">
      <c r="A273" s="20" t="s">
        <v>0</v>
      </c>
      <c r="B273" s="51" t="s">
        <v>85</v>
      </c>
      <c r="C273" s="11">
        <v>3</v>
      </c>
      <c r="D273" s="44" t="s">
        <v>62</v>
      </c>
      <c r="E273" s="44" t="s">
        <v>80</v>
      </c>
      <c r="F273" s="27">
        <v>19</v>
      </c>
      <c r="G273" s="60">
        <v>4167978.6515345979</v>
      </c>
      <c r="H273" s="60">
        <v>11348.300441142725</v>
      </c>
      <c r="I273" s="60">
        <v>6973.7355813816084</v>
      </c>
      <c r="J273" s="60">
        <v>5721.6101616405531</v>
      </c>
    </row>
    <row r="274" spans="1:11" x14ac:dyDescent="0.25">
      <c r="A274" s="20"/>
      <c r="B274" s="51" t="s">
        <v>84</v>
      </c>
      <c r="C274" s="11">
        <v>1</v>
      </c>
      <c r="D274" s="44" t="s">
        <v>62</v>
      </c>
      <c r="E274" s="44" t="s">
        <v>81</v>
      </c>
      <c r="F274" s="27">
        <v>2</v>
      </c>
      <c r="G274" s="60">
        <v>2541.0280225611946</v>
      </c>
      <c r="H274" s="60">
        <v>10.068000000000001</v>
      </c>
      <c r="I274" s="60">
        <v>10.075375184087532</v>
      </c>
      <c r="J274" s="60">
        <v>3.7888237219203416</v>
      </c>
    </row>
    <row r="275" spans="1:11" x14ac:dyDescent="0.25">
      <c r="A275" s="20"/>
      <c r="B275" s="20"/>
      <c r="D275" s="27"/>
      <c r="E275" s="27"/>
      <c r="F275" s="27"/>
      <c r="G275" s="27"/>
      <c r="H275" s="28"/>
      <c r="I275" s="28"/>
      <c r="J275" s="29"/>
    </row>
    <row r="276" spans="1:11" ht="13" x14ac:dyDescent="0.3">
      <c r="A276" s="105" t="s">
        <v>109</v>
      </c>
      <c r="B276" s="106"/>
      <c r="C276" s="106"/>
      <c r="D276" s="106"/>
      <c r="E276" s="106"/>
      <c r="F276" s="106"/>
      <c r="G276" s="106"/>
      <c r="H276" s="106"/>
      <c r="I276" s="106"/>
      <c r="J276" s="106"/>
    </row>
    <row r="277" spans="1:11" ht="13" x14ac:dyDescent="0.3">
      <c r="A277" s="107" t="s">
        <v>110</v>
      </c>
      <c r="B277" s="108"/>
      <c r="C277" s="108"/>
      <c r="D277" s="108"/>
      <c r="E277" s="108"/>
      <c r="F277" s="108"/>
      <c r="G277" s="108"/>
      <c r="H277" s="108"/>
      <c r="I277" s="108"/>
      <c r="J277" s="108"/>
      <c r="K277" s="2"/>
    </row>
    <row r="278" spans="1:11" ht="13" x14ac:dyDescent="0.3">
      <c r="A278" s="104" t="s">
        <v>113</v>
      </c>
      <c r="B278" s="106"/>
      <c r="C278" s="106"/>
      <c r="D278" s="106"/>
      <c r="E278" s="106"/>
      <c r="F278" s="106"/>
      <c r="G278" s="106"/>
      <c r="H278" s="106"/>
      <c r="I278" s="106"/>
      <c r="J278" s="106"/>
      <c r="K278" s="2"/>
    </row>
    <row r="279" spans="1:11" ht="13" x14ac:dyDescent="0.3">
      <c r="A279" s="104" t="s">
        <v>112</v>
      </c>
      <c r="B279" s="106"/>
      <c r="C279" s="106"/>
      <c r="D279" s="106"/>
      <c r="E279" s="106"/>
      <c r="F279" s="106"/>
      <c r="G279" s="106"/>
      <c r="H279" s="106"/>
      <c r="I279" s="106"/>
      <c r="J279" s="106"/>
      <c r="K279" s="2"/>
    </row>
    <row r="280" spans="1:11" ht="13" x14ac:dyDescent="0.3">
      <c r="A280" s="1"/>
      <c r="B280" s="1"/>
      <c r="C280" s="2"/>
      <c r="D280" s="3"/>
      <c r="E280" s="2"/>
      <c r="F280" s="2"/>
      <c r="G280" s="2"/>
      <c r="H280" s="2"/>
      <c r="I280" s="2"/>
      <c r="J280" s="2"/>
    </row>
    <row r="281" spans="1:11" ht="13" x14ac:dyDescent="0.3">
      <c r="C281" s="31"/>
      <c r="D281" s="3"/>
      <c r="E281" s="2"/>
      <c r="F281" s="2"/>
      <c r="G281" s="2"/>
      <c r="H281" s="2"/>
      <c r="I281" s="2"/>
      <c r="J281" s="2"/>
    </row>
    <row r="282" spans="1:11" ht="13" x14ac:dyDescent="0.3">
      <c r="C282" s="8"/>
      <c r="D282" s="9"/>
      <c r="E282" s="35" t="s">
        <v>51</v>
      </c>
      <c r="F282" s="2"/>
      <c r="G282" s="2"/>
      <c r="H282" s="2"/>
      <c r="I282" s="2"/>
      <c r="J282" s="2"/>
    </row>
    <row r="283" spans="1:11" ht="65" x14ac:dyDescent="0.3">
      <c r="A283" s="26" t="s">
        <v>40</v>
      </c>
      <c r="B283" s="8" t="s">
        <v>65</v>
      </c>
      <c r="C283" s="8" t="s">
        <v>41</v>
      </c>
      <c r="D283" s="37" t="s">
        <v>93</v>
      </c>
      <c r="E283" s="37" t="s">
        <v>94</v>
      </c>
      <c r="F283" s="37" t="s">
        <v>95</v>
      </c>
      <c r="G283" s="37" t="s">
        <v>96</v>
      </c>
      <c r="H283" s="37" t="s">
        <v>97</v>
      </c>
      <c r="I283" s="37" t="s">
        <v>98</v>
      </c>
      <c r="J283" s="37" t="s">
        <v>99</v>
      </c>
    </row>
    <row r="284" spans="1:11" ht="13" x14ac:dyDescent="0.3">
      <c r="A284" s="26"/>
      <c r="B284" s="26"/>
      <c r="C284" s="8"/>
      <c r="D284" s="21"/>
      <c r="E284" s="21"/>
      <c r="F284" s="21"/>
      <c r="G284" s="21"/>
      <c r="H284" s="21"/>
      <c r="I284" s="21"/>
      <c r="J284" s="21"/>
    </row>
    <row r="285" spans="1:11" x14ac:dyDescent="0.25">
      <c r="A285" s="52" t="s">
        <v>86</v>
      </c>
      <c r="B285" s="45" t="s">
        <v>82</v>
      </c>
      <c r="C285" s="11">
        <v>1</v>
      </c>
      <c r="D285" s="44" t="s">
        <v>61</v>
      </c>
      <c r="E285" s="44" t="s">
        <v>66</v>
      </c>
      <c r="F285" s="27">
        <v>103</v>
      </c>
      <c r="G285" s="60">
        <v>27205605.535846315</v>
      </c>
      <c r="H285" s="60">
        <v>239351.16078551018</v>
      </c>
      <c r="I285" s="60">
        <v>72816.987224180688</v>
      </c>
      <c r="J285" s="60">
        <v>61015.763212300408</v>
      </c>
    </row>
    <row r="286" spans="1:11" x14ac:dyDescent="0.25">
      <c r="A286" s="53"/>
      <c r="B286" s="45" t="s">
        <v>82</v>
      </c>
      <c r="C286" s="11">
        <v>2</v>
      </c>
      <c r="D286" s="44" t="s">
        <v>61</v>
      </c>
      <c r="E286" s="44" t="s">
        <v>67</v>
      </c>
      <c r="F286" s="27">
        <v>92</v>
      </c>
      <c r="G286" s="60">
        <v>32208735.764057316</v>
      </c>
      <c r="H286" s="60">
        <v>235496.81451586547</v>
      </c>
      <c r="I286" s="60">
        <v>104487.79631839035</v>
      </c>
      <c r="J286" s="60">
        <v>94657.752713248119</v>
      </c>
    </row>
    <row r="287" spans="1:11" x14ac:dyDescent="0.25">
      <c r="A287" s="53"/>
      <c r="B287" s="45" t="s">
        <v>82</v>
      </c>
      <c r="C287" s="11">
        <v>3</v>
      </c>
      <c r="D287" s="44" t="s">
        <v>61</v>
      </c>
      <c r="E287" s="44" t="s">
        <v>68</v>
      </c>
      <c r="F287" s="27">
        <v>92</v>
      </c>
      <c r="G287" s="60">
        <v>33585354.739816368</v>
      </c>
      <c r="H287" s="60">
        <v>211527.04274998937</v>
      </c>
      <c r="I287" s="60">
        <v>97378.824048644252</v>
      </c>
      <c r="J287" s="60">
        <v>97378.824048644252</v>
      </c>
    </row>
    <row r="288" spans="1:11" x14ac:dyDescent="0.25">
      <c r="A288" s="53"/>
      <c r="B288" s="45" t="s">
        <v>82</v>
      </c>
      <c r="C288" s="11">
        <v>4</v>
      </c>
      <c r="D288" s="44" t="s">
        <v>61</v>
      </c>
      <c r="E288" s="44" t="s">
        <v>69</v>
      </c>
      <c r="F288" s="27">
        <v>100</v>
      </c>
      <c r="G288" s="60">
        <v>40286094.652376719</v>
      </c>
      <c r="H288" s="60">
        <v>221731.59137124862</v>
      </c>
      <c r="I288" s="60">
        <v>129807.1842496382</v>
      </c>
      <c r="J288" s="60">
        <v>123078.89786218273</v>
      </c>
    </row>
    <row r="289" spans="1:14" x14ac:dyDescent="0.25">
      <c r="A289" s="53"/>
      <c r="B289" s="45"/>
      <c r="D289" s="27"/>
      <c r="E289" s="27"/>
      <c r="F289" s="27"/>
      <c r="G289" s="60"/>
      <c r="H289" s="60"/>
      <c r="I289" s="60"/>
      <c r="J289" s="60"/>
    </row>
    <row r="290" spans="1:14" x14ac:dyDescent="0.25">
      <c r="A290" s="53" t="s">
        <v>87</v>
      </c>
      <c r="B290" s="45" t="s">
        <v>83</v>
      </c>
      <c r="C290" s="11">
        <v>1</v>
      </c>
      <c r="D290" s="44" t="s">
        <v>61</v>
      </c>
      <c r="E290" s="45" t="s">
        <v>70</v>
      </c>
      <c r="F290" s="11">
        <v>99</v>
      </c>
      <c r="G290" s="60">
        <v>1697220.0088630242</v>
      </c>
      <c r="H290" s="60">
        <v>20397.626318769086</v>
      </c>
      <c r="I290" s="60">
        <v>4083.2447720188006</v>
      </c>
      <c r="J290" s="60">
        <v>2818.3543426636375</v>
      </c>
    </row>
    <row r="291" spans="1:14" x14ac:dyDescent="0.25">
      <c r="A291" s="53" t="s">
        <v>88</v>
      </c>
      <c r="B291" s="45" t="s">
        <v>83</v>
      </c>
      <c r="C291" s="11">
        <v>2</v>
      </c>
      <c r="D291" s="44" t="s">
        <v>61</v>
      </c>
      <c r="E291" s="44" t="s">
        <v>71</v>
      </c>
      <c r="F291" s="27">
        <v>69</v>
      </c>
      <c r="G291" s="60">
        <v>2333301.4108871748</v>
      </c>
      <c r="H291" s="60">
        <v>15308.619928173692</v>
      </c>
      <c r="I291" s="60">
        <v>6464.9475274721062</v>
      </c>
      <c r="J291" s="60">
        <v>4934.3396582343621</v>
      </c>
    </row>
    <row r="292" spans="1:14" s="40" customFormat="1" x14ac:dyDescent="0.25">
      <c r="A292" s="53"/>
      <c r="B292" s="45" t="s">
        <v>83</v>
      </c>
      <c r="C292" s="11">
        <v>3</v>
      </c>
      <c r="D292" s="44" t="s">
        <v>61</v>
      </c>
      <c r="E292" s="44" t="s">
        <v>72</v>
      </c>
      <c r="F292" s="27">
        <v>85</v>
      </c>
      <c r="G292" s="60">
        <v>2203558.3678797963</v>
      </c>
      <c r="H292" s="60">
        <v>11287.575833025814</v>
      </c>
      <c r="I292" s="60">
        <v>5349.3810810910009</v>
      </c>
      <c r="J292" s="60">
        <v>4227.6780766256552</v>
      </c>
      <c r="K292" s="39"/>
      <c r="L292" s="39"/>
      <c r="M292" s="39"/>
    </row>
    <row r="293" spans="1:14" s="40" customFormat="1" x14ac:dyDescent="0.25">
      <c r="A293" s="53"/>
      <c r="B293" s="45" t="s">
        <v>83</v>
      </c>
      <c r="C293" s="11">
        <v>4</v>
      </c>
      <c r="D293" s="44" t="s">
        <v>61</v>
      </c>
      <c r="E293" s="44" t="s">
        <v>73</v>
      </c>
      <c r="F293" s="27">
        <v>75</v>
      </c>
      <c r="G293" s="60">
        <v>3351496.6371151316</v>
      </c>
      <c r="H293" s="60">
        <v>8265.5793847175992</v>
      </c>
      <c r="I293" s="60">
        <v>5550.2461186120318</v>
      </c>
      <c r="J293" s="60">
        <v>4690.4758208876465</v>
      </c>
      <c r="K293" s="39"/>
      <c r="L293" s="39"/>
      <c r="M293" s="39"/>
    </row>
    <row r="294" spans="1:14" s="40" customFormat="1" x14ac:dyDescent="0.25">
      <c r="A294" s="53"/>
      <c r="B294" s="45"/>
      <c r="C294" s="11"/>
      <c r="D294" s="27"/>
      <c r="E294" s="27"/>
      <c r="F294" s="27"/>
      <c r="G294" s="60"/>
      <c r="H294" s="60"/>
      <c r="I294" s="60"/>
      <c r="J294" s="60"/>
    </row>
    <row r="295" spans="1:14" x14ac:dyDescent="0.25">
      <c r="A295" s="53" t="s">
        <v>89</v>
      </c>
      <c r="B295" s="45" t="s">
        <v>64</v>
      </c>
      <c r="C295" s="11">
        <v>1</v>
      </c>
      <c r="D295" s="44" t="s">
        <v>62</v>
      </c>
      <c r="E295" s="44" t="s">
        <v>74</v>
      </c>
      <c r="F295" s="27">
        <v>128</v>
      </c>
      <c r="G295" s="60">
        <v>14602161.427515289</v>
      </c>
      <c r="H295" s="60">
        <v>76271.799680257667</v>
      </c>
      <c r="I295" s="60">
        <v>35249.50070635834</v>
      </c>
      <c r="J295" s="60">
        <v>30316.155714957011</v>
      </c>
    </row>
    <row r="296" spans="1:14" x14ac:dyDescent="0.25">
      <c r="A296" s="53" t="s">
        <v>90</v>
      </c>
      <c r="B296" s="45" t="s">
        <v>64</v>
      </c>
      <c r="C296" s="11">
        <v>2</v>
      </c>
      <c r="D296" s="44" t="s">
        <v>62</v>
      </c>
      <c r="E296" s="45" t="s">
        <v>75</v>
      </c>
      <c r="F296" s="11">
        <v>85</v>
      </c>
      <c r="G296" s="60">
        <v>17863782.195051521</v>
      </c>
      <c r="H296" s="60">
        <v>78858.58315153369</v>
      </c>
      <c r="I296" s="60">
        <v>40381.302757922254</v>
      </c>
      <c r="J296" s="60">
        <v>36505.32260118179</v>
      </c>
      <c r="K296" s="2"/>
      <c r="L296" s="2"/>
      <c r="M296" s="2"/>
    </row>
    <row r="297" spans="1:14" ht="13" x14ac:dyDescent="0.3">
      <c r="A297" s="55"/>
      <c r="B297" s="45" t="s">
        <v>64</v>
      </c>
      <c r="C297" s="11">
        <v>3</v>
      </c>
      <c r="D297" s="44" t="s">
        <v>62</v>
      </c>
      <c r="E297" s="46" t="s">
        <v>76</v>
      </c>
      <c r="F297" s="22">
        <v>104</v>
      </c>
      <c r="G297" s="60">
        <v>26725203.516218565</v>
      </c>
      <c r="H297" s="60">
        <v>87203.661414452887</v>
      </c>
      <c r="I297" s="60">
        <v>54738.821533865499</v>
      </c>
      <c r="J297" s="60">
        <v>50869.340153778452</v>
      </c>
      <c r="L297" s="1"/>
      <c r="M297" s="1"/>
      <c r="N297" s="32"/>
    </row>
    <row r="298" spans="1:14" ht="13" x14ac:dyDescent="0.3">
      <c r="A298" s="53"/>
      <c r="B298" s="45" t="s">
        <v>64</v>
      </c>
      <c r="C298" s="11">
        <v>4</v>
      </c>
      <c r="D298" s="44" t="s">
        <v>62</v>
      </c>
      <c r="E298" s="44" t="s">
        <v>63</v>
      </c>
      <c r="F298" s="27">
        <v>118</v>
      </c>
      <c r="G298" s="60">
        <v>41723686.167820774</v>
      </c>
      <c r="H298" s="60">
        <v>122038.1343015673</v>
      </c>
      <c r="I298" s="60">
        <v>86276.096905811006</v>
      </c>
      <c r="J298" s="60">
        <v>79940.870438317725</v>
      </c>
      <c r="L298" s="41"/>
      <c r="M298" s="41"/>
      <c r="N298" s="34"/>
    </row>
    <row r="299" spans="1:14" x14ac:dyDescent="0.25">
      <c r="A299" s="53" t="s">
        <v>0</v>
      </c>
      <c r="B299" s="51" t="s">
        <v>84</v>
      </c>
      <c r="C299" s="11">
        <v>1</v>
      </c>
      <c r="D299" s="44" t="s">
        <v>62</v>
      </c>
      <c r="E299" s="44" t="s">
        <v>77</v>
      </c>
      <c r="F299" s="27">
        <v>125</v>
      </c>
      <c r="G299" s="60">
        <v>497358.8945166762</v>
      </c>
      <c r="H299" s="60">
        <v>3058.0768762976923</v>
      </c>
      <c r="I299" s="60">
        <v>1640.2833748185035</v>
      </c>
      <c r="J299" s="60">
        <v>733.97487532077946</v>
      </c>
    </row>
    <row r="300" spans="1:14" x14ac:dyDescent="0.25">
      <c r="A300" s="53"/>
      <c r="B300" s="51"/>
      <c r="D300" s="27"/>
      <c r="E300" s="27"/>
      <c r="F300" s="27"/>
      <c r="G300" s="60"/>
      <c r="H300" s="60"/>
      <c r="I300" s="60"/>
      <c r="J300" s="60"/>
      <c r="L300"/>
      <c r="M300"/>
      <c r="N300" s="43"/>
    </row>
    <row r="301" spans="1:14" x14ac:dyDescent="0.25">
      <c r="A301" s="53" t="s">
        <v>91</v>
      </c>
      <c r="B301" s="51" t="s">
        <v>85</v>
      </c>
      <c r="C301" s="11">
        <v>1</v>
      </c>
      <c r="D301" s="44" t="s">
        <v>62</v>
      </c>
      <c r="E301" s="44" t="s">
        <v>78</v>
      </c>
      <c r="F301" s="27">
        <v>245</v>
      </c>
      <c r="G301" s="60">
        <v>1683186.4044615822</v>
      </c>
      <c r="H301" s="60">
        <v>4744.3877993844299</v>
      </c>
      <c r="I301" s="60">
        <v>2615.215092209552</v>
      </c>
      <c r="J301" s="60">
        <v>2423.1470981970419</v>
      </c>
      <c r="L301"/>
      <c r="M301"/>
      <c r="N301" s="43"/>
    </row>
    <row r="302" spans="1:14" x14ac:dyDescent="0.25">
      <c r="A302" s="53" t="s">
        <v>92</v>
      </c>
      <c r="B302" s="51" t="s">
        <v>85</v>
      </c>
      <c r="C302" s="11">
        <v>2</v>
      </c>
      <c r="D302" s="44" t="s">
        <v>62</v>
      </c>
      <c r="E302" s="44" t="s">
        <v>79</v>
      </c>
      <c r="F302" s="27">
        <v>48</v>
      </c>
      <c r="G302" s="60">
        <v>2999269.371799753</v>
      </c>
      <c r="H302" s="60">
        <v>7905.6661732037783</v>
      </c>
      <c r="I302" s="60">
        <v>5038.0014870970408</v>
      </c>
      <c r="J302" s="60">
        <v>4371.5862302519754</v>
      </c>
      <c r="L302"/>
      <c r="M302"/>
      <c r="N302" s="43"/>
    </row>
    <row r="303" spans="1:14" x14ac:dyDescent="0.25">
      <c r="A303" s="20" t="s">
        <v>0</v>
      </c>
      <c r="B303" s="51" t="s">
        <v>85</v>
      </c>
      <c r="C303" s="11">
        <v>3</v>
      </c>
      <c r="D303" s="44" t="s">
        <v>62</v>
      </c>
      <c r="E303" s="44" t="s">
        <v>80</v>
      </c>
      <c r="F303" s="27">
        <v>19</v>
      </c>
      <c r="G303" s="60">
        <v>3753725.7639917033</v>
      </c>
      <c r="H303" s="60">
        <v>9104.2096747551423</v>
      </c>
      <c r="I303" s="60">
        <v>6539.5708466045407</v>
      </c>
      <c r="J303" s="60">
        <v>5072.4913179787582</v>
      </c>
      <c r="L303"/>
      <c r="M303"/>
      <c r="N303" s="43"/>
    </row>
    <row r="304" spans="1:14" x14ac:dyDescent="0.25">
      <c r="A304" s="20"/>
      <c r="B304" s="51" t="s">
        <v>84</v>
      </c>
      <c r="C304" s="11">
        <v>1</v>
      </c>
      <c r="D304" s="44" t="s">
        <v>62</v>
      </c>
      <c r="E304" s="44" t="s">
        <v>81</v>
      </c>
      <c r="F304" s="27">
        <v>2</v>
      </c>
      <c r="G304" s="60">
        <v>2857.5211980182521</v>
      </c>
      <c r="H304" s="60">
        <v>21.384000000000004</v>
      </c>
      <c r="I304" s="60">
        <v>21.502177937777226</v>
      </c>
      <c r="J304" s="60">
        <v>6.4916788611246607</v>
      </c>
      <c r="L304"/>
      <c r="M304"/>
      <c r="N304" s="43"/>
    </row>
    <row r="305" spans="1:14" x14ac:dyDescent="0.25">
      <c r="A305" s="20"/>
      <c r="B305" s="20"/>
      <c r="D305" s="27"/>
      <c r="E305" s="27"/>
      <c r="F305" s="27"/>
      <c r="G305" s="27"/>
      <c r="H305" s="28"/>
      <c r="I305" s="28"/>
      <c r="J305" s="29"/>
      <c r="L305"/>
      <c r="M305"/>
      <c r="N305" s="43"/>
    </row>
    <row r="306" spans="1:14" ht="13" x14ac:dyDescent="0.3">
      <c r="C306" s="31"/>
      <c r="D306" s="3"/>
      <c r="E306" s="2"/>
      <c r="F306" s="2"/>
      <c r="G306" s="2"/>
      <c r="H306" s="2"/>
      <c r="I306" s="2"/>
      <c r="J306" s="2"/>
      <c r="L306"/>
      <c r="M306"/>
      <c r="N306" s="43"/>
    </row>
    <row r="307" spans="1:14" ht="13" x14ac:dyDescent="0.3">
      <c r="C307" s="8"/>
      <c r="D307" s="9"/>
      <c r="E307" s="35" t="s">
        <v>52</v>
      </c>
      <c r="F307" s="2"/>
      <c r="G307" s="2"/>
      <c r="H307" s="2"/>
      <c r="I307" s="2"/>
      <c r="J307" s="2"/>
      <c r="K307"/>
      <c r="L307"/>
      <c r="M307"/>
      <c r="N307" s="43"/>
    </row>
    <row r="308" spans="1:14" ht="65" x14ac:dyDescent="0.3">
      <c r="A308" s="26" t="s">
        <v>40</v>
      </c>
      <c r="B308" s="8" t="s">
        <v>65</v>
      </c>
      <c r="C308" s="8" t="s">
        <v>41</v>
      </c>
      <c r="D308" s="37" t="s">
        <v>93</v>
      </c>
      <c r="E308" s="37" t="s">
        <v>94</v>
      </c>
      <c r="F308" s="37" t="s">
        <v>95</v>
      </c>
      <c r="G308" s="37" t="s">
        <v>96</v>
      </c>
      <c r="H308" s="37" t="s">
        <v>97</v>
      </c>
      <c r="I308" s="37" t="s">
        <v>98</v>
      </c>
      <c r="J308" s="37" t="s">
        <v>99</v>
      </c>
      <c r="K308"/>
      <c r="L308"/>
      <c r="M308"/>
      <c r="N308" s="43"/>
    </row>
    <row r="309" spans="1:14" ht="13" x14ac:dyDescent="0.3">
      <c r="A309" s="26"/>
      <c r="B309" s="26"/>
      <c r="C309" s="8"/>
      <c r="D309" s="21"/>
      <c r="E309" s="21"/>
      <c r="F309" s="21"/>
      <c r="G309" s="21"/>
      <c r="H309" s="21"/>
      <c r="I309" s="21"/>
      <c r="J309" s="21"/>
      <c r="K309"/>
      <c r="L309"/>
      <c r="M309"/>
      <c r="N309" s="43"/>
    </row>
    <row r="310" spans="1:14" x14ac:dyDescent="0.25">
      <c r="A310" s="52" t="s">
        <v>86</v>
      </c>
      <c r="B310" s="45" t="s">
        <v>82</v>
      </c>
      <c r="C310" s="11">
        <v>1</v>
      </c>
      <c r="D310" s="44" t="s">
        <v>61</v>
      </c>
      <c r="E310" s="44" t="s">
        <v>66</v>
      </c>
      <c r="F310" s="27">
        <v>103</v>
      </c>
      <c r="G310" s="60">
        <v>32128097.6991238</v>
      </c>
      <c r="H310" s="60">
        <v>252658.6084229704</v>
      </c>
      <c r="I310" s="60">
        <v>67767.179654639796</v>
      </c>
      <c r="J310" s="60">
        <v>59998.272775917365</v>
      </c>
      <c r="K310"/>
      <c r="L310"/>
      <c r="M310"/>
      <c r="N310" s="43"/>
    </row>
    <row r="311" spans="1:14" x14ac:dyDescent="0.25">
      <c r="A311" s="53"/>
      <c r="B311" s="45" t="s">
        <v>82</v>
      </c>
      <c r="C311" s="11">
        <v>2</v>
      </c>
      <c r="D311" s="44" t="s">
        <v>61</v>
      </c>
      <c r="E311" s="44" t="s">
        <v>67</v>
      </c>
      <c r="F311" s="27">
        <v>92</v>
      </c>
      <c r="G311" s="60">
        <v>40387502.246876657</v>
      </c>
      <c r="H311" s="60">
        <v>255959.00547861849</v>
      </c>
      <c r="I311" s="60">
        <v>95564.449178232768</v>
      </c>
      <c r="J311" s="60">
        <v>85924.943795241168</v>
      </c>
      <c r="K311"/>
      <c r="L311"/>
      <c r="M311"/>
      <c r="N311" s="43"/>
    </row>
    <row r="312" spans="1:14" x14ac:dyDescent="0.25">
      <c r="A312" s="53"/>
      <c r="B312" s="45" t="s">
        <v>82</v>
      </c>
      <c r="C312" s="11">
        <v>3</v>
      </c>
      <c r="D312" s="44" t="s">
        <v>61</v>
      </c>
      <c r="E312" s="44" t="s">
        <v>68</v>
      </c>
      <c r="F312" s="27">
        <v>92</v>
      </c>
      <c r="G312" s="60">
        <v>42711150.431437388</v>
      </c>
      <c r="H312" s="60">
        <v>221597.86608215625</v>
      </c>
      <c r="I312" s="60">
        <v>93624.147407176453</v>
      </c>
      <c r="J312" s="60">
        <v>84994.184268373661</v>
      </c>
      <c r="K312"/>
      <c r="L312"/>
      <c r="M312"/>
      <c r="N312" s="43"/>
    </row>
    <row r="313" spans="1:14" x14ac:dyDescent="0.25">
      <c r="A313" s="53"/>
      <c r="B313" s="45" t="s">
        <v>82</v>
      </c>
      <c r="C313" s="11">
        <v>4</v>
      </c>
      <c r="D313" s="44" t="s">
        <v>61</v>
      </c>
      <c r="E313" s="44" t="s">
        <v>69</v>
      </c>
      <c r="F313" s="27">
        <v>100</v>
      </c>
      <c r="G313" s="60">
        <v>51535660.102079339</v>
      </c>
      <c r="H313" s="60">
        <v>232510.66859129706</v>
      </c>
      <c r="I313" s="60">
        <v>122333.48742374264</v>
      </c>
      <c r="J313" s="60">
        <v>105195.37000002194</v>
      </c>
      <c r="K313"/>
      <c r="L313"/>
      <c r="M313"/>
      <c r="N313" s="43"/>
    </row>
    <row r="314" spans="1:14" x14ac:dyDescent="0.25">
      <c r="A314" s="53"/>
      <c r="B314" s="45"/>
      <c r="D314" s="27"/>
      <c r="E314" s="27"/>
      <c r="F314" s="27"/>
      <c r="G314" s="60"/>
      <c r="H314" s="60"/>
      <c r="I314" s="60"/>
      <c r="J314" s="60"/>
      <c r="K314" s="30"/>
    </row>
    <row r="315" spans="1:14" x14ac:dyDescent="0.25">
      <c r="A315" s="53" t="s">
        <v>87</v>
      </c>
      <c r="B315" s="45" t="s">
        <v>83</v>
      </c>
      <c r="C315" s="11">
        <v>1</v>
      </c>
      <c r="D315" s="44" t="s">
        <v>61</v>
      </c>
      <c r="E315" s="45" t="s">
        <v>70</v>
      </c>
      <c r="F315" s="11">
        <v>99</v>
      </c>
      <c r="G315" s="60">
        <v>2179620.7336307424</v>
      </c>
      <c r="H315" s="60">
        <v>20433.311463550603</v>
      </c>
      <c r="I315" s="60">
        <v>4789.572890472582</v>
      </c>
      <c r="J315" s="60">
        <v>4025.6901344750772</v>
      </c>
      <c r="K315" s="30"/>
    </row>
    <row r="316" spans="1:14" x14ac:dyDescent="0.25">
      <c r="A316" s="53" t="s">
        <v>88</v>
      </c>
      <c r="B316" s="45" t="s">
        <v>83</v>
      </c>
      <c r="C316" s="11">
        <v>2</v>
      </c>
      <c r="D316" s="44" t="s">
        <v>61</v>
      </c>
      <c r="E316" s="44" t="s">
        <v>71</v>
      </c>
      <c r="F316" s="27">
        <v>69</v>
      </c>
      <c r="G316" s="60">
        <v>2722549.1301724417</v>
      </c>
      <c r="H316" s="60">
        <v>13675.124652281005</v>
      </c>
      <c r="I316" s="60">
        <v>6251.5646754647387</v>
      </c>
      <c r="J316" s="60">
        <v>4013.4085274100185</v>
      </c>
      <c r="K316" s="30"/>
    </row>
    <row r="317" spans="1:14" x14ac:dyDescent="0.25">
      <c r="A317" s="53"/>
      <c r="B317" s="45" t="s">
        <v>83</v>
      </c>
      <c r="C317" s="11">
        <v>3</v>
      </c>
      <c r="D317" s="44" t="s">
        <v>61</v>
      </c>
      <c r="E317" s="44" t="s">
        <v>72</v>
      </c>
      <c r="F317" s="27">
        <v>85</v>
      </c>
      <c r="G317" s="60">
        <v>2551545.5603328026</v>
      </c>
      <c r="H317" s="60">
        <v>10665.286294880434</v>
      </c>
      <c r="I317" s="60">
        <v>5828.5662476501238</v>
      </c>
      <c r="J317" s="60">
        <v>4212.1601037791379</v>
      </c>
      <c r="K317" s="30"/>
    </row>
    <row r="318" spans="1:14" x14ac:dyDescent="0.25">
      <c r="A318" s="53"/>
      <c r="B318" s="45" t="s">
        <v>83</v>
      </c>
      <c r="C318" s="11">
        <v>4</v>
      </c>
      <c r="D318" s="44" t="s">
        <v>61</v>
      </c>
      <c r="E318" s="44" t="s">
        <v>73</v>
      </c>
      <c r="F318" s="27">
        <v>75</v>
      </c>
      <c r="G318" s="60">
        <v>3517474.498249419</v>
      </c>
      <c r="H318" s="60">
        <v>8313.4997475775053</v>
      </c>
      <c r="I318" s="60">
        <v>5735.9137193184797</v>
      </c>
      <c r="J318" s="60">
        <v>5387.7309155943349</v>
      </c>
      <c r="K318" s="30"/>
    </row>
    <row r="319" spans="1:14" s="40" customFormat="1" x14ac:dyDescent="0.25">
      <c r="A319" s="53"/>
      <c r="B319" s="45"/>
      <c r="C319" s="11"/>
      <c r="D319" s="27"/>
      <c r="E319" s="27"/>
      <c r="F319" s="27"/>
      <c r="G319" s="60"/>
      <c r="H319" s="60"/>
      <c r="I319" s="60"/>
      <c r="J319" s="60"/>
      <c r="K319" s="2"/>
      <c r="L319" s="39"/>
      <c r="M319" s="39"/>
      <c r="N319" s="39"/>
    </row>
    <row r="320" spans="1:14" s="40" customFormat="1" x14ac:dyDescent="0.25">
      <c r="A320" s="53" t="s">
        <v>89</v>
      </c>
      <c r="B320" s="45" t="s">
        <v>64</v>
      </c>
      <c r="C320" s="11">
        <v>1</v>
      </c>
      <c r="D320" s="44" t="s">
        <v>62</v>
      </c>
      <c r="E320" s="44" t="s">
        <v>74</v>
      </c>
      <c r="F320" s="27">
        <v>128</v>
      </c>
      <c r="G320" s="60">
        <v>16624419.27756325</v>
      </c>
      <c r="H320" s="60">
        <v>68525.717493719116</v>
      </c>
      <c r="I320" s="60">
        <v>34847.995970200718</v>
      </c>
      <c r="J320" s="60">
        <v>26542.535177777478</v>
      </c>
      <c r="K320" s="2"/>
      <c r="L320" s="39"/>
      <c r="M320" s="39"/>
      <c r="N320" s="39"/>
    </row>
    <row r="321" spans="1:15" s="40" customFormat="1" x14ac:dyDescent="0.25">
      <c r="A321" s="53" t="s">
        <v>90</v>
      </c>
      <c r="B321" s="45" t="s">
        <v>64</v>
      </c>
      <c r="C321" s="11">
        <v>2</v>
      </c>
      <c r="D321" s="44" t="s">
        <v>62</v>
      </c>
      <c r="E321" s="45" t="s">
        <v>75</v>
      </c>
      <c r="F321" s="11">
        <v>85</v>
      </c>
      <c r="G321" s="60">
        <v>20146797.046086587</v>
      </c>
      <c r="H321" s="60">
        <v>72656.951157495932</v>
      </c>
      <c r="I321" s="60">
        <v>39184.957871651881</v>
      </c>
      <c r="J321" s="60">
        <v>35386.217835989548</v>
      </c>
      <c r="K321" s="2"/>
    </row>
    <row r="322" spans="1:15" x14ac:dyDescent="0.25">
      <c r="A322" s="55"/>
      <c r="B322" s="45" t="s">
        <v>64</v>
      </c>
      <c r="C322" s="11">
        <v>3</v>
      </c>
      <c r="D322" s="44" t="s">
        <v>62</v>
      </c>
      <c r="E322" s="46" t="s">
        <v>76</v>
      </c>
      <c r="F322" s="22">
        <v>104</v>
      </c>
      <c r="G322" s="60">
        <v>27815277.760300145</v>
      </c>
      <c r="H322" s="60">
        <v>87925.836525505161</v>
      </c>
      <c r="I322" s="60">
        <v>53014.410351997882</v>
      </c>
      <c r="J322" s="60">
        <v>47155.355380616333</v>
      </c>
      <c r="K322" s="2"/>
    </row>
    <row r="323" spans="1:15" ht="13" x14ac:dyDescent="0.3">
      <c r="A323" s="53"/>
      <c r="B323" s="45" t="s">
        <v>64</v>
      </c>
      <c r="C323" s="11">
        <v>4</v>
      </c>
      <c r="D323" s="44" t="s">
        <v>62</v>
      </c>
      <c r="E323" s="44" t="s">
        <v>63</v>
      </c>
      <c r="F323" s="27">
        <v>118</v>
      </c>
      <c r="G323" s="60">
        <v>42763867.240180135</v>
      </c>
      <c r="H323" s="60">
        <v>114807.21965379803</v>
      </c>
      <c r="I323" s="60">
        <v>82949.829534219243</v>
      </c>
      <c r="J323" s="60">
        <v>65443.293038658507</v>
      </c>
      <c r="K323" s="1"/>
      <c r="L323" s="2"/>
      <c r="M323" s="2"/>
      <c r="N323" s="2"/>
    </row>
    <row r="324" spans="1:15" ht="13" x14ac:dyDescent="0.3">
      <c r="A324" s="53" t="s">
        <v>0</v>
      </c>
      <c r="B324" s="51" t="s">
        <v>84</v>
      </c>
      <c r="C324" s="11">
        <v>1</v>
      </c>
      <c r="D324" s="44" t="s">
        <v>62</v>
      </c>
      <c r="E324" s="44" t="s">
        <v>77</v>
      </c>
      <c r="F324" s="27">
        <v>125</v>
      </c>
      <c r="G324" s="60">
        <v>361206.78747673973</v>
      </c>
      <c r="H324" s="60">
        <v>3096.4545335936346</v>
      </c>
      <c r="I324" s="60">
        <v>1127.4236229458434</v>
      </c>
      <c r="J324" s="60">
        <v>249.30166543648457</v>
      </c>
      <c r="L324" s="1"/>
      <c r="M324" s="1"/>
      <c r="N324" s="32"/>
    </row>
    <row r="325" spans="1:15" ht="13" x14ac:dyDescent="0.3">
      <c r="A325" s="53"/>
      <c r="B325" s="51"/>
      <c r="D325" s="27"/>
      <c r="E325" s="27"/>
      <c r="F325" s="27"/>
      <c r="G325" s="60"/>
      <c r="H325" s="60"/>
      <c r="I325" s="60"/>
      <c r="J325" s="60"/>
      <c r="L325" s="41"/>
      <c r="M325" s="41"/>
      <c r="N325" s="34"/>
    </row>
    <row r="326" spans="1:15" x14ac:dyDescent="0.25">
      <c r="A326" s="53" t="s">
        <v>91</v>
      </c>
      <c r="B326" s="51" t="s">
        <v>85</v>
      </c>
      <c r="C326" s="11">
        <v>1</v>
      </c>
      <c r="D326" s="44" t="s">
        <v>62</v>
      </c>
      <c r="E326" s="44" t="s">
        <v>78</v>
      </c>
      <c r="F326" s="27">
        <v>245</v>
      </c>
      <c r="G326" s="60">
        <v>1805638.4218687597</v>
      </c>
      <c r="H326" s="60">
        <v>5006.4048611269282</v>
      </c>
      <c r="I326" s="60">
        <v>2718.8932141387841</v>
      </c>
      <c r="J326" s="60">
        <v>2557.7393450413401</v>
      </c>
    </row>
    <row r="327" spans="1:15" x14ac:dyDescent="0.25">
      <c r="A327" s="53" t="s">
        <v>92</v>
      </c>
      <c r="B327" s="51" t="s">
        <v>85</v>
      </c>
      <c r="C327" s="11">
        <v>2</v>
      </c>
      <c r="D327" s="44" t="s">
        <v>62</v>
      </c>
      <c r="E327" s="44" t="s">
        <v>79</v>
      </c>
      <c r="F327" s="27">
        <v>48</v>
      </c>
      <c r="G327" s="60">
        <v>3011896.1552870492</v>
      </c>
      <c r="H327" s="60">
        <v>7699.8825132271959</v>
      </c>
      <c r="I327" s="60">
        <v>4965.1981445045549</v>
      </c>
      <c r="J327" s="60">
        <v>4334.3623170605597</v>
      </c>
      <c r="L327"/>
      <c r="M327"/>
      <c r="N327"/>
    </row>
    <row r="328" spans="1:15" x14ac:dyDescent="0.25">
      <c r="A328" s="20" t="s">
        <v>0</v>
      </c>
      <c r="B328" s="51" t="s">
        <v>85</v>
      </c>
      <c r="C328" s="11">
        <v>3</v>
      </c>
      <c r="D328" s="44" t="s">
        <v>62</v>
      </c>
      <c r="E328" s="44" t="s">
        <v>80</v>
      </c>
      <c r="F328" s="27">
        <v>19</v>
      </c>
      <c r="G328" s="60">
        <v>4063889.1193130426</v>
      </c>
      <c r="H328" s="60">
        <v>8848.5710980903059</v>
      </c>
      <c r="I328" s="60">
        <v>6826.460092918016</v>
      </c>
      <c r="J328" s="60">
        <v>5665.5660210402448</v>
      </c>
      <c r="L328"/>
      <c r="M328"/>
      <c r="N328"/>
    </row>
    <row r="329" spans="1:15" x14ac:dyDescent="0.25">
      <c r="A329" s="20"/>
      <c r="B329" s="51" t="s">
        <v>84</v>
      </c>
      <c r="C329" s="11">
        <v>1</v>
      </c>
      <c r="D329" s="44" t="s">
        <v>62</v>
      </c>
      <c r="E329" s="44" t="s">
        <v>81</v>
      </c>
      <c r="F329" s="27">
        <v>2</v>
      </c>
      <c r="G329" s="60">
        <v>2847.6268175979508</v>
      </c>
      <c r="H329" s="60">
        <v>9.7439999999999998</v>
      </c>
      <c r="I329" s="60">
        <v>9.7978498796156597</v>
      </c>
      <c r="J329" s="60">
        <v>3.969818485706345</v>
      </c>
      <c r="L329"/>
      <c r="M329"/>
      <c r="N329"/>
    </row>
    <row r="330" spans="1:15" x14ac:dyDescent="0.25">
      <c r="A330" s="20"/>
      <c r="B330" s="20"/>
      <c r="D330" s="27"/>
      <c r="E330" s="27"/>
      <c r="F330" s="27"/>
      <c r="G330" s="27"/>
      <c r="H330" s="28"/>
      <c r="I330" s="28"/>
      <c r="J330" s="29"/>
      <c r="L330"/>
      <c r="M330"/>
      <c r="N330"/>
    </row>
    <row r="331" spans="1:15" x14ac:dyDescent="0.25">
      <c r="A331" s="20"/>
      <c r="B331" s="20"/>
      <c r="D331" s="38"/>
      <c r="E331" s="27"/>
      <c r="F331" s="27"/>
      <c r="G331" s="27"/>
      <c r="H331" s="27"/>
      <c r="I331" s="28"/>
      <c r="J331" s="28"/>
      <c r="K331" s="29"/>
      <c r="M331"/>
      <c r="N331"/>
      <c r="O331"/>
    </row>
  </sheetData>
  <mergeCells count="25">
    <mergeCell ref="A56:J56"/>
    <mergeCell ref="A1:J1"/>
    <mergeCell ref="A2:J2"/>
    <mergeCell ref="A3:J3"/>
    <mergeCell ref="A4:J4"/>
    <mergeCell ref="E7:J7"/>
    <mergeCell ref="A221:J221"/>
    <mergeCell ref="A57:J57"/>
    <mergeCell ref="A58:J58"/>
    <mergeCell ref="A59:J59"/>
    <mergeCell ref="A111:J111"/>
    <mergeCell ref="A112:J112"/>
    <mergeCell ref="A113:J113"/>
    <mergeCell ref="A114:J114"/>
    <mergeCell ref="A166:J166"/>
    <mergeCell ref="A167:J167"/>
    <mergeCell ref="A168:J168"/>
    <mergeCell ref="A169:J169"/>
    <mergeCell ref="A279:J279"/>
    <mergeCell ref="A222:J222"/>
    <mergeCell ref="A223:J223"/>
    <mergeCell ref="A224:J224"/>
    <mergeCell ref="A276:J276"/>
    <mergeCell ref="A277:J277"/>
    <mergeCell ref="A278:J278"/>
  </mergeCells>
  <phoneticPr fontId="0" type="noConversion"/>
  <printOptions horizontalCentered="1"/>
  <pageMargins left="0.31" right="0.34" top="1" bottom="1" header="0.5" footer="0.5"/>
  <pageSetup scale="72" fitToHeight="0" orientation="portrait" horizontalDpi="300" verticalDpi="300" r:id="rId1"/>
  <headerFooter alignWithMargins="0">
    <oddHeader xml:space="preserve">&amp;RSchedule IV-J-4
&amp;A
Page &amp;P of &amp;N
</oddHeader>
    <oddFooter>&amp;LSponsored by: Nora D. Williams</oddFooter>
  </headerFooter>
  <rowBreaks count="5" manualBreakCount="5">
    <brk id="55" max="9" man="1"/>
    <brk id="110" max="9" man="1"/>
    <brk id="165" max="9" man="1"/>
    <brk id="220" max="9" man="1"/>
    <brk id="275" max="9" man="1"/>
  </rowBreaks>
  <colBreaks count="1" manualBreakCount="1">
    <brk id="10"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26"/>
  <sheetViews>
    <sheetView topLeftCell="A98" zoomScaleNormal="100" workbookViewId="0">
      <selection activeCell="M121" sqref="M121"/>
    </sheetView>
  </sheetViews>
  <sheetFormatPr defaultRowHeight="12.5" x14ac:dyDescent="0.25"/>
  <cols>
    <col min="1" max="1" width="7.453125" customWidth="1"/>
    <col min="2" max="2" width="7" customWidth="1"/>
    <col min="3" max="3" width="6.54296875" customWidth="1"/>
    <col min="4" max="4" width="4.26953125" customWidth="1"/>
    <col min="8" max="8" width="4.26953125" customWidth="1"/>
    <col min="12" max="12" width="4.26953125" customWidth="1"/>
  </cols>
  <sheetData>
    <row r="1" spans="1:16" ht="13" x14ac:dyDescent="0.3">
      <c r="A1" s="105" t="s">
        <v>109</v>
      </c>
      <c r="B1" s="106"/>
      <c r="C1" s="106"/>
      <c r="D1" s="106"/>
      <c r="E1" s="106"/>
      <c r="F1" s="106"/>
      <c r="G1" s="106"/>
      <c r="H1" s="106"/>
      <c r="I1" s="106"/>
      <c r="J1" s="106"/>
      <c r="K1" s="106"/>
      <c r="L1" s="106"/>
      <c r="M1" s="106"/>
      <c r="N1" s="106"/>
      <c r="O1" s="106"/>
    </row>
    <row r="2" spans="1:16" s="4" customFormat="1" ht="13" x14ac:dyDescent="0.3">
      <c r="A2" s="107" t="s">
        <v>110</v>
      </c>
      <c r="B2" s="107"/>
      <c r="C2" s="107"/>
      <c r="D2" s="107"/>
      <c r="E2" s="107"/>
      <c r="F2" s="107"/>
      <c r="G2" s="107"/>
      <c r="H2" s="107"/>
      <c r="I2" s="107"/>
      <c r="J2" s="107"/>
      <c r="K2" s="107"/>
      <c r="L2" s="107"/>
      <c r="M2" s="107"/>
      <c r="N2" s="107"/>
      <c r="O2" s="107"/>
      <c r="P2" s="7"/>
    </row>
    <row r="3" spans="1:16" s="4" customFormat="1" ht="13" x14ac:dyDescent="0.3">
      <c r="A3" s="104" t="s">
        <v>113</v>
      </c>
      <c r="B3" s="106"/>
      <c r="C3" s="106"/>
      <c r="D3" s="106"/>
      <c r="E3" s="106"/>
      <c r="F3" s="106"/>
      <c r="G3" s="106"/>
      <c r="H3" s="106"/>
      <c r="I3" s="106"/>
      <c r="J3" s="106"/>
      <c r="K3" s="106"/>
      <c r="L3" s="106"/>
      <c r="M3" s="106"/>
      <c r="N3" s="106"/>
      <c r="O3" s="106"/>
      <c r="P3" s="7"/>
    </row>
    <row r="4" spans="1:16" s="4" customFormat="1" ht="13" x14ac:dyDescent="0.3">
      <c r="A4" s="110" t="s">
        <v>112</v>
      </c>
      <c r="B4" s="108"/>
      <c r="C4" s="108"/>
      <c r="D4" s="108"/>
      <c r="E4" s="108"/>
      <c r="F4" s="108"/>
      <c r="G4" s="108"/>
      <c r="H4" s="108"/>
      <c r="I4" s="108"/>
      <c r="J4" s="108"/>
      <c r="K4" s="108"/>
      <c r="L4" s="108"/>
      <c r="M4" s="108"/>
      <c r="N4" s="108"/>
      <c r="O4" s="108"/>
      <c r="P4" s="59"/>
    </row>
    <row r="5" spans="1:16" s="4" customFormat="1" ht="13" x14ac:dyDescent="0.3">
      <c r="A5" s="90"/>
      <c r="B5" s="103"/>
      <c r="C5" s="103"/>
      <c r="D5" s="103"/>
      <c r="E5" s="103"/>
      <c r="F5" s="103"/>
      <c r="G5" s="103"/>
      <c r="H5" s="103"/>
      <c r="I5" s="103"/>
      <c r="J5" s="103"/>
      <c r="K5" s="103"/>
      <c r="L5" s="103"/>
      <c r="M5" s="103"/>
      <c r="N5" s="103"/>
      <c r="O5" s="103"/>
      <c r="P5" s="59"/>
    </row>
    <row r="6" spans="1:16" s="4" customFormat="1" ht="13" x14ac:dyDescent="0.3">
      <c r="A6" s="110" t="s">
        <v>100</v>
      </c>
      <c r="B6" s="110"/>
      <c r="C6" s="110"/>
      <c r="D6" s="110"/>
      <c r="E6" s="110"/>
      <c r="F6" s="110"/>
      <c r="G6" s="110"/>
      <c r="H6" s="110"/>
      <c r="I6" s="110"/>
      <c r="J6" s="110"/>
      <c r="K6" s="110"/>
      <c r="L6" s="110"/>
      <c r="M6" s="110"/>
      <c r="N6" s="110"/>
      <c r="O6" s="110"/>
      <c r="P6" s="59"/>
    </row>
    <row r="7" spans="1:16" s="4" customFormat="1" ht="13" x14ac:dyDescent="0.3">
      <c r="A7" s="107" t="s">
        <v>43</v>
      </c>
      <c r="B7" s="107"/>
      <c r="C7" s="107"/>
      <c r="D7" s="32"/>
      <c r="E7" s="107" t="s">
        <v>44</v>
      </c>
      <c r="F7" s="107"/>
      <c r="G7" s="107"/>
      <c r="H7" s="32"/>
      <c r="I7" s="1" t="s">
        <v>45</v>
      </c>
      <c r="J7" s="1"/>
      <c r="K7" s="32"/>
      <c r="L7"/>
      <c r="M7" s="107" t="s">
        <v>46</v>
      </c>
      <c r="N7" s="107"/>
      <c r="O7" s="107"/>
      <c r="P7" s="32"/>
    </row>
    <row r="8" spans="1:16" s="4" customFormat="1" ht="26" x14ac:dyDescent="0.3">
      <c r="A8" s="34" t="s">
        <v>61</v>
      </c>
      <c r="B8" s="34" t="s">
        <v>106</v>
      </c>
      <c r="C8" s="34" t="s">
        <v>47</v>
      </c>
      <c r="D8" s="42"/>
      <c r="E8" s="34" t="s">
        <v>61</v>
      </c>
      <c r="F8" s="34" t="s">
        <v>106</v>
      </c>
      <c r="G8" s="34" t="s">
        <v>47</v>
      </c>
      <c r="H8" s="34"/>
      <c r="I8" s="34" t="s">
        <v>61</v>
      </c>
      <c r="J8" s="34" t="s">
        <v>106</v>
      </c>
      <c r="K8" s="34" t="s">
        <v>47</v>
      </c>
      <c r="L8" s="56"/>
      <c r="M8" s="34" t="s">
        <v>61</v>
      </c>
      <c r="N8" s="34" t="s">
        <v>106</v>
      </c>
      <c r="O8" s="34" t="s">
        <v>47</v>
      </c>
      <c r="P8" s="34"/>
    </row>
    <row r="9" spans="1:16" s="4" customFormat="1" x14ac:dyDescent="0.25">
      <c r="A9" s="52"/>
      <c r="B9" s="52"/>
      <c r="C9" s="52"/>
      <c r="D9" s="57"/>
      <c r="E9" s="58"/>
      <c r="F9" s="52"/>
      <c r="G9" s="52"/>
      <c r="H9" s="52"/>
      <c r="I9" s="52"/>
      <c r="J9" s="52"/>
      <c r="K9" s="52"/>
      <c r="L9"/>
      <c r="M9" s="54"/>
      <c r="N9" s="54"/>
      <c r="O9" s="45"/>
      <c r="P9" s="57"/>
    </row>
    <row r="10" spans="1:16" s="4" customFormat="1" x14ac:dyDescent="0.25">
      <c r="A10">
        <v>0</v>
      </c>
      <c r="B10">
        <f t="shared" ref="B10:B32" si="0">C10+B9</f>
        <v>1216</v>
      </c>
      <c r="C10">
        <v>1216</v>
      </c>
      <c r="D10" s="57"/>
      <c r="E10">
        <v>10800</v>
      </c>
      <c r="F10">
        <f t="shared" ref="F10:F21" si="1">G10+F9</f>
        <v>1019</v>
      </c>
      <c r="G10">
        <v>1019</v>
      </c>
      <c r="H10"/>
      <c r="I10">
        <v>15250</v>
      </c>
      <c r="J10">
        <f t="shared" ref="J10:J33" si="2">K10+J9</f>
        <v>544</v>
      </c>
      <c r="K10">
        <v>544</v>
      </c>
      <c r="L10"/>
      <c r="M10">
        <v>21000</v>
      </c>
      <c r="N10">
        <f t="shared" ref="N10:N35" si="3">O10+N9</f>
        <v>780</v>
      </c>
      <c r="O10">
        <v>780</v>
      </c>
      <c r="P10" s="57"/>
    </row>
    <row r="11" spans="1:16" s="4" customFormat="1" x14ac:dyDescent="0.25">
      <c r="A11">
        <v>500</v>
      </c>
      <c r="B11">
        <f t="shared" si="0"/>
        <v>4863</v>
      </c>
      <c r="C11">
        <v>3647</v>
      </c>
      <c r="D11" s="57"/>
      <c r="E11">
        <v>11200</v>
      </c>
      <c r="F11">
        <f t="shared" si="1"/>
        <v>4591</v>
      </c>
      <c r="G11">
        <v>3572</v>
      </c>
      <c r="H11"/>
      <c r="I11">
        <v>15500</v>
      </c>
      <c r="J11">
        <f t="shared" si="2"/>
        <v>2282</v>
      </c>
      <c r="K11">
        <v>1738</v>
      </c>
      <c r="L11"/>
      <c r="M11">
        <v>22000</v>
      </c>
      <c r="N11">
        <f t="shared" si="3"/>
        <v>3766</v>
      </c>
      <c r="O11">
        <v>2986</v>
      </c>
      <c r="P11" s="57"/>
    </row>
    <row r="12" spans="1:16" s="4" customFormat="1" x14ac:dyDescent="0.25">
      <c r="A12">
        <v>1000</v>
      </c>
      <c r="B12">
        <f t="shared" si="0"/>
        <v>6738</v>
      </c>
      <c r="C12">
        <v>1875</v>
      </c>
      <c r="D12" s="57"/>
      <c r="E12">
        <v>11600</v>
      </c>
      <c r="F12">
        <f t="shared" si="1"/>
        <v>8128</v>
      </c>
      <c r="G12">
        <v>3537</v>
      </c>
      <c r="H12"/>
      <c r="I12">
        <v>15750</v>
      </c>
      <c r="J12">
        <f t="shared" si="2"/>
        <v>3955</v>
      </c>
      <c r="K12">
        <v>1673</v>
      </c>
      <c r="L12"/>
      <c r="M12">
        <v>23000</v>
      </c>
      <c r="N12">
        <f t="shared" si="3"/>
        <v>6308</v>
      </c>
      <c r="O12">
        <v>2542</v>
      </c>
      <c r="P12" s="57"/>
    </row>
    <row r="13" spans="1:16" s="4" customFormat="1" x14ac:dyDescent="0.25">
      <c r="A13">
        <v>1500</v>
      </c>
      <c r="B13">
        <f t="shared" si="0"/>
        <v>8329</v>
      </c>
      <c r="C13">
        <v>1591</v>
      </c>
      <c r="D13" s="57"/>
      <c r="E13">
        <v>12000</v>
      </c>
      <c r="F13">
        <f t="shared" si="1"/>
        <v>11565</v>
      </c>
      <c r="G13">
        <v>3437</v>
      </c>
      <c r="H13"/>
      <c r="I13">
        <v>16000</v>
      </c>
      <c r="J13">
        <f t="shared" si="2"/>
        <v>5550</v>
      </c>
      <c r="K13">
        <v>1595</v>
      </c>
      <c r="L13"/>
      <c r="M13">
        <v>24000</v>
      </c>
      <c r="N13">
        <f t="shared" si="3"/>
        <v>8451</v>
      </c>
      <c r="O13">
        <v>2143</v>
      </c>
      <c r="P13" s="57"/>
    </row>
    <row r="14" spans="1:16" s="4" customFormat="1" x14ac:dyDescent="0.25">
      <c r="A14">
        <v>2000</v>
      </c>
      <c r="B14">
        <f t="shared" si="0"/>
        <v>9865</v>
      </c>
      <c r="C14">
        <v>1536</v>
      </c>
      <c r="D14" s="57"/>
      <c r="E14">
        <v>12400</v>
      </c>
      <c r="F14">
        <f t="shared" si="1"/>
        <v>14966</v>
      </c>
      <c r="G14">
        <v>3401</v>
      </c>
      <c r="H14"/>
      <c r="I14">
        <v>16250</v>
      </c>
      <c r="J14">
        <f t="shared" si="2"/>
        <v>7124</v>
      </c>
      <c r="K14">
        <v>1574</v>
      </c>
      <c r="L14"/>
      <c r="M14">
        <v>25000</v>
      </c>
      <c r="N14">
        <f t="shared" si="3"/>
        <v>10236</v>
      </c>
      <c r="O14">
        <v>1785</v>
      </c>
      <c r="P14" s="57"/>
    </row>
    <row r="15" spans="1:16" s="4" customFormat="1" x14ac:dyDescent="0.25">
      <c r="A15">
        <v>2500</v>
      </c>
      <c r="B15">
        <f t="shared" si="0"/>
        <v>11445</v>
      </c>
      <c r="C15">
        <v>1580</v>
      </c>
      <c r="D15" s="57"/>
      <c r="E15">
        <v>12800</v>
      </c>
      <c r="F15">
        <f t="shared" si="1"/>
        <v>18272</v>
      </c>
      <c r="G15">
        <v>3306</v>
      </c>
      <c r="H15"/>
      <c r="I15">
        <v>16500</v>
      </c>
      <c r="J15">
        <f t="shared" si="2"/>
        <v>8640</v>
      </c>
      <c r="K15">
        <v>1516</v>
      </c>
      <c r="L15"/>
      <c r="M15">
        <v>26000</v>
      </c>
      <c r="N15">
        <f t="shared" si="3"/>
        <v>11775</v>
      </c>
      <c r="O15">
        <v>1539</v>
      </c>
      <c r="P15" s="57"/>
    </row>
    <row r="16" spans="1:16" s="4" customFormat="1" x14ac:dyDescent="0.25">
      <c r="A16">
        <v>3000</v>
      </c>
      <c r="B16">
        <f t="shared" si="0"/>
        <v>13161</v>
      </c>
      <c r="C16">
        <v>1716</v>
      </c>
      <c r="D16" s="57"/>
      <c r="E16">
        <v>13200</v>
      </c>
      <c r="F16">
        <f t="shared" si="1"/>
        <v>21416</v>
      </c>
      <c r="G16">
        <v>3144</v>
      </c>
      <c r="H16"/>
      <c r="I16">
        <v>16750</v>
      </c>
      <c r="J16">
        <f t="shared" si="2"/>
        <v>10095</v>
      </c>
      <c r="K16">
        <v>1455</v>
      </c>
      <c r="L16"/>
      <c r="M16">
        <v>27000</v>
      </c>
      <c r="N16">
        <f t="shared" si="3"/>
        <v>12941</v>
      </c>
      <c r="O16">
        <v>1166</v>
      </c>
      <c r="P16" s="57"/>
    </row>
    <row r="17" spans="1:16" s="4" customFormat="1" x14ac:dyDescent="0.25">
      <c r="A17">
        <v>3500</v>
      </c>
      <c r="B17">
        <f t="shared" si="0"/>
        <v>15031</v>
      </c>
      <c r="C17">
        <v>1870</v>
      </c>
      <c r="D17" s="57"/>
      <c r="E17">
        <v>13600</v>
      </c>
      <c r="F17">
        <f t="shared" si="1"/>
        <v>24559</v>
      </c>
      <c r="G17">
        <v>3143</v>
      </c>
      <c r="H17"/>
      <c r="I17">
        <v>17000</v>
      </c>
      <c r="J17">
        <f t="shared" si="2"/>
        <v>11485</v>
      </c>
      <c r="K17">
        <v>1390</v>
      </c>
      <c r="L17"/>
      <c r="M17">
        <v>28000</v>
      </c>
      <c r="N17">
        <f t="shared" si="3"/>
        <v>14022</v>
      </c>
      <c r="O17">
        <v>1081</v>
      </c>
      <c r="P17" s="57"/>
    </row>
    <row r="18" spans="1:16" s="4" customFormat="1" x14ac:dyDescent="0.25">
      <c r="A18">
        <v>4000</v>
      </c>
      <c r="B18">
        <f t="shared" si="0"/>
        <v>17087</v>
      </c>
      <c r="C18">
        <v>2056</v>
      </c>
      <c r="D18" s="57"/>
      <c r="E18">
        <v>14000</v>
      </c>
      <c r="F18">
        <f t="shared" si="1"/>
        <v>27683</v>
      </c>
      <c r="G18">
        <v>3124</v>
      </c>
      <c r="H18"/>
      <c r="I18">
        <v>17250</v>
      </c>
      <c r="J18">
        <f t="shared" si="2"/>
        <v>12832</v>
      </c>
      <c r="K18">
        <v>1347</v>
      </c>
      <c r="L18"/>
      <c r="M18">
        <v>29000</v>
      </c>
      <c r="N18">
        <f t="shared" si="3"/>
        <v>14866</v>
      </c>
      <c r="O18">
        <v>844</v>
      </c>
      <c r="P18" s="57"/>
    </row>
    <row r="19" spans="1:16" s="4" customFormat="1" x14ac:dyDescent="0.25">
      <c r="A19">
        <v>4500</v>
      </c>
      <c r="B19">
        <f t="shared" si="0"/>
        <v>19473</v>
      </c>
      <c r="C19">
        <v>2386</v>
      </c>
      <c r="D19" s="57"/>
      <c r="E19">
        <v>14400</v>
      </c>
      <c r="F19">
        <f t="shared" si="1"/>
        <v>30671</v>
      </c>
      <c r="G19">
        <v>2988</v>
      </c>
      <c r="H19"/>
      <c r="I19">
        <v>17500</v>
      </c>
      <c r="J19">
        <f t="shared" si="2"/>
        <v>14185</v>
      </c>
      <c r="K19">
        <v>1353</v>
      </c>
      <c r="L19"/>
      <c r="M19">
        <v>30000</v>
      </c>
      <c r="N19">
        <f t="shared" si="3"/>
        <v>15606</v>
      </c>
      <c r="O19">
        <v>740</v>
      </c>
      <c r="P19" s="57"/>
    </row>
    <row r="20" spans="1:16" s="4" customFormat="1" x14ac:dyDescent="0.25">
      <c r="A20">
        <v>5000</v>
      </c>
      <c r="B20">
        <f t="shared" si="0"/>
        <v>22138</v>
      </c>
      <c r="C20">
        <v>2665</v>
      </c>
      <c r="D20" s="57"/>
      <c r="E20">
        <v>14800</v>
      </c>
      <c r="F20">
        <f t="shared" si="1"/>
        <v>33580</v>
      </c>
      <c r="G20">
        <v>2909</v>
      </c>
      <c r="H20"/>
      <c r="I20">
        <v>17750</v>
      </c>
      <c r="J20">
        <f t="shared" si="2"/>
        <v>15519</v>
      </c>
      <c r="K20">
        <v>1334</v>
      </c>
      <c r="L20"/>
      <c r="M20">
        <v>31000</v>
      </c>
      <c r="N20">
        <f t="shared" si="3"/>
        <v>16261</v>
      </c>
      <c r="O20">
        <v>655</v>
      </c>
      <c r="P20"/>
    </row>
    <row r="21" spans="1:16" s="4" customFormat="1" x14ac:dyDescent="0.25">
      <c r="A21">
        <v>5500</v>
      </c>
      <c r="B21">
        <f t="shared" si="0"/>
        <v>25156</v>
      </c>
      <c r="C21">
        <v>3018</v>
      </c>
      <c r="D21" s="57"/>
      <c r="E21">
        <v>15168</v>
      </c>
      <c r="F21">
        <f t="shared" si="1"/>
        <v>36155</v>
      </c>
      <c r="G21">
        <v>2575</v>
      </c>
      <c r="H21"/>
      <c r="I21">
        <v>18000</v>
      </c>
      <c r="J21">
        <f t="shared" si="2"/>
        <v>16728</v>
      </c>
      <c r="K21">
        <v>1209</v>
      </c>
      <c r="L21"/>
      <c r="M21">
        <v>32000</v>
      </c>
      <c r="N21">
        <f t="shared" si="3"/>
        <v>16775</v>
      </c>
      <c r="O21">
        <v>514</v>
      </c>
      <c r="P21"/>
    </row>
    <row r="22" spans="1:16" s="4" customFormat="1" x14ac:dyDescent="0.25">
      <c r="A22">
        <v>6000</v>
      </c>
      <c r="B22">
        <f t="shared" si="0"/>
        <v>28454</v>
      </c>
      <c r="C22">
        <v>3298</v>
      </c>
      <c r="D22" s="57"/>
      <c r="E22"/>
      <c r="F22"/>
      <c r="G22"/>
      <c r="H22"/>
      <c r="I22">
        <v>18250</v>
      </c>
      <c r="J22">
        <f t="shared" si="2"/>
        <v>17919</v>
      </c>
      <c r="K22">
        <v>1191</v>
      </c>
      <c r="L22"/>
      <c r="M22">
        <v>33000</v>
      </c>
      <c r="N22">
        <f t="shared" si="3"/>
        <v>17190</v>
      </c>
      <c r="O22">
        <v>415</v>
      </c>
      <c r="P22"/>
    </row>
    <row r="23" spans="1:16" s="4" customFormat="1" x14ac:dyDescent="0.25">
      <c r="A23">
        <v>6500</v>
      </c>
      <c r="B23">
        <f t="shared" si="0"/>
        <v>31861</v>
      </c>
      <c r="C23">
        <v>3407</v>
      </c>
      <c r="D23" s="57"/>
      <c r="E23"/>
      <c r="F23"/>
      <c r="G23"/>
      <c r="H23"/>
      <c r="I23">
        <v>18500</v>
      </c>
      <c r="J23">
        <f t="shared" si="2"/>
        <v>19069</v>
      </c>
      <c r="K23">
        <v>1150</v>
      </c>
      <c r="L23"/>
      <c r="M23">
        <v>34000</v>
      </c>
      <c r="N23">
        <f t="shared" si="3"/>
        <v>17529</v>
      </c>
      <c r="O23">
        <v>339</v>
      </c>
      <c r="P23"/>
    </row>
    <row r="24" spans="1:16" s="4" customFormat="1" x14ac:dyDescent="0.25">
      <c r="A24">
        <v>7000</v>
      </c>
      <c r="B24">
        <f t="shared" si="0"/>
        <v>35596</v>
      </c>
      <c r="C24">
        <v>3735</v>
      </c>
      <c r="D24" s="57"/>
      <c r="E24"/>
      <c r="F24"/>
      <c r="G24"/>
      <c r="H24"/>
      <c r="I24">
        <v>18750</v>
      </c>
      <c r="J24">
        <f t="shared" si="2"/>
        <v>20201</v>
      </c>
      <c r="K24">
        <v>1132</v>
      </c>
      <c r="L24"/>
      <c r="M24">
        <v>35000</v>
      </c>
      <c r="N24">
        <f t="shared" si="3"/>
        <v>17848</v>
      </c>
      <c r="O24">
        <v>319</v>
      </c>
      <c r="P24"/>
    </row>
    <row r="25" spans="1:16" s="4" customFormat="1" x14ac:dyDescent="0.25">
      <c r="A25">
        <v>7500</v>
      </c>
      <c r="B25">
        <f t="shared" si="0"/>
        <v>39575</v>
      </c>
      <c r="C25">
        <v>3979</v>
      </c>
      <c r="D25" s="57"/>
      <c r="E25"/>
      <c r="F25"/>
      <c r="G25"/>
      <c r="H25"/>
      <c r="I25">
        <v>19000</v>
      </c>
      <c r="J25">
        <f t="shared" si="2"/>
        <v>21320</v>
      </c>
      <c r="K25">
        <v>1119</v>
      </c>
      <c r="L25"/>
      <c r="M25">
        <v>37500</v>
      </c>
      <c r="N25">
        <f t="shared" si="3"/>
        <v>18412</v>
      </c>
      <c r="O25">
        <v>564</v>
      </c>
      <c r="P25"/>
    </row>
    <row r="26" spans="1:16" s="4" customFormat="1" x14ac:dyDescent="0.25">
      <c r="A26">
        <v>8000</v>
      </c>
      <c r="B26">
        <f t="shared" si="0"/>
        <v>43732</v>
      </c>
      <c r="C26">
        <v>4157</v>
      </c>
      <c r="D26" s="57"/>
      <c r="E26"/>
      <c r="F26"/>
      <c r="G26"/>
      <c r="H26"/>
      <c r="I26">
        <v>19250</v>
      </c>
      <c r="J26">
        <f t="shared" si="2"/>
        <v>22390</v>
      </c>
      <c r="K26">
        <v>1070</v>
      </c>
      <c r="L26"/>
      <c r="M26">
        <v>40000</v>
      </c>
      <c r="N26">
        <f t="shared" si="3"/>
        <v>18810</v>
      </c>
      <c r="O26">
        <v>398</v>
      </c>
      <c r="P26"/>
    </row>
    <row r="27" spans="1:16" s="4" customFormat="1" x14ac:dyDescent="0.25">
      <c r="A27">
        <v>8500</v>
      </c>
      <c r="B27">
        <f t="shared" si="0"/>
        <v>47898</v>
      </c>
      <c r="C27">
        <v>4166</v>
      </c>
      <c r="D27" s="57"/>
      <c r="E27"/>
      <c r="F27"/>
      <c r="G27"/>
      <c r="H27"/>
      <c r="I27">
        <v>19500</v>
      </c>
      <c r="J27">
        <f t="shared" si="2"/>
        <v>23430</v>
      </c>
      <c r="K27">
        <v>1040</v>
      </c>
      <c r="L27"/>
      <c r="M27">
        <v>42500</v>
      </c>
      <c r="N27">
        <f t="shared" si="3"/>
        <v>19087</v>
      </c>
      <c r="O27">
        <v>277</v>
      </c>
      <c r="P27"/>
    </row>
    <row r="28" spans="1:16" s="4" customFormat="1" x14ac:dyDescent="0.25">
      <c r="A28">
        <v>9000</v>
      </c>
      <c r="B28">
        <f t="shared" si="0"/>
        <v>52194</v>
      </c>
      <c r="C28">
        <v>4296</v>
      </c>
      <c r="D28" s="57"/>
      <c r="E28" s="58"/>
      <c r="F28" s="52"/>
      <c r="G28" s="52"/>
      <c r="H28" s="52"/>
      <c r="I28">
        <v>19750</v>
      </c>
      <c r="J28">
        <f t="shared" si="2"/>
        <v>24368</v>
      </c>
      <c r="K28">
        <v>938</v>
      </c>
      <c r="L28"/>
      <c r="M28">
        <v>45000</v>
      </c>
      <c r="N28">
        <f t="shared" si="3"/>
        <v>19320</v>
      </c>
      <c r="O28">
        <v>233</v>
      </c>
      <c r="P28"/>
    </row>
    <row r="29" spans="1:16" s="4" customFormat="1" x14ac:dyDescent="0.25">
      <c r="A29">
        <v>9500</v>
      </c>
      <c r="B29">
        <f t="shared" si="0"/>
        <v>56552</v>
      </c>
      <c r="C29">
        <v>4358</v>
      </c>
      <c r="D29" s="57"/>
      <c r="E29" s="58"/>
      <c r="F29" s="52"/>
      <c r="G29" s="52"/>
      <c r="H29" s="52"/>
      <c r="I29">
        <v>20000</v>
      </c>
      <c r="J29">
        <f t="shared" si="2"/>
        <v>25329</v>
      </c>
      <c r="K29">
        <v>961</v>
      </c>
      <c r="L29" s="52"/>
      <c r="M29">
        <v>47500</v>
      </c>
      <c r="N29">
        <f t="shared" si="3"/>
        <v>19452</v>
      </c>
      <c r="O29">
        <v>132</v>
      </c>
      <c r="P29"/>
    </row>
    <row r="30" spans="1:16" s="4" customFormat="1" x14ac:dyDescent="0.25">
      <c r="A30">
        <v>10000</v>
      </c>
      <c r="B30">
        <f t="shared" si="0"/>
        <v>61100</v>
      </c>
      <c r="C30">
        <v>4548</v>
      </c>
      <c r="D30" s="57"/>
      <c r="E30" s="58"/>
      <c r="F30" s="52"/>
      <c r="G30" s="52"/>
      <c r="H30" s="52"/>
      <c r="I30">
        <v>20250</v>
      </c>
      <c r="J30">
        <f t="shared" si="2"/>
        <v>26236</v>
      </c>
      <c r="K30">
        <v>907</v>
      </c>
      <c r="L30" s="52"/>
      <c r="M30">
        <v>50000</v>
      </c>
      <c r="N30">
        <f t="shared" si="3"/>
        <v>19550</v>
      </c>
      <c r="O30">
        <v>98</v>
      </c>
      <c r="P30"/>
    </row>
    <row r="31" spans="1:16" s="4" customFormat="1" x14ac:dyDescent="0.25">
      <c r="A31">
        <v>10500</v>
      </c>
      <c r="B31">
        <f t="shared" si="0"/>
        <v>65448</v>
      </c>
      <c r="C31">
        <v>4348</v>
      </c>
      <c r="D31" s="57"/>
      <c r="E31" s="58"/>
      <c r="F31" s="52"/>
      <c r="G31" s="52"/>
      <c r="H31" s="52"/>
      <c r="I31">
        <v>20500</v>
      </c>
      <c r="J31" s="52">
        <f t="shared" si="2"/>
        <v>27095</v>
      </c>
      <c r="K31">
        <v>859</v>
      </c>
      <c r="L31" s="52"/>
      <c r="M31">
        <v>60000</v>
      </c>
      <c r="N31">
        <f t="shared" si="3"/>
        <v>19758</v>
      </c>
      <c r="O31">
        <v>208</v>
      </c>
      <c r="P31"/>
    </row>
    <row r="32" spans="1:16" s="4" customFormat="1" x14ac:dyDescent="0.25">
      <c r="A32">
        <v>10692</v>
      </c>
      <c r="B32">
        <f t="shared" si="0"/>
        <v>67079</v>
      </c>
      <c r="C32">
        <v>1631</v>
      </c>
      <c r="D32" s="57"/>
      <c r="E32" s="58"/>
      <c r="F32" s="52"/>
      <c r="G32" s="52"/>
      <c r="H32" s="52"/>
      <c r="I32">
        <v>20750</v>
      </c>
      <c r="J32" s="52">
        <f t="shared" si="2"/>
        <v>27966</v>
      </c>
      <c r="K32">
        <v>871</v>
      </c>
      <c r="L32" s="52"/>
      <c r="M32">
        <v>70000</v>
      </c>
      <c r="N32">
        <f t="shared" si="3"/>
        <v>19835</v>
      </c>
      <c r="O32">
        <v>77</v>
      </c>
      <c r="P32"/>
    </row>
    <row r="33" spans="1:16" s="4" customFormat="1" x14ac:dyDescent="0.25">
      <c r="A33"/>
      <c r="B33"/>
      <c r="C33"/>
      <c r="D33" s="57"/>
      <c r="E33" s="58"/>
      <c r="F33" s="52"/>
      <c r="G33" s="52"/>
      <c r="H33" s="52"/>
      <c r="I33">
        <v>20767</v>
      </c>
      <c r="J33" s="52">
        <f t="shared" si="2"/>
        <v>28038</v>
      </c>
      <c r="K33">
        <v>72</v>
      </c>
      <c r="L33" s="52"/>
      <c r="M33">
        <v>80000</v>
      </c>
      <c r="N33">
        <f t="shared" si="3"/>
        <v>19872</v>
      </c>
      <c r="O33">
        <v>37</v>
      </c>
      <c r="P33"/>
    </row>
    <row r="34" spans="1:16" s="4" customFormat="1" x14ac:dyDescent="0.25">
      <c r="A34"/>
      <c r="B34"/>
      <c r="C34"/>
      <c r="D34" s="57"/>
      <c r="E34" s="58"/>
      <c r="F34" s="52"/>
      <c r="G34" s="52"/>
      <c r="H34" s="52"/>
      <c r="I34"/>
      <c r="J34" s="52"/>
      <c r="K34" s="52"/>
      <c r="L34" s="52"/>
      <c r="M34">
        <v>90000</v>
      </c>
      <c r="N34">
        <f t="shared" si="3"/>
        <v>19888</v>
      </c>
      <c r="O34">
        <v>16</v>
      </c>
      <c r="P34"/>
    </row>
    <row r="35" spans="1:16" s="4" customFormat="1" x14ac:dyDescent="0.25">
      <c r="A35"/>
      <c r="B35"/>
      <c r="C35" s="11"/>
      <c r="D35" s="36"/>
      <c r="E35" s="9"/>
      <c r="M35">
        <v>199105</v>
      </c>
      <c r="N35">
        <f t="shared" si="3"/>
        <v>19918</v>
      </c>
      <c r="O35" s="4">
        <v>30</v>
      </c>
    </row>
    <row r="36" spans="1:16" s="4" customFormat="1" x14ac:dyDescent="0.25">
      <c r="A36"/>
      <c r="B36"/>
      <c r="C36" s="11"/>
      <c r="D36" s="36"/>
      <c r="E36" s="9"/>
    </row>
    <row r="37" spans="1:16" s="4" customFormat="1" ht="13" x14ac:dyDescent="0.3">
      <c r="A37" s="110" t="s">
        <v>101</v>
      </c>
      <c r="B37" s="110"/>
      <c r="C37" s="110"/>
      <c r="D37" s="110"/>
      <c r="E37" s="110"/>
      <c r="F37" s="110"/>
      <c r="G37" s="110"/>
      <c r="H37" s="110"/>
      <c r="I37" s="110"/>
      <c r="J37" s="110"/>
      <c r="K37" s="110"/>
      <c r="L37" s="110"/>
      <c r="M37" s="110"/>
      <c r="N37" s="110"/>
      <c r="O37" s="110"/>
    </row>
    <row r="38" spans="1:16" s="4" customFormat="1" ht="13" x14ac:dyDescent="0.3">
      <c r="A38" s="107" t="s">
        <v>43</v>
      </c>
      <c r="B38" s="107"/>
      <c r="C38" s="107"/>
      <c r="D38" s="32"/>
      <c r="E38" s="107" t="s">
        <v>44</v>
      </c>
      <c r="F38" s="107"/>
      <c r="G38" s="107"/>
      <c r="H38" s="32"/>
      <c r="I38" s="1" t="s">
        <v>45</v>
      </c>
      <c r="J38" s="1"/>
      <c r="K38" s="32"/>
      <c r="L38"/>
      <c r="M38" s="107" t="s">
        <v>46</v>
      </c>
      <c r="N38" s="107"/>
      <c r="O38" s="107"/>
      <c r="P38" s="32"/>
    </row>
    <row r="39" spans="1:16" s="4" customFormat="1" ht="26" x14ac:dyDescent="0.3">
      <c r="A39" s="34" t="s">
        <v>61</v>
      </c>
      <c r="B39" s="34" t="s">
        <v>106</v>
      </c>
      <c r="C39" s="34" t="s">
        <v>47</v>
      </c>
      <c r="D39" s="42"/>
      <c r="E39" s="34" t="s">
        <v>61</v>
      </c>
      <c r="F39" s="34" t="s">
        <v>106</v>
      </c>
      <c r="G39" s="34" t="s">
        <v>47</v>
      </c>
      <c r="H39" s="52"/>
      <c r="I39" s="34" t="s">
        <v>61</v>
      </c>
      <c r="J39" s="34" t="s">
        <v>106</v>
      </c>
      <c r="K39" s="34" t="s">
        <v>47</v>
      </c>
      <c r="M39" s="34" t="s">
        <v>61</v>
      </c>
      <c r="N39" s="34" t="s">
        <v>106</v>
      </c>
      <c r="O39" s="34" t="s">
        <v>47</v>
      </c>
      <c r="P39" s="36"/>
    </row>
    <row r="40" spans="1:16" s="4" customFormat="1" x14ac:dyDescent="0.25">
      <c r="A40"/>
      <c r="B40"/>
      <c r="C40" s="11"/>
      <c r="D40" s="36"/>
      <c r="E40" s="9"/>
      <c r="M40" s="6"/>
      <c r="N40" s="6"/>
      <c r="O40" s="11"/>
      <c r="P40" s="36"/>
    </row>
    <row r="41" spans="1:16" s="4" customFormat="1" x14ac:dyDescent="0.25">
      <c r="A41">
        <v>0</v>
      </c>
      <c r="B41">
        <f t="shared" ref="B41:B68" si="4">C41+B40</f>
        <v>2080</v>
      </c>
      <c r="C41">
        <v>2080</v>
      </c>
      <c r="D41" s="36"/>
      <c r="E41">
        <v>5500</v>
      </c>
      <c r="F41">
        <f t="shared" ref="F41:F52" si="5">G41+F40</f>
        <v>384</v>
      </c>
      <c r="G41">
        <v>384</v>
      </c>
      <c r="I41">
        <v>11000</v>
      </c>
      <c r="J41">
        <f t="shared" ref="J41:J51" si="6">K41+J40</f>
        <v>19</v>
      </c>
      <c r="K41">
        <v>19</v>
      </c>
      <c r="M41">
        <v>25000</v>
      </c>
      <c r="N41">
        <f t="shared" ref="N41:N52" si="7">O41+N40</f>
        <v>462</v>
      </c>
      <c r="O41">
        <v>462</v>
      </c>
      <c r="P41" s="36"/>
    </row>
    <row r="42" spans="1:16" s="4" customFormat="1" x14ac:dyDescent="0.25">
      <c r="A42">
        <v>100</v>
      </c>
      <c r="B42">
        <f t="shared" si="4"/>
        <v>4249</v>
      </c>
      <c r="C42">
        <v>2169</v>
      </c>
      <c r="D42" s="36"/>
      <c r="E42">
        <v>6000</v>
      </c>
      <c r="F42">
        <f t="shared" si="5"/>
        <v>920</v>
      </c>
      <c r="G42">
        <v>536</v>
      </c>
      <c r="I42">
        <v>12000</v>
      </c>
      <c r="J42">
        <f t="shared" si="6"/>
        <v>446</v>
      </c>
      <c r="K42">
        <v>427</v>
      </c>
      <c r="M42">
        <v>30000</v>
      </c>
      <c r="N42">
        <f t="shared" si="7"/>
        <v>789</v>
      </c>
      <c r="O42">
        <v>327</v>
      </c>
      <c r="P42" s="36"/>
    </row>
    <row r="43" spans="1:16" s="4" customFormat="1" x14ac:dyDescent="0.25">
      <c r="A43">
        <v>200</v>
      </c>
      <c r="B43">
        <f t="shared" si="4"/>
        <v>5244</v>
      </c>
      <c r="C43">
        <v>995</v>
      </c>
      <c r="D43" s="36"/>
      <c r="E43">
        <v>6500</v>
      </c>
      <c r="F43">
        <f t="shared" si="5"/>
        <v>1421</v>
      </c>
      <c r="G43">
        <v>501</v>
      </c>
      <c r="I43">
        <v>13000</v>
      </c>
      <c r="J43">
        <f t="shared" si="6"/>
        <v>807</v>
      </c>
      <c r="K43">
        <v>361</v>
      </c>
      <c r="M43">
        <v>35000</v>
      </c>
      <c r="N43">
        <f t="shared" si="7"/>
        <v>999</v>
      </c>
      <c r="O43">
        <v>210</v>
      </c>
      <c r="P43" s="36"/>
    </row>
    <row r="44" spans="1:16" s="4" customFormat="1" x14ac:dyDescent="0.25">
      <c r="A44">
        <v>300</v>
      </c>
      <c r="B44">
        <f t="shared" si="4"/>
        <v>6046</v>
      </c>
      <c r="C44">
        <v>802</v>
      </c>
      <c r="D44" s="36"/>
      <c r="E44">
        <v>7000</v>
      </c>
      <c r="F44">
        <f t="shared" si="5"/>
        <v>1825</v>
      </c>
      <c r="G44">
        <v>404</v>
      </c>
      <c r="I44">
        <v>14000</v>
      </c>
      <c r="J44">
        <f t="shared" si="6"/>
        <v>1152</v>
      </c>
      <c r="K44">
        <v>345</v>
      </c>
      <c r="M44">
        <v>40000</v>
      </c>
      <c r="N44">
        <f t="shared" si="7"/>
        <v>1122</v>
      </c>
      <c r="O44">
        <v>123</v>
      </c>
      <c r="P44" s="36"/>
    </row>
    <row r="45" spans="1:16" s="4" customFormat="1" x14ac:dyDescent="0.25">
      <c r="A45">
        <v>400</v>
      </c>
      <c r="B45">
        <f t="shared" si="4"/>
        <v>6719</v>
      </c>
      <c r="C45">
        <v>673</v>
      </c>
      <c r="D45" s="36"/>
      <c r="E45">
        <v>7500</v>
      </c>
      <c r="F45">
        <f t="shared" si="5"/>
        <v>2222</v>
      </c>
      <c r="G45">
        <v>397</v>
      </c>
      <c r="I45">
        <v>15000</v>
      </c>
      <c r="J45">
        <f t="shared" si="6"/>
        <v>1433</v>
      </c>
      <c r="K45">
        <v>281</v>
      </c>
      <c r="M45">
        <v>45000</v>
      </c>
      <c r="N45">
        <f t="shared" si="7"/>
        <v>1204</v>
      </c>
      <c r="O45">
        <v>82</v>
      </c>
      <c r="P45" s="36"/>
    </row>
    <row r="46" spans="1:16" s="4" customFormat="1" x14ac:dyDescent="0.25">
      <c r="A46">
        <v>500</v>
      </c>
      <c r="B46">
        <f t="shared" si="4"/>
        <v>7281</v>
      </c>
      <c r="C46">
        <v>562</v>
      </c>
      <c r="D46" s="36"/>
      <c r="E46">
        <v>8000</v>
      </c>
      <c r="F46">
        <f t="shared" si="5"/>
        <v>2613</v>
      </c>
      <c r="G46">
        <v>391</v>
      </c>
      <c r="I46">
        <v>16000</v>
      </c>
      <c r="J46">
        <f t="shared" si="6"/>
        <v>1689</v>
      </c>
      <c r="K46">
        <v>256</v>
      </c>
      <c r="M46">
        <v>50000</v>
      </c>
      <c r="N46">
        <f t="shared" si="7"/>
        <v>1257</v>
      </c>
      <c r="O46">
        <v>53</v>
      </c>
      <c r="P46" s="36"/>
    </row>
    <row r="47" spans="1:16" s="4" customFormat="1" x14ac:dyDescent="0.25">
      <c r="A47">
        <v>600</v>
      </c>
      <c r="B47">
        <f t="shared" si="4"/>
        <v>7810</v>
      </c>
      <c r="C47">
        <v>529</v>
      </c>
      <c r="D47" s="36"/>
      <c r="E47">
        <v>8500</v>
      </c>
      <c r="F47">
        <f t="shared" si="5"/>
        <v>2965</v>
      </c>
      <c r="G47">
        <v>352</v>
      </c>
      <c r="I47">
        <v>17000</v>
      </c>
      <c r="J47">
        <f t="shared" si="6"/>
        <v>1910</v>
      </c>
      <c r="K47">
        <v>221</v>
      </c>
      <c r="M47">
        <v>55000</v>
      </c>
      <c r="N47">
        <f t="shared" si="7"/>
        <v>1293</v>
      </c>
      <c r="O47">
        <v>36</v>
      </c>
      <c r="P47" s="36"/>
    </row>
    <row r="48" spans="1:16" s="4" customFormat="1" x14ac:dyDescent="0.25">
      <c r="A48">
        <v>700</v>
      </c>
      <c r="B48">
        <f t="shared" si="4"/>
        <v>8286</v>
      </c>
      <c r="C48">
        <v>476</v>
      </c>
      <c r="D48" s="36"/>
      <c r="E48">
        <v>9000</v>
      </c>
      <c r="F48">
        <f t="shared" si="5"/>
        <v>3265</v>
      </c>
      <c r="G48">
        <v>300</v>
      </c>
      <c r="I48">
        <v>18000</v>
      </c>
      <c r="J48">
        <f t="shared" si="6"/>
        <v>2108</v>
      </c>
      <c r="K48">
        <v>198</v>
      </c>
      <c r="M48">
        <v>60000</v>
      </c>
      <c r="N48">
        <f t="shared" si="7"/>
        <v>1316</v>
      </c>
      <c r="O48">
        <v>23</v>
      </c>
      <c r="P48" s="36"/>
    </row>
    <row r="49" spans="1:16" s="4" customFormat="1" x14ac:dyDescent="0.25">
      <c r="A49">
        <v>800</v>
      </c>
      <c r="B49">
        <f t="shared" si="4"/>
        <v>8680</v>
      </c>
      <c r="C49">
        <v>394</v>
      </c>
      <c r="D49" s="36"/>
      <c r="E49">
        <v>9500</v>
      </c>
      <c r="F49">
        <f t="shared" si="5"/>
        <v>3575</v>
      </c>
      <c r="G49">
        <v>310</v>
      </c>
      <c r="I49">
        <v>19000</v>
      </c>
      <c r="J49">
        <f t="shared" si="6"/>
        <v>2293</v>
      </c>
      <c r="K49">
        <v>185</v>
      </c>
      <c r="M49">
        <v>65000</v>
      </c>
      <c r="N49">
        <f t="shared" si="7"/>
        <v>1332</v>
      </c>
      <c r="O49">
        <v>16</v>
      </c>
      <c r="P49" s="36"/>
    </row>
    <row r="50" spans="1:16" s="4" customFormat="1" x14ac:dyDescent="0.25">
      <c r="A50">
        <v>900</v>
      </c>
      <c r="B50">
        <f t="shared" si="4"/>
        <v>9089</v>
      </c>
      <c r="C50">
        <v>409</v>
      </c>
      <c r="D50" s="36"/>
      <c r="E50">
        <v>10000</v>
      </c>
      <c r="F50">
        <f t="shared" si="5"/>
        <v>3819</v>
      </c>
      <c r="G50">
        <v>244</v>
      </c>
      <c r="I50">
        <v>20000</v>
      </c>
      <c r="J50">
        <f t="shared" si="6"/>
        <v>2435</v>
      </c>
      <c r="K50">
        <v>142</v>
      </c>
      <c r="M50">
        <v>70000</v>
      </c>
      <c r="N50">
        <f t="shared" si="7"/>
        <v>1349</v>
      </c>
      <c r="O50">
        <v>17</v>
      </c>
      <c r="P50" s="36"/>
    </row>
    <row r="51" spans="1:16" s="4" customFormat="1" x14ac:dyDescent="0.25">
      <c r="A51">
        <v>1000</v>
      </c>
      <c r="B51">
        <f t="shared" si="4"/>
        <v>9487</v>
      </c>
      <c r="C51">
        <v>398</v>
      </c>
      <c r="D51" s="36"/>
      <c r="E51">
        <v>10500</v>
      </c>
      <c r="F51">
        <f t="shared" si="5"/>
        <v>4033</v>
      </c>
      <c r="G51">
        <v>214</v>
      </c>
      <c r="I51">
        <v>20543</v>
      </c>
      <c r="J51">
        <f t="shared" si="6"/>
        <v>2493</v>
      </c>
      <c r="K51">
        <v>58</v>
      </c>
      <c r="M51">
        <v>75000</v>
      </c>
      <c r="N51">
        <f t="shared" si="7"/>
        <v>1353</v>
      </c>
      <c r="O51">
        <v>4</v>
      </c>
      <c r="P51" s="36"/>
    </row>
    <row r="52" spans="1:16" s="4" customFormat="1" x14ac:dyDescent="0.25">
      <c r="A52">
        <v>1250</v>
      </c>
      <c r="B52">
        <f t="shared" si="4"/>
        <v>10376</v>
      </c>
      <c r="C52">
        <v>889</v>
      </c>
      <c r="D52" s="36"/>
      <c r="E52">
        <v>10961</v>
      </c>
      <c r="F52">
        <f t="shared" si="5"/>
        <v>4254</v>
      </c>
      <c r="G52">
        <v>221</v>
      </c>
      <c r="M52">
        <v>657000</v>
      </c>
      <c r="N52">
        <f t="shared" si="7"/>
        <v>1358</v>
      </c>
      <c r="O52">
        <v>5</v>
      </c>
      <c r="P52" s="36"/>
    </row>
    <row r="53" spans="1:16" s="4" customFormat="1" x14ac:dyDescent="0.25">
      <c r="A53">
        <v>1500</v>
      </c>
      <c r="B53">
        <f t="shared" si="4"/>
        <v>11175</v>
      </c>
      <c r="C53">
        <v>799</v>
      </c>
      <c r="D53" s="36"/>
      <c r="E53" s="9"/>
    </row>
    <row r="54" spans="1:16" s="4" customFormat="1" x14ac:dyDescent="0.25">
      <c r="A54">
        <v>1750</v>
      </c>
      <c r="B54">
        <f t="shared" si="4"/>
        <v>11902</v>
      </c>
      <c r="C54">
        <v>727</v>
      </c>
      <c r="D54" s="36"/>
      <c r="E54" s="9"/>
    </row>
    <row r="55" spans="1:16" s="4" customFormat="1" x14ac:dyDescent="0.25">
      <c r="A55">
        <v>2000</v>
      </c>
      <c r="B55">
        <f t="shared" si="4"/>
        <v>12501</v>
      </c>
      <c r="C55">
        <v>599</v>
      </c>
      <c r="D55" s="36"/>
      <c r="E55" s="9"/>
    </row>
    <row r="56" spans="1:16" s="4" customFormat="1" x14ac:dyDescent="0.25">
      <c r="A56">
        <v>2250</v>
      </c>
      <c r="B56">
        <f t="shared" si="4"/>
        <v>13105</v>
      </c>
      <c r="C56">
        <v>604</v>
      </c>
      <c r="D56" s="36"/>
      <c r="E56" s="9"/>
    </row>
    <row r="57" spans="1:16" s="4" customFormat="1" x14ac:dyDescent="0.25">
      <c r="A57">
        <v>2500</v>
      </c>
      <c r="B57">
        <f t="shared" si="4"/>
        <v>13645</v>
      </c>
      <c r="C57">
        <v>540</v>
      </c>
      <c r="D57" s="36"/>
      <c r="E57" s="9"/>
    </row>
    <row r="58" spans="1:16" s="4" customFormat="1" x14ac:dyDescent="0.25">
      <c r="A58">
        <v>2750</v>
      </c>
      <c r="B58">
        <f t="shared" si="4"/>
        <v>14162</v>
      </c>
      <c r="C58">
        <v>517</v>
      </c>
      <c r="D58" s="36"/>
      <c r="E58" s="9"/>
    </row>
    <row r="59" spans="1:16" s="4" customFormat="1" x14ac:dyDescent="0.25">
      <c r="A59">
        <v>3000</v>
      </c>
      <c r="B59">
        <f t="shared" si="4"/>
        <v>14651</v>
      </c>
      <c r="C59">
        <v>489</v>
      </c>
      <c r="D59" s="36"/>
      <c r="E59" s="9"/>
    </row>
    <row r="60" spans="1:16" s="4" customFormat="1" x14ac:dyDescent="0.25">
      <c r="A60">
        <v>3250</v>
      </c>
      <c r="B60">
        <f t="shared" si="4"/>
        <v>15078</v>
      </c>
      <c r="C60">
        <v>427</v>
      </c>
      <c r="D60" s="36"/>
      <c r="E60" s="9"/>
    </row>
    <row r="61" spans="1:16" s="4" customFormat="1" x14ac:dyDescent="0.25">
      <c r="A61">
        <v>3500</v>
      </c>
      <c r="B61">
        <f t="shared" si="4"/>
        <v>15505</v>
      </c>
      <c r="C61">
        <v>427</v>
      </c>
      <c r="D61" s="36"/>
      <c r="E61" s="9"/>
    </row>
    <row r="62" spans="1:16" s="4" customFormat="1" x14ac:dyDescent="0.25">
      <c r="A62">
        <v>3750</v>
      </c>
      <c r="B62">
        <f t="shared" si="4"/>
        <v>15923</v>
      </c>
      <c r="C62">
        <v>418</v>
      </c>
      <c r="D62" s="36"/>
      <c r="E62" s="9"/>
    </row>
    <row r="63" spans="1:16" s="4" customFormat="1" x14ac:dyDescent="0.25">
      <c r="A63">
        <v>4000</v>
      </c>
      <c r="B63">
        <f t="shared" si="4"/>
        <v>16321</v>
      </c>
      <c r="C63">
        <v>398</v>
      </c>
      <c r="D63" s="36"/>
      <c r="E63" s="9"/>
    </row>
    <row r="64" spans="1:16" s="4" customFormat="1" x14ac:dyDescent="0.25">
      <c r="A64">
        <v>4250</v>
      </c>
      <c r="B64">
        <f t="shared" si="4"/>
        <v>16687</v>
      </c>
      <c r="C64">
        <v>366</v>
      </c>
      <c r="D64" s="36"/>
      <c r="E64" s="9"/>
    </row>
    <row r="65" spans="1:16" s="4" customFormat="1" x14ac:dyDescent="0.25">
      <c r="A65">
        <v>4500</v>
      </c>
      <c r="B65">
        <f t="shared" si="4"/>
        <v>17046</v>
      </c>
      <c r="C65">
        <v>359</v>
      </c>
      <c r="D65" s="36"/>
      <c r="E65" s="9"/>
    </row>
    <row r="66" spans="1:16" s="4" customFormat="1" x14ac:dyDescent="0.25">
      <c r="A66">
        <v>4750</v>
      </c>
      <c r="B66">
        <f t="shared" si="4"/>
        <v>17398</v>
      </c>
      <c r="C66">
        <v>352</v>
      </c>
      <c r="D66" s="36"/>
      <c r="E66" s="9"/>
    </row>
    <row r="67" spans="1:16" s="4" customFormat="1" x14ac:dyDescent="0.25">
      <c r="A67">
        <v>5000</v>
      </c>
      <c r="B67">
        <f t="shared" si="4"/>
        <v>17755</v>
      </c>
      <c r="C67">
        <v>357</v>
      </c>
      <c r="D67" s="36"/>
      <c r="E67" s="9"/>
    </row>
    <row r="68" spans="1:16" s="4" customFormat="1" x14ac:dyDescent="0.25">
      <c r="A68">
        <v>5166</v>
      </c>
      <c r="B68">
        <f t="shared" si="4"/>
        <v>17938</v>
      </c>
      <c r="C68">
        <v>183</v>
      </c>
      <c r="D68" s="36"/>
      <c r="E68" s="9"/>
    </row>
    <row r="69" spans="1:16" s="4" customFormat="1" x14ac:dyDescent="0.25">
      <c r="A69" s="6"/>
      <c r="B69" s="6"/>
      <c r="C69" s="11"/>
      <c r="D69" s="36"/>
      <c r="E69" s="9"/>
    </row>
    <row r="70" spans="1:16" ht="13" x14ac:dyDescent="0.3">
      <c r="A70" s="105" t="s">
        <v>109</v>
      </c>
      <c r="B70" s="106"/>
      <c r="C70" s="106"/>
      <c r="D70" s="106"/>
      <c r="E70" s="106"/>
      <c r="F70" s="106"/>
      <c r="G70" s="106"/>
      <c r="H70" s="106"/>
      <c r="I70" s="106"/>
      <c r="J70" s="106"/>
      <c r="K70" s="106"/>
      <c r="L70" s="106"/>
      <c r="M70" s="106"/>
      <c r="N70" s="106"/>
      <c r="O70" s="106"/>
    </row>
    <row r="71" spans="1:16" s="4" customFormat="1" ht="13" x14ac:dyDescent="0.3">
      <c r="A71" s="107" t="s">
        <v>110</v>
      </c>
      <c r="B71" s="107"/>
      <c r="C71" s="107"/>
      <c r="D71" s="107"/>
      <c r="E71" s="107"/>
      <c r="F71" s="107"/>
      <c r="G71" s="107"/>
      <c r="H71" s="107"/>
      <c r="I71" s="107"/>
      <c r="J71" s="107"/>
      <c r="K71" s="107"/>
      <c r="L71" s="107"/>
      <c r="M71" s="107"/>
      <c r="N71" s="107"/>
      <c r="O71" s="107"/>
      <c r="P71" s="7"/>
    </row>
    <row r="72" spans="1:16" s="4" customFormat="1" ht="13" x14ac:dyDescent="0.3">
      <c r="A72" s="104" t="s">
        <v>113</v>
      </c>
      <c r="B72" s="106"/>
      <c r="C72" s="106"/>
      <c r="D72" s="106"/>
      <c r="E72" s="106"/>
      <c r="F72" s="106"/>
      <c r="G72" s="106"/>
      <c r="H72" s="106"/>
      <c r="I72" s="106"/>
      <c r="J72" s="106"/>
      <c r="K72" s="106"/>
      <c r="L72" s="106"/>
      <c r="M72" s="106"/>
      <c r="N72" s="106"/>
      <c r="O72" s="106"/>
      <c r="P72" s="7"/>
    </row>
    <row r="73" spans="1:16" s="4" customFormat="1" ht="13" x14ac:dyDescent="0.3">
      <c r="A73" s="110" t="s">
        <v>112</v>
      </c>
      <c r="B73" s="108"/>
      <c r="C73" s="108"/>
      <c r="D73" s="108"/>
      <c r="E73" s="108"/>
      <c r="F73" s="108"/>
      <c r="G73" s="108"/>
      <c r="H73" s="108"/>
      <c r="I73" s="108"/>
      <c r="J73" s="108"/>
      <c r="K73" s="108"/>
      <c r="L73" s="108"/>
      <c r="M73" s="108"/>
      <c r="N73" s="108"/>
      <c r="O73" s="108"/>
      <c r="P73" s="59"/>
    </row>
    <row r="74" spans="1:16" s="4" customFormat="1" x14ac:dyDescent="0.25">
      <c r="E74" s="9"/>
    </row>
    <row r="75" spans="1:16" s="4" customFormat="1" ht="13" x14ac:dyDescent="0.3">
      <c r="A75" s="110" t="s">
        <v>102</v>
      </c>
      <c r="B75" s="110"/>
      <c r="C75" s="110"/>
      <c r="D75" s="110"/>
      <c r="E75" s="110"/>
      <c r="F75" s="110"/>
      <c r="G75" s="110"/>
      <c r="H75" s="110"/>
      <c r="I75" s="110"/>
      <c r="J75" s="110"/>
      <c r="K75" s="110"/>
      <c r="L75" s="110"/>
      <c r="M75" s="110"/>
      <c r="N75" s="110"/>
      <c r="O75" s="110"/>
    </row>
    <row r="76" spans="1:16" s="4" customFormat="1" ht="13" x14ac:dyDescent="0.3">
      <c r="A76" s="107" t="s">
        <v>43</v>
      </c>
      <c r="B76" s="107"/>
      <c r="C76" s="107"/>
      <c r="D76" s="32"/>
      <c r="E76" s="107" t="s">
        <v>44</v>
      </c>
      <c r="F76" s="107"/>
      <c r="G76" s="107"/>
      <c r="H76" s="32"/>
      <c r="I76" s="1" t="s">
        <v>45</v>
      </c>
      <c r="J76" s="1"/>
      <c r="K76" s="32"/>
      <c r="L76"/>
      <c r="M76" s="107" t="s">
        <v>46</v>
      </c>
      <c r="N76" s="107"/>
      <c r="O76" s="107"/>
      <c r="P76" s="32"/>
    </row>
    <row r="77" spans="1:16" s="4" customFormat="1" ht="26" x14ac:dyDescent="0.3">
      <c r="A77" s="34" t="s">
        <v>61</v>
      </c>
      <c r="B77" s="34" t="s">
        <v>106</v>
      </c>
      <c r="C77" s="34" t="s">
        <v>47</v>
      </c>
      <c r="D77" s="42"/>
      <c r="E77" s="34" t="s">
        <v>61</v>
      </c>
      <c r="F77" s="34" t="s">
        <v>106</v>
      </c>
      <c r="G77" s="34" t="s">
        <v>47</v>
      </c>
      <c r="H77" s="52"/>
      <c r="I77" s="34" t="s">
        <v>61</v>
      </c>
      <c r="J77" s="34" t="s">
        <v>106</v>
      </c>
      <c r="K77" s="34" t="s">
        <v>47</v>
      </c>
      <c r="M77" s="34" t="s">
        <v>61</v>
      </c>
      <c r="N77" s="34" t="s">
        <v>106</v>
      </c>
      <c r="O77" s="34" t="s">
        <v>47</v>
      </c>
      <c r="P77" s="36"/>
    </row>
    <row r="78" spans="1:16" s="4" customFormat="1" x14ac:dyDescent="0.25">
      <c r="A78" s="6"/>
      <c r="B78" s="6"/>
      <c r="C78" s="11"/>
      <c r="D78" s="36"/>
      <c r="E78" s="9"/>
      <c r="M78" s="6"/>
      <c r="N78" s="6"/>
      <c r="O78" s="11"/>
      <c r="P78" s="36"/>
    </row>
    <row r="79" spans="1:16" s="4" customFormat="1" x14ac:dyDescent="0.25">
      <c r="A79">
        <v>0</v>
      </c>
      <c r="B79">
        <f>C79+B78</f>
        <v>5</v>
      </c>
      <c r="C79">
        <v>5</v>
      </c>
      <c r="D79" s="36"/>
      <c r="E79">
        <v>20</v>
      </c>
      <c r="F79">
        <f>G79+F78</f>
        <v>327</v>
      </c>
      <c r="G79">
        <v>327</v>
      </c>
      <c r="I79">
        <v>50</v>
      </c>
      <c r="J79">
        <f t="shared" ref="J79:J84" si="8">K79+J78</f>
        <v>615</v>
      </c>
      <c r="K79">
        <v>615</v>
      </c>
      <c r="M79">
        <v>150</v>
      </c>
      <c r="N79">
        <f t="shared" ref="N79:N90" si="9">O79+N78</f>
        <v>399</v>
      </c>
      <c r="O79">
        <v>399</v>
      </c>
      <c r="P79" s="36"/>
    </row>
    <row r="80" spans="1:16" s="4" customFormat="1" x14ac:dyDescent="0.25">
      <c r="A80">
        <v>10</v>
      </c>
      <c r="B80">
        <f>C80+B79</f>
        <v>2466</v>
      </c>
      <c r="C80">
        <v>2461</v>
      </c>
      <c r="D80" s="36"/>
      <c r="E80">
        <v>30</v>
      </c>
      <c r="F80">
        <f>G80+F79</f>
        <v>2376</v>
      </c>
      <c r="G80">
        <v>2049</v>
      </c>
      <c r="I80">
        <v>60</v>
      </c>
      <c r="J80">
        <f t="shared" si="8"/>
        <v>1043</v>
      </c>
      <c r="K80">
        <v>428</v>
      </c>
      <c r="M80">
        <v>200</v>
      </c>
      <c r="N80">
        <f t="shared" si="9"/>
        <v>559</v>
      </c>
      <c r="O80">
        <v>160</v>
      </c>
      <c r="P80" s="36"/>
    </row>
    <row r="81" spans="1:16" s="4" customFormat="1" x14ac:dyDescent="0.25">
      <c r="A81">
        <v>19</v>
      </c>
      <c r="B81">
        <f>C81+B80</f>
        <v>7470</v>
      </c>
      <c r="C81">
        <v>5004</v>
      </c>
      <c r="D81" s="36"/>
      <c r="E81">
        <v>40</v>
      </c>
      <c r="F81">
        <f>G81+F80</f>
        <v>3485</v>
      </c>
      <c r="G81">
        <v>1109</v>
      </c>
      <c r="I81">
        <v>70</v>
      </c>
      <c r="J81">
        <f t="shared" si="8"/>
        <v>1343</v>
      </c>
      <c r="K81">
        <v>300</v>
      </c>
      <c r="M81">
        <v>250</v>
      </c>
      <c r="N81">
        <f t="shared" si="9"/>
        <v>674</v>
      </c>
      <c r="O81">
        <v>115</v>
      </c>
      <c r="P81" s="36"/>
    </row>
    <row r="82" spans="1:16" s="4" customFormat="1" x14ac:dyDescent="0.25">
      <c r="A82" s="6"/>
      <c r="B82" s="6"/>
      <c r="C82" s="11"/>
      <c r="D82" s="36"/>
      <c r="E82">
        <v>41</v>
      </c>
      <c r="F82">
        <f>G82+F81</f>
        <v>3568</v>
      </c>
      <c r="G82">
        <v>83</v>
      </c>
      <c r="I82">
        <v>80</v>
      </c>
      <c r="J82">
        <f t="shared" si="8"/>
        <v>1546</v>
      </c>
      <c r="K82">
        <v>203</v>
      </c>
      <c r="M82">
        <v>300</v>
      </c>
      <c r="N82">
        <f t="shared" si="9"/>
        <v>718</v>
      </c>
      <c r="O82">
        <v>44</v>
      </c>
      <c r="P82" s="36"/>
    </row>
    <row r="83" spans="1:16" s="4" customFormat="1" x14ac:dyDescent="0.25">
      <c r="A83" s="6"/>
      <c r="B83" s="6"/>
      <c r="C83" s="11"/>
      <c r="D83" s="36"/>
      <c r="E83" s="9"/>
      <c r="I83">
        <v>90</v>
      </c>
      <c r="J83">
        <f t="shared" si="8"/>
        <v>1719</v>
      </c>
      <c r="K83">
        <v>173</v>
      </c>
      <c r="M83">
        <v>350</v>
      </c>
      <c r="N83">
        <f t="shared" si="9"/>
        <v>750</v>
      </c>
      <c r="O83">
        <v>32</v>
      </c>
      <c r="P83" s="36"/>
    </row>
    <row r="84" spans="1:16" s="4" customFormat="1" x14ac:dyDescent="0.25">
      <c r="A84" s="6"/>
      <c r="B84" s="6"/>
      <c r="C84" s="11"/>
      <c r="D84" s="36"/>
      <c r="E84" s="9"/>
      <c r="I84">
        <v>100</v>
      </c>
      <c r="J84">
        <f t="shared" si="8"/>
        <v>1861</v>
      </c>
      <c r="K84">
        <v>142</v>
      </c>
      <c r="M84">
        <v>400</v>
      </c>
      <c r="N84">
        <f t="shared" si="9"/>
        <v>773</v>
      </c>
      <c r="O84">
        <v>23</v>
      </c>
      <c r="P84" s="36"/>
    </row>
    <row r="85" spans="1:16" s="4" customFormat="1" x14ac:dyDescent="0.25">
      <c r="A85" s="6"/>
      <c r="B85" s="6"/>
      <c r="C85" s="11"/>
      <c r="D85" s="36"/>
      <c r="E85" s="9"/>
      <c r="M85">
        <v>450</v>
      </c>
      <c r="N85">
        <f t="shared" si="9"/>
        <v>784</v>
      </c>
      <c r="O85">
        <v>11</v>
      </c>
      <c r="P85" s="36"/>
    </row>
    <row r="86" spans="1:16" s="4" customFormat="1" x14ac:dyDescent="0.25">
      <c r="E86" s="9"/>
      <c r="M86">
        <v>500</v>
      </c>
      <c r="N86">
        <f t="shared" si="9"/>
        <v>788</v>
      </c>
      <c r="O86">
        <v>4</v>
      </c>
      <c r="P86" s="36"/>
    </row>
    <row r="87" spans="1:16" s="4" customFormat="1" x14ac:dyDescent="0.25">
      <c r="E87" s="9"/>
      <c r="M87">
        <v>550</v>
      </c>
      <c r="N87">
        <f t="shared" si="9"/>
        <v>792</v>
      </c>
      <c r="O87">
        <v>4</v>
      </c>
      <c r="P87" s="36"/>
    </row>
    <row r="88" spans="1:16" s="4" customFormat="1" x14ac:dyDescent="0.25">
      <c r="E88" s="9"/>
      <c r="M88">
        <v>600</v>
      </c>
      <c r="N88">
        <f t="shared" si="9"/>
        <v>796</v>
      </c>
      <c r="O88">
        <v>4</v>
      </c>
      <c r="P88" s="36"/>
    </row>
    <row r="89" spans="1:16" s="4" customFormat="1" x14ac:dyDescent="0.25">
      <c r="E89" s="9"/>
      <c r="M89">
        <v>650</v>
      </c>
      <c r="N89">
        <f t="shared" si="9"/>
        <v>798</v>
      </c>
      <c r="O89">
        <v>2</v>
      </c>
      <c r="P89" s="36"/>
    </row>
    <row r="90" spans="1:16" s="4" customFormat="1" x14ac:dyDescent="0.25">
      <c r="E90" s="9"/>
      <c r="M90">
        <v>985</v>
      </c>
      <c r="N90">
        <f t="shared" si="9"/>
        <v>801</v>
      </c>
      <c r="O90">
        <v>3</v>
      </c>
      <c r="P90" s="36"/>
    </row>
    <row r="91" spans="1:16" s="4" customFormat="1" x14ac:dyDescent="0.25">
      <c r="E91" s="9"/>
    </row>
    <row r="92" spans="1:16" s="4" customFormat="1" ht="13" x14ac:dyDescent="0.3">
      <c r="A92" s="113" t="s">
        <v>103</v>
      </c>
      <c r="B92" s="113"/>
      <c r="C92" s="113"/>
      <c r="D92" s="113"/>
      <c r="E92" s="113"/>
      <c r="F92" s="113"/>
      <c r="G92" s="113"/>
      <c r="H92" s="113"/>
      <c r="I92" s="113"/>
      <c r="J92" s="113"/>
      <c r="K92" s="113"/>
      <c r="L92" s="113"/>
      <c r="M92" s="113"/>
      <c r="N92" s="113"/>
      <c r="O92" s="113"/>
    </row>
    <row r="93" spans="1:16" s="4" customFormat="1" ht="13" x14ac:dyDescent="0.3">
      <c r="A93" s="107" t="s">
        <v>43</v>
      </c>
      <c r="B93" s="107"/>
      <c r="C93" s="107"/>
      <c r="D93" s="32"/>
      <c r="E93" s="107"/>
      <c r="F93" s="107"/>
      <c r="G93" s="107"/>
      <c r="H93" s="32"/>
      <c r="I93" s="1"/>
      <c r="J93" s="1"/>
      <c r="K93" s="32"/>
      <c r="L93"/>
      <c r="M93" s="107"/>
      <c r="N93" s="107"/>
      <c r="O93" s="107"/>
      <c r="P93" s="32"/>
    </row>
    <row r="94" spans="1:16" s="4" customFormat="1" ht="26" x14ac:dyDescent="0.3">
      <c r="A94" s="34" t="s">
        <v>61</v>
      </c>
      <c r="B94" s="34" t="s">
        <v>106</v>
      </c>
      <c r="C94" s="34" t="s">
        <v>47</v>
      </c>
      <c r="D94" s="42"/>
      <c r="E94" s="41"/>
      <c r="F94" s="41"/>
      <c r="G94" s="42"/>
      <c r="H94" s="52"/>
      <c r="I94" s="41"/>
      <c r="J94" s="41"/>
      <c r="K94" s="42"/>
    </row>
    <row r="95" spans="1:16" s="4" customFormat="1" x14ac:dyDescent="0.25">
      <c r="A95" s="6"/>
      <c r="B95" s="6"/>
      <c r="C95" s="11"/>
      <c r="D95" s="36"/>
      <c r="E95" s="9"/>
    </row>
    <row r="96" spans="1:16" s="4" customFormat="1" x14ac:dyDescent="0.25">
      <c r="A96">
        <v>0</v>
      </c>
      <c r="B96">
        <f>C96+B95</f>
        <v>6</v>
      </c>
      <c r="C96">
        <v>6</v>
      </c>
      <c r="D96" s="36"/>
      <c r="E96" s="9"/>
    </row>
    <row r="97" spans="1:15" s="4" customFormat="1" x14ac:dyDescent="0.25">
      <c r="A97">
        <v>50</v>
      </c>
      <c r="B97">
        <f>C97+B96</f>
        <v>124</v>
      </c>
      <c r="C97">
        <v>118</v>
      </c>
      <c r="D97" s="36"/>
      <c r="E97" s="9"/>
    </row>
    <row r="98" spans="1:15" s="4" customFormat="1" x14ac:dyDescent="0.25">
      <c r="A98">
        <v>100</v>
      </c>
      <c r="B98">
        <f>C98+B97</f>
        <v>141</v>
      </c>
      <c r="C98">
        <v>17</v>
      </c>
      <c r="D98" s="36"/>
      <c r="E98" s="9"/>
    </row>
    <row r="99" spans="1:15" s="4" customFormat="1" x14ac:dyDescent="0.25">
      <c r="A99">
        <v>150</v>
      </c>
      <c r="B99">
        <f>C99+B98</f>
        <v>151</v>
      </c>
      <c r="C99">
        <v>10</v>
      </c>
      <c r="D99" s="36"/>
      <c r="E99" s="9"/>
    </row>
    <row r="100" spans="1:15" s="4" customFormat="1" x14ac:dyDescent="0.25">
      <c r="A100">
        <v>305</v>
      </c>
      <c r="B100">
        <f>C100+B99</f>
        <v>152</v>
      </c>
      <c r="C100">
        <v>1</v>
      </c>
      <c r="D100" s="36"/>
      <c r="E100" s="9"/>
    </row>
    <row r="101" spans="1:15" s="4" customFormat="1" x14ac:dyDescent="0.25">
      <c r="A101" s="6"/>
      <c r="B101" s="6"/>
      <c r="C101" s="11"/>
      <c r="D101" s="36"/>
      <c r="E101" s="9"/>
    </row>
    <row r="102" spans="1:15" s="4" customFormat="1" ht="13" x14ac:dyDescent="0.3">
      <c r="A102" s="110" t="s">
        <v>104</v>
      </c>
      <c r="B102" s="110"/>
      <c r="C102" s="110"/>
      <c r="D102" s="110"/>
      <c r="E102" s="110"/>
      <c r="F102" s="110"/>
      <c r="G102" s="110"/>
      <c r="H102" s="110"/>
      <c r="I102" s="110"/>
      <c r="J102" s="110"/>
      <c r="K102" s="110"/>
      <c r="L102" s="110"/>
      <c r="M102" s="110"/>
      <c r="N102" s="110"/>
      <c r="O102" s="110"/>
    </row>
    <row r="103" spans="1:15" s="4" customFormat="1" ht="13" x14ac:dyDescent="0.3">
      <c r="A103" s="107" t="s">
        <v>43</v>
      </c>
      <c r="B103" s="107"/>
      <c r="C103" s="107"/>
      <c r="D103" s="7"/>
      <c r="E103" s="107" t="s">
        <v>44</v>
      </c>
      <c r="F103" s="107"/>
      <c r="G103" s="107"/>
      <c r="H103" s="52"/>
      <c r="I103" s="107" t="s">
        <v>45</v>
      </c>
      <c r="J103" s="107"/>
      <c r="K103" s="107"/>
    </row>
    <row r="104" spans="1:15" s="4" customFormat="1" ht="26" x14ac:dyDescent="0.3">
      <c r="A104" s="34" t="s">
        <v>61</v>
      </c>
      <c r="B104" s="34" t="s">
        <v>106</v>
      </c>
      <c r="C104" s="34" t="s">
        <v>47</v>
      </c>
      <c r="D104" s="42"/>
      <c r="E104" s="34" t="s">
        <v>61</v>
      </c>
      <c r="F104" s="34" t="s">
        <v>106</v>
      </c>
      <c r="G104" s="34" t="s">
        <v>47</v>
      </c>
      <c r="H104" s="52"/>
      <c r="I104" s="34" t="s">
        <v>61</v>
      </c>
      <c r="J104" s="34" t="s">
        <v>106</v>
      </c>
      <c r="K104" s="34" t="s">
        <v>47</v>
      </c>
    </row>
    <row r="105" spans="1:15" s="4" customFormat="1" x14ac:dyDescent="0.25">
      <c r="A105" s="6"/>
      <c r="B105" s="6"/>
      <c r="C105" s="11"/>
      <c r="D105" s="36"/>
      <c r="E105" s="9"/>
    </row>
    <row r="106" spans="1:15" s="4" customFormat="1" x14ac:dyDescent="0.25">
      <c r="A106">
        <v>0</v>
      </c>
      <c r="B106">
        <f t="shared" ref="B106:B114" si="10">C106+B105</f>
        <v>18</v>
      </c>
      <c r="C106">
        <v>18</v>
      </c>
      <c r="D106" s="36"/>
      <c r="E106">
        <v>100</v>
      </c>
      <c r="F106">
        <f>G106+F105</f>
        <v>11</v>
      </c>
      <c r="G106">
        <v>11</v>
      </c>
      <c r="I106">
        <v>300</v>
      </c>
      <c r="J106">
        <f>K106+J105</f>
        <v>5</v>
      </c>
      <c r="K106">
        <v>5</v>
      </c>
    </row>
    <row r="107" spans="1:15" s="4" customFormat="1" x14ac:dyDescent="0.25">
      <c r="A107">
        <v>10</v>
      </c>
      <c r="B107">
        <f t="shared" si="10"/>
        <v>118</v>
      </c>
      <c r="C107">
        <v>100</v>
      </c>
      <c r="D107" s="36"/>
      <c r="E107">
        <v>150</v>
      </c>
      <c r="F107">
        <f>G107+F106</f>
        <v>28</v>
      </c>
      <c r="G107">
        <v>17</v>
      </c>
      <c r="I107">
        <v>400</v>
      </c>
      <c r="J107">
        <f>K107+J106</f>
        <v>14</v>
      </c>
      <c r="K107">
        <v>9</v>
      </c>
    </row>
    <row r="108" spans="1:15" s="4" customFormat="1" x14ac:dyDescent="0.25">
      <c r="A108">
        <v>20</v>
      </c>
      <c r="B108">
        <f t="shared" si="10"/>
        <v>176</v>
      </c>
      <c r="C108">
        <v>58</v>
      </c>
      <c r="D108" s="36"/>
      <c r="E108">
        <v>200</v>
      </c>
      <c r="F108">
        <f>G108+F107</f>
        <v>43</v>
      </c>
      <c r="G108">
        <v>15</v>
      </c>
      <c r="I108">
        <v>500</v>
      </c>
      <c r="J108">
        <f>K108+J107</f>
        <v>17</v>
      </c>
      <c r="K108">
        <v>3</v>
      </c>
    </row>
    <row r="109" spans="1:15" s="4" customFormat="1" x14ac:dyDescent="0.25">
      <c r="A109">
        <v>30</v>
      </c>
      <c r="B109">
        <f t="shared" si="10"/>
        <v>218</v>
      </c>
      <c r="C109">
        <v>42</v>
      </c>
      <c r="D109" s="36"/>
      <c r="E109">
        <v>245</v>
      </c>
      <c r="F109">
        <f>G109+F108</f>
        <v>54</v>
      </c>
      <c r="G109">
        <v>11</v>
      </c>
      <c r="I109">
        <v>600</v>
      </c>
      <c r="J109">
        <f>K109+J108</f>
        <v>20</v>
      </c>
      <c r="K109">
        <v>3</v>
      </c>
    </row>
    <row r="110" spans="1:15" s="4" customFormat="1" x14ac:dyDescent="0.25">
      <c r="A110">
        <v>40</v>
      </c>
      <c r="B110">
        <f t="shared" si="10"/>
        <v>241</v>
      </c>
      <c r="C110">
        <v>23</v>
      </c>
      <c r="D110" s="36"/>
      <c r="E110" s="9"/>
      <c r="I110">
        <v>1103</v>
      </c>
      <c r="J110">
        <f>K110+J109</f>
        <v>23</v>
      </c>
      <c r="K110">
        <v>3</v>
      </c>
    </row>
    <row r="111" spans="1:15" s="4" customFormat="1" x14ac:dyDescent="0.25">
      <c r="A111">
        <v>50</v>
      </c>
      <c r="B111">
        <f t="shared" si="10"/>
        <v>259</v>
      </c>
      <c r="C111">
        <v>18</v>
      </c>
      <c r="D111" s="36"/>
      <c r="E111" s="9"/>
      <c r="I111"/>
      <c r="J111"/>
    </row>
    <row r="112" spans="1:15" s="4" customFormat="1" x14ac:dyDescent="0.25">
      <c r="A112">
        <v>60</v>
      </c>
      <c r="B112">
        <f t="shared" si="10"/>
        <v>273</v>
      </c>
      <c r="C112">
        <v>14</v>
      </c>
      <c r="D112" s="36"/>
      <c r="E112" s="9"/>
    </row>
    <row r="113" spans="1:15" s="4" customFormat="1" x14ac:dyDescent="0.25">
      <c r="A113">
        <v>70</v>
      </c>
      <c r="B113">
        <f t="shared" si="10"/>
        <v>281</v>
      </c>
      <c r="C113">
        <v>8</v>
      </c>
      <c r="D113" s="36"/>
      <c r="E113" s="9"/>
    </row>
    <row r="114" spans="1:15" s="4" customFormat="1" x14ac:dyDescent="0.25">
      <c r="A114">
        <v>81</v>
      </c>
      <c r="B114">
        <f t="shared" si="10"/>
        <v>287</v>
      </c>
      <c r="C114">
        <v>6</v>
      </c>
      <c r="D114" s="36"/>
      <c r="E114" s="9"/>
    </row>
    <row r="115" spans="1:15" s="4" customFormat="1" x14ac:dyDescent="0.25">
      <c r="A115"/>
      <c r="B115"/>
      <c r="C115" s="11"/>
      <c r="D115" s="36"/>
      <c r="E115" s="9"/>
    </row>
    <row r="116" spans="1:15" s="4" customFormat="1" ht="13" x14ac:dyDescent="0.3">
      <c r="A116" s="113" t="s">
        <v>105</v>
      </c>
      <c r="B116" s="113"/>
      <c r="C116" s="113"/>
      <c r="D116" s="113"/>
      <c r="E116" s="113"/>
      <c r="F116" s="113"/>
      <c r="G116" s="113"/>
      <c r="H116" s="113"/>
      <c r="I116" s="113"/>
      <c r="J116" s="113"/>
      <c r="K116" s="113"/>
      <c r="L116" s="113"/>
      <c r="M116" s="113"/>
      <c r="N116" s="113"/>
      <c r="O116" s="113"/>
    </row>
    <row r="117" spans="1:15" s="4" customFormat="1" ht="13" x14ac:dyDescent="0.3">
      <c r="A117" s="107" t="s">
        <v>43</v>
      </c>
      <c r="B117" s="107"/>
      <c r="C117" s="107"/>
      <c r="D117" s="7"/>
      <c r="E117" s="107"/>
      <c r="F117" s="107"/>
      <c r="G117" s="107"/>
      <c r="H117" s="52"/>
      <c r="I117" s="107"/>
      <c r="J117" s="107"/>
      <c r="K117" s="107"/>
    </row>
    <row r="118" spans="1:15" s="4" customFormat="1" ht="26" x14ac:dyDescent="0.3">
      <c r="A118" s="34" t="s">
        <v>61</v>
      </c>
      <c r="B118" s="34" t="s">
        <v>106</v>
      </c>
      <c r="C118" s="34" t="s">
        <v>47</v>
      </c>
      <c r="D118" s="42"/>
      <c r="E118" s="41"/>
      <c r="F118" s="41"/>
      <c r="G118" s="42"/>
      <c r="H118" s="52"/>
      <c r="I118" s="41"/>
      <c r="J118" s="41"/>
      <c r="K118" s="42"/>
    </row>
    <row r="119" spans="1:15" s="4" customFormat="1" x14ac:dyDescent="0.25">
      <c r="A119" s="6"/>
      <c r="B119" s="6"/>
      <c r="C119" s="11"/>
      <c r="D119" s="36"/>
      <c r="E119" s="9"/>
    </row>
    <row r="120" spans="1:15" s="4" customFormat="1" x14ac:dyDescent="0.25">
      <c r="A120">
        <v>0</v>
      </c>
      <c r="B120">
        <f>C120+B119</f>
        <v>1</v>
      </c>
      <c r="C120">
        <v>1</v>
      </c>
      <c r="D120" s="36"/>
      <c r="E120" s="9"/>
    </row>
    <row r="121" spans="1:15" s="4" customFormat="1" x14ac:dyDescent="0.25">
      <c r="A121">
        <v>10</v>
      </c>
      <c r="B121">
        <f>C121+B120</f>
        <v>2</v>
      </c>
      <c r="C121">
        <v>1</v>
      </c>
      <c r="D121" s="36"/>
      <c r="E121" s="9"/>
    </row>
    <row r="122" spans="1:15" s="4" customFormat="1" x14ac:dyDescent="0.25">
      <c r="A122">
        <v>32</v>
      </c>
      <c r="B122">
        <f>C122+B121</f>
        <v>3</v>
      </c>
      <c r="C122">
        <v>1</v>
      </c>
      <c r="D122" s="36"/>
      <c r="E122" s="9"/>
    </row>
    <row r="123" spans="1:15" s="4" customFormat="1" x14ac:dyDescent="0.25">
      <c r="A123" s="6"/>
      <c r="B123" s="6"/>
      <c r="C123" s="11"/>
      <c r="D123" s="36"/>
      <c r="E123" s="9"/>
    </row>
    <row r="124" spans="1:15" ht="13" x14ac:dyDescent="0.3">
      <c r="A124" s="110" t="s">
        <v>107</v>
      </c>
      <c r="B124" s="110"/>
      <c r="C124" s="110"/>
      <c r="D124" s="110"/>
      <c r="E124" s="110"/>
      <c r="F124" s="110"/>
      <c r="G124" s="110"/>
      <c r="H124" s="110"/>
      <c r="I124" s="110"/>
      <c r="J124" s="110"/>
      <c r="K124" s="110"/>
      <c r="L124" s="110"/>
      <c r="M124" s="110"/>
      <c r="N124" s="110"/>
      <c r="O124" s="110"/>
    </row>
    <row r="126" spans="1:15" ht="69" customHeight="1" x14ac:dyDescent="0.25">
      <c r="B126" s="111" t="s">
        <v>108</v>
      </c>
      <c r="C126" s="112"/>
      <c r="D126" s="112"/>
      <c r="E126" s="112"/>
      <c r="F126" s="112"/>
      <c r="G126" s="112"/>
      <c r="H126" s="112"/>
      <c r="I126" s="112"/>
      <c r="J126" s="112"/>
      <c r="K126" s="112"/>
      <c r="L126" s="112"/>
      <c r="M126" s="112"/>
      <c r="N126" s="112"/>
    </row>
  </sheetData>
  <mergeCells count="34">
    <mergeCell ref="E103:G103"/>
    <mergeCell ref="I103:K103"/>
    <mergeCell ref="A124:O124"/>
    <mergeCell ref="B126:N126"/>
    <mergeCell ref="A75:O75"/>
    <mergeCell ref="M76:O76"/>
    <mergeCell ref="E117:G117"/>
    <mergeCell ref="I117:K117"/>
    <mergeCell ref="A102:O102"/>
    <mergeCell ref="E93:G93"/>
    <mergeCell ref="A92:O92"/>
    <mergeCell ref="E76:G76"/>
    <mergeCell ref="A116:O116"/>
    <mergeCell ref="A117:C117"/>
    <mergeCell ref="A76:C76"/>
    <mergeCell ref="A93:C93"/>
    <mergeCell ref="M93:O93"/>
    <mergeCell ref="A103:C103"/>
    <mergeCell ref="A72:O72"/>
    <mergeCell ref="A73:O73"/>
    <mergeCell ref="A1:O1"/>
    <mergeCell ref="A3:O3"/>
    <mergeCell ref="A70:O70"/>
    <mergeCell ref="A71:O71"/>
    <mergeCell ref="E7:G7"/>
    <mergeCell ref="A2:O2"/>
    <mergeCell ref="E38:G38"/>
    <mergeCell ref="M38:O38"/>
    <mergeCell ref="A4:O4"/>
    <mergeCell ref="A6:O6"/>
    <mergeCell ref="A37:O37"/>
    <mergeCell ref="M7:O7"/>
    <mergeCell ref="A38:C38"/>
    <mergeCell ref="A7:C7"/>
  </mergeCells>
  <pageMargins left="0.31" right="0.34" top="1" bottom="1" header="0.5" footer="0.5"/>
  <pageSetup scale="72" orientation="portrait" r:id="rId1"/>
  <headerFooter alignWithMargins="0">
    <oddHeader xml:space="preserve">&amp;RSchedule IV-J-4
&amp;A
Page &amp;P of &amp;N
</oddHeader>
    <oddFooter>&amp;LSponsored by: Nora D. Williams</oddFooter>
  </headerFooter>
  <rowBreaks count="1" manualBreakCount="1">
    <brk id="69" max="14"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3"/>
  <sheetViews>
    <sheetView zoomScale="75" zoomScaleNormal="75" workbookViewId="0">
      <selection sqref="A1:E1"/>
    </sheetView>
  </sheetViews>
  <sheetFormatPr defaultColWidth="9.1796875" defaultRowHeight="12.5" x14ac:dyDescent="0.25"/>
  <cols>
    <col min="1" max="1" width="7.1796875" style="6" customWidth="1"/>
    <col min="2" max="2" width="34.26953125" style="4" bestFit="1" customWidth="1"/>
    <col min="3" max="3" width="6.54296875" style="4" bestFit="1" customWidth="1"/>
    <col min="4" max="4" width="6.453125" style="4" bestFit="1" customWidth="1"/>
    <col min="5" max="5" width="96.54296875" style="9" customWidth="1"/>
    <col min="6" max="6" width="20.7265625" style="4" customWidth="1"/>
    <col min="7" max="16384" width="9.1796875" style="4"/>
  </cols>
  <sheetData>
    <row r="1" spans="1:256" ht="13" x14ac:dyDescent="0.3">
      <c r="A1" s="105" t="s">
        <v>109</v>
      </c>
      <c r="B1" s="106"/>
      <c r="C1" s="106"/>
      <c r="D1" s="106"/>
      <c r="E1" s="106"/>
    </row>
    <row r="2" spans="1:256" ht="13" x14ac:dyDescent="0.3">
      <c r="A2" s="1" t="s">
        <v>110</v>
      </c>
      <c r="B2" s="1"/>
      <c r="C2" s="1"/>
      <c r="D2" s="2"/>
      <c r="E2" s="3"/>
    </row>
    <row r="3" spans="1:256" ht="13" x14ac:dyDescent="0.3">
      <c r="A3" s="104" t="s">
        <v>114</v>
      </c>
      <c r="B3" s="106"/>
      <c r="C3" s="106"/>
      <c r="D3" s="106"/>
      <c r="E3" s="106"/>
    </row>
    <row r="4" spans="1:256" ht="13" x14ac:dyDescent="0.3">
      <c r="A4" s="110" t="s">
        <v>112</v>
      </c>
      <c r="B4" s="108"/>
      <c r="C4" s="108"/>
      <c r="D4" s="108"/>
      <c r="E4" s="108"/>
    </row>
    <row r="5" spans="1:256" ht="13" x14ac:dyDescent="0.3">
      <c r="A5" s="63"/>
      <c r="B5" s="91"/>
      <c r="C5" s="91"/>
      <c r="D5" s="91"/>
      <c r="E5" s="91"/>
    </row>
    <row r="6" spans="1:256" ht="13" x14ac:dyDescent="0.3">
      <c r="A6" s="1" t="s">
        <v>24</v>
      </c>
      <c r="B6" s="1"/>
      <c r="C6" s="1"/>
      <c r="D6" s="2"/>
      <c r="E6" s="3"/>
    </row>
    <row r="7" spans="1:256" ht="13" x14ac:dyDescent="0.3">
      <c r="B7" s="7"/>
      <c r="C7" s="8"/>
      <c r="D7" s="8"/>
    </row>
    <row r="8" spans="1:256" ht="13" x14ac:dyDescent="0.3">
      <c r="B8" s="10"/>
      <c r="C8" s="11"/>
      <c r="D8" s="11"/>
    </row>
    <row r="9" spans="1:256" ht="13" x14ac:dyDescent="0.3">
      <c r="A9" s="12" t="s">
        <v>1</v>
      </c>
      <c r="B9" s="13" t="s">
        <v>2</v>
      </c>
      <c r="C9" s="14" t="s">
        <v>25</v>
      </c>
      <c r="D9" s="14" t="s">
        <v>3</v>
      </c>
      <c r="E9" s="15" t="s">
        <v>26</v>
      </c>
    </row>
    <row r="10" spans="1:256" ht="100" x14ac:dyDescent="0.25">
      <c r="A10" s="23">
        <v>10</v>
      </c>
      <c r="B10" s="24" t="s">
        <v>27</v>
      </c>
      <c r="C10" s="24"/>
      <c r="D10" s="25" t="s">
        <v>17</v>
      </c>
      <c r="E10" s="24" t="s">
        <v>42</v>
      </c>
      <c r="F10" s="17"/>
      <c r="G10" s="16"/>
      <c r="H10" s="16"/>
      <c r="I10" s="16"/>
      <c r="J10" s="16"/>
      <c r="K10" s="17"/>
      <c r="L10" s="16"/>
      <c r="M10" s="16"/>
      <c r="N10" s="16"/>
      <c r="O10" s="16"/>
      <c r="P10" s="17"/>
      <c r="Q10" s="16"/>
      <c r="R10" s="16"/>
      <c r="S10" s="16"/>
      <c r="T10" s="16"/>
      <c r="U10" s="17"/>
      <c r="V10" s="16"/>
      <c r="W10" s="16"/>
      <c r="X10" s="16"/>
      <c r="Y10" s="16"/>
      <c r="Z10" s="17"/>
      <c r="AA10" s="16"/>
      <c r="AB10" s="16"/>
      <c r="AC10" s="16"/>
      <c r="AD10" s="16"/>
      <c r="AE10" s="17"/>
      <c r="AF10" s="16"/>
      <c r="AG10" s="16"/>
      <c r="AH10" s="16"/>
      <c r="AI10" s="16"/>
      <c r="AJ10" s="17"/>
      <c r="AK10" s="16"/>
      <c r="AL10" s="16"/>
      <c r="AM10" s="16"/>
      <c r="AN10" s="16"/>
      <c r="AO10" s="17"/>
      <c r="AP10" s="16"/>
      <c r="AQ10" s="16"/>
      <c r="AR10" s="16"/>
      <c r="AS10" s="16"/>
      <c r="AT10" s="17"/>
      <c r="AU10" s="16"/>
      <c r="AV10" s="16"/>
      <c r="AW10" s="16"/>
      <c r="AX10" s="16"/>
      <c r="AY10" s="17"/>
      <c r="AZ10" s="16"/>
      <c r="BA10" s="16"/>
      <c r="BB10" s="16"/>
      <c r="BC10" s="16"/>
      <c r="BD10" s="17"/>
      <c r="BE10" s="16"/>
      <c r="BF10" s="16"/>
      <c r="BG10" s="16"/>
      <c r="BH10" s="16"/>
      <c r="BI10" s="17"/>
      <c r="BJ10" s="16"/>
      <c r="BK10" s="16"/>
      <c r="BL10" s="16"/>
      <c r="BM10" s="16"/>
      <c r="BN10" s="17"/>
      <c r="BO10" s="16"/>
      <c r="BP10" s="16"/>
      <c r="BQ10" s="16"/>
      <c r="BR10" s="16"/>
      <c r="BS10" s="17"/>
      <c r="BT10" s="16"/>
      <c r="BU10" s="16"/>
      <c r="BV10" s="16"/>
      <c r="BW10" s="16"/>
      <c r="BX10" s="17"/>
      <c r="BY10" s="16"/>
      <c r="BZ10" s="16"/>
      <c r="CA10" s="16"/>
      <c r="CB10" s="16"/>
      <c r="CC10" s="17"/>
      <c r="CD10" s="16"/>
      <c r="CE10" s="16"/>
      <c r="CF10" s="16"/>
      <c r="CG10" s="16"/>
      <c r="CH10" s="17"/>
      <c r="CI10" s="16"/>
      <c r="CJ10" s="16"/>
      <c r="CK10" s="16"/>
      <c r="CL10" s="16"/>
      <c r="CM10" s="17"/>
      <c r="CN10" s="16"/>
      <c r="CO10" s="16"/>
      <c r="CP10" s="16"/>
      <c r="CQ10" s="16"/>
      <c r="CR10" s="17"/>
      <c r="CS10" s="16"/>
      <c r="CT10" s="16"/>
      <c r="CU10" s="16"/>
      <c r="CV10" s="16"/>
      <c r="CW10" s="17"/>
      <c r="CX10" s="16"/>
      <c r="CY10" s="16"/>
      <c r="CZ10" s="16"/>
      <c r="DA10" s="16"/>
      <c r="DB10" s="17"/>
      <c r="DC10" s="16"/>
      <c r="DD10" s="16"/>
      <c r="DE10" s="16"/>
      <c r="DF10" s="16"/>
      <c r="DG10" s="17"/>
      <c r="DH10" s="16"/>
      <c r="DI10" s="16"/>
      <c r="DJ10" s="16"/>
      <c r="DK10" s="16"/>
      <c r="DL10" s="17"/>
      <c r="DM10" s="16"/>
      <c r="DN10" s="16"/>
      <c r="DO10" s="16"/>
      <c r="DP10" s="16"/>
      <c r="DQ10" s="17"/>
      <c r="DR10" s="16"/>
      <c r="DS10" s="16"/>
      <c r="DT10" s="16"/>
      <c r="DU10" s="16"/>
      <c r="DV10" s="17"/>
      <c r="DW10" s="16"/>
      <c r="DX10" s="16"/>
      <c r="DY10" s="16"/>
      <c r="DZ10" s="16"/>
      <c r="EA10" s="17"/>
      <c r="EB10" s="16"/>
      <c r="EC10" s="16"/>
      <c r="ED10" s="16"/>
      <c r="EE10" s="16"/>
      <c r="EF10" s="17"/>
      <c r="EG10" s="16"/>
      <c r="EH10" s="16"/>
      <c r="EI10" s="16"/>
      <c r="EJ10" s="16"/>
      <c r="EK10" s="17"/>
      <c r="EL10" s="16"/>
      <c r="EM10" s="16"/>
      <c r="EN10" s="16"/>
      <c r="EO10" s="16"/>
      <c r="EP10" s="17"/>
      <c r="EQ10" s="16"/>
      <c r="ER10" s="16"/>
      <c r="ES10" s="16"/>
      <c r="ET10" s="16"/>
      <c r="EU10" s="17"/>
      <c r="EV10" s="16"/>
      <c r="EW10" s="16"/>
      <c r="EX10" s="16"/>
      <c r="EY10" s="16"/>
      <c r="EZ10" s="17"/>
      <c r="FA10" s="16"/>
      <c r="FB10" s="16"/>
      <c r="FC10" s="16"/>
      <c r="FD10" s="16"/>
      <c r="FE10" s="17"/>
      <c r="FF10" s="16"/>
      <c r="FG10" s="16"/>
      <c r="FH10" s="16"/>
      <c r="FI10" s="16"/>
      <c r="FJ10" s="17"/>
      <c r="FK10" s="16"/>
      <c r="FL10" s="16"/>
      <c r="FM10" s="16"/>
      <c r="FN10" s="16"/>
      <c r="FO10" s="17"/>
      <c r="FP10" s="16"/>
      <c r="FQ10" s="16"/>
      <c r="FR10" s="16"/>
      <c r="FS10" s="16"/>
      <c r="FT10" s="17"/>
      <c r="FU10" s="16"/>
      <c r="FV10" s="16"/>
      <c r="FW10" s="16"/>
      <c r="FX10" s="16"/>
      <c r="FY10" s="17"/>
      <c r="FZ10" s="16"/>
      <c r="GA10" s="16"/>
      <c r="GB10" s="16"/>
      <c r="GC10" s="16"/>
      <c r="GD10" s="17"/>
      <c r="GE10" s="16"/>
      <c r="GF10" s="16"/>
      <c r="GG10" s="16"/>
      <c r="GH10" s="16"/>
      <c r="GI10" s="17"/>
      <c r="GJ10" s="16"/>
      <c r="GK10" s="16"/>
      <c r="GL10" s="16"/>
      <c r="GM10" s="16"/>
      <c r="GN10" s="17"/>
      <c r="GO10" s="16"/>
      <c r="GP10" s="16"/>
      <c r="GQ10" s="16"/>
      <c r="GR10" s="16"/>
      <c r="GS10" s="17"/>
      <c r="GT10" s="16"/>
      <c r="GU10" s="16"/>
      <c r="GV10" s="16"/>
      <c r="GW10" s="16"/>
      <c r="GX10" s="17"/>
      <c r="GY10" s="16"/>
      <c r="GZ10" s="16"/>
      <c r="HA10" s="16"/>
      <c r="HB10" s="16"/>
      <c r="HC10" s="17"/>
      <c r="HD10" s="16"/>
      <c r="HE10" s="16"/>
      <c r="HF10" s="16"/>
      <c r="HG10" s="16"/>
      <c r="HH10" s="17"/>
      <c r="HI10" s="16"/>
      <c r="HJ10" s="16"/>
      <c r="HK10" s="16"/>
      <c r="HL10" s="16"/>
      <c r="HM10" s="17"/>
      <c r="HN10" s="16"/>
      <c r="HO10" s="16"/>
      <c r="HP10" s="16"/>
      <c r="HQ10" s="16"/>
      <c r="HR10" s="17"/>
      <c r="HS10" s="16"/>
      <c r="HT10" s="16"/>
      <c r="HU10" s="16"/>
      <c r="HV10" s="16"/>
      <c r="HW10" s="17"/>
      <c r="HX10" s="16"/>
      <c r="HY10" s="16"/>
      <c r="HZ10" s="16"/>
      <c r="IA10" s="16"/>
      <c r="IB10" s="17"/>
      <c r="IC10" s="16"/>
      <c r="ID10" s="16"/>
      <c r="IE10" s="16"/>
      <c r="IF10" s="16"/>
      <c r="IG10" s="17"/>
      <c r="IH10" s="16"/>
      <c r="II10" s="16"/>
      <c r="IJ10" s="16"/>
      <c r="IK10" s="16"/>
      <c r="IL10" s="17"/>
      <c r="IM10" s="16"/>
      <c r="IN10" s="16"/>
      <c r="IO10" s="16"/>
      <c r="IP10" s="16"/>
      <c r="IQ10" s="17"/>
      <c r="IR10" s="16"/>
      <c r="IS10" s="16"/>
      <c r="IT10" s="16"/>
      <c r="IU10" s="16"/>
      <c r="IV10" s="17"/>
    </row>
    <row r="11" spans="1:256" ht="37.5" x14ac:dyDescent="0.25">
      <c r="A11" s="49"/>
      <c r="B11" s="47"/>
      <c r="C11" s="16"/>
      <c r="D11" s="48" t="s">
        <v>17</v>
      </c>
      <c r="E11" s="16" t="s">
        <v>48</v>
      </c>
      <c r="F11" s="17"/>
      <c r="G11" s="16"/>
      <c r="H11" s="16"/>
      <c r="I11" s="16"/>
      <c r="J11" s="16"/>
      <c r="K11" s="17"/>
      <c r="L11" s="16"/>
      <c r="M11" s="16"/>
      <c r="N11" s="16"/>
      <c r="O11" s="16"/>
      <c r="P11" s="17"/>
      <c r="Q11" s="16"/>
      <c r="R11" s="16"/>
      <c r="S11" s="16"/>
      <c r="T11" s="16"/>
      <c r="U11" s="17"/>
      <c r="V11" s="16"/>
      <c r="W11" s="16"/>
      <c r="X11" s="16"/>
      <c r="Y11" s="16"/>
      <c r="Z11" s="17"/>
      <c r="AA11" s="16"/>
      <c r="AB11" s="16"/>
      <c r="AC11" s="16"/>
      <c r="AD11" s="16"/>
      <c r="AE11" s="17"/>
      <c r="AF11" s="16"/>
      <c r="AG11" s="16"/>
      <c r="AH11" s="16"/>
      <c r="AI11" s="16"/>
      <c r="AJ11" s="17"/>
      <c r="AK11" s="16"/>
      <c r="AL11" s="16"/>
      <c r="AM11" s="16"/>
      <c r="AN11" s="16"/>
      <c r="AO11" s="17"/>
      <c r="AP11" s="16"/>
      <c r="AQ11" s="16"/>
      <c r="AR11" s="16"/>
      <c r="AS11" s="16"/>
      <c r="AT11" s="17"/>
      <c r="AU11" s="16"/>
      <c r="AV11" s="16"/>
      <c r="AW11" s="16"/>
      <c r="AX11" s="16"/>
      <c r="AY11" s="17"/>
      <c r="AZ11" s="16"/>
      <c r="BA11" s="16"/>
      <c r="BB11" s="16"/>
      <c r="BC11" s="16"/>
      <c r="BD11" s="17"/>
      <c r="BE11" s="16"/>
      <c r="BF11" s="16"/>
      <c r="BG11" s="16"/>
      <c r="BH11" s="16"/>
      <c r="BI11" s="17"/>
      <c r="BJ11" s="16"/>
      <c r="BK11" s="16"/>
      <c r="BL11" s="16"/>
      <c r="BM11" s="16"/>
      <c r="BN11" s="17"/>
      <c r="BO11" s="16"/>
      <c r="BP11" s="16"/>
      <c r="BQ11" s="16"/>
      <c r="BR11" s="16"/>
      <c r="BS11" s="17"/>
      <c r="BT11" s="16"/>
      <c r="BU11" s="16"/>
      <c r="BV11" s="16"/>
      <c r="BW11" s="16"/>
      <c r="BX11" s="17"/>
      <c r="BY11" s="16"/>
      <c r="BZ11" s="16"/>
      <c r="CA11" s="16"/>
      <c r="CB11" s="16"/>
      <c r="CC11" s="17"/>
      <c r="CD11" s="16"/>
      <c r="CE11" s="16"/>
      <c r="CF11" s="16"/>
      <c r="CG11" s="16"/>
      <c r="CH11" s="17"/>
      <c r="CI11" s="16"/>
      <c r="CJ11" s="16"/>
      <c r="CK11" s="16"/>
      <c r="CL11" s="16"/>
      <c r="CM11" s="17"/>
      <c r="CN11" s="16"/>
      <c r="CO11" s="16"/>
      <c r="CP11" s="16"/>
      <c r="CQ11" s="16"/>
      <c r="CR11" s="17"/>
      <c r="CS11" s="16"/>
      <c r="CT11" s="16"/>
      <c r="CU11" s="16"/>
      <c r="CV11" s="16"/>
      <c r="CW11" s="17"/>
      <c r="CX11" s="16"/>
      <c r="CY11" s="16"/>
      <c r="CZ11" s="16"/>
      <c r="DA11" s="16"/>
      <c r="DB11" s="17"/>
      <c r="DC11" s="16"/>
      <c r="DD11" s="16"/>
      <c r="DE11" s="16"/>
      <c r="DF11" s="16"/>
      <c r="DG11" s="17"/>
      <c r="DH11" s="16"/>
      <c r="DI11" s="16"/>
      <c r="DJ11" s="16"/>
      <c r="DK11" s="16"/>
      <c r="DL11" s="17"/>
      <c r="DM11" s="16"/>
      <c r="DN11" s="16"/>
      <c r="DO11" s="16"/>
      <c r="DP11" s="16"/>
      <c r="DQ11" s="17"/>
      <c r="DR11" s="16"/>
      <c r="DS11" s="16"/>
      <c r="DT11" s="16"/>
      <c r="DU11" s="16"/>
      <c r="DV11" s="17"/>
      <c r="DW11" s="16"/>
      <c r="DX11" s="16"/>
      <c r="DY11" s="16"/>
      <c r="DZ11" s="16"/>
      <c r="EA11" s="17"/>
      <c r="EB11" s="16"/>
      <c r="EC11" s="16"/>
      <c r="ED11" s="16"/>
      <c r="EE11" s="16"/>
      <c r="EF11" s="17"/>
      <c r="EG11" s="16"/>
      <c r="EH11" s="16"/>
      <c r="EI11" s="16"/>
      <c r="EJ11" s="16"/>
      <c r="EK11" s="17"/>
      <c r="EL11" s="16"/>
      <c r="EM11" s="16"/>
      <c r="EN11" s="16"/>
      <c r="EO11" s="16"/>
      <c r="EP11" s="17"/>
      <c r="EQ11" s="16"/>
      <c r="ER11" s="16"/>
      <c r="ES11" s="16"/>
      <c r="ET11" s="16"/>
      <c r="EU11" s="17"/>
      <c r="EV11" s="16"/>
      <c r="EW11" s="16"/>
      <c r="EX11" s="16"/>
      <c r="EY11" s="16"/>
      <c r="EZ11" s="17"/>
      <c r="FA11" s="16"/>
      <c r="FB11" s="16"/>
      <c r="FC11" s="16"/>
      <c r="FD11" s="16"/>
      <c r="FE11" s="17"/>
      <c r="FF11" s="16"/>
      <c r="FG11" s="16"/>
      <c r="FH11" s="16"/>
      <c r="FI11" s="16"/>
      <c r="FJ11" s="17"/>
      <c r="FK11" s="16"/>
      <c r="FL11" s="16"/>
      <c r="FM11" s="16"/>
      <c r="FN11" s="16"/>
      <c r="FO11" s="17"/>
      <c r="FP11" s="16"/>
      <c r="FQ11" s="16"/>
      <c r="FR11" s="16"/>
      <c r="FS11" s="16"/>
      <c r="FT11" s="17"/>
      <c r="FU11" s="16"/>
      <c r="FV11" s="16"/>
      <c r="FW11" s="16"/>
      <c r="FX11" s="16"/>
      <c r="FY11" s="17"/>
      <c r="FZ11" s="16"/>
      <c r="GA11" s="16"/>
      <c r="GB11" s="16"/>
      <c r="GC11" s="16"/>
      <c r="GD11" s="17"/>
      <c r="GE11" s="16"/>
      <c r="GF11" s="16"/>
      <c r="GG11" s="16"/>
      <c r="GH11" s="16"/>
      <c r="GI11" s="17"/>
      <c r="GJ11" s="16"/>
      <c r="GK11" s="16"/>
      <c r="GL11" s="16"/>
      <c r="GM11" s="16"/>
      <c r="GN11" s="17"/>
      <c r="GO11" s="16"/>
      <c r="GP11" s="16"/>
      <c r="GQ11" s="16"/>
      <c r="GR11" s="16"/>
      <c r="GS11" s="17"/>
      <c r="GT11" s="16"/>
      <c r="GU11" s="16"/>
      <c r="GV11" s="16"/>
      <c r="GW11" s="16"/>
      <c r="GX11" s="17"/>
      <c r="GY11" s="16"/>
      <c r="GZ11" s="16"/>
      <c r="HA11" s="16"/>
      <c r="HB11" s="16"/>
      <c r="HC11" s="17"/>
      <c r="HD11" s="16"/>
      <c r="HE11" s="16"/>
      <c r="HF11" s="16"/>
      <c r="HG11" s="16"/>
      <c r="HH11" s="17"/>
      <c r="HI11" s="16"/>
      <c r="HJ11" s="16"/>
      <c r="HK11" s="16"/>
      <c r="HL11" s="16"/>
      <c r="HM11" s="17"/>
      <c r="HN11" s="16"/>
      <c r="HO11" s="16"/>
      <c r="HP11" s="16"/>
      <c r="HQ11" s="16"/>
      <c r="HR11" s="17"/>
      <c r="HS11" s="16"/>
      <c r="HT11" s="16"/>
      <c r="HU11" s="16"/>
      <c r="HV11" s="16"/>
      <c r="HW11" s="17"/>
      <c r="HX11" s="16"/>
      <c r="HY11" s="16"/>
      <c r="HZ11" s="16"/>
      <c r="IA11" s="16"/>
      <c r="IB11" s="17"/>
      <c r="IC11" s="16"/>
      <c r="ID11" s="16"/>
      <c r="IE11" s="16"/>
      <c r="IF11" s="16"/>
      <c r="IG11" s="17"/>
      <c r="IH11" s="16"/>
      <c r="II11" s="16"/>
      <c r="IJ11" s="16"/>
      <c r="IK11" s="16"/>
      <c r="IL11" s="17"/>
      <c r="IM11" s="16"/>
      <c r="IN11" s="16"/>
      <c r="IO11" s="16"/>
      <c r="IP11" s="16"/>
      <c r="IQ11" s="17"/>
      <c r="IR11" s="16"/>
      <c r="IS11" s="16"/>
      <c r="IT11" s="16"/>
      <c r="IU11" s="16"/>
      <c r="IV11" s="17"/>
    </row>
    <row r="12" spans="1:256" ht="50" x14ac:dyDescent="0.25">
      <c r="A12" s="18"/>
      <c r="B12" s="19"/>
      <c r="C12" s="16"/>
      <c r="D12" s="16"/>
      <c r="E12" s="16" t="s">
        <v>38</v>
      </c>
      <c r="F12" s="17"/>
      <c r="G12" s="16"/>
      <c r="H12" s="16"/>
      <c r="I12" s="16"/>
      <c r="J12" s="16"/>
      <c r="K12" s="17"/>
      <c r="L12" s="16"/>
      <c r="M12" s="16"/>
      <c r="N12" s="16"/>
      <c r="O12" s="16"/>
      <c r="P12" s="17"/>
      <c r="Q12" s="16"/>
      <c r="R12" s="16"/>
      <c r="S12" s="16"/>
      <c r="T12" s="16"/>
      <c r="U12" s="17"/>
      <c r="V12" s="16"/>
      <c r="W12" s="16"/>
      <c r="X12" s="16"/>
      <c r="Y12" s="16"/>
      <c r="Z12" s="17"/>
      <c r="AA12" s="16"/>
      <c r="AB12" s="16"/>
      <c r="AC12" s="16"/>
      <c r="AD12" s="16"/>
      <c r="AE12" s="17"/>
      <c r="AF12" s="16"/>
      <c r="AG12" s="16"/>
      <c r="AH12" s="16"/>
      <c r="AI12" s="16"/>
      <c r="AJ12" s="17"/>
      <c r="AK12" s="16"/>
      <c r="AL12" s="16"/>
      <c r="AM12" s="16"/>
      <c r="AN12" s="16"/>
      <c r="AO12" s="17"/>
      <c r="AP12" s="16"/>
      <c r="AQ12" s="16"/>
      <c r="AR12" s="16"/>
      <c r="AS12" s="16"/>
      <c r="AT12" s="17"/>
      <c r="AU12" s="16"/>
      <c r="AV12" s="16"/>
      <c r="AW12" s="16"/>
      <c r="AX12" s="16"/>
      <c r="AY12" s="17"/>
      <c r="AZ12" s="16"/>
      <c r="BA12" s="16"/>
      <c r="BB12" s="16"/>
      <c r="BC12" s="16"/>
      <c r="BD12" s="17"/>
      <c r="BE12" s="16"/>
      <c r="BF12" s="16"/>
      <c r="BG12" s="16"/>
      <c r="BH12" s="16"/>
      <c r="BI12" s="17"/>
      <c r="BJ12" s="16"/>
      <c r="BK12" s="16"/>
      <c r="BL12" s="16"/>
      <c r="BM12" s="16"/>
      <c r="BN12" s="17"/>
      <c r="BO12" s="16"/>
      <c r="BP12" s="16"/>
      <c r="BQ12" s="16"/>
      <c r="BR12" s="16"/>
      <c r="BS12" s="17"/>
      <c r="BT12" s="16"/>
      <c r="BU12" s="16"/>
      <c r="BV12" s="16"/>
      <c r="BW12" s="16"/>
      <c r="BX12" s="17"/>
      <c r="BY12" s="16"/>
      <c r="BZ12" s="16"/>
      <c r="CA12" s="16"/>
      <c r="CB12" s="16"/>
      <c r="CC12" s="17"/>
      <c r="CD12" s="16"/>
      <c r="CE12" s="16"/>
      <c r="CF12" s="16"/>
      <c r="CG12" s="16"/>
      <c r="CH12" s="17"/>
      <c r="CI12" s="16"/>
      <c r="CJ12" s="16"/>
      <c r="CK12" s="16"/>
      <c r="CL12" s="16"/>
      <c r="CM12" s="17"/>
      <c r="CN12" s="16"/>
      <c r="CO12" s="16"/>
      <c r="CP12" s="16"/>
      <c r="CQ12" s="16"/>
      <c r="CR12" s="17"/>
      <c r="CS12" s="16"/>
      <c r="CT12" s="16"/>
      <c r="CU12" s="16"/>
      <c r="CV12" s="16"/>
      <c r="CW12" s="17"/>
      <c r="CX12" s="16"/>
      <c r="CY12" s="16"/>
      <c r="CZ12" s="16"/>
      <c r="DA12" s="16"/>
      <c r="DB12" s="17"/>
      <c r="DC12" s="16"/>
      <c r="DD12" s="16"/>
      <c r="DE12" s="16"/>
      <c r="DF12" s="16"/>
      <c r="DG12" s="17"/>
      <c r="DH12" s="16"/>
      <c r="DI12" s="16"/>
      <c r="DJ12" s="16"/>
      <c r="DK12" s="16"/>
      <c r="DL12" s="17"/>
      <c r="DM12" s="16"/>
      <c r="DN12" s="16"/>
      <c r="DO12" s="16"/>
      <c r="DP12" s="16"/>
      <c r="DQ12" s="17"/>
      <c r="DR12" s="16"/>
      <c r="DS12" s="16"/>
      <c r="DT12" s="16"/>
      <c r="DU12" s="16"/>
      <c r="DV12" s="17"/>
      <c r="DW12" s="16"/>
      <c r="DX12" s="16"/>
      <c r="DY12" s="16"/>
      <c r="DZ12" s="16"/>
      <c r="EA12" s="17"/>
      <c r="EB12" s="16"/>
      <c r="EC12" s="16"/>
      <c r="ED12" s="16"/>
      <c r="EE12" s="16"/>
      <c r="EF12" s="17"/>
      <c r="EG12" s="16"/>
      <c r="EH12" s="16"/>
      <c r="EI12" s="16"/>
      <c r="EJ12" s="16"/>
      <c r="EK12" s="17"/>
      <c r="EL12" s="16"/>
      <c r="EM12" s="16"/>
      <c r="EN12" s="16"/>
      <c r="EO12" s="16"/>
      <c r="EP12" s="17"/>
      <c r="EQ12" s="16"/>
      <c r="ER12" s="16"/>
      <c r="ES12" s="16"/>
      <c r="ET12" s="16"/>
      <c r="EU12" s="17"/>
      <c r="EV12" s="16"/>
      <c r="EW12" s="16"/>
      <c r="EX12" s="16"/>
      <c r="EY12" s="16"/>
      <c r="EZ12" s="17"/>
      <c r="FA12" s="16"/>
      <c r="FB12" s="16"/>
      <c r="FC12" s="16"/>
      <c r="FD12" s="16"/>
      <c r="FE12" s="17"/>
      <c r="FF12" s="16"/>
      <c r="FG12" s="16"/>
      <c r="FH12" s="16"/>
      <c r="FI12" s="16"/>
      <c r="FJ12" s="17"/>
      <c r="FK12" s="16"/>
      <c r="FL12" s="16"/>
      <c r="FM12" s="16"/>
      <c r="FN12" s="16"/>
      <c r="FO12" s="17"/>
      <c r="FP12" s="16"/>
      <c r="FQ12" s="16"/>
      <c r="FR12" s="16"/>
      <c r="FS12" s="16"/>
      <c r="FT12" s="17"/>
      <c r="FU12" s="16"/>
      <c r="FV12" s="16"/>
      <c r="FW12" s="16"/>
      <c r="FX12" s="16"/>
      <c r="FY12" s="17"/>
      <c r="FZ12" s="16"/>
      <c r="GA12" s="16"/>
      <c r="GB12" s="16"/>
      <c r="GC12" s="16"/>
      <c r="GD12" s="17"/>
      <c r="GE12" s="16"/>
      <c r="GF12" s="16"/>
      <c r="GG12" s="16"/>
      <c r="GH12" s="16"/>
      <c r="GI12" s="17"/>
      <c r="GJ12" s="16"/>
      <c r="GK12" s="16"/>
      <c r="GL12" s="16"/>
      <c r="GM12" s="16"/>
      <c r="GN12" s="17"/>
      <c r="GO12" s="16"/>
      <c r="GP12" s="16"/>
      <c r="GQ12" s="16"/>
      <c r="GR12" s="16"/>
      <c r="GS12" s="17"/>
      <c r="GT12" s="16"/>
      <c r="GU12" s="16"/>
      <c r="GV12" s="16"/>
      <c r="GW12" s="16"/>
      <c r="GX12" s="17"/>
      <c r="GY12" s="16"/>
      <c r="GZ12" s="16"/>
      <c r="HA12" s="16"/>
      <c r="HB12" s="16"/>
      <c r="HC12" s="17"/>
      <c r="HD12" s="16"/>
      <c r="HE12" s="16"/>
      <c r="HF12" s="16"/>
      <c r="HG12" s="16"/>
      <c r="HH12" s="17"/>
      <c r="HI12" s="16"/>
      <c r="HJ12" s="16"/>
      <c r="HK12" s="16"/>
      <c r="HL12" s="16"/>
      <c r="HM12" s="17"/>
      <c r="HN12" s="16"/>
      <c r="HO12" s="16"/>
      <c r="HP12" s="16"/>
      <c r="HQ12" s="16"/>
      <c r="HR12" s="17"/>
      <c r="HS12" s="16"/>
      <c r="HT12" s="16"/>
      <c r="HU12" s="16"/>
      <c r="HV12" s="16"/>
      <c r="HW12" s="17"/>
      <c r="HX12" s="16"/>
      <c r="HY12" s="16"/>
      <c r="HZ12" s="16"/>
      <c r="IA12" s="16"/>
      <c r="IB12" s="17"/>
      <c r="IC12" s="16"/>
      <c r="ID12" s="16"/>
      <c r="IE12" s="16"/>
      <c r="IF12" s="16"/>
      <c r="IG12" s="17"/>
      <c r="IH12" s="16"/>
      <c r="II12" s="16"/>
      <c r="IJ12" s="16"/>
      <c r="IK12" s="16"/>
      <c r="IL12" s="17"/>
      <c r="IM12" s="16"/>
      <c r="IN12" s="16"/>
      <c r="IO12" s="16"/>
      <c r="IP12" s="16"/>
      <c r="IQ12" s="17"/>
      <c r="IR12" s="16"/>
      <c r="IS12" s="16"/>
      <c r="IT12" s="16"/>
      <c r="IU12" s="16"/>
      <c r="IV12" s="17"/>
    </row>
    <row r="13" spans="1:256" ht="62.5" x14ac:dyDescent="0.25">
      <c r="A13" s="18"/>
      <c r="B13" s="19"/>
      <c r="C13" s="16"/>
      <c r="D13" s="16"/>
      <c r="E13" s="16" t="s">
        <v>39</v>
      </c>
      <c r="F13" s="17"/>
      <c r="G13" s="16"/>
      <c r="H13" s="16"/>
      <c r="I13" s="16"/>
      <c r="J13" s="16"/>
      <c r="K13" s="17"/>
      <c r="L13" s="16"/>
      <c r="M13" s="16"/>
      <c r="N13" s="16"/>
      <c r="O13" s="16"/>
      <c r="P13" s="17"/>
      <c r="Q13" s="16"/>
      <c r="R13" s="16"/>
      <c r="S13" s="16"/>
      <c r="T13" s="16"/>
      <c r="U13" s="17"/>
      <c r="V13" s="16"/>
      <c r="W13" s="16"/>
      <c r="X13" s="16"/>
      <c r="Y13" s="16"/>
      <c r="Z13" s="17"/>
      <c r="AA13" s="16"/>
      <c r="AB13" s="16"/>
      <c r="AC13" s="16"/>
      <c r="AD13" s="16"/>
      <c r="AE13" s="17"/>
      <c r="AF13" s="16"/>
      <c r="AG13" s="16"/>
      <c r="AH13" s="16"/>
      <c r="AI13" s="16"/>
      <c r="AJ13" s="17"/>
      <c r="AK13" s="16"/>
      <c r="AL13" s="16"/>
      <c r="AM13" s="16"/>
      <c r="AN13" s="16"/>
      <c r="AO13" s="17"/>
      <c r="AP13" s="16"/>
      <c r="AQ13" s="16"/>
      <c r="AR13" s="16"/>
      <c r="AS13" s="16"/>
      <c r="AT13" s="17"/>
      <c r="AU13" s="16"/>
      <c r="AV13" s="16"/>
      <c r="AW13" s="16"/>
      <c r="AX13" s="16"/>
      <c r="AY13" s="17"/>
      <c r="AZ13" s="16"/>
      <c r="BA13" s="16"/>
      <c r="BB13" s="16"/>
      <c r="BC13" s="16"/>
      <c r="BD13" s="17"/>
      <c r="BE13" s="16"/>
      <c r="BF13" s="16"/>
      <c r="BG13" s="16"/>
      <c r="BH13" s="16"/>
      <c r="BI13" s="17"/>
      <c r="BJ13" s="16"/>
      <c r="BK13" s="16"/>
      <c r="BL13" s="16"/>
      <c r="BM13" s="16"/>
      <c r="BN13" s="17"/>
      <c r="BO13" s="16"/>
      <c r="BP13" s="16"/>
      <c r="BQ13" s="16"/>
      <c r="BR13" s="16"/>
      <c r="BS13" s="17"/>
      <c r="BT13" s="16"/>
      <c r="BU13" s="16"/>
      <c r="BV13" s="16"/>
      <c r="BW13" s="16"/>
      <c r="BX13" s="17"/>
      <c r="BY13" s="16"/>
      <c r="BZ13" s="16"/>
      <c r="CA13" s="16"/>
      <c r="CB13" s="16"/>
      <c r="CC13" s="17"/>
      <c r="CD13" s="16"/>
      <c r="CE13" s="16"/>
      <c r="CF13" s="16"/>
      <c r="CG13" s="16"/>
      <c r="CH13" s="17"/>
      <c r="CI13" s="16"/>
      <c r="CJ13" s="16"/>
      <c r="CK13" s="16"/>
      <c r="CL13" s="16"/>
      <c r="CM13" s="17"/>
      <c r="CN13" s="16"/>
      <c r="CO13" s="16"/>
      <c r="CP13" s="16"/>
      <c r="CQ13" s="16"/>
      <c r="CR13" s="17"/>
      <c r="CS13" s="16"/>
      <c r="CT13" s="16"/>
      <c r="CU13" s="16"/>
      <c r="CV13" s="16"/>
      <c r="CW13" s="17"/>
      <c r="CX13" s="16"/>
      <c r="CY13" s="16"/>
      <c r="CZ13" s="16"/>
      <c r="DA13" s="16"/>
      <c r="DB13" s="17"/>
      <c r="DC13" s="16"/>
      <c r="DD13" s="16"/>
      <c r="DE13" s="16"/>
      <c r="DF13" s="16"/>
      <c r="DG13" s="17"/>
      <c r="DH13" s="16"/>
      <c r="DI13" s="16"/>
      <c r="DJ13" s="16"/>
      <c r="DK13" s="16"/>
      <c r="DL13" s="17"/>
      <c r="DM13" s="16"/>
      <c r="DN13" s="16"/>
      <c r="DO13" s="16"/>
      <c r="DP13" s="16"/>
      <c r="DQ13" s="17"/>
      <c r="DR13" s="16"/>
      <c r="DS13" s="16"/>
      <c r="DT13" s="16"/>
      <c r="DU13" s="16"/>
      <c r="DV13" s="17"/>
      <c r="DW13" s="16"/>
      <c r="DX13" s="16"/>
      <c r="DY13" s="16"/>
      <c r="DZ13" s="16"/>
      <c r="EA13" s="17"/>
      <c r="EB13" s="16"/>
      <c r="EC13" s="16"/>
      <c r="ED13" s="16"/>
      <c r="EE13" s="16"/>
      <c r="EF13" s="17"/>
      <c r="EG13" s="16"/>
      <c r="EH13" s="16"/>
      <c r="EI13" s="16"/>
      <c r="EJ13" s="16"/>
      <c r="EK13" s="17"/>
      <c r="EL13" s="16"/>
      <c r="EM13" s="16"/>
      <c r="EN13" s="16"/>
      <c r="EO13" s="16"/>
      <c r="EP13" s="17"/>
      <c r="EQ13" s="16"/>
      <c r="ER13" s="16"/>
      <c r="ES13" s="16"/>
      <c r="ET13" s="16"/>
      <c r="EU13" s="17"/>
      <c r="EV13" s="16"/>
      <c r="EW13" s="16"/>
      <c r="EX13" s="16"/>
      <c r="EY13" s="16"/>
      <c r="EZ13" s="17"/>
      <c r="FA13" s="16"/>
      <c r="FB13" s="16"/>
      <c r="FC13" s="16"/>
      <c r="FD13" s="16"/>
      <c r="FE13" s="17"/>
      <c r="FF13" s="16"/>
      <c r="FG13" s="16"/>
      <c r="FH13" s="16"/>
      <c r="FI13" s="16"/>
      <c r="FJ13" s="17"/>
      <c r="FK13" s="16"/>
      <c r="FL13" s="16"/>
      <c r="FM13" s="16"/>
      <c r="FN13" s="16"/>
      <c r="FO13" s="17"/>
      <c r="FP13" s="16"/>
      <c r="FQ13" s="16"/>
      <c r="FR13" s="16"/>
      <c r="FS13" s="16"/>
      <c r="FT13" s="17"/>
      <c r="FU13" s="16"/>
      <c r="FV13" s="16"/>
      <c r="FW13" s="16"/>
      <c r="FX13" s="16"/>
      <c r="FY13" s="17"/>
      <c r="FZ13" s="16"/>
      <c r="GA13" s="16"/>
      <c r="GB13" s="16"/>
      <c r="GC13" s="16"/>
      <c r="GD13" s="17"/>
      <c r="GE13" s="16"/>
      <c r="GF13" s="16"/>
      <c r="GG13" s="16"/>
      <c r="GH13" s="16"/>
      <c r="GI13" s="17"/>
      <c r="GJ13" s="16"/>
      <c r="GK13" s="16"/>
      <c r="GL13" s="16"/>
      <c r="GM13" s="16"/>
      <c r="GN13" s="17"/>
      <c r="GO13" s="16"/>
      <c r="GP13" s="16"/>
      <c r="GQ13" s="16"/>
      <c r="GR13" s="16"/>
      <c r="GS13" s="17"/>
      <c r="GT13" s="16"/>
      <c r="GU13" s="16"/>
      <c r="GV13" s="16"/>
      <c r="GW13" s="16"/>
      <c r="GX13" s="17"/>
      <c r="GY13" s="16"/>
      <c r="GZ13" s="16"/>
      <c r="HA13" s="16"/>
      <c r="HB13" s="16"/>
      <c r="HC13" s="17"/>
      <c r="HD13" s="16"/>
      <c r="HE13" s="16"/>
      <c r="HF13" s="16"/>
      <c r="HG13" s="16"/>
      <c r="HH13" s="17"/>
      <c r="HI13" s="16"/>
      <c r="HJ13" s="16"/>
      <c r="HK13" s="16"/>
      <c r="HL13" s="16"/>
      <c r="HM13" s="17"/>
      <c r="HN13" s="16"/>
      <c r="HO13" s="16"/>
      <c r="HP13" s="16"/>
      <c r="HQ13" s="16"/>
      <c r="HR13" s="17"/>
      <c r="HS13" s="16"/>
      <c r="HT13" s="16"/>
      <c r="HU13" s="16"/>
      <c r="HV13" s="16"/>
      <c r="HW13" s="17"/>
      <c r="HX13" s="16"/>
      <c r="HY13" s="16"/>
      <c r="HZ13" s="16"/>
      <c r="IA13" s="16"/>
      <c r="IB13" s="17"/>
      <c r="IC13" s="16"/>
      <c r="ID13" s="16"/>
      <c r="IE13" s="16"/>
      <c r="IF13" s="16"/>
      <c r="IG13" s="17"/>
      <c r="IH13" s="16"/>
      <c r="II13" s="16"/>
      <c r="IJ13" s="16"/>
      <c r="IK13" s="16"/>
      <c r="IL13" s="17"/>
      <c r="IM13" s="16"/>
      <c r="IN13" s="16"/>
      <c r="IO13" s="16"/>
      <c r="IP13" s="16"/>
      <c r="IQ13" s="17"/>
      <c r="IR13" s="16"/>
      <c r="IS13" s="16"/>
      <c r="IT13" s="16"/>
      <c r="IU13" s="16"/>
      <c r="IV13" s="17"/>
    </row>
  </sheetData>
  <mergeCells count="3">
    <mergeCell ref="A1:E1"/>
    <mergeCell ref="A3:E3"/>
    <mergeCell ref="A4:E4"/>
  </mergeCells>
  <phoneticPr fontId="0" type="noConversion"/>
  <printOptions horizontalCentered="1"/>
  <pageMargins left="0.31" right="0.34" top="1" bottom="1" header="0.5" footer="0.5"/>
  <pageSetup scale="72" fitToHeight="0" orientation="landscape" horizontalDpi="4294967292" r:id="rId1"/>
  <headerFooter alignWithMargins="0">
    <oddHeader xml:space="preserve">&amp;RSchedule IV-J-4
&amp;A
Page &amp;P of &amp;N
</oddHeader>
    <oddFooter>&amp;LSponsored by: Nora D. Williams</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D7645638A6BA4A903C04B5C9F7EDEE" ma:contentTypeVersion="0" ma:contentTypeDescription="Create a new document." ma:contentTypeScope="" ma:versionID="3a0828b1569d7c9c8f13eba4d0d5b75f">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e9c0b8d7-bdb4-4fd3-b62a-f50327aaefce" origin="autoSelectedSuggestion">
  <element uid="50c31824-0780-4910-87d1-eaaffd182d42" value=""/>
  <element uid="c64218ab-b8d1-40b6-a478-cb8be1e10ecc" value=""/>
</sisl>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78637FE-E8BD-4A6B-880D-E3DA41CA93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8E0D6743-0561-4C80-BA02-30B6921E0C86}">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94CA085E-E208-4F8C-802A-8F273542E476}">
  <ds:schemaRefs>
    <ds:schemaRef ds:uri="http://schemas.microsoft.com/office/infopath/2007/PartnerControl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www.w3.org/XML/1998/namespace"/>
    <ds:schemaRef ds:uri="http://purl.org/dc/dcmitype/"/>
  </ds:schemaRefs>
</ds:datastoreItem>
</file>

<file path=customXml/itemProps4.xml><?xml version="1.0" encoding="utf-8"?>
<ds:datastoreItem xmlns:ds="http://schemas.openxmlformats.org/officeDocument/2006/customXml" ds:itemID="{F4DBF999-BF19-4D9D-A8E4-D395D65663A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IV-J-4(a) TND</vt:lpstr>
      <vt:lpstr>IV-J-4(b1) TND</vt:lpstr>
      <vt:lpstr>IV-J-4(b2) TND</vt:lpstr>
      <vt:lpstr>IV-J-4(c) TND</vt:lpstr>
      <vt:lpstr>'IV-J-4(a) TND'!Print_Area</vt:lpstr>
      <vt:lpstr>'IV-J-4(b1) TND'!Print_Area</vt:lpstr>
      <vt:lpstr>'IV-J-4(b2) TND'!Print_Area</vt:lpstr>
      <vt:lpstr>'IV-J-4(c) TND'!Print_Area</vt:lpstr>
      <vt:lpstr>'IV-J-4(c) TND'!Print_Titles</vt:lpstr>
    </vt:vector>
  </TitlesOfParts>
  <Company>Central and South West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 Dunn</dc:creator>
  <cp:keywords>AEP Internal</cp:keywords>
  <cp:lastModifiedBy>s254353</cp:lastModifiedBy>
  <cp:lastPrinted>2019-04-21T00:10:43Z</cp:lastPrinted>
  <dcterms:created xsi:type="dcterms:W3CDTF">2000-02-09T23:09:06Z</dcterms:created>
  <dcterms:modified xsi:type="dcterms:W3CDTF">2019-04-21T00:11:45Z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4b548ba9-2bd1-41e0-a0b3-e2a3e38dd0c2</vt:lpwstr>
  </property>
  <property fmtid="{D5CDD505-2E9C-101B-9397-08002B2CF9AE}" pid="3" name="bjSaver">
    <vt:lpwstr>+67csA82yKjSjnon/76tuYCQckurr173</vt:lpwstr>
  </property>
  <property fmtid="{D5CDD505-2E9C-101B-9397-08002B2CF9AE}" pid="4" name="bjDocumentSecurityLabel">
    <vt:lpwstr>AEP Internal</vt:lpwstr>
  </property>
  <property fmtid="{D5CDD505-2E9C-101B-9397-08002B2CF9AE}" pid="5" name="bjDocumentLabelXML">
    <vt:lpwstr>&lt;?xml version="1.0" encoding="us-ascii"?&gt;&lt;sisl xmlns:xsi="http://www.w3.org/2001/XMLSchema-instance" xmlns:xsd="http://www.w3.org/2001/XMLSchema" sislVersion="0" policy="e9c0b8d7-bdb4-4fd3-b62a-f50327aaefce" origin="autoSelectedSuggestion" xmlns="http://w</vt:lpwstr>
  </property>
  <property fmtid="{D5CDD505-2E9C-101B-9397-08002B2CF9AE}" pid="6" name="bjDocumentLabelXML-0">
    <vt:lpwstr>ww.boldonjames.com/2008/01/sie/internal/label"&gt;&lt;element uid="50c31824-0780-4910-87d1-eaaffd182d42" value="" /&gt;&lt;element uid="c64218ab-b8d1-40b6-a478-cb8be1e10ecc" value="" /&gt;&lt;/sisl&gt;</vt:lpwstr>
  </property>
  <property fmtid="{D5CDD505-2E9C-101B-9397-08002B2CF9AE}" pid="7" name="Visual Markings Removed">
    <vt:lpwstr>No</vt:lpwstr>
  </property>
  <property fmtid="{D5CDD505-2E9C-101B-9397-08002B2CF9AE}" pid="8" name="ContentTypeId">
    <vt:lpwstr>0x01010068D7645638A6BA4A903C04B5C9F7EDEE</vt:lpwstr>
  </property>
</Properties>
</file>