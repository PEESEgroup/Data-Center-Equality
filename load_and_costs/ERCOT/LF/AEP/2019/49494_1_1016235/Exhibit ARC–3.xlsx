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1460"/>
  </bookViews>
  <sheets>
    <sheet name="Phy &amp; craft" sheetId="2" r:id="rId1"/>
  </sheets>
  <definedNames>
    <definedName name="_xlnm._FilterDatabase" localSheetId="0" hidden="1">'Phy &amp; craft'!$A$4:$K$16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2" l="1"/>
  <c r="B18" i="2"/>
  <c r="K20" i="2" s="1"/>
  <c r="K6" i="2"/>
  <c r="K7" i="2"/>
  <c r="K8" i="2"/>
  <c r="K9" i="2"/>
  <c r="K10" i="2"/>
  <c r="K11" i="2"/>
  <c r="K12" i="2"/>
  <c r="K13" i="2"/>
  <c r="K14" i="2"/>
  <c r="K15" i="2"/>
  <c r="K16" i="2"/>
  <c r="K5" i="2"/>
  <c r="K21" i="2" l="1"/>
  <c r="K18" i="2"/>
  <c r="H6" i="2" l="1"/>
  <c r="H7" i="2"/>
  <c r="H8" i="2"/>
  <c r="H9" i="2"/>
  <c r="H10" i="2"/>
  <c r="H11" i="2"/>
  <c r="H12" i="2"/>
  <c r="H13" i="2"/>
  <c r="H14" i="2"/>
  <c r="H15" i="2"/>
  <c r="H16" i="2"/>
  <c r="H5" i="2"/>
  <c r="D16" i="2"/>
  <c r="E16" i="2" s="1"/>
  <c r="J16" i="2" s="1"/>
  <c r="D15" i="2"/>
  <c r="E15" i="2" s="1"/>
  <c r="J15" i="2" s="1"/>
  <c r="D14" i="2"/>
  <c r="E14" i="2" s="1"/>
  <c r="J14" i="2" s="1"/>
  <c r="D13" i="2"/>
  <c r="E13" i="2" s="1"/>
  <c r="J13" i="2" s="1"/>
  <c r="D12" i="2"/>
  <c r="E12" i="2" s="1"/>
  <c r="J12" i="2" s="1"/>
  <c r="D11" i="2"/>
  <c r="E11" i="2" s="1"/>
  <c r="J11" i="2" s="1"/>
  <c r="D10" i="2"/>
  <c r="E10" i="2" s="1"/>
  <c r="J10" i="2" s="1"/>
  <c r="D9" i="2"/>
  <c r="E9" i="2" s="1"/>
  <c r="J9" i="2" s="1"/>
  <c r="D8" i="2"/>
  <c r="E8" i="2" s="1"/>
  <c r="J8" i="2" s="1"/>
  <c r="D7" i="2"/>
  <c r="E7" i="2" s="1"/>
  <c r="J7" i="2" s="1"/>
  <c r="D6" i="2"/>
  <c r="E6" i="2" s="1"/>
  <c r="J6" i="2" s="1"/>
  <c r="D5" i="2"/>
  <c r="E5" i="2" s="1"/>
  <c r="J5" i="2" s="1"/>
  <c r="J21" i="2" l="1"/>
  <c r="J20" i="2"/>
  <c r="J18" i="2"/>
</calcChain>
</file>

<file path=xl/sharedStrings.xml><?xml version="1.0" encoding="utf-8"?>
<sst xmlns="http://schemas.openxmlformats.org/spreadsheetml/2006/main" count="34" uniqueCount="34">
  <si>
    <t>Target TCC</t>
  </si>
  <si>
    <t>Average</t>
  </si>
  <si>
    <t>% Difference</t>
  </si>
  <si>
    <r>
      <t>Base</t>
    </r>
    <r>
      <rPr>
        <b/>
        <vertAlign val="superscript"/>
        <sz val="10"/>
        <rFont val="Arial"/>
        <family val="2"/>
      </rPr>
      <t>1</t>
    </r>
  </si>
  <si>
    <r>
      <t>Target Annual Incentive</t>
    </r>
    <r>
      <rPr>
        <b/>
        <vertAlign val="superscript"/>
        <sz val="10"/>
        <rFont val="Arial"/>
        <family val="2"/>
      </rPr>
      <t>2</t>
    </r>
  </si>
  <si>
    <r>
      <t>Base</t>
    </r>
    <r>
      <rPr>
        <b/>
        <vertAlign val="superscript"/>
        <sz val="10"/>
        <rFont val="Arial"/>
        <family val="2"/>
      </rPr>
      <t>3</t>
    </r>
  </si>
  <si>
    <t>Actual Incentive</t>
  </si>
  <si>
    <t>Actual TCC</t>
  </si>
  <si>
    <t>AEP Target TCC vs. Survey Actual TCC</t>
  </si>
  <si>
    <t>AEP Base vs. Survey Actual TCC</t>
  </si>
  <si>
    <t>TX Employees</t>
  </si>
  <si>
    <t>Notes</t>
  </si>
  <si>
    <t>(2) Target payout is 5 percent of base earnings for all physical and craft jobs</t>
  </si>
  <si>
    <t>(4) A market competitive range of +/- 10 percent has been used for all physical and craft positions</t>
  </si>
  <si>
    <t>(1) As of  November 1, 2018</t>
  </si>
  <si>
    <r>
      <t>% of Jobs Above Market Competitive Range</t>
    </r>
    <r>
      <rPr>
        <vertAlign val="superscript"/>
        <sz val="10"/>
        <color theme="1"/>
        <rFont val="Arial"/>
        <family val="2"/>
      </rPr>
      <t>4</t>
    </r>
  </si>
  <si>
    <r>
      <t>% of Jobs Below Market Competitive Range</t>
    </r>
    <r>
      <rPr>
        <vertAlign val="superscript"/>
        <sz val="10"/>
        <color theme="1"/>
        <rFont val="Arial"/>
        <family val="2"/>
      </rPr>
      <t>4</t>
    </r>
  </si>
  <si>
    <t>(3) Annualized from April 2018 to November 1, 2018 @ 3% salary growth rate</t>
  </si>
  <si>
    <t>Energy Technical Craft &amp; Clerical Regional Survey Median</t>
  </si>
  <si>
    <t>Job Count</t>
  </si>
  <si>
    <t>Incumbent Count</t>
  </si>
  <si>
    <t>AEP Job</t>
  </si>
  <si>
    <t>PC1</t>
  </si>
  <si>
    <t>PC7</t>
  </si>
  <si>
    <t>PC4</t>
  </si>
  <si>
    <t>PC2</t>
  </si>
  <si>
    <t>PC5</t>
  </si>
  <si>
    <t>PC3</t>
  </si>
  <si>
    <t>PC6</t>
  </si>
  <si>
    <t>PC8</t>
  </si>
  <si>
    <t>PC9</t>
  </si>
  <si>
    <t>PC10</t>
  </si>
  <si>
    <t>PC11</t>
  </si>
  <si>
    <t>PC12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</si>
</sst>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quotePrefix="1" applyFont="1"/>
    <xf numFmtId="0" fontId="2" fillId="0" borderId="0" xfId="0" applyFont="1" applyAlignment="1">
      <alignment vertical="center"/>
    </xf>
    <xf numFmtId="0" fontId="2" fillId="0" borderId="0" xfId="0" applyFont="1" applyFill="1"/>
    <xf numFmtId="164" fontId="2" fillId="0" borderId="0" xfId="0" applyNumberFormat="1" applyFont="1" applyFill="1"/>
    <xf numFmtId="10" fontId="2" fillId="0" borderId="0" xfId="1" applyNumberFormat="1" applyFont="1"/>
    <xf numFmtId="10" fontId="2" fillId="0" borderId="0" xfId="1" applyNumberFormat="1" applyFont="1" applyFill="1"/>
    <xf numFmtId="164" fontId="8" fillId="0" borderId="0" xfId="0" applyNumberFormat="1" applyFont="1"/>
    <xf numFmtId="164" fontId="8" fillId="0" borderId="0" xfId="0" applyNumberFormat="1" applyFont="1" applyAlignment="1">
      <alignment horizontal="right"/>
    </xf>
    <xf numFmtId="0" fontId="8" fillId="0" borderId="0" xfId="0" applyFont="1"/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165" fontId="8" fillId="0" borderId="0" xfId="0" applyNumberFormat="1" applyFont="1"/>
    <xf numFmtId="164" fontId="6" fillId="0" borderId="0" xfId="0" applyNumberFormat="1" applyFont="1"/>
    <xf numFmtId="164" fontId="6" fillId="0" borderId="0" xfId="0" applyNumberFormat="1" applyFont="1" applyFill="1"/>
    <xf numFmtId="10" fontId="6" fillId="0" borderId="0" xfId="1" applyNumberFormat="1" applyFont="1" applyFill="1"/>
    <xf numFmtId="10" fontId="6" fillId="0" borderId="0" xfId="1" applyNumberFormat="1" applyFont="1"/>
    <xf numFmtId="164" fontId="3" fillId="0" borderId="5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65" fontId="6" fillId="0" borderId="0" xfId="1" applyNumberFormat="1" applyFo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164" fontId="3" fillId="0" borderId="4" xfId="0" applyNumberFormat="1" applyFont="1" applyBorder="1" applyAlignment="1">
      <alignment horizontal="center" wrapText="1"/>
    </xf>
    <xf numFmtId="164" fontId="3" fillId="0" borderId="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2"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K27"/>
  <sheetViews>
    <sheetView tabSelected="1" zoomScaleNormal="100" workbookViewId="0">
      <pane ySplit="4" topLeftCell="A5" activePane="bottomLeft" state="frozen"/>
      <selection pane="bottomLeft" activeCell="I34" sqref="I34"/>
    </sheetView>
  </sheetViews>
  <sheetFormatPr defaultRowHeight="12.75" x14ac:dyDescent="0.2"/>
  <cols>
    <col min="1" max="1" width="16.5703125" style="1" customWidth="1"/>
    <col min="2" max="2" width="11.5703125" style="1" customWidth="1"/>
    <col min="3" max="3" width="12.42578125" style="2" customWidth="1"/>
    <col min="4" max="4" width="12.85546875" style="2" customWidth="1"/>
    <col min="5" max="5" width="12.7109375" style="2" customWidth="1"/>
    <col min="6" max="6" width="6.7109375" style="2" customWidth="1"/>
    <col min="7" max="9" width="10.5703125" style="2" customWidth="1"/>
    <col min="10" max="11" width="16.85546875" style="1" customWidth="1"/>
    <col min="12" max="16384" width="9.140625" style="1"/>
  </cols>
  <sheetData>
    <row r="3" spans="1:11" s="6" customFormat="1" ht="34.5" customHeight="1" x14ac:dyDescent="0.25">
      <c r="C3" s="14"/>
      <c r="D3" s="14"/>
      <c r="E3" s="14"/>
      <c r="F3" s="15"/>
      <c r="G3" s="21" t="s">
        <v>18</v>
      </c>
      <c r="H3" s="22"/>
      <c r="I3" s="23"/>
      <c r="J3" s="24" t="s">
        <v>2</v>
      </c>
      <c r="K3" s="25"/>
    </row>
    <row r="4" spans="1:11" s="6" customFormat="1" ht="47.25" customHeight="1" x14ac:dyDescent="0.2">
      <c r="A4" s="27" t="s">
        <v>21</v>
      </c>
      <c r="B4" s="28" t="s">
        <v>10</v>
      </c>
      <c r="C4" s="29" t="s">
        <v>3</v>
      </c>
      <c r="D4" s="29" t="s">
        <v>4</v>
      </c>
      <c r="E4" s="29" t="s">
        <v>0</v>
      </c>
      <c r="F4" s="30"/>
      <c r="G4" s="30" t="s">
        <v>5</v>
      </c>
      <c r="H4" s="29" t="s">
        <v>6</v>
      </c>
      <c r="I4" s="29" t="s">
        <v>7</v>
      </c>
      <c r="J4" s="28" t="s">
        <v>8</v>
      </c>
      <c r="K4" s="31" t="s">
        <v>9</v>
      </c>
    </row>
    <row r="5" spans="1:11" x14ac:dyDescent="0.2">
      <c r="A5" s="1" t="s">
        <v>22</v>
      </c>
      <c r="B5" s="1">
        <v>17</v>
      </c>
      <c r="C5" s="2">
        <v>59915.385882352944</v>
      </c>
      <c r="D5" s="2">
        <f>C5*0.05</f>
        <v>2995.7692941176474</v>
      </c>
      <c r="E5" s="2">
        <f>C5+D5</f>
        <v>62911.155176470595</v>
      </c>
      <c r="G5" s="2">
        <v>64074</v>
      </c>
      <c r="H5" s="8">
        <f t="shared" ref="H5:H16" si="0">I5-G5</f>
        <v>1499</v>
      </c>
      <c r="I5" s="8">
        <v>65573</v>
      </c>
      <c r="J5" s="10">
        <f t="shared" ref="J5:J16" si="1">(E5-I5)/I5</f>
        <v>-4.0593610533747201E-2</v>
      </c>
      <c r="K5" s="9">
        <f t="shared" ref="K5:K16" si="2">(C5-I5)/I5</f>
        <v>-8.6279629079759279E-2</v>
      </c>
    </row>
    <row r="6" spans="1:11" x14ac:dyDescent="0.2">
      <c r="A6" s="4" t="s">
        <v>25</v>
      </c>
      <c r="B6" s="4">
        <v>7</v>
      </c>
      <c r="C6" s="17">
        <v>75038.10828571429</v>
      </c>
      <c r="D6" s="2">
        <f t="shared" ref="D6:D16" si="3">C6*0.05</f>
        <v>3751.9054142857149</v>
      </c>
      <c r="E6" s="2">
        <f t="shared" ref="E6:E16" si="4">C6+D6</f>
        <v>78790.01370000001</v>
      </c>
      <c r="G6" s="2">
        <v>85559</v>
      </c>
      <c r="H6" s="8">
        <f t="shared" si="0"/>
        <v>1266</v>
      </c>
      <c r="I6" s="8">
        <v>86825</v>
      </c>
      <c r="J6" s="10">
        <f t="shared" si="1"/>
        <v>-9.2542312697955542E-2</v>
      </c>
      <c r="K6" s="9">
        <f t="shared" si="2"/>
        <v>-0.13575458352186248</v>
      </c>
    </row>
    <row r="7" spans="1:11" s="4" customFormat="1" x14ac:dyDescent="0.2">
      <c r="A7" s="4" t="s">
        <v>27</v>
      </c>
      <c r="B7" s="4">
        <v>105</v>
      </c>
      <c r="C7" s="17">
        <v>76879.233199999973</v>
      </c>
      <c r="D7" s="17">
        <f t="shared" si="3"/>
        <v>3843.961659999999</v>
      </c>
      <c r="E7" s="17">
        <f t="shared" si="4"/>
        <v>80723.194859999974</v>
      </c>
      <c r="F7" s="17"/>
      <c r="G7" s="17">
        <v>85559</v>
      </c>
      <c r="H7" s="18">
        <f t="shared" si="0"/>
        <v>1266</v>
      </c>
      <c r="I7" s="18">
        <v>86825</v>
      </c>
      <c r="J7" s="19">
        <f t="shared" si="1"/>
        <v>-7.0277053152894051E-2</v>
      </c>
      <c r="K7" s="20">
        <f t="shared" si="2"/>
        <v>-0.1145495744313277</v>
      </c>
    </row>
    <row r="8" spans="1:11" s="4" customFormat="1" x14ac:dyDescent="0.2">
      <c r="A8" s="4" t="s">
        <v>24</v>
      </c>
      <c r="B8" s="4">
        <v>148</v>
      </c>
      <c r="C8" s="17">
        <v>80755.015777027031</v>
      </c>
      <c r="D8" s="17">
        <f t="shared" si="3"/>
        <v>4037.7507888513519</v>
      </c>
      <c r="E8" s="17">
        <f t="shared" si="4"/>
        <v>84792.766565878381</v>
      </c>
      <c r="F8" s="17"/>
      <c r="G8" s="17">
        <v>85559</v>
      </c>
      <c r="H8" s="18">
        <f t="shared" si="0"/>
        <v>1266</v>
      </c>
      <c r="I8" s="18">
        <v>86825</v>
      </c>
      <c r="J8" s="19">
        <f t="shared" si="1"/>
        <v>-2.3406086197772753E-2</v>
      </c>
      <c r="K8" s="20">
        <f t="shared" si="2"/>
        <v>-6.9910558283593077E-2</v>
      </c>
    </row>
    <row r="9" spans="1:11" s="4" customFormat="1" x14ac:dyDescent="0.2">
      <c r="A9" s="4" t="s">
        <v>26</v>
      </c>
      <c r="B9" s="4">
        <v>4</v>
      </c>
      <c r="C9" s="17">
        <v>72650.010249999992</v>
      </c>
      <c r="D9" s="17">
        <f t="shared" si="3"/>
        <v>3632.5005124999998</v>
      </c>
      <c r="E9" s="17">
        <f t="shared" si="4"/>
        <v>76282.510762499995</v>
      </c>
      <c r="F9" s="17"/>
      <c r="G9" s="17">
        <v>85559</v>
      </c>
      <c r="H9" s="18">
        <f t="shared" si="0"/>
        <v>1266</v>
      </c>
      <c r="I9" s="18">
        <v>86825</v>
      </c>
      <c r="J9" s="19">
        <f t="shared" si="1"/>
        <v>-0.12142227742585666</v>
      </c>
      <c r="K9" s="20">
        <f t="shared" si="2"/>
        <v>-0.16325931183414924</v>
      </c>
    </row>
    <row r="10" spans="1:11" s="4" customFormat="1" x14ac:dyDescent="0.2">
      <c r="A10" s="4" t="s">
        <v>28</v>
      </c>
      <c r="B10" s="4">
        <v>22</v>
      </c>
      <c r="C10" s="17">
        <v>80236.464181818199</v>
      </c>
      <c r="D10" s="17">
        <f t="shared" si="3"/>
        <v>4011.82320909091</v>
      </c>
      <c r="E10" s="17">
        <f t="shared" si="4"/>
        <v>84248.287390909114</v>
      </c>
      <c r="F10" s="17"/>
      <c r="G10" s="17">
        <v>85559</v>
      </c>
      <c r="H10" s="18">
        <f t="shared" si="0"/>
        <v>1266</v>
      </c>
      <c r="I10" s="18">
        <v>86825</v>
      </c>
      <c r="J10" s="19">
        <f t="shared" si="1"/>
        <v>-2.9677081590450745E-2</v>
      </c>
      <c r="K10" s="20">
        <f t="shared" si="2"/>
        <v>-7.5882934848048381E-2</v>
      </c>
    </row>
    <row r="11" spans="1:11" s="4" customFormat="1" x14ac:dyDescent="0.2">
      <c r="A11" s="4" t="s">
        <v>23</v>
      </c>
      <c r="B11" s="4">
        <v>55</v>
      </c>
      <c r="C11" s="17">
        <v>59009.858963636339</v>
      </c>
      <c r="D11" s="17">
        <f t="shared" si="3"/>
        <v>2950.4929481818172</v>
      </c>
      <c r="E11" s="17">
        <f t="shared" si="4"/>
        <v>61960.351911818158</v>
      </c>
      <c r="F11" s="17"/>
      <c r="G11" s="17">
        <v>59062</v>
      </c>
      <c r="H11" s="18">
        <f t="shared" si="0"/>
        <v>2723</v>
      </c>
      <c r="I11" s="18">
        <v>61785</v>
      </c>
      <c r="J11" s="19">
        <f t="shared" si="1"/>
        <v>2.8380984351890838E-3</v>
      </c>
      <c r="K11" s="20">
        <f t="shared" si="2"/>
        <v>-4.4916096728391364E-2</v>
      </c>
    </row>
    <row r="12" spans="1:11" s="4" customFormat="1" x14ac:dyDescent="0.2">
      <c r="A12" s="4" t="s">
        <v>29</v>
      </c>
      <c r="B12" s="4">
        <v>23</v>
      </c>
      <c r="C12" s="17">
        <v>78754.598434782602</v>
      </c>
      <c r="D12" s="17">
        <f t="shared" si="3"/>
        <v>3937.7299217391301</v>
      </c>
      <c r="E12" s="17">
        <f t="shared" si="4"/>
        <v>82692.328356521728</v>
      </c>
      <c r="F12" s="17"/>
      <c r="G12" s="17">
        <v>84894</v>
      </c>
      <c r="H12" s="18">
        <f t="shared" si="0"/>
        <v>2427</v>
      </c>
      <c r="I12" s="18">
        <v>87321</v>
      </c>
      <c r="J12" s="19">
        <f t="shared" si="1"/>
        <v>-5.3007542784419236E-2</v>
      </c>
      <c r="K12" s="20">
        <f t="shared" si="2"/>
        <v>-9.8102421699446857E-2</v>
      </c>
    </row>
    <row r="13" spans="1:11" s="4" customFormat="1" x14ac:dyDescent="0.2">
      <c r="A13" s="4" t="s">
        <v>30</v>
      </c>
      <c r="B13" s="4">
        <v>12</v>
      </c>
      <c r="C13" s="17">
        <v>78805.638583333333</v>
      </c>
      <c r="D13" s="17">
        <f t="shared" si="3"/>
        <v>3940.2819291666669</v>
      </c>
      <c r="E13" s="17">
        <f t="shared" si="4"/>
        <v>82745.920512500001</v>
      </c>
      <c r="F13" s="17"/>
      <c r="G13" s="17">
        <v>85559</v>
      </c>
      <c r="H13" s="18">
        <f t="shared" si="0"/>
        <v>1266</v>
      </c>
      <c r="I13" s="18">
        <v>86825</v>
      </c>
      <c r="J13" s="19">
        <f t="shared" si="1"/>
        <v>-4.6980472070256254E-2</v>
      </c>
      <c r="K13" s="20">
        <f t="shared" si="2"/>
        <v>-9.2362354352625006E-2</v>
      </c>
    </row>
    <row r="14" spans="1:11" s="4" customFormat="1" x14ac:dyDescent="0.2">
      <c r="A14" s="4" t="s">
        <v>31</v>
      </c>
      <c r="B14" s="4">
        <v>26</v>
      </c>
      <c r="C14" s="17">
        <v>80400</v>
      </c>
      <c r="D14" s="17">
        <f t="shared" si="3"/>
        <v>4020</v>
      </c>
      <c r="E14" s="17">
        <f t="shared" si="4"/>
        <v>84420</v>
      </c>
      <c r="F14" s="17"/>
      <c r="G14" s="17">
        <v>98528</v>
      </c>
      <c r="H14" s="18">
        <f t="shared" si="0"/>
        <v>739</v>
      </c>
      <c r="I14" s="18">
        <v>99267</v>
      </c>
      <c r="J14" s="19">
        <f t="shared" si="1"/>
        <v>-0.14956632113391158</v>
      </c>
      <c r="K14" s="20">
        <f t="shared" si="2"/>
        <v>-0.19006316298467768</v>
      </c>
    </row>
    <row r="15" spans="1:11" s="4" customFormat="1" x14ac:dyDescent="0.2">
      <c r="A15" s="4" t="s">
        <v>32</v>
      </c>
      <c r="B15" s="4">
        <v>11</v>
      </c>
      <c r="C15" s="17">
        <v>70302.60936363638</v>
      </c>
      <c r="D15" s="17">
        <f t="shared" si="3"/>
        <v>3515.1304681818192</v>
      </c>
      <c r="E15" s="17">
        <f t="shared" si="4"/>
        <v>73817.739831818195</v>
      </c>
      <c r="F15" s="17"/>
      <c r="G15" s="17">
        <v>72369</v>
      </c>
      <c r="H15" s="18">
        <f t="shared" si="0"/>
        <v>2617</v>
      </c>
      <c r="I15" s="18">
        <v>74986</v>
      </c>
      <c r="J15" s="19">
        <f t="shared" si="1"/>
        <v>-1.5579710455042342E-2</v>
      </c>
      <c r="K15" s="20">
        <f t="shared" si="2"/>
        <v>-6.2456867100040267E-2</v>
      </c>
    </row>
    <row r="16" spans="1:11" s="4" customFormat="1" x14ac:dyDescent="0.2">
      <c r="A16" s="4" t="s">
        <v>33</v>
      </c>
      <c r="B16" s="4">
        <v>13</v>
      </c>
      <c r="C16" s="17">
        <v>86959.245615384629</v>
      </c>
      <c r="D16" s="17">
        <f t="shared" si="3"/>
        <v>4347.9622807692313</v>
      </c>
      <c r="E16" s="17">
        <f t="shared" si="4"/>
        <v>91307.207896153865</v>
      </c>
      <c r="F16" s="17"/>
      <c r="G16" s="17">
        <v>85559</v>
      </c>
      <c r="H16" s="18">
        <f t="shared" si="0"/>
        <v>1266</v>
      </c>
      <c r="I16" s="18">
        <v>86825</v>
      </c>
      <c r="J16" s="19">
        <f t="shared" si="1"/>
        <v>5.1623471306119946E-2</v>
      </c>
      <c r="K16" s="20">
        <f t="shared" si="2"/>
        <v>1.5461631486856178E-3</v>
      </c>
    </row>
    <row r="17" spans="1:11" x14ac:dyDescent="0.2">
      <c r="H17" s="8"/>
      <c r="I17" s="8"/>
      <c r="J17" s="7"/>
    </row>
    <row r="18" spans="1:11" s="13" customFormat="1" x14ac:dyDescent="0.2">
      <c r="A18" s="13" t="s">
        <v>19</v>
      </c>
      <c r="B18" s="13">
        <f>COUNT(B5:B16)</f>
        <v>12</v>
      </c>
      <c r="C18" s="11"/>
      <c r="D18" s="11"/>
      <c r="E18" s="11"/>
      <c r="F18" s="11"/>
      <c r="G18" s="11"/>
      <c r="H18" s="11"/>
      <c r="I18" s="12" t="s">
        <v>1</v>
      </c>
      <c r="J18" s="16">
        <f>AVERAGE(J5:J17)</f>
        <v>-4.9049241525083109E-2</v>
      </c>
      <c r="K18" s="16">
        <f t="shared" ref="K18" si="5">AVERAGE(K5:K17)</f>
        <v>-9.4332610976269618E-2</v>
      </c>
    </row>
    <row r="19" spans="1:11" x14ac:dyDescent="0.2">
      <c r="A19" s="13" t="s">
        <v>20</v>
      </c>
      <c r="B19" s="13">
        <f>SUM(B5:B17)</f>
        <v>443</v>
      </c>
    </row>
    <row r="20" spans="1:11" ht="14.25" x14ac:dyDescent="0.2">
      <c r="F20" s="2" t="s">
        <v>15</v>
      </c>
      <c r="J20" s="26">
        <f>COUNTIF(J4:J15,"&gt;.10")/$B$18</f>
        <v>0</v>
      </c>
      <c r="K20" s="26">
        <f>COUNTIF(K4:K15,"&gt;.10")/$B$18</f>
        <v>0</v>
      </c>
    </row>
    <row r="21" spans="1:11" ht="14.25" x14ac:dyDescent="0.2">
      <c r="F21" s="2" t="s">
        <v>16</v>
      </c>
      <c r="J21" s="26">
        <f>COUNTIF(J5:J16,"&lt;-.10")/$B$18</f>
        <v>0.16666666666666666</v>
      </c>
      <c r="K21" s="26">
        <f>COUNTIF(K5:K16,"&lt;-.10")/$B$18</f>
        <v>0.33333333333333331</v>
      </c>
    </row>
    <row r="23" spans="1:11" x14ac:dyDescent="0.2">
      <c r="A23" s="3" t="s">
        <v>11</v>
      </c>
    </row>
    <row r="24" spans="1:11" x14ac:dyDescent="0.2">
      <c r="A24" s="4" t="s">
        <v>14</v>
      </c>
    </row>
    <row r="25" spans="1:11" x14ac:dyDescent="0.2">
      <c r="A25" s="4" t="s">
        <v>12</v>
      </c>
    </row>
    <row r="26" spans="1:11" x14ac:dyDescent="0.2">
      <c r="A26" s="4" t="s">
        <v>17</v>
      </c>
    </row>
    <row r="27" spans="1:11" x14ac:dyDescent="0.2">
      <c r="A27" s="5" t="s">
        <v>13</v>
      </c>
    </row>
  </sheetData>
  <mergeCells count="2">
    <mergeCell ref="G3:I3"/>
    <mergeCell ref="J3:K3"/>
  </mergeCells>
  <conditionalFormatting sqref="J5:K16">
    <cfRule type="cellIs" dxfId="1" priority="3" operator="greaterThan">
      <formula>0.1</formula>
    </cfRule>
    <cfRule type="cellIs" dxfId="0" priority="4" operator="lessThan">
      <formula>-0.1</formula>
    </cfRule>
  </conditionalFormatting>
  <pageMargins left="0.25" right="0.25" top="0.75" bottom="0.75" header="0.3" footer="0.3"/>
  <pageSetup scale="9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userSelected">
  <element uid="c5f8eb12-5b27-439d-aaa6-3402af626fa3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48BB89-D084-4428-8CD1-6CA53EFC79E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00D8FD9D-DE9C-4BF8-8953-6AF55DB02800}"/>
</file>

<file path=customXml/itemProps3.xml><?xml version="1.0" encoding="utf-8"?>
<ds:datastoreItem xmlns:ds="http://schemas.openxmlformats.org/officeDocument/2006/customXml" ds:itemID="{7FFDCF7C-2F5A-4BE8-85CA-3BFCD04DB42F}"/>
</file>

<file path=customXml/itemProps4.xml><?xml version="1.0" encoding="utf-8"?>
<ds:datastoreItem xmlns:ds="http://schemas.openxmlformats.org/officeDocument/2006/customXml" ds:itemID="{F8961F3D-D25D-4AEF-9261-B0FA3645B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 &amp; craft</vt:lpstr>
    </vt:vector>
  </TitlesOfParts>
  <Company>American Electric Power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s291679</dc:creator>
  <cp:keywords>AEP Public</cp:keywords>
  <cp:lastModifiedBy>s998510</cp:lastModifiedBy>
  <cp:lastPrinted>2019-04-02T15:49:01Z</cp:lastPrinted>
  <dcterms:created xsi:type="dcterms:W3CDTF">2018-12-19T20:55:02Z</dcterms:created>
  <dcterms:modified xsi:type="dcterms:W3CDTF">2019-04-02T15:49:12Z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2c302398-72f6-42ce-bc1e-41718a2ced32</vt:lpwstr>
  </property>
  <property fmtid="{D5CDD505-2E9C-101B-9397-08002B2CF9AE}" pid="3" name="bjSaver">
    <vt:lpwstr>ymOzOy9TozdO3fPkFt/NYaxMcqEF9d4G</vt:lpwstr>
  </property>
  <property fmtid="{D5CDD505-2E9C-101B-9397-08002B2CF9AE}" pid="4" name="bjDocumentSecurityLabel">
    <vt:lpwstr>AEP Public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uid="c5f8eb12-5b27-439d-aaa6-3402af626fa3" value="" /&gt;&lt;/sisl&gt;</vt:lpwstr>
  </property>
  <property fmtid="{D5CDD505-2E9C-101B-9397-08002B2CF9AE}" pid="7" name="ContentTypeId">
    <vt:lpwstr>0x01010068D7645638A6BA4A903C04B5C9F7EDEE</vt:lpwstr>
  </property>
</Properties>
</file>