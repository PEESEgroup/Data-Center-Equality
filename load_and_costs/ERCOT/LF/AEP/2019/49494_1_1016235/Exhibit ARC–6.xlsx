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custom.xml" ContentType="application/vnd.openxmlformats-officedocument.custom-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Rate Cases\AEP Texas\2019 Base Rate Case\2019 TX Base KK-ARC\"/>
    </mc:Choice>
  </mc:AlternateContent>
  <bookViews>
    <workbookView xWindow="0" yWindow="0" windowWidth="19200" windowHeight="11460"/>
  </bookViews>
  <sheets>
    <sheet name="Exec"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9" i="1" l="1"/>
  <c r="R28" i="1" l="1"/>
  <c r="R27" i="1"/>
  <c r="R25" i="1"/>
  <c r="R24" i="1"/>
  <c r="R23" i="1"/>
  <c r="R22" i="1"/>
  <c r="R20" i="1"/>
  <c r="R19" i="1"/>
  <c r="R18" i="1"/>
  <c r="R17" i="1"/>
  <c r="R16" i="1"/>
  <c r="R15" i="1"/>
  <c r="R14" i="1"/>
  <c r="R13" i="1"/>
  <c r="E28" i="1"/>
  <c r="Q28" i="1" s="1"/>
  <c r="E27" i="1"/>
  <c r="G27" i="1" s="1"/>
  <c r="P27" i="1" s="1"/>
  <c r="E25" i="1"/>
  <c r="G25" i="1" s="1"/>
  <c r="P25" i="1" s="1"/>
  <c r="E24" i="1"/>
  <c r="G24" i="1" s="1"/>
  <c r="P24" i="1" s="1"/>
  <c r="E23" i="1"/>
  <c r="G23" i="1" s="1"/>
  <c r="P23" i="1" s="1"/>
  <c r="E22" i="1"/>
  <c r="Q22" i="1" s="1"/>
  <c r="E20" i="1"/>
  <c r="Q20" i="1" s="1"/>
  <c r="E19" i="1"/>
  <c r="G19" i="1" s="1"/>
  <c r="P19" i="1" s="1"/>
  <c r="E18" i="1"/>
  <c r="G18" i="1" s="1"/>
  <c r="P18" i="1" s="1"/>
  <c r="E17" i="1"/>
  <c r="G17" i="1" s="1"/>
  <c r="P17" i="1" s="1"/>
  <c r="E16" i="1"/>
  <c r="G16" i="1" s="1"/>
  <c r="P16" i="1" s="1"/>
  <c r="E15" i="1"/>
  <c r="G15" i="1" s="1"/>
  <c r="P15" i="1" s="1"/>
  <c r="E14" i="1"/>
  <c r="G14" i="1" s="1"/>
  <c r="P14" i="1" s="1"/>
  <c r="E13" i="1"/>
  <c r="Q13" i="1" s="1"/>
  <c r="G20" i="1" l="1"/>
  <c r="P20" i="1" s="1"/>
  <c r="Q19" i="1"/>
  <c r="G22" i="1"/>
  <c r="P22" i="1" s="1"/>
  <c r="Q23" i="1"/>
  <c r="Q14" i="1"/>
  <c r="Q25" i="1"/>
  <c r="G13" i="1"/>
  <c r="P13" i="1" s="1"/>
  <c r="Q16" i="1"/>
  <c r="Q17" i="1"/>
  <c r="Q27" i="1"/>
  <c r="G28" i="1"/>
  <c r="P28" i="1" s="1"/>
  <c r="Q15" i="1"/>
  <c r="Q24" i="1"/>
  <c r="Q18" i="1"/>
  <c r="R11" i="1" l="1"/>
  <c r="R21" i="1"/>
  <c r="R10" i="1"/>
  <c r="R9" i="1"/>
  <c r="R12" i="1"/>
  <c r="R26" i="1"/>
  <c r="R6" i="1"/>
  <c r="R7" i="1"/>
  <c r="R5" i="1"/>
  <c r="R8" i="1"/>
  <c r="R4" i="1"/>
  <c r="E26" i="1"/>
  <c r="G26" i="1" s="1"/>
  <c r="P26" i="1" s="1"/>
  <c r="E11" i="1"/>
  <c r="G11" i="1" s="1"/>
  <c r="P11" i="1" s="1"/>
  <c r="E6" i="1"/>
  <c r="G6" i="1" s="1"/>
  <c r="P6" i="1" s="1"/>
  <c r="E21" i="1"/>
  <c r="G21" i="1" s="1"/>
  <c r="P21" i="1" s="1"/>
  <c r="E7" i="1"/>
  <c r="G7" i="1" s="1"/>
  <c r="P7" i="1" s="1"/>
  <c r="E10" i="1"/>
  <c r="G10" i="1" s="1"/>
  <c r="P10" i="1" s="1"/>
  <c r="E9" i="1"/>
  <c r="G9" i="1" s="1"/>
  <c r="P9" i="1" s="1"/>
  <c r="E12" i="1"/>
  <c r="G12" i="1" s="1"/>
  <c r="P12" i="1" s="1"/>
  <c r="E5" i="1"/>
  <c r="G5" i="1" s="1"/>
  <c r="P5" i="1" s="1"/>
  <c r="E8" i="1"/>
  <c r="G8" i="1" s="1"/>
  <c r="P8" i="1" s="1"/>
  <c r="E4" i="1"/>
  <c r="G4" i="1" s="1"/>
  <c r="P4" i="1" s="1"/>
  <c r="P29" i="1" s="1"/>
  <c r="R29" i="1" l="1"/>
  <c r="Q8" i="1"/>
  <c r="Q7" i="1"/>
  <c r="Q21" i="1"/>
  <c r="Q12" i="1"/>
  <c r="Q6" i="1"/>
  <c r="Q9" i="1"/>
  <c r="Q5" i="1"/>
  <c r="Q11" i="1"/>
  <c r="Q26" i="1"/>
  <c r="Q4" i="1"/>
  <c r="Q10" i="1"/>
  <c r="Q29" i="1" l="1"/>
</calcChain>
</file>

<file path=xl/sharedStrings.xml><?xml version="1.0" encoding="utf-8"?>
<sst xmlns="http://schemas.openxmlformats.org/spreadsheetml/2006/main" count="54" uniqueCount="49">
  <si>
    <r>
      <t>AEP Incumbent Data ($000)</t>
    </r>
    <r>
      <rPr>
        <b/>
        <vertAlign val="superscript"/>
        <sz val="10"/>
        <rFont val="Arial"/>
        <family val="2"/>
      </rPr>
      <t>(1)</t>
    </r>
  </si>
  <si>
    <r>
      <t>Survey Results ($000)</t>
    </r>
    <r>
      <rPr>
        <b/>
        <vertAlign val="superscript"/>
        <sz val="10"/>
        <rFont val="Arial"/>
        <family val="2"/>
      </rPr>
      <t>(2)</t>
    </r>
  </si>
  <si>
    <t>% Difference AEP Target TC vs Survey Target TC</t>
  </si>
  <si>
    <t>% Difference AEP Target TCC vs Survey TC</t>
  </si>
  <si>
    <t>% Difference AEP Base vs Survey TC</t>
  </si>
  <si>
    <t>Base Salary</t>
  </si>
  <si>
    <t>Target STI %</t>
  </si>
  <si>
    <t>Target STI $</t>
  </si>
  <si>
    <t>Target TCC</t>
  </si>
  <si>
    <t>Target LTI</t>
  </si>
  <si>
    <t>Target TC</t>
  </si>
  <si>
    <t>Base</t>
  </si>
  <si>
    <t>Chairman, President &amp; CEO</t>
  </si>
  <si>
    <t>EVP CFO</t>
  </si>
  <si>
    <t>EVP Transmission</t>
  </si>
  <si>
    <t>EVP General Counsel&amp;Secretary</t>
  </si>
  <si>
    <t>Notes:</t>
  </si>
  <si>
    <t>(3) Position benchmarked to general industry data with discounts applied to bring market data in line with Energy Services Industry.</t>
  </si>
  <si>
    <t>(1) AEP data as of November 1, 2018</t>
  </si>
  <si>
    <r>
      <t>EVP &amp; Chief Admin Officer</t>
    </r>
    <r>
      <rPr>
        <vertAlign val="superscript"/>
        <sz val="10"/>
        <color theme="1"/>
        <rFont val="Arial"/>
        <family val="2"/>
      </rPr>
      <t>(3)</t>
    </r>
  </si>
  <si>
    <t>Incumbent Count</t>
  </si>
  <si>
    <t>Average</t>
  </si>
  <si>
    <t>(4) Position benchmarked to 2017 Towers Watson Energy Service Executive Survey and aged to November 1, 2018</t>
  </si>
  <si>
    <t>(2) Median AEP Compensation Peer Group data from April 1, 2018 Towers Watson Energy Services Executive Survey or proxy filings (unless otherwise noted), in either case aged to November 1, 2018 at 3% annual rate.</t>
  </si>
  <si>
    <t>(5) A market competitive range of +/- 15 percent has been used for all executive positions.</t>
  </si>
  <si>
    <t>E6</t>
  </si>
  <si>
    <t>E7</t>
  </si>
  <si>
    <t>E8</t>
  </si>
  <si>
    <t>E9</t>
  </si>
  <si>
    <t>E10</t>
  </si>
  <si>
    <t>E12</t>
  </si>
  <si>
    <t>E13</t>
  </si>
  <si>
    <t>E15</t>
  </si>
  <si>
    <t>E16</t>
  </si>
  <si>
    <t>E17</t>
  </si>
  <si>
    <t>E18</t>
  </si>
  <si>
    <t>E19</t>
  </si>
  <si>
    <t>E20</t>
  </si>
  <si>
    <t>E21</t>
  </si>
  <si>
    <t>E22</t>
  </si>
  <si>
    <t>E23</t>
  </si>
  <si>
    <t>E24</t>
  </si>
  <si>
    <r>
      <t xml:space="preserve">E11 </t>
    </r>
    <r>
      <rPr>
        <vertAlign val="superscript"/>
        <sz val="10"/>
        <color theme="1"/>
        <rFont val="Arial"/>
        <family val="2"/>
      </rPr>
      <t>(6)</t>
    </r>
  </si>
  <si>
    <r>
      <t xml:space="preserve">E14 </t>
    </r>
    <r>
      <rPr>
        <vertAlign val="superscript"/>
        <sz val="10"/>
        <color theme="1"/>
        <rFont val="Arial"/>
        <family val="2"/>
      </rPr>
      <t>(7)</t>
    </r>
  </si>
  <si>
    <r>
      <t xml:space="preserve">E25 </t>
    </r>
    <r>
      <rPr>
        <vertAlign val="superscript"/>
        <sz val="10"/>
        <color theme="1"/>
        <rFont val="Arial"/>
        <family val="2"/>
      </rPr>
      <t>(8)</t>
    </r>
  </si>
  <si>
    <t xml:space="preserve">(6) Position internally slotted </t>
  </si>
  <si>
    <t>(7) Position benchmarked at 75th percentile</t>
  </si>
  <si>
    <t>(8) Position benchmarked at 25th percentile</t>
  </si>
  <si>
    <t>AEP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</si>
</sst>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
  </numFmts>
  <fonts count="9" x14ac:knownFonts="1">
    <font>
      <sz val="11"/>
      <color theme="1"/>
      <name val="Calibri"/>
      <family val="2"/>
      <scheme val="minor"/>
    </font>
    <font>
      <sz val="11"/>
      <color theme="1"/>
      <name val="Calibri"/>
      <family val="2"/>
      <scheme val="minor"/>
    </font>
    <font>
      <sz val="10"/>
      <color theme="1"/>
      <name val="Arial"/>
      <family val="2"/>
    </font>
    <font>
      <b/>
      <sz val="10"/>
      <name val="Arial"/>
      <family val="2"/>
    </font>
    <font>
      <b/>
      <vertAlign val="superscript"/>
      <sz val="10"/>
      <name val="Arial"/>
      <family val="2"/>
    </font>
    <font>
      <b/>
      <u/>
      <sz val="10"/>
      <name val="Arial"/>
      <family val="2"/>
    </font>
    <font>
      <sz val="10"/>
      <name val="Arial"/>
      <family val="2"/>
    </font>
    <font>
      <vertAlign val="superscript"/>
      <sz val="10"/>
      <color theme="1"/>
      <name val="Arial"/>
      <family val="2"/>
    </font>
    <font>
      <b/>
      <sz val="10"/>
      <color theme="1"/>
      <name val="Arial"/>
      <family val="2"/>
    </font>
  </fonts>
  <fills count="2">
    <fill>
      <patternFill patternType="none"/>
    </fill>
    <fill>
      <patternFill patternType="gray125"/>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6" fillId="0" borderId="0"/>
  </cellStyleXfs>
  <cellXfs count="34">
    <xf numFmtId="0" fontId="0" fillId="0" borderId="0" xfId="0"/>
    <xf numFmtId="0" fontId="2" fillId="0" borderId="0" xfId="0" applyFont="1"/>
    <xf numFmtId="0" fontId="3" fillId="0" borderId="0" xfId="0" applyFont="1" applyBorder="1" applyAlignment="1">
      <alignment horizontal="center"/>
    </xf>
    <xf numFmtId="0" fontId="3" fillId="0" borderId="4" xfId="0" applyFont="1" applyBorder="1" applyAlignment="1">
      <alignment horizontal="center"/>
    </xf>
    <xf numFmtId="165" fontId="2" fillId="0" borderId="0" xfId="1" applyNumberFormat="1" applyFont="1"/>
    <xf numFmtId="0" fontId="5" fillId="0" borderId="0" xfId="0" applyFont="1"/>
    <xf numFmtId="0" fontId="3" fillId="0" borderId="0" xfId="0" applyFont="1"/>
    <xf numFmtId="0" fontId="6" fillId="0" borderId="0" xfId="0" applyFont="1" applyAlignment="1"/>
    <xf numFmtId="0" fontId="2" fillId="0" borderId="0" xfId="0" applyFont="1" applyAlignment="1"/>
    <xf numFmtId="0" fontId="2" fillId="0" borderId="0" xfId="0" applyFont="1" applyAlignment="1">
      <alignment horizontal="left"/>
    </xf>
    <xf numFmtId="0" fontId="2" fillId="0" borderId="0" xfId="0" quotePrefix="1" applyFont="1"/>
    <xf numFmtId="0" fontId="6" fillId="0" borderId="0" xfId="0" applyFont="1" applyAlignment="1">
      <alignment horizontal="left" wrapText="1"/>
    </xf>
    <xf numFmtId="0" fontId="3" fillId="0" borderId="0" xfId="0" applyFont="1" applyAlignment="1">
      <alignment horizontal="right"/>
    </xf>
    <xf numFmtId="0" fontId="3" fillId="0" borderId="7" xfId="0" applyFont="1" applyBorder="1" applyAlignment="1">
      <alignment horizontal="center" vertical="center" wrapText="1"/>
    </xf>
    <xf numFmtId="0" fontId="3" fillId="0" borderId="0" xfId="0" applyFont="1" applyBorder="1" applyAlignment="1">
      <alignment horizontal="center" vertical="center" wrapText="1"/>
    </xf>
    <xf numFmtId="0" fontId="3" fillId="0" borderId="7" xfId="0" applyFont="1" applyBorder="1" applyAlignment="1">
      <alignment horizontal="center" vertical="center"/>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Alignment="1">
      <alignment vertical="center"/>
    </xf>
    <xf numFmtId="0" fontId="2" fillId="0" borderId="0" xfId="0" applyFont="1" applyFill="1"/>
    <xf numFmtId="0" fontId="8" fillId="0" borderId="0" xfId="0" applyFont="1"/>
    <xf numFmtId="165" fontId="8" fillId="0" borderId="0" xfId="1" applyNumberFormat="1" applyFont="1"/>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6" fillId="0" borderId="0" xfId="0" applyFont="1" applyAlignment="1">
      <alignment vertical="top" wrapText="1"/>
    </xf>
    <xf numFmtId="164" fontId="2" fillId="0" borderId="0" xfId="0" applyNumberFormat="1" applyFont="1" applyFill="1" applyAlignment="1">
      <alignment horizontal="right"/>
    </xf>
    <xf numFmtId="9" fontId="2" fillId="0" borderId="0" xfId="1" applyFont="1" applyFill="1" applyAlignment="1">
      <alignment horizontal="right"/>
    </xf>
    <xf numFmtId="164" fontId="2" fillId="0" borderId="0" xfId="0" applyNumberFormat="1" applyFont="1" applyFill="1"/>
    <xf numFmtId="165" fontId="2" fillId="0" borderId="0" xfId="1" applyNumberFormat="1" applyFont="1" applyFill="1"/>
  </cellXfs>
  <cellStyles count="3">
    <cellStyle name="Normal" xfId="0" builtinId="0"/>
    <cellStyle name="Normal 2" xfId="2"/>
    <cellStyle name="Percent" xfId="1" builtinId="5"/>
  </cellStyles>
  <dxfs count="2">
    <dxf>
      <font>
        <color rgb="FFFF0000"/>
      </font>
    </dxf>
    <dxf>
      <font>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workbookViewId="0">
      <pane ySplit="3" topLeftCell="A4" activePane="bottomLeft" state="frozen"/>
      <selection pane="bottomLeft" activeCell="A4" sqref="A4"/>
    </sheetView>
  </sheetViews>
  <sheetFormatPr defaultRowHeight="12.75" x14ac:dyDescent="0.2"/>
  <cols>
    <col min="1" max="1" width="29.85546875" style="1" customWidth="1"/>
    <col min="2" max="2" width="14.28515625" style="1" bestFit="1" customWidth="1"/>
    <col min="3" max="3" width="9.28515625" style="1" bestFit="1" customWidth="1"/>
    <col min="4" max="5" width="14.42578125" style="1" bestFit="1" customWidth="1"/>
    <col min="6" max="6" width="12.7109375" style="1" bestFit="1" customWidth="1"/>
    <col min="7" max="7" width="15.5703125" style="1" bestFit="1" customWidth="1"/>
    <col min="8" max="8" width="3" style="1" customWidth="1"/>
    <col min="9" max="9" width="12.7109375" style="1" bestFit="1" customWidth="1"/>
    <col min="10" max="10" width="9.42578125" style="1" bestFit="1" customWidth="1"/>
    <col min="11" max="13" width="12.7109375" style="1" bestFit="1" customWidth="1"/>
    <col min="14" max="14" width="13.85546875" style="1" bestFit="1" customWidth="1"/>
    <col min="15" max="15" width="3.42578125" style="1" customWidth="1"/>
    <col min="16" max="18" width="13.140625" style="1" customWidth="1"/>
    <col min="19" max="16384" width="9.140625" style="1"/>
  </cols>
  <sheetData>
    <row r="1" spans="1:18" s="19" customFormat="1" x14ac:dyDescent="0.2"/>
    <row r="2" spans="1:18" ht="14.25" x14ac:dyDescent="0.2">
      <c r="B2" s="24" t="s">
        <v>0</v>
      </c>
      <c r="C2" s="25"/>
      <c r="D2" s="25"/>
      <c r="E2" s="25"/>
      <c r="F2" s="25"/>
      <c r="G2" s="26"/>
      <c r="H2" s="2"/>
      <c r="I2" s="24" t="s">
        <v>1</v>
      </c>
      <c r="J2" s="25"/>
      <c r="K2" s="25"/>
      <c r="L2" s="25"/>
      <c r="M2" s="25"/>
      <c r="N2" s="25"/>
      <c r="O2" s="3"/>
      <c r="P2" s="27" t="s">
        <v>2</v>
      </c>
      <c r="Q2" s="22" t="s">
        <v>3</v>
      </c>
      <c r="R2" s="22" t="s">
        <v>4</v>
      </c>
    </row>
    <row r="3" spans="1:18" s="18" customFormat="1" ht="40.5" customHeight="1" x14ac:dyDescent="0.25">
      <c r="A3" s="13" t="s">
        <v>48</v>
      </c>
      <c r="B3" s="13" t="s">
        <v>5</v>
      </c>
      <c r="C3" s="13" t="s">
        <v>6</v>
      </c>
      <c r="D3" s="13" t="s">
        <v>7</v>
      </c>
      <c r="E3" s="13" t="s">
        <v>8</v>
      </c>
      <c r="F3" s="13" t="s">
        <v>9</v>
      </c>
      <c r="G3" s="13" t="s">
        <v>10</v>
      </c>
      <c r="H3" s="14"/>
      <c r="I3" s="15" t="s">
        <v>11</v>
      </c>
      <c r="J3" s="13" t="s">
        <v>6</v>
      </c>
      <c r="K3" s="13" t="s">
        <v>7</v>
      </c>
      <c r="L3" s="13" t="s">
        <v>8</v>
      </c>
      <c r="M3" s="13" t="s">
        <v>9</v>
      </c>
      <c r="N3" s="16" t="s">
        <v>10</v>
      </c>
      <c r="O3" s="17"/>
      <c r="P3" s="28"/>
      <c r="Q3" s="23"/>
      <c r="R3" s="23"/>
    </row>
    <row r="4" spans="1:18" s="19" customFormat="1" x14ac:dyDescent="0.2">
      <c r="A4" s="19" t="s">
        <v>12</v>
      </c>
      <c r="B4" s="30">
        <v>1410000</v>
      </c>
      <c r="C4" s="31">
        <v>1.35</v>
      </c>
      <c r="D4" s="30">
        <v>1903500.0000000002</v>
      </c>
      <c r="E4" s="32">
        <f>D4+B4</f>
        <v>3313500</v>
      </c>
      <c r="F4" s="32">
        <v>7775000</v>
      </c>
      <c r="G4" s="32">
        <f>E4+F4</f>
        <v>11088500</v>
      </c>
      <c r="I4" s="32">
        <v>1296800.2749999999</v>
      </c>
      <c r="J4" s="33">
        <v>1.3</v>
      </c>
      <c r="K4" s="32">
        <v>1684458.3499999999</v>
      </c>
      <c r="L4" s="32">
        <v>2985136.1999999997</v>
      </c>
      <c r="M4" s="32">
        <v>7451307.1999999993</v>
      </c>
      <c r="N4" s="32">
        <v>10436343.975</v>
      </c>
      <c r="P4" s="33">
        <f t="shared" ref="P4:P11" si="0">(G4-N4)/N4</f>
        <v>6.2488935451171769E-2</v>
      </c>
      <c r="Q4" s="33">
        <f t="shared" ref="Q4:Q11" si="1">(E4-N4)/N4</f>
        <v>-0.68250375726045387</v>
      </c>
      <c r="R4" s="33">
        <f t="shared" ref="R4:R11" si="2">(B4-N4)/N4</f>
        <v>-0.86489521585551232</v>
      </c>
    </row>
    <row r="5" spans="1:18" s="19" customFormat="1" x14ac:dyDescent="0.2">
      <c r="A5" s="19" t="s">
        <v>13</v>
      </c>
      <c r="B5" s="30">
        <v>769000</v>
      </c>
      <c r="C5" s="31">
        <v>0.8</v>
      </c>
      <c r="D5" s="30">
        <v>615200</v>
      </c>
      <c r="E5" s="32">
        <f>D5+B5</f>
        <v>1384200</v>
      </c>
      <c r="F5" s="32">
        <v>2000000</v>
      </c>
      <c r="G5" s="32">
        <f>E5+F5</f>
        <v>3384200</v>
      </c>
      <c r="I5" s="32">
        <v>683348.02499999991</v>
      </c>
      <c r="J5" s="33">
        <v>0.81</v>
      </c>
      <c r="K5" s="32">
        <v>552604.14999999991</v>
      </c>
      <c r="L5" s="32">
        <v>1236051.5999999999</v>
      </c>
      <c r="M5" s="32">
        <v>1805955.7</v>
      </c>
      <c r="N5" s="32">
        <v>3041907.8749999995</v>
      </c>
      <c r="P5" s="33">
        <f>(G5-N5)/N5</f>
        <v>0.11252547383605446</v>
      </c>
      <c r="Q5" s="33">
        <f>(E5-N5)/N5</f>
        <v>-0.54495663350751533</v>
      </c>
      <c r="R5" s="33">
        <f>(B5-N5)/N5</f>
        <v>-0.74719812972639743</v>
      </c>
    </row>
    <row r="6" spans="1:18" s="19" customFormat="1" x14ac:dyDescent="0.2">
      <c r="A6" s="19" t="s">
        <v>15</v>
      </c>
      <c r="B6" s="30">
        <v>648000</v>
      </c>
      <c r="C6" s="31">
        <v>0.7</v>
      </c>
      <c r="D6" s="30">
        <v>453600</v>
      </c>
      <c r="E6" s="32">
        <f>D6+B6</f>
        <v>1101600</v>
      </c>
      <c r="F6" s="32">
        <v>1400000</v>
      </c>
      <c r="G6" s="32">
        <f>E6+F6</f>
        <v>2501600</v>
      </c>
      <c r="I6" s="32">
        <v>659000</v>
      </c>
      <c r="J6" s="33">
        <v>0.75</v>
      </c>
      <c r="K6" s="32">
        <v>499200</v>
      </c>
      <c r="L6" s="32">
        <v>1158200</v>
      </c>
      <c r="M6" s="32">
        <v>1450100</v>
      </c>
      <c r="N6" s="32">
        <v>2608300</v>
      </c>
      <c r="P6" s="33">
        <f>(G6-N6)/N6</f>
        <v>-4.0907871027105774E-2</v>
      </c>
      <c r="Q6" s="33">
        <f>(E6-N6)/N6</f>
        <v>-0.57765594448491353</v>
      </c>
      <c r="R6" s="33">
        <f>(B6-N6)/N6</f>
        <v>-0.75156232028524328</v>
      </c>
    </row>
    <row r="7" spans="1:18" s="19" customFormat="1" x14ac:dyDescent="0.2">
      <c r="A7" s="19" t="s">
        <v>14</v>
      </c>
      <c r="B7" s="30">
        <v>569000</v>
      </c>
      <c r="C7" s="31">
        <v>0.7</v>
      </c>
      <c r="D7" s="30">
        <v>398300</v>
      </c>
      <c r="E7" s="32">
        <f>D7+B7</f>
        <v>967300</v>
      </c>
      <c r="F7" s="32">
        <v>1200000</v>
      </c>
      <c r="G7" s="32">
        <f>E7+F7</f>
        <v>2167300</v>
      </c>
      <c r="I7" s="32">
        <v>571500</v>
      </c>
      <c r="J7" s="33">
        <v>0.8</v>
      </c>
      <c r="K7" s="32">
        <v>574900</v>
      </c>
      <c r="L7" s="32">
        <v>1146400</v>
      </c>
      <c r="M7" s="32">
        <v>1263600</v>
      </c>
      <c r="N7" s="32">
        <v>2410000</v>
      </c>
      <c r="P7" s="33">
        <f>(G7-N7)/N7</f>
        <v>-0.10070539419087136</v>
      </c>
      <c r="Q7" s="33">
        <f>(E7-N7)/N7</f>
        <v>-0.59863070539419083</v>
      </c>
      <c r="R7" s="33">
        <f>(B7-N7)/N7</f>
        <v>-0.76390041493775929</v>
      </c>
    </row>
    <row r="8" spans="1:18" s="19" customFormat="1" ht="14.25" x14ac:dyDescent="0.2">
      <c r="A8" s="19" t="s">
        <v>19</v>
      </c>
      <c r="B8" s="30">
        <v>595000</v>
      </c>
      <c r="C8" s="31">
        <v>0.7</v>
      </c>
      <c r="D8" s="30">
        <v>416500</v>
      </c>
      <c r="E8" s="32">
        <f t="shared" ref="E8:E11" si="3">D8+B8</f>
        <v>1011500</v>
      </c>
      <c r="F8" s="32">
        <v>1000000</v>
      </c>
      <c r="G8" s="32">
        <f t="shared" ref="G8:G11" si="4">E8+F8</f>
        <v>2011500</v>
      </c>
      <c r="I8" s="32">
        <v>561900</v>
      </c>
      <c r="J8" s="33">
        <v>0.76</v>
      </c>
      <c r="K8" s="32">
        <v>486800</v>
      </c>
      <c r="L8" s="32">
        <v>1048700</v>
      </c>
      <c r="M8" s="32">
        <v>1025200</v>
      </c>
      <c r="N8" s="32">
        <v>2073900</v>
      </c>
      <c r="P8" s="33">
        <f t="shared" si="0"/>
        <v>-3.0088239548676406E-2</v>
      </c>
      <c r="Q8" s="33">
        <f t="shared" si="1"/>
        <v>-0.5122715656492598</v>
      </c>
      <c r="R8" s="33">
        <f t="shared" si="2"/>
        <v>-0.71310092097015287</v>
      </c>
    </row>
    <row r="9" spans="1:18" s="19" customFormat="1" x14ac:dyDescent="0.2">
      <c r="A9" s="19" t="s">
        <v>25</v>
      </c>
      <c r="B9" s="30">
        <v>510000</v>
      </c>
      <c r="C9" s="31">
        <v>0.7</v>
      </c>
      <c r="D9" s="30">
        <v>357000</v>
      </c>
      <c r="E9" s="32">
        <f>D9+B9</f>
        <v>867000</v>
      </c>
      <c r="F9" s="32">
        <v>905000</v>
      </c>
      <c r="G9" s="32">
        <f>E9+F9</f>
        <v>1772000</v>
      </c>
      <c r="I9" s="32">
        <v>567800</v>
      </c>
      <c r="J9" s="33">
        <v>0.78</v>
      </c>
      <c r="K9" s="32">
        <v>487600</v>
      </c>
      <c r="L9" s="32">
        <v>1055400</v>
      </c>
      <c r="M9" s="32">
        <v>1189000</v>
      </c>
      <c r="N9" s="32">
        <v>2244400</v>
      </c>
      <c r="P9" s="33">
        <f>(G9-N9)/N9</f>
        <v>-0.210479415433969</v>
      </c>
      <c r="Q9" s="33">
        <f>(E9-N9)/N9</f>
        <v>-0.61370522188558185</v>
      </c>
      <c r="R9" s="33">
        <f>(B9-N9)/N9</f>
        <v>-0.77276777757975401</v>
      </c>
    </row>
    <row r="10" spans="1:18" s="19" customFormat="1" x14ac:dyDescent="0.2">
      <c r="A10" s="19" t="s">
        <v>26</v>
      </c>
      <c r="B10" s="30">
        <v>497000</v>
      </c>
      <c r="C10" s="31">
        <v>0.7</v>
      </c>
      <c r="D10" s="30">
        <v>347900</v>
      </c>
      <c r="E10" s="32">
        <f>D10+B10</f>
        <v>844900</v>
      </c>
      <c r="F10" s="32">
        <v>832000</v>
      </c>
      <c r="G10" s="32">
        <f>E10+F10</f>
        <v>1676900</v>
      </c>
      <c r="I10" s="32">
        <v>493500</v>
      </c>
      <c r="J10" s="33">
        <v>0.6</v>
      </c>
      <c r="K10" s="32">
        <v>294900</v>
      </c>
      <c r="L10" s="32">
        <v>788400</v>
      </c>
      <c r="M10" s="32">
        <v>643400</v>
      </c>
      <c r="N10" s="32">
        <v>1431800</v>
      </c>
      <c r="P10" s="33">
        <f>(G10-N10)/N10</f>
        <v>0.17118312613493505</v>
      </c>
      <c r="Q10" s="33">
        <f>(E10-N10)/N10</f>
        <v>-0.40990361782371837</v>
      </c>
      <c r="R10" s="33">
        <f>(B10-N10)/N10</f>
        <v>-0.65288448107277552</v>
      </c>
    </row>
    <row r="11" spans="1:18" s="19" customFormat="1" x14ac:dyDescent="0.2">
      <c r="A11" s="19" t="s">
        <v>27</v>
      </c>
      <c r="B11" s="30">
        <v>518000</v>
      </c>
      <c r="C11" s="31">
        <v>0.8</v>
      </c>
      <c r="D11" s="30">
        <v>414400</v>
      </c>
      <c r="E11" s="32">
        <f t="shared" si="3"/>
        <v>932400</v>
      </c>
      <c r="F11" s="32">
        <v>832000</v>
      </c>
      <c r="G11" s="32">
        <f t="shared" si="4"/>
        <v>1764400</v>
      </c>
      <c r="I11" s="32">
        <v>567800</v>
      </c>
      <c r="J11" s="33">
        <v>0.78</v>
      </c>
      <c r="K11" s="32">
        <v>487600</v>
      </c>
      <c r="L11" s="32">
        <v>1055400</v>
      </c>
      <c r="M11" s="32">
        <v>1189000</v>
      </c>
      <c r="N11" s="32">
        <v>2244400</v>
      </c>
      <c r="P11" s="33">
        <f t="shared" si="0"/>
        <v>-0.21386562110140794</v>
      </c>
      <c r="Q11" s="33">
        <f t="shared" si="1"/>
        <v>-0.58456603101051507</v>
      </c>
      <c r="R11" s="33">
        <f t="shared" si="2"/>
        <v>-0.76920335056139721</v>
      </c>
    </row>
    <row r="12" spans="1:18" s="19" customFormat="1" x14ac:dyDescent="0.2">
      <c r="A12" s="19" t="s">
        <v>28</v>
      </c>
      <c r="B12" s="30">
        <v>505000</v>
      </c>
      <c r="C12" s="31">
        <v>0.7</v>
      </c>
      <c r="D12" s="30">
        <v>353500</v>
      </c>
      <c r="E12" s="32">
        <f>D12+B12</f>
        <v>858500</v>
      </c>
      <c r="F12" s="32">
        <v>1100000</v>
      </c>
      <c r="G12" s="32">
        <f>E12+F12</f>
        <v>1958500</v>
      </c>
      <c r="I12" s="32">
        <v>567800</v>
      </c>
      <c r="J12" s="33">
        <v>0.78</v>
      </c>
      <c r="K12" s="32">
        <v>487600</v>
      </c>
      <c r="L12" s="32">
        <v>1055400</v>
      </c>
      <c r="M12" s="32">
        <v>1189000</v>
      </c>
      <c r="N12" s="32">
        <v>2244400</v>
      </c>
      <c r="P12" s="33">
        <f>(G12-N12)/N12</f>
        <v>-0.1273837105685261</v>
      </c>
      <c r="Q12" s="33">
        <f>(E12-N12)/N12</f>
        <v>-0.61749242559258599</v>
      </c>
      <c r="R12" s="33">
        <f>(B12-N12)/N12</f>
        <v>-0.77499554446622709</v>
      </c>
    </row>
    <row r="13" spans="1:18" s="19" customFormat="1" x14ac:dyDescent="0.2">
      <c r="A13" s="19" t="s">
        <v>29</v>
      </c>
      <c r="B13" s="30">
        <v>533000</v>
      </c>
      <c r="C13" s="31">
        <v>0.7</v>
      </c>
      <c r="D13" s="30">
        <v>373100</v>
      </c>
      <c r="E13" s="32">
        <f t="shared" ref="E13:E28" si="5">D13+B13</f>
        <v>906100</v>
      </c>
      <c r="F13" s="32">
        <v>850000</v>
      </c>
      <c r="G13" s="32">
        <f t="shared" ref="G13:G28" si="6">E13+F13</f>
        <v>1756100</v>
      </c>
      <c r="I13" s="32">
        <v>593700</v>
      </c>
      <c r="J13" s="33">
        <v>0.7</v>
      </c>
      <c r="K13" s="32">
        <v>426900</v>
      </c>
      <c r="L13" s="32">
        <v>1020600</v>
      </c>
      <c r="M13" s="32">
        <v>1039900</v>
      </c>
      <c r="N13" s="32">
        <v>2060500</v>
      </c>
      <c r="P13" s="33">
        <f t="shared" ref="P13:P28" si="7">(G13-N13)/N13</f>
        <v>-0.14773113322009221</v>
      </c>
      <c r="Q13" s="33">
        <f t="shared" ref="Q13:Q28" si="8">(E13-N13)/N13</f>
        <v>-0.56025236593059935</v>
      </c>
      <c r="R13" s="33">
        <f t="shared" ref="R13:R28" si="9">(B13-N13)/N13</f>
        <v>-0.74132492113564674</v>
      </c>
    </row>
    <row r="14" spans="1:18" s="19" customFormat="1" ht="14.25" x14ac:dyDescent="0.2">
      <c r="A14" s="19" t="s">
        <v>42</v>
      </c>
      <c r="B14" s="30">
        <v>421000</v>
      </c>
      <c r="C14" s="31">
        <v>0.57499999999999996</v>
      </c>
      <c r="D14" s="30">
        <v>242074.99999999997</v>
      </c>
      <c r="E14" s="32">
        <f t="shared" si="5"/>
        <v>663075</v>
      </c>
      <c r="F14" s="32">
        <v>500000</v>
      </c>
      <c r="G14" s="32">
        <f t="shared" si="6"/>
        <v>1163075</v>
      </c>
      <c r="I14" s="32">
        <v>476200</v>
      </c>
      <c r="J14" s="33">
        <v>0.55000000000000004</v>
      </c>
      <c r="K14" s="32">
        <v>262000</v>
      </c>
      <c r="L14" s="32">
        <v>738200</v>
      </c>
      <c r="M14" s="32">
        <v>500000</v>
      </c>
      <c r="N14" s="32">
        <v>1238200</v>
      </c>
      <c r="P14" s="33">
        <f t="shared" si="7"/>
        <v>-6.0672750767242774E-2</v>
      </c>
      <c r="Q14" s="33">
        <f t="shared" si="8"/>
        <v>-0.46448473590696171</v>
      </c>
      <c r="R14" s="33">
        <f t="shared" si="9"/>
        <v>-0.65999030851235663</v>
      </c>
    </row>
    <row r="15" spans="1:18" s="19" customFormat="1" x14ac:dyDescent="0.2">
      <c r="A15" s="19" t="s">
        <v>30</v>
      </c>
      <c r="B15" s="30">
        <v>385000</v>
      </c>
      <c r="C15" s="31">
        <v>0.55000000000000004</v>
      </c>
      <c r="D15" s="30">
        <v>211750.00000000003</v>
      </c>
      <c r="E15" s="32">
        <f t="shared" si="5"/>
        <v>596750</v>
      </c>
      <c r="F15" s="32">
        <v>380000</v>
      </c>
      <c r="G15" s="32">
        <f t="shared" si="6"/>
        <v>976750</v>
      </c>
      <c r="I15" s="32">
        <v>342500</v>
      </c>
      <c r="J15" s="33">
        <v>0.5</v>
      </c>
      <c r="K15" s="32">
        <v>207600</v>
      </c>
      <c r="L15" s="32">
        <v>550100</v>
      </c>
      <c r="M15" s="32">
        <v>398900</v>
      </c>
      <c r="N15" s="32">
        <v>949000</v>
      </c>
      <c r="P15" s="33">
        <f t="shared" si="7"/>
        <v>2.9241306638566913E-2</v>
      </c>
      <c r="Q15" s="33">
        <f t="shared" si="8"/>
        <v>-0.37118018967334038</v>
      </c>
      <c r="R15" s="33">
        <f t="shared" si="9"/>
        <v>-0.5943097997892518</v>
      </c>
    </row>
    <row r="16" spans="1:18" s="19" customFormat="1" x14ac:dyDescent="0.2">
      <c r="A16" s="19" t="s">
        <v>31</v>
      </c>
      <c r="B16" s="30">
        <v>384000</v>
      </c>
      <c r="C16" s="31">
        <v>0.6</v>
      </c>
      <c r="D16" s="30">
        <v>230400</v>
      </c>
      <c r="E16" s="32">
        <f t="shared" si="5"/>
        <v>614400</v>
      </c>
      <c r="F16" s="32">
        <v>400000</v>
      </c>
      <c r="G16" s="32">
        <f t="shared" si="6"/>
        <v>1014400</v>
      </c>
      <c r="I16" s="32">
        <v>378500</v>
      </c>
      <c r="J16" s="33">
        <v>0.52</v>
      </c>
      <c r="K16" s="32">
        <v>202400</v>
      </c>
      <c r="L16" s="32">
        <v>580900</v>
      </c>
      <c r="M16" s="32">
        <v>329700</v>
      </c>
      <c r="N16" s="32">
        <v>910600</v>
      </c>
      <c r="P16" s="33">
        <f t="shared" si="7"/>
        <v>0.11399077531298045</v>
      </c>
      <c r="Q16" s="33">
        <f t="shared" si="8"/>
        <v>-0.32528003514166481</v>
      </c>
      <c r="R16" s="33">
        <f t="shared" si="9"/>
        <v>-0.57830002196354058</v>
      </c>
    </row>
    <row r="17" spans="1:18" s="19" customFormat="1" ht="14.25" x14ac:dyDescent="0.2">
      <c r="A17" s="19" t="s">
        <v>43</v>
      </c>
      <c r="B17" s="30">
        <v>400000</v>
      </c>
      <c r="C17" s="31">
        <v>0.5</v>
      </c>
      <c r="D17" s="30">
        <v>200000</v>
      </c>
      <c r="E17" s="32">
        <f t="shared" si="5"/>
        <v>600000</v>
      </c>
      <c r="F17" s="32">
        <v>344000</v>
      </c>
      <c r="G17" s="32">
        <f t="shared" si="6"/>
        <v>944000</v>
      </c>
      <c r="I17" s="32">
        <v>376500</v>
      </c>
      <c r="J17" s="33">
        <v>0.46</v>
      </c>
      <c r="K17" s="32">
        <v>163700</v>
      </c>
      <c r="L17" s="32">
        <v>540200</v>
      </c>
      <c r="M17" s="32">
        <v>304900</v>
      </c>
      <c r="N17" s="32">
        <v>845100</v>
      </c>
      <c r="P17" s="33">
        <f t="shared" si="7"/>
        <v>0.1170275707016921</v>
      </c>
      <c r="Q17" s="33">
        <f t="shared" si="8"/>
        <v>-0.29002484913028043</v>
      </c>
      <c r="R17" s="33">
        <f t="shared" si="9"/>
        <v>-0.52668323275352025</v>
      </c>
    </row>
    <row r="18" spans="1:18" s="19" customFormat="1" x14ac:dyDescent="0.2">
      <c r="A18" s="19" t="s">
        <v>32</v>
      </c>
      <c r="B18" s="30">
        <v>397000</v>
      </c>
      <c r="C18" s="31">
        <v>0.5</v>
      </c>
      <c r="D18" s="30">
        <v>198500</v>
      </c>
      <c r="E18" s="32">
        <f t="shared" si="5"/>
        <v>595500</v>
      </c>
      <c r="F18" s="32">
        <v>400000</v>
      </c>
      <c r="G18" s="32">
        <f t="shared" si="6"/>
        <v>995500</v>
      </c>
      <c r="I18" s="32">
        <v>410500</v>
      </c>
      <c r="J18" s="33">
        <v>0.5</v>
      </c>
      <c r="K18" s="32">
        <v>209100</v>
      </c>
      <c r="L18" s="32">
        <v>619600</v>
      </c>
      <c r="M18" s="32">
        <v>409800</v>
      </c>
      <c r="N18" s="32">
        <v>1029400</v>
      </c>
      <c r="P18" s="33">
        <f t="shared" si="7"/>
        <v>-3.2931804934913544E-2</v>
      </c>
      <c r="Q18" s="33">
        <f t="shared" si="8"/>
        <v>-0.4215076743734214</v>
      </c>
      <c r="R18" s="33">
        <f t="shared" si="9"/>
        <v>-0.6143384495822809</v>
      </c>
    </row>
    <row r="19" spans="1:18" s="19" customFormat="1" x14ac:dyDescent="0.2">
      <c r="A19" s="19" t="s">
        <v>33</v>
      </c>
      <c r="B19" s="30">
        <v>376000</v>
      </c>
      <c r="C19" s="31">
        <v>0.5</v>
      </c>
      <c r="D19" s="30">
        <v>188000</v>
      </c>
      <c r="E19" s="32">
        <f t="shared" si="5"/>
        <v>564000</v>
      </c>
      <c r="F19" s="32">
        <v>344000</v>
      </c>
      <c r="G19" s="32">
        <f t="shared" si="6"/>
        <v>908000</v>
      </c>
      <c r="I19" s="32">
        <v>341800</v>
      </c>
      <c r="J19" s="33">
        <v>0.45</v>
      </c>
      <c r="K19" s="32">
        <v>184100</v>
      </c>
      <c r="L19" s="32">
        <v>525900</v>
      </c>
      <c r="M19" s="32">
        <v>323700</v>
      </c>
      <c r="N19" s="32">
        <v>849600</v>
      </c>
      <c r="P19" s="33">
        <f t="shared" si="7"/>
        <v>6.8738229755178903E-2</v>
      </c>
      <c r="Q19" s="33">
        <f t="shared" si="8"/>
        <v>-0.33615819209039549</v>
      </c>
      <c r="R19" s="33">
        <f t="shared" si="9"/>
        <v>-0.55743879472693036</v>
      </c>
    </row>
    <row r="20" spans="1:18" s="19" customFormat="1" x14ac:dyDescent="0.2">
      <c r="A20" s="19" t="s">
        <v>34</v>
      </c>
      <c r="B20" s="30">
        <v>379000</v>
      </c>
      <c r="C20" s="31">
        <v>0.5</v>
      </c>
      <c r="D20" s="30">
        <v>189500</v>
      </c>
      <c r="E20" s="32">
        <f t="shared" si="5"/>
        <v>568500</v>
      </c>
      <c r="F20" s="32">
        <v>344000</v>
      </c>
      <c r="G20" s="32">
        <f t="shared" si="6"/>
        <v>912500</v>
      </c>
      <c r="I20" s="32">
        <v>369800</v>
      </c>
      <c r="J20" s="33">
        <v>0.4</v>
      </c>
      <c r="K20" s="32">
        <v>219700</v>
      </c>
      <c r="L20" s="32">
        <v>589500</v>
      </c>
      <c r="M20" s="32">
        <v>296300</v>
      </c>
      <c r="N20" s="32">
        <v>885800</v>
      </c>
      <c r="P20" s="33">
        <f t="shared" si="7"/>
        <v>3.0142244298938813E-2</v>
      </c>
      <c r="Q20" s="33">
        <f t="shared" si="8"/>
        <v>-0.35820727026416799</v>
      </c>
      <c r="R20" s="33">
        <f t="shared" si="9"/>
        <v>-0.57213818017611195</v>
      </c>
    </row>
    <row r="21" spans="1:18" s="19" customFormat="1" x14ac:dyDescent="0.2">
      <c r="A21" s="19" t="s">
        <v>35</v>
      </c>
      <c r="B21" s="30">
        <v>281500</v>
      </c>
      <c r="C21" s="31">
        <v>0.4</v>
      </c>
      <c r="D21" s="30">
        <v>112600</v>
      </c>
      <c r="E21" s="32">
        <f>D21+B21</f>
        <v>394100</v>
      </c>
      <c r="F21" s="32">
        <v>200000</v>
      </c>
      <c r="G21" s="32">
        <f>E21+F21</f>
        <v>594100</v>
      </c>
      <c r="I21" s="32">
        <v>293000</v>
      </c>
      <c r="J21" s="33">
        <v>0.4</v>
      </c>
      <c r="K21" s="32">
        <v>121600</v>
      </c>
      <c r="L21" s="32">
        <v>414600</v>
      </c>
      <c r="M21" s="32">
        <v>221500</v>
      </c>
      <c r="N21" s="32">
        <v>636100</v>
      </c>
      <c r="P21" s="33">
        <f>(G21-N21)/N21</f>
        <v>-6.6027354189592838E-2</v>
      </c>
      <c r="Q21" s="33">
        <f>(E21-N21)/N21</f>
        <v>-0.38044332652098728</v>
      </c>
      <c r="R21" s="33">
        <f>(B21-N21)/N21</f>
        <v>-0.55745951894356238</v>
      </c>
    </row>
    <row r="22" spans="1:18" s="19" customFormat="1" x14ac:dyDescent="0.2">
      <c r="A22" s="19" t="s">
        <v>36</v>
      </c>
      <c r="B22" s="30">
        <v>356000</v>
      </c>
      <c r="C22" s="31">
        <v>0.57499999999999996</v>
      </c>
      <c r="D22" s="30">
        <v>204699.99999999997</v>
      </c>
      <c r="E22" s="32">
        <f t="shared" si="5"/>
        <v>560700</v>
      </c>
      <c r="F22" s="32">
        <v>375000</v>
      </c>
      <c r="G22" s="32">
        <f t="shared" si="6"/>
        <v>935700</v>
      </c>
      <c r="I22" s="32">
        <v>401500</v>
      </c>
      <c r="J22" s="33">
        <v>0.45</v>
      </c>
      <c r="K22" s="32">
        <v>214200</v>
      </c>
      <c r="L22" s="32">
        <v>615700</v>
      </c>
      <c r="M22" s="32">
        <v>389500</v>
      </c>
      <c r="N22" s="32">
        <v>1005200</v>
      </c>
      <c r="P22" s="33">
        <f t="shared" si="7"/>
        <v>-6.9140469558296863E-2</v>
      </c>
      <c r="Q22" s="33">
        <f t="shared" si="8"/>
        <v>-0.44220055710306405</v>
      </c>
      <c r="R22" s="33">
        <f t="shared" si="9"/>
        <v>-0.64584162355750097</v>
      </c>
    </row>
    <row r="23" spans="1:18" s="19" customFormat="1" x14ac:dyDescent="0.2">
      <c r="A23" s="19" t="s">
        <v>37</v>
      </c>
      <c r="B23" s="30">
        <v>380500</v>
      </c>
      <c r="C23" s="31">
        <v>0.57499999999999996</v>
      </c>
      <c r="D23" s="30">
        <v>218787.49999999997</v>
      </c>
      <c r="E23" s="32">
        <f t="shared" si="5"/>
        <v>599287.5</v>
      </c>
      <c r="F23" s="32">
        <v>375000</v>
      </c>
      <c r="G23" s="32">
        <f t="shared" si="6"/>
        <v>974287.5</v>
      </c>
      <c r="I23" s="32">
        <v>389100</v>
      </c>
      <c r="J23" s="33">
        <v>0.45</v>
      </c>
      <c r="K23" s="32">
        <v>199700</v>
      </c>
      <c r="L23" s="32">
        <v>588800</v>
      </c>
      <c r="M23" s="32">
        <v>350600</v>
      </c>
      <c r="N23" s="32">
        <v>939400</v>
      </c>
      <c r="P23" s="33">
        <f t="shared" si="7"/>
        <v>3.7138066851181609E-2</v>
      </c>
      <c r="Q23" s="33">
        <f t="shared" si="8"/>
        <v>-0.36205290611028318</v>
      </c>
      <c r="R23" s="33">
        <f t="shared" si="9"/>
        <v>-0.59495422610176707</v>
      </c>
    </row>
    <row r="24" spans="1:18" s="19" customFormat="1" x14ac:dyDescent="0.2">
      <c r="A24" s="19" t="s">
        <v>38</v>
      </c>
      <c r="B24" s="30">
        <v>315000</v>
      </c>
      <c r="C24" s="31">
        <v>0.5</v>
      </c>
      <c r="D24" s="30">
        <v>157500</v>
      </c>
      <c r="E24" s="32">
        <f t="shared" si="5"/>
        <v>472500</v>
      </c>
      <c r="F24" s="32">
        <v>266220</v>
      </c>
      <c r="G24" s="32">
        <f t="shared" si="6"/>
        <v>738720</v>
      </c>
      <c r="I24" s="32">
        <v>362400</v>
      </c>
      <c r="J24" s="33">
        <v>0.45</v>
      </c>
      <c r="K24" s="32">
        <v>169700</v>
      </c>
      <c r="L24" s="32">
        <v>532100</v>
      </c>
      <c r="M24" s="32">
        <v>273600</v>
      </c>
      <c r="N24" s="32">
        <v>805700</v>
      </c>
      <c r="P24" s="33">
        <f t="shared" si="7"/>
        <v>-8.3132679657440728E-2</v>
      </c>
      <c r="Q24" s="33">
        <f t="shared" si="8"/>
        <v>-0.41355343179843612</v>
      </c>
      <c r="R24" s="33">
        <f t="shared" si="9"/>
        <v>-0.60903562119895738</v>
      </c>
    </row>
    <row r="25" spans="1:18" s="19" customFormat="1" x14ac:dyDescent="0.2">
      <c r="A25" s="19" t="s">
        <v>39</v>
      </c>
      <c r="B25" s="30">
        <v>304000</v>
      </c>
      <c r="C25" s="31">
        <v>0.57499999999999996</v>
      </c>
      <c r="D25" s="30">
        <v>174800</v>
      </c>
      <c r="E25" s="32">
        <f t="shared" si="5"/>
        <v>478800</v>
      </c>
      <c r="F25" s="32">
        <v>285000</v>
      </c>
      <c r="G25" s="32">
        <f t="shared" si="6"/>
        <v>763800</v>
      </c>
      <c r="I25" s="32">
        <v>367900</v>
      </c>
      <c r="J25" s="33">
        <v>0.45</v>
      </c>
      <c r="K25" s="32">
        <v>175600</v>
      </c>
      <c r="L25" s="32">
        <v>543500</v>
      </c>
      <c r="M25" s="32">
        <v>288700</v>
      </c>
      <c r="N25" s="32">
        <v>832200</v>
      </c>
      <c r="P25" s="33">
        <f t="shared" si="7"/>
        <v>-8.2191780821917804E-2</v>
      </c>
      <c r="Q25" s="33">
        <f t="shared" si="8"/>
        <v>-0.42465753424657532</v>
      </c>
      <c r="R25" s="33">
        <f t="shared" si="9"/>
        <v>-0.63470319634703198</v>
      </c>
    </row>
    <row r="26" spans="1:18" s="19" customFormat="1" x14ac:dyDescent="0.2">
      <c r="A26" s="19" t="s">
        <v>40</v>
      </c>
      <c r="B26" s="30">
        <v>324500</v>
      </c>
      <c r="C26" s="31">
        <v>0.57499999999999996</v>
      </c>
      <c r="D26" s="30">
        <v>186587.5</v>
      </c>
      <c r="E26" s="32">
        <f>D26+B26</f>
        <v>511087.5</v>
      </c>
      <c r="F26" s="32">
        <v>285000</v>
      </c>
      <c r="G26" s="32">
        <f>E26+F26</f>
        <v>796087.5</v>
      </c>
      <c r="I26" s="32">
        <v>367800</v>
      </c>
      <c r="J26" s="33">
        <v>0.45</v>
      </c>
      <c r="K26" s="32">
        <v>181100</v>
      </c>
      <c r="L26" s="32">
        <v>548900</v>
      </c>
      <c r="M26" s="32">
        <v>295800</v>
      </c>
      <c r="N26" s="32">
        <v>844700</v>
      </c>
      <c r="P26" s="33">
        <f>(G26-N26)/N26</f>
        <v>-5.7550017757783831E-2</v>
      </c>
      <c r="Q26" s="33">
        <f>(E26-N26)/N26</f>
        <v>-0.39494791050076949</v>
      </c>
      <c r="R26" s="33">
        <f>(B26-N26)/N26</f>
        <v>-0.61583994317509172</v>
      </c>
    </row>
    <row r="27" spans="1:18" s="19" customFormat="1" x14ac:dyDescent="0.2">
      <c r="A27" s="19" t="s">
        <v>41</v>
      </c>
      <c r="B27" s="30">
        <v>285000</v>
      </c>
      <c r="C27" s="31">
        <v>0.5</v>
      </c>
      <c r="D27" s="30">
        <v>142500</v>
      </c>
      <c r="E27" s="32">
        <f t="shared" si="5"/>
        <v>427500</v>
      </c>
      <c r="F27" s="32">
        <v>266220</v>
      </c>
      <c r="G27" s="32">
        <f t="shared" si="6"/>
        <v>693720</v>
      </c>
      <c r="I27" s="32">
        <v>361300</v>
      </c>
      <c r="J27" s="33">
        <v>0.45</v>
      </c>
      <c r="K27" s="32">
        <v>168400</v>
      </c>
      <c r="L27" s="32">
        <v>529700</v>
      </c>
      <c r="M27" s="32">
        <v>270600</v>
      </c>
      <c r="N27" s="32">
        <v>800300</v>
      </c>
      <c r="P27" s="33">
        <f t="shared" si="7"/>
        <v>-0.13317505935274271</v>
      </c>
      <c r="Q27" s="33">
        <f t="shared" si="8"/>
        <v>-0.46582531550668499</v>
      </c>
      <c r="R27" s="33">
        <f t="shared" si="9"/>
        <v>-0.64388354367112333</v>
      </c>
    </row>
    <row r="28" spans="1:18" s="19" customFormat="1" ht="14.25" x14ac:dyDescent="0.2">
      <c r="A28" s="19" t="s">
        <v>44</v>
      </c>
      <c r="B28" s="30">
        <v>260000</v>
      </c>
      <c r="C28" s="31">
        <v>0.45</v>
      </c>
      <c r="D28" s="30">
        <v>117000</v>
      </c>
      <c r="E28" s="32">
        <f t="shared" si="5"/>
        <v>377000</v>
      </c>
      <c r="F28" s="32">
        <v>150000</v>
      </c>
      <c r="G28" s="32">
        <f t="shared" si="6"/>
        <v>527000</v>
      </c>
      <c r="I28" s="32">
        <v>301500</v>
      </c>
      <c r="J28" s="33">
        <v>0.4</v>
      </c>
      <c r="K28" s="32">
        <v>115400</v>
      </c>
      <c r="L28" s="32">
        <v>416900</v>
      </c>
      <c r="M28" s="32">
        <v>189700</v>
      </c>
      <c r="N28" s="32">
        <v>606600</v>
      </c>
      <c r="P28" s="33">
        <f t="shared" si="7"/>
        <v>-0.1312232113419057</v>
      </c>
      <c r="Q28" s="33">
        <f t="shared" si="8"/>
        <v>-0.37850313221233101</v>
      </c>
      <c r="R28" s="33">
        <f t="shared" si="9"/>
        <v>-0.57138147049126276</v>
      </c>
    </row>
    <row r="29" spans="1:18" s="20" customFormat="1" x14ac:dyDescent="0.2">
      <c r="A29" s="12" t="s">
        <v>20</v>
      </c>
      <c r="B29" s="20">
        <f>COUNT(B4:B28)</f>
        <v>25</v>
      </c>
      <c r="N29" s="12" t="s">
        <v>21</v>
      </c>
      <c r="P29" s="21">
        <f>AVERAGE(P4:P28)</f>
        <v>-3.3789231379671415E-2</v>
      </c>
      <c r="Q29" s="21">
        <f>AVERAGE(Q4:Q28)</f>
        <v>-0.46123861316474796</v>
      </c>
      <c r="R29" s="21">
        <f>AVERAGE(R4:R28)</f>
        <v>-0.66112524030324626</v>
      </c>
    </row>
    <row r="30" spans="1:18" x14ac:dyDescent="0.2">
      <c r="A30" s="12"/>
      <c r="N30" s="12"/>
      <c r="P30" s="4"/>
      <c r="Q30" s="4"/>
      <c r="R30" s="4"/>
    </row>
    <row r="31" spans="1:18" x14ac:dyDescent="0.2">
      <c r="A31" s="5" t="s">
        <v>16</v>
      </c>
      <c r="B31" s="6"/>
      <c r="C31" s="6"/>
    </row>
    <row r="32" spans="1:18" x14ac:dyDescent="0.2">
      <c r="A32" s="7" t="s">
        <v>18</v>
      </c>
      <c r="B32" s="8"/>
      <c r="C32" s="9"/>
    </row>
    <row r="33" spans="1:12" ht="12.75" customHeight="1" x14ac:dyDescent="0.2">
      <c r="A33" s="29" t="s">
        <v>23</v>
      </c>
      <c r="B33" s="29"/>
      <c r="C33" s="29"/>
      <c r="D33" s="29"/>
      <c r="E33" s="29"/>
      <c r="F33" s="29"/>
      <c r="G33" s="29"/>
      <c r="H33" s="29"/>
      <c r="I33" s="29"/>
      <c r="J33" s="29"/>
      <c r="K33" s="29"/>
      <c r="L33" s="29"/>
    </row>
    <row r="34" spans="1:12" x14ac:dyDescent="0.2">
      <c r="A34" s="10" t="s">
        <v>17</v>
      </c>
      <c r="B34" s="11"/>
      <c r="C34" s="11"/>
      <c r="D34" s="11"/>
      <c r="E34" s="11"/>
      <c r="F34" s="11"/>
      <c r="G34" s="11"/>
      <c r="H34" s="11"/>
      <c r="I34" s="11"/>
      <c r="J34" s="11"/>
      <c r="K34" s="7"/>
      <c r="L34" s="7"/>
    </row>
    <row r="35" spans="1:12" x14ac:dyDescent="0.2">
      <c r="A35" s="10" t="s">
        <v>22</v>
      </c>
      <c r="B35" s="11"/>
      <c r="C35" s="11"/>
      <c r="D35" s="11"/>
      <c r="E35" s="11"/>
      <c r="F35" s="11"/>
      <c r="G35" s="11"/>
      <c r="H35" s="11"/>
      <c r="I35" s="11"/>
      <c r="J35" s="11"/>
      <c r="K35" s="7"/>
      <c r="L35" s="7"/>
    </row>
    <row r="36" spans="1:12" x14ac:dyDescent="0.2">
      <c r="A36" s="7" t="s">
        <v>24</v>
      </c>
    </row>
    <row r="37" spans="1:12" x14ac:dyDescent="0.2">
      <c r="A37" s="1" t="s">
        <v>45</v>
      </c>
    </row>
    <row r="38" spans="1:12" x14ac:dyDescent="0.2">
      <c r="A38" s="1" t="s">
        <v>46</v>
      </c>
    </row>
    <row r="39" spans="1:12" x14ac:dyDescent="0.2">
      <c r="A39" s="1" t="s">
        <v>47</v>
      </c>
    </row>
  </sheetData>
  <mergeCells count="5">
    <mergeCell ref="R2:R3"/>
    <mergeCell ref="B2:G2"/>
    <mergeCell ref="I2:N2"/>
    <mergeCell ref="P2:P3"/>
    <mergeCell ref="Q2:Q3"/>
  </mergeCells>
  <conditionalFormatting sqref="P4:R28">
    <cfRule type="cellIs" dxfId="1" priority="1" operator="greaterThan">
      <formula>0.15</formula>
    </cfRule>
    <cfRule type="cellIs" dxfId="0" priority="2" operator="lessThan">
      <formula>-0.15</formula>
    </cfRule>
  </conditionalFormatting>
  <pageMargins left="0.25" right="0.25" top="0.75" bottom="0.75" header="0.3" footer="0.3"/>
  <pageSetup scale="5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e9c0b8d7-bdb4-4fd3-b62a-f50327aaefce" origin="autoSelectedSuggestion">
  <element uid="c5f8eb12-5b27-439d-aaa6-3402af626fa3" value=""/>
  <element uid="c64218ab-b8d1-40b6-a478-cb8be1e10ecc"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3075F7-E5E5-4151-BE15-C07053EA3BE7}">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816EF700-C8C9-485A-AF06-428981614D39}"/>
</file>

<file path=customXml/itemProps3.xml><?xml version="1.0" encoding="utf-8"?>
<ds:datastoreItem xmlns:ds="http://schemas.openxmlformats.org/officeDocument/2006/customXml" ds:itemID="{24655382-6972-4FAF-9A60-92D51D74AE10}"/>
</file>

<file path=customXml/itemProps4.xml><?xml version="1.0" encoding="utf-8"?>
<ds:datastoreItem xmlns:ds="http://schemas.openxmlformats.org/officeDocument/2006/customXml" ds:itemID="{17BF7AEF-CA32-4260-A7E5-3C45C24A76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Exec</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s291679</dc:creator>
  <cp:keywords>AEP Public</cp:keywords>
  <cp:lastModifiedBy>s291679</cp:lastModifiedBy>
  <cp:lastPrinted>2019-02-24T22:16:03Z</cp:lastPrinted>
  <dcterms:created xsi:type="dcterms:W3CDTF">2018-12-19T20:55:02Z</dcterms:created>
  <dcterms:modified xsi:type="dcterms:W3CDTF">2019-03-06T14:14:58Z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0ba23ef7-738a-403b-a926-9ff5342c3dab</vt:lpwstr>
  </property>
  <property fmtid="{D5CDD505-2E9C-101B-9397-08002B2CF9AE}" pid="3" name="bjSaver">
    <vt:lpwstr>ymOzOy9TozdO3fPkFt/NYaxMcqEF9d4G</vt:lpwstr>
  </property>
  <property fmtid="{D5CDD505-2E9C-101B-9397-08002B2CF9AE}" pid="4" name="bjDocumentSecurityLabel">
    <vt:lpwstr>AEP Public</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uid="c5f8eb12-5b27-439d-aaa6-3402af626fa3"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