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harenow.sp.aepsc.com/shsvcs/regsvcs/aeptexas/2018 Base Rate Case/Schedules/Combined/"/>
    </mc:Choice>
  </mc:AlternateContent>
  <bookViews>
    <workbookView xWindow="0" yWindow="0" windowWidth="17900" windowHeight="7330"/>
  </bookViews>
  <sheets>
    <sheet name="IV-J-4(a) TEX" sheetId="9" r:id="rId1"/>
    <sheet name="IV-J-4(b1) TEX" sheetId="12" r:id="rId2"/>
    <sheet name="IV-J-4(b2) TEX" sheetId="13" r:id="rId3"/>
    <sheet name="IV-J-4(c) TEX" sheetId="10" r:id="rId4"/>
  </sheets>
  <externalReferences>
    <externalReference r:id="rId5"/>
    <externalReference r:id="rId6"/>
    <externalReference r:id="rId7"/>
  </externalReferences>
  <definedNames>
    <definedName name="a">#REF!</definedName>
    <definedName name="_xlnm.Criteria">[1]DECAPAR!#REF!</definedName>
    <definedName name="_xlnm.Data_Form">[1]DECAPAR!#REF!</definedName>
    <definedName name="_xlnm.Extract">[1]DECAPAR!#REF!</definedName>
    <definedName name="page1">#REF!</definedName>
    <definedName name="page10">#REF!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_xlnm.Print_Area" localSheetId="0">'IV-J-4(a) TEX'!$A$1:$P$135</definedName>
    <definedName name="_xlnm.Print_Area" localSheetId="3">'IV-J-4(c) TEX'!$A$2:$E$12</definedName>
    <definedName name="_xlnm.Print_Titles" localSheetId="3">'IV-J-4(c) TEX'!$2:$8</definedName>
    <definedName name="q">[2]Summary!#REF!</definedName>
    <definedName name="ResBasic" localSheetId="0">[3]Summary!#REF!</definedName>
    <definedName name="ResBasic" localSheetId="3">[3]Summary!#REF!</definedName>
    <definedName name="ResBasic">#REF!</definedName>
    <definedName name="ResEconomy1" localSheetId="0">[3]Summary!#REF!</definedName>
    <definedName name="ResEconomy1" localSheetId="3">[3]Summary!#REF!</definedName>
    <definedName name="ResEconomy1">#REF!</definedName>
    <definedName name="ResEconomy2" localSheetId="0">[3]Summary!#REF!</definedName>
    <definedName name="ResEconomy2" localSheetId="3">[3]Summary!#REF!</definedName>
    <definedName name="ResEconomy2">#REF!</definedName>
    <definedName name="ResSummary">#REF!</definedName>
    <definedName name="ResWaterHeating" localSheetId="0">[3]Summary!#REF!</definedName>
    <definedName name="ResWaterHeating" localSheetId="3">[3]Summary!#REF!</definedName>
    <definedName name="ResWaterHeating">#REF!</definedName>
    <definedName name="test">[2]Summary!#REF!</definedName>
    <definedName name="test1">[2]Summary!#REF!</definedName>
    <definedName name="total">#REF!</definedName>
    <definedName name="w">[2]Summary!#REF!</definedName>
  </definedNames>
  <calcPr calcId="162913"/>
</workbook>
</file>

<file path=xl/calcChain.xml><?xml version="1.0" encoding="utf-8"?>
<calcChain xmlns="http://schemas.openxmlformats.org/spreadsheetml/2006/main">
  <c r="A4" i="12" l="1"/>
  <c r="A64" i="12" s="1"/>
  <c r="A544" i="12" s="1"/>
  <c r="B278" i="13"/>
  <c r="B279" i="13" s="1"/>
  <c r="B280" i="13" s="1"/>
  <c r="B269" i="13"/>
  <c r="B270" i="13" s="1"/>
  <c r="B271" i="13" s="1"/>
  <c r="B272" i="13" s="1"/>
  <c r="J255" i="13"/>
  <c r="J256" i="13" s="1"/>
  <c r="J257" i="13" s="1"/>
  <c r="J258" i="13" s="1"/>
  <c r="J259" i="13" s="1"/>
  <c r="F255" i="13"/>
  <c r="F256" i="13" s="1"/>
  <c r="F257" i="13" s="1"/>
  <c r="F258" i="13" s="1"/>
  <c r="B255" i="13"/>
  <c r="B256" i="13" s="1"/>
  <c r="B257" i="13" s="1"/>
  <c r="B258" i="13" s="1"/>
  <c r="B259" i="13" s="1"/>
  <c r="B260" i="13" s="1"/>
  <c r="B261" i="13" s="1"/>
  <c r="B262" i="13" s="1"/>
  <c r="B263" i="13" s="1"/>
  <c r="F242" i="13"/>
  <c r="F243" i="13" s="1"/>
  <c r="F244" i="13" s="1"/>
  <c r="F245" i="13" s="1"/>
  <c r="F246" i="13" s="1"/>
  <c r="F247" i="13" s="1"/>
  <c r="B242" i="13"/>
  <c r="B243" i="13" s="1"/>
  <c r="B244" i="13" s="1"/>
  <c r="B245" i="13" s="1"/>
  <c r="B246" i="13" s="1"/>
  <c r="B247" i="13" s="1"/>
  <c r="B248" i="13" s="1"/>
  <c r="B249" i="13" s="1"/>
  <c r="B231" i="13"/>
  <c r="B232" i="13" s="1"/>
  <c r="B233" i="13" s="1"/>
  <c r="B234" i="13" s="1"/>
  <c r="B235" i="13" s="1"/>
  <c r="F196" i="13"/>
  <c r="F197" i="13" s="1"/>
  <c r="F198" i="13" s="1"/>
  <c r="F199" i="13" s="1"/>
  <c r="F200" i="13" s="1"/>
  <c r="F201" i="13" s="1"/>
  <c r="F202" i="13" s="1"/>
  <c r="F203" i="13" s="1"/>
  <c r="B196" i="13"/>
  <c r="B197" i="13" s="1"/>
  <c r="B198" i="13" s="1"/>
  <c r="B199" i="13" s="1"/>
  <c r="B200" i="13" s="1"/>
  <c r="B201" i="13" s="1"/>
  <c r="B202" i="13" s="1"/>
  <c r="B203" i="13" s="1"/>
  <c r="J180" i="13"/>
  <c r="J181" i="13" s="1"/>
  <c r="J182" i="13" s="1"/>
  <c r="J183" i="13" s="1"/>
  <c r="J184" i="13" s="1"/>
  <c r="J185" i="13" s="1"/>
  <c r="J186" i="13" s="1"/>
  <c r="J187" i="13" s="1"/>
  <c r="J188" i="13" s="1"/>
  <c r="J189" i="13" s="1"/>
  <c r="J190" i="13" s="1"/>
  <c r="B180" i="13"/>
  <c r="B181" i="13"/>
  <c r="B182" i="13" s="1"/>
  <c r="B183" i="13" s="1"/>
  <c r="N214" i="13"/>
  <c r="N215" i="13" s="1"/>
  <c r="N216" i="13" s="1"/>
  <c r="N217" i="13" s="1"/>
  <c r="N218" i="13" s="1"/>
  <c r="N219" i="13" s="1"/>
  <c r="N220" i="13" s="1"/>
  <c r="N221" i="13" s="1"/>
  <c r="N222" i="13" s="1"/>
  <c r="N223" i="13" s="1"/>
  <c r="N224" i="13" s="1"/>
  <c r="N225" i="13" s="1"/>
  <c r="J214" i="13"/>
  <c r="J215" i="13" s="1"/>
  <c r="J216" i="13" s="1"/>
  <c r="J217" i="13" s="1"/>
  <c r="J218" i="13" s="1"/>
  <c r="J219" i="13" s="1"/>
  <c r="F214" i="13"/>
  <c r="F215" i="13" s="1"/>
  <c r="F216" i="13" s="1"/>
  <c r="F217" i="13" s="1"/>
  <c r="B214" i="13"/>
  <c r="B215" i="13" s="1"/>
  <c r="B216" i="13" s="1"/>
  <c r="N160" i="13"/>
  <c r="N161" i="13" s="1"/>
  <c r="N162" i="13" s="1"/>
  <c r="N163" i="13" s="1"/>
  <c r="N164" i="13" s="1"/>
  <c r="N165" i="13" s="1"/>
  <c r="N166" i="13" s="1"/>
  <c r="N167" i="13" s="1"/>
  <c r="N168" i="13" s="1"/>
  <c r="N169" i="13" s="1"/>
  <c r="N170" i="13" s="1"/>
  <c r="N171" i="13" s="1"/>
  <c r="N172" i="13" s="1"/>
  <c r="N173" i="13" s="1"/>
  <c r="N174" i="13" s="1"/>
  <c r="J160" i="13"/>
  <c r="J161" i="13" s="1"/>
  <c r="J162" i="13" s="1"/>
  <c r="J163" i="13" s="1"/>
  <c r="J164" i="13" s="1"/>
  <c r="J165" i="13" s="1"/>
  <c r="J166" i="13" s="1"/>
  <c r="F160" i="13"/>
  <c r="F161" i="13" s="1"/>
  <c r="F162" i="13" s="1"/>
  <c r="F163" i="13" s="1"/>
  <c r="B160" i="13"/>
  <c r="B161" i="13" s="1"/>
  <c r="B162" i="13" s="1"/>
  <c r="F138" i="13"/>
  <c r="F139" i="13"/>
  <c r="F140" i="13" s="1"/>
  <c r="F141" i="13" s="1"/>
  <c r="F142" i="13" s="1"/>
  <c r="F143" i="13" s="1"/>
  <c r="F144" i="13" s="1"/>
  <c r="F145" i="13" s="1"/>
  <c r="F146" i="13" s="1"/>
  <c r="F147" i="13" s="1"/>
  <c r="B138" i="13"/>
  <c r="B139" i="13" s="1"/>
  <c r="B140" i="13" s="1"/>
  <c r="B141" i="13" s="1"/>
  <c r="B142" i="13" s="1"/>
  <c r="B143" i="13" s="1"/>
  <c r="B144" i="13" s="1"/>
  <c r="B145" i="13" s="1"/>
  <c r="B146" i="13" s="1"/>
  <c r="B147" i="13" s="1"/>
  <c r="B148" i="13" s="1"/>
  <c r="B149" i="13" s="1"/>
  <c r="B150" i="13" s="1"/>
  <c r="B151" i="13" s="1"/>
  <c r="B152" i="13" s="1"/>
  <c r="B153" i="13" s="1"/>
  <c r="N101" i="13"/>
  <c r="N102" i="13" s="1"/>
  <c r="N103" i="13" s="1"/>
  <c r="N104" i="13" s="1"/>
  <c r="N105" i="13" s="1"/>
  <c r="N106" i="13" s="1"/>
  <c r="N107" i="13" s="1"/>
  <c r="N108" i="13" s="1"/>
  <c r="N109" i="13" s="1"/>
  <c r="N110" i="13" s="1"/>
  <c r="N111" i="13" s="1"/>
  <c r="N112" i="13" s="1"/>
  <c r="J101" i="13"/>
  <c r="J102" i="13" s="1"/>
  <c r="J103" i="13" s="1"/>
  <c r="J104" i="13" s="1"/>
  <c r="J105" i="13" s="1"/>
  <c r="J106" i="13" s="1"/>
  <c r="J107" i="13" s="1"/>
  <c r="J108" i="13" s="1"/>
  <c r="J109" i="13" s="1"/>
  <c r="J110" i="13" s="1"/>
  <c r="J111" i="13" s="1"/>
  <c r="F101" i="13"/>
  <c r="F102" i="13" s="1"/>
  <c r="F103" i="13" s="1"/>
  <c r="F104" i="13" s="1"/>
  <c r="F105" i="13" s="1"/>
  <c r="F106" i="13" s="1"/>
  <c r="F107" i="13" s="1"/>
  <c r="F108" i="13" s="1"/>
  <c r="F109" i="13" s="1"/>
  <c r="F110" i="13" s="1"/>
  <c r="F111" i="13" s="1"/>
  <c r="F112" i="13" s="1"/>
  <c r="B101" i="13"/>
  <c r="B102" i="13" s="1"/>
  <c r="B103" i="13" s="1"/>
  <c r="B104" i="13" s="1"/>
  <c r="B105" i="13" s="1"/>
  <c r="B106" i="13" s="1"/>
  <c r="B107" i="13" s="1"/>
  <c r="B108" i="13" s="1"/>
  <c r="B109" i="13" s="1"/>
  <c r="B110" i="13" s="1"/>
  <c r="B111" i="13" s="1"/>
  <c r="B112" i="13" s="1"/>
  <c r="B113" i="13" s="1"/>
  <c r="B114" i="13" s="1"/>
  <c r="B115" i="13" s="1"/>
  <c r="B116" i="13" s="1"/>
  <c r="B117" i="13" s="1"/>
  <c r="B118" i="13" s="1"/>
  <c r="B119" i="13" s="1"/>
  <c r="B120" i="13" s="1"/>
  <c r="B121" i="13" s="1"/>
  <c r="B122" i="13" s="1"/>
  <c r="B123" i="13" s="1"/>
  <c r="B124" i="13" s="1"/>
  <c r="B125" i="13" s="1"/>
  <c r="B126" i="13" s="1"/>
  <c r="B127" i="13" s="1"/>
  <c r="B128" i="13" s="1"/>
  <c r="R76" i="13"/>
  <c r="R77" i="13" s="1"/>
  <c r="R78" i="13" s="1"/>
  <c r="R79" i="13" s="1"/>
  <c r="R80" i="13" s="1"/>
  <c r="R81" i="13" s="1"/>
  <c r="R82" i="13" s="1"/>
  <c r="R83" i="13" s="1"/>
  <c r="R84" i="13" s="1"/>
  <c r="R85" i="13" s="1"/>
  <c r="N76" i="13"/>
  <c r="N77" i="13" s="1"/>
  <c r="N78" i="13" s="1"/>
  <c r="N79" i="13" s="1"/>
  <c r="N80" i="13" s="1"/>
  <c r="N81" i="13" s="1"/>
  <c r="N82" i="13" s="1"/>
  <c r="N83" i="13" s="1"/>
  <c r="N84" i="13" s="1"/>
  <c r="N85" i="13" s="1"/>
  <c r="J76" i="13"/>
  <c r="J77" i="13" s="1"/>
  <c r="J78" i="13" s="1"/>
  <c r="J79" i="13" s="1"/>
  <c r="J80" i="13" s="1"/>
  <c r="J81" i="13" s="1"/>
  <c r="J82" i="13" s="1"/>
  <c r="J83" i="13" s="1"/>
  <c r="J84" i="13" s="1"/>
  <c r="J85" i="13" s="1"/>
  <c r="J86" i="13" s="1"/>
  <c r="J87" i="13" s="1"/>
  <c r="F76" i="13"/>
  <c r="F77" i="13" s="1"/>
  <c r="F78" i="13" s="1"/>
  <c r="F79" i="13" s="1"/>
  <c r="F80" i="13" s="1"/>
  <c r="F81" i="13" s="1"/>
  <c r="F82" i="13" s="1"/>
  <c r="F83" i="13" s="1"/>
  <c r="F84" i="13" s="1"/>
  <c r="F85" i="13" s="1"/>
  <c r="F86" i="13" s="1"/>
  <c r="F87" i="13" s="1"/>
  <c r="F88" i="13" s="1"/>
  <c r="F89" i="13" s="1"/>
  <c r="F90" i="13" s="1"/>
  <c r="F91" i="13" s="1"/>
  <c r="F92" i="13" s="1"/>
  <c r="F93" i="13" s="1"/>
  <c r="B76" i="13"/>
  <c r="B77" i="13" s="1"/>
  <c r="B78" i="13" s="1"/>
  <c r="B79" i="13" s="1"/>
  <c r="B80" i="13" s="1"/>
  <c r="B81" i="13" s="1"/>
  <c r="B82" i="13" s="1"/>
  <c r="B83" i="13" s="1"/>
  <c r="B84" i="13" s="1"/>
  <c r="B85" i="13" s="1"/>
  <c r="B86" i="13" s="1"/>
  <c r="B87" i="13" s="1"/>
  <c r="B88" i="13" s="1"/>
  <c r="B89" i="13" s="1"/>
  <c r="B90" i="13" s="1"/>
  <c r="B91" i="13" s="1"/>
  <c r="B92" i="13" s="1"/>
  <c r="B93" i="13" s="1"/>
  <c r="B94" i="13" s="1"/>
  <c r="B95" i="13" s="1"/>
  <c r="N40" i="13"/>
  <c r="N41" i="13" s="1"/>
  <c r="N42" i="13" s="1"/>
  <c r="N43" i="13" s="1"/>
  <c r="N44" i="13" s="1"/>
  <c r="N45" i="13" s="1"/>
  <c r="N46" i="13" s="1"/>
  <c r="N47" i="13" s="1"/>
  <c r="N48" i="13" s="1"/>
  <c r="N49" i="13" s="1"/>
  <c r="N50" i="13" s="1"/>
  <c r="N51" i="13" s="1"/>
  <c r="N52" i="13" s="1"/>
  <c r="N53" i="13" s="1"/>
  <c r="N54" i="13" s="1"/>
  <c r="N55" i="13" s="1"/>
  <c r="N56" i="13" s="1"/>
  <c r="N57" i="13" s="1"/>
  <c r="N58" i="13" s="1"/>
  <c r="N59" i="13" s="1"/>
  <c r="N60" i="13" s="1"/>
  <c r="N61" i="13" s="1"/>
  <c r="N62" i="13" s="1"/>
  <c r="N63" i="13" s="1"/>
  <c r="N64" i="13" s="1"/>
  <c r="N65" i="13" s="1"/>
  <c r="J40" i="13"/>
  <c r="J41" i="13" s="1"/>
  <c r="J42" i="13" s="1"/>
  <c r="J43" i="13" s="1"/>
  <c r="J44" i="13" s="1"/>
  <c r="J45" i="13" s="1"/>
  <c r="J46" i="13" s="1"/>
  <c r="J47" i="13" s="1"/>
  <c r="J48" i="13" s="1"/>
  <c r="J49" i="13" s="1"/>
  <c r="J50" i="13" s="1"/>
  <c r="J51" i="13" s="1"/>
  <c r="J52" i="13" s="1"/>
  <c r="J53" i="13" s="1"/>
  <c r="J54" i="13" s="1"/>
  <c r="J55" i="13" s="1"/>
  <c r="J56" i="13" s="1"/>
  <c r="J57" i="13" s="1"/>
  <c r="J58" i="13" s="1"/>
  <c r="J59" i="13" s="1"/>
  <c r="J60" i="13" s="1"/>
  <c r="J61" i="13" s="1"/>
  <c r="J62" i="13" s="1"/>
  <c r="J63" i="13" s="1"/>
  <c r="F40" i="13"/>
  <c r="F41" i="13" s="1"/>
  <c r="F42" i="13" s="1"/>
  <c r="F43" i="13" s="1"/>
  <c r="F44" i="13" s="1"/>
  <c r="F45" i="13" s="1"/>
  <c r="F46" i="13" s="1"/>
  <c r="F47" i="13" s="1"/>
  <c r="F48" i="13" s="1"/>
  <c r="F49" i="13" s="1"/>
  <c r="F50" i="13" s="1"/>
  <c r="F51" i="13" s="1"/>
  <c r="B40" i="13"/>
  <c r="B41" i="13" s="1"/>
  <c r="B42" i="13" s="1"/>
  <c r="B43" i="13" s="1"/>
  <c r="B44" i="13" s="1"/>
  <c r="B45" i="13" s="1"/>
  <c r="B46" i="13" s="1"/>
  <c r="B47" i="13" s="1"/>
  <c r="B48" i="13" s="1"/>
  <c r="B49" i="13" s="1"/>
  <c r="B50" i="13" s="1"/>
  <c r="B51" i="13" s="1"/>
  <c r="B52" i="13" s="1"/>
  <c r="B53" i="13" s="1"/>
  <c r="B54" i="13" s="1"/>
  <c r="B55" i="13" s="1"/>
  <c r="B56" i="13" s="1"/>
  <c r="B57" i="13" s="1"/>
  <c r="B58" i="13" s="1"/>
  <c r="B59" i="13" s="1"/>
  <c r="B60" i="13" s="1"/>
  <c r="B61" i="13" s="1"/>
  <c r="B62" i="13" s="1"/>
  <c r="R10" i="13"/>
  <c r="R11" i="13" s="1"/>
  <c r="R12" i="13" s="1"/>
  <c r="R13" i="13" s="1"/>
  <c r="R14" i="13" s="1"/>
  <c r="R15" i="13" s="1"/>
  <c r="R16" i="13" s="1"/>
  <c r="R17" i="13" s="1"/>
  <c r="R18" i="13" s="1"/>
  <c r="R19" i="13" s="1"/>
  <c r="R20" i="13" s="1"/>
  <c r="R21" i="13" s="1"/>
  <c r="R22" i="13" s="1"/>
  <c r="R23" i="13" s="1"/>
  <c r="R24" i="13" s="1"/>
  <c r="R25" i="13" s="1"/>
  <c r="R26" i="13" s="1"/>
  <c r="R27" i="13" s="1"/>
  <c r="R28" i="13" s="1"/>
  <c r="R29" i="13" s="1"/>
  <c r="R30" i="13" s="1"/>
  <c r="R31" i="13" s="1"/>
  <c r="R32" i="13" s="1"/>
  <c r="R33" i="13" s="1"/>
  <c r="R34" i="13" s="1"/>
  <c r="N10" i="13"/>
  <c r="N11" i="13" s="1"/>
  <c r="N12" i="13" s="1"/>
  <c r="N13" i="13" s="1"/>
  <c r="N14" i="13" s="1"/>
  <c r="N15" i="13" s="1"/>
  <c r="N16" i="13" s="1"/>
  <c r="N17" i="13" s="1"/>
  <c r="N18" i="13" s="1"/>
  <c r="N19" i="13" s="1"/>
  <c r="N20" i="13" s="1"/>
  <c r="N21" i="13" s="1"/>
  <c r="N22" i="13" s="1"/>
  <c r="N23" i="13" s="1"/>
  <c r="N24" i="13" s="1"/>
  <c r="J10" i="13"/>
  <c r="J11" i="13" s="1"/>
  <c r="J12" i="13" s="1"/>
  <c r="J13" i="13" s="1"/>
  <c r="J14" i="13" s="1"/>
  <c r="J15" i="13" s="1"/>
  <c r="J16" i="13" s="1"/>
  <c r="J17" i="13" s="1"/>
  <c r="J18" i="13" s="1"/>
  <c r="J19" i="13" s="1"/>
  <c r="J20" i="13" s="1"/>
  <c r="J21" i="13" s="1"/>
  <c r="J22" i="13" s="1"/>
  <c r="J23" i="13" s="1"/>
  <c r="J24" i="13" s="1"/>
  <c r="J25" i="13" s="1"/>
  <c r="J26" i="13" s="1"/>
  <c r="J27" i="13" s="1"/>
  <c r="J28" i="13" s="1"/>
  <c r="J29" i="13" s="1"/>
  <c r="J30" i="13" s="1"/>
  <c r="F10" i="13"/>
  <c r="F11" i="13" s="1"/>
  <c r="F12" i="13" s="1"/>
  <c r="F13" i="13" s="1"/>
  <c r="F14" i="13" s="1"/>
  <c r="F15" i="13" s="1"/>
  <c r="F16" i="13" s="1"/>
  <c r="F17" i="13" s="1"/>
  <c r="F18" i="13" s="1"/>
  <c r="F19" i="13" s="1"/>
  <c r="F20" i="13" s="1"/>
  <c r="F21" i="13" s="1"/>
  <c r="F22" i="13" s="1"/>
  <c r="F23" i="13" s="1"/>
  <c r="B10" i="13"/>
  <c r="B11" i="13" s="1"/>
  <c r="B12" i="13" s="1"/>
  <c r="B13" i="13" s="1"/>
  <c r="B14" i="13" s="1"/>
  <c r="B15" i="13" s="1"/>
  <c r="B16" i="13" s="1"/>
  <c r="B17" i="13" s="1"/>
  <c r="B18" i="13" s="1"/>
  <c r="B19" i="13" s="1"/>
  <c r="B20" i="13" s="1"/>
  <c r="B21" i="13" s="1"/>
  <c r="B22" i="13" s="1"/>
  <c r="B23" i="13" s="1"/>
  <c r="B24" i="13" s="1"/>
  <c r="P11" i="9"/>
  <c r="P13" i="9"/>
  <c r="P15" i="9"/>
  <c r="D19" i="9"/>
  <c r="E19" i="9"/>
  <c r="F19" i="9"/>
  <c r="G19" i="9"/>
  <c r="H19" i="9"/>
  <c r="I19" i="9"/>
  <c r="J19" i="9"/>
  <c r="K19" i="9"/>
  <c r="L19" i="9"/>
  <c r="M19" i="9"/>
  <c r="N19" i="9"/>
  <c r="O19" i="9"/>
  <c r="D24" i="9"/>
  <c r="P27" i="9"/>
  <c r="P29" i="9"/>
  <c r="P31" i="9"/>
  <c r="D35" i="9"/>
  <c r="E35" i="9"/>
  <c r="F35" i="9"/>
  <c r="G35" i="9"/>
  <c r="H35" i="9"/>
  <c r="I35" i="9"/>
  <c r="J35" i="9"/>
  <c r="K35" i="9"/>
  <c r="L35" i="9"/>
  <c r="M35" i="9"/>
  <c r="N35" i="9"/>
  <c r="O35" i="9"/>
  <c r="D40" i="9"/>
  <c r="P43" i="9"/>
  <c r="P45" i="9"/>
  <c r="P47" i="9"/>
  <c r="D51" i="9"/>
  <c r="E51" i="9"/>
  <c r="F51" i="9"/>
  <c r="G51" i="9"/>
  <c r="H51" i="9"/>
  <c r="I51" i="9"/>
  <c r="J51" i="9"/>
  <c r="K51" i="9"/>
  <c r="L51" i="9"/>
  <c r="M51" i="9"/>
  <c r="N51" i="9"/>
  <c r="O51" i="9"/>
  <c r="D56" i="9"/>
  <c r="P59" i="9"/>
  <c r="P61" i="9"/>
  <c r="P63" i="9"/>
  <c r="D67" i="9"/>
  <c r="E67" i="9"/>
  <c r="F67" i="9"/>
  <c r="G67" i="9"/>
  <c r="H67" i="9"/>
  <c r="I67" i="9"/>
  <c r="J67" i="9"/>
  <c r="K67" i="9"/>
  <c r="L67" i="9"/>
  <c r="M67" i="9"/>
  <c r="N67" i="9"/>
  <c r="O67" i="9"/>
  <c r="D76" i="9"/>
  <c r="P79" i="9"/>
  <c r="P81" i="9"/>
  <c r="P83" i="9"/>
  <c r="D87" i="9"/>
  <c r="E87" i="9"/>
  <c r="F87" i="9"/>
  <c r="G87" i="9"/>
  <c r="H87" i="9"/>
  <c r="I87" i="9"/>
  <c r="J87" i="9"/>
  <c r="K87" i="9"/>
  <c r="L87" i="9"/>
  <c r="M87" i="9"/>
  <c r="N87" i="9"/>
  <c r="O87" i="9"/>
  <c r="D92" i="9"/>
  <c r="P95" i="9"/>
  <c r="P97" i="9"/>
  <c r="P99" i="9"/>
  <c r="D103" i="9"/>
  <c r="E103" i="9"/>
  <c r="F103" i="9"/>
  <c r="G103" i="9"/>
  <c r="H103" i="9"/>
  <c r="I103" i="9"/>
  <c r="J103" i="9"/>
  <c r="K103" i="9"/>
  <c r="L103" i="9"/>
  <c r="M103" i="9"/>
  <c r="N103" i="9"/>
  <c r="O103" i="9"/>
  <c r="D108" i="9"/>
  <c r="P111" i="9"/>
  <c r="P113" i="9"/>
  <c r="P115" i="9"/>
  <c r="P117" i="9"/>
  <c r="D119" i="9"/>
  <c r="E119" i="9"/>
  <c r="F119" i="9"/>
  <c r="G119" i="9"/>
  <c r="H119" i="9"/>
  <c r="I119" i="9"/>
  <c r="J119" i="9"/>
  <c r="K119" i="9"/>
  <c r="L119" i="9"/>
  <c r="M119" i="9"/>
  <c r="N119" i="9"/>
  <c r="O119" i="9"/>
  <c r="D124" i="9"/>
  <c r="P127" i="9"/>
  <c r="P129" i="9"/>
  <c r="P131" i="9"/>
  <c r="P133" i="9"/>
  <c r="D135" i="9"/>
  <c r="E135" i="9"/>
  <c r="F135" i="9"/>
  <c r="G135" i="9"/>
  <c r="H135" i="9"/>
  <c r="I135" i="9"/>
  <c r="J135" i="9"/>
  <c r="K135" i="9"/>
  <c r="L135" i="9"/>
  <c r="M135" i="9"/>
  <c r="N135" i="9"/>
  <c r="O135" i="9"/>
  <c r="P103" i="9" l="1"/>
  <c r="P51" i="9"/>
  <c r="P35" i="9"/>
  <c r="P19" i="9"/>
  <c r="A604" i="12"/>
  <c r="A664" i="12"/>
  <c r="A484" i="12"/>
  <c r="A424" i="12"/>
  <c r="A364" i="12"/>
  <c r="A304" i="12"/>
  <c r="A244" i="12"/>
  <c r="A184" i="12"/>
  <c r="A124" i="12"/>
  <c r="P135" i="9"/>
  <c r="P119" i="9"/>
  <c r="P67" i="9"/>
  <c r="P87" i="9"/>
</calcChain>
</file>

<file path=xl/sharedStrings.xml><?xml version="1.0" encoding="utf-8"?>
<sst xmlns="http://schemas.openxmlformats.org/spreadsheetml/2006/main" count="2396" uniqueCount="159">
  <si>
    <t xml:space="preserve"> </t>
  </si>
  <si>
    <t>LINE</t>
  </si>
  <si>
    <t>DESCRIPTION</t>
  </si>
  <si>
    <t>VOLT</t>
  </si>
  <si>
    <t>January</t>
  </si>
  <si>
    <t>February</t>
  </si>
  <si>
    <t>March</t>
  </si>
  <si>
    <t>April</t>
  </si>
  <si>
    <t>May</t>
  </si>
  <si>
    <t>June</t>
  </si>
  <si>
    <t>July</t>
  </si>
  <si>
    <t>August</t>
  </si>
  <si>
    <t>September</t>
  </si>
  <si>
    <t>October</t>
  </si>
  <si>
    <t>November</t>
  </si>
  <si>
    <t>December</t>
  </si>
  <si>
    <t>TOTAL</t>
  </si>
  <si>
    <t>SEC</t>
  </si>
  <si>
    <t>TRA</t>
  </si>
  <si>
    <t>Total at Source</t>
  </si>
  <si>
    <t>SECONDARY &gt; 10 kW IDR</t>
  </si>
  <si>
    <t>PRIMARY IDR</t>
  </si>
  <si>
    <t>PRI</t>
  </si>
  <si>
    <t>TRANSMISSION IDR</t>
  </si>
  <si>
    <t>Description of Methodology to Develop Demand Estimates</t>
  </si>
  <si>
    <t>RATE</t>
  </si>
  <si>
    <t>DEMAND ESTIMATE METHODOLOGY</t>
  </si>
  <si>
    <t>LIGHTING</t>
  </si>
  <si>
    <t>SFR</t>
  </si>
  <si>
    <t>Sum of Customer Unadjusted Non-Coincident Maximum Demands (At Source)</t>
  </si>
  <si>
    <t>Sum of Customer Unadjusted Non-Coincident Maximum Demands (At Meter)</t>
  </si>
  <si>
    <t>Rate Unadjusted Class Peak Demands (At Source)</t>
  </si>
  <si>
    <t>Rate Unadjusted Class Peak Demands (At Meter)</t>
  </si>
  <si>
    <t>Sum of Customer Adjusted Non-Coincident Maximum Demands (At Source)</t>
  </si>
  <si>
    <t>Sum of Customer Adjusted Non-Coincident Maximum Demands (At Meter)</t>
  </si>
  <si>
    <t>Total at Meter</t>
  </si>
  <si>
    <t xml:space="preserve">Per the ERCOT aggregation method, lighting customers were assigned a profile based on the lights turning on at dusk and off at dawn. The ERCOT profiles are based on a calculated time of sunrise and sunset for each day of the year based on the latitude and longitude of weather stations included in each profile weather zone.
</t>
  </si>
  <si>
    <t xml:space="preserve">Customer peak demands were estimated using monthly coincidence factors for individual tariff codes within the class. The coincidence factor is the ratio of the class peak to the sum of the individual customer peaks. The coincidence factors for all lighting tariff codes were assumed to be 1.0 in all months since  lighting loads always turn on at dusk and off at dawn.
</t>
  </si>
  <si>
    <t>Rate Class</t>
  </si>
  <si>
    <t>Strata</t>
  </si>
  <si>
    <t xml:space="preserve">Class load shapes were developed using AEP's Customer Load Aggregation System. This system employs the same aggregation method used by ERCOT  for aggregation and market settlement of these customers. Each customer was assigned a load profile ID based on ERCOT protocols. The metered kWh for each monthly billing cycle for each premise were allocated to each 15-minute interval using backcast load profiles provided by ERCOT. The 15-minute load profiles for all customers in the class were then added together to obtain the total class load shape. Coincident peak and class peak demands were taken directly from the resulting class profile. For demand values at the source, losses were added to metered demands based on the 1998 system loss study performed by AEP-TCC. 
</t>
  </si>
  <si>
    <t>Stratum 1</t>
  </si>
  <si>
    <t>Stratum 2</t>
  </si>
  <si>
    <t>Stratum 3</t>
  </si>
  <si>
    <t>Stratum 4</t>
  </si>
  <si>
    <t>Count</t>
  </si>
  <si>
    <t>Adjusted demands for lighting were based on billed kWh for the calendar month of June 2006. Since AEP-TCC lighting tariffs are billed every month using the average monthly kWh for the year, monthly kWh used to determine demands were adjusted to the percent of annual usage during each calendar month, based on ERCOT profiles.</t>
  </si>
  <si>
    <t>September 2018</t>
  </si>
  <si>
    <t>October 2018</t>
  </si>
  <si>
    <t>November 2018</t>
  </si>
  <si>
    <t>December 2018</t>
  </si>
  <si>
    <t>January 2018</t>
  </si>
  <si>
    <t>March 2018</t>
  </si>
  <si>
    <t>April 2018</t>
  </si>
  <si>
    <t>May 2018</t>
  </si>
  <si>
    <t>June 2018</t>
  </si>
  <si>
    <t>Febuary 2018</t>
  </si>
  <si>
    <t>July 2018</t>
  </si>
  <si>
    <t>August 2018</t>
  </si>
  <si>
    <t>AEP TEXAS</t>
  </si>
  <si>
    <t>Annual KWH</t>
  </si>
  <si>
    <t>Mean KW</t>
  </si>
  <si>
    <t>&gt; 100</t>
  </si>
  <si>
    <t>GSLT10</t>
  </si>
  <si>
    <t>Sector</t>
  </si>
  <si>
    <t>0 - 13134</t>
  </si>
  <si>
    <t>13134 - 19580</t>
  </si>
  <si>
    <t>&gt; 19580</t>
  </si>
  <si>
    <t>0 - 17169</t>
  </si>
  <si>
    <t>&gt; 17169</t>
  </si>
  <si>
    <t>0 - 4673</t>
  </si>
  <si>
    <t>4673 - 8813</t>
  </si>
  <si>
    <t>8813 - 14073</t>
  </si>
  <si>
    <t>14073 - 23990</t>
  </si>
  <si>
    <t>&gt; 458017</t>
  </si>
  <si>
    <t>0 - 7379</t>
  </si>
  <si>
    <t>&gt; 7379</t>
  </si>
  <si>
    <t>0 - 19</t>
  </si>
  <si>
    <t>19 - 41</t>
  </si>
  <si>
    <t>41 - 108</t>
  </si>
  <si>
    <t>&gt; 108</t>
  </si>
  <si>
    <t>0 - 220</t>
  </si>
  <si>
    <t>0 - 755</t>
  </si>
  <si>
    <t>0 - 67</t>
  </si>
  <si>
    <t>&gt; 67</t>
  </si>
  <si>
    <t>0 - 331</t>
  </si>
  <si>
    <t>&gt; 331</t>
  </si>
  <si>
    <t>0 - 394</t>
  </si>
  <si>
    <t>0 - 10692</t>
  </si>
  <si>
    <t>10692 - 15168</t>
  </si>
  <si>
    <t>15168 - 20767</t>
  </si>
  <si>
    <t>&gt; 20767</t>
  </si>
  <si>
    <t>0 - 5166</t>
  </si>
  <si>
    <t>5166 - 10961</t>
  </si>
  <si>
    <t>10961 - 20543</t>
  </si>
  <si>
    <t>&gt; 20543</t>
  </si>
  <si>
    <t>41 - 100</t>
  </si>
  <si>
    <t>0 - 305</t>
  </si>
  <si>
    <t>0 - 81</t>
  </si>
  <si>
    <t>81 - 245</t>
  </si>
  <si>
    <t>&gt; 245</t>
  </si>
  <si>
    <t>0 - 32</t>
  </si>
  <si>
    <t>Stratum Variable</t>
  </si>
  <si>
    <t>Stratum Range</t>
  </si>
  <si>
    <t>Number of Sample Meters</t>
  </si>
  <si>
    <t>Average kWh Consumption</t>
  </si>
  <si>
    <t xml:space="preserve"> Average Customer Non-Coincident Maximum Demand kW</t>
  </si>
  <si>
    <t>Contribution to Rate Class Peak kW</t>
  </si>
  <si>
    <t>Contribution to System Peak Demand kW</t>
  </si>
  <si>
    <t>RNH</t>
  </si>
  <si>
    <t>RHT</t>
  </si>
  <si>
    <t>CGSLT10</t>
  </si>
  <si>
    <t>GSNIDR</t>
  </si>
  <si>
    <t>CGS</t>
  </si>
  <si>
    <t>AGR</t>
  </si>
  <si>
    <t>IRIG</t>
  </si>
  <si>
    <t>GSPNIDR</t>
  </si>
  <si>
    <t xml:space="preserve">RESIDENTIAL </t>
  </si>
  <si>
    <t xml:space="preserve">SECONDARY </t>
  </si>
  <si>
    <t>&gt; 10 kW NON-IDR</t>
  </si>
  <si>
    <t xml:space="preserve">RESIDENTIAL  </t>
  </si>
  <si>
    <t>SECONDARY</t>
  </si>
  <si>
    <t xml:space="preserve"> &lt;= 10 kW</t>
  </si>
  <si>
    <t>PRIMARY</t>
  </si>
  <si>
    <t xml:space="preserve"> NON-IDR</t>
  </si>
  <si>
    <t>RES</t>
  </si>
  <si>
    <t>Stratum 5</t>
  </si>
  <si>
    <t>Cum Count</t>
  </si>
  <si>
    <t>RNH Stratum 1</t>
  </si>
  <si>
    <t>RNH Stratum 2</t>
  </si>
  <si>
    <t>RNH Stratum 3</t>
  </si>
  <si>
    <t>RHT Stratum 1</t>
  </si>
  <si>
    <t>RHT Stratum 2</t>
  </si>
  <si>
    <t>Method by Which Contributions Were Obtained</t>
  </si>
  <si>
    <t xml:space="preserve">The contributions to rate class and system peak demand were obtained using the Kema Load Research Analysis System.  The Kema Load Research System uses a ratio estimation approach consistent with Association of Edison Illuminating Companies (AEIC) standards to optimally stratify the population and sample, calculate the stratum average demands per customer for each hour, and combine the strata through a weighted average methodology to arrive at class hourly values.  </t>
  </si>
  <si>
    <t>TEST YEAR ENDING 12/31/2018</t>
  </si>
  <si>
    <t>PUBLIC UTILITY OF COMMISSION OF TEXAS</t>
  </si>
  <si>
    <t>Adjusted Rate Class Peak Demands (At Source)</t>
  </si>
  <si>
    <t>Adjusted Rate Class Peak Demands (At Meter)</t>
  </si>
  <si>
    <t>CENTRAL DIVISION</t>
  </si>
  <si>
    <t>NORTH DIVISION</t>
  </si>
  <si>
    <t xml:space="preserve">CENTRAL DIVISION RESIDENTIAL SERVICE </t>
  </si>
  <si>
    <t>CENTRAL DIVISION SECONDARY &lt;= 10 kW Sector: GSLT10</t>
  </si>
  <si>
    <t>CENTRAL DIVISION SECONDARY &lt;= 10 kW Sector: CGSLT10</t>
  </si>
  <si>
    <t>CENTRAL DIVISION SECONDARY &gt; 10 kW NON-IDR Sector: GSNIDR</t>
  </si>
  <si>
    <t>CENTRAL DIVISION SECONDARY &gt; 10 kW NON-IDR Sector: CGS</t>
  </si>
  <si>
    <t>CENTRAL DIVISION SECONDARY &gt; 10 kW NON-IDR Sector: ARG</t>
  </si>
  <si>
    <t>CENTRAL DIVISION SECONDARY &gt; 10 kW NON-IDR Sector: IRIG</t>
  </si>
  <si>
    <t>CENTRAL DIVISION PRIMARY NON-IDR Sector: GSPNIDR</t>
  </si>
  <si>
    <t>CENTRAL DIVISION PRIMARY NON-IDR Sector: AGR</t>
  </si>
  <si>
    <t>NORTH DIVISION SECONDARY &gt; 10 kW NON-IDR Sector: GSNIDR</t>
  </si>
  <si>
    <t>NORTH DIVISION SECONDARY &gt; 10 kW NON-IDR Sector: AGR</t>
  </si>
  <si>
    <t>NORTH DIVISION PRIMARY NON-IDR Sector: GSPNIDR</t>
  </si>
  <si>
    <t>NORTH DIVISION PRIMARY NON-IDR Sector: AGR</t>
  </si>
  <si>
    <t>NORTH DIVISION RESIDENTIAL SERVICE Sector: RES</t>
  </si>
  <si>
    <t>NORTH DIVISION SECONDARY &lt;= 10 kW Sector: GSLT10</t>
  </si>
  <si>
    <t>SCHEDULE IV-J-4(a)</t>
  </si>
  <si>
    <t>SCHEDULE IV-J-4(b)</t>
  </si>
  <si>
    <t>SCHEDULE IV-J-4(c)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</si>
</sst>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0.0000%"/>
    <numFmt numFmtId="166" formatCode="0_);\(0\)"/>
    <numFmt numFmtId="167" formatCode="#,##0.000"/>
  </numFmts>
  <fonts count="10" x14ac:knownFonts="1">
    <font>
      <sz val="10"/>
      <name val="Arial"/>
    </font>
    <font>
      <sz val="10"/>
      <name val="Arial"/>
      <family val="2"/>
    </font>
    <font>
      <sz val="10"/>
      <name val="Helv"/>
    </font>
    <font>
      <sz val="8"/>
      <name val="Arial"/>
      <family val="2"/>
    </font>
    <font>
      <b/>
      <sz val="10"/>
      <name val="Arial"/>
      <family val="2"/>
    </font>
    <font>
      <sz val="10"/>
      <name val="Arial"/>
      <family val="2"/>
    </font>
    <font>
      <b/>
      <sz val="10"/>
      <color indexed="8"/>
      <name val="Arial"/>
      <family val="2"/>
    </font>
    <font>
      <sz val="10"/>
      <color indexed="8"/>
      <name val="Arial"/>
      <family val="2"/>
    </font>
    <font>
      <sz val="10"/>
      <color indexed="12"/>
      <name val="Arial"/>
      <family val="2"/>
    </font>
    <font>
      <sz val="1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right/>
      <top/>
      <bottom style="double">
        <color indexed="64"/>
      </bottom>
      <diagonal/>
    </border>
    <border>
      <left style="thin">
        <color indexed="64"/>
      </left>
      <right/>
      <top/>
      <bottom/>
      <diagonal/>
    </border>
  </borders>
  <cellStyleXfs count="4">
    <xf numFmtId="0" fontId="0" fillId="0" borderId="0"/>
    <xf numFmtId="43" fontId="1" fillId="0" borderId="0" applyFont="0" applyFill="0" applyBorder="0" applyAlignment="0" applyProtection="0"/>
    <xf numFmtId="3" fontId="2" fillId="0" borderId="0" applyFont="0" applyFill="0" applyBorder="0" applyAlignment="0" applyProtection="0"/>
    <xf numFmtId="165" fontId="1" fillId="0" borderId="0" applyFont="0" applyFill="0" applyBorder="0" applyAlignment="0" applyProtection="0"/>
  </cellStyleXfs>
  <cellXfs count="98">
    <xf numFmtId="0" fontId="0" fillId="0" borderId="0" xfId="0"/>
    <xf numFmtId="0" fontId="4" fillId="0" borderId="0" xfId="0" applyFont="1" applyAlignment="1">
      <alignment horizontal="centerContinuous"/>
    </xf>
    <xf numFmtId="0" fontId="5" fillId="0" borderId="0" xfId="0" applyFont="1" applyAlignment="1">
      <alignment horizontal="centerContinuous"/>
    </xf>
    <xf numFmtId="0" fontId="5" fillId="0" borderId="0" xfId="0" applyFont="1" applyAlignment="1">
      <alignment horizontal="centerContinuous" vertical="top"/>
    </xf>
    <xf numFmtId="0" fontId="5" fillId="0" borderId="0" xfId="0" applyFont="1" applyAlignment="1"/>
    <xf numFmtId="0" fontId="6" fillId="0" borderId="0" xfId="0" applyFont="1" applyFill="1" applyAlignment="1">
      <alignment horizontal="centerContinuous"/>
    </xf>
    <xf numFmtId="0" fontId="5" fillId="0" borderId="0" xfId="0" applyFont="1" applyAlignment="1">
      <alignment horizontal="left"/>
    </xf>
    <xf numFmtId="0" fontId="4" fillId="0" borderId="0" xfId="0" applyFont="1" applyAlignment="1"/>
    <xf numFmtId="0" fontId="4" fillId="0" borderId="0" xfId="0" applyFont="1" applyAlignment="1">
      <alignment horizontal="center"/>
    </xf>
    <xf numFmtId="0" fontId="5" fillId="0" borderId="0" xfId="0" applyFont="1" applyAlignment="1">
      <alignment vertical="top" wrapText="1"/>
    </xf>
    <xf numFmtId="0" fontId="6" fillId="0" borderId="0" xfId="0" applyFont="1" applyAlignment="1"/>
    <xf numFmtId="0" fontId="5" fillId="0" borderId="0" xfId="0" applyFont="1" applyAlignment="1">
      <alignment horizontal="center"/>
    </xf>
    <xf numFmtId="0" fontId="4" fillId="0" borderId="1" xfId="0" applyFont="1" applyBorder="1" applyAlignment="1">
      <alignment horizontal="left"/>
    </xf>
    <xf numFmtId="0" fontId="4" fillId="0" borderId="1" xfId="0" applyFont="1" applyBorder="1" applyAlignment="1"/>
    <xf numFmtId="0" fontId="4" fillId="0" borderId="1" xfId="0" applyFont="1" applyBorder="1" applyAlignment="1">
      <alignment horizontal="center"/>
    </xf>
    <xf numFmtId="0" fontId="4" fillId="0" borderId="1" xfId="0" applyFont="1" applyBorder="1" applyAlignment="1">
      <alignment vertical="top" wrapText="1"/>
    </xf>
    <xf numFmtId="0" fontId="5" fillId="0" borderId="0" xfId="0" quotePrefix="1" applyFont="1" applyAlignment="1">
      <alignment horizontal="center" vertical="top" wrapText="1"/>
    </xf>
    <xf numFmtId="0" fontId="5" fillId="0" borderId="0" xfId="0" applyFont="1" applyAlignment="1">
      <alignment horizontal="left" vertical="top" wrapText="1"/>
    </xf>
    <xf numFmtId="0" fontId="5" fillId="0" borderId="0" xfId="0" applyFont="1" applyAlignment="1">
      <alignment horizontal="center" vertical="top" wrapText="1"/>
    </xf>
    <xf numFmtId="0" fontId="5" fillId="0" borderId="0" xfId="0" quotePrefix="1" applyFont="1" applyAlignment="1">
      <alignment horizontal="left" vertical="top" wrapText="1"/>
    </xf>
    <xf numFmtId="0" fontId="3" fillId="0" borderId="0" xfId="0" quotePrefix="1" applyFont="1" applyFill="1" applyAlignment="1">
      <alignment horizontal="center"/>
    </xf>
    <xf numFmtId="0" fontId="3" fillId="0" borderId="0" xfId="0" applyFont="1" applyFill="1"/>
    <xf numFmtId="164" fontId="6" fillId="0" borderId="0" xfId="1" applyNumberFormat="1" applyFont="1" applyAlignment="1">
      <alignment horizontal="center"/>
    </xf>
    <xf numFmtId="0" fontId="4" fillId="0" borderId="0" xfId="0" applyFont="1"/>
    <xf numFmtId="0" fontId="5" fillId="0" borderId="2" xfId="0" quotePrefix="1" applyFont="1" applyBorder="1" applyAlignment="1">
      <alignment horizontal="center" vertical="top" wrapText="1"/>
    </xf>
    <xf numFmtId="0" fontId="5" fillId="0" borderId="2" xfId="0" applyFont="1" applyBorder="1" applyAlignment="1">
      <alignment horizontal="left" vertical="top" wrapText="1"/>
    </xf>
    <xf numFmtId="0" fontId="5" fillId="0" borderId="2" xfId="0" applyFont="1" applyBorder="1" applyAlignment="1">
      <alignment horizontal="center" vertical="top" wrapText="1"/>
    </xf>
    <xf numFmtId="0" fontId="4" fillId="0" borderId="0" xfId="0" applyFont="1" applyAlignment="1">
      <alignment horizontal="left"/>
    </xf>
    <xf numFmtId="0" fontId="4" fillId="0" borderId="0" xfId="0" applyFont="1" applyAlignment="1">
      <alignment horizontal="centerContinuous" wrapText="1"/>
    </xf>
    <xf numFmtId="0" fontId="4" fillId="0" borderId="0" xfId="0" applyFont="1" applyAlignment="1">
      <alignment horizontal="center" wrapText="1"/>
    </xf>
    <xf numFmtId="49" fontId="4" fillId="0" borderId="0" xfId="0" quotePrefix="1" applyNumberFormat="1" applyFont="1" applyAlignment="1">
      <alignment horizontal="centerContinuous"/>
    </xf>
    <xf numFmtId="164" fontId="6" fillId="0" borderId="0" xfId="1" applyNumberFormat="1" applyFont="1" applyAlignment="1">
      <alignment horizontal="center" wrapText="1"/>
    </xf>
    <xf numFmtId="0" fontId="0" fillId="0" borderId="0" xfId="0" applyAlignment="1">
      <alignment wrapText="1"/>
    </xf>
    <xf numFmtId="0" fontId="4" fillId="0" borderId="0" xfId="0" applyFont="1" applyAlignment="1">
      <alignment horizontal="right"/>
    </xf>
    <xf numFmtId="0" fontId="4" fillId="0" borderId="0" xfId="0" applyFont="1" applyAlignment="1">
      <alignment horizontal="right" wrapText="1"/>
    </xf>
    <xf numFmtId="1" fontId="0" fillId="0" borderId="0" xfId="0" applyNumberFormat="1"/>
    <xf numFmtId="0" fontId="1" fillId="0" borderId="0" xfId="0" applyFont="1" applyAlignment="1">
      <alignment horizontal="center"/>
    </xf>
    <xf numFmtId="1" fontId="1" fillId="0" borderId="0" xfId="0" applyNumberFormat="1" applyFont="1" applyAlignment="1">
      <alignment horizontal="center"/>
    </xf>
    <xf numFmtId="0" fontId="1" fillId="0" borderId="0" xfId="0" applyFont="1" applyBorder="1" applyAlignment="1">
      <alignment horizontal="center"/>
    </xf>
    <xf numFmtId="0" fontId="1" fillId="0" borderId="0" xfId="0" applyFont="1" applyAlignment="1">
      <alignment wrapText="1"/>
    </xf>
    <xf numFmtId="0" fontId="1" fillId="0" borderId="0" xfId="0" applyFont="1" applyAlignment="1">
      <alignment horizontal="left"/>
    </xf>
    <xf numFmtId="0" fontId="1" fillId="0" borderId="0" xfId="0" applyFont="1" applyAlignment="1"/>
    <xf numFmtId="0" fontId="1" fillId="0" borderId="0" xfId="0" applyFont="1" applyAlignment="1">
      <alignment vertical="top" wrapText="1"/>
    </xf>
    <xf numFmtId="0" fontId="1" fillId="0" borderId="0" xfId="0" applyFont="1" applyAlignment="1">
      <alignment horizontal="centerContinuous"/>
    </xf>
    <xf numFmtId="164" fontId="1" fillId="0" borderId="0" xfId="1" applyNumberFormat="1" applyFont="1" applyAlignment="1">
      <alignment horizontal="center"/>
    </xf>
    <xf numFmtId="0" fontId="1" fillId="0" borderId="0" xfId="0" applyFont="1"/>
    <xf numFmtId="0" fontId="1" fillId="0" borderId="0" xfId="0" applyFont="1" applyBorder="1"/>
    <xf numFmtId="164" fontId="1" fillId="0" borderId="0" xfId="1" applyNumberFormat="1" applyFont="1"/>
    <xf numFmtId="0" fontId="1" fillId="0" borderId="0" xfId="0" applyFont="1" applyFill="1" applyBorder="1" applyAlignment="1">
      <alignment horizontal="center"/>
    </xf>
    <xf numFmtId="0" fontId="0" fillId="0" borderId="0" xfId="0" applyAlignment="1">
      <alignment horizontal="center"/>
    </xf>
    <xf numFmtId="0" fontId="0" fillId="0" borderId="0" xfId="0" applyAlignment="1">
      <alignment horizontal="center" wrapText="1"/>
    </xf>
    <xf numFmtId="164" fontId="0" fillId="0" borderId="0" xfId="1" applyNumberFormat="1" applyFont="1"/>
    <xf numFmtId="0" fontId="5" fillId="0" borderId="0" xfId="0" applyFont="1" applyFill="1" applyBorder="1"/>
    <xf numFmtId="0" fontId="5" fillId="0" borderId="0" xfId="0" applyFont="1" applyFill="1" applyBorder="1" applyAlignment="1">
      <alignment horizontal="center"/>
    </xf>
    <xf numFmtId="0" fontId="4" fillId="0" borderId="0" xfId="0" applyFont="1" applyFill="1" applyBorder="1" applyAlignment="1">
      <alignment horizontal="center"/>
    </xf>
    <xf numFmtId="37" fontId="6" fillId="0" borderId="0" xfId="1" applyNumberFormat="1" applyFont="1" applyFill="1" applyBorder="1" applyAlignment="1">
      <alignment horizontal="right"/>
    </xf>
    <xf numFmtId="0" fontId="6" fillId="0" borderId="0" xfId="0" applyFont="1" applyFill="1" applyBorder="1" applyAlignment="1">
      <alignment horizontal="left"/>
    </xf>
    <xf numFmtId="1" fontId="6" fillId="0" borderId="0" xfId="1" applyNumberFormat="1" applyFont="1" applyFill="1" applyBorder="1" applyAlignment="1">
      <alignment horizontal="center"/>
    </xf>
    <xf numFmtId="164" fontId="6" fillId="0" borderId="0" xfId="1" applyNumberFormat="1" applyFont="1" applyFill="1" applyBorder="1"/>
    <xf numFmtId="164" fontId="4" fillId="0" borderId="0" xfId="1" applyNumberFormat="1" applyFont="1" applyFill="1" applyBorder="1"/>
    <xf numFmtId="164" fontId="7" fillId="0" borderId="0" xfId="1" applyNumberFormat="1" applyFont="1" applyFill="1" applyBorder="1"/>
    <xf numFmtId="166" fontId="6" fillId="0" borderId="0" xfId="1" quotePrefix="1" applyNumberFormat="1" applyFont="1" applyFill="1" applyBorder="1" applyAlignment="1">
      <alignment horizontal="center"/>
    </xf>
    <xf numFmtId="164" fontId="6" fillId="0" borderId="0" xfId="1" quotePrefix="1" applyNumberFormat="1" applyFont="1" applyFill="1" applyBorder="1" applyAlignment="1">
      <alignment horizontal="center"/>
    </xf>
    <xf numFmtId="164" fontId="6" fillId="0" borderId="0" xfId="1" applyNumberFormat="1" applyFont="1" applyFill="1" applyBorder="1" applyAlignment="1">
      <alignment horizontal="center"/>
    </xf>
    <xf numFmtId="164" fontId="4" fillId="0" borderId="0" xfId="1" applyNumberFormat="1" applyFont="1" applyFill="1" applyBorder="1" applyAlignment="1">
      <alignment horizontal="center"/>
    </xf>
    <xf numFmtId="0" fontId="5" fillId="0" borderId="0" xfId="0" quotePrefix="1" applyFont="1" applyFill="1" applyBorder="1" applyAlignment="1">
      <alignment horizontal="center"/>
    </xf>
    <xf numFmtId="37" fontId="9" fillId="0" borderId="0" xfId="1" applyNumberFormat="1" applyFont="1" applyFill="1" applyBorder="1" applyAlignment="1">
      <alignment horizontal="right"/>
    </xf>
    <xf numFmtId="167" fontId="8" fillId="0" borderId="0" xfId="1" applyNumberFormat="1" applyFont="1" applyFill="1" applyBorder="1"/>
    <xf numFmtId="167" fontId="5" fillId="0" borderId="0" xfId="1" applyNumberFormat="1" applyFont="1" applyFill="1" applyBorder="1"/>
    <xf numFmtId="167" fontId="5" fillId="0" borderId="0" xfId="0" applyNumberFormat="1" applyFont="1" applyFill="1" applyBorder="1" applyAlignment="1">
      <alignment horizontal="center"/>
    </xf>
    <xf numFmtId="167" fontId="7" fillId="0" borderId="0" xfId="1" applyNumberFormat="1" applyFont="1" applyFill="1" applyBorder="1"/>
    <xf numFmtId="167" fontId="5" fillId="0" borderId="0" xfId="0" applyNumberFormat="1" applyFont="1" applyFill="1" applyBorder="1" applyAlignment="1">
      <alignment horizontal="right"/>
    </xf>
    <xf numFmtId="167" fontId="7" fillId="0" borderId="0" xfId="1" applyNumberFormat="1" applyFont="1" applyFill="1" applyBorder="1" applyAlignment="1">
      <alignment horizontal="right"/>
    </xf>
    <xf numFmtId="0" fontId="4" fillId="0" borderId="0" xfId="0" applyFont="1" applyFill="1" applyBorder="1"/>
    <xf numFmtId="167" fontId="8" fillId="0" borderId="0" xfId="0" applyNumberFormat="1" applyFont="1" applyFill="1" applyBorder="1" applyAlignment="1">
      <alignment horizontal="right"/>
    </xf>
    <xf numFmtId="3" fontId="5" fillId="0" borderId="0" xfId="1" applyNumberFormat="1" applyFont="1" applyFill="1" applyBorder="1"/>
    <xf numFmtId="3" fontId="7" fillId="0" borderId="0" xfId="1" applyNumberFormat="1" applyFont="1" applyFill="1" applyBorder="1"/>
    <xf numFmtId="0" fontId="0" fillId="0" borderId="0" xfId="0" applyFill="1" applyBorder="1"/>
    <xf numFmtId="164" fontId="5" fillId="0" borderId="0" xfId="1" applyNumberFormat="1" applyFont="1" applyFill="1" applyBorder="1"/>
    <xf numFmtId="167" fontId="5" fillId="0" borderId="3" xfId="0" applyNumberFormat="1" applyFont="1" applyFill="1" applyBorder="1" applyAlignment="1">
      <alignment horizontal="center"/>
    </xf>
    <xf numFmtId="167" fontId="7" fillId="0" borderId="3" xfId="1" applyNumberFormat="1" applyFont="1" applyFill="1" applyBorder="1"/>
    <xf numFmtId="167" fontId="5" fillId="0" borderId="3" xfId="1" applyNumberFormat="1" applyFont="1" applyFill="1" applyBorder="1"/>
    <xf numFmtId="167" fontId="8" fillId="0" borderId="4" xfId="1" applyNumberFormat="1" applyFont="1" applyFill="1" applyBorder="1"/>
    <xf numFmtId="0" fontId="6" fillId="0" borderId="0" xfId="0" applyFont="1" applyFill="1" applyAlignment="1">
      <alignment horizontal="center"/>
    </xf>
    <xf numFmtId="43" fontId="4" fillId="0" borderId="0" xfId="1" applyFont="1" applyFill="1" applyBorder="1" applyAlignment="1">
      <alignment horizontal="center"/>
    </xf>
    <xf numFmtId="0" fontId="0" fillId="0" borderId="0" xfId="0" applyAlignment="1"/>
    <xf numFmtId="0" fontId="1" fillId="0" borderId="0" xfId="0" applyFont="1" applyFill="1" applyBorder="1"/>
    <xf numFmtId="0" fontId="4" fillId="0" borderId="0" xfId="0" applyFont="1" applyFill="1" applyBorder="1" applyAlignment="1">
      <alignment horizontal="center"/>
    </xf>
    <xf numFmtId="0" fontId="0" fillId="0" borderId="0" xfId="0" applyAlignment="1"/>
    <xf numFmtId="43" fontId="4" fillId="0" borderId="0" xfId="1" applyFont="1" applyFill="1" applyBorder="1" applyAlignment="1">
      <alignment horizontal="center"/>
    </xf>
    <xf numFmtId="0" fontId="0" fillId="0" borderId="0" xfId="0" applyAlignment="1">
      <alignment horizontal="center"/>
    </xf>
    <xf numFmtId="0" fontId="4" fillId="0" borderId="0" xfId="0" applyFont="1" applyAlignment="1">
      <alignment horizontal="center"/>
    </xf>
    <xf numFmtId="0" fontId="6" fillId="0" borderId="0" xfId="0" applyFont="1" applyFill="1" applyAlignment="1">
      <alignment horizontal="center"/>
    </xf>
    <xf numFmtId="0" fontId="1" fillId="0" borderId="0" xfId="0" applyFont="1" applyAlignment="1">
      <alignment horizontal="center" wrapText="1"/>
    </xf>
    <xf numFmtId="0" fontId="0" fillId="0" borderId="0" xfId="0" applyAlignment="1">
      <alignment horizontal="center" wrapText="1"/>
    </xf>
    <xf numFmtId="0" fontId="6" fillId="0" borderId="0" xfId="0" applyFont="1" applyFill="1" applyAlignment="1">
      <alignment horizontal="left"/>
    </xf>
    <xf numFmtId="0" fontId="4" fillId="0" borderId="0" xfId="0" applyFont="1" applyAlignment="1">
      <alignment horizontal="center" wrapText="1"/>
    </xf>
    <xf numFmtId="0" fontId="0" fillId="0" borderId="0" xfId="0" applyAlignment="1">
      <alignment wrapText="1"/>
    </xf>
  </cellXfs>
  <cellStyles count="4">
    <cellStyle name="Comma" xfId="1" builtinId="3"/>
    <cellStyle name="Comma(0)" xfId="2"/>
    <cellStyle name="Normal" xfId="0" builtinId="0"/>
    <cellStyle name="Percent(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ATA\EXCEL\SWEPCO\dryrun\RVCAPAK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ndows\TEMP\Q7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ATA\EXCEL\CPL\CPL%20Rate%20Case\Final\Q7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1.1"/>
      <sheetName val="Summary"/>
      <sheetName val="Fuel Adjustment"/>
      <sheetName val="Embed Fuel"/>
      <sheetName val="Base Revenue"/>
      <sheetName val="DECAPAR"/>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RS"/>
      <sheetName val="SRS "/>
      <sheetName val="RSWH "/>
      <sheetName val="RSTOU"/>
      <sheetName val="GS"/>
      <sheetName val="LP"/>
      <sheetName val="IP"/>
      <sheetName val="PS"/>
      <sheetName val="Irr 28"/>
      <sheetName val="Irr 29"/>
      <sheetName val="CG"/>
      <sheetName val="CG-TOU"/>
      <sheetName val="Rec Lights"/>
      <sheetName val="MPS"/>
      <sheetName val="Security"/>
      <sheetName val="Flood"/>
      <sheetName val="Flood-Cust. Owned"/>
      <sheetName val="Street Lighting"/>
      <sheetName val="Sheet9"/>
      <sheetName val="Street"/>
      <sheetName val="Security-Adjustments"/>
      <sheetName val="Security-Adj. Revenue"/>
      <sheetName val="Security Lights"/>
      <sheetName val="Flood Lights"/>
      <sheetName val="Flood Lights-Cust. Own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Summary"/>
      <sheetName val="ERS"/>
      <sheetName val="SRS "/>
      <sheetName val="RSWH "/>
      <sheetName val="RSTOU"/>
      <sheetName val="SH, WH, UMS"/>
      <sheetName val="GS"/>
      <sheetName val="LP"/>
      <sheetName val="PS"/>
      <sheetName val="IP"/>
      <sheetName val="CG "/>
      <sheetName val="Irr 28"/>
      <sheetName val="Irr 29"/>
      <sheetName val="Rec Lights"/>
      <sheetName val="MPS"/>
      <sheetName val="Security Lights"/>
      <sheetName val="Flood Lights"/>
      <sheetName val="Street Lighting"/>
      <sheetName val="Traffic Lighting"/>
      <sheetName val="Flood_CustOwn"/>
      <sheetName val="LI68"/>
      <sheetName val="Wholesale"/>
      <sheetName val="Robstown"/>
      <sheetName val="KWH"/>
      <sheetName val="KW"/>
      <sheetName val="Whol Prof"/>
      <sheetName val="BFCust"/>
      <sheetName val="Block kw"/>
      <sheetName val="Block kWh"/>
      <sheetName val="Whtr Adj"/>
      <sheetName val="Cust Ad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35"/>
  <sheetViews>
    <sheetView tabSelected="1" view="pageBreakPreview" topLeftCell="B1" zoomScale="80" zoomScaleNormal="80" zoomScaleSheetLayoutView="80" workbookViewId="0">
      <selection activeCell="B1" sqref="B1:O1"/>
    </sheetView>
  </sheetViews>
  <sheetFormatPr defaultColWidth="9.1796875" defaultRowHeight="12.5" x14ac:dyDescent="0.25"/>
  <cols>
    <col min="1" max="1" width="5.26953125" style="52" bestFit="1" customWidth="1"/>
    <col min="2" max="2" width="24.453125" style="52" bestFit="1" customWidth="1"/>
    <col min="3" max="3" width="6.54296875" style="53" bestFit="1" customWidth="1"/>
    <col min="4" max="6" width="13.54296875" style="53" bestFit="1" customWidth="1"/>
    <col min="7" max="11" width="13.54296875" style="60" bestFit="1" customWidth="1"/>
    <col min="12" max="12" width="13.7265625" style="60" bestFit="1" customWidth="1"/>
    <col min="13" max="15" width="13.54296875" style="60" bestFit="1" customWidth="1"/>
    <col min="16" max="16" width="14.81640625" style="78" bestFit="1" customWidth="1"/>
    <col min="17" max="16384" width="9.1796875" style="52"/>
  </cols>
  <sheetData>
    <row r="1" spans="1:16" ht="13" x14ac:dyDescent="0.3">
      <c r="B1" s="89" t="s">
        <v>136</v>
      </c>
      <c r="C1" s="89"/>
      <c r="D1" s="89"/>
      <c r="E1" s="89"/>
      <c r="F1" s="89"/>
      <c r="G1" s="89"/>
      <c r="H1" s="89"/>
      <c r="I1" s="89"/>
      <c r="J1" s="89"/>
      <c r="K1" s="89"/>
      <c r="L1" s="89"/>
      <c r="M1" s="89"/>
      <c r="N1" s="89"/>
      <c r="O1" s="89"/>
    </row>
    <row r="2" spans="1:16" ht="13" x14ac:dyDescent="0.3">
      <c r="B2" s="87" t="s">
        <v>59</v>
      </c>
      <c r="C2" s="88"/>
      <c r="D2" s="88"/>
      <c r="E2" s="88"/>
      <c r="F2" s="88"/>
      <c r="G2" s="88"/>
      <c r="H2" s="88"/>
      <c r="I2" s="88"/>
      <c r="J2" s="88"/>
      <c r="K2" s="88"/>
      <c r="L2" s="88"/>
      <c r="M2" s="88"/>
      <c r="N2" s="88"/>
      <c r="O2" s="88"/>
      <c r="P2" s="52"/>
    </row>
    <row r="3" spans="1:16" ht="13" x14ac:dyDescent="0.3">
      <c r="A3" s="86"/>
      <c r="B3" s="87" t="s">
        <v>156</v>
      </c>
      <c r="C3" s="88"/>
      <c r="D3" s="88"/>
      <c r="E3" s="88"/>
      <c r="F3" s="88"/>
      <c r="G3" s="88"/>
      <c r="H3" s="88"/>
      <c r="I3" s="88"/>
      <c r="J3" s="88"/>
      <c r="K3" s="88"/>
      <c r="L3" s="88"/>
      <c r="M3" s="88"/>
      <c r="N3" s="88"/>
      <c r="O3" s="88"/>
      <c r="P3" s="52"/>
    </row>
    <row r="4" spans="1:16" ht="13" x14ac:dyDescent="0.3">
      <c r="B4" s="87" t="s">
        <v>135</v>
      </c>
      <c r="C4" s="88"/>
      <c r="D4" s="88"/>
      <c r="E4" s="88"/>
      <c r="F4" s="88"/>
      <c r="G4" s="88"/>
      <c r="H4" s="88"/>
      <c r="I4" s="88"/>
      <c r="J4" s="88"/>
      <c r="K4" s="88"/>
      <c r="L4" s="88"/>
      <c r="M4" s="88"/>
      <c r="N4" s="88"/>
      <c r="O4" s="88"/>
      <c r="P4" s="52"/>
    </row>
    <row r="5" spans="1:16" ht="13" x14ac:dyDescent="0.3">
      <c r="B5" s="54"/>
      <c r="C5" s="85"/>
      <c r="D5" s="85"/>
      <c r="E5" s="85"/>
      <c r="F5" s="85"/>
      <c r="G5" s="85"/>
      <c r="H5" s="85"/>
      <c r="I5" s="85"/>
      <c r="J5" s="85"/>
      <c r="K5" s="85"/>
      <c r="L5" s="85"/>
      <c r="M5" s="85"/>
      <c r="N5" s="85"/>
      <c r="O5" s="85"/>
      <c r="P5" s="52"/>
    </row>
    <row r="6" spans="1:16" ht="13" x14ac:dyDescent="0.3">
      <c r="B6" s="87" t="s">
        <v>29</v>
      </c>
      <c r="C6" s="90"/>
      <c r="D6" s="90"/>
      <c r="E6" s="90"/>
      <c r="F6" s="90"/>
      <c r="G6" s="90"/>
      <c r="H6" s="90"/>
      <c r="I6" s="90"/>
      <c r="J6" s="90"/>
      <c r="K6" s="90"/>
      <c r="L6" s="90"/>
      <c r="M6" s="90"/>
      <c r="N6" s="90"/>
      <c r="O6" s="90"/>
      <c r="P6" s="52"/>
    </row>
    <row r="7" spans="1:16" ht="13" x14ac:dyDescent="0.3">
      <c r="B7" s="54"/>
      <c r="C7" s="54"/>
      <c r="D7" s="54"/>
      <c r="E7" s="54"/>
      <c r="F7" s="54"/>
      <c r="G7" s="54"/>
      <c r="H7" s="54"/>
      <c r="I7" s="54"/>
      <c r="J7" s="54"/>
      <c r="K7" s="54"/>
      <c r="L7" s="54"/>
      <c r="M7" s="54"/>
      <c r="N7" s="54"/>
      <c r="O7" s="54"/>
      <c r="P7" s="52"/>
    </row>
    <row r="8" spans="1:16" ht="13" x14ac:dyDescent="0.3">
      <c r="B8" s="56"/>
      <c r="D8" s="57">
        <v>2018</v>
      </c>
      <c r="E8" s="58"/>
      <c r="F8" s="59"/>
      <c r="H8" s="58"/>
      <c r="I8" s="58"/>
      <c r="J8" s="61"/>
      <c r="K8" s="58"/>
      <c r="L8" s="58"/>
      <c r="M8" s="62"/>
      <c r="N8" s="58"/>
      <c r="O8" s="58"/>
      <c r="P8" s="59"/>
    </row>
    <row r="9" spans="1:16" ht="13" x14ac:dyDescent="0.3">
      <c r="A9" s="54" t="s">
        <v>1</v>
      </c>
      <c r="B9" s="54" t="s">
        <v>2</v>
      </c>
      <c r="C9" s="54" t="s">
        <v>3</v>
      </c>
      <c r="D9" s="63" t="s">
        <v>4</v>
      </c>
      <c r="E9" s="63" t="s">
        <v>5</v>
      </c>
      <c r="F9" s="63" t="s">
        <v>6</v>
      </c>
      <c r="G9" s="63" t="s">
        <v>7</v>
      </c>
      <c r="H9" s="63" t="s">
        <v>8</v>
      </c>
      <c r="I9" s="63" t="s">
        <v>9</v>
      </c>
      <c r="J9" s="63" t="s">
        <v>10</v>
      </c>
      <c r="K9" s="63" t="s">
        <v>11</v>
      </c>
      <c r="L9" s="63" t="s">
        <v>12</v>
      </c>
      <c r="M9" s="63" t="s">
        <v>13</v>
      </c>
      <c r="N9" s="63" t="s">
        <v>14</v>
      </c>
      <c r="O9" s="63" t="s">
        <v>15</v>
      </c>
      <c r="P9" s="64" t="s">
        <v>16</v>
      </c>
    </row>
    <row r="10" spans="1:16" ht="13" x14ac:dyDescent="0.3">
      <c r="A10" s="54"/>
      <c r="B10" s="54"/>
      <c r="C10" s="54"/>
      <c r="D10" s="63"/>
      <c r="E10" s="63"/>
      <c r="F10" s="63"/>
      <c r="G10" s="63"/>
      <c r="H10" s="63"/>
      <c r="I10" s="63"/>
      <c r="J10" s="63"/>
      <c r="K10" s="63"/>
      <c r="L10" s="63"/>
      <c r="M10" s="63"/>
      <c r="N10" s="63"/>
      <c r="O10" s="63"/>
      <c r="P10" s="64"/>
    </row>
    <row r="11" spans="1:16" ht="14.5" x14ac:dyDescent="0.35">
      <c r="A11" s="65">
        <v>4</v>
      </c>
      <c r="B11" s="52" t="s">
        <v>20</v>
      </c>
      <c r="C11" s="53" t="s">
        <v>17</v>
      </c>
      <c r="D11" s="66">
        <v>276376.93986015423</v>
      </c>
      <c r="E11" s="66">
        <v>262457.16091641434</v>
      </c>
      <c r="F11" s="66">
        <v>237350.34712217707</v>
      </c>
      <c r="G11" s="66">
        <v>240554.4195663759</v>
      </c>
      <c r="H11" s="66">
        <v>231726.72658746061</v>
      </c>
      <c r="I11" s="66">
        <v>247008.57105430606</v>
      </c>
      <c r="J11" s="66">
        <v>274196.46310144645</v>
      </c>
      <c r="K11" s="66">
        <v>249671.76398176063</v>
      </c>
      <c r="L11" s="66">
        <v>305667.99464114587</v>
      </c>
      <c r="M11" s="66">
        <v>284248.10450404306</v>
      </c>
      <c r="N11" s="66">
        <v>288349.59425177367</v>
      </c>
      <c r="O11" s="66">
        <v>254483.76841714681</v>
      </c>
      <c r="P11" s="82">
        <f>SUM(D11:O11)</f>
        <v>3152091.8540042052</v>
      </c>
    </row>
    <row r="12" spans="1:16" x14ac:dyDescent="0.25">
      <c r="A12" s="65"/>
      <c r="D12" s="68"/>
      <c r="E12" s="68"/>
      <c r="F12" s="68"/>
      <c r="G12" s="68"/>
      <c r="H12" s="68"/>
      <c r="I12" s="68"/>
      <c r="J12" s="68"/>
      <c r="K12" s="68"/>
      <c r="L12" s="68"/>
      <c r="M12" s="68"/>
      <c r="N12" s="68"/>
      <c r="O12" s="68"/>
      <c r="P12" s="67"/>
    </row>
    <row r="13" spans="1:16" ht="14.5" x14ac:dyDescent="0.35">
      <c r="A13" s="65">
        <v>7</v>
      </c>
      <c r="B13" s="52" t="s">
        <v>21</v>
      </c>
      <c r="C13" s="53" t="s">
        <v>22</v>
      </c>
      <c r="D13" s="66">
        <v>729353.97697155748</v>
      </c>
      <c r="E13" s="66">
        <v>680291.78990387905</v>
      </c>
      <c r="F13" s="66">
        <v>659036.35511491576</v>
      </c>
      <c r="G13" s="66">
        <v>687193.69338687509</v>
      </c>
      <c r="H13" s="66">
        <v>702576.87452532817</v>
      </c>
      <c r="I13" s="66">
        <v>766385.95341760304</v>
      </c>
      <c r="J13" s="66">
        <v>732586.00389542081</v>
      </c>
      <c r="K13" s="66">
        <v>728391.34165607346</v>
      </c>
      <c r="L13" s="66">
        <v>801487.40701216669</v>
      </c>
      <c r="M13" s="66">
        <v>755368.52494047373</v>
      </c>
      <c r="N13" s="66">
        <v>786039.88532988844</v>
      </c>
      <c r="O13" s="66">
        <v>701874.74041957455</v>
      </c>
      <c r="P13" s="82">
        <f>SUM(D13:O13)</f>
        <v>8730586.5465737563</v>
      </c>
    </row>
    <row r="14" spans="1:16" x14ac:dyDescent="0.25">
      <c r="A14" s="65"/>
      <c r="D14" s="68"/>
      <c r="E14" s="68"/>
      <c r="F14" s="68"/>
      <c r="G14" s="68"/>
      <c r="H14" s="68"/>
      <c r="I14" s="68"/>
      <c r="J14" s="68"/>
      <c r="K14" s="68"/>
      <c r="L14" s="68"/>
      <c r="M14" s="68"/>
      <c r="N14" s="68"/>
      <c r="O14" s="68"/>
      <c r="P14" s="67"/>
    </row>
    <row r="15" spans="1:16" ht="14.5" x14ac:dyDescent="0.35">
      <c r="A15" s="65">
        <v>9</v>
      </c>
      <c r="B15" s="52" t="s">
        <v>23</v>
      </c>
      <c r="C15" s="53" t="s">
        <v>18</v>
      </c>
      <c r="D15" s="66">
        <v>1145980.9591606723</v>
      </c>
      <c r="E15" s="66">
        <v>942653.52822334063</v>
      </c>
      <c r="F15" s="66">
        <v>1097064.0205805795</v>
      </c>
      <c r="G15" s="66">
        <v>1179292.8267525423</v>
      </c>
      <c r="H15" s="66">
        <v>1209110.4790360956</v>
      </c>
      <c r="I15" s="66">
        <v>1250125.3303951372</v>
      </c>
      <c r="J15" s="66">
        <v>767881.68841812795</v>
      </c>
      <c r="K15" s="66">
        <v>773886.92592545296</v>
      </c>
      <c r="L15" s="66">
        <v>948059.86419011781</v>
      </c>
      <c r="M15" s="66">
        <v>673557.38136582682</v>
      </c>
      <c r="N15" s="66">
        <v>1278092.7606888874</v>
      </c>
      <c r="O15" s="66">
        <v>756874.24671619956</v>
      </c>
      <c r="P15" s="82">
        <f>SUM(D15:O15)</f>
        <v>12022580.01145298</v>
      </c>
    </row>
    <row r="16" spans="1:16" x14ac:dyDescent="0.25">
      <c r="D16" s="69"/>
      <c r="E16" s="69"/>
      <c r="F16" s="69"/>
      <c r="G16" s="70"/>
      <c r="H16" s="70"/>
      <c r="I16" s="70"/>
      <c r="J16" s="70"/>
      <c r="K16" s="70"/>
      <c r="L16" s="70"/>
      <c r="M16" s="70"/>
      <c r="N16" s="70"/>
      <c r="O16" s="70"/>
      <c r="P16" s="68"/>
    </row>
    <row r="17" spans="1:16" x14ac:dyDescent="0.25">
      <c r="A17" s="53">
        <v>12</v>
      </c>
      <c r="B17" s="52" t="s">
        <v>28</v>
      </c>
      <c r="C17" s="53" t="s">
        <v>22</v>
      </c>
      <c r="D17" s="71"/>
      <c r="E17" s="71"/>
      <c r="F17" s="71"/>
      <c r="G17" s="72"/>
      <c r="H17" s="72"/>
      <c r="I17" s="72"/>
      <c r="J17" s="72"/>
      <c r="K17" s="72"/>
      <c r="L17" s="72"/>
      <c r="M17" s="72"/>
      <c r="N17" s="72"/>
      <c r="O17" s="72"/>
      <c r="P17" s="67"/>
    </row>
    <row r="18" spans="1:16" ht="13" thickBot="1" x14ac:dyDescent="0.3">
      <c r="A18" s="53"/>
      <c r="D18" s="79"/>
      <c r="E18" s="79"/>
      <c r="F18" s="79"/>
      <c r="G18" s="80"/>
      <c r="H18" s="80"/>
      <c r="I18" s="80"/>
      <c r="J18" s="80"/>
      <c r="K18" s="80"/>
      <c r="L18" s="80"/>
      <c r="M18" s="80"/>
      <c r="N18" s="80"/>
      <c r="O18" s="80"/>
      <c r="P18" s="81"/>
    </row>
    <row r="19" spans="1:16" ht="13.5" thickTop="1" x14ac:dyDescent="0.3">
      <c r="B19" s="73" t="s">
        <v>19</v>
      </c>
      <c r="D19" s="74">
        <f>D11+D13+D15+D17</f>
        <v>2151711.8759923838</v>
      </c>
      <c r="E19" s="74">
        <f t="shared" ref="E19:O19" si="0">E11+E13+E15+E17</f>
        <v>1885402.4790436341</v>
      </c>
      <c r="F19" s="74">
        <f t="shared" si="0"/>
        <v>1993450.7228176724</v>
      </c>
      <c r="G19" s="74">
        <f t="shared" si="0"/>
        <v>2107040.9397057933</v>
      </c>
      <c r="H19" s="74">
        <f t="shared" si="0"/>
        <v>2143414.0801488841</v>
      </c>
      <c r="I19" s="74">
        <f t="shared" si="0"/>
        <v>2263519.8548670462</v>
      </c>
      <c r="J19" s="74">
        <f t="shared" si="0"/>
        <v>1774664.1554149953</v>
      </c>
      <c r="K19" s="74">
        <f t="shared" si="0"/>
        <v>1751950.0315632871</v>
      </c>
      <c r="L19" s="74">
        <f t="shared" si="0"/>
        <v>2055215.2658434305</v>
      </c>
      <c r="M19" s="74">
        <f t="shared" si="0"/>
        <v>1713174.0108103435</v>
      </c>
      <c r="N19" s="74">
        <f t="shared" si="0"/>
        <v>2352482.2402705494</v>
      </c>
      <c r="O19" s="74">
        <f t="shared" si="0"/>
        <v>1713232.755552921</v>
      </c>
      <c r="P19" s="67">
        <f>SUM(D19:O19)</f>
        <v>23905258.412030939</v>
      </c>
    </row>
    <row r="22" spans="1:16" ht="13" x14ac:dyDescent="0.3">
      <c r="B22" s="87" t="s">
        <v>30</v>
      </c>
      <c r="C22" s="90"/>
      <c r="D22" s="90"/>
      <c r="E22" s="90"/>
      <c r="F22" s="90"/>
      <c r="G22" s="90"/>
      <c r="H22" s="90"/>
      <c r="I22" s="90"/>
      <c r="J22" s="90"/>
      <c r="K22" s="90"/>
      <c r="L22" s="90"/>
      <c r="M22" s="90"/>
      <c r="N22" s="90"/>
      <c r="O22" s="90"/>
      <c r="P22" s="52"/>
    </row>
    <row r="23" spans="1:16" ht="13" x14ac:dyDescent="0.3">
      <c r="B23" s="54"/>
      <c r="C23" s="54"/>
      <c r="D23" s="54"/>
      <c r="E23" s="54"/>
      <c r="F23" s="54"/>
      <c r="G23" s="54"/>
      <c r="H23" s="54"/>
      <c r="I23" s="54"/>
      <c r="J23" s="54"/>
      <c r="K23" s="54"/>
      <c r="L23" s="54"/>
      <c r="M23" s="54"/>
      <c r="N23" s="54"/>
      <c r="O23" s="54"/>
      <c r="P23" s="52"/>
    </row>
    <row r="24" spans="1:16" ht="13" x14ac:dyDescent="0.3">
      <c r="B24" s="56"/>
      <c r="D24" s="57">
        <f>D8</f>
        <v>2018</v>
      </c>
      <c r="E24" s="58"/>
      <c r="F24" s="59"/>
      <c r="H24" s="58"/>
      <c r="I24" s="58"/>
      <c r="J24" s="61"/>
      <c r="K24" s="58"/>
      <c r="L24" s="58"/>
      <c r="M24" s="62"/>
      <c r="N24" s="58"/>
      <c r="O24" s="58"/>
      <c r="P24" s="59"/>
    </row>
    <row r="25" spans="1:16" ht="13" x14ac:dyDescent="0.3">
      <c r="A25" s="54" t="s">
        <v>1</v>
      </c>
      <c r="B25" s="54" t="s">
        <v>2</v>
      </c>
      <c r="C25" s="54" t="s">
        <v>3</v>
      </c>
      <c r="D25" s="63" t="s">
        <v>4</v>
      </c>
      <c r="E25" s="63" t="s">
        <v>5</v>
      </c>
      <c r="F25" s="63" t="s">
        <v>6</v>
      </c>
      <c r="G25" s="63" t="s">
        <v>7</v>
      </c>
      <c r="H25" s="63" t="s">
        <v>8</v>
      </c>
      <c r="I25" s="63" t="s">
        <v>9</v>
      </c>
      <c r="J25" s="63" t="s">
        <v>10</v>
      </c>
      <c r="K25" s="63" t="s">
        <v>11</v>
      </c>
      <c r="L25" s="63" t="s">
        <v>12</v>
      </c>
      <c r="M25" s="63" t="s">
        <v>13</v>
      </c>
      <c r="N25" s="63" t="s">
        <v>14</v>
      </c>
      <c r="O25" s="63" t="s">
        <v>15</v>
      </c>
      <c r="P25" s="64" t="s">
        <v>16</v>
      </c>
    </row>
    <row r="26" spans="1:16" ht="13" x14ac:dyDescent="0.3">
      <c r="A26" s="54"/>
      <c r="B26" s="54"/>
      <c r="C26" s="54"/>
      <c r="D26" s="63"/>
      <c r="E26" s="63"/>
      <c r="F26" s="63"/>
      <c r="G26" s="63"/>
      <c r="H26" s="63"/>
      <c r="I26" s="63"/>
      <c r="J26" s="63"/>
      <c r="K26" s="63"/>
      <c r="L26" s="63"/>
      <c r="M26" s="63"/>
      <c r="N26" s="63"/>
      <c r="O26" s="63"/>
      <c r="P26" s="64"/>
    </row>
    <row r="27" spans="1:16" ht="14.5" x14ac:dyDescent="0.35">
      <c r="A27" s="65">
        <v>4</v>
      </c>
      <c r="B27" s="52" t="s">
        <v>20</v>
      </c>
      <c r="C27" s="53" t="s">
        <v>17</v>
      </c>
      <c r="D27" s="66">
        <v>255871.40542906863</v>
      </c>
      <c r="E27" s="66">
        <v>242984.39176071095</v>
      </c>
      <c r="F27" s="66">
        <v>219740.35506709968</v>
      </c>
      <c r="G27" s="66">
        <v>222706.70428497775</v>
      </c>
      <c r="H27" s="66">
        <v>214533.97391769639</v>
      </c>
      <c r="I27" s="66">
        <v>228681.99590266636</v>
      </c>
      <c r="J27" s="66">
        <v>253852.7071504124</v>
      </c>
      <c r="K27" s="66">
        <v>231147.59566515507</v>
      </c>
      <c r="L27" s="66">
        <v>282989.23717401986</v>
      </c>
      <c r="M27" s="66">
        <v>263158.57620682783</v>
      </c>
      <c r="N27" s="66">
        <v>266955.75967168482</v>
      </c>
      <c r="O27" s="66">
        <v>235602.57782986166</v>
      </c>
      <c r="P27" s="82">
        <f>SUM(D27:O27)</f>
        <v>2918225.2800601814</v>
      </c>
    </row>
    <row r="28" spans="1:16" x14ac:dyDescent="0.25">
      <c r="A28" s="65"/>
      <c r="D28" s="68"/>
      <c r="E28" s="68"/>
      <c r="F28" s="68"/>
      <c r="G28" s="68"/>
      <c r="H28" s="68"/>
      <c r="I28" s="68"/>
      <c r="J28" s="68"/>
      <c r="K28" s="68"/>
      <c r="L28" s="68"/>
      <c r="M28" s="68"/>
      <c r="N28" s="68"/>
      <c r="O28" s="68"/>
      <c r="P28" s="67"/>
    </row>
    <row r="29" spans="1:16" ht="14.5" x14ac:dyDescent="0.35">
      <c r="A29" s="65">
        <v>7</v>
      </c>
      <c r="B29" s="52" t="s">
        <v>21</v>
      </c>
      <c r="C29" s="53" t="s">
        <v>22</v>
      </c>
      <c r="D29" s="66">
        <v>694094.00168591307</v>
      </c>
      <c r="E29" s="66">
        <v>647403.68281678634</v>
      </c>
      <c r="F29" s="66">
        <v>627175.82329169754</v>
      </c>
      <c r="G29" s="66">
        <v>653971.91985808441</v>
      </c>
      <c r="H29" s="66">
        <v>668611.41466057114</v>
      </c>
      <c r="I29" s="66">
        <v>729335.69986448716</v>
      </c>
      <c r="J29" s="66">
        <v>697169.77911631216</v>
      </c>
      <c r="K29" s="66">
        <v>693177.90412644984</v>
      </c>
      <c r="L29" s="66">
        <v>762740.20461759297</v>
      </c>
      <c r="M29" s="66">
        <v>718850.89925815922</v>
      </c>
      <c r="N29" s="66">
        <v>748039.47975817323</v>
      </c>
      <c r="O29" s="66">
        <v>667943.22460941621</v>
      </c>
      <c r="P29" s="82">
        <f>SUM(D29:O29)</f>
        <v>8308514.0336636435</v>
      </c>
    </row>
    <row r="30" spans="1:16" x14ac:dyDescent="0.25">
      <c r="A30" s="65"/>
      <c r="D30" s="68"/>
      <c r="E30" s="68"/>
      <c r="F30" s="68"/>
      <c r="G30" s="68"/>
      <c r="H30" s="68"/>
      <c r="I30" s="68"/>
      <c r="J30" s="68"/>
      <c r="K30" s="68"/>
      <c r="L30" s="68"/>
      <c r="M30" s="68"/>
      <c r="N30" s="68"/>
      <c r="O30" s="68"/>
      <c r="P30" s="67"/>
    </row>
    <row r="31" spans="1:16" ht="14.5" x14ac:dyDescent="0.35">
      <c r="A31" s="65">
        <v>9</v>
      </c>
      <c r="B31" s="52" t="s">
        <v>23</v>
      </c>
      <c r="C31" s="53" t="s">
        <v>18</v>
      </c>
      <c r="D31" s="66">
        <v>1126326.5606768611</v>
      </c>
      <c r="E31" s="66">
        <v>926486.34156306519</v>
      </c>
      <c r="F31" s="66">
        <v>1078248.5828105358</v>
      </c>
      <c r="G31" s="66">
        <v>1159067.1057570812</v>
      </c>
      <c r="H31" s="66">
        <v>1188373.3638371376</v>
      </c>
      <c r="I31" s="66">
        <v>1228684.7809672586</v>
      </c>
      <c r="J31" s="66">
        <v>754711.96463524294</v>
      </c>
      <c r="K31" s="66">
        <v>760614.20799592417</v>
      </c>
      <c r="L31" s="66">
        <v>931799.95497579034</v>
      </c>
      <c r="M31" s="66">
        <v>662005.38735645672</v>
      </c>
      <c r="N31" s="66">
        <v>1256172.5496966804</v>
      </c>
      <c r="O31" s="66">
        <v>743893.30848316825</v>
      </c>
      <c r="P31" s="82">
        <f>SUM(D31:O31)</f>
        <v>11816384.108755201</v>
      </c>
    </row>
    <row r="32" spans="1:16" x14ac:dyDescent="0.25">
      <c r="D32" s="69"/>
      <c r="E32" s="69"/>
      <c r="F32" s="69"/>
      <c r="G32" s="70"/>
      <c r="H32" s="70"/>
      <c r="I32" s="70"/>
      <c r="J32" s="70"/>
      <c r="K32" s="70"/>
      <c r="L32" s="70"/>
      <c r="M32" s="70"/>
      <c r="N32" s="70"/>
      <c r="O32" s="70"/>
      <c r="P32" s="68"/>
    </row>
    <row r="33" spans="1:16" x14ac:dyDescent="0.25">
      <c r="A33" s="53">
        <v>12</v>
      </c>
      <c r="B33" s="52" t="s">
        <v>28</v>
      </c>
      <c r="C33" s="53" t="s">
        <v>22</v>
      </c>
      <c r="D33" s="71"/>
      <c r="E33" s="71"/>
      <c r="F33" s="71"/>
      <c r="G33" s="72"/>
      <c r="H33" s="72"/>
      <c r="I33" s="72"/>
      <c r="J33" s="72"/>
      <c r="K33" s="72"/>
      <c r="L33" s="72"/>
      <c r="M33" s="72"/>
      <c r="N33" s="72"/>
      <c r="O33" s="72"/>
      <c r="P33" s="67"/>
    </row>
    <row r="34" spans="1:16" ht="13" thickBot="1" x14ac:dyDescent="0.3">
      <c r="A34" s="53"/>
      <c r="D34" s="79"/>
      <c r="E34" s="79"/>
      <c r="F34" s="79"/>
      <c r="G34" s="80"/>
      <c r="H34" s="80"/>
      <c r="I34" s="80"/>
      <c r="J34" s="80"/>
      <c r="K34" s="80"/>
      <c r="L34" s="80"/>
      <c r="M34" s="80"/>
      <c r="N34" s="80"/>
      <c r="O34" s="80"/>
      <c r="P34" s="81"/>
    </row>
    <row r="35" spans="1:16" ht="13.5" thickTop="1" x14ac:dyDescent="0.3">
      <c r="B35" s="73" t="s">
        <v>35</v>
      </c>
      <c r="D35" s="74">
        <f>D27+D29+D31+D33</f>
        <v>2076291.9677918428</v>
      </c>
      <c r="E35" s="74">
        <f t="shared" ref="E35:O35" si="1">E27+E29+E31+E33</f>
        <v>1816874.4161405624</v>
      </c>
      <c r="F35" s="74">
        <f t="shared" si="1"/>
        <v>1925164.761169333</v>
      </c>
      <c r="G35" s="74">
        <f t="shared" si="1"/>
        <v>2035745.7299001433</v>
      </c>
      <c r="H35" s="74">
        <f t="shared" si="1"/>
        <v>2071518.7524154051</v>
      </c>
      <c r="I35" s="74">
        <f t="shared" si="1"/>
        <v>2186702.4767344119</v>
      </c>
      <c r="J35" s="74">
        <f t="shared" si="1"/>
        <v>1705734.4509019675</v>
      </c>
      <c r="K35" s="74">
        <f t="shared" si="1"/>
        <v>1684939.7077875291</v>
      </c>
      <c r="L35" s="74">
        <f t="shared" si="1"/>
        <v>1977529.3967674032</v>
      </c>
      <c r="M35" s="74">
        <f t="shared" si="1"/>
        <v>1644014.8628214439</v>
      </c>
      <c r="N35" s="74">
        <f t="shared" si="1"/>
        <v>2271167.7891265387</v>
      </c>
      <c r="O35" s="74">
        <f t="shared" si="1"/>
        <v>1647439.110922446</v>
      </c>
      <c r="P35" s="67">
        <f>SUM(D35:O35)</f>
        <v>23043123.422479026</v>
      </c>
    </row>
    <row r="36" spans="1:16" x14ac:dyDescent="0.25">
      <c r="A36" s="65"/>
      <c r="D36" s="75"/>
      <c r="E36" s="75"/>
      <c r="F36" s="75"/>
      <c r="G36" s="75"/>
      <c r="H36" s="75"/>
      <c r="I36" s="75"/>
      <c r="J36" s="75"/>
      <c r="K36" s="75"/>
      <c r="L36" s="75"/>
      <c r="M36" s="75"/>
      <c r="N36" s="75"/>
      <c r="O36" s="75"/>
      <c r="P36" s="76"/>
    </row>
    <row r="37" spans="1:16" x14ac:dyDescent="0.25">
      <c r="A37" s="65"/>
      <c r="D37" s="75"/>
      <c r="E37" s="75"/>
      <c r="F37" s="75"/>
      <c r="G37" s="75"/>
      <c r="H37" s="75"/>
      <c r="I37" s="75"/>
      <c r="J37" s="75"/>
      <c r="K37" s="75"/>
      <c r="L37" s="75"/>
      <c r="M37" s="75"/>
      <c r="N37" s="75"/>
      <c r="O37" s="75"/>
      <c r="P37" s="76"/>
    </row>
    <row r="38" spans="1:16" ht="13" x14ac:dyDescent="0.3">
      <c r="B38" s="87" t="s">
        <v>31</v>
      </c>
      <c r="C38" s="90"/>
      <c r="D38" s="90"/>
      <c r="E38" s="90"/>
      <c r="F38" s="90"/>
      <c r="G38" s="90"/>
      <c r="H38" s="90"/>
      <c r="I38" s="90"/>
      <c r="J38" s="90"/>
      <c r="K38" s="90"/>
      <c r="L38" s="90"/>
      <c r="M38" s="90"/>
      <c r="N38" s="90"/>
      <c r="O38" s="90" t="s">
        <v>0</v>
      </c>
      <c r="P38" s="52"/>
    </row>
    <row r="39" spans="1:16" ht="13" x14ac:dyDescent="0.3">
      <c r="B39" s="54"/>
      <c r="C39" s="54"/>
      <c r="D39" s="54"/>
      <c r="E39" s="54"/>
      <c r="F39" s="54"/>
      <c r="G39" s="54"/>
      <c r="H39" s="54"/>
      <c r="I39" s="54"/>
      <c r="J39" s="54"/>
      <c r="K39" s="54"/>
      <c r="L39" s="54"/>
      <c r="M39" s="54"/>
      <c r="N39" s="54"/>
      <c r="O39" s="54"/>
      <c r="P39" s="52"/>
    </row>
    <row r="40" spans="1:16" ht="13" x14ac:dyDescent="0.3">
      <c r="B40" s="56"/>
      <c r="D40" s="57">
        <f>D8</f>
        <v>2018</v>
      </c>
      <c r="E40" s="58"/>
      <c r="F40" s="59"/>
      <c r="H40" s="58"/>
      <c r="I40" s="58"/>
      <c r="J40" s="61"/>
      <c r="K40" s="58"/>
      <c r="L40" s="58"/>
      <c r="M40" s="62"/>
      <c r="N40" s="58"/>
      <c r="O40" s="58"/>
      <c r="P40" s="59"/>
    </row>
    <row r="41" spans="1:16" ht="13" x14ac:dyDescent="0.3">
      <c r="A41" s="54" t="s">
        <v>1</v>
      </c>
      <c r="B41" s="54" t="s">
        <v>2</v>
      </c>
      <c r="C41" s="54" t="s">
        <v>3</v>
      </c>
      <c r="D41" s="63" t="s">
        <v>4</v>
      </c>
      <c r="E41" s="63" t="s">
        <v>5</v>
      </c>
      <c r="F41" s="63" t="s">
        <v>6</v>
      </c>
      <c r="G41" s="63" t="s">
        <v>7</v>
      </c>
      <c r="H41" s="63" t="s">
        <v>8</v>
      </c>
      <c r="I41" s="63" t="s">
        <v>9</v>
      </c>
      <c r="J41" s="63" t="s">
        <v>10</v>
      </c>
      <c r="K41" s="63" t="s">
        <v>11</v>
      </c>
      <c r="L41" s="63" t="s">
        <v>12</v>
      </c>
      <c r="M41" s="63" t="s">
        <v>13</v>
      </c>
      <c r="N41" s="63" t="s">
        <v>14</v>
      </c>
      <c r="O41" s="63" t="s">
        <v>15</v>
      </c>
      <c r="P41" s="64" t="s">
        <v>16</v>
      </c>
    </row>
    <row r="42" spans="1:16" ht="13" x14ac:dyDescent="0.3">
      <c r="A42" s="54"/>
      <c r="B42" s="54"/>
      <c r="C42" s="54"/>
      <c r="D42" s="63"/>
      <c r="E42" s="63"/>
      <c r="F42" s="63"/>
      <c r="G42" s="63"/>
      <c r="H42" s="63"/>
      <c r="I42" s="63"/>
      <c r="J42" s="63"/>
      <c r="K42" s="63"/>
      <c r="L42" s="63"/>
      <c r="M42" s="63"/>
      <c r="N42" s="63"/>
      <c r="O42" s="63"/>
      <c r="P42" s="64"/>
    </row>
    <row r="43" spans="1:16" ht="14.5" x14ac:dyDescent="0.35">
      <c r="A43" s="65">
        <v>4</v>
      </c>
      <c r="B43" s="52" t="s">
        <v>20</v>
      </c>
      <c r="C43" s="53" t="s">
        <v>17</v>
      </c>
      <c r="D43" s="66">
        <v>199569.12943440568</v>
      </c>
      <c r="E43" s="66">
        <v>194282.85115751831</v>
      </c>
      <c r="F43" s="66">
        <v>185505.05574062531</v>
      </c>
      <c r="G43" s="66">
        <v>195768.9410322991</v>
      </c>
      <c r="H43" s="66">
        <v>187381.87293080406</v>
      </c>
      <c r="I43" s="66">
        <v>201336.20407945281</v>
      </c>
      <c r="J43" s="66">
        <v>215646.46202603146</v>
      </c>
      <c r="K43" s="66">
        <v>207280.24397081661</v>
      </c>
      <c r="L43" s="66">
        <v>242585.45183814521</v>
      </c>
      <c r="M43" s="66">
        <v>225246.46905706942</v>
      </c>
      <c r="N43" s="66">
        <v>222358.25539861992</v>
      </c>
      <c r="O43" s="66">
        <v>192450.63174468395</v>
      </c>
      <c r="P43" s="82">
        <f>SUM(D43:O43)</f>
        <v>2469411.568410472</v>
      </c>
    </row>
    <row r="44" spans="1:16" x14ac:dyDescent="0.25">
      <c r="A44" s="65"/>
      <c r="D44" s="68"/>
      <c r="E44" s="68"/>
      <c r="F44" s="68"/>
      <c r="G44" s="68"/>
      <c r="H44" s="68"/>
      <c r="I44" s="68"/>
      <c r="J44" s="68"/>
      <c r="K44" s="68"/>
      <c r="L44" s="68"/>
      <c r="M44" s="68"/>
      <c r="N44" s="68"/>
      <c r="O44" s="68"/>
      <c r="P44" s="67"/>
    </row>
    <row r="45" spans="1:16" ht="14.5" x14ac:dyDescent="0.35">
      <c r="A45" s="65">
        <v>7</v>
      </c>
      <c r="B45" s="52" t="s">
        <v>21</v>
      </c>
      <c r="C45" s="53" t="s">
        <v>22</v>
      </c>
      <c r="D45" s="66">
        <v>549487.71315233305</v>
      </c>
      <c r="E45" s="66">
        <v>547891.91337017016</v>
      </c>
      <c r="F45" s="66">
        <v>524979.21773002448</v>
      </c>
      <c r="G45" s="66">
        <v>556812.77877859655</v>
      </c>
      <c r="H45" s="66">
        <v>572399.42386069335</v>
      </c>
      <c r="I45" s="66">
        <v>620786.15259754471</v>
      </c>
      <c r="J45" s="66">
        <v>597500.76315207465</v>
      </c>
      <c r="K45" s="66">
        <v>595592.24453866261</v>
      </c>
      <c r="L45" s="66">
        <v>649483.74923382583</v>
      </c>
      <c r="M45" s="66">
        <v>596881.82673842576</v>
      </c>
      <c r="N45" s="66">
        <v>590469.51525685203</v>
      </c>
      <c r="O45" s="66">
        <v>542272.48290636286</v>
      </c>
      <c r="P45" s="82">
        <f>SUM(D45:O45)</f>
        <v>6944557.781315566</v>
      </c>
    </row>
    <row r="46" spans="1:16" x14ac:dyDescent="0.25">
      <c r="A46" s="65"/>
      <c r="D46" s="68"/>
      <c r="E46" s="68"/>
      <c r="F46" s="68"/>
      <c r="G46" s="68"/>
      <c r="H46" s="68"/>
      <c r="I46" s="68"/>
      <c r="J46" s="68"/>
      <c r="K46" s="68"/>
      <c r="L46" s="68"/>
      <c r="M46" s="68"/>
      <c r="N46" s="68"/>
      <c r="O46" s="68"/>
      <c r="P46" s="67"/>
    </row>
    <row r="47" spans="1:16" ht="14.5" x14ac:dyDescent="0.35">
      <c r="A47" s="65">
        <v>9</v>
      </c>
      <c r="B47" s="52" t="s">
        <v>23</v>
      </c>
      <c r="C47" s="53" t="s">
        <v>18</v>
      </c>
      <c r="D47" s="66">
        <v>850549.8594391417</v>
      </c>
      <c r="E47" s="66">
        <v>697029.12632517354</v>
      </c>
      <c r="F47" s="66">
        <v>878309.14274316386</v>
      </c>
      <c r="G47" s="66">
        <v>879827.12415825319</v>
      </c>
      <c r="H47" s="66">
        <v>942641.74169927742</v>
      </c>
      <c r="I47" s="66">
        <v>910019.38462726993</v>
      </c>
      <c r="J47" s="66">
        <v>604229.30539606139</v>
      </c>
      <c r="K47" s="66">
        <v>656137.59869409993</v>
      </c>
      <c r="L47" s="66">
        <v>760168.51377332688</v>
      </c>
      <c r="M47" s="66">
        <v>468113.86502180999</v>
      </c>
      <c r="N47" s="66">
        <v>1007649.1206399769</v>
      </c>
      <c r="O47" s="66">
        <v>584732.9189216746</v>
      </c>
      <c r="P47" s="82">
        <f>SUM(D47:O47)</f>
        <v>9239407.7014392279</v>
      </c>
    </row>
    <row r="48" spans="1:16" x14ac:dyDescent="0.25">
      <c r="D48" s="69"/>
      <c r="E48" s="69"/>
      <c r="F48" s="69"/>
      <c r="G48" s="70"/>
      <c r="H48" s="70"/>
      <c r="I48" s="70"/>
      <c r="J48" s="70"/>
      <c r="K48" s="70"/>
      <c r="L48" s="70"/>
      <c r="M48" s="70"/>
      <c r="N48" s="70"/>
      <c r="O48" s="70"/>
      <c r="P48" s="68"/>
    </row>
    <row r="49" spans="1:16" x14ac:dyDescent="0.25">
      <c r="A49" s="53">
        <v>12</v>
      </c>
      <c r="B49" s="52" t="s">
        <v>28</v>
      </c>
      <c r="C49" s="53" t="s">
        <v>22</v>
      </c>
      <c r="D49" s="71"/>
      <c r="E49" s="71"/>
      <c r="F49" s="71"/>
      <c r="G49" s="72"/>
      <c r="H49" s="72"/>
      <c r="I49" s="72"/>
      <c r="J49" s="72"/>
      <c r="K49" s="72"/>
      <c r="L49" s="72"/>
      <c r="M49" s="72"/>
      <c r="N49" s="72"/>
      <c r="O49" s="72"/>
      <c r="P49" s="67"/>
    </row>
    <row r="50" spans="1:16" ht="13" thickBot="1" x14ac:dyDescent="0.3">
      <c r="A50" s="53"/>
      <c r="D50" s="79"/>
      <c r="E50" s="79"/>
      <c r="F50" s="79"/>
      <c r="G50" s="80"/>
      <c r="H50" s="80"/>
      <c r="I50" s="80"/>
      <c r="J50" s="80"/>
      <c r="K50" s="80"/>
      <c r="L50" s="80"/>
      <c r="M50" s="80"/>
      <c r="N50" s="80"/>
      <c r="O50" s="80"/>
      <c r="P50" s="81"/>
    </row>
    <row r="51" spans="1:16" ht="13.5" thickTop="1" x14ac:dyDescent="0.3">
      <c r="B51" s="73" t="s">
        <v>19</v>
      </c>
      <c r="D51" s="74">
        <f>D43+D45+D47+D49</f>
        <v>1599606.7020258806</v>
      </c>
      <c r="E51" s="74">
        <f t="shared" ref="E51:O51" si="2">E43+E45+E47+E49</f>
        <v>1439203.890852862</v>
      </c>
      <c r="F51" s="74">
        <f t="shared" si="2"/>
        <v>1588793.4162138137</v>
      </c>
      <c r="G51" s="74">
        <f t="shared" si="2"/>
        <v>1632408.8439691488</v>
      </c>
      <c r="H51" s="74">
        <f t="shared" si="2"/>
        <v>1702423.0384907748</v>
      </c>
      <c r="I51" s="74">
        <f t="shared" si="2"/>
        <v>1732141.7413042674</v>
      </c>
      <c r="J51" s="74">
        <f t="shared" si="2"/>
        <v>1417376.5305741676</v>
      </c>
      <c r="K51" s="74">
        <f t="shared" si="2"/>
        <v>1459010.087203579</v>
      </c>
      <c r="L51" s="74">
        <f t="shared" si="2"/>
        <v>1652237.7148452979</v>
      </c>
      <c r="M51" s="74">
        <f t="shared" si="2"/>
        <v>1290242.1608173051</v>
      </c>
      <c r="N51" s="74">
        <f t="shared" si="2"/>
        <v>1820476.8912954489</v>
      </c>
      <c r="O51" s="74">
        <f t="shared" si="2"/>
        <v>1319456.0335727213</v>
      </c>
      <c r="P51" s="67">
        <f>SUM(D51:O51)</f>
        <v>18653377.051165268</v>
      </c>
    </row>
    <row r="52" spans="1:16" x14ac:dyDescent="0.25">
      <c r="A52" s="65"/>
      <c r="D52" s="75"/>
      <c r="E52" s="75"/>
      <c r="F52" s="75"/>
      <c r="G52" s="75"/>
      <c r="H52" s="75"/>
      <c r="I52" s="75"/>
      <c r="J52" s="75"/>
      <c r="K52" s="75"/>
      <c r="L52" s="75"/>
      <c r="M52" s="75"/>
      <c r="N52" s="75"/>
      <c r="O52" s="75"/>
      <c r="P52" s="76"/>
    </row>
    <row r="53" spans="1:16" x14ac:dyDescent="0.25">
      <c r="A53" s="65"/>
      <c r="D53" s="75"/>
      <c r="E53" s="75"/>
      <c r="F53" s="75"/>
      <c r="G53" s="75"/>
      <c r="H53" s="75"/>
      <c r="I53" s="75"/>
      <c r="J53" s="75"/>
      <c r="K53" s="75"/>
      <c r="L53" s="75"/>
      <c r="M53" s="75"/>
      <c r="N53" s="75"/>
      <c r="O53" s="75"/>
      <c r="P53" s="76"/>
    </row>
    <row r="54" spans="1:16" ht="13" x14ac:dyDescent="0.3">
      <c r="B54" s="87" t="s">
        <v>32</v>
      </c>
      <c r="C54" s="90"/>
      <c r="D54" s="90"/>
      <c r="E54" s="90"/>
      <c r="F54" s="90"/>
      <c r="G54" s="90"/>
      <c r="H54" s="90"/>
      <c r="I54" s="90"/>
      <c r="J54" s="90"/>
      <c r="K54" s="90"/>
      <c r="L54" s="90"/>
      <c r="M54" s="90"/>
      <c r="N54" s="90"/>
      <c r="O54" s="90" t="s">
        <v>0</v>
      </c>
      <c r="P54" s="52"/>
    </row>
    <row r="55" spans="1:16" ht="13" x14ac:dyDescent="0.3">
      <c r="B55" s="54"/>
      <c r="C55" s="54"/>
      <c r="D55" s="54"/>
      <c r="E55" s="54"/>
      <c r="F55" s="54"/>
      <c r="G55" s="54"/>
      <c r="H55" s="54"/>
      <c r="I55" s="54"/>
      <c r="J55" s="54"/>
      <c r="K55" s="54"/>
      <c r="L55" s="54"/>
      <c r="M55" s="54"/>
      <c r="N55" s="54"/>
      <c r="O55" s="54"/>
      <c r="P55" s="52"/>
    </row>
    <row r="56" spans="1:16" ht="13" x14ac:dyDescent="0.3">
      <c r="B56" s="56"/>
      <c r="D56" s="57">
        <f>D8</f>
        <v>2018</v>
      </c>
      <c r="E56" s="58"/>
      <c r="F56" s="59"/>
      <c r="H56" s="58"/>
      <c r="I56" s="58"/>
      <c r="J56" s="61"/>
      <c r="K56" s="58"/>
      <c r="L56" s="58"/>
      <c r="M56" s="62"/>
      <c r="N56" s="58"/>
      <c r="O56" s="58"/>
      <c r="P56" s="59"/>
    </row>
    <row r="57" spans="1:16" ht="13" x14ac:dyDescent="0.3">
      <c r="A57" s="54" t="s">
        <v>1</v>
      </c>
      <c r="B57" s="54" t="s">
        <v>2</v>
      </c>
      <c r="C57" s="54" t="s">
        <v>3</v>
      </c>
      <c r="D57" s="63" t="s">
        <v>4</v>
      </c>
      <c r="E57" s="63" t="s">
        <v>5</v>
      </c>
      <c r="F57" s="63" t="s">
        <v>6</v>
      </c>
      <c r="G57" s="63" t="s">
        <v>7</v>
      </c>
      <c r="H57" s="63" t="s">
        <v>8</v>
      </c>
      <c r="I57" s="63" t="s">
        <v>9</v>
      </c>
      <c r="J57" s="63" t="s">
        <v>10</v>
      </c>
      <c r="K57" s="63" t="s">
        <v>11</v>
      </c>
      <c r="L57" s="63" t="s">
        <v>12</v>
      </c>
      <c r="M57" s="63" t="s">
        <v>13</v>
      </c>
      <c r="N57" s="63" t="s">
        <v>14</v>
      </c>
      <c r="O57" s="63" t="s">
        <v>15</v>
      </c>
      <c r="P57" s="64" t="s">
        <v>16</v>
      </c>
    </row>
    <row r="58" spans="1:16" ht="13" x14ac:dyDescent="0.3">
      <c r="A58" s="54"/>
      <c r="B58" s="54"/>
      <c r="C58" s="54"/>
      <c r="D58" s="63"/>
      <c r="E58" s="63"/>
      <c r="F58" s="63"/>
      <c r="G58" s="63"/>
      <c r="H58" s="63"/>
      <c r="I58" s="63"/>
      <c r="J58" s="63"/>
      <c r="K58" s="63"/>
      <c r="L58" s="63"/>
      <c r="M58" s="63"/>
      <c r="N58" s="63"/>
      <c r="O58" s="63"/>
      <c r="P58" s="64"/>
    </row>
    <row r="59" spans="1:16" ht="14.5" x14ac:dyDescent="0.35">
      <c r="A59" s="65">
        <v>4</v>
      </c>
      <c r="B59" s="52" t="s">
        <v>20</v>
      </c>
      <c r="C59" s="53" t="s">
        <v>17</v>
      </c>
      <c r="D59" s="66">
        <v>184762.28029181928</v>
      </c>
      <c r="E59" s="66">
        <v>179868.21259977252</v>
      </c>
      <c r="F59" s="66">
        <v>171741.67769050799</v>
      </c>
      <c r="G59" s="66">
        <v>181244.0433946517</v>
      </c>
      <c r="H59" s="66">
        <v>173479.24614476276</v>
      </c>
      <c r="I59" s="66">
        <v>186398.24844876849</v>
      </c>
      <c r="J59" s="66">
        <v>199646.76988726595</v>
      </c>
      <c r="K59" s="66">
        <v>191901.27573353139</v>
      </c>
      <c r="L59" s="66">
        <v>224587.04597380449</v>
      </c>
      <c r="M59" s="66">
        <v>208534.51317150498</v>
      </c>
      <c r="N59" s="66">
        <v>205860.58788547773</v>
      </c>
      <c r="O59" s="66">
        <v>178171.93303153658</v>
      </c>
      <c r="P59" s="82">
        <f>SUM(D59:O59)</f>
        <v>2286195.8342534038</v>
      </c>
    </row>
    <row r="60" spans="1:16" x14ac:dyDescent="0.25">
      <c r="A60" s="65"/>
      <c r="D60" s="68"/>
      <c r="E60" s="68"/>
      <c r="F60" s="68"/>
      <c r="G60" s="68"/>
      <c r="H60" s="68"/>
      <c r="I60" s="68"/>
      <c r="J60" s="68"/>
      <c r="K60" s="68"/>
      <c r="L60" s="68"/>
      <c r="M60" s="68"/>
      <c r="N60" s="68"/>
      <c r="O60" s="68"/>
      <c r="P60" s="67"/>
    </row>
    <row r="61" spans="1:16" ht="14.5" x14ac:dyDescent="0.35">
      <c r="A61" s="65">
        <v>7</v>
      </c>
      <c r="B61" s="52" t="s">
        <v>21</v>
      </c>
      <c r="C61" s="53" t="s">
        <v>22</v>
      </c>
      <c r="D61" s="66">
        <v>522923.21388687956</v>
      </c>
      <c r="E61" s="66">
        <v>521404.56163891335</v>
      </c>
      <c r="F61" s="66">
        <v>499599.56007805915</v>
      </c>
      <c r="G61" s="66">
        <v>529894.15567053342</v>
      </c>
      <c r="H61" s="66">
        <v>544727.27813160769</v>
      </c>
      <c r="I61" s="66">
        <v>590774.79310767481</v>
      </c>
      <c r="J61" s="66">
        <v>568615.11529508443</v>
      </c>
      <c r="K61" s="66">
        <v>566798.86233218748</v>
      </c>
      <c r="L61" s="66">
        <v>618085.02972385404</v>
      </c>
      <c r="M61" s="66">
        <v>568026.10081692599</v>
      </c>
      <c r="N61" s="66">
        <v>561923.7868831862</v>
      </c>
      <c r="O61" s="66">
        <v>516056.79758884938</v>
      </c>
      <c r="P61" s="82">
        <f>SUM(D61:O61)</f>
        <v>6608829.2551537557</v>
      </c>
    </row>
    <row r="62" spans="1:16" x14ac:dyDescent="0.25">
      <c r="A62" s="65"/>
      <c r="D62" s="68"/>
      <c r="E62" s="68"/>
      <c r="F62" s="68"/>
      <c r="G62" s="68"/>
      <c r="H62" s="68"/>
      <c r="I62" s="68"/>
      <c r="J62" s="68"/>
      <c r="K62" s="68"/>
      <c r="L62" s="68"/>
      <c r="M62" s="68"/>
      <c r="N62" s="68"/>
      <c r="O62" s="68"/>
      <c r="P62" s="67"/>
    </row>
    <row r="63" spans="1:16" ht="14.5" x14ac:dyDescent="0.35">
      <c r="A63" s="65">
        <v>9</v>
      </c>
      <c r="B63" s="52" t="s">
        <v>23</v>
      </c>
      <c r="C63" s="53" t="s">
        <v>18</v>
      </c>
      <c r="D63" s="66">
        <v>835962.31700736319</v>
      </c>
      <c r="E63" s="66">
        <v>685074.57499157067</v>
      </c>
      <c r="F63" s="66">
        <v>863245.50861778355</v>
      </c>
      <c r="G63" s="66">
        <v>864737.45555875299</v>
      </c>
      <c r="H63" s="66">
        <v>926474.75718637521</v>
      </c>
      <c r="I63" s="66">
        <v>894411.89702419774</v>
      </c>
      <c r="J63" s="66">
        <v>593866.33780142653</v>
      </c>
      <c r="K63" s="66">
        <v>644884.36649869767</v>
      </c>
      <c r="L63" s="66">
        <v>747131.07648860081</v>
      </c>
      <c r="M63" s="66">
        <v>460085.37522414862</v>
      </c>
      <c r="N63" s="66">
        <v>990367.21277701796</v>
      </c>
      <c r="O63" s="66">
        <v>574704.32839124731</v>
      </c>
      <c r="P63" s="82">
        <f>SUM(D63:O63)</f>
        <v>9080945.2075671814</v>
      </c>
    </row>
    <row r="64" spans="1:16" x14ac:dyDescent="0.25">
      <c r="D64" s="69"/>
      <c r="E64" s="69"/>
      <c r="F64" s="69"/>
      <c r="G64" s="70"/>
      <c r="H64" s="70"/>
      <c r="I64" s="70"/>
      <c r="J64" s="70"/>
      <c r="K64" s="70"/>
      <c r="L64" s="70"/>
      <c r="M64" s="70"/>
      <c r="N64" s="70"/>
      <c r="O64" s="70"/>
      <c r="P64" s="68"/>
    </row>
    <row r="65" spans="1:16" x14ac:dyDescent="0.25">
      <c r="A65" s="53">
        <v>12</v>
      </c>
      <c r="B65" s="52" t="s">
        <v>28</v>
      </c>
      <c r="C65" s="53" t="s">
        <v>22</v>
      </c>
      <c r="D65" s="71"/>
      <c r="E65" s="71"/>
      <c r="F65" s="71"/>
      <c r="G65" s="72"/>
      <c r="H65" s="72"/>
      <c r="I65" s="72"/>
      <c r="J65" s="72"/>
      <c r="K65" s="72"/>
      <c r="L65" s="72"/>
      <c r="M65" s="72"/>
      <c r="N65" s="72"/>
      <c r="O65" s="72"/>
      <c r="P65" s="67"/>
    </row>
    <row r="66" spans="1:16" ht="13" thickBot="1" x14ac:dyDescent="0.3">
      <c r="A66" s="53"/>
      <c r="D66" s="79"/>
      <c r="E66" s="79"/>
      <c r="F66" s="79"/>
      <c r="G66" s="80"/>
      <c r="H66" s="80"/>
      <c r="I66" s="80"/>
      <c r="J66" s="80"/>
      <c r="K66" s="80"/>
      <c r="L66" s="80"/>
      <c r="M66" s="80"/>
      <c r="N66" s="80"/>
      <c r="O66" s="80"/>
      <c r="P66" s="81"/>
    </row>
    <row r="67" spans="1:16" ht="13.5" thickTop="1" x14ac:dyDescent="0.3">
      <c r="B67" s="73" t="s">
        <v>35</v>
      </c>
      <c r="D67" s="74">
        <f>D59+D61+D63+D65</f>
        <v>1543647.8111860622</v>
      </c>
      <c r="E67" s="74">
        <f t="shared" ref="E67:O67" si="3">E59+E61+E63+E65</f>
        <v>1386347.3492302564</v>
      </c>
      <c r="F67" s="74">
        <f t="shared" si="3"/>
        <v>1534586.7463863506</v>
      </c>
      <c r="G67" s="74">
        <f t="shared" si="3"/>
        <v>1575875.6546239383</v>
      </c>
      <c r="H67" s="74">
        <f t="shared" si="3"/>
        <v>1644681.2814627457</v>
      </c>
      <c r="I67" s="74">
        <f t="shared" si="3"/>
        <v>1671584.9385806411</v>
      </c>
      <c r="J67" s="74">
        <f t="shared" si="3"/>
        <v>1362128.2229837771</v>
      </c>
      <c r="K67" s="74">
        <f t="shared" si="3"/>
        <v>1403584.5045644166</v>
      </c>
      <c r="L67" s="74">
        <f t="shared" si="3"/>
        <v>1589803.1521862594</v>
      </c>
      <c r="M67" s="74">
        <f t="shared" si="3"/>
        <v>1236645.9892125796</v>
      </c>
      <c r="N67" s="74">
        <f t="shared" si="3"/>
        <v>1758151.5875456817</v>
      </c>
      <c r="O67" s="74">
        <f t="shared" si="3"/>
        <v>1268933.0590116333</v>
      </c>
      <c r="P67" s="67">
        <f>SUM(D67:O67)</f>
        <v>17975970.296974346</v>
      </c>
    </row>
    <row r="68" spans="1:16" ht="13" x14ac:dyDescent="0.3">
      <c r="B68" s="73"/>
      <c r="D68" s="74"/>
      <c r="E68" s="74"/>
      <c r="F68" s="74"/>
      <c r="G68" s="74"/>
      <c r="H68" s="74"/>
      <c r="I68" s="74"/>
      <c r="J68" s="74"/>
      <c r="K68" s="74"/>
      <c r="L68" s="74"/>
      <c r="M68" s="74"/>
      <c r="N68" s="74"/>
      <c r="O68" s="74"/>
      <c r="P68" s="67"/>
    </row>
    <row r="69" spans="1:16" ht="13" x14ac:dyDescent="0.3">
      <c r="B69" s="89" t="s">
        <v>136</v>
      </c>
      <c r="C69" s="89"/>
      <c r="D69" s="89"/>
      <c r="E69" s="89"/>
      <c r="F69" s="89"/>
      <c r="G69" s="89"/>
      <c r="H69" s="89"/>
      <c r="I69" s="89"/>
      <c r="J69" s="89"/>
      <c r="K69" s="89"/>
      <c r="L69" s="89"/>
      <c r="M69" s="89"/>
      <c r="N69" s="89"/>
      <c r="O69" s="89"/>
    </row>
    <row r="70" spans="1:16" ht="13" x14ac:dyDescent="0.3">
      <c r="B70" s="87" t="s">
        <v>59</v>
      </c>
      <c r="C70" s="88"/>
      <c r="D70" s="88"/>
      <c r="E70" s="88"/>
      <c r="F70" s="88"/>
      <c r="G70" s="88"/>
      <c r="H70" s="88"/>
      <c r="I70" s="88"/>
      <c r="J70" s="88"/>
      <c r="K70" s="88"/>
      <c r="L70" s="88"/>
      <c r="M70" s="88"/>
      <c r="N70" s="88"/>
      <c r="O70" s="88"/>
      <c r="P70" s="52"/>
    </row>
    <row r="71" spans="1:16" ht="13" x14ac:dyDescent="0.3">
      <c r="A71" s="86"/>
      <c r="B71" s="87" t="s">
        <v>156</v>
      </c>
      <c r="C71" s="88"/>
      <c r="D71" s="88"/>
      <c r="E71" s="88"/>
      <c r="F71" s="88"/>
      <c r="G71" s="88"/>
      <c r="H71" s="88"/>
      <c r="I71" s="88"/>
      <c r="J71" s="88"/>
      <c r="K71" s="88"/>
      <c r="L71" s="88"/>
      <c r="M71" s="88"/>
      <c r="N71" s="88"/>
      <c r="O71" s="88"/>
      <c r="P71" s="52"/>
    </row>
    <row r="72" spans="1:16" ht="13" x14ac:dyDescent="0.3">
      <c r="B72" s="87" t="s">
        <v>135</v>
      </c>
      <c r="C72" s="88"/>
      <c r="D72" s="88"/>
      <c r="E72" s="88"/>
      <c r="F72" s="88"/>
      <c r="G72" s="88"/>
      <c r="H72" s="88"/>
      <c r="I72" s="88"/>
      <c r="J72" s="88"/>
      <c r="K72" s="88"/>
      <c r="L72" s="88"/>
      <c r="M72" s="88"/>
      <c r="N72" s="88"/>
      <c r="O72" s="88"/>
      <c r="P72" s="52"/>
    </row>
    <row r="73" spans="1:16" ht="13" x14ac:dyDescent="0.3">
      <c r="B73" s="73"/>
      <c r="D73" s="74"/>
      <c r="E73" s="74"/>
      <c r="F73" s="74"/>
      <c r="G73" s="74"/>
      <c r="H73" s="74"/>
      <c r="I73" s="74"/>
      <c r="J73" s="74"/>
      <c r="K73" s="74"/>
      <c r="L73" s="74"/>
      <c r="M73" s="74"/>
      <c r="N73" s="74"/>
      <c r="O73" s="74"/>
      <c r="P73" s="67"/>
    </row>
    <row r="74" spans="1:16" ht="13" x14ac:dyDescent="0.3">
      <c r="B74" s="87" t="s">
        <v>33</v>
      </c>
      <c r="C74" s="90"/>
      <c r="D74" s="90"/>
      <c r="E74" s="90"/>
      <c r="F74" s="90"/>
      <c r="G74" s="90"/>
      <c r="H74" s="90"/>
      <c r="I74" s="90"/>
      <c r="J74" s="90"/>
      <c r="K74" s="90"/>
      <c r="L74" s="90"/>
      <c r="M74" s="90"/>
      <c r="N74" s="90"/>
      <c r="O74" s="90" t="s">
        <v>0</v>
      </c>
      <c r="P74" s="52"/>
    </row>
    <row r="75" spans="1:16" ht="13" x14ac:dyDescent="0.3">
      <c r="B75" s="54"/>
      <c r="C75" s="54"/>
      <c r="D75" s="54"/>
      <c r="E75" s="54"/>
      <c r="F75" s="54"/>
      <c r="G75" s="54"/>
      <c r="H75" s="54"/>
      <c r="I75" s="54"/>
      <c r="J75" s="54"/>
      <c r="K75" s="54"/>
      <c r="L75" s="54"/>
      <c r="M75" s="54"/>
      <c r="N75" s="54"/>
      <c r="O75" s="54"/>
      <c r="P75" s="52"/>
    </row>
    <row r="76" spans="1:16" ht="13" x14ac:dyDescent="0.3">
      <c r="B76" s="56"/>
      <c r="D76" s="57">
        <f>D8</f>
        <v>2018</v>
      </c>
      <c r="E76" s="58"/>
      <c r="F76" s="59"/>
      <c r="H76" s="58"/>
      <c r="I76" s="58"/>
      <c r="J76" s="61"/>
      <c r="K76" s="58"/>
      <c r="L76" s="58"/>
      <c r="M76" s="62"/>
      <c r="N76" s="58"/>
      <c r="O76" s="58"/>
      <c r="P76" s="59"/>
    </row>
    <row r="77" spans="1:16" ht="13" x14ac:dyDescent="0.3">
      <c r="A77" s="54" t="s">
        <v>1</v>
      </c>
      <c r="B77" s="54" t="s">
        <v>2</v>
      </c>
      <c r="C77" s="54" t="s">
        <v>3</v>
      </c>
      <c r="D77" s="63" t="s">
        <v>4</v>
      </c>
      <c r="E77" s="63" t="s">
        <v>5</v>
      </c>
      <c r="F77" s="63" t="s">
        <v>6</v>
      </c>
      <c r="G77" s="63" t="s">
        <v>7</v>
      </c>
      <c r="H77" s="63" t="s">
        <v>8</v>
      </c>
      <c r="I77" s="63" t="s">
        <v>9</v>
      </c>
      <c r="J77" s="63" t="s">
        <v>10</v>
      </c>
      <c r="K77" s="63" t="s">
        <v>11</v>
      </c>
      <c r="L77" s="63" t="s">
        <v>12</v>
      </c>
      <c r="M77" s="63" t="s">
        <v>13</v>
      </c>
      <c r="N77" s="63" t="s">
        <v>14</v>
      </c>
      <c r="O77" s="63" t="s">
        <v>15</v>
      </c>
      <c r="P77" s="64" t="s">
        <v>16</v>
      </c>
    </row>
    <row r="78" spans="1:16" ht="13" x14ac:dyDescent="0.3">
      <c r="A78" s="54"/>
      <c r="B78" s="54"/>
      <c r="C78" s="54"/>
      <c r="D78" s="63"/>
      <c r="E78" s="63"/>
      <c r="F78" s="63"/>
      <c r="G78" s="63"/>
      <c r="H78" s="63"/>
      <c r="I78" s="63"/>
      <c r="J78" s="63"/>
      <c r="K78" s="63"/>
      <c r="L78" s="63"/>
      <c r="M78" s="63"/>
      <c r="N78" s="63"/>
      <c r="O78" s="63"/>
      <c r="P78" s="64"/>
    </row>
    <row r="79" spans="1:16" ht="14.5" x14ac:dyDescent="0.35">
      <c r="A79" s="65">
        <v>4</v>
      </c>
      <c r="B79" s="52" t="s">
        <v>20</v>
      </c>
      <c r="C79" s="53" t="s">
        <v>17</v>
      </c>
      <c r="D79" s="66">
        <v>259215.84687911751</v>
      </c>
      <c r="E79" s="66">
        <v>247444.9106988119</v>
      </c>
      <c r="F79" s="66">
        <v>222271.24465563928</v>
      </c>
      <c r="G79" s="66">
        <v>228359.07227927214</v>
      </c>
      <c r="H79" s="66">
        <v>223812.71743174549</v>
      </c>
      <c r="I79" s="66">
        <v>231069.50337911327</v>
      </c>
      <c r="J79" s="66">
        <v>264518.12754265778</v>
      </c>
      <c r="K79" s="66">
        <v>242141.91981898641</v>
      </c>
      <c r="L79" s="66">
        <v>306958.22542601998</v>
      </c>
      <c r="M79" s="66">
        <v>286818.91816068441</v>
      </c>
      <c r="N79" s="66">
        <v>292663.24494803557</v>
      </c>
      <c r="O79" s="66">
        <v>256608.15080260424</v>
      </c>
      <c r="P79" s="82">
        <f>SUM(D79:O79)</f>
        <v>3061881.8820226882</v>
      </c>
    </row>
    <row r="80" spans="1:16" x14ac:dyDescent="0.25">
      <c r="A80" s="65"/>
      <c r="D80" s="68"/>
      <c r="E80" s="68"/>
      <c r="F80" s="68"/>
      <c r="G80" s="68"/>
      <c r="H80" s="68"/>
      <c r="I80" s="68"/>
      <c r="J80" s="68"/>
      <c r="K80" s="68"/>
      <c r="L80" s="68"/>
      <c r="M80" s="68"/>
      <c r="N80" s="68"/>
      <c r="O80" s="68"/>
      <c r="P80" s="67"/>
    </row>
    <row r="81" spans="1:16" ht="14.5" x14ac:dyDescent="0.35">
      <c r="A81" s="65">
        <v>7</v>
      </c>
      <c r="B81" s="52" t="s">
        <v>21</v>
      </c>
      <c r="C81" s="53" t="s">
        <v>22</v>
      </c>
      <c r="D81" s="66">
        <v>668127.93558979454</v>
      </c>
      <c r="E81" s="66">
        <v>684022.45592776884</v>
      </c>
      <c r="F81" s="66">
        <v>708523.71364912577</v>
      </c>
      <c r="G81" s="66">
        <v>707790.06140728761</v>
      </c>
      <c r="H81" s="66">
        <v>761528.66980997962</v>
      </c>
      <c r="I81" s="66">
        <v>769723.45691117074</v>
      </c>
      <c r="J81" s="66">
        <v>771379.12497589213</v>
      </c>
      <c r="K81" s="66">
        <v>778557.36666135432</v>
      </c>
      <c r="L81" s="66">
        <v>773306.55661967897</v>
      </c>
      <c r="M81" s="66">
        <v>776641.11531885329</v>
      </c>
      <c r="N81" s="66">
        <v>743464.38793825416</v>
      </c>
      <c r="O81" s="66">
        <v>711204.36278125388</v>
      </c>
      <c r="P81" s="82">
        <f>SUM(D81:O81)</f>
        <v>8854269.2075904142</v>
      </c>
    </row>
    <row r="82" spans="1:16" x14ac:dyDescent="0.25">
      <c r="A82" s="65"/>
      <c r="D82" s="68"/>
      <c r="E82" s="68"/>
      <c r="F82" s="68"/>
      <c r="G82" s="68"/>
      <c r="H82" s="68"/>
      <c r="I82" s="68"/>
      <c r="J82" s="68"/>
      <c r="K82" s="68"/>
      <c r="L82" s="68"/>
      <c r="M82" s="68"/>
      <c r="N82" s="68"/>
      <c r="O82" s="68"/>
      <c r="P82" s="67"/>
    </row>
    <row r="83" spans="1:16" ht="14.5" x14ac:dyDescent="0.35">
      <c r="A83" s="65">
        <v>9</v>
      </c>
      <c r="B83" s="52" t="s">
        <v>23</v>
      </c>
      <c r="C83" s="53" t="s">
        <v>18</v>
      </c>
      <c r="D83" s="66">
        <v>915354.51477608248</v>
      </c>
      <c r="E83" s="66">
        <v>989927.46984332218</v>
      </c>
      <c r="F83" s="66">
        <v>1126736.3127936823</v>
      </c>
      <c r="G83" s="66">
        <v>1241246.31288525</v>
      </c>
      <c r="H83" s="66">
        <v>1201446.6461474397</v>
      </c>
      <c r="I83" s="66">
        <v>1094312.1962007897</v>
      </c>
      <c r="J83" s="66">
        <v>932212.86537581962</v>
      </c>
      <c r="K83" s="66">
        <v>863478.44121703471</v>
      </c>
      <c r="L83" s="66">
        <v>822782.55278189236</v>
      </c>
      <c r="M83" s="66">
        <v>1108429.5782159774</v>
      </c>
      <c r="N83" s="66">
        <v>976035.46180407726</v>
      </c>
      <c r="O83" s="66">
        <v>1047146.59478016</v>
      </c>
      <c r="P83" s="82">
        <f>SUM(D83:O83)</f>
        <v>12319108.946821528</v>
      </c>
    </row>
    <row r="84" spans="1:16" x14ac:dyDescent="0.25">
      <c r="D84" s="69"/>
      <c r="E84" s="69"/>
      <c r="F84" s="69"/>
      <c r="G84" s="70"/>
      <c r="H84" s="70"/>
      <c r="I84" s="70"/>
      <c r="J84" s="70"/>
      <c r="K84" s="70"/>
      <c r="L84" s="70"/>
      <c r="M84" s="70"/>
      <c r="N84" s="70"/>
      <c r="O84" s="70"/>
      <c r="P84" s="68"/>
    </row>
    <row r="85" spans="1:16" x14ac:dyDescent="0.25">
      <c r="A85" s="53">
        <v>12</v>
      </c>
      <c r="B85" s="52" t="s">
        <v>28</v>
      </c>
      <c r="C85" s="53" t="s">
        <v>22</v>
      </c>
      <c r="D85" s="71"/>
      <c r="E85" s="71"/>
      <c r="F85" s="71"/>
      <c r="G85" s="72"/>
      <c r="H85" s="72"/>
      <c r="I85" s="72"/>
      <c r="J85" s="72"/>
      <c r="K85" s="72"/>
      <c r="L85" s="72"/>
      <c r="M85" s="72"/>
      <c r="N85" s="72"/>
      <c r="O85" s="72"/>
      <c r="P85" s="67"/>
    </row>
    <row r="86" spans="1:16" ht="13" thickBot="1" x14ac:dyDescent="0.3">
      <c r="A86" s="53"/>
      <c r="D86" s="79"/>
      <c r="E86" s="79"/>
      <c r="F86" s="79"/>
      <c r="G86" s="80"/>
      <c r="H86" s="80"/>
      <c r="I86" s="80"/>
      <c r="J86" s="80"/>
      <c r="K86" s="80"/>
      <c r="L86" s="80"/>
      <c r="M86" s="80"/>
      <c r="N86" s="80"/>
      <c r="O86" s="80"/>
      <c r="P86" s="81"/>
    </row>
    <row r="87" spans="1:16" ht="13.5" thickTop="1" x14ac:dyDescent="0.3">
      <c r="B87" s="73" t="s">
        <v>19</v>
      </c>
      <c r="D87" s="74">
        <f>D79+D81+D83+D85</f>
        <v>1842698.2972449944</v>
      </c>
      <c r="E87" s="74">
        <f t="shared" ref="E87:O87" si="4">E79+E81+E83+E85</f>
        <v>1921394.8364699029</v>
      </c>
      <c r="F87" s="74">
        <f t="shared" si="4"/>
        <v>2057531.2710984475</v>
      </c>
      <c r="G87" s="74">
        <f t="shared" si="4"/>
        <v>2177395.4465718097</v>
      </c>
      <c r="H87" s="74">
        <f t="shared" si="4"/>
        <v>2186788.0333891651</v>
      </c>
      <c r="I87" s="74">
        <f t="shared" si="4"/>
        <v>2095105.1564910738</v>
      </c>
      <c r="J87" s="74">
        <f t="shared" si="4"/>
        <v>1968110.1178943696</v>
      </c>
      <c r="K87" s="74">
        <f t="shared" si="4"/>
        <v>1884177.7276973755</v>
      </c>
      <c r="L87" s="74">
        <f t="shared" si="4"/>
        <v>1903047.3348275912</v>
      </c>
      <c r="M87" s="74">
        <f t="shared" si="4"/>
        <v>2171889.611695515</v>
      </c>
      <c r="N87" s="74">
        <f t="shared" si="4"/>
        <v>2012163.0946903671</v>
      </c>
      <c r="O87" s="74">
        <f t="shared" si="4"/>
        <v>2014959.1083640181</v>
      </c>
      <c r="P87" s="67">
        <f>SUM(D87:O87)</f>
        <v>24235260.036434632</v>
      </c>
    </row>
    <row r="88" spans="1:16" ht="13" x14ac:dyDescent="0.3">
      <c r="B88" s="73"/>
      <c r="D88" s="74"/>
      <c r="E88" s="74"/>
      <c r="F88" s="74"/>
      <c r="G88" s="74"/>
      <c r="H88" s="74"/>
      <c r="I88" s="74"/>
      <c r="J88" s="74"/>
      <c r="K88" s="74"/>
      <c r="L88" s="74"/>
      <c r="M88" s="74"/>
      <c r="N88" s="74"/>
      <c r="O88" s="74"/>
      <c r="P88" s="67"/>
    </row>
    <row r="89" spans="1:16" ht="13" x14ac:dyDescent="0.3">
      <c r="B89" s="73"/>
      <c r="D89" s="74"/>
      <c r="E89" s="74"/>
      <c r="F89" s="74"/>
      <c r="G89" s="74"/>
      <c r="H89" s="74"/>
      <c r="I89" s="74"/>
      <c r="J89" s="74"/>
      <c r="K89" s="74"/>
      <c r="L89" s="74"/>
      <c r="M89" s="74"/>
      <c r="N89" s="74"/>
      <c r="O89" s="74"/>
      <c r="P89" s="67"/>
    </row>
    <row r="90" spans="1:16" ht="13" x14ac:dyDescent="0.3">
      <c r="B90" s="87" t="s">
        <v>34</v>
      </c>
      <c r="C90" s="87"/>
      <c r="D90" s="87"/>
      <c r="E90" s="87"/>
      <c r="F90" s="87"/>
      <c r="G90" s="87"/>
      <c r="H90" s="87"/>
      <c r="I90" s="87"/>
      <c r="J90" s="87"/>
      <c r="K90" s="87"/>
      <c r="L90" s="87"/>
      <c r="M90" s="87"/>
      <c r="N90" s="87"/>
      <c r="O90" s="88"/>
      <c r="P90" s="52"/>
    </row>
    <row r="91" spans="1:16" ht="13" x14ac:dyDescent="0.3">
      <c r="B91" s="54"/>
      <c r="C91" s="54"/>
      <c r="D91" s="54"/>
      <c r="E91" s="54"/>
      <c r="F91" s="54"/>
      <c r="G91" s="54"/>
      <c r="H91" s="54"/>
      <c r="I91" s="54"/>
      <c r="J91" s="54"/>
      <c r="K91" s="54"/>
      <c r="L91" s="54"/>
      <c r="M91" s="54"/>
      <c r="N91" s="54"/>
      <c r="O91" s="54"/>
      <c r="P91" s="52"/>
    </row>
    <row r="92" spans="1:16" ht="13" x14ac:dyDescent="0.3">
      <c r="B92" s="56"/>
      <c r="D92" s="57">
        <f>D8</f>
        <v>2018</v>
      </c>
      <c r="E92" s="58"/>
      <c r="F92" s="59"/>
      <c r="H92" s="58"/>
      <c r="I92" s="58"/>
      <c r="J92" s="61"/>
      <c r="K92" s="58"/>
      <c r="L92" s="58"/>
      <c r="M92" s="62"/>
      <c r="N92" s="58"/>
      <c r="O92" s="58"/>
      <c r="P92" s="59"/>
    </row>
    <row r="93" spans="1:16" ht="13" x14ac:dyDescent="0.3">
      <c r="A93" s="54" t="s">
        <v>1</v>
      </c>
      <c r="B93" s="54" t="s">
        <v>2</v>
      </c>
      <c r="C93" s="54" t="s">
        <v>3</v>
      </c>
      <c r="D93" s="63" t="s">
        <v>4</v>
      </c>
      <c r="E93" s="63" t="s">
        <v>5</v>
      </c>
      <c r="F93" s="63" t="s">
        <v>6</v>
      </c>
      <c r="G93" s="63" t="s">
        <v>7</v>
      </c>
      <c r="H93" s="63" t="s">
        <v>8</v>
      </c>
      <c r="I93" s="63" t="s">
        <v>9</v>
      </c>
      <c r="J93" s="63" t="s">
        <v>10</v>
      </c>
      <c r="K93" s="63" t="s">
        <v>11</v>
      </c>
      <c r="L93" s="63" t="s">
        <v>12</v>
      </c>
      <c r="M93" s="63" t="s">
        <v>13</v>
      </c>
      <c r="N93" s="63" t="s">
        <v>14</v>
      </c>
      <c r="O93" s="63" t="s">
        <v>15</v>
      </c>
      <c r="P93" s="64" t="s">
        <v>16</v>
      </c>
    </row>
    <row r="94" spans="1:16" ht="13" x14ac:dyDescent="0.3">
      <c r="A94" s="54"/>
      <c r="B94" s="54"/>
      <c r="C94" s="54"/>
      <c r="D94" s="63"/>
      <c r="E94" s="63"/>
      <c r="F94" s="63"/>
      <c r="G94" s="63"/>
      <c r="H94" s="63"/>
      <c r="I94" s="63"/>
      <c r="J94" s="63"/>
      <c r="K94" s="63"/>
      <c r="L94" s="63"/>
      <c r="M94" s="63"/>
      <c r="N94" s="63"/>
      <c r="O94" s="63"/>
      <c r="P94" s="64"/>
    </row>
    <row r="95" spans="1:16" ht="14.5" x14ac:dyDescent="0.35">
      <c r="A95" s="65">
        <v>4</v>
      </c>
      <c r="B95" s="52" t="s">
        <v>20</v>
      </c>
      <c r="C95" s="53" t="s">
        <v>17</v>
      </c>
      <c r="D95" s="66">
        <v>239983.56405569415</v>
      </c>
      <c r="E95" s="66">
        <v>229085.96172608354</v>
      </c>
      <c r="F95" s="66">
        <v>205780.03282504051</v>
      </c>
      <c r="G95" s="66">
        <v>211416.17964270568</v>
      </c>
      <c r="H95" s="66">
        <v>207207.1374375039</v>
      </c>
      <c r="I95" s="66">
        <v>213925.51278455873</v>
      </c>
      <c r="J95" s="66">
        <v>244892.44685194304</v>
      </c>
      <c r="K95" s="66">
        <v>224176.42140739755</v>
      </c>
      <c r="L95" s="66">
        <v>284183.74046514335</v>
      </c>
      <c r="M95" s="66">
        <v>265538.65069406223</v>
      </c>
      <c r="N95" s="66">
        <v>270949.36299742211</v>
      </c>
      <c r="O95" s="66">
        <v>237569.34360601794</v>
      </c>
      <c r="P95" s="82">
        <f>SUM(D95:O95)</f>
        <v>2834708.3544935728</v>
      </c>
    </row>
    <row r="96" spans="1:16" x14ac:dyDescent="0.25">
      <c r="A96" s="65"/>
      <c r="D96" s="68"/>
      <c r="E96" s="68"/>
      <c r="F96" s="68"/>
      <c r="G96" s="68"/>
      <c r="H96" s="68"/>
      <c r="I96" s="68"/>
      <c r="J96" s="68"/>
      <c r="K96" s="68"/>
      <c r="L96" s="68"/>
      <c r="M96" s="68"/>
      <c r="N96" s="68"/>
      <c r="O96" s="68"/>
      <c r="P96" s="67"/>
    </row>
    <row r="97" spans="1:16" ht="14.5" x14ac:dyDescent="0.35">
      <c r="A97" s="65">
        <v>7</v>
      </c>
      <c r="B97" s="52" t="s">
        <v>21</v>
      </c>
      <c r="C97" s="53" t="s">
        <v>22</v>
      </c>
      <c r="D97" s="66">
        <v>635827.87932032219</v>
      </c>
      <c r="E97" s="66">
        <v>650953.99307933846</v>
      </c>
      <c r="F97" s="66">
        <v>674270.75908748177</v>
      </c>
      <c r="G97" s="66">
        <v>673572.57461675641</v>
      </c>
      <c r="H97" s="66">
        <v>724713.23735247401</v>
      </c>
      <c r="I97" s="66">
        <v>732511.85469277762</v>
      </c>
      <c r="J97" s="66">
        <v>734087.48094394</v>
      </c>
      <c r="K97" s="66">
        <v>740918.69686082448</v>
      </c>
      <c r="L97" s="66">
        <v>735921.73260342504</v>
      </c>
      <c r="M97" s="66">
        <v>739095.08500081208</v>
      </c>
      <c r="N97" s="66">
        <v>707522.25726898958</v>
      </c>
      <c r="O97" s="66">
        <v>676821.81459959445</v>
      </c>
      <c r="P97" s="82">
        <f>SUM(D97:O97)</f>
        <v>8426217.365426736</v>
      </c>
    </row>
    <row r="98" spans="1:16" x14ac:dyDescent="0.25">
      <c r="A98" s="65"/>
      <c r="D98" s="68"/>
      <c r="E98" s="68"/>
      <c r="F98" s="68"/>
      <c r="G98" s="68"/>
      <c r="H98" s="68"/>
      <c r="I98" s="68"/>
      <c r="J98" s="68"/>
      <c r="K98" s="68"/>
      <c r="L98" s="68"/>
      <c r="M98" s="68"/>
      <c r="N98" s="68"/>
      <c r="O98" s="68"/>
      <c r="P98" s="67"/>
    </row>
    <row r="99" spans="1:16" ht="14.5" x14ac:dyDescent="0.35">
      <c r="A99" s="65">
        <v>9</v>
      </c>
      <c r="B99" s="52" t="s">
        <v>23</v>
      </c>
      <c r="C99" s="53" t="s">
        <v>18</v>
      </c>
      <c r="D99" s="66">
        <v>899655.52584999998</v>
      </c>
      <c r="E99" s="66">
        <v>972949.50104999973</v>
      </c>
      <c r="F99" s="66">
        <v>1107411.97385</v>
      </c>
      <c r="G99" s="66">
        <v>1219958.0449999999</v>
      </c>
      <c r="H99" s="66">
        <v>1180840.9711999998</v>
      </c>
      <c r="I99" s="66">
        <v>1075543.9541999998</v>
      </c>
      <c r="J99" s="66">
        <v>916224.7435999997</v>
      </c>
      <c r="K99" s="66">
        <v>848669.16429999971</v>
      </c>
      <c r="L99" s="66">
        <v>808671.23964999989</v>
      </c>
      <c r="M99" s="66">
        <v>1089419.2129499998</v>
      </c>
      <c r="N99" s="66">
        <v>959295.75094999978</v>
      </c>
      <c r="O99" s="66">
        <v>1029187.2768</v>
      </c>
      <c r="P99" s="82">
        <f>SUM(D99:O99)</f>
        <v>12107827.359399997</v>
      </c>
    </row>
    <row r="100" spans="1:16" x14ac:dyDescent="0.25">
      <c r="D100" s="69"/>
      <c r="E100" s="69"/>
      <c r="F100" s="69"/>
      <c r="G100" s="70"/>
      <c r="H100" s="70"/>
      <c r="I100" s="70"/>
      <c r="J100" s="70"/>
      <c r="K100" s="70"/>
      <c r="L100" s="70"/>
      <c r="M100" s="70"/>
      <c r="N100" s="70"/>
      <c r="O100" s="70"/>
      <c r="P100" s="68"/>
    </row>
    <row r="101" spans="1:16" x14ac:dyDescent="0.25">
      <c r="A101" s="53">
        <v>12</v>
      </c>
      <c r="B101" s="52" t="s">
        <v>28</v>
      </c>
      <c r="C101" s="53" t="s">
        <v>22</v>
      </c>
      <c r="D101" s="71"/>
      <c r="E101" s="71"/>
      <c r="F101" s="71"/>
      <c r="G101" s="72"/>
      <c r="H101" s="72"/>
      <c r="I101" s="72"/>
      <c r="J101" s="72"/>
      <c r="K101" s="72"/>
      <c r="L101" s="72"/>
      <c r="M101" s="72"/>
      <c r="N101" s="72"/>
      <c r="O101" s="72"/>
      <c r="P101" s="67"/>
    </row>
    <row r="102" spans="1:16" ht="13" thickBot="1" x14ac:dyDescent="0.3">
      <c r="A102" s="53"/>
      <c r="D102" s="79"/>
      <c r="E102" s="79"/>
      <c r="F102" s="79"/>
      <c r="G102" s="80"/>
      <c r="H102" s="80"/>
      <c r="I102" s="80"/>
      <c r="J102" s="80"/>
      <c r="K102" s="80"/>
      <c r="L102" s="80"/>
      <c r="M102" s="80"/>
      <c r="N102" s="80"/>
      <c r="O102" s="80"/>
      <c r="P102" s="81"/>
    </row>
    <row r="103" spans="1:16" ht="13.5" thickTop="1" x14ac:dyDescent="0.3">
      <c r="B103" s="73" t="s">
        <v>35</v>
      </c>
      <c r="D103" s="74">
        <f>D95+D97+D99+D101</f>
        <v>1775466.9692260162</v>
      </c>
      <c r="E103" s="74">
        <f t="shared" ref="E103:O103" si="5">E95+E97+E99+E101</f>
        <v>1852989.4558554217</v>
      </c>
      <c r="F103" s="74">
        <f t="shared" si="5"/>
        <v>1987462.7657625224</v>
      </c>
      <c r="G103" s="74">
        <f t="shared" si="5"/>
        <v>2104946.7992594619</v>
      </c>
      <c r="H103" s="74">
        <f t="shared" si="5"/>
        <v>2112761.3459899779</v>
      </c>
      <c r="I103" s="74">
        <f t="shared" si="5"/>
        <v>2021981.321677336</v>
      </c>
      <c r="J103" s="74">
        <f t="shared" si="5"/>
        <v>1895204.6713958827</v>
      </c>
      <c r="K103" s="74">
        <f t="shared" si="5"/>
        <v>1813764.2825682219</v>
      </c>
      <c r="L103" s="74">
        <f t="shared" si="5"/>
        <v>1828776.7127185683</v>
      </c>
      <c r="M103" s="74">
        <f t="shared" si="5"/>
        <v>2094052.9486448742</v>
      </c>
      <c r="N103" s="74">
        <f t="shared" si="5"/>
        <v>1937767.3712164115</v>
      </c>
      <c r="O103" s="74">
        <f t="shared" si="5"/>
        <v>1943578.4350056122</v>
      </c>
      <c r="P103" s="67">
        <f>SUM(D103:O103)</f>
        <v>23368753.079320308</v>
      </c>
    </row>
    <row r="104" spans="1:16" ht="13" x14ac:dyDescent="0.3">
      <c r="B104" s="73"/>
      <c r="D104" s="74"/>
      <c r="E104" s="74"/>
      <c r="F104" s="74"/>
      <c r="G104" s="74"/>
      <c r="H104" s="74"/>
      <c r="I104" s="74"/>
      <c r="J104" s="74"/>
      <c r="K104" s="74"/>
      <c r="L104" s="74"/>
      <c r="M104" s="74"/>
      <c r="N104" s="74"/>
      <c r="O104" s="74"/>
      <c r="P104" s="67"/>
    </row>
    <row r="105" spans="1:16" s="77" customFormat="1" x14ac:dyDescent="0.25"/>
    <row r="106" spans="1:16" ht="13" x14ac:dyDescent="0.3">
      <c r="B106" s="87" t="s">
        <v>137</v>
      </c>
      <c r="C106" s="87"/>
      <c r="D106" s="87"/>
      <c r="E106" s="87"/>
      <c r="F106" s="87"/>
      <c r="G106" s="87"/>
      <c r="H106" s="87"/>
      <c r="I106" s="87"/>
      <c r="J106" s="87"/>
      <c r="K106" s="87"/>
      <c r="L106" s="87"/>
      <c r="M106" s="87"/>
      <c r="N106" s="87"/>
      <c r="O106" s="88"/>
      <c r="P106" s="52"/>
    </row>
    <row r="107" spans="1:16" ht="13" x14ac:dyDescent="0.3">
      <c r="B107" s="54"/>
      <c r="C107" s="54"/>
      <c r="D107" s="54"/>
      <c r="E107" s="54"/>
      <c r="F107" s="54"/>
      <c r="G107" s="54"/>
      <c r="H107" s="54"/>
      <c r="I107" s="54"/>
      <c r="J107" s="54"/>
      <c r="K107" s="54"/>
      <c r="L107" s="54"/>
      <c r="M107" s="54"/>
      <c r="N107" s="54"/>
      <c r="O107" s="54"/>
      <c r="P107" s="52"/>
    </row>
    <row r="108" spans="1:16" ht="13" x14ac:dyDescent="0.3">
      <c r="B108" s="56"/>
      <c r="D108" s="57">
        <f>D8</f>
        <v>2018</v>
      </c>
      <c r="E108" s="58"/>
      <c r="F108" s="59"/>
      <c r="H108" s="58"/>
      <c r="I108" s="58"/>
      <c r="J108" s="61"/>
      <c r="K108" s="58"/>
      <c r="L108" s="58"/>
      <c r="M108" s="62"/>
      <c r="N108" s="58"/>
      <c r="O108" s="58"/>
      <c r="P108" s="59"/>
    </row>
    <row r="109" spans="1:16" ht="13" x14ac:dyDescent="0.3">
      <c r="A109" s="54" t="s">
        <v>1</v>
      </c>
      <c r="B109" s="54" t="s">
        <v>2</v>
      </c>
      <c r="C109" s="54" t="s">
        <v>3</v>
      </c>
      <c r="D109" s="63" t="s">
        <v>4</v>
      </c>
      <c r="E109" s="63" t="s">
        <v>5</v>
      </c>
      <c r="F109" s="63" t="s">
        <v>6</v>
      </c>
      <c r="G109" s="63" t="s">
        <v>7</v>
      </c>
      <c r="H109" s="63" t="s">
        <v>8</v>
      </c>
      <c r="I109" s="63" t="s">
        <v>9</v>
      </c>
      <c r="J109" s="63" t="s">
        <v>10</v>
      </c>
      <c r="K109" s="63" t="s">
        <v>11</v>
      </c>
      <c r="L109" s="63" t="s">
        <v>12</v>
      </c>
      <c r="M109" s="63" t="s">
        <v>13</v>
      </c>
      <c r="N109" s="63" t="s">
        <v>14</v>
      </c>
      <c r="O109" s="63" t="s">
        <v>15</v>
      </c>
      <c r="P109" s="64" t="s">
        <v>16</v>
      </c>
    </row>
    <row r="110" spans="1:16" ht="13" x14ac:dyDescent="0.3">
      <c r="A110" s="54"/>
      <c r="B110" s="54"/>
      <c r="C110" s="54"/>
      <c r="D110" s="63"/>
      <c r="E110" s="63"/>
      <c r="F110" s="63"/>
      <c r="G110" s="63"/>
      <c r="H110" s="63"/>
      <c r="I110" s="63"/>
      <c r="J110" s="63"/>
      <c r="K110" s="63"/>
      <c r="L110" s="63"/>
      <c r="M110" s="63"/>
      <c r="N110" s="63"/>
      <c r="O110" s="63"/>
      <c r="P110" s="64"/>
    </row>
    <row r="111" spans="1:16" ht="14.5" x14ac:dyDescent="0.35">
      <c r="A111" s="65">
        <v>4</v>
      </c>
      <c r="B111" s="52" t="s">
        <v>20</v>
      </c>
      <c r="C111" s="53" t="s">
        <v>17</v>
      </c>
      <c r="D111" s="66">
        <v>187177.26928825406</v>
      </c>
      <c r="E111" s="66">
        <v>183170.09369118747</v>
      </c>
      <c r="F111" s="66">
        <v>173719.73594863951</v>
      </c>
      <c r="G111" s="66">
        <v>185844.07568074547</v>
      </c>
      <c r="H111" s="66">
        <v>180982.34414175121</v>
      </c>
      <c r="I111" s="66">
        <v>188344.30113215273</v>
      </c>
      <c r="J111" s="66">
        <v>208034.77076661013</v>
      </c>
      <c r="K111" s="66">
        <v>201028.88454502236</v>
      </c>
      <c r="L111" s="66">
        <v>243609.40993454857</v>
      </c>
      <c r="M111" s="66">
        <v>227283.6566040981</v>
      </c>
      <c r="N111" s="66">
        <v>225684.6892218017</v>
      </c>
      <c r="O111" s="66">
        <v>194057.17323332772</v>
      </c>
      <c r="P111" s="82">
        <f>SUM(D111:O111)</f>
        <v>2398936.4041881394</v>
      </c>
    </row>
    <row r="112" spans="1:16" x14ac:dyDescent="0.25">
      <c r="A112" s="65"/>
      <c r="D112" s="68"/>
      <c r="E112" s="68"/>
      <c r="F112" s="68"/>
      <c r="G112" s="68"/>
      <c r="H112" s="68"/>
      <c r="I112" s="68"/>
      <c r="J112" s="68"/>
      <c r="K112" s="68"/>
      <c r="L112" s="68"/>
      <c r="M112" s="68"/>
      <c r="N112" s="68"/>
      <c r="O112" s="68"/>
      <c r="P112" s="67"/>
    </row>
    <row r="113" spans="1:16" ht="14.5" x14ac:dyDescent="0.35">
      <c r="A113" s="65">
        <v>7</v>
      </c>
      <c r="B113" s="52" t="s">
        <v>21</v>
      </c>
      <c r="C113" s="53" t="s">
        <v>22</v>
      </c>
      <c r="D113" s="66">
        <v>503360.64930340723</v>
      </c>
      <c r="E113" s="66">
        <v>550896.50901031878</v>
      </c>
      <c r="F113" s="66">
        <v>564400.16100451921</v>
      </c>
      <c r="G113" s="66">
        <v>573501.40822988003</v>
      </c>
      <c r="H113" s="66">
        <v>620428.29426620738</v>
      </c>
      <c r="I113" s="66">
        <v>623489.58935002354</v>
      </c>
      <c r="J113" s="66">
        <v>629140.62431155879</v>
      </c>
      <c r="K113" s="66">
        <v>636612.08335847349</v>
      </c>
      <c r="L113" s="66">
        <v>626647.45235707075</v>
      </c>
      <c r="M113" s="66">
        <v>613691.13528819103</v>
      </c>
      <c r="N113" s="66">
        <v>558486.99913286814</v>
      </c>
      <c r="O113" s="66">
        <v>549480.60308977647</v>
      </c>
      <c r="P113" s="82">
        <f>SUM(D113:O113)</f>
        <v>7050135.508702294</v>
      </c>
    </row>
    <row r="114" spans="1:16" x14ac:dyDescent="0.25">
      <c r="A114" s="65"/>
      <c r="D114" s="68"/>
      <c r="E114" s="68"/>
      <c r="F114" s="68"/>
      <c r="G114" s="68"/>
      <c r="H114" s="68"/>
      <c r="I114" s="68"/>
      <c r="J114" s="68"/>
      <c r="K114" s="68"/>
      <c r="L114" s="68"/>
      <c r="M114" s="68"/>
      <c r="N114" s="68"/>
      <c r="O114" s="68"/>
      <c r="P114" s="67"/>
    </row>
    <row r="115" spans="1:16" ht="14.5" x14ac:dyDescent="0.35">
      <c r="A115" s="65">
        <v>9</v>
      </c>
      <c r="B115" s="52" t="s">
        <v>23</v>
      </c>
      <c r="C115" s="53" t="s">
        <v>18</v>
      </c>
      <c r="D115" s="66">
        <v>679378.35062286002</v>
      </c>
      <c r="E115" s="66">
        <v>731985.03879858006</v>
      </c>
      <c r="F115" s="66">
        <v>902064.77144669462</v>
      </c>
      <c r="G115" s="66">
        <v>926048.34784348495</v>
      </c>
      <c r="H115" s="66">
        <v>936666.89580429019</v>
      </c>
      <c r="I115" s="66">
        <v>796596.37891026004</v>
      </c>
      <c r="J115" s="66">
        <v>733537.91426862485</v>
      </c>
      <c r="K115" s="66">
        <v>732097.48344921041</v>
      </c>
      <c r="L115" s="66">
        <v>659719.30036414939</v>
      </c>
      <c r="M115" s="66">
        <v>770344.54423321516</v>
      </c>
      <c r="N115" s="66">
        <v>769506.95994100499</v>
      </c>
      <c r="O115" s="66">
        <v>808986.54903538513</v>
      </c>
      <c r="P115" s="82">
        <f>SUM(D115:O115)</f>
        <v>9446932.534717761</v>
      </c>
    </row>
    <row r="116" spans="1:16" x14ac:dyDescent="0.25">
      <c r="D116" s="69"/>
      <c r="E116" s="69"/>
      <c r="F116" s="69"/>
      <c r="G116" s="70"/>
      <c r="H116" s="70"/>
      <c r="I116" s="70"/>
      <c r="J116" s="70"/>
      <c r="K116" s="70"/>
      <c r="L116" s="70"/>
      <c r="M116" s="70"/>
      <c r="N116" s="70"/>
      <c r="O116" s="70"/>
      <c r="P116" s="68"/>
    </row>
    <row r="117" spans="1:16" x14ac:dyDescent="0.25">
      <c r="A117" s="53">
        <v>12</v>
      </c>
      <c r="B117" s="52" t="s">
        <v>28</v>
      </c>
      <c r="C117" s="53" t="s">
        <v>22</v>
      </c>
      <c r="D117" s="71"/>
      <c r="E117" s="71"/>
      <c r="F117" s="71"/>
      <c r="G117" s="72"/>
      <c r="H117" s="72"/>
      <c r="I117" s="72"/>
      <c r="J117" s="72"/>
      <c r="K117" s="72"/>
      <c r="L117" s="72"/>
      <c r="M117" s="72"/>
      <c r="N117" s="72"/>
      <c r="O117" s="72"/>
      <c r="P117" s="67">
        <f>SUM(D117:O117)</f>
        <v>0</v>
      </c>
    </row>
    <row r="118" spans="1:16" ht="13" thickBot="1" x14ac:dyDescent="0.3">
      <c r="A118" s="53"/>
      <c r="D118" s="79"/>
      <c r="E118" s="79"/>
      <c r="F118" s="79"/>
      <c r="G118" s="80"/>
      <c r="H118" s="80"/>
      <c r="I118" s="80"/>
      <c r="J118" s="80"/>
      <c r="K118" s="80"/>
      <c r="L118" s="80"/>
      <c r="M118" s="80"/>
      <c r="N118" s="80"/>
      <c r="O118" s="80"/>
      <c r="P118" s="81"/>
    </row>
    <row r="119" spans="1:16" ht="13.5" thickTop="1" x14ac:dyDescent="0.3">
      <c r="B119" s="73" t="s">
        <v>19</v>
      </c>
      <c r="D119" s="74">
        <f>D111+D113+D115+D117</f>
        <v>1369916.2692145212</v>
      </c>
      <c r="E119" s="74">
        <f t="shared" ref="E119:O119" si="6">E111+E113+E115+E117</f>
        <v>1466051.6415000863</v>
      </c>
      <c r="F119" s="74">
        <f t="shared" si="6"/>
        <v>1640184.6683998534</v>
      </c>
      <c r="G119" s="74">
        <f t="shared" si="6"/>
        <v>1685393.8317541105</v>
      </c>
      <c r="H119" s="74">
        <f t="shared" si="6"/>
        <v>1738077.5342122489</v>
      </c>
      <c r="I119" s="74">
        <f t="shared" si="6"/>
        <v>1608430.2693924364</v>
      </c>
      <c r="J119" s="74">
        <f t="shared" si="6"/>
        <v>1570713.3093467937</v>
      </c>
      <c r="K119" s="74">
        <f t="shared" si="6"/>
        <v>1569738.4513527062</v>
      </c>
      <c r="L119" s="74">
        <f t="shared" si="6"/>
        <v>1529976.1626557687</v>
      </c>
      <c r="M119" s="74">
        <f t="shared" si="6"/>
        <v>1611319.3361255042</v>
      </c>
      <c r="N119" s="74">
        <f t="shared" si="6"/>
        <v>1553678.6482956749</v>
      </c>
      <c r="O119" s="74">
        <f t="shared" si="6"/>
        <v>1552524.3253584893</v>
      </c>
      <c r="P119" s="67">
        <f>SUM(D119:O119)</f>
        <v>18896004.447608192</v>
      </c>
    </row>
    <row r="120" spans="1:16" ht="13" x14ac:dyDescent="0.3">
      <c r="B120" s="73"/>
      <c r="D120" s="74"/>
      <c r="E120" s="74"/>
      <c r="F120" s="74"/>
      <c r="G120" s="74"/>
      <c r="H120" s="74"/>
      <c r="I120" s="74"/>
      <c r="J120" s="74"/>
      <c r="K120" s="74"/>
      <c r="L120" s="74"/>
      <c r="M120" s="74"/>
      <c r="N120" s="74"/>
      <c r="O120" s="74"/>
      <c r="P120" s="67"/>
    </row>
    <row r="121" spans="1:16" ht="13" x14ac:dyDescent="0.3">
      <c r="B121" s="87"/>
      <c r="C121" s="87"/>
      <c r="D121" s="87"/>
      <c r="E121" s="87"/>
      <c r="F121" s="87"/>
      <c r="G121" s="87"/>
      <c r="H121" s="87"/>
      <c r="I121" s="87"/>
      <c r="J121" s="87"/>
      <c r="K121" s="87"/>
      <c r="L121" s="87"/>
      <c r="M121" s="87"/>
      <c r="N121" s="87"/>
      <c r="O121" s="55"/>
      <c r="P121" s="52"/>
    </row>
    <row r="122" spans="1:16" ht="13" x14ac:dyDescent="0.3">
      <c r="B122" s="87" t="s">
        <v>138</v>
      </c>
      <c r="C122" s="87"/>
      <c r="D122" s="87"/>
      <c r="E122" s="87"/>
      <c r="F122" s="87"/>
      <c r="G122" s="87"/>
      <c r="H122" s="87"/>
      <c r="I122" s="87"/>
      <c r="J122" s="87"/>
      <c r="K122" s="87"/>
      <c r="L122" s="87"/>
      <c r="M122" s="87"/>
      <c r="N122" s="87"/>
      <c r="O122" s="88"/>
      <c r="P122" s="52"/>
    </row>
    <row r="123" spans="1:16" ht="13" x14ac:dyDescent="0.3">
      <c r="B123" s="54"/>
      <c r="C123" s="54"/>
      <c r="D123" s="54"/>
      <c r="E123" s="54"/>
      <c r="F123" s="54"/>
      <c r="G123" s="54"/>
      <c r="H123" s="54"/>
      <c r="I123" s="54"/>
      <c r="J123" s="54"/>
      <c r="K123" s="54"/>
      <c r="L123" s="54"/>
      <c r="M123" s="54"/>
      <c r="N123" s="54"/>
      <c r="O123" s="54"/>
      <c r="P123" s="52"/>
    </row>
    <row r="124" spans="1:16" ht="13" x14ac:dyDescent="0.3">
      <c r="B124" s="56"/>
      <c r="D124" s="57">
        <f>D8</f>
        <v>2018</v>
      </c>
      <c r="E124" s="58"/>
      <c r="F124" s="59"/>
      <c r="H124" s="58"/>
      <c r="I124" s="58"/>
      <c r="J124" s="61"/>
      <c r="K124" s="58"/>
      <c r="L124" s="58"/>
      <c r="M124" s="62"/>
      <c r="N124" s="58"/>
      <c r="O124" s="58"/>
      <c r="P124" s="59"/>
    </row>
    <row r="125" spans="1:16" ht="13" x14ac:dyDescent="0.3">
      <c r="A125" s="54" t="s">
        <v>1</v>
      </c>
      <c r="B125" s="54" t="s">
        <v>2</v>
      </c>
      <c r="C125" s="54" t="s">
        <v>3</v>
      </c>
      <c r="D125" s="63" t="s">
        <v>4</v>
      </c>
      <c r="E125" s="63" t="s">
        <v>5</v>
      </c>
      <c r="F125" s="63" t="s">
        <v>6</v>
      </c>
      <c r="G125" s="63" t="s">
        <v>7</v>
      </c>
      <c r="H125" s="63" t="s">
        <v>8</v>
      </c>
      <c r="I125" s="63" t="s">
        <v>9</v>
      </c>
      <c r="J125" s="63" t="s">
        <v>10</v>
      </c>
      <c r="K125" s="63" t="s">
        <v>11</v>
      </c>
      <c r="L125" s="63" t="s">
        <v>12</v>
      </c>
      <c r="M125" s="63" t="s">
        <v>13</v>
      </c>
      <c r="N125" s="63" t="s">
        <v>14</v>
      </c>
      <c r="O125" s="63" t="s">
        <v>15</v>
      </c>
      <c r="P125" s="64" t="s">
        <v>16</v>
      </c>
    </row>
    <row r="126" spans="1:16" ht="13" x14ac:dyDescent="0.3">
      <c r="A126" s="54"/>
      <c r="B126" s="54"/>
      <c r="C126" s="54"/>
      <c r="D126" s="63"/>
      <c r="E126" s="63"/>
      <c r="F126" s="63"/>
      <c r="G126" s="63"/>
      <c r="H126" s="63"/>
      <c r="I126" s="63"/>
      <c r="J126" s="63"/>
      <c r="K126" s="63"/>
      <c r="L126" s="63"/>
      <c r="M126" s="63"/>
      <c r="N126" s="63"/>
      <c r="O126" s="63"/>
      <c r="P126" s="64"/>
    </row>
    <row r="127" spans="1:16" ht="14.5" x14ac:dyDescent="0.35">
      <c r="A127" s="65">
        <v>4</v>
      </c>
      <c r="B127" s="52" t="s">
        <v>20</v>
      </c>
      <c r="C127" s="53" t="s">
        <v>17</v>
      </c>
      <c r="D127" s="66">
        <v>173289.82288245417</v>
      </c>
      <c r="E127" s="66">
        <v>169579.95601606037</v>
      </c>
      <c r="F127" s="66">
        <v>160830.75892813847</v>
      </c>
      <c r="G127" s="66">
        <v>172055.54435605148</v>
      </c>
      <c r="H127" s="66">
        <v>167554.52454473605</v>
      </c>
      <c r="I127" s="66">
        <v>174370.26786541811</v>
      </c>
      <c r="J127" s="66">
        <v>192599.82110338486</v>
      </c>
      <c r="K127" s="66">
        <v>186113.73020629023</v>
      </c>
      <c r="L127" s="66">
        <v>225535.03243519223</v>
      </c>
      <c r="M127" s="66">
        <v>210420.55345056945</v>
      </c>
      <c r="N127" s="66">
        <v>208940.21999166929</v>
      </c>
      <c r="O127" s="66">
        <v>179659.27864288675</v>
      </c>
      <c r="P127" s="82">
        <f>SUM(D127:O127)</f>
        <v>2220949.5104228514</v>
      </c>
    </row>
    <row r="128" spans="1:16" x14ac:dyDescent="0.25">
      <c r="A128" s="65"/>
      <c r="D128" s="68"/>
      <c r="E128" s="68"/>
      <c r="F128" s="68"/>
      <c r="G128" s="68"/>
      <c r="H128" s="68"/>
      <c r="I128" s="68"/>
      <c r="J128" s="68"/>
      <c r="K128" s="68"/>
      <c r="L128" s="68"/>
      <c r="M128" s="68"/>
      <c r="N128" s="68"/>
      <c r="O128" s="68"/>
      <c r="P128" s="67"/>
    </row>
    <row r="129" spans="1:16" ht="14.5" x14ac:dyDescent="0.35">
      <c r="A129" s="65">
        <v>7</v>
      </c>
      <c r="B129" s="52" t="s">
        <v>21</v>
      </c>
      <c r="C129" s="53" t="s">
        <v>22</v>
      </c>
      <c r="D129" s="66">
        <v>479026.12229102326</v>
      </c>
      <c r="E129" s="66">
        <v>524263.90275058884</v>
      </c>
      <c r="F129" s="66">
        <v>537114.73258899816</v>
      </c>
      <c r="G129" s="66">
        <v>545775.98803757143</v>
      </c>
      <c r="H129" s="66">
        <v>590434.2351220093</v>
      </c>
      <c r="I129" s="66">
        <v>593347.5345927137</v>
      </c>
      <c r="J129" s="66">
        <v>598725.375248914</v>
      </c>
      <c r="K129" s="66">
        <v>605835.63319230441</v>
      </c>
      <c r="L129" s="66">
        <v>596352.73349549936</v>
      </c>
      <c r="M129" s="66">
        <v>584022.77815777599</v>
      </c>
      <c r="N129" s="66">
        <v>531487.43731715658</v>
      </c>
      <c r="O129" s="66">
        <v>522916.44755403174</v>
      </c>
      <c r="P129" s="82">
        <f>SUM(D129:O129)</f>
        <v>6709302.9203485856</v>
      </c>
    </row>
    <row r="130" spans="1:16" x14ac:dyDescent="0.25">
      <c r="A130" s="65"/>
      <c r="D130" s="68"/>
      <c r="E130" s="68"/>
      <c r="F130" s="68"/>
      <c r="G130" s="68"/>
      <c r="H130" s="68"/>
      <c r="I130" s="68"/>
      <c r="J130" s="68"/>
      <c r="K130" s="68"/>
      <c r="L130" s="68"/>
      <c r="M130" s="68"/>
      <c r="N130" s="68"/>
      <c r="O130" s="68"/>
      <c r="P130" s="67"/>
    </row>
    <row r="131" spans="1:16" ht="14.5" x14ac:dyDescent="0.35">
      <c r="A131" s="65">
        <v>9</v>
      </c>
      <c r="B131" s="52" t="s">
        <v>23</v>
      </c>
      <c r="C131" s="53" t="s">
        <v>18</v>
      </c>
      <c r="D131" s="66">
        <v>667726.52280000004</v>
      </c>
      <c r="E131" s="66">
        <v>719430.96840000013</v>
      </c>
      <c r="F131" s="66">
        <v>886593.71118649037</v>
      </c>
      <c r="G131" s="66">
        <v>910165.95198140934</v>
      </c>
      <c r="H131" s="66">
        <v>920602.3842000002</v>
      </c>
      <c r="I131" s="66">
        <v>782934.17751266412</v>
      </c>
      <c r="J131" s="66">
        <v>720957.210937761</v>
      </c>
      <c r="K131" s="66">
        <v>719541.4845439191</v>
      </c>
      <c r="L131" s="66">
        <v>648404.63940650586</v>
      </c>
      <c r="M131" s="66">
        <v>757132.58070000017</v>
      </c>
      <c r="N131" s="66">
        <v>756309.36158140947</v>
      </c>
      <c r="O131" s="66">
        <v>795111.84730000014</v>
      </c>
      <c r="P131" s="82">
        <f>SUM(D131:O131)</f>
        <v>9284910.84055016</v>
      </c>
    </row>
    <row r="132" spans="1:16" x14ac:dyDescent="0.25">
      <c r="D132" s="69"/>
      <c r="E132" s="69"/>
      <c r="F132" s="69"/>
      <c r="G132" s="70"/>
      <c r="H132" s="70"/>
      <c r="I132" s="70"/>
      <c r="J132" s="70"/>
      <c r="K132" s="70"/>
      <c r="L132" s="70"/>
      <c r="M132" s="70"/>
      <c r="N132" s="70"/>
      <c r="O132" s="70"/>
      <c r="P132" s="68"/>
    </row>
    <row r="133" spans="1:16" x14ac:dyDescent="0.25">
      <c r="A133" s="53">
        <v>12</v>
      </c>
      <c r="B133" s="52" t="s">
        <v>28</v>
      </c>
      <c r="C133" s="53" t="s">
        <v>22</v>
      </c>
      <c r="D133" s="71"/>
      <c r="E133" s="71"/>
      <c r="F133" s="71"/>
      <c r="G133" s="72"/>
      <c r="H133" s="72"/>
      <c r="I133" s="72"/>
      <c r="J133" s="72"/>
      <c r="K133" s="72"/>
      <c r="L133" s="72"/>
      <c r="M133" s="72"/>
      <c r="N133" s="72"/>
      <c r="O133" s="72"/>
      <c r="P133" s="67">
        <f>SUM(D133:O133)</f>
        <v>0</v>
      </c>
    </row>
    <row r="134" spans="1:16" ht="13" thickBot="1" x14ac:dyDescent="0.3">
      <c r="A134" s="53"/>
      <c r="D134" s="79"/>
      <c r="E134" s="79"/>
      <c r="F134" s="79"/>
      <c r="G134" s="80"/>
      <c r="H134" s="80"/>
      <c r="I134" s="80"/>
      <c r="J134" s="80"/>
      <c r="K134" s="80"/>
      <c r="L134" s="80"/>
      <c r="M134" s="80"/>
      <c r="N134" s="80"/>
      <c r="O134" s="80"/>
      <c r="P134" s="81"/>
    </row>
    <row r="135" spans="1:16" ht="13.5" thickTop="1" x14ac:dyDescent="0.3">
      <c r="B135" s="73" t="s">
        <v>35</v>
      </c>
      <c r="D135" s="74">
        <f>D127+D129+D131+D133</f>
        <v>1320042.4679734774</v>
      </c>
      <c r="E135" s="74">
        <f t="shared" ref="E135:O135" si="7">E127+E129+E131+E133</f>
        <v>1413274.8271666493</v>
      </c>
      <c r="F135" s="74">
        <f t="shared" si="7"/>
        <v>1584539.2027036268</v>
      </c>
      <c r="G135" s="74">
        <f t="shared" si="7"/>
        <v>1627997.4843750321</v>
      </c>
      <c r="H135" s="74">
        <f t="shared" si="7"/>
        <v>1678591.1438667455</v>
      </c>
      <c r="I135" s="74">
        <f t="shared" si="7"/>
        <v>1550651.979970796</v>
      </c>
      <c r="J135" s="74">
        <f t="shared" si="7"/>
        <v>1512282.4072900598</v>
      </c>
      <c r="K135" s="74">
        <f t="shared" si="7"/>
        <v>1511490.8479425139</v>
      </c>
      <c r="L135" s="74">
        <f t="shared" si="7"/>
        <v>1470292.4053371975</v>
      </c>
      <c r="M135" s="74">
        <f t="shared" si="7"/>
        <v>1551575.9123083455</v>
      </c>
      <c r="N135" s="74">
        <f t="shared" si="7"/>
        <v>1496737.0188902353</v>
      </c>
      <c r="O135" s="74">
        <f t="shared" si="7"/>
        <v>1497687.5734969187</v>
      </c>
      <c r="P135" s="67">
        <f>SUM(D135:O135)</f>
        <v>18215163.271321598</v>
      </c>
    </row>
  </sheetData>
  <mergeCells count="17">
    <mergeCell ref="B106:O106"/>
    <mergeCell ref="B122:O122"/>
    <mergeCell ref="B121:N121"/>
    <mergeCell ref="B74:O74"/>
    <mergeCell ref="B90:O90"/>
    <mergeCell ref="B54:O54"/>
    <mergeCell ref="B1:O1"/>
    <mergeCell ref="B6:O6"/>
    <mergeCell ref="B4:O4"/>
    <mergeCell ref="B2:O2"/>
    <mergeCell ref="B22:O22"/>
    <mergeCell ref="B38:O38"/>
    <mergeCell ref="B3:O3"/>
    <mergeCell ref="B69:O69"/>
    <mergeCell ref="B70:O70"/>
    <mergeCell ref="B71:O71"/>
    <mergeCell ref="B72:O72"/>
  </mergeCells>
  <phoneticPr fontId="0" type="noConversion"/>
  <printOptions horizontalCentered="1"/>
  <pageMargins left="0.7" right="0.7" top="0.75" bottom="0.75" header="0.3" footer="0.3"/>
  <pageSetup scale="58" fitToHeight="3" orientation="landscape" r:id="rId1"/>
  <headerFooter>
    <oddHeader xml:space="preserve">&amp;RSchedule IV-J-4
&amp;A
Page &amp;P of &amp;N
</oddHeader>
    <oddFooter>&amp;LSponsored by: Nora D. Williams</oddFooter>
  </headerFooter>
  <rowBreaks count="1" manualBreakCount="1">
    <brk id="52" max="15" man="1"/>
  </rowBreaks>
  <colBreaks count="1" manualBreakCount="1">
    <brk id="1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22"/>
  <sheetViews>
    <sheetView zoomScaleNormal="100" zoomScaleSheetLayoutView="90" workbookViewId="0">
      <selection sqref="A1:J1"/>
    </sheetView>
  </sheetViews>
  <sheetFormatPr defaultRowHeight="12.5" x14ac:dyDescent="0.25"/>
  <cols>
    <col min="1" max="1" width="16" customWidth="1"/>
    <col min="2" max="2" width="9.26953125" bestFit="1" customWidth="1"/>
    <col min="3" max="3" width="6.453125" bestFit="1" customWidth="1"/>
    <col min="4" max="4" width="11.7265625" bestFit="1" customWidth="1"/>
    <col min="5" max="5" width="12.7265625" bestFit="1" customWidth="1"/>
    <col min="6" max="6" width="11.81640625" bestFit="1" customWidth="1"/>
    <col min="7" max="7" width="13.54296875" bestFit="1" customWidth="1"/>
    <col min="8" max="8" width="12.7265625" customWidth="1"/>
    <col min="9" max="9" width="11.81640625" customWidth="1"/>
    <col min="10" max="10" width="14.54296875" customWidth="1"/>
  </cols>
  <sheetData>
    <row r="1" spans="1:16" s="52" customFormat="1" ht="13" x14ac:dyDescent="0.3">
      <c r="A1" s="89" t="s">
        <v>136</v>
      </c>
      <c r="B1" s="88"/>
      <c r="C1" s="88"/>
      <c r="D1" s="88"/>
      <c r="E1" s="88"/>
      <c r="F1" s="88"/>
      <c r="G1" s="88"/>
      <c r="H1" s="88"/>
      <c r="I1" s="88"/>
      <c r="J1" s="88"/>
      <c r="K1" s="84"/>
      <c r="L1" s="84"/>
      <c r="M1" s="84"/>
      <c r="N1" s="84"/>
      <c r="O1" s="84"/>
      <c r="P1" s="78"/>
    </row>
    <row r="2" spans="1:16" s="4" customFormat="1" ht="13" x14ac:dyDescent="0.3">
      <c r="A2" s="1" t="s">
        <v>59</v>
      </c>
      <c r="B2" s="1"/>
      <c r="C2" s="2"/>
      <c r="D2" s="3"/>
      <c r="E2" s="2"/>
      <c r="F2" s="2"/>
      <c r="G2" s="2"/>
      <c r="H2" s="2"/>
      <c r="I2" s="2"/>
      <c r="J2" s="2"/>
    </row>
    <row r="3" spans="1:16" s="4" customFormat="1" ht="13" x14ac:dyDescent="0.3">
      <c r="A3" s="87" t="s">
        <v>157</v>
      </c>
      <c r="B3" s="88"/>
      <c r="C3" s="88"/>
      <c r="D3" s="88"/>
      <c r="E3" s="88"/>
      <c r="F3" s="88"/>
      <c r="G3" s="88"/>
      <c r="H3" s="88"/>
      <c r="I3" s="88"/>
      <c r="J3" s="88"/>
    </row>
    <row r="4" spans="1:16" s="4" customFormat="1" ht="13" x14ac:dyDescent="0.3">
      <c r="A4" s="5" t="str">
        <f>'IV-J-4(a) TEX'!B4</f>
        <v>TEST YEAR ENDING 12/31/2018</v>
      </c>
      <c r="B4" s="5"/>
      <c r="C4" s="2"/>
      <c r="D4" s="3"/>
      <c r="E4" s="2"/>
      <c r="F4" s="2"/>
      <c r="G4" s="2"/>
      <c r="H4" s="2"/>
      <c r="I4" s="2"/>
      <c r="J4" s="2"/>
    </row>
    <row r="5" spans="1:16" s="4" customFormat="1" ht="13" x14ac:dyDescent="0.3">
      <c r="A5" s="5"/>
      <c r="B5" s="5"/>
      <c r="C5" s="2"/>
      <c r="D5" s="3"/>
      <c r="E5" s="2"/>
      <c r="F5" s="2"/>
      <c r="G5" s="2"/>
      <c r="H5" s="2"/>
      <c r="I5" s="2"/>
      <c r="J5" s="2"/>
    </row>
    <row r="6" spans="1:16" s="4" customFormat="1" ht="13" x14ac:dyDescent="0.3">
      <c r="A6" s="5"/>
      <c r="B6" s="5"/>
      <c r="C6" s="2"/>
      <c r="D6" s="3"/>
      <c r="E6" s="2"/>
      <c r="F6" s="2"/>
      <c r="G6" s="2"/>
      <c r="H6" s="2"/>
      <c r="I6" s="2"/>
      <c r="J6" s="2"/>
    </row>
    <row r="7" spans="1:16" ht="13" x14ac:dyDescent="0.3">
      <c r="A7" s="27" t="s">
        <v>139</v>
      </c>
      <c r="B7" s="40"/>
      <c r="C7" s="8"/>
      <c r="D7" s="42"/>
      <c r="E7" s="30" t="s">
        <v>51</v>
      </c>
      <c r="F7" s="43"/>
      <c r="G7" s="43"/>
      <c r="H7" s="43"/>
      <c r="I7" s="43"/>
      <c r="J7" s="43"/>
    </row>
    <row r="8" spans="1:16" ht="78" x14ac:dyDescent="0.3">
      <c r="A8" s="27" t="s">
        <v>38</v>
      </c>
      <c r="B8" s="8" t="s">
        <v>64</v>
      </c>
      <c r="C8" s="8" t="s">
        <v>39</v>
      </c>
      <c r="D8" s="31" t="s">
        <v>102</v>
      </c>
      <c r="E8" s="31" t="s">
        <v>103</v>
      </c>
      <c r="F8" s="31" t="s">
        <v>104</v>
      </c>
      <c r="G8" s="31" t="s">
        <v>105</v>
      </c>
      <c r="H8" s="31" t="s">
        <v>106</v>
      </c>
      <c r="I8" s="31" t="s">
        <v>107</v>
      </c>
      <c r="J8" s="31" t="s">
        <v>108</v>
      </c>
    </row>
    <row r="9" spans="1:16" ht="13" x14ac:dyDescent="0.3">
      <c r="A9" s="27"/>
      <c r="B9" s="27"/>
      <c r="C9" s="8"/>
      <c r="D9" s="22"/>
      <c r="E9" s="22"/>
      <c r="F9" s="22"/>
      <c r="G9" s="22"/>
      <c r="H9" s="22"/>
      <c r="I9" s="22"/>
      <c r="J9" s="22"/>
    </row>
    <row r="10" spans="1:16" x14ac:dyDescent="0.25">
      <c r="A10" s="39" t="s">
        <v>117</v>
      </c>
      <c r="B10" s="36" t="s">
        <v>109</v>
      </c>
      <c r="C10" s="36">
        <v>1</v>
      </c>
      <c r="D10" s="37" t="s">
        <v>60</v>
      </c>
      <c r="E10" s="37" t="s">
        <v>65</v>
      </c>
      <c r="F10" s="37">
        <v>72</v>
      </c>
      <c r="G10" s="51">
        <v>170876130.94963464</v>
      </c>
      <c r="H10" s="51">
        <v>1383399.3412329315</v>
      </c>
      <c r="I10" s="51">
        <v>592320.74041290022</v>
      </c>
      <c r="J10" s="51">
        <v>556386.38851633598</v>
      </c>
    </row>
    <row r="11" spans="1:16" x14ac:dyDescent="0.25">
      <c r="A11" s="45"/>
      <c r="B11" s="36" t="s">
        <v>109</v>
      </c>
      <c r="C11" s="36">
        <v>2</v>
      </c>
      <c r="D11" s="37" t="s">
        <v>60</v>
      </c>
      <c r="E11" s="37" t="s">
        <v>66</v>
      </c>
      <c r="F11" s="37">
        <v>80</v>
      </c>
      <c r="G11" s="51">
        <v>197308102.16590169</v>
      </c>
      <c r="H11" s="51">
        <v>1296237.8192125217</v>
      </c>
      <c r="I11" s="51">
        <v>659110.58390393259</v>
      </c>
      <c r="J11" s="51">
        <v>590745.31950898783</v>
      </c>
    </row>
    <row r="12" spans="1:16" x14ac:dyDescent="0.25">
      <c r="A12" s="45"/>
      <c r="B12" s="36" t="s">
        <v>109</v>
      </c>
      <c r="C12" s="36">
        <v>3</v>
      </c>
      <c r="D12" s="37" t="s">
        <v>60</v>
      </c>
      <c r="E12" s="37" t="s">
        <v>67</v>
      </c>
      <c r="F12" s="37">
        <v>71</v>
      </c>
      <c r="G12" s="51">
        <v>227162687.82061085</v>
      </c>
      <c r="H12" s="51">
        <v>1208412.1499284364</v>
      </c>
      <c r="I12" s="51">
        <v>686504.39583154884</v>
      </c>
      <c r="J12" s="51">
        <v>668895.05070327397</v>
      </c>
    </row>
    <row r="13" spans="1:16" x14ac:dyDescent="0.25">
      <c r="A13" s="45"/>
      <c r="B13" s="36" t="s">
        <v>110</v>
      </c>
      <c r="C13" s="36">
        <v>1</v>
      </c>
      <c r="D13" s="37" t="s">
        <v>60</v>
      </c>
      <c r="E13" s="37" t="s">
        <v>68</v>
      </c>
      <c r="F13" s="37">
        <v>48</v>
      </c>
      <c r="G13" s="51">
        <v>146544686.31739399</v>
      </c>
      <c r="H13" s="51">
        <v>1154460.3330324674</v>
      </c>
      <c r="I13" s="51">
        <v>564635.89247228683</v>
      </c>
      <c r="J13" s="51">
        <v>469764.08785315434</v>
      </c>
    </row>
    <row r="14" spans="1:16" x14ac:dyDescent="0.25">
      <c r="A14" s="45"/>
      <c r="B14" s="36" t="s">
        <v>110</v>
      </c>
      <c r="C14" s="36">
        <v>2</v>
      </c>
      <c r="D14" s="37" t="s">
        <v>60</v>
      </c>
      <c r="E14" s="37" t="s">
        <v>69</v>
      </c>
      <c r="F14" s="37">
        <v>51</v>
      </c>
      <c r="G14" s="51">
        <v>164033813.96729252</v>
      </c>
      <c r="H14" s="51">
        <v>981538.03986682813</v>
      </c>
      <c r="I14" s="51">
        <v>568330.33741211565</v>
      </c>
      <c r="J14" s="51">
        <v>512315.16423685878</v>
      </c>
    </row>
    <row r="15" spans="1:16" x14ac:dyDescent="0.25">
      <c r="A15" s="45"/>
      <c r="B15" s="36"/>
      <c r="C15" s="36"/>
      <c r="D15" s="37"/>
      <c r="E15" s="37"/>
      <c r="F15" s="37"/>
      <c r="G15" s="44"/>
      <c r="H15" s="44"/>
      <c r="I15" s="44"/>
      <c r="J15" s="44"/>
    </row>
    <row r="16" spans="1:16" x14ac:dyDescent="0.25">
      <c r="A16" s="45" t="s">
        <v>121</v>
      </c>
      <c r="B16" s="36" t="s">
        <v>63</v>
      </c>
      <c r="C16" s="36">
        <v>1</v>
      </c>
      <c r="D16" s="37" t="s">
        <v>60</v>
      </c>
      <c r="E16" s="36" t="s">
        <v>70</v>
      </c>
      <c r="F16" s="36">
        <v>88</v>
      </c>
      <c r="G16" s="51">
        <v>4425653.4091867292</v>
      </c>
      <c r="H16" s="51">
        <v>55148.173198413526</v>
      </c>
      <c r="I16" s="51">
        <v>11227.571222025292</v>
      </c>
      <c r="J16" s="51">
        <v>6877.9685876245558</v>
      </c>
    </row>
    <row r="17" spans="1:10" x14ac:dyDescent="0.25">
      <c r="A17" s="45" t="s">
        <v>122</v>
      </c>
      <c r="B17" s="36" t="s">
        <v>63</v>
      </c>
      <c r="C17" s="36">
        <v>2</v>
      </c>
      <c r="D17" s="37" t="s">
        <v>60</v>
      </c>
      <c r="E17" s="37" t="s">
        <v>71</v>
      </c>
      <c r="F17" s="37">
        <v>53</v>
      </c>
      <c r="G17" s="51">
        <v>6235978.0816879412</v>
      </c>
      <c r="H17" s="51">
        <v>45016.388984279314</v>
      </c>
      <c r="I17" s="51">
        <v>20412.113763085305</v>
      </c>
      <c r="J17" s="51">
        <v>13234.444977192845</v>
      </c>
    </row>
    <row r="18" spans="1:10" x14ac:dyDescent="0.25">
      <c r="A18" s="45"/>
      <c r="B18" s="36" t="s">
        <v>63</v>
      </c>
      <c r="C18" s="36">
        <v>3</v>
      </c>
      <c r="D18" s="37" t="s">
        <v>60</v>
      </c>
      <c r="E18" s="37" t="s">
        <v>72</v>
      </c>
      <c r="F18" s="37">
        <v>44</v>
      </c>
      <c r="G18" s="51">
        <v>6404312.0470681526</v>
      </c>
      <c r="H18" s="51">
        <v>32533.281448002024</v>
      </c>
      <c r="I18" s="51">
        <v>18035.89632338619</v>
      </c>
      <c r="J18" s="51">
        <v>13463.792779379713</v>
      </c>
    </row>
    <row r="19" spans="1:10" x14ac:dyDescent="0.25">
      <c r="A19" s="45"/>
      <c r="B19" s="36" t="s">
        <v>63</v>
      </c>
      <c r="C19" s="36">
        <v>4</v>
      </c>
      <c r="D19" s="37" t="s">
        <v>60</v>
      </c>
      <c r="E19" s="37" t="s">
        <v>73</v>
      </c>
      <c r="F19" s="37">
        <v>52</v>
      </c>
      <c r="G19" s="51">
        <v>5757663.2300885133</v>
      </c>
      <c r="H19" s="51">
        <v>24232.239534954413</v>
      </c>
      <c r="I19" s="51">
        <v>12876.79990197296</v>
      </c>
      <c r="J19" s="51">
        <v>11761.934535852928</v>
      </c>
    </row>
    <row r="20" spans="1:10" x14ac:dyDescent="0.25">
      <c r="A20" s="45"/>
      <c r="B20" s="36" t="s">
        <v>63</v>
      </c>
      <c r="C20" s="36">
        <v>5</v>
      </c>
      <c r="D20" s="37" t="s">
        <v>60</v>
      </c>
      <c r="E20" s="37" t="s">
        <v>74</v>
      </c>
      <c r="F20" s="37">
        <v>39</v>
      </c>
      <c r="G20" s="51">
        <v>6873012.0364322104</v>
      </c>
      <c r="H20" s="51">
        <v>18411.371061849048</v>
      </c>
      <c r="I20" s="51">
        <v>11823.855805980102</v>
      </c>
      <c r="J20" s="51">
        <v>10883.008399715927</v>
      </c>
    </row>
    <row r="21" spans="1:10" x14ac:dyDescent="0.25">
      <c r="A21" s="45"/>
      <c r="B21" s="36" t="s">
        <v>111</v>
      </c>
      <c r="C21" s="36">
        <v>1</v>
      </c>
      <c r="D21" s="37" t="s">
        <v>60</v>
      </c>
      <c r="E21" s="37" t="s">
        <v>75</v>
      </c>
      <c r="F21" s="37">
        <v>89</v>
      </c>
      <c r="G21" s="51">
        <v>82692.967892386121</v>
      </c>
      <c r="H21" s="51">
        <v>660.43329123532828</v>
      </c>
      <c r="I21" s="51">
        <v>218.70653088789243</v>
      </c>
      <c r="J21" s="51">
        <v>108.35793742096989</v>
      </c>
    </row>
    <row r="22" spans="1:10" x14ac:dyDescent="0.25">
      <c r="A22" s="45"/>
      <c r="B22" s="36" t="s">
        <v>111</v>
      </c>
      <c r="C22" s="36">
        <v>2</v>
      </c>
      <c r="D22" s="37" t="s">
        <v>60</v>
      </c>
      <c r="E22" s="37" t="s">
        <v>76</v>
      </c>
      <c r="F22" s="37">
        <v>45</v>
      </c>
      <c r="G22" s="51">
        <v>101235.25211458234</v>
      </c>
      <c r="H22" s="51">
        <v>450.28165031514175</v>
      </c>
      <c r="I22" s="51">
        <v>224.47321862634507</v>
      </c>
      <c r="J22" s="51">
        <v>169.88254464387956</v>
      </c>
    </row>
    <row r="23" spans="1:10" x14ac:dyDescent="0.25">
      <c r="A23" s="45"/>
      <c r="B23" s="36"/>
      <c r="C23" s="36"/>
      <c r="D23" s="37"/>
      <c r="E23" s="37"/>
      <c r="F23" s="37"/>
      <c r="G23" s="44"/>
      <c r="H23" s="44"/>
      <c r="I23" s="44"/>
      <c r="J23" s="44"/>
    </row>
    <row r="24" spans="1:10" x14ac:dyDescent="0.25">
      <c r="A24" s="45" t="s">
        <v>118</v>
      </c>
      <c r="B24" s="36" t="s">
        <v>112</v>
      </c>
      <c r="C24" s="36">
        <v>1</v>
      </c>
      <c r="D24" s="37" t="s">
        <v>61</v>
      </c>
      <c r="E24" s="37" t="s">
        <v>77</v>
      </c>
      <c r="F24" s="37">
        <v>138</v>
      </c>
      <c r="G24" s="51">
        <v>71242752.363296449</v>
      </c>
      <c r="H24" s="51">
        <v>394848.97199984716</v>
      </c>
      <c r="I24" s="51">
        <v>204689.1065525639</v>
      </c>
      <c r="J24" s="51">
        <v>162359.97426282155</v>
      </c>
    </row>
    <row r="25" spans="1:10" x14ac:dyDescent="0.25">
      <c r="A25" s="45" t="s">
        <v>119</v>
      </c>
      <c r="B25" s="36" t="s">
        <v>112</v>
      </c>
      <c r="C25" s="36">
        <v>2</v>
      </c>
      <c r="D25" s="37" t="s">
        <v>61</v>
      </c>
      <c r="E25" s="36" t="s">
        <v>78</v>
      </c>
      <c r="F25" s="36">
        <v>73</v>
      </c>
      <c r="G25" s="51">
        <v>87750631.491605744</v>
      </c>
      <c r="H25" s="51">
        <v>434393.35968148173</v>
      </c>
      <c r="I25" s="51">
        <v>238071.07328957453</v>
      </c>
      <c r="J25" s="51">
        <v>182209.1078584299</v>
      </c>
    </row>
    <row r="26" spans="1:10" x14ac:dyDescent="0.25">
      <c r="A26" s="46"/>
      <c r="B26" s="36" t="s">
        <v>112</v>
      </c>
      <c r="C26" s="36">
        <v>3</v>
      </c>
      <c r="D26" s="37" t="s">
        <v>61</v>
      </c>
      <c r="E26" s="38" t="s">
        <v>79</v>
      </c>
      <c r="F26" s="38">
        <v>91</v>
      </c>
      <c r="G26" s="51">
        <v>137675055.66449726</v>
      </c>
      <c r="H26" s="51">
        <v>499137.98522126651</v>
      </c>
      <c r="I26" s="51">
        <v>284217.80700290203</v>
      </c>
      <c r="J26" s="51">
        <v>253912.24061756802</v>
      </c>
    </row>
    <row r="27" spans="1:10" x14ac:dyDescent="0.25">
      <c r="A27" s="45"/>
      <c r="B27" s="36" t="s">
        <v>112</v>
      </c>
      <c r="C27" s="36">
        <v>4</v>
      </c>
      <c r="D27" s="37" t="s">
        <v>61</v>
      </c>
      <c r="E27" s="37" t="s">
        <v>80</v>
      </c>
      <c r="F27" s="37">
        <v>109</v>
      </c>
      <c r="G27" s="51">
        <v>196541799.35698169</v>
      </c>
      <c r="H27" s="51">
        <v>595518.40439070424</v>
      </c>
      <c r="I27" s="51">
        <v>382598.66498369386</v>
      </c>
      <c r="J27" s="51">
        <v>278407.4651199748</v>
      </c>
    </row>
    <row r="28" spans="1:10" x14ac:dyDescent="0.25">
      <c r="A28" s="45"/>
      <c r="B28" s="36" t="s">
        <v>113</v>
      </c>
      <c r="C28" s="36">
        <v>1</v>
      </c>
      <c r="D28" s="37" t="s">
        <v>61</v>
      </c>
      <c r="E28" s="37" t="s">
        <v>81</v>
      </c>
      <c r="F28" s="37">
        <v>7</v>
      </c>
      <c r="G28" s="51">
        <v>65042.379500145624</v>
      </c>
      <c r="H28" s="51">
        <v>350.48320000000001</v>
      </c>
      <c r="I28" s="51">
        <v>341.6458511123314</v>
      </c>
      <c r="J28" s="51">
        <v>332.05909757558379</v>
      </c>
    </row>
    <row r="29" spans="1:10" x14ac:dyDescent="0.25">
      <c r="A29" s="45"/>
      <c r="B29" s="36" t="s">
        <v>114</v>
      </c>
      <c r="C29" s="36">
        <v>1</v>
      </c>
      <c r="D29" s="37" t="s">
        <v>61</v>
      </c>
      <c r="E29" s="37" t="s">
        <v>82</v>
      </c>
      <c r="F29" s="37">
        <v>134</v>
      </c>
      <c r="G29" s="51">
        <v>1717796.6265885872</v>
      </c>
      <c r="H29" s="51">
        <v>12187.88346773193</v>
      </c>
      <c r="I29" s="51">
        <v>7015.2320272778534</v>
      </c>
      <c r="J29" s="51">
        <v>5559.9903499758129</v>
      </c>
    </row>
    <row r="30" spans="1:10" x14ac:dyDescent="0.25">
      <c r="A30" s="45"/>
      <c r="B30" s="36" t="s">
        <v>115</v>
      </c>
      <c r="C30" s="36">
        <v>1</v>
      </c>
      <c r="D30" s="37" t="s">
        <v>61</v>
      </c>
      <c r="E30" s="37" t="s">
        <v>83</v>
      </c>
      <c r="F30" s="37">
        <v>252</v>
      </c>
      <c r="G30" s="51">
        <v>601594.19337654638</v>
      </c>
      <c r="H30" s="51">
        <v>5925.8857880546238</v>
      </c>
      <c r="I30" s="51">
        <v>1638.5521244190345</v>
      </c>
      <c r="J30" s="51">
        <v>233.15073890115639</v>
      </c>
    </row>
    <row r="31" spans="1:10" x14ac:dyDescent="0.25">
      <c r="A31" s="45"/>
      <c r="B31" s="36" t="s">
        <v>115</v>
      </c>
      <c r="C31" s="36">
        <v>2</v>
      </c>
      <c r="D31" s="37" t="s">
        <v>61</v>
      </c>
      <c r="E31" s="37" t="s">
        <v>84</v>
      </c>
      <c r="F31" s="37">
        <v>70</v>
      </c>
      <c r="G31" s="51">
        <v>1294577.642803896</v>
      </c>
      <c r="H31" s="51">
        <v>9044.3059072957021</v>
      </c>
      <c r="I31" s="51">
        <v>3628.9106900583456</v>
      </c>
      <c r="J31" s="51">
        <v>1242.9565159992585</v>
      </c>
    </row>
    <row r="32" spans="1:10" x14ac:dyDescent="0.25">
      <c r="A32" s="45" t="s">
        <v>0</v>
      </c>
      <c r="B32" s="36"/>
      <c r="C32" s="36"/>
      <c r="D32" s="37"/>
      <c r="E32" s="37"/>
      <c r="F32" s="37"/>
      <c r="G32" s="44"/>
      <c r="H32" s="44"/>
      <c r="I32" s="44"/>
      <c r="J32" s="44"/>
    </row>
    <row r="33" spans="1:10" x14ac:dyDescent="0.25">
      <c r="A33" s="45" t="s">
        <v>123</v>
      </c>
      <c r="B33" s="36" t="s">
        <v>116</v>
      </c>
      <c r="C33" s="36">
        <v>1</v>
      </c>
      <c r="D33" s="37" t="s">
        <v>61</v>
      </c>
      <c r="E33" s="37" t="s">
        <v>85</v>
      </c>
      <c r="F33" s="37">
        <v>118</v>
      </c>
      <c r="G33" s="51">
        <v>5399911.2487763017</v>
      </c>
      <c r="H33" s="51">
        <v>15034.471552263829</v>
      </c>
      <c r="I33" s="51">
        <v>9619.2918849883044</v>
      </c>
      <c r="J33" s="51">
        <v>8911.851976127411</v>
      </c>
    </row>
    <row r="34" spans="1:10" x14ac:dyDescent="0.25">
      <c r="A34" s="45" t="s">
        <v>124</v>
      </c>
      <c r="B34" s="36" t="s">
        <v>116</v>
      </c>
      <c r="C34" s="36">
        <v>2</v>
      </c>
      <c r="D34" s="37" t="s">
        <v>61</v>
      </c>
      <c r="E34" s="37" t="s">
        <v>86</v>
      </c>
      <c r="F34" s="37">
        <v>34</v>
      </c>
      <c r="G34" s="51">
        <v>6914338.4414849654</v>
      </c>
      <c r="H34" s="51">
        <v>17199.083294289077</v>
      </c>
      <c r="I34" s="51">
        <v>12379.099282553241</v>
      </c>
      <c r="J34" s="51">
        <v>10869.261641090814</v>
      </c>
    </row>
    <row r="35" spans="1:10" x14ac:dyDescent="0.25">
      <c r="A35" s="45"/>
      <c r="B35" s="36" t="s">
        <v>114</v>
      </c>
      <c r="C35" s="36">
        <v>1</v>
      </c>
      <c r="D35" s="37" t="s">
        <v>61</v>
      </c>
      <c r="E35" s="37" t="s">
        <v>87</v>
      </c>
      <c r="F35" s="37">
        <v>4</v>
      </c>
      <c r="G35" s="51">
        <v>133217.59270795912</v>
      </c>
      <c r="H35" s="51">
        <v>836.4739471909246</v>
      </c>
      <c r="I35" s="51">
        <v>840.04193178777257</v>
      </c>
      <c r="J35" s="51">
        <v>188.62240926788365</v>
      </c>
    </row>
    <row r="36" spans="1:10" x14ac:dyDescent="0.25">
      <c r="A36" s="45"/>
      <c r="B36" s="36"/>
      <c r="C36" s="36"/>
      <c r="D36" s="37"/>
      <c r="E36" s="37"/>
      <c r="F36" s="37"/>
      <c r="G36" s="51"/>
      <c r="H36" s="51"/>
      <c r="I36" s="51"/>
      <c r="J36" s="51"/>
    </row>
    <row r="38" spans="1:10" ht="13" x14ac:dyDescent="0.3">
      <c r="A38" s="27" t="s">
        <v>140</v>
      </c>
      <c r="B38" s="40"/>
      <c r="C38" s="8"/>
      <c r="D38" s="42"/>
      <c r="E38" s="30" t="s">
        <v>51</v>
      </c>
      <c r="F38" s="43"/>
      <c r="G38" s="43"/>
      <c r="H38" s="43"/>
      <c r="I38" s="43"/>
      <c r="J38" s="43"/>
    </row>
    <row r="39" spans="1:10" ht="78" x14ac:dyDescent="0.3">
      <c r="A39" s="27" t="s">
        <v>38</v>
      </c>
      <c r="B39" s="8" t="s">
        <v>64</v>
      </c>
      <c r="C39" s="8" t="s">
        <v>39</v>
      </c>
      <c r="D39" s="31" t="s">
        <v>102</v>
      </c>
      <c r="E39" s="31" t="s">
        <v>103</v>
      </c>
      <c r="F39" s="31" t="s">
        <v>104</v>
      </c>
      <c r="G39" s="31" t="s">
        <v>105</v>
      </c>
      <c r="H39" s="31" t="s">
        <v>106</v>
      </c>
      <c r="I39" s="31" t="s">
        <v>107</v>
      </c>
      <c r="J39" s="31" t="s">
        <v>108</v>
      </c>
    </row>
    <row r="40" spans="1:10" ht="13" x14ac:dyDescent="0.3">
      <c r="A40" s="27"/>
      <c r="B40" s="27"/>
      <c r="C40" s="8"/>
      <c r="D40" s="22"/>
      <c r="E40" s="22"/>
      <c r="F40" s="22"/>
      <c r="G40" s="22"/>
      <c r="H40" s="22"/>
      <c r="I40" s="22"/>
      <c r="J40" s="22"/>
    </row>
    <row r="41" spans="1:10" x14ac:dyDescent="0.25">
      <c r="A41" s="41" t="s">
        <v>120</v>
      </c>
      <c r="B41" s="36" t="s">
        <v>125</v>
      </c>
      <c r="C41" s="36">
        <v>1</v>
      </c>
      <c r="D41" s="37" t="s">
        <v>60</v>
      </c>
      <c r="E41" s="37" t="s">
        <v>88</v>
      </c>
      <c r="F41" s="37">
        <v>103</v>
      </c>
      <c r="G41" s="51">
        <v>34758181.315130524</v>
      </c>
      <c r="H41" s="51">
        <v>273484.30042087159</v>
      </c>
      <c r="I41" s="51">
        <v>89137.374558096548</v>
      </c>
      <c r="J41" s="51">
        <v>70637.943315598037</v>
      </c>
    </row>
    <row r="42" spans="1:10" x14ac:dyDescent="0.25">
      <c r="A42" s="45"/>
      <c r="B42" s="36" t="s">
        <v>125</v>
      </c>
      <c r="C42" s="36">
        <v>2</v>
      </c>
      <c r="D42" s="37" t="s">
        <v>60</v>
      </c>
      <c r="E42" s="37" t="s">
        <v>89</v>
      </c>
      <c r="F42" s="37">
        <v>92</v>
      </c>
      <c r="G42" s="51">
        <v>44775319.027032539</v>
      </c>
      <c r="H42" s="51">
        <v>264765.7126664666</v>
      </c>
      <c r="I42" s="51">
        <v>125351.15285219514</v>
      </c>
      <c r="J42" s="51">
        <v>107838.07409814856</v>
      </c>
    </row>
    <row r="43" spans="1:10" x14ac:dyDescent="0.25">
      <c r="A43" s="45"/>
      <c r="B43" s="36" t="s">
        <v>125</v>
      </c>
      <c r="C43" s="36">
        <v>3</v>
      </c>
      <c r="D43" s="37" t="s">
        <v>60</v>
      </c>
      <c r="E43" s="37" t="s">
        <v>90</v>
      </c>
      <c r="F43" s="37">
        <v>92</v>
      </c>
      <c r="G43" s="51">
        <v>45073464.487618797</v>
      </c>
      <c r="H43" s="51">
        <v>243901.70228954672</v>
      </c>
      <c r="I43" s="51">
        <v>126127.8246959692</v>
      </c>
      <c r="J43" s="51">
        <v>104860.29786182153</v>
      </c>
    </row>
    <row r="44" spans="1:10" x14ac:dyDescent="0.25">
      <c r="A44" s="45"/>
      <c r="B44" s="36" t="s">
        <v>125</v>
      </c>
      <c r="C44" s="36">
        <v>4</v>
      </c>
      <c r="D44" s="37" t="s">
        <v>60</v>
      </c>
      <c r="E44" s="37" t="s">
        <v>91</v>
      </c>
      <c r="F44" s="37">
        <v>100</v>
      </c>
      <c r="G44" s="51">
        <v>56287466.182430051</v>
      </c>
      <c r="H44" s="51">
        <v>262001.93308446376</v>
      </c>
      <c r="I44" s="51">
        <v>162022.5830647765</v>
      </c>
      <c r="J44" s="51">
        <v>131770.83864982871</v>
      </c>
    </row>
    <row r="45" spans="1:10" x14ac:dyDescent="0.25">
      <c r="A45" s="45"/>
      <c r="B45" s="36"/>
      <c r="C45" s="36"/>
      <c r="D45" s="37"/>
      <c r="E45" s="37"/>
      <c r="F45" s="37"/>
      <c r="G45" s="51"/>
      <c r="H45" s="51"/>
      <c r="I45" s="51"/>
      <c r="J45" s="51"/>
    </row>
    <row r="46" spans="1:10" x14ac:dyDescent="0.25">
      <c r="A46" s="45" t="s">
        <v>121</v>
      </c>
      <c r="B46" s="36" t="s">
        <v>63</v>
      </c>
      <c r="C46" s="36">
        <v>1</v>
      </c>
      <c r="D46" s="37" t="s">
        <v>60</v>
      </c>
      <c r="E46" s="36" t="s">
        <v>92</v>
      </c>
      <c r="F46" s="36">
        <v>99</v>
      </c>
      <c r="G46" s="51">
        <v>2351007.045367633</v>
      </c>
      <c r="H46" s="51">
        <v>21056.649380321727</v>
      </c>
      <c r="I46" s="51">
        <v>5795.4785661064552</v>
      </c>
      <c r="J46" s="51">
        <v>3067.1353193928176</v>
      </c>
    </row>
    <row r="47" spans="1:10" x14ac:dyDescent="0.25">
      <c r="A47" s="45" t="s">
        <v>122</v>
      </c>
      <c r="B47" s="36" t="s">
        <v>63</v>
      </c>
      <c r="C47" s="36">
        <v>2</v>
      </c>
      <c r="D47" s="37" t="s">
        <v>60</v>
      </c>
      <c r="E47" s="37" t="s">
        <v>93</v>
      </c>
      <c r="F47" s="37">
        <v>69</v>
      </c>
      <c r="G47" s="51">
        <v>3397556.2035433082</v>
      </c>
      <c r="H47" s="51">
        <v>17064.85756426079</v>
      </c>
      <c r="I47" s="51">
        <v>9439.8760528993898</v>
      </c>
      <c r="J47" s="51">
        <v>8583.8835476551012</v>
      </c>
    </row>
    <row r="48" spans="1:10" x14ac:dyDescent="0.25">
      <c r="A48" s="45"/>
      <c r="B48" s="36" t="s">
        <v>63</v>
      </c>
      <c r="C48" s="36">
        <v>3</v>
      </c>
      <c r="D48" s="37" t="s">
        <v>60</v>
      </c>
      <c r="E48" s="37" t="s">
        <v>94</v>
      </c>
      <c r="F48" s="37">
        <v>85</v>
      </c>
      <c r="G48" s="51">
        <v>2955356.264231489</v>
      </c>
      <c r="H48" s="51">
        <v>11813.118864802678</v>
      </c>
      <c r="I48" s="51">
        <v>7174.6903207107353</v>
      </c>
      <c r="J48" s="51">
        <v>6951.4930317529897</v>
      </c>
    </row>
    <row r="49" spans="1:16" x14ac:dyDescent="0.25">
      <c r="A49" s="45"/>
      <c r="B49" s="36" t="s">
        <v>63</v>
      </c>
      <c r="C49" s="36">
        <v>4</v>
      </c>
      <c r="D49" s="37" t="s">
        <v>60</v>
      </c>
      <c r="E49" s="37" t="s">
        <v>95</v>
      </c>
      <c r="F49" s="37">
        <v>75</v>
      </c>
      <c r="G49" s="51">
        <v>3459350.9202689813</v>
      </c>
      <c r="H49" s="51">
        <v>8807.0636478536944</v>
      </c>
      <c r="I49" s="51">
        <v>5616.8437204095517</v>
      </c>
      <c r="J49" s="51">
        <v>4771.1434938635439</v>
      </c>
    </row>
    <row r="50" spans="1:16" x14ac:dyDescent="0.25">
      <c r="A50" s="45"/>
      <c r="B50" s="36"/>
      <c r="C50" s="36"/>
      <c r="D50" s="37"/>
      <c r="E50" s="37"/>
      <c r="F50" s="37"/>
      <c r="G50" s="51"/>
      <c r="H50" s="51"/>
      <c r="I50" s="51"/>
      <c r="J50" s="51"/>
    </row>
    <row r="51" spans="1:16" x14ac:dyDescent="0.25">
      <c r="A51" s="45" t="s">
        <v>118</v>
      </c>
      <c r="B51" s="36" t="s">
        <v>112</v>
      </c>
      <c r="C51" s="36">
        <v>1</v>
      </c>
      <c r="D51" s="37" t="s">
        <v>61</v>
      </c>
      <c r="E51" s="37" t="s">
        <v>77</v>
      </c>
      <c r="F51" s="37">
        <v>128</v>
      </c>
      <c r="G51" s="51">
        <v>17517453.97864338</v>
      </c>
      <c r="H51" s="51">
        <v>76236.285306322796</v>
      </c>
      <c r="I51" s="51">
        <v>40609.652338361964</v>
      </c>
      <c r="J51" s="51">
        <v>38825.156272024396</v>
      </c>
    </row>
    <row r="52" spans="1:16" x14ac:dyDescent="0.25">
      <c r="A52" s="45" t="s">
        <v>119</v>
      </c>
      <c r="B52" s="36" t="s">
        <v>112</v>
      </c>
      <c r="C52" s="36">
        <v>2</v>
      </c>
      <c r="D52" s="37" t="s">
        <v>61</v>
      </c>
      <c r="E52" s="36" t="s">
        <v>78</v>
      </c>
      <c r="F52" s="36">
        <v>85</v>
      </c>
      <c r="G52" s="51">
        <v>22667774.589982554</v>
      </c>
      <c r="H52" s="51">
        <v>88729.534324169843</v>
      </c>
      <c r="I52" s="51">
        <v>54210.662468168877</v>
      </c>
      <c r="J52" s="51">
        <v>49454.920147379111</v>
      </c>
    </row>
    <row r="53" spans="1:16" x14ac:dyDescent="0.25">
      <c r="A53" s="46"/>
      <c r="B53" s="36" t="s">
        <v>112</v>
      </c>
      <c r="C53" s="36">
        <v>3</v>
      </c>
      <c r="D53" s="37" t="s">
        <v>61</v>
      </c>
      <c r="E53" s="38" t="s">
        <v>96</v>
      </c>
      <c r="F53" s="38">
        <v>104</v>
      </c>
      <c r="G53" s="51">
        <v>31084348.049787045</v>
      </c>
      <c r="H53" s="51">
        <v>97142.461494906587</v>
      </c>
      <c r="I53" s="51">
        <v>65793.904547646613</v>
      </c>
      <c r="J53" s="51">
        <v>61905.623140793701</v>
      </c>
    </row>
    <row r="54" spans="1:16" x14ac:dyDescent="0.25">
      <c r="A54" s="45"/>
      <c r="B54" s="36" t="s">
        <v>112</v>
      </c>
      <c r="C54" s="36">
        <v>4</v>
      </c>
      <c r="D54" s="37" t="s">
        <v>61</v>
      </c>
      <c r="E54" s="37" t="s">
        <v>62</v>
      </c>
      <c r="F54" s="37">
        <v>118</v>
      </c>
      <c r="G54" s="51">
        <v>46199791.12092191</v>
      </c>
      <c r="H54" s="51">
        <v>125408.90771414321</v>
      </c>
      <c r="I54" s="51">
        <v>94187.291131285689</v>
      </c>
      <c r="J54" s="51">
        <v>93850.411216987806</v>
      </c>
    </row>
    <row r="55" spans="1:16" x14ac:dyDescent="0.25">
      <c r="A55" s="45" t="s">
        <v>0</v>
      </c>
      <c r="B55" s="48" t="s">
        <v>114</v>
      </c>
      <c r="C55" s="36">
        <v>1</v>
      </c>
      <c r="D55" s="37" t="s">
        <v>61</v>
      </c>
      <c r="E55" s="37" t="s">
        <v>97</v>
      </c>
      <c r="F55" s="37">
        <v>125</v>
      </c>
      <c r="G55" s="51">
        <v>582566.33265499771</v>
      </c>
      <c r="H55" s="51">
        <v>3600.2346553441425</v>
      </c>
      <c r="I55" s="51">
        <v>1285.0899559148404</v>
      </c>
      <c r="J55" s="51">
        <v>1039.7729562716356</v>
      </c>
    </row>
    <row r="56" spans="1:16" x14ac:dyDescent="0.25">
      <c r="A56" s="45"/>
      <c r="B56" s="48"/>
      <c r="C56" s="36"/>
      <c r="D56" s="37"/>
      <c r="E56" s="37"/>
      <c r="F56" s="37"/>
      <c r="G56" s="51"/>
      <c r="H56" s="51"/>
      <c r="I56" s="51"/>
      <c r="J56" s="51"/>
    </row>
    <row r="57" spans="1:16" x14ac:dyDescent="0.25">
      <c r="A57" s="45" t="s">
        <v>123</v>
      </c>
      <c r="B57" s="48" t="s">
        <v>116</v>
      </c>
      <c r="C57" s="36">
        <v>1</v>
      </c>
      <c r="D57" s="37" t="s">
        <v>61</v>
      </c>
      <c r="E57" s="37" t="s">
        <v>98</v>
      </c>
      <c r="F57" s="37">
        <v>245</v>
      </c>
      <c r="G57" s="51">
        <v>1881525.4049230632</v>
      </c>
      <c r="H57" s="51">
        <v>5762.0280365936387</v>
      </c>
      <c r="I57" s="51">
        <v>2977.4383970645549</v>
      </c>
      <c r="J57" s="51">
        <v>2318.4804624535618</v>
      </c>
    </row>
    <row r="58" spans="1:16" x14ac:dyDescent="0.25">
      <c r="A58" s="45" t="s">
        <v>124</v>
      </c>
      <c r="B58" s="48" t="s">
        <v>116</v>
      </c>
      <c r="C58" s="36">
        <v>2</v>
      </c>
      <c r="D58" s="37" t="s">
        <v>61</v>
      </c>
      <c r="E58" s="37" t="s">
        <v>99</v>
      </c>
      <c r="F58" s="37">
        <v>48</v>
      </c>
      <c r="G58" s="51">
        <v>3175340.5945511679</v>
      </c>
      <c r="H58" s="51">
        <v>7998.4236343895191</v>
      </c>
      <c r="I58" s="51">
        <v>5142.6441458442814</v>
      </c>
      <c r="J58" s="51">
        <v>4593.7039813305228</v>
      </c>
    </row>
    <row r="59" spans="1:16" x14ac:dyDescent="0.25">
      <c r="A59" s="45" t="s">
        <v>0</v>
      </c>
      <c r="B59" s="48" t="s">
        <v>116</v>
      </c>
      <c r="C59" s="36">
        <v>3</v>
      </c>
      <c r="D59" s="37" t="s">
        <v>61</v>
      </c>
      <c r="E59" s="37" t="s">
        <v>100</v>
      </c>
      <c r="F59" s="37">
        <v>19</v>
      </c>
      <c r="G59" s="51">
        <v>2956297.3765509706</v>
      </c>
      <c r="H59" s="51">
        <v>8116.3162276867943</v>
      </c>
      <c r="I59" s="51">
        <v>6356.9166745236353</v>
      </c>
      <c r="J59" s="51">
        <v>3811.9318027796107</v>
      </c>
    </row>
    <row r="60" spans="1:16" x14ac:dyDescent="0.25">
      <c r="A60" s="45"/>
      <c r="B60" s="48" t="s">
        <v>114</v>
      </c>
      <c r="C60" s="36">
        <v>1</v>
      </c>
      <c r="D60" s="37" t="s">
        <v>61</v>
      </c>
      <c r="E60" s="37" t="s">
        <v>101</v>
      </c>
      <c r="F60" s="37">
        <v>2</v>
      </c>
      <c r="G60" s="51">
        <v>6656.2151677237234</v>
      </c>
      <c r="H60" s="51">
        <v>31.404000000000007</v>
      </c>
      <c r="I60" s="51">
        <v>31.577553121864756</v>
      </c>
      <c r="J60" s="51">
        <v>13.840066270836406</v>
      </c>
    </row>
    <row r="61" spans="1:16" s="52" customFormat="1" ht="13" x14ac:dyDescent="0.3">
      <c r="A61" s="89" t="s">
        <v>136</v>
      </c>
      <c r="B61" s="88"/>
      <c r="C61" s="88"/>
      <c r="D61" s="88"/>
      <c r="E61" s="88"/>
      <c r="F61" s="88"/>
      <c r="G61" s="88"/>
      <c r="H61" s="88"/>
      <c r="I61" s="88"/>
      <c r="J61" s="88"/>
      <c r="K61" s="84"/>
      <c r="L61" s="84"/>
      <c r="M61" s="84"/>
      <c r="N61" s="84"/>
      <c r="O61" s="84"/>
      <c r="P61" s="78"/>
    </row>
    <row r="62" spans="1:16" s="4" customFormat="1" ht="13" x14ac:dyDescent="0.3">
      <c r="A62" s="1" t="s">
        <v>59</v>
      </c>
      <c r="B62" s="1"/>
      <c r="C62" s="2"/>
      <c r="D62" s="3"/>
      <c r="E62" s="2"/>
      <c r="F62" s="2"/>
      <c r="G62" s="2"/>
      <c r="H62" s="2"/>
      <c r="I62" s="2"/>
      <c r="J62" s="2"/>
    </row>
    <row r="63" spans="1:16" s="4" customFormat="1" ht="13" x14ac:dyDescent="0.3">
      <c r="A63" s="87" t="s">
        <v>157</v>
      </c>
      <c r="B63" s="88"/>
      <c r="C63" s="88"/>
      <c r="D63" s="88"/>
      <c r="E63" s="88"/>
      <c r="F63" s="88"/>
      <c r="G63" s="88"/>
      <c r="H63" s="88"/>
      <c r="I63" s="88"/>
      <c r="J63" s="88"/>
    </row>
    <row r="64" spans="1:16" s="4" customFormat="1" ht="13" x14ac:dyDescent="0.3">
      <c r="A64" s="5" t="str">
        <f>A4</f>
        <v>TEST YEAR ENDING 12/31/2018</v>
      </c>
      <c r="B64" s="5"/>
      <c r="C64" s="2"/>
      <c r="D64" s="3"/>
      <c r="E64" s="2"/>
      <c r="F64" s="2"/>
      <c r="G64" s="2"/>
      <c r="H64" s="2"/>
      <c r="I64" s="2"/>
      <c r="J64" s="2"/>
    </row>
    <row r="65" spans="1:10" s="4" customFormat="1" ht="13" x14ac:dyDescent="0.3">
      <c r="A65" s="5"/>
      <c r="B65" s="5"/>
      <c r="C65" s="2"/>
      <c r="D65" s="3"/>
      <c r="E65" s="2"/>
      <c r="F65" s="2"/>
      <c r="G65" s="2"/>
      <c r="H65" s="2"/>
      <c r="I65" s="2"/>
      <c r="J65" s="2"/>
    </row>
    <row r="66" spans="1:10" s="4" customFormat="1" ht="13" x14ac:dyDescent="0.3">
      <c r="A66" s="5"/>
      <c r="B66" s="5"/>
      <c r="C66" s="2"/>
      <c r="D66" s="3"/>
      <c r="E66" s="2"/>
      <c r="F66" s="2"/>
      <c r="G66" s="2"/>
      <c r="H66" s="2"/>
      <c r="I66" s="2"/>
      <c r="J66" s="2"/>
    </row>
    <row r="67" spans="1:10" ht="13" x14ac:dyDescent="0.3">
      <c r="A67" s="27" t="s">
        <v>139</v>
      </c>
      <c r="B67" s="40"/>
      <c r="C67" s="8"/>
      <c r="D67" s="42"/>
      <c r="E67" s="30" t="s">
        <v>56</v>
      </c>
      <c r="F67" s="43"/>
      <c r="G67" s="43"/>
      <c r="H67" s="43"/>
      <c r="I67" s="43"/>
      <c r="J67" s="43"/>
    </row>
    <row r="68" spans="1:10" ht="78" x14ac:dyDescent="0.3">
      <c r="A68" s="27" t="s">
        <v>38</v>
      </c>
      <c r="B68" s="8" t="s">
        <v>64</v>
      </c>
      <c r="C68" s="8" t="s">
        <v>39</v>
      </c>
      <c r="D68" s="31" t="s">
        <v>102</v>
      </c>
      <c r="E68" s="31" t="s">
        <v>103</v>
      </c>
      <c r="F68" s="31" t="s">
        <v>104</v>
      </c>
      <c r="G68" s="31" t="s">
        <v>105</v>
      </c>
      <c r="H68" s="31" t="s">
        <v>106</v>
      </c>
      <c r="I68" s="31" t="s">
        <v>107</v>
      </c>
      <c r="J68" s="31" t="s">
        <v>108</v>
      </c>
    </row>
    <row r="69" spans="1:10" ht="13" x14ac:dyDescent="0.3">
      <c r="A69" s="27"/>
      <c r="B69" s="27"/>
      <c r="C69" s="8"/>
      <c r="D69" s="22"/>
      <c r="E69" s="22"/>
      <c r="F69" s="22"/>
      <c r="G69" s="22"/>
      <c r="H69" s="22"/>
      <c r="I69" s="22"/>
      <c r="J69" s="22"/>
    </row>
    <row r="70" spans="1:10" x14ac:dyDescent="0.25">
      <c r="A70" s="39" t="s">
        <v>117</v>
      </c>
      <c r="B70" s="36" t="s">
        <v>109</v>
      </c>
      <c r="C70" s="36">
        <v>1</v>
      </c>
      <c r="D70" s="37" t="s">
        <v>60</v>
      </c>
      <c r="E70" s="37" t="s">
        <v>65</v>
      </c>
      <c r="F70" s="37">
        <v>72</v>
      </c>
      <c r="G70" s="51">
        <v>121213198.62906782</v>
      </c>
      <c r="H70" s="51">
        <v>1195803.8186685191</v>
      </c>
      <c r="I70" s="51">
        <v>413148.26675496722</v>
      </c>
      <c r="J70" s="51">
        <v>380622.55804461392</v>
      </c>
    </row>
    <row r="71" spans="1:10" x14ac:dyDescent="0.25">
      <c r="A71" s="45"/>
      <c r="B71" s="36" t="s">
        <v>109</v>
      </c>
      <c r="C71" s="36">
        <v>2</v>
      </c>
      <c r="D71" s="37" t="s">
        <v>60</v>
      </c>
      <c r="E71" s="37" t="s">
        <v>66</v>
      </c>
      <c r="F71" s="37">
        <v>80</v>
      </c>
      <c r="G71" s="51">
        <v>129909625.61134799</v>
      </c>
      <c r="H71" s="51">
        <v>1088362.1394458583</v>
      </c>
      <c r="I71" s="51">
        <v>424877.82107711711</v>
      </c>
      <c r="J71" s="51">
        <v>396020.04121117323</v>
      </c>
    </row>
    <row r="72" spans="1:10" x14ac:dyDescent="0.25">
      <c r="A72" s="45"/>
      <c r="B72" s="36" t="s">
        <v>109</v>
      </c>
      <c r="C72" s="36">
        <v>3</v>
      </c>
      <c r="D72" s="37" t="s">
        <v>60</v>
      </c>
      <c r="E72" s="37" t="s">
        <v>67</v>
      </c>
      <c r="F72" s="37">
        <v>71</v>
      </c>
      <c r="G72" s="51">
        <v>147576600.13017467</v>
      </c>
      <c r="H72" s="51">
        <v>1020642.805665468</v>
      </c>
      <c r="I72" s="51">
        <v>514156.86886038311</v>
      </c>
      <c r="J72" s="51">
        <v>444407.991569662</v>
      </c>
    </row>
    <row r="73" spans="1:10" x14ac:dyDescent="0.25">
      <c r="A73" s="45"/>
      <c r="B73" s="36" t="s">
        <v>110</v>
      </c>
      <c r="C73" s="36">
        <v>1</v>
      </c>
      <c r="D73" s="37" t="s">
        <v>60</v>
      </c>
      <c r="E73" s="37" t="s">
        <v>68</v>
      </c>
      <c r="F73" s="37">
        <v>48</v>
      </c>
      <c r="G73" s="51">
        <v>87259274.177416518</v>
      </c>
      <c r="H73" s="51">
        <v>887943.85696266522</v>
      </c>
      <c r="I73" s="51">
        <v>340037.94070693845</v>
      </c>
      <c r="J73" s="51">
        <v>289936.11649532802</v>
      </c>
    </row>
    <row r="74" spans="1:10" x14ac:dyDescent="0.25">
      <c r="A74" s="45"/>
      <c r="B74" s="36" t="s">
        <v>110</v>
      </c>
      <c r="C74" s="36">
        <v>2</v>
      </c>
      <c r="D74" s="37" t="s">
        <v>60</v>
      </c>
      <c r="E74" s="37" t="s">
        <v>69</v>
      </c>
      <c r="F74" s="37">
        <v>51</v>
      </c>
      <c r="G74" s="51">
        <v>105759379.45170751</v>
      </c>
      <c r="H74" s="51">
        <v>792888.6967026192</v>
      </c>
      <c r="I74" s="51">
        <v>379676.90607503423</v>
      </c>
      <c r="J74" s="51">
        <v>362749.6433380649</v>
      </c>
    </row>
    <row r="75" spans="1:10" x14ac:dyDescent="0.25">
      <c r="A75" s="45"/>
      <c r="B75" s="36"/>
      <c r="C75" s="36"/>
      <c r="D75" s="37"/>
      <c r="E75" s="37"/>
      <c r="F75" s="37"/>
      <c r="G75" s="44"/>
      <c r="H75" s="44"/>
      <c r="I75" s="44"/>
      <c r="J75" s="44"/>
    </row>
    <row r="76" spans="1:10" x14ac:dyDescent="0.25">
      <c r="A76" s="45" t="s">
        <v>121</v>
      </c>
      <c r="B76" s="36" t="s">
        <v>63</v>
      </c>
      <c r="C76" s="36">
        <v>1</v>
      </c>
      <c r="D76" s="37" t="s">
        <v>60</v>
      </c>
      <c r="E76" s="36" t="s">
        <v>70</v>
      </c>
      <c r="F76" s="36">
        <v>88</v>
      </c>
      <c r="G76" s="51">
        <v>3583387.5653870469</v>
      </c>
      <c r="H76" s="51">
        <v>40797.531044291449</v>
      </c>
      <c r="I76" s="51">
        <v>12055.042672867301</v>
      </c>
      <c r="J76" s="51">
        <v>3708.8690472062976</v>
      </c>
    </row>
    <row r="77" spans="1:10" x14ac:dyDescent="0.25">
      <c r="A77" s="45" t="s">
        <v>122</v>
      </c>
      <c r="B77" s="36" t="s">
        <v>63</v>
      </c>
      <c r="C77" s="36">
        <v>2</v>
      </c>
      <c r="D77" s="37" t="s">
        <v>60</v>
      </c>
      <c r="E77" s="37" t="s">
        <v>71</v>
      </c>
      <c r="F77" s="37">
        <v>53</v>
      </c>
      <c r="G77" s="51">
        <v>4297826.9283897821</v>
      </c>
      <c r="H77" s="51">
        <v>37353.455934450147</v>
      </c>
      <c r="I77" s="51">
        <v>12890.983455682166</v>
      </c>
      <c r="J77" s="51">
        <v>8119.3229540514039</v>
      </c>
    </row>
    <row r="78" spans="1:10" x14ac:dyDescent="0.25">
      <c r="A78" s="45"/>
      <c r="B78" s="36" t="s">
        <v>63</v>
      </c>
      <c r="C78" s="36">
        <v>3</v>
      </c>
      <c r="D78" s="37" t="s">
        <v>60</v>
      </c>
      <c r="E78" s="37" t="s">
        <v>72</v>
      </c>
      <c r="F78" s="37">
        <v>44</v>
      </c>
      <c r="G78" s="51">
        <v>5048381.1503050895</v>
      </c>
      <c r="H78" s="51">
        <v>32067.919487062267</v>
      </c>
      <c r="I78" s="51">
        <v>16259.655260198884</v>
      </c>
      <c r="J78" s="51">
        <v>10377.182291423163</v>
      </c>
    </row>
    <row r="79" spans="1:10" x14ac:dyDescent="0.25">
      <c r="A79" s="45"/>
      <c r="B79" s="36" t="s">
        <v>63</v>
      </c>
      <c r="C79" s="36">
        <v>4</v>
      </c>
      <c r="D79" s="37" t="s">
        <v>60</v>
      </c>
      <c r="E79" s="37" t="s">
        <v>73</v>
      </c>
      <c r="F79" s="37">
        <v>52</v>
      </c>
      <c r="G79" s="51">
        <v>5129589.5710194195</v>
      </c>
      <c r="H79" s="51">
        <v>23052.495214090679</v>
      </c>
      <c r="I79" s="51">
        <v>12131.691021688843</v>
      </c>
      <c r="J79" s="51">
        <v>6658.8070953833922</v>
      </c>
    </row>
    <row r="80" spans="1:10" x14ac:dyDescent="0.25">
      <c r="A80" s="45"/>
      <c r="B80" s="36" t="s">
        <v>63</v>
      </c>
      <c r="C80" s="36">
        <v>5</v>
      </c>
      <c r="D80" s="37" t="s">
        <v>60</v>
      </c>
      <c r="E80" s="37" t="s">
        <v>74</v>
      </c>
      <c r="F80" s="37">
        <v>39</v>
      </c>
      <c r="G80" s="51">
        <v>6377002.2047416577</v>
      </c>
      <c r="H80" s="51">
        <v>18631.00005895309</v>
      </c>
      <c r="I80" s="51">
        <v>12256.592862105963</v>
      </c>
      <c r="J80" s="51">
        <v>10087.813365644573</v>
      </c>
    </row>
    <row r="81" spans="1:10" x14ac:dyDescent="0.25">
      <c r="A81" s="45"/>
      <c r="B81" s="36" t="s">
        <v>111</v>
      </c>
      <c r="C81" s="36">
        <v>1</v>
      </c>
      <c r="D81" s="37" t="s">
        <v>60</v>
      </c>
      <c r="E81" s="37" t="s">
        <v>75</v>
      </c>
      <c r="F81" s="37">
        <v>89</v>
      </c>
      <c r="G81" s="51">
        <v>71298.263861065585</v>
      </c>
      <c r="H81" s="51">
        <v>698.27530355246711</v>
      </c>
      <c r="I81" s="51">
        <v>192.7415911759725</v>
      </c>
      <c r="J81" s="51">
        <v>134.97416090355125</v>
      </c>
    </row>
    <row r="82" spans="1:10" x14ac:dyDescent="0.25">
      <c r="A82" s="45"/>
      <c r="B82" s="36" t="s">
        <v>111</v>
      </c>
      <c r="C82" s="36">
        <v>2</v>
      </c>
      <c r="D82" s="37" t="s">
        <v>60</v>
      </c>
      <c r="E82" s="37" t="s">
        <v>76</v>
      </c>
      <c r="F82" s="37">
        <v>45</v>
      </c>
      <c r="G82" s="51">
        <v>86629.279726860841</v>
      </c>
      <c r="H82" s="51">
        <v>388.9813369930647</v>
      </c>
      <c r="I82" s="51">
        <v>198.66926713541883</v>
      </c>
      <c r="J82" s="51">
        <v>135.18252544670213</v>
      </c>
    </row>
    <row r="83" spans="1:10" x14ac:dyDescent="0.25">
      <c r="A83" s="45"/>
      <c r="B83" s="36"/>
      <c r="C83" s="36"/>
      <c r="D83" s="37"/>
      <c r="E83" s="37"/>
      <c r="F83" s="37"/>
      <c r="G83" s="44"/>
      <c r="H83" s="44"/>
      <c r="I83" s="44"/>
      <c r="J83" s="44"/>
    </row>
    <row r="84" spans="1:10" x14ac:dyDescent="0.25">
      <c r="A84" s="45" t="s">
        <v>118</v>
      </c>
      <c r="B84" s="36" t="s">
        <v>112</v>
      </c>
      <c r="C84" s="36">
        <v>1</v>
      </c>
      <c r="D84" s="37" t="s">
        <v>61</v>
      </c>
      <c r="E84" s="37" t="s">
        <v>77</v>
      </c>
      <c r="F84" s="37">
        <v>138</v>
      </c>
      <c r="G84" s="51">
        <v>54358762.929591015</v>
      </c>
      <c r="H84" s="51">
        <v>338622.14868295426</v>
      </c>
      <c r="I84" s="51">
        <v>155707.44390274672</v>
      </c>
      <c r="J84" s="51">
        <v>103229.07648774485</v>
      </c>
    </row>
    <row r="85" spans="1:10" x14ac:dyDescent="0.25">
      <c r="A85" s="45" t="s">
        <v>119</v>
      </c>
      <c r="B85" s="36" t="s">
        <v>112</v>
      </c>
      <c r="C85" s="36">
        <v>2</v>
      </c>
      <c r="D85" s="37" t="s">
        <v>61</v>
      </c>
      <c r="E85" s="36" t="s">
        <v>78</v>
      </c>
      <c r="F85" s="36">
        <v>73</v>
      </c>
      <c r="G85" s="51">
        <v>75571888.246238485</v>
      </c>
      <c r="H85" s="51">
        <v>363391.79563116992</v>
      </c>
      <c r="I85" s="51">
        <v>200280.57024775571</v>
      </c>
      <c r="J85" s="51">
        <v>157644.3746502701</v>
      </c>
    </row>
    <row r="86" spans="1:10" x14ac:dyDescent="0.25">
      <c r="A86" s="46"/>
      <c r="B86" s="36" t="s">
        <v>112</v>
      </c>
      <c r="C86" s="36">
        <v>3</v>
      </c>
      <c r="D86" s="37" t="s">
        <v>61</v>
      </c>
      <c r="E86" s="38" t="s">
        <v>79</v>
      </c>
      <c r="F86" s="38">
        <v>91</v>
      </c>
      <c r="G86" s="51">
        <v>125161880.58011822</v>
      </c>
      <c r="H86" s="51">
        <v>456072.12520121847</v>
      </c>
      <c r="I86" s="51">
        <v>282001.80278701126</v>
      </c>
      <c r="J86" s="51">
        <v>192797.87882451649</v>
      </c>
    </row>
    <row r="87" spans="1:10" x14ac:dyDescent="0.25">
      <c r="A87" s="45"/>
      <c r="B87" s="36" t="s">
        <v>112</v>
      </c>
      <c r="C87" s="36">
        <v>4</v>
      </c>
      <c r="D87" s="37" t="s">
        <v>61</v>
      </c>
      <c r="E87" s="37" t="s">
        <v>80</v>
      </c>
      <c r="F87" s="37">
        <v>109</v>
      </c>
      <c r="G87" s="51">
        <v>183227834.99452648</v>
      </c>
      <c r="H87" s="51">
        <v>590743.39441351243</v>
      </c>
      <c r="I87" s="51">
        <v>441150.09293553082</v>
      </c>
      <c r="J87" s="51">
        <v>326020.43201421661</v>
      </c>
    </row>
    <row r="88" spans="1:10" x14ac:dyDescent="0.25">
      <c r="A88" s="45"/>
      <c r="B88" s="36" t="s">
        <v>113</v>
      </c>
      <c r="C88" s="36">
        <v>1</v>
      </c>
      <c r="D88" s="37" t="s">
        <v>61</v>
      </c>
      <c r="E88" s="37" t="s">
        <v>81</v>
      </c>
      <c r="F88" s="37">
        <v>7</v>
      </c>
      <c r="G88" s="51">
        <v>7466.6921726956862</v>
      </c>
      <c r="H88" s="51">
        <v>154.79320000000001</v>
      </c>
      <c r="I88" s="51">
        <v>140.25149869843713</v>
      </c>
      <c r="J88" s="51">
        <v>22.542398532260542</v>
      </c>
    </row>
    <row r="89" spans="1:10" x14ac:dyDescent="0.25">
      <c r="A89" s="45"/>
      <c r="B89" s="36" t="s">
        <v>114</v>
      </c>
      <c r="C89" s="36">
        <v>1</v>
      </c>
      <c r="D89" s="37" t="s">
        <v>61</v>
      </c>
      <c r="E89" s="37" t="s">
        <v>82</v>
      </c>
      <c r="F89" s="37">
        <v>134</v>
      </c>
      <c r="G89" s="51">
        <v>1412544.6779200353</v>
      </c>
      <c r="H89" s="51">
        <v>8377.7274352483146</v>
      </c>
      <c r="I89" s="51">
        <v>4388.3394548533361</v>
      </c>
      <c r="J89" s="51">
        <v>2070.3570884235937</v>
      </c>
    </row>
    <row r="90" spans="1:10" x14ac:dyDescent="0.25">
      <c r="A90" s="45"/>
      <c r="B90" s="36" t="s">
        <v>115</v>
      </c>
      <c r="C90" s="36">
        <v>1</v>
      </c>
      <c r="D90" s="37" t="s">
        <v>61</v>
      </c>
      <c r="E90" s="37" t="s">
        <v>83</v>
      </c>
      <c r="F90" s="37">
        <v>252</v>
      </c>
      <c r="G90" s="51">
        <v>654497.44024903444</v>
      </c>
      <c r="H90" s="51">
        <v>6725.5282700621246</v>
      </c>
      <c r="I90" s="51">
        <v>1944.9566194293191</v>
      </c>
      <c r="J90" s="51">
        <v>745.90464626763162</v>
      </c>
    </row>
    <row r="91" spans="1:10" x14ac:dyDescent="0.25">
      <c r="A91" s="45"/>
      <c r="B91" s="36" t="s">
        <v>115</v>
      </c>
      <c r="C91" s="36">
        <v>2</v>
      </c>
      <c r="D91" s="37" t="s">
        <v>61</v>
      </c>
      <c r="E91" s="37" t="s">
        <v>84</v>
      </c>
      <c r="F91" s="37">
        <v>70</v>
      </c>
      <c r="G91" s="51">
        <v>1627424.7219029523</v>
      </c>
      <c r="H91" s="51">
        <v>9747.8117414407789</v>
      </c>
      <c r="I91" s="51">
        <v>4043.3964453833746</v>
      </c>
      <c r="J91" s="51">
        <v>2130.1167502301523</v>
      </c>
    </row>
    <row r="92" spans="1:10" x14ac:dyDescent="0.25">
      <c r="A92" s="45" t="s">
        <v>0</v>
      </c>
      <c r="B92" s="36"/>
      <c r="C92" s="36"/>
      <c r="D92" s="37"/>
      <c r="E92" s="37"/>
      <c r="F92" s="37"/>
      <c r="G92" s="44"/>
      <c r="H92" s="44"/>
      <c r="I92" s="44"/>
      <c r="J92" s="44"/>
    </row>
    <row r="93" spans="1:10" x14ac:dyDescent="0.25">
      <c r="A93" s="45" t="s">
        <v>123</v>
      </c>
      <c r="B93" s="36" t="s">
        <v>116</v>
      </c>
      <c r="C93" s="36">
        <v>1</v>
      </c>
      <c r="D93" s="37" t="s">
        <v>61</v>
      </c>
      <c r="E93" s="37" t="s">
        <v>85</v>
      </c>
      <c r="F93" s="37">
        <v>118</v>
      </c>
      <c r="G93" s="51">
        <v>4859547.9510046486</v>
      </c>
      <c r="H93" s="51">
        <v>13405.507054921623</v>
      </c>
      <c r="I93" s="51">
        <v>8987.5401319385746</v>
      </c>
      <c r="J93" s="51">
        <v>8873.456805186408</v>
      </c>
    </row>
    <row r="94" spans="1:10" x14ac:dyDescent="0.25">
      <c r="A94" s="45" t="s">
        <v>124</v>
      </c>
      <c r="B94" s="36" t="s">
        <v>116</v>
      </c>
      <c r="C94" s="36">
        <v>2</v>
      </c>
      <c r="D94" s="37" t="s">
        <v>61</v>
      </c>
      <c r="E94" s="37" t="s">
        <v>86</v>
      </c>
      <c r="F94" s="37">
        <v>34</v>
      </c>
      <c r="G94" s="51">
        <v>6356036.3807959137</v>
      </c>
      <c r="H94" s="51">
        <v>16720.826778851606</v>
      </c>
      <c r="I94" s="51">
        <v>12191.071842961854</v>
      </c>
      <c r="J94" s="51">
        <v>11276.830399822295</v>
      </c>
    </row>
    <row r="95" spans="1:10" x14ac:dyDescent="0.25">
      <c r="A95" s="45"/>
      <c r="B95" s="36" t="s">
        <v>114</v>
      </c>
      <c r="C95" s="36">
        <v>1</v>
      </c>
      <c r="D95" s="37" t="s">
        <v>61</v>
      </c>
      <c r="E95" s="37" t="s">
        <v>87</v>
      </c>
      <c r="F95" s="37">
        <v>4</v>
      </c>
      <c r="G95" s="51">
        <v>291520.36243442801</v>
      </c>
      <c r="H95" s="51">
        <v>1193.4770375677672</v>
      </c>
      <c r="I95" s="51">
        <v>1100.1997769585696</v>
      </c>
      <c r="J95" s="51">
        <v>379.55493222134322</v>
      </c>
    </row>
    <row r="96" spans="1:10" x14ac:dyDescent="0.25">
      <c r="A96" s="45"/>
      <c r="B96" s="36"/>
      <c r="C96" s="36"/>
      <c r="D96" s="37"/>
      <c r="E96" s="37"/>
      <c r="F96" s="37"/>
      <c r="G96" s="51"/>
      <c r="H96" s="51"/>
      <c r="I96" s="51"/>
      <c r="J96" s="51"/>
    </row>
    <row r="98" spans="1:10" ht="13" x14ac:dyDescent="0.3">
      <c r="A98" s="27" t="s">
        <v>140</v>
      </c>
      <c r="B98" s="40"/>
      <c r="C98" s="8"/>
      <c r="D98" s="42"/>
      <c r="E98" s="30" t="s">
        <v>56</v>
      </c>
      <c r="F98" s="43"/>
      <c r="G98" s="43"/>
      <c r="H98" s="43"/>
      <c r="I98" s="43"/>
      <c r="J98" s="43"/>
    </row>
    <row r="99" spans="1:10" ht="78" x14ac:dyDescent="0.3">
      <c r="A99" s="27" t="s">
        <v>38</v>
      </c>
      <c r="B99" s="8" t="s">
        <v>64</v>
      </c>
      <c r="C99" s="8" t="s">
        <v>39</v>
      </c>
      <c r="D99" s="31" t="s">
        <v>102</v>
      </c>
      <c r="E99" s="31" t="s">
        <v>103</v>
      </c>
      <c r="F99" s="31" t="s">
        <v>104</v>
      </c>
      <c r="G99" s="31" t="s">
        <v>105</v>
      </c>
      <c r="H99" s="31" t="s">
        <v>106</v>
      </c>
      <c r="I99" s="31" t="s">
        <v>107</v>
      </c>
      <c r="J99" s="31" t="s">
        <v>108</v>
      </c>
    </row>
    <row r="100" spans="1:10" ht="13" x14ac:dyDescent="0.3">
      <c r="A100" s="27"/>
      <c r="B100" s="27"/>
      <c r="C100" s="8"/>
      <c r="D100" s="22"/>
      <c r="E100" s="22"/>
      <c r="F100" s="22"/>
      <c r="G100" s="22"/>
      <c r="H100" s="22"/>
      <c r="I100" s="22"/>
      <c r="J100" s="22"/>
    </row>
    <row r="101" spans="1:10" x14ac:dyDescent="0.25">
      <c r="A101" s="41" t="s">
        <v>120</v>
      </c>
      <c r="B101" s="36" t="s">
        <v>125</v>
      </c>
      <c r="C101" s="36">
        <v>1</v>
      </c>
      <c r="D101" s="37" t="s">
        <v>60</v>
      </c>
      <c r="E101" s="37" t="s">
        <v>88</v>
      </c>
      <c r="F101" s="37">
        <v>103</v>
      </c>
      <c r="G101" s="51">
        <v>26205457.260514811</v>
      </c>
      <c r="H101" s="51">
        <v>240710.07957567283</v>
      </c>
      <c r="I101" s="51">
        <v>71942.835888760936</v>
      </c>
      <c r="J101" s="51">
        <v>65006.816058817349</v>
      </c>
    </row>
    <row r="102" spans="1:10" x14ac:dyDescent="0.25">
      <c r="A102" s="45"/>
      <c r="B102" s="36" t="s">
        <v>125</v>
      </c>
      <c r="C102" s="36">
        <v>2</v>
      </c>
      <c r="D102" s="37" t="s">
        <v>60</v>
      </c>
      <c r="E102" s="37" t="s">
        <v>89</v>
      </c>
      <c r="F102" s="37">
        <v>92</v>
      </c>
      <c r="G102" s="51">
        <v>34195113.399177559</v>
      </c>
      <c r="H102" s="51">
        <v>257218.5341939042</v>
      </c>
      <c r="I102" s="51">
        <v>118478.73474884345</v>
      </c>
      <c r="J102" s="51">
        <v>108965.09726391885</v>
      </c>
    </row>
    <row r="103" spans="1:10" x14ac:dyDescent="0.25">
      <c r="A103" s="45"/>
      <c r="B103" s="36" t="s">
        <v>125</v>
      </c>
      <c r="C103" s="36">
        <v>3</v>
      </c>
      <c r="D103" s="37" t="s">
        <v>60</v>
      </c>
      <c r="E103" s="37" t="s">
        <v>90</v>
      </c>
      <c r="F103" s="37">
        <v>92</v>
      </c>
      <c r="G103" s="51">
        <v>34034802.613616228</v>
      </c>
      <c r="H103" s="51">
        <v>220178.33064422794</v>
      </c>
      <c r="I103" s="51">
        <v>103795.89953426561</v>
      </c>
      <c r="J103" s="51">
        <v>101337.16564776152</v>
      </c>
    </row>
    <row r="104" spans="1:10" x14ac:dyDescent="0.25">
      <c r="A104" s="45"/>
      <c r="B104" s="36" t="s">
        <v>125</v>
      </c>
      <c r="C104" s="36">
        <v>4</v>
      </c>
      <c r="D104" s="37" t="s">
        <v>60</v>
      </c>
      <c r="E104" s="37" t="s">
        <v>91</v>
      </c>
      <c r="F104" s="37">
        <v>100</v>
      </c>
      <c r="G104" s="51">
        <v>41561970.785772942</v>
      </c>
      <c r="H104" s="51">
        <v>233066.42394991685</v>
      </c>
      <c r="I104" s="51">
        <v>126638.59469755685</v>
      </c>
      <c r="J104" s="51">
        <v>126638.59469755685</v>
      </c>
    </row>
    <row r="105" spans="1:10" x14ac:dyDescent="0.25">
      <c r="A105" s="45"/>
      <c r="B105" s="36"/>
      <c r="C105" s="36"/>
      <c r="D105" s="37"/>
      <c r="E105" s="37"/>
      <c r="F105" s="37"/>
      <c r="G105" s="51"/>
      <c r="H105" s="51"/>
      <c r="I105" s="51"/>
      <c r="J105" s="51"/>
    </row>
    <row r="106" spans="1:10" x14ac:dyDescent="0.25">
      <c r="A106" s="45" t="s">
        <v>121</v>
      </c>
      <c r="B106" s="36" t="s">
        <v>63</v>
      </c>
      <c r="C106" s="36">
        <v>1</v>
      </c>
      <c r="D106" s="37" t="s">
        <v>60</v>
      </c>
      <c r="E106" s="36" t="s">
        <v>92</v>
      </c>
      <c r="F106" s="36">
        <v>99</v>
      </c>
      <c r="G106" s="51">
        <v>1551530.4061173985</v>
      </c>
      <c r="H106" s="51">
        <v>17539.242564256063</v>
      </c>
      <c r="I106" s="51">
        <v>3609.3360183852851</v>
      </c>
      <c r="J106" s="51">
        <v>2777.1168561269001</v>
      </c>
    </row>
    <row r="107" spans="1:10" x14ac:dyDescent="0.25">
      <c r="A107" s="45" t="s">
        <v>122</v>
      </c>
      <c r="B107" s="36" t="s">
        <v>63</v>
      </c>
      <c r="C107" s="36">
        <v>2</v>
      </c>
      <c r="D107" s="37" t="s">
        <v>60</v>
      </c>
      <c r="E107" s="37" t="s">
        <v>93</v>
      </c>
      <c r="F107" s="37">
        <v>69</v>
      </c>
      <c r="G107" s="51">
        <v>2499239.8260223609</v>
      </c>
      <c r="H107" s="51">
        <v>15570.628998473239</v>
      </c>
      <c r="I107" s="51">
        <v>7917.8934708773304</v>
      </c>
      <c r="J107" s="51">
        <v>4470.4400036852248</v>
      </c>
    </row>
    <row r="108" spans="1:10" x14ac:dyDescent="0.25">
      <c r="A108" s="45"/>
      <c r="B108" s="36" t="s">
        <v>63</v>
      </c>
      <c r="C108" s="36">
        <v>3</v>
      </c>
      <c r="D108" s="37" t="s">
        <v>60</v>
      </c>
      <c r="E108" s="37" t="s">
        <v>94</v>
      </c>
      <c r="F108" s="37">
        <v>85</v>
      </c>
      <c r="G108" s="51">
        <v>2377701.613860786</v>
      </c>
      <c r="H108" s="51">
        <v>11790.861715772045</v>
      </c>
      <c r="I108" s="51">
        <v>6180.6236208141063</v>
      </c>
      <c r="J108" s="51">
        <v>3859.6104898890735</v>
      </c>
    </row>
    <row r="109" spans="1:10" x14ac:dyDescent="0.25">
      <c r="A109" s="45"/>
      <c r="B109" s="36" t="s">
        <v>63</v>
      </c>
      <c r="C109" s="36">
        <v>4</v>
      </c>
      <c r="D109" s="37" t="s">
        <v>60</v>
      </c>
      <c r="E109" s="37" t="s">
        <v>95</v>
      </c>
      <c r="F109" s="37">
        <v>75</v>
      </c>
      <c r="G109" s="51">
        <v>3154000.0320534208</v>
      </c>
      <c r="H109" s="51">
        <v>8387.6214371137175</v>
      </c>
      <c r="I109" s="51">
        <v>5708.9497584604496</v>
      </c>
      <c r="J109" s="51">
        <v>5673.7635538129689</v>
      </c>
    </row>
    <row r="110" spans="1:10" x14ac:dyDescent="0.25">
      <c r="A110" s="45"/>
      <c r="B110" s="36"/>
      <c r="C110" s="36"/>
      <c r="D110" s="37"/>
      <c r="E110" s="37"/>
      <c r="F110" s="37"/>
      <c r="G110" s="51"/>
      <c r="H110" s="51"/>
      <c r="I110" s="51"/>
      <c r="J110" s="51"/>
    </row>
    <row r="111" spans="1:10" x14ac:dyDescent="0.25">
      <c r="A111" s="45" t="s">
        <v>118</v>
      </c>
      <c r="B111" s="36" t="s">
        <v>112</v>
      </c>
      <c r="C111" s="36">
        <v>1</v>
      </c>
      <c r="D111" s="37" t="s">
        <v>61</v>
      </c>
      <c r="E111" s="37" t="s">
        <v>77</v>
      </c>
      <c r="F111" s="37">
        <v>128</v>
      </c>
      <c r="G111" s="51">
        <v>14309531.285629697</v>
      </c>
      <c r="H111" s="51">
        <v>69407.20458924408</v>
      </c>
      <c r="I111" s="51">
        <v>34979.996544027155</v>
      </c>
      <c r="J111" s="51">
        <v>27199.487462685844</v>
      </c>
    </row>
    <row r="112" spans="1:10" x14ac:dyDescent="0.25">
      <c r="A112" s="45" t="s">
        <v>119</v>
      </c>
      <c r="B112" s="36" t="s">
        <v>112</v>
      </c>
      <c r="C112" s="36">
        <v>2</v>
      </c>
      <c r="D112" s="37" t="s">
        <v>61</v>
      </c>
      <c r="E112" s="36" t="s">
        <v>78</v>
      </c>
      <c r="F112" s="36">
        <v>85</v>
      </c>
      <c r="G112" s="51">
        <v>18816512.932133585</v>
      </c>
      <c r="H112" s="51">
        <v>82072.942601361807</v>
      </c>
      <c r="I112" s="51">
        <v>43158.417500886579</v>
      </c>
      <c r="J112" s="51">
        <v>36219.633040180575</v>
      </c>
    </row>
    <row r="113" spans="1:16" x14ac:dyDescent="0.25">
      <c r="A113" s="46"/>
      <c r="B113" s="36" t="s">
        <v>112</v>
      </c>
      <c r="C113" s="36">
        <v>3</v>
      </c>
      <c r="D113" s="37" t="s">
        <v>61</v>
      </c>
      <c r="E113" s="38" t="s">
        <v>96</v>
      </c>
      <c r="F113" s="38">
        <v>104</v>
      </c>
      <c r="G113" s="51">
        <v>25682518.230991535</v>
      </c>
      <c r="H113" s="51">
        <v>88717.719954135755</v>
      </c>
      <c r="I113" s="51">
        <v>55197.359145337352</v>
      </c>
      <c r="J113" s="51">
        <v>45947.638845152425</v>
      </c>
    </row>
    <row r="114" spans="1:16" x14ac:dyDescent="0.25">
      <c r="A114" s="45"/>
      <c r="B114" s="36" t="s">
        <v>112</v>
      </c>
      <c r="C114" s="36">
        <v>4</v>
      </c>
      <c r="D114" s="37" t="s">
        <v>61</v>
      </c>
      <c r="E114" s="37" t="s">
        <v>62</v>
      </c>
      <c r="F114" s="37">
        <v>118</v>
      </c>
      <c r="G114" s="51">
        <v>41696077.908566616</v>
      </c>
      <c r="H114" s="51">
        <v>125434.86356587875</v>
      </c>
      <c r="I114" s="51">
        <v>87906.982947489771</v>
      </c>
      <c r="J114" s="51">
        <v>66057.156249682303</v>
      </c>
    </row>
    <row r="115" spans="1:16" x14ac:dyDescent="0.25">
      <c r="A115" s="45" t="s">
        <v>0</v>
      </c>
      <c r="B115" s="48" t="s">
        <v>114</v>
      </c>
      <c r="C115" s="36">
        <v>1</v>
      </c>
      <c r="D115" s="37" t="s">
        <v>61</v>
      </c>
      <c r="E115" s="37" t="s">
        <v>97</v>
      </c>
      <c r="F115" s="37">
        <v>125</v>
      </c>
      <c r="G115" s="51">
        <v>710265.50764689408</v>
      </c>
      <c r="H115" s="51">
        <v>3525.4968325492946</v>
      </c>
      <c r="I115" s="51">
        <v>1907.3934095387485</v>
      </c>
      <c r="J115" s="51">
        <v>966.16141217365544</v>
      </c>
    </row>
    <row r="116" spans="1:16" x14ac:dyDescent="0.25">
      <c r="A116" s="45"/>
      <c r="B116" s="48"/>
      <c r="C116" s="36"/>
      <c r="D116" s="37"/>
      <c r="E116" s="37"/>
      <c r="F116" s="37"/>
      <c r="G116" s="51"/>
      <c r="H116" s="51"/>
      <c r="I116" s="51"/>
      <c r="J116" s="51"/>
    </row>
    <row r="117" spans="1:16" x14ac:dyDescent="0.25">
      <c r="A117" s="45" t="s">
        <v>123</v>
      </c>
      <c r="B117" s="48" t="s">
        <v>116</v>
      </c>
      <c r="C117" s="36">
        <v>1</v>
      </c>
      <c r="D117" s="37" t="s">
        <v>61</v>
      </c>
      <c r="E117" s="37" t="s">
        <v>98</v>
      </c>
      <c r="F117" s="37">
        <v>245</v>
      </c>
      <c r="G117" s="51">
        <v>1779016.8583892453</v>
      </c>
      <c r="H117" s="51">
        <v>5299.5622341147928</v>
      </c>
      <c r="I117" s="51">
        <v>2921.5142225062027</v>
      </c>
      <c r="J117" s="51">
        <v>2760.4542976997172</v>
      </c>
    </row>
    <row r="118" spans="1:16" x14ac:dyDescent="0.25">
      <c r="A118" s="45" t="s">
        <v>124</v>
      </c>
      <c r="B118" s="48" t="s">
        <v>116</v>
      </c>
      <c r="C118" s="36">
        <v>2</v>
      </c>
      <c r="D118" s="37" t="s">
        <v>61</v>
      </c>
      <c r="E118" s="37" t="s">
        <v>99</v>
      </c>
      <c r="F118" s="37">
        <v>48</v>
      </c>
      <c r="G118" s="51">
        <v>2938009.0822601425</v>
      </c>
      <c r="H118" s="51">
        <v>7704.7866851790232</v>
      </c>
      <c r="I118" s="51">
        <v>5225.571659886642</v>
      </c>
      <c r="J118" s="51">
        <v>4129.8522029190408</v>
      </c>
    </row>
    <row r="119" spans="1:16" x14ac:dyDescent="0.25">
      <c r="A119" s="45" t="s">
        <v>0</v>
      </c>
      <c r="B119" s="48" t="s">
        <v>116</v>
      </c>
      <c r="C119" s="36">
        <v>3</v>
      </c>
      <c r="D119" s="37" t="s">
        <v>61</v>
      </c>
      <c r="E119" s="37" t="s">
        <v>100</v>
      </c>
      <c r="F119" s="37">
        <v>19</v>
      </c>
      <c r="G119" s="51">
        <v>2810405.4482438192</v>
      </c>
      <c r="H119" s="51">
        <v>6852.562156345286</v>
      </c>
      <c r="I119" s="51">
        <v>4899.5049439253125</v>
      </c>
      <c r="J119" s="51">
        <v>4154.8119855798905</v>
      </c>
    </row>
    <row r="120" spans="1:16" x14ac:dyDescent="0.25">
      <c r="A120" s="45"/>
      <c r="B120" s="48" t="s">
        <v>114</v>
      </c>
      <c r="C120" s="36">
        <v>1</v>
      </c>
      <c r="D120" s="37" t="s">
        <v>61</v>
      </c>
      <c r="E120" s="37" t="s">
        <v>101</v>
      </c>
      <c r="F120" s="37">
        <v>2</v>
      </c>
      <c r="G120" s="51">
        <v>5470.75979651333</v>
      </c>
      <c r="H120" s="51">
        <v>29.472000000000001</v>
      </c>
      <c r="I120" s="51">
        <v>29.634875990561653</v>
      </c>
      <c r="J120" s="51">
        <v>8.6877486617281736</v>
      </c>
    </row>
    <row r="121" spans="1:16" s="52" customFormat="1" ht="13" x14ac:dyDescent="0.3">
      <c r="A121" s="89" t="s">
        <v>136</v>
      </c>
      <c r="B121" s="88"/>
      <c r="C121" s="88"/>
      <c r="D121" s="88"/>
      <c r="E121" s="88"/>
      <c r="F121" s="88"/>
      <c r="G121" s="88"/>
      <c r="H121" s="88"/>
      <c r="I121" s="88"/>
      <c r="J121" s="88"/>
      <c r="K121" s="84"/>
      <c r="L121" s="84"/>
      <c r="M121" s="84"/>
      <c r="N121" s="84"/>
      <c r="O121" s="84"/>
      <c r="P121" s="78"/>
    </row>
    <row r="122" spans="1:16" s="4" customFormat="1" ht="13" x14ac:dyDescent="0.3">
      <c r="A122" s="1" t="s">
        <v>59</v>
      </c>
      <c r="B122" s="1"/>
      <c r="C122" s="2"/>
      <c r="D122" s="3"/>
      <c r="E122" s="2"/>
      <c r="F122" s="2"/>
      <c r="G122" s="2"/>
      <c r="H122" s="2"/>
      <c r="I122" s="2"/>
      <c r="J122" s="2"/>
    </row>
    <row r="123" spans="1:16" s="4" customFormat="1" ht="13" x14ac:dyDescent="0.3">
      <c r="A123" s="87" t="s">
        <v>157</v>
      </c>
      <c r="B123" s="88"/>
      <c r="C123" s="88"/>
      <c r="D123" s="88"/>
      <c r="E123" s="88"/>
      <c r="F123" s="88"/>
      <c r="G123" s="88"/>
      <c r="H123" s="88"/>
      <c r="I123" s="88"/>
      <c r="J123" s="88"/>
    </row>
    <row r="124" spans="1:16" s="4" customFormat="1" ht="13" x14ac:dyDescent="0.3">
      <c r="A124" s="5" t="str">
        <f>A4</f>
        <v>TEST YEAR ENDING 12/31/2018</v>
      </c>
      <c r="B124" s="5"/>
      <c r="C124" s="2"/>
      <c r="D124" s="3"/>
      <c r="E124" s="2"/>
      <c r="F124" s="2"/>
      <c r="G124" s="2"/>
      <c r="H124" s="2"/>
      <c r="I124" s="2"/>
      <c r="J124" s="2"/>
    </row>
    <row r="125" spans="1:16" s="4" customFormat="1" ht="13" x14ac:dyDescent="0.3">
      <c r="A125" s="5"/>
      <c r="B125" s="5"/>
      <c r="C125" s="2"/>
      <c r="D125" s="3"/>
      <c r="E125" s="2"/>
      <c r="F125" s="2"/>
      <c r="G125" s="2"/>
      <c r="H125" s="2"/>
      <c r="I125" s="2"/>
      <c r="J125" s="2"/>
    </row>
    <row r="126" spans="1:16" s="4" customFormat="1" ht="13" x14ac:dyDescent="0.3">
      <c r="A126" s="5"/>
      <c r="B126" s="5"/>
      <c r="C126" s="2"/>
      <c r="D126" s="3"/>
      <c r="E126" s="2"/>
      <c r="F126" s="2"/>
      <c r="G126" s="2"/>
      <c r="H126" s="2"/>
      <c r="I126" s="2"/>
      <c r="J126" s="2"/>
    </row>
    <row r="127" spans="1:16" ht="13" x14ac:dyDescent="0.3">
      <c r="A127" s="23" t="s">
        <v>139</v>
      </c>
      <c r="B127" s="40"/>
      <c r="C127" s="8"/>
      <c r="D127" s="42"/>
      <c r="E127" s="30" t="s">
        <v>52</v>
      </c>
      <c r="F127" s="43"/>
      <c r="G127" s="43"/>
      <c r="H127" s="43"/>
      <c r="I127" s="43"/>
      <c r="J127" s="43"/>
    </row>
    <row r="128" spans="1:16" ht="78" x14ac:dyDescent="0.3">
      <c r="A128" s="27" t="s">
        <v>38</v>
      </c>
      <c r="B128" s="8" t="s">
        <v>64</v>
      </c>
      <c r="C128" s="8" t="s">
        <v>39</v>
      </c>
      <c r="D128" s="31" t="s">
        <v>102</v>
      </c>
      <c r="E128" s="31" t="s">
        <v>103</v>
      </c>
      <c r="F128" s="31" t="s">
        <v>104</v>
      </c>
      <c r="G128" s="31" t="s">
        <v>105</v>
      </c>
      <c r="H128" s="31" t="s">
        <v>106</v>
      </c>
      <c r="I128" s="31" t="s">
        <v>107</v>
      </c>
      <c r="J128" s="31" t="s">
        <v>108</v>
      </c>
    </row>
    <row r="129" spans="1:10" ht="13" x14ac:dyDescent="0.3">
      <c r="A129" s="27"/>
      <c r="B129" s="27"/>
      <c r="C129" s="8"/>
      <c r="D129" s="22"/>
      <c r="E129" s="22"/>
      <c r="F129" s="22"/>
      <c r="G129" s="22"/>
      <c r="H129" s="22"/>
      <c r="I129" s="22"/>
      <c r="J129" s="22"/>
    </row>
    <row r="130" spans="1:10" x14ac:dyDescent="0.25">
      <c r="A130" s="39" t="s">
        <v>117</v>
      </c>
      <c r="B130" s="36" t="s">
        <v>109</v>
      </c>
      <c r="C130" s="36">
        <v>1</v>
      </c>
      <c r="D130" s="37" t="s">
        <v>60</v>
      </c>
      <c r="E130" s="37" t="s">
        <v>65</v>
      </c>
      <c r="F130" s="37">
        <v>72</v>
      </c>
      <c r="G130" s="51">
        <v>125055344.0030432</v>
      </c>
      <c r="H130" s="51">
        <v>1003907.4361759995</v>
      </c>
      <c r="I130" s="51">
        <v>340488.44804646057</v>
      </c>
      <c r="J130" s="51">
        <v>258113.23525168875</v>
      </c>
    </row>
    <row r="131" spans="1:10" x14ac:dyDescent="0.25">
      <c r="A131" s="45"/>
      <c r="B131" s="36" t="s">
        <v>109</v>
      </c>
      <c r="C131" s="36">
        <v>2</v>
      </c>
      <c r="D131" s="37" t="s">
        <v>60</v>
      </c>
      <c r="E131" s="37" t="s">
        <v>66</v>
      </c>
      <c r="F131" s="37">
        <v>80</v>
      </c>
      <c r="G131" s="51">
        <v>134427678.27626982</v>
      </c>
      <c r="H131" s="51">
        <v>899899.16487114818</v>
      </c>
      <c r="I131" s="51">
        <v>388309.28846533777</v>
      </c>
      <c r="J131" s="51">
        <v>341477.86755959195</v>
      </c>
    </row>
    <row r="132" spans="1:10" x14ac:dyDescent="0.25">
      <c r="A132" s="45"/>
      <c r="B132" s="36" t="s">
        <v>109</v>
      </c>
      <c r="C132" s="36">
        <v>3</v>
      </c>
      <c r="D132" s="37" t="s">
        <v>60</v>
      </c>
      <c r="E132" s="37" t="s">
        <v>67</v>
      </c>
      <c r="F132" s="37">
        <v>71</v>
      </c>
      <c r="G132" s="51">
        <v>155173997.0197283</v>
      </c>
      <c r="H132" s="51">
        <v>845571.76722571917</v>
      </c>
      <c r="I132" s="51">
        <v>430012.21717182436</v>
      </c>
      <c r="J132" s="51">
        <v>340765.75104851887</v>
      </c>
    </row>
    <row r="133" spans="1:10" x14ac:dyDescent="0.25">
      <c r="A133" s="45"/>
      <c r="B133" s="36" t="s">
        <v>110</v>
      </c>
      <c r="C133" s="36">
        <v>1</v>
      </c>
      <c r="D133" s="37" t="s">
        <v>60</v>
      </c>
      <c r="E133" s="37" t="s">
        <v>68</v>
      </c>
      <c r="F133" s="37">
        <v>48</v>
      </c>
      <c r="G133" s="51">
        <v>92337379.779121995</v>
      </c>
      <c r="H133" s="51">
        <v>676502.05674513848</v>
      </c>
      <c r="I133" s="51">
        <v>265164.26407518965</v>
      </c>
      <c r="J133" s="51">
        <v>210862.22022208996</v>
      </c>
    </row>
    <row r="134" spans="1:10" x14ac:dyDescent="0.25">
      <c r="A134" s="45"/>
      <c r="B134" s="36" t="s">
        <v>110</v>
      </c>
      <c r="C134" s="36">
        <v>2</v>
      </c>
      <c r="D134" s="37" t="s">
        <v>60</v>
      </c>
      <c r="E134" s="37" t="s">
        <v>69</v>
      </c>
      <c r="F134" s="37">
        <v>51</v>
      </c>
      <c r="G134" s="51">
        <v>111901528.35411386</v>
      </c>
      <c r="H134" s="51">
        <v>646348.50950906286</v>
      </c>
      <c r="I134" s="51">
        <v>316785.63942456839</v>
      </c>
      <c r="J134" s="51">
        <v>262539.2982991481</v>
      </c>
    </row>
    <row r="135" spans="1:10" x14ac:dyDescent="0.25">
      <c r="A135" s="45"/>
      <c r="B135" s="36"/>
      <c r="C135" s="36"/>
      <c r="D135" s="37"/>
      <c r="E135" s="37"/>
      <c r="F135" s="37"/>
      <c r="G135" s="44"/>
      <c r="H135" s="44"/>
      <c r="I135" s="44"/>
      <c r="J135" s="44"/>
    </row>
    <row r="136" spans="1:10" x14ac:dyDescent="0.25">
      <c r="A136" s="45" t="s">
        <v>121</v>
      </c>
      <c r="B136" s="36" t="s">
        <v>63</v>
      </c>
      <c r="C136" s="36">
        <v>1</v>
      </c>
      <c r="D136" s="37" t="s">
        <v>60</v>
      </c>
      <c r="E136" s="36" t="s">
        <v>70</v>
      </c>
      <c r="F136" s="36">
        <v>88</v>
      </c>
      <c r="G136" s="51">
        <v>4493401.4290388031</v>
      </c>
      <c r="H136" s="51">
        <v>53727.283154054348</v>
      </c>
      <c r="I136" s="51">
        <v>11660.924558986861</v>
      </c>
      <c r="J136" s="51">
        <v>6444.2646645515269</v>
      </c>
    </row>
    <row r="137" spans="1:10" x14ac:dyDescent="0.25">
      <c r="A137" s="45" t="s">
        <v>122</v>
      </c>
      <c r="B137" s="36" t="s">
        <v>63</v>
      </c>
      <c r="C137" s="36">
        <v>2</v>
      </c>
      <c r="D137" s="37" t="s">
        <v>60</v>
      </c>
      <c r="E137" s="37" t="s">
        <v>71</v>
      </c>
      <c r="F137" s="37">
        <v>53</v>
      </c>
      <c r="G137" s="51">
        <v>4496184.5804766798</v>
      </c>
      <c r="H137" s="51">
        <v>30738.879713661041</v>
      </c>
      <c r="I137" s="51">
        <v>12029.549735395056</v>
      </c>
      <c r="J137" s="51">
        <v>10214.547919047236</v>
      </c>
    </row>
    <row r="138" spans="1:10" x14ac:dyDescent="0.25">
      <c r="A138" s="45"/>
      <c r="B138" s="36" t="s">
        <v>63</v>
      </c>
      <c r="C138" s="36">
        <v>3</v>
      </c>
      <c r="D138" s="37" t="s">
        <v>60</v>
      </c>
      <c r="E138" s="37" t="s">
        <v>72</v>
      </c>
      <c r="F138" s="37">
        <v>44</v>
      </c>
      <c r="G138" s="51">
        <v>5159633.7166936044</v>
      </c>
      <c r="H138" s="51">
        <v>27724.297253249857</v>
      </c>
      <c r="I138" s="51">
        <v>13385.253762220133</v>
      </c>
      <c r="J138" s="51">
        <v>13184.251720605718</v>
      </c>
    </row>
    <row r="139" spans="1:10" x14ac:dyDescent="0.25">
      <c r="A139" s="45"/>
      <c r="B139" s="36" t="s">
        <v>63</v>
      </c>
      <c r="C139" s="36">
        <v>4</v>
      </c>
      <c r="D139" s="37" t="s">
        <v>60</v>
      </c>
      <c r="E139" s="37" t="s">
        <v>73</v>
      </c>
      <c r="F139" s="37">
        <v>52</v>
      </c>
      <c r="G139" s="51">
        <v>5933792.2272394132</v>
      </c>
      <c r="H139" s="51">
        <v>22301.611152240894</v>
      </c>
      <c r="I139" s="51">
        <v>12881.167440402074</v>
      </c>
      <c r="J139" s="51">
        <v>12457.97685159757</v>
      </c>
    </row>
    <row r="140" spans="1:10" x14ac:dyDescent="0.25">
      <c r="A140" s="45"/>
      <c r="B140" s="36" t="s">
        <v>63</v>
      </c>
      <c r="C140" s="36">
        <v>5</v>
      </c>
      <c r="D140" s="37" t="s">
        <v>60</v>
      </c>
      <c r="E140" s="37" t="s">
        <v>74</v>
      </c>
      <c r="F140" s="37">
        <v>39</v>
      </c>
      <c r="G140" s="51">
        <v>7515262.471527745</v>
      </c>
      <c r="H140" s="51">
        <v>19340.477286298454</v>
      </c>
      <c r="I140" s="51">
        <v>12696.082014955997</v>
      </c>
      <c r="J140" s="51">
        <v>11858.219155379895</v>
      </c>
    </row>
    <row r="141" spans="1:10" x14ac:dyDescent="0.25">
      <c r="A141" s="45"/>
      <c r="B141" s="36" t="s">
        <v>111</v>
      </c>
      <c r="C141" s="36">
        <v>1</v>
      </c>
      <c r="D141" s="37" t="s">
        <v>60</v>
      </c>
      <c r="E141" s="37" t="s">
        <v>75</v>
      </c>
      <c r="F141" s="37">
        <v>89</v>
      </c>
      <c r="G141" s="51">
        <v>76278.87614925376</v>
      </c>
      <c r="H141" s="51">
        <v>671.10949258553126</v>
      </c>
      <c r="I141" s="51">
        <v>180.28305966198772</v>
      </c>
      <c r="J141" s="51">
        <v>117.52707178771067</v>
      </c>
    </row>
    <row r="142" spans="1:10" x14ac:dyDescent="0.25">
      <c r="A142" s="45"/>
      <c r="B142" s="36" t="s">
        <v>111</v>
      </c>
      <c r="C142" s="36">
        <v>2</v>
      </c>
      <c r="D142" s="37" t="s">
        <v>60</v>
      </c>
      <c r="E142" s="37" t="s">
        <v>76</v>
      </c>
      <c r="F142" s="37">
        <v>45</v>
      </c>
      <c r="G142" s="51">
        <v>97746.493045304829</v>
      </c>
      <c r="H142" s="51">
        <v>411.21645707215112</v>
      </c>
      <c r="I142" s="51">
        <v>196.23855475818593</v>
      </c>
      <c r="J142" s="51">
        <v>153.82059927026734</v>
      </c>
    </row>
    <row r="143" spans="1:10" x14ac:dyDescent="0.25">
      <c r="A143" s="45"/>
      <c r="B143" s="36"/>
      <c r="C143" s="36"/>
      <c r="D143" s="37"/>
      <c r="E143" s="37"/>
      <c r="F143" s="37"/>
      <c r="G143" s="44"/>
      <c r="H143" s="44"/>
      <c r="I143" s="44"/>
      <c r="J143" s="44"/>
    </row>
    <row r="144" spans="1:10" x14ac:dyDescent="0.25">
      <c r="A144" s="45" t="s">
        <v>118</v>
      </c>
      <c r="B144" s="36" t="s">
        <v>112</v>
      </c>
      <c r="C144" s="36">
        <v>1</v>
      </c>
      <c r="D144" s="37" t="s">
        <v>61</v>
      </c>
      <c r="E144" s="37" t="s">
        <v>77</v>
      </c>
      <c r="F144" s="37">
        <v>138</v>
      </c>
      <c r="G144" s="51">
        <v>60077890.004284926</v>
      </c>
      <c r="H144" s="51">
        <v>275822.35618435737</v>
      </c>
      <c r="I144" s="51">
        <v>149978.53322017234</v>
      </c>
      <c r="J144" s="51">
        <v>143586.6881159133</v>
      </c>
    </row>
    <row r="145" spans="1:10" x14ac:dyDescent="0.25">
      <c r="A145" s="45" t="s">
        <v>119</v>
      </c>
      <c r="B145" s="36" t="s">
        <v>112</v>
      </c>
      <c r="C145" s="36">
        <v>2</v>
      </c>
      <c r="D145" s="37" t="s">
        <v>61</v>
      </c>
      <c r="E145" s="36" t="s">
        <v>78</v>
      </c>
      <c r="F145" s="36">
        <v>73</v>
      </c>
      <c r="G145" s="51">
        <v>85587157.581828043</v>
      </c>
      <c r="H145" s="51">
        <v>343731.19475569087</v>
      </c>
      <c r="I145" s="51">
        <v>200190.6603873542</v>
      </c>
      <c r="J145" s="51">
        <v>182725.99515667846</v>
      </c>
    </row>
    <row r="146" spans="1:10" x14ac:dyDescent="0.25">
      <c r="A146" s="46"/>
      <c r="B146" s="36" t="s">
        <v>112</v>
      </c>
      <c r="C146" s="36">
        <v>3</v>
      </c>
      <c r="D146" s="37" t="s">
        <v>61</v>
      </c>
      <c r="E146" s="38" t="s">
        <v>79</v>
      </c>
      <c r="F146" s="38">
        <v>91</v>
      </c>
      <c r="G146" s="51">
        <v>144955342.50245914</v>
      </c>
      <c r="H146" s="51">
        <v>449081.1984917199</v>
      </c>
      <c r="I146" s="51">
        <v>285208.55368638627</v>
      </c>
      <c r="J146" s="51">
        <v>265725.82874836033</v>
      </c>
    </row>
    <row r="147" spans="1:10" x14ac:dyDescent="0.25">
      <c r="A147" s="45"/>
      <c r="B147" s="36" t="s">
        <v>112</v>
      </c>
      <c r="C147" s="36">
        <v>4</v>
      </c>
      <c r="D147" s="37" t="s">
        <v>61</v>
      </c>
      <c r="E147" s="37" t="s">
        <v>80</v>
      </c>
      <c r="F147" s="37">
        <v>109</v>
      </c>
      <c r="G147" s="51">
        <v>209241604.20502084</v>
      </c>
      <c r="H147" s="51">
        <v>592651.24764096551</v>
      </c>
      <c r="I147" s="51">
        <v>448067.19384950877</v>
      </c>
      <c r="J147" s="51">
        <v>416065.55410576571</v>
      </c>
    </row>
    <row r="148" spans="1:10" x14ac:dyDescent="0.25">
      <c r="A148" s="45"/>
      <c r="B148" s="36" t="s">
        <v>113</v>
      </c>
      <c r="C148" s="36">
        <v>1</v>
      </c>
      <c r="D148" s="37" t="s">
        <v>61</v>
      </c>
      <c r="E148" s="37" t="s">
        <v>81</v>
      </c>
      <c r="F148" s="37">
        <v>7</v>
      </c>
      <c r="G148" s="51">
        <v>10483.023313602112</v>
      </c>
      <c r="H148" s="51">
        <v>43.428599999999996</v>
      </c>
      <c r="I148" s="51">
        <v>35.951955608695627</v>
      </c>
      <c r="J148" s="51">
        <v>12.654938428438795</v>
      </c>
    </row>
    <row r="149" spans="1:10" x14ac:dyDescent="0.25">
      <c r="A149" s="45"/>
      <c r="B149" s="36" t="s">
        <v>114</v>
      </c>
      <c r="C149" s="36">
        <v>1</v>
      </c>
      <c r="D149" s="37" t="s">
        <v>61</v>
      </c>
      <c r="E149" s="37" t="s">
        <v>82</v>
      </c>
      <c r="F149" s="37">
        <v>134</v>
      </c>
      <c r="G149" s="51">
        <v>1579530.546223694</v>
      </c>
      <c r="H149" s="51">
        <v>7337.1795401449917</v>
      </c>
      <c r="I149" s="51">
        <v>3925.3347952243371</v>
      </c>
      <c r="J149" s="51">
        <v>2740.3764778053405</v>
      </c>
    </row>
    <row r="150" spans="1:10" x14ac:dyDescent="0.25">
      <c r="A150" s="45"/>
      <c r="B150" s="36" t="s">
        <v>115</v>
      </c>
      <c r="C150" s="36">
        <v>1</v>
      </c>
      <c r="D150" s="37" t="s">
        <v>61</v>
      </c>
      <c r="E150" s="37" t="s">
        <v>83</v>
      </c>
      <c r="F150" s="37">
        <v>252</v>
      </c>
      <c r="G150" s="51">
        <v>1569260.8608765299</v>
      </c>
      <c r="H150" s="51">
        <v>9399.1925188849455</v>
      </c>
      <c r="I150" s="51">
        <v>3447.267393279074</v>
      </c>
      <c r="J150" s="51">
        <v>2953.6759320857695</v>
      </c>
    </row>
    <row r="151" spans="1:10" x14ac:dyDescent="0.25">
      <c r="A151" s="45"/>
      <c r="B151" s="36" t="s">
        <v>115</v>
      </c>
      <c r="C151" s="36">
        <v>2</v>
      </c>
      <c r="D151" s="37" t="s">
        <v>61</v>
      </c>
      <c r="E151" s="37" t="s">
        <v>84</v>
      </c>
      <c r="F151" s="37">
        <v>70</v>
      </c>
      <c r="G151" s="51">
        <v>2631063.1499787378</v>
      </c>
      <c r="H151" s="51">
        <v>11691.277642870014</v>
      </c>
      <c r="I151" s="51">
        <v>6265.903906107148</v>
      </c>
      <c r="J151" s="51">
        <v>4469.011510549949</v>
      </c>
    </row>
    <row r="152" spans="1:10" x14ac:dyDescent="0.25">
      <c r="A152" s="45" t="s">
        <v>0</v>
      </c>
      <c r="B152" s="36"/>
      <c r="C152" s="36"/>
      <c r="D152" s="37"/>
      <c r="E152" s="37"/>
      <c r="F152" s="37"/>
      <c r="G152" s="44"/>
      <c r="H152" s="44"/>
      <c r="I152" s="44"/>
      <c r="J152" s="44"/>
    </row>
    <row r="153" spans="1:10" x14ac:dyDescent="0.25">
      <c r="A153" s="45" t="s">
        <v>123</v>
      </c>
      <c r="B153" s="36" t="s">
        <v>116</v>
      </c>
      <c r="C153" s="36">
        <v>1</v>
      </c>
      <c r="D153" s="37" t="s">
        <v>61</v>
      </c>
      <c r="E153" s="37" t="s">
        <v>85</v>
      </c>
      <c r="F153" s="37">
        <v>118</v>
      </c>
      <c r="G153" s="51">
        <v>5386929.6303060027</v>
      </c>
      <c r="H153" s="51">
        <v>13566.903339923902</v>
      </c>
      <c r="I153" s="51">
        <v>9488.0678830380439</v>
      </c>
      <c r="J153" s="51">
        <v>9264.7472409137408</v>
      </c>
    </row>
    <row r="154" spans="1:10" x14ac:dyDescent="0.25">
      <c r="A154" s="45" t="s">
        <v>124</v>
      </c>
      <c r="B154" s="36" t="s">
        <v>116</v>
      </c>
      <c r="C154" s="36">
        <v>2</v>
      </c>
      <c r="D154" s="37" t="s">
        <v>61</v>
      </c>
      <c r="E154" s="37" t="s">
        <v>86</v>
      </c>
      <c r="F154" s="37">
        <v>34</v>
      </c>
      <c r="G154" s="51">
        <v>7123810.2947585387</v>
      </c>
      <c r="H154" s="51">
        <v>16466.627951261511</v>
      </c>
      <c r="I154" s="51">
        <v>12581.240848297819</v>
      </c>
      <c r="J154" s="51">
        <v>12493.201649811474</v>
      </c>
    </row>
    <row r="155" spans="1:10" x14ac:dyDescent="0.25">
      <c r="A155" s="45"/>
      <c r="B155" s="36" t="s">
        <v>114</v>
      </c>
      <c r="C155" s="36">
        <v>1</v>
      </c>
      <c r="D155" s="37" t="s">
        <v>61</v>
      </c>
      <c r="E155" s="37" t="s">
        <v>87</v>
      </c>
      <c r="F155" s="37">
        <v>4</v>
      </c>
      <c r="G155" s="51">
        <v>407862.94341979764</v>
      </c>
      <c r="H155" s="51">
        <v>1975.6859490236468</v>
      </c>
      <c r="I155" s="51">
        <v>1938.9467436099208</v>
      </c>
      <c r="J155" s="51">
        <v>1198.9620175388036</v>
      </c>
    </row>
    <row r="158" spans="1:10" ht="13" x14ac:dyDescent="0.3">
      <c r="A158" s="23" t="s">
        <v>140</v>
      </c>
      <c r="B158" s="40"/>
      <c r="C158" s="8"/>
      <c r="D158" s="42"/>
      <c r="E158" s="30" t="s">
        <v>52</v>
      </c>
      <c r="F158" s="43"/>
      <c r="G158" s="43"/>
      <c r="H158" s="43"/>
      <c r="I158" s="43"/>
      <c r="J158" s="43"/>
    </row>
    <row r="159" spans="1:10" ht="78" x14ac:dyDescent="0.3">
      <c r="A159" s="27" t="s">
        <v>38</v>
      </c>
      <c r="B159" s="8" t="s">
        <v>64</v>
      </c>
      <c r="C159" s="8" t="s">
        <v>39</v>
      </c>
      <c r="D159" s="31" t="s">
        <v>102</v>
      </c>
      <c r="E159" s="31" t="s">
        <v>103</v>
      </c>
      <c r="F159" s="31" t="s">
        <v>104</v>
      </c>
      <c r="G159" s="31" t="s">
        <v>105</v>
      </c>
      <c r="H159" s="31" t="s">
        <v>106</v>
      </c>
      <c r="I159" s="31" t="s">
        <v>107</v>
      </c>
      <c r="J159" s="31" t="s">
        <v>108</v>
      </c>
    </row>
    <row r="160" spans="1:10" ht="13" x14ac:dyDescent="0.3">
      <c r="A160" s="27"/>
      <c r="B160" s="27"/>
      <c r="C160" s="8"/>
      <c r="D160" s="22"/>
      <c r="E160" s="22"/>
      <c r="F160" s="22"/>
      <c r="G160" s="22"/>
      <c r="H160" s="22"/>
      <c r="I160" s="22"/>
      <c r="J160" s="22"/>
    </row>
    <row r="161" spans="1:10" x14ac:dyDescent="0.25">
      <c r="A161" s="41" t="s">
        <v>120</v>
      </c>
      <c r="B161" s="36" t="s">
        <v>125</v>
      </c>
      <c r="C161" s="36">
        <v>1</v>
      </c>
      <c r="D161" s="37" t="s">
        <v>60</v>
      </c>
      <c r="E161" s="37" t="s">
        <v>88</v>
      </c>
      <c r="F161" s="37">
        <v>103</v>
      </c>
      <c r="G161" s="47">
        <v>22028471.100000001</v>
      </c>
      <c r="H161" s="47">
        <v>226501.14</v>
      </c>
      <c r="I161" s="47">
        <v>54283.17</v>
      </c>
      <c r="J161" s="47">
        <v>52690.87</v>
      </c>
    </row>
    <row r="162" spans="1:10" x14ac:dyDescent="0.25">
      <c r="A162" s="45"/>
      <c r="B162" s="36" t="s">
        <v>125</v>
      </c>
      <c r="C162" s="36">
        <v>2</v>
      </c>
      <c r="D162" s="37" t="s">
        <v>60</v>
      </c>
      <c r="E162" s="37" t="s">
        <v>89</v>
      </c>
      <c r="F162" s="37">
        <v>92</v>
      </c>
      <c r="G162" s="47">
        <v>25673153.039999999</v>
      </c>
      <c r="H162" s="47">
        <v>217954.35</v>
      </c>
      <c r="I162" s="47">
        <v>72408.41</v>
      </c>
      <c r="J162" s="47">
        <v>68656.210000000006</v>
      </c>
    </row>
    <row r="163" spans="1:10" x14ac:dyDescent="0.25">
      <c r="A163" s="45"/>
      <c r="B163" s="36" t="s">
        <v>125</v>
      </c>
      <c r="C163" s="36">
        <v>3</v>
      </c>
      <c r="D163" s="37" t="s">
        <v>60</v>
      </c>
      <c r="E163" s="37" t="s">
        <v>90</v>
      </c>
      <c r="F163" s="37">
        <v>92</v>
      </c>
      <c r="G163" s="47">
        <v>27211814.690000001</v>
      </c>
      <c r="H163" s="47">
        <v>201798.13</v>
      </c>
      <c r="I163" s="47">
        <v>81143.289999999994</v>
      </c>
      <c r="J163" s="47">
        <v>78296.320000000007</v>
      </c>
    </row>
    <row r="164" spans="1:10" x14ac:dyDescent="0.25">
      <c r="A164" s="45"/>
      <c r="B164" s="36" t="s">
        <v>125</v>
      </c>
      <c r="C164" s="36">
        <v>4</v>
      </c>
      <c r="D164" s="37" t="s">
        <v>60</v>
      </c>
      <c r="E164" s="37" t="s">
        <v>91</v>
      </c>
      <c r="F164" s="37">
        <v>100</v>
      </c>
      <c r="G164" s="47">
        <v>31365760.739999998</v>
      </c>
      <c r="H164" s="47">
        <v>194393.54</v>
      </c>
      <c r="I164" s="47">
        <v>81282.67</v>
      </c>
      <c r="J164" s="47">
        <v>72604</v>
      </c>
    </row>
    <row r="165" spans="1:10" x14ac:dyDescent="0.25">
      <c r="A165" s="45"/>
      <c r="B165" s="36"/>
      <c r="C165" s="36"/>
      <c r="D165" s="37"/>
      <c r="E165" s="37"/>
      <c r="F165" s="37"/>
      <c r="G165" s="47"/>
      <c r="H165" s="47"/>
      <c r="I165" s="47"/>
      <c r="J165" s="47"/>
    </row>
    <row r="166" spans="1:10" x14ac:dyDescent="0.25">
      <c r="A166" s="45" t="s">
        <v>121</v>
      </c>
      <c r="B166" s="36" t="s">
        <v>63</v>
      </c>
      <c r="C166" s="36">
        <v>1</v>
      </c>
      <c r="D166" s="37" t="s">
        <v>60</v>
      </c>
      <c r="E166" s="36" t="s">
        <v>92</v>
      </c>
      <c r="F166" s="36">
        <v>99</v>
      </c>
      <c r="G166" s="47">
        <v>1644806.75</v>
      </c>
      <c r="H166" s="47">
        <v>19077.939999999999</v>
      </c>
      <c r="I166" s="47">
        <v>4306.55</v>
      </c>
      <c r="J166" s="47">
        <v>2513.64</v>
      </c>
    </row>
    <row r="167" spans="1:10" x14ac:dyDescent="0.25">
      <c r="A167" s="45" t="s">
        <v>122</v>
      </c>
      <c r="B167" s="36" t="s">
        <v>63</v>
      </c>
      <c r="C167" s="36">
        <v>2</v>
      </c>
      <c r="D167" s="37" t="s">
        <v>60</v>
      </c>
      <c r="E167" s="37" t="s">
        <v>93</v>
      </c>
      <c r="F167" s="37">
        <v>69</v>
      </c>
      <c r="G167" s="47">
        <v>2238454.54</v>
      </c>
      <c r="H167" s="47">
        <v>15228.09</v>
      </c>
      <c r="I167" s="47">
        <v>5514.15</v>
      </c>
      <c r="J167" s="47">
        <v>2714.73</v>
      </c>
    </row>
    <row r="168" spans="1:10" x14ac:dyDescent="0.25">
      <c r="A168" s="45"/>
      <c r="B168" s="36" t="s">
        <v>63</v>
      </c>
      <c r="C168" s="36">
        <v>3</v>
      </c>
      <c r="D168" s="37" t="s">
        <v>60</v>
      </c>
      <c r="E168" s="37" t="s">
        <v>94</v>
      </c>
      <c r="F168" s="37">
        <v>85</v>
      </c>
      <c r="G168" s="47">
        <v>2287175.4500000002</v>
      </c>
      <c r="H168" s="47">
        <v>12111.38</v>
      </c>
      <c r="I168" s="47">
        <v>5297.67</v>
      </c>
      <c r="J168" s="47">
        <v>2735.66</v>
      </c>
    </row>
    <row r="169" spans="1:10" x14ac:dyDescent="0.25">
      <c r="A169" s="45"/>
      <c r="B169" s="36" t="s">
        <v>63</v>
      </c>
      <c r="C169" s="36">
        <v>4</v>
      </c>
      <c r="D169" s="37" t="s">
        <v>60</v>
      </c>
      <c r="E169" s="37" t="s">
        <v>95</v>
      </c>
      <c r="F169" s="37">
        <v>75</v>
      </c>
      <c r="G169" s="47">
        <v>3457719.79</v>
      </c>
      <c r="H169" s="47">
        <v>8582.33</v>
      </c>
      <c r="I169" s="47">
        <v>5671.02</v>
      </c>
      <c r="J169" s="47">
        <v>5231.84</v>
      </c>
    </row>
    <row r="170" spans="1:10" x14ac:dyDescent="0.25">
      <c r="A170" s="45"/>
      <c r="B170" s="36"/>
      <c r="C170" s="36"/>
      <c r="D170" s="37"/>
      <c r="E170" s="37"/>
      <c r="F170" s="37"/>
      <c r="G170" s="47"/>
      <c r="H170" s="47"/>
      <c r="I170" s="47"/>
      <c r="J170" s="47"/>
    </row>
    <row r="171" spans="1:10" x14ac:dyDescent="0.25">
      <c r="A171" s="45" t="s">
        <v>118</v>
      </c>
      <c r="B171" s="36" t="s">
        <v>112</v>
      </c>
      <c r="C171" s="36">
        <v>1</v>
      </c>
      <c r="D171" s="37" t="s">
        <v>61</v>
      </c>
      <c r="E171" s="37" t="s">
        <v>77</v>
      </c>
      <c r="F171" s="37">
        <v>128</v>
      </c>
      <c r="G171" s="47">
        <v>12832864.18</v>
      </c>
      <c r="H171" s="47">
        <v>61764.43</v>
      </c>
      <c r="I171" s="47">
        <v>26054.93</v>
      </c>
      <c r="J171" s="47">
        <v>18917.82</v>
      </c>
    </row>
    <row r="172" spans="1:10" x14ac:dyDescent="0.25">
      <c r="A172" s="45" t="s">
        <v>119</v>
      </c>
      <c r="B172" s="36" t="s">
        <v>112</v>
      </c>
      <c r="C172" s="36">
        <v>2</v>
      </c>
      <c r="D172" s="37" t="s">
        <v>61</v>
      </c>
      <c r="E172" s="36" t="s">
        <v>78</v>
      </c>
      <c r="F172" s="36">
        <v>85</v>
      </c>
      <c r="G172" s="47">
        <v>18847522.140000001</v>
      </c>
      <c r="H172" s="47">
        <v>80191.210000000006</v>
      </c>
      <c r="I172" s="47">
        <v>38439.64</v>
      </c>
      <c r="J172" s="47">
        <v>30268.45</v>
      </c>
    </row>
    <row r="173" spans="1:10" x14ac:dyDescent="0.25">
      <c r="A173" s="46"/>
      <c r="B173" s="36" t="s">
        <v>112</v>
      </c>
      <c r="C173" s="36">
        <v>3</v>
      </c>
      <c r="D173" s="37" t="s">
        <v>61</v>
      </c>
      <c r="E173" s="38" t="s">
        <v>96</v>
      </c>
      <c r="F173" s="38">
        <v>104</v>
      </c>
      <c r="G173" s="47">
        <v>27420149.66</v>
      </c>
      <c r="H173" s="47">
        <v>88028.22</v>
      </c>
      <c r="I173" s="47">
        <v>56441.93</v>
      </c>
      <c r="J173" s="47">
        <v>39222.660000000003</v>
      </c>
    </row>
    <row r="174" spans="1:10" x14ac:dyDescent="0.25">
      <c r="A174" s="45"/>
      <c r="B174" s="36" t="s">
        <v>112</v>
      </c>
      <c r="C174" s="36">
        <v>4</v>
      </c>
      <c r="D174" s="37" t="s">
        <v>61</v>
      </c>
      <c r="E174" s="37" t="s">
        <v>62</v>
      </c>
      <c r="F174" s="37">
        <v>118</v>
      </c>
      <c r="G174" s="47">
        <v>45234362.640000001</v>
      </c>
      <c r="H174" s="47">
        <v>122215.52</v>
      </c>
      <c r="I174" s="47">
        <v>92976.960000000006</v>
      </c>
      <c r="J174" s="47">
        <v>63238.53</v>
      </c>
    </row>
    <row r="175" spans="1:10" x14ac:dyDescent="0.25">
      <c r="A175" s="45" t="s">
        <v>0</v>
      </c>
      <c r="B175" s="48" t="s">
        <v>114</v>
      </c>
      <c r="C175" s="36">
        <v>1</v>
      </c>
      <c r="D175" s="37" t="s">
        <v>61</v>
      </c>
      <c r="E175" s="37" t="s">
        <v>97</v>
      </c>
      <c r="F175" s="37">
        <v>125</v>
      </c>
      <c r="G175" s="47">
        <v>1031591.65</v>
      </c>
      <c r="H175" s="47">
        <v>3983.53</v>
      </c>
      <c r="I175" s="47">
        <v>2478.5500000000002</v>
      </c>
      <c r="J175" s="47">
        <v>1814</v>
      </c>
    </row>
    <row r="176" spans="1:10" x14ac:dyDescent="0.25">
      <c r="A176" s="45"/>
      <c r="B176" s="48"/>
      <c r="C176" s="36"/>
      <c r="D176" s="37"/>
      <c r="E176" s="37"/>
      <c r="F176" s="37"/>
      <c r="G176" s="47"/>
      <c r="H176" s="47"/>
      <c r="I176" s="47"/>
      <c r="J176" s="47"/>
    </row>
    <row r="177" spans="1:16" x14ac:dyDescent="0.25">
      <c r="A177" s="45" t="s">
        <v>123</v>
      </c>
      <c r="B177" s="48" t="s">
        <v>116</v>
      </c>
      <c r="C177" s="36">
        <v>1</v>
      </c>
      <c r="D177" s="37" t="s">
        <v>61</v>
      </c>
      <c r="E177" s="37" t="s">
        <v>98</v>
      </c>
      <c r="F177" s="37">
        <v>245</v>
      </c>
      <c r="G177" s="47">
        <v>1902287.36</v>
      </c>
      <c r="H177" s="47">
        <v>5413.61</v>
      </c>
      <c r="I177" s="47">
        <v>2885.66</v>
      </c>
      <c r="J177" s="47">
        <v>2382.34</v>
      </c>
    </row>
    <row r="178" spans="1:16" x14ac:dyDescent="0.25">
      <c r="A178" s="45" t="s">
        <v>124</v>
      </c>
      <c r="B178" s="48" t="s">
        <v>116</v>
      </c>
      <c r="C178" s="36">
        <v>2</v>
      </c>
      <c r="D178" s="37" t="s">
        <v>61</v>
      </c>
      <c r="E178" s="37" t="s">
        <v>99</v>
      </c>
      <c r="F178" s="37">
        <v>48</v>
      </c>
      <c r="G178" s="47">
        <v>3317700.08</v>
      </c>
      <c r="H178" s="47">
        <v>7889.39</v>
      </c>
      <c r="I178" s="47">
        <v>5028.3</v>
      </c>
      <c r="J178" s="47">
        <v>3856.27</v>
      </c>
    </row>
    <row r="179" spans="1:16" x14ac:dyDescent="0.25">
      <c r="A179" s="45" t="s">
        <v>0</v>
      </c>
      <c r="B179" s="48" t="s">
        <v>116</v>
      </c>
      <c r="C179" s="36">
        <v>3</v>
      </c>
      <c r="D179" s="37" t="s">
        <v>61</v>
      </c>
      <c r="E179" s="37" t="s">
        <v>100</v>
      </c>
      <c r="F179" s="37">
        <v>19</v>
      </c>
      <c r="G179" s="47">
        <v>3014918.2</v>
      </c>
      <c r="H179" s="47">
        <v>6102.26</v>
      </c>
      <c r="I179" s="47">
        <v>4919.83</v>
      </c>
      <c r="J179" s="47">
        <v>4606.97</v>
      </c>
    </row>
    <row r="180" spans="1:16" x14ac:dyDescent="0.25">
      <c r="A180" s="45"/>
      <c r="B180" s="48" t="s">
        <v>114</v>
      </c>
      <c r="C180" s="36">
        <v>1</v>
      </c>
      <c r="D180" s="37" t="s">
        <v>61</v>
      </c>
      <c r="E180" s="37" t="s">
        <v>101</v>
      </c>
      <c r="F180" s="37">
        <v>2</v>
      </c>
      <c r="G180" s="47">
        <v>5883.57</v>
      </c>
      <c r="H180" s="47">
        <v>54.38</v>
      </c>
      <c r="I180" s="47">
        <v>54.68</v>
      </c>
      <c r="J180" s="47">
        <v>7.28</v>
      </c>
    </row>
    <row r="181" spans="1:16" s="52" customFormat="1" ht="13" x14ac:dyDescent="0.3">
      <c r="A181" s="89" t="s">
        <v>136</v>
      </c>
      <c r="B181" s="88"/>
      <c r="C181" s="88"/>
      <c r="D181" s="88"/>
      <c r="E181" s="88"/>
      <c r="F181" s="88"/>
      <c r="G181" s="88"/>
      <c r="H181" s="88"/>
      <c r="I181" s="88"/>
      <c r="J181" s="88"/>
      <c r="K181" s="84"/>
      <c r="L181" s="84"/>
      <c r="M181" s="84"/>
      <c r="N181" s="84"/>
      <c r="O181" s="84"/>
      <c r="P181" s="78"/>
    </row>
    <row r="182" spans="1:16" s="4" customFormat="1" ht="13" x14ac:dyDescent="0.3">
      <c r="A182" s="1" t="s">
        <v>59</v>
      </c>
      <c r="B182" s="1"/>
      <c r="C182" s="2"/>
      <c r="D182" s="3"/>
      <c r="E182" s="2"/>
      <c r="F182" s="2"/>
      <c r="G182" s="2"/>
      <c r="H182" s="2"/>
      <c r="I182" s="2"/>
      <c r="J182" s="2"/>
    </row>
    <row r="183" spans="1:16" s="4" customFormat="1" ht="13" x14ac:dyDescent="0.3">
      <c r="A183" s="87" t="s">
        <v>157</v>
      </c>
      <c r="B183" s="88"/>
      <c r="C183" s="88"/>
      <c r="D183" s="88"/>
      <c r="E183" s="88"/>
      <c r="F183" s="88"/>
      <c r="G183" s="88"/>
      <c r="H183" s="88"/>
      <c r="I183" s="88"/>
      <c r="J183" s="88"/>
    </row>
    <row r="184" spans="1:16" s="4" customFormat="1" ht="13" x14ac:dyDescent="0.3">
      <c r="A184" s="5" t="str">
        <f>A4</f>
        <v>TEST YEAR ENDING 12/31/2018</v>
      </c>
      <c r="B184" s="5"/>
      <c r="C184" s="2"/>
      <c r="D184" s="3"/>
      <c r="E184" s="2"/>
      <c r="F184" s="2"/>
      <c r="G184" s="2"/>
      <c r="H184" s="2"/>
      <c r="I184" s="2"/>
      <c r="J184" s="2"/>
    </row>
    <row r="185" spans="1:16" s="4" customFormat="1" ht="13" x14ac:dyDescent="0.3">
      <c r="A185" s="5"/>
      <c r="B185" s="5"/>
      <c r="C185" s="2"/>
      <c r="D185" s="3"/>
      <c r="E185" s="2"/>
      <c r="F185" s="2"/>
      <c r="G185" s="2"/>
      <c r="H185" s="2"/>
      <c r="I185" s="2"/>
      <c r="J185" s="2"/>
    </row>
    <row r="186" spans="1:16" s="4" customFormat="1" ht="13" x14ac:dyDescent="0.3">
      <c r="A186" s="5"/>
      <c r="B186" s="5"/>
      <c r="C186" s="2"/>
      <c r="D186" s="3"/>
      <c r="E186" s="2"/>
      <c r="F186" s="2"/>
      <c r="G186" s="2"/>
      <c r="H186" s="2"/>
      <c r="I186" s="2"/>
      <c r="J186" s="2"/>
    </row>
    <row r="187" spans="1:16" ht="13" x14ac:dyDescent="0.3">
      <c r="A187" s="27" t="s">
        <v>139</v>
      </c>
      <c r="B187" s="40"/>
      <c r="C187" s="8"/>
      <c r="D187" s="42"/>
      <c r="E187" s="30" t="s">
        <v>53</v>
      </c>
      <c r="F187" s="43"/>
      <c r="G187" s="43"/>
      <c r="H187" s="43"/>
      <c r="I187" s="43"/>
      <c r="J187" s="43"/>
    </row>
    <row r="188" spans="1:16" ht="78" x14ac:dyDescent="0.3">
      <c r="A188" s="27" t="s">
        <v>38</v>
      </c>
      <c r="B188" s="8" t="s">
        <v>64</v>
      </c>
      <c r="C188" s="8" t="s">
        <v>39</v>
      </c>
      <c r="D188" s="31" t="s">
        <v>102</v>
      </c>
      <c r="E188" s="31" t="s">
        <v>103</v>
      </c>
      <c r="F188" s="31" t="s">
        <v>104</v>
      </c>
      <c r="G188" s="31" t="s">
        <v>105</v>
      </c>
      <c r="H188" s="31" t="s">
        <v>106</v>
      </c>
      <c r="I188" s="31" t="s">
        <v>107</v>
      </c>
      <c r="J188" s="31" t="s">
        <v>108</v>
      </c>
    </row>
    <row r="189" spans="1:16" ht="13" x14ac:dyDescent="0.3">
      <c r="A189" s="27"/>
      <c r="B189" s="27"/>
      <c r="C189" s="8"/>
      <c r="D189" s="22"/>
      <c r="E189" s="22"/>
      <c r="F189" s="22"/>
      <c r="G189" s="22"/>
      <c r="H189" s="22"/>
      <c r="I189" s="22"/>
      <c r="J189" s="22"/>
    </row>
    <row r="190" spans="1:16" x14ac:dyDescent="0.25">
      <c r="A190" s="39" t="s">
        <v>117</v>
      </c>
      <c r="B190" s="36" t="s">
        <v>109</v>
      </c>
      <c r="C190" s="36">
        <v>1</v>
      </c>
      <c r="D190" s="37" t="s">
        <v>60</v>
      </c>
      <c r="E190" s="37" t="s">
        <v>65</v>
      </c>
      <c r="F190" s="37">
        <v>72</v>
      </c>
      <c r="G190" s="51">
        <v>122511345.74423936</v>
      </c>
      <c r="H190" s="51">
        <v>940457.23057865421</v>
      </c>
      <c r="I190" s="51">
        <v>367522.01268305071</v>
      </c>
      <c r="J190" s="51">
        <v>323908.45289396466</v>
      </c>
    </row>
    <row r="191" spans="1:16" x14ac:dyDescent="0.25">
      <c r="A191" s="45"/>
      <c r="B191" s="36" t="s">
        <v>109</v>
      </c>
      <c r="C191" s="36">
        <v>2</v>
      </c>
      <c r="D191" s="37" t="s">
        <v>60</v>
      </c>
      <c r="E191" s="37" t="s">
        <v>66</v>
      </c>
      <c r="F191" s="37">
        <v>80</v>
      </c>
      <c r="G191" s="51">
        <v>136027567.47338182</v>
      </c>
      <c r="H191" s="51">
        <v>910338.25297042599</v>
      </c>
      <c r="I191" s="51">
        <v>396479.31904885342</v>
      </c>
      <c r="J191" s="51">
        <v>364827.51020286832</v>
      </c>
    </row>
    <row r="192" spans="1:16" x14ac:dyDescent="0.25">
      <c r="A192" s="45"/>
      <c r="B192" s="36" t="s">
        <v>109</v>
      </c>
      <c r="C192" s="36">
        <v>3</v>
      </c>
      <c r="D192" s="37" t="s">
        <v>60</v>
      </c>
      <c r="E192" s="37" t="s">
        <v>67</v>
      </c>
      <c r="F192" s="37">
        <v>71</v>
      </c>
      <c r="G192" s="51">
        <v>158178943.07731768</v>
      </c>
      <c r="H192" s="51">
        <v>857462.93040884519</v>
      </c>
      <c r="I192" s="51">
        <v>402225.91642238066</v>
      </c>
      <c r="J192" s="51">
        <v>400100.39194651676</v>
      </c>
    </row>
    <row r="193" spans="1:10" x14ac:dyDescent="0.25">
      <c r="A193" s="45"/>
      <c r="B193" s="36" t="s">
        <v>110</v>
      </c>
      <c r="C193" s="36">
        <v>1</v>
      </c>
      <c r="D193" s="37" t="s">
        <v>60</v>
      </c>
      <c r="E193" s="37" t="s">
        <v>68</v>
      </c>
      <c r="F193" s="37">
        <v>48</v>
      </c>
      <c r="G193" s="51">
        <v>98027624.022606283</v>
      </c>
      <c r="H193" s="51">
        <v>684074.41709214298</v>
      </c>
      <c r="I193" s="51">
        <v>270747.8451812719</v>
      </c>
      <c r="J193" s="51">
        <v>247782.7185397227</v>
      </c>
    </row>
    <row r="194" spans="1:10" x14ac:dyDescent="0.25">
      <c r="A194" s="45"/>
      <c r="B194" s="36" t="s">
        <v>110</v>
      </c>
      <c r="C194" s="36">
        <v>2</v>
      </c>
      <c r="D194" s="37" t="s">
        <v>60</v>
      </c>
      <c r="E194" s="37" t="s">
        <v>69</v>
      </c>
      <c r="F194" s="37">
        <v>51</v>
      </c>
      <c r="G194" s="51">
        <v>112869511.67769408</v>
      </c>
      <c r="H194" s="51">
        <v>652089.58575580642</v>
      </c>
      <c r="I194" s="51">
        <v>320095.60669665626</v>
      </c>
      <c r="J194" s="51">
        <v>300983.10189400014</v>
      </c>
    </row>
    <row r="195" spans="1:10" x14ac:dyDescent="0.25">
      <c r="A195" s="45"/>
      <c r="B195" s="36"/>
      <c r="C195" s="36"/>
      <c r="D195" s="37"/>
      <c r="E195" s="37"/>
      <c r="F195" s="37"/>
      <c r="G195" s="44"/>
      <c r="H195" s="44"/>
      <c r="I195" s="44"/>
      <c r="J195" s="44"/>
    </row>
    <row r="196" spans="1:10" x14ac:dyDescent="0.25">
      <c r="A196" s="45" t="s">
        <v>121</v>
      </c>
      <c r="B196" s="36" t="s">
        <v>63</v>
      </c>
      <c r="C196" s="36">
        <v>1</v>
      </c>
      <c r="D196" s="37" t="s">
        <v>60</v>
      </c>
      <c r="E196" s="36" t="s">
        <v>70</v>
      </c>
      <c r="F196" s="36">
        <v>88</v>
      </c>
      <c r="G196" s="51">
        <v>4113029.4032007065</v>
      </c>
      <c r="H196" s="51">
        <v>53368.921640355184</v>
      </c>
      <c r="I196" s="51">
        <v>11398.281228262947</v>
      </c>
      <c r="J196" s="51">
        <v>6929.4785426735207</v>
      </c>
    </row>
    <row r="197" spans="1:10" x14ac:dyDescent="0.25">
      <c r="A197" s="45" t="s">
        <v>122</v>
      </c>
      <c r="B197" s="36" t="s">
        <v>63</v>
      </c>
      <c r="C197" s="36">
        <v>2</v>
      </c>
      <c r="D197" s="37" t="s">
        <v>60</v>
      </c>
      <c r="E197" s="37" t="s">
        <v>71</v>
      </c>
      <c r="F197" s="37">
        <v>53</v>
      </c>
      <c r="G197" s="51">
        <v>4553322.9655206548</v>
      </c>
      <c r="H197" s="51">
        <v>32201.748312151376</v>
      </c>
      <c r="I197" s="51">
        <v>12930.356150747975</v>
      </c>
      <c r="J197" s="51">
        <v>12630.654675530417</v>
      </c>
    </row>
    <row r="198" spans="1:10" x14ac:dyDescent="0.25">
      <c r="A198" s="45"/>
      <c r="B198" s="36" t="s">
        <v>63</v>
      </c>
      <c r="C198" s="36">
        <v>3</v>
      </c>
      <c r="D198" s="37" t="s">
        <v>60</v>
      </c>
      <c r="E198" s="37" t="s">
        <v>72</v>
      </c>
      <c r="F198" s="37">
        <v>44</v>
      </c>
      <c r="G198" s="51">
        <v>5077678.9903796026</v>
      </c>
      <c r="H198" s="51">
        <v>27358.474363865429</v>
      </c>
      <c r="I198" s="51">
        <v>16693.743752048711</v>
      </c>
      <c r="J198" s="51">
        <v>15527.618598150231</v>
      </c>
    </row>
    <row r="199" spans="1:10" x14ac:dyDescent="0.25">
      <c r="A199" s="45"/>
      <c r="B199" s="36" t="s">
        <v>63</v>
      </c>
      <c r="C199" s="36">
        <v>4</v>
      </c>
      <c r="D199" s="37" t="s">
        <v>60</v>
      </c>
      <c r="E199" s="37" t="s">
        <v>73</v>
      </c>
      <c r="F199" s="37">
        <v>52</v>
      </c>
      <c r="G199" s="51">
        <v>5958474.0143460892</v>
      </c>
      <c r="H199" s="51">
        <v>23544.600314672698</v>
      </c>
      <c r="I199" s="51">
        <v>14155.737991033255</v>
      </c>
      <c r="J199" s="51">
        <v>14063.849077052166</v>
      </c>
    </row>
    <row r="200" spans="1:10" x14ac:dyDescent="0.25">
      <c r="A200" s="45"/>
      <c r="B200" s="36" t="s">
        <v>63</v>
      </c>
      <c r="C200" s="36">
        <v>5</v>
      </c>
      <c r="D200" s="37" t="s">
        <v>60</v>
      </c>
      <c r="E200" s="37" t="s">
        <v>74</v>
      </c>
      <c r="F200" s="37">
        <v>39</v>
      </c>
      <c r="G200" s="51">
        <v>7269787.2294737613</v>
      </c>
      <c r="H200" s="51">
        <v>19204.366183353635</v>
      </c>
      <c r="I200" s="51">
        <v>13070.913813014304</v>
      </c>
      <c r="J200" s="51">
        <v>12590.836721596881</v>
      </c>
    </row>
    <row r="201" spans="1:10" x14ac:dyDescent="0.25">
      <c r="A201" s="45"/>
      <c r="B201" s="36" t="s">
        <v>111</v>
      </c>
      <c r="C201" s="36">
        <v>1</v>
      </c>
      <c r="D201" s="37" t="s">
        <v>60</v>
      </c>
      <c r="E201" s="37" t="s">
        <v>75</v>
      </c>
      <c r="F201" s="37">
        <v>89</v>
      </c>
      <c r="G201" s="51">
        <v>65813.087822888279</v>
      </c>
      <c r="H201" s="51">
        <v>523.07220030561075</v>
      </c>
      <c r="I201" s="51">
        <v>164.3723272434062</v>
      </c>
      <c r="J201" s="51">
        <v>97.868686562534805</v>
      </c>
    </row>
    <row r="202" spans="1:10" x14ac:dyDescent="0.25">
      <c r="A202" s="45"/>
      <c r="B202" s="36" t="s">
        <v>111</v>
      </c>
      <c r="C202" s="36">
        <v>2</v>
      </c>
      <c r="D202" s="37" t="s">
        <v>60</v>
      </c>
      <c r="E202" s="37" t="s">
        <v>76</v>
      </c>
      <c r="F202" s="37">
        <v>45</v>
      </c>
      <c r="G202" s="51">
        <v>99494.272769087082</v>
      </c>
      <c r="H202" s="51">
        <v>386.38093935141205</v>
      </c>
      <c r="I202" s="51">
        <v>207.09120878420873</v>
      </c>
      <c r="J202" s="51">
        <v>143.28228777269911</v>
      </c>
    </row>
    <row r="203" spans="1:10" x14ac:dyDescent="0.25">
      <c r="A203" s="45"/>
      <c r="B203" s="36"/>
      <c r="C203" s="36"/>
      <c r="D203" s="37"/>
      <c r="E203" s="37"/>
      <c r="F203" s="37"/>
      <c r="G203" s="44"/>
      <c r="H203" s="44"/>
      <c r="I203" s="44"/>
      <c r="J203" s="44"/>
    </row>
    <row r="204" spans="1:10" x14ac:dyDescent="0.25">
      <c r="A204" s="45" t="s">
        <v>118</v>
      </c>
      <c r="B204" s="36" t="s">
        <v>112</v>
      </c>
      <c r="C204" s="36">
        <v>1</v>
      </c>
      <c r="D204" s="37" t="s">
        <v>61</v>
      </c>
      <c r="E204" s="37" t="s">
        <v>77</v>
      </c>
      <c r="F204" s="37">
        <v>138</v>
      </c>
      <c r="G204" s="51">
        <v>57813601.265022941</v>
      </c>
      <c r="H204" s="51">
        <v>264932.31431809103</v>
      </c>
      <c r="I204" s="51">
        <v>151345.00147352062</v>
      </c>
      <c r="J204" s="51">
        <v>146867.72341713464</v>
      </c>
    </row>
    <row r="205" spans="1:10" x14ac:dyDescent="0.25">
      <c r="A205" s="45" t="s">
        <v>119</v>
      </c>
      <c r="B205" s="36" t="s">
        <v>112</v>
      </c>
      <c r="C205" s="36">
        <v>2</v>
      </c>
      <c r="D205" s="37" t="s">
        <v>61</v>
      </c>
      <c r="E205" s="36" t="s">
        <v>78</v>
      </c>
      <c r="F205" s="36">
        <v>73</v>
      </c>
      <c r="G205" s="51">
        <v>82769275.906884193</v>
      </c>
      <c r="H205" s="51">
        <v>334995.60389646509</v>
      </c>
      <c r="I205" s="51">
        <v>218947.25017768642</v>
      </c>
      <c r="J205" s="51">
        <v>206562.63890267862</v>
      </c>
    </row>
    <row r="206" spans="1:10" x14ac:dyDescent="0.25">
      <c r="A206" s="46"/>
      <c r="B206" s="36" t="s">
        <v>112</v>
      </c>
      <c r="C206" s="36">
        <v>3</v>
      </c>
      <c r="D206" s="37" t="s">
        <v>61</v>
      </c>
      <c r="E206" s="38" t="s">
        <v>79</v>
      </c>
      <c r="F206" s="38">
        <v>91</v>
      </c>
      <c r="G206" s="51">
        <v>140488137.28968069</v>
      </c>
      <c r="H206" s="51">
        <v>444960.03510596429</v>
      </c>
      <c r="I206" s="51">
        <v>302271.98213246086</v>
      </c>
      <c r="J206" s="51">
        <v>295566.48909389961</v>
      </c>
    </row>
    <row r="207" spans="1:10" x14ac:dyDescent="0.25">
      <c r="A207" s="45"/>
      <c r="B207" s="36" t="s">
        <v>112</v>
      </c>
      <c r="C207" s="36">
        <v>4</v>
      </c>
      <c r="D207" s="37" t="s">
        <v>61</v>
      </c>
      <c r="E207" s="37" t="s">
        <v>80</v>
      </c>
      <c r="F207" s="37">
        <v>109</v>
      </c>
      <c r="G207" s="51">
        <v>209133625.96959081</v>
      </c>
      <c r="H207" s="51">
        <v>606551.8384046834</v>
      </c>
      <c r="I207" s="51">
        <v>464941.31064286816</v>
      </c>
      <c r="J207" s="51">
        <v>417930.07754961366</v>
      </c>
    </row>
    <row r="208" spans="1:10" x14ac:dyDescent="0.25">
      <c r="A208" s="45"/>
      <c r="B208" s="36" t="s">
        <v>113</v>
      </c>
      <c r="C208" s="36">
        <v>1</v>
      </c>
      <c r="D208" s="37" t="s">
        <v>61</v>
      </c>
      <c r="E208" s="37" t="s">
        <v>81</v>
      </c>
      <c r="F208" s="37">
        <v>7</v>
      </c>
      <c r="G208" s="51">
        <v>7423.9502791009154</v>
      </c>
      <c r="H208" s="51">
        <v>23.694400000000005</v>
      </c>
      <c r="I208" s="51">
        <v>17.136403439230993</v>
      </c>
      <c r="J208" s="51">
        <v>13.729210602003702</v>
      </c>
    </row>
    <row r="209" spans="1:10" x14ac:dyDescent="0.25">
      <c r="A209" s="45"/>
      <c r="B209" s="36" t="s">
        <v>114</v>
      </c>
      <c r="C209" s="36">
        <v>1</v>
      </c>
      <c r="D209" s="37" t="s">
        <v>61</v>
      </c>
      <c r="E209" s="37" t="s">
        <v>82</v>
      </c>
      <c r="F209" s="37">
        <v>134</v>
      </c>
      <c r="G209" s="51">
        <v>1637089.007106313</v>
      </c>
      <c r="H209" s="51">
        <v>8565.364677002186</v>
      </c>
      <c r="I209" s="51">
        <v>3990.8929300321288</v>
      </c>
      <c r="J209" s="51">
        <v>3140.8262960084262</v>
      </c>
    </row>
    <row r="210" spans="1:10" x14ac:dyDescent="0.25">
      <c r="A210" s="45"/>
      <c r="B210" s="36" t="s">
        <v>115</v>
      </c>
      <c r="C210" s="36">
        <v>1</v>
      </c>
      <c r="D210" s="37" t="s">
        <v>61</v>
      </c>
      <c r="E210" s="37" t="s">
        <v>83</v>
      </c>
      <c r="F210" s="37">
        <v>252</v>
      </c>
      <c r="G210" s="51">
        <v>1896345.3033734255</v>
      </c>
      <c r="H210" s="51">
        <v>10721.920404995382</v>
      </c>
      <c r="I210" s="51">
        <v>3934.3758249866601</v>
      </c>
      <c r="J210" s="51">
        <v>2465.311461189041</v>
      </c>
    </row>
    <row r="211" spans="1:10" x14ac:dyDescent="0.25">
      <c r="A211" s="45"/>
      <c r="B211" s="36" t="s">
        <v>115</v>
      </c>
      <c r="C211" s="36">
        <v>2</v>
      </c>
      <c r="D211" s="37" t="s">
        <v>61</v>
      </c>
      <c r="E211" s="37" t="s">
        <v>84</v>
      </c>
      <c r="F211" s="37">
        <v>70</v>
      </c>
      <c r="G211" s="51">
        <v>3188950.0282517113</v>
      </c>
      <c r="H211" s="51">
        <v>12204.894421066527</v>
      </c>
      <c r="I211" s="51">
        <v>6841.2695693085043</v>
      </c>
      <c r="J211" s="51">
        <v>3433.0107969073374</v>
      </c>
    </row>
    <row r="212" spans="1:10" x14ac:dyDescent="0.25">
      <c r="A212" s="45" t="s">
        <v>0</v>
      </c>
      <c r="B212" s="36"/>
      <c r="C212" s="36"/>
      <c r="D212" s="37"/>
      <c r="E212" s="37"/>
      <c r="F212" s="37"/>
      <c r="G212" s="44"/>
      <c r="H212" s="44"/>
      <c r="I212" s="44"/>
      <c r="J212" s="44"/>
    </row>
    <row r="213" spans="1:10" x14ac:dyDescent="0.25">
      <c r="A213" s="45" t="s">
        <v>123</v>
      </c>
      <c r="B213" s="36" t="s">
        <v>116</v>
      </c>
      <c r="C213" s="36">
        <v>1</v>
      </c>
      <c r="D213" s="37" t="s">
        <v>61</v>
      </c>
      <c r="E213" s="37" t="s">
        <v>85</v>
      </c>
      <c r="F213" s="37">
        <v>118</v>
      </c>
      <c r="G213" s="51">
        <v>5284055.7099236669</v>
      </c>
      <c r="H213" s="51">
        <v>14010.820470609993</v>
      </c>
      <c r="I213" s="51">
        <v>9789.9964259851386</v>
      </c>
      <c r="J213" s="51">
        <v>9744.7770609681957</v>
      </c>
    </row>
    <row r="214" spans="1:10" x14ac:dyDescent="0.25">
      <c r="A214" s="45" t="s">
        <v>124</v>
      </c>
      <c r="B214" s="36" t="s">
        <v>116</v>
      </c>
      <c r="C214" s="36">
        <v>2</v>
      </c>
      <c r="D214" s="37" t="s">
        <v>61</v>
      </c>
      <c r="E214" s="37" t="s">
        <v>86</v>
      </c>
      <c r="F214" s="37">
        <v>34</v>
      </c>
      <c r="G214" s="51">
        <v>6932866.489186815</v>
      </c>
      <c r="H214" s="51">
        <v>16892.1140017422</v>
      </c>
      <c r="I214" s="51">
        <v>13090.998879450482</v>
      </c>
      <c r="J214" s="51">
        <v>11963.534581719558</v>
      </c>
    </row>
    <row r="215" spans="1:10" x14ac:dyDescent="0.25">
      <c r="A215" s="45"/>
      <c r="B215" s="36" t="s">
        <v>114</v>
      </c>
      <c r="C215" s="36">
        <v>1</v>
      </c>
      <c r="D215" s="37" t="s">
        <v>61</v>
      </c>
      <c r="E215" s="37" t="s">
        <v>87</v>
      </c>
      <c r="F215" s="37">
        <v>4</v>
      </c>
      <c r="G215" s="51">
        <v>444271.80815442826</v>
      </c>
      <c r="H215" s="51">
        <v>1254.71413668278</v>
      </c>
      <c r="I215" s="51">
        <v>1194.9469748796482</v>
      </c>
      <c r="J215" s="51">
        <v>469.69491749625951</v>
      </c>
    </row>
    <row r="216" spans="1:10" x14ac:dyDescent="0.25">
      <c r="A216" s="45"/>
      <c r="B216" s="36"/>
      <c r="C216" s="36"/>
      <c r="D216" s="37"/>
      <c r="E216" s="37"/>
      <c r="F216" s="37"/>
      <c r="G216" s="51"/>
      <c r="H216" s="51"/>
      <c r="I216" s="51"/>
      <c r="J216" s="51"/>
    </row>
    <row r="218" spans="1:10" ht="13" x14ac:dyDescent="0.3">
      <c r="A218" s="27" t="s">
        <v>140</v>
      </c>
      <c r="B218" s="40"/>
      <c r="C218" s="8"/>
      <c r="D218" s="42"/>
      <c r="E218" s="30" t="s">
        <v>53</v>
      </c>
      <c r="F218" s="43"/>
      <c r="G218" s="43"/>
      <c r="H218" s="43"/>
      <c r="I218" s="43"/>
      <c r="J218" s="43"/>
    </row>
    <row r="219" spans="1:10" ht="78" x14ac:dyDescent="0.3">
      <c r="A219" s="27" t="s">
        <v>38</v>
      </c>
      <c r="B219" s="8" t="s">
        <v>64</v>
      </c>
      <c r="C219" s="8" t="s">
        <v>39</v>
      </c>
      <c r="D219" s="31" t="s">
        <v>102</v>
      </c>
      <c r="E219" s="31" t="s">
        <v>103</v>
      </c>
      <c r="F219" s="31" t="s">
        <v>104</v>
      </c>
      <c r="G219" s="31" t="s">
        <v>105</v>
      </c>
      <c r="H219" s="31" t="s">
        <v>106</v>
      </c>
      <c r="I219" s="31" t="s">
        <v>107</v>
      </c>
      <c r="J219" s="31" t="s">
        <v>108</v>
      </c>
    </row>
    <row r="220" spans="1:10" ht="13" x14ac:dyDescent="0.3">
      <c r="A220" s="27"/>
      <c r="B220" s="27"/>
      <c r="C220" s="8"/>
      <c r="D220" s="22"/>
      <c r="E220" s="22"/>
      <c r="F220" s="22"/>
      <c r="G220" s="22"/>
      <c r="H220" s="22"/>
      <c r="I220" s="22"/>
      <c r="J220" s="22"/>
    </row>
    <row r="221" spans="1:10" x14ac:dyDescent="0.25">
      <c r="A221" s="41" t="s">
        <v>120</v>
      </c>
      <c r="B221" s="36" t="s">
        <v>125</v>
      </c>
      <c r="C221" s="36">
        <v>1</v>
      </c>
      <c r="D221" s="37" t="s">
        <v>60</v>
      </c>
      <c r="E221" s="37" t="s">
        <v>88</v>
      </c>
      <c r="F221" s="37">
        <v>103</v>
      </c>
      <c r="G221" s="51">
        <v>22056158.830797184</v>
      </c>
      <c r="H221" s="51">
        <v>233303.3047947805</v>
      </c>
      <c r="I221" s="51">
        <v>70677.397765105605</v>
      </c>
      <c r="J221" s="51">
        <v>59632.685674975786</v>
      </c>
    </row>
    <row r="222" spans="1:10" x14ac:dyDescent="0.25">
      <c r="A222" s="45"/>
      <c r="B222" s="36" t="s">
        <v>125</v>
      </c>
      <c r="C222" s="36">
        <v>2</v>
      </c>
      <c r="D222" s="37" t="s">
        <v>60</v>
      </c>
      <c r="E222" s="37" t="s">
        <v>89</v>
      </c>
      <c r="F222" s="37">
        <v>92</v>
      </c>
      <c r="G222" s="51">
        <v>24569576.458912954</v>
      </c>
      <c r="H222" s="51">
        <v>211880.72797979016</v>
      </c>
      <c r="I222" s="51">
        <v>72344.947459948744</v>
      </c>
      <c r="J222" s="51">
        <v>72344.947459948744</v>
      </c>
    </row>
    <row r="223" spans="1:10" x14ac:dyDescent="0.25">
      <c r="A223" s="45"/>
      <c r="B223" s="36" t="s">
        <v>125</v>
      </c>
      <c r="C223" s="36">
        <v>3</v>
      </c>
      <c r="D223" s="37" t="s">
        <v>60</v>
      </c>
      <c r="E223" s="37" t="s">
        <v>90</v>
      </c>
      <c r="F223" s="37">
        <v>92</v>
      </c>
      <c r="G223" s="51">
        <v>27559834.624554578</v>
      </c>
      <c r="H223" s="51">
        <v>204310.10723689594</v>
      </c>
      <c r="I223" s="51">
        <v>80130.484044184937</v>
      </c>
      <c r="J223" s="51">
        <v>79688.395309447049</v>
      </c>
    </row>
    <row r="224" spans="1:10" x14ac:dyDescent="0.25">
      <c r="A224" s="45"/>
      <c r="B224" s="36" t="s">
        <v>125</v>
      </c>
      <c r="C224" s="36">
        <v>4</v>
      </c>
      <c r="D224" s="37" t="s">
        <v>60</v>
      </c>
      <c r="E224" s="37" t="s">
        <v>91</v>
      </c>
      <c r="F224" s="37">
        <v>100</v>
      </c>
      <c r="G224" s="51">
        <v>30384794.675153155</v>
      </c>
      <c r="H224" s="51">
        <v>229872.34349490626</v>
      </c>
      <c r="I224" s="51">
        <v>91583.365156883068</v>
      </c>
      <c r="J224" s="51">
        <v>83207.811076353551</v>
      </c>
    </row>
    <row r="225" spans="1:10" x14ac:dyDescent="0.25">
      <c r="A225" s="45"/>
      <c r="B225" s="36"/>
      <c r="C225" s="36"/>
      <c r="D225" s="37"/>
      <c r="E225" s="37"/>
      <c r="F225" s="37"/>
      <c r="G225" s="51"/>
      <c r="H225" s="51"/>
      <c r="I225" s="51"/>
      <c r="J225" s="51"/>
    </row>
    <row r="226" spans="1:10" x14ac:dyDescent="0.25">
      <c r="A226" s="45" t="s">
        <v>121</v>
      </c>
      <c r="B226" s="36" t="s">
        <v>63</v>
      </c>
      <c r="C226" s="36">
        <v>1</v>
      </c>
      <c r="D226" s="37" t="s">
        <v>60</v>
      </c>
      <c r="E226" s="36" t="s">
        <v>92</v>
      </c>
      <c r="F226" s="36">
        <v>99</v>
      </c>
      <c r="G226" s="51">
        <v>1493362.1520043921</v>
      </c>
      <c r="H226" s="51">
        <v>20213.546896571566</v>
      </c>
      <c r="I226" s="51">
        <v>3602.1522556163441</v>
      </c>
      <c r="J226" s="51">
        <v>2681.1761560673417</v>
      </c>
    </row>
    <row r="227" spans="1:10" x14ac:dyDescent="0.25">
      <c r="A227" s="45" t="s">
        <v>122</v>
      </c>
      <c r="B227" s="36" t="s">
        <v>63</v>
      </c>
      <c r="C227" s="36">
        <v>2</v>
      </c>
      <c r="D227" s="37" t="s">
        <v>60</v>
      </c>
      <c r="E227" s="37" t="s">
        <v>93</v>
      </c>
      <c r="F227" s="37">
        <v>69</v>
      </c>
      <c r="G227" s="51">
        <v>2094220.573672229</v>
      </c>
      <c r="H227" s="51">
        <v>14802.24672762336</v>
      </c>
      <c r="I227" s="51">
        <v>5956.4302513314833</v>
      </c>
      <c r="J227" s="51">
        <v>4145.0371640299827</v>
      </c>
    </row>
    <row r="228" spans="1:10" x14ac:dyDescent="0.25">
      <c r="A228" s="45"/>
      <c r="B228" s="36" t="s">
        <v>63</v>
      </c>
      <c r="C228" s="36">
        <v>3</v>
      </c>
      <c r="D228" s="37" t="s">
        <v>60</v>
      </c>
      <c r="E228" s="37" t="s">
        <v>94</v>
      </c>
      <c r="F228" s="37">
        <v>85</v>
      </c>
      <c r="G228" s="51">
        <v>2228889.1856182739</v>
      </c>
      <c r="H228" s="51">
        <v>12363.535715107262</v>
      </c>
      <c r="I228" s="51">
        <v>7222.4121385390663</v>
      </c>
      <c r="J228" s="51">
        <v>4896.9514255110435</v>
      </c>
    </row>
    <row r="229" spans="1:10" x14ac:dyDescent="0.25">
      <c r="A229" s="45"/>
      <c r="B229" s="36" t="s">
        <v>63</v>
      </c>
      <c r="C229" s="36">
        <v>4</v>
      </c>
      <c r="D229" s="37" t="s">
        <v>60</v>
      </c>
      <c r="E229" s="37" t="s">
        <v>95</v>
      </c>
      <c r="F229" s="37">
        <v>75</v>
      </c>
      <c r="G229" s="51">
        <v>3317900.9606549586</v>
      </c>
      <c r="H229" s="51">
        <v>8440.8196325751323</v>
      </c>
      <c r="I229" s="51">
        <v>5639.5293210660111</v>
      </c>
      <c r="J229" s="51">
        <v>4812.4678957074393</v>
      </c>
    </row>
    <row r="230" spans="1:10" x14ac:dyDescent="0.25">
      <c r="A230" s="45"/>
      <c r="B230" s="36"/>
      <c r="C230" s="36"/>
      <c r="D230" s="37"/>
      <c r="E230" s="37"/>
      <c r="F230" s="37"/>
      <c r="G230" s="51"/>
      <c r="H230" s="51"/>
      <c r="I230" s="51"/>
      <c r="J230" s="51"/>
    </row>
    <row r="231" spans="1:10" x14ac:dyDescent="0.25">
      <c r="A231" s="45" t="s">
        <v>118</v>
      </c>
      <c r="B231" s="36" t="s">
        <v>112</v>
      </c>
      <c r="C231" s="36">
        <v>1</v>
      </c>
      <c r="D231" s="37" t="s">
        <v>61</v>
      </c>
      <c r="E231" s="37" t="s">
        <v>77</v>
      </c>
      <c r="F231" s="37">
        <v>128</v>
      </c>
      <c r="G231" s="51">
        <v>12670326.357148038</v>
      </c>
      <c r="H231" s="51">
        <v>63427.146763021403</v>
      </c>
      <c r="I231" s="51">
        <v>30430.271491079053</v>
      </c>
      <c r="J231" s="51">
        <v>23575.357515549367</v>
      </c>
    </row>
    <row r="232" spans="1:10" x14ac:dyDescent="0.25">
      <c r="A232" s="45" t="s">
        <v>119</v>
      </c>
      <c r="B232" s="36" t="s">
        <v>112</v>
      </c>
      <c r="C232" s="36">
        <v>2</v>
      </c>
      <c r="D232" s="37" t="s">
        <v>61</v>
      </c>
      <c r="E232" s="36" t="s">
        <v>78</v>
      </c>
      <c r="F232" s="36">
        <v>85</v>
      </c>
      <c r="G232" s="51">
        <v>18891022.60302189</v>
      </c>
      <c r="H232" s="51">
        <v>77335.020726014976</v>
      </c>
      <c r="I232" s="51">
        <v>45277.572872121149</v>
      </c>
      <c r="J232" s="51">
        <v>41611.330573359228</v>
      </c>
    </row>
    <row r="233" spans="1:10" x14ac:dyDescent="0.25">
      <c r="A233" s="46"/>
      <c r="B233" s="36" t="s">
        <v>112</v>
      </c>
      <c r="C233" s="36">
        <v>3</v>
      </c>
      <c r="D233" s="37" t="s">
        <v>61</v>
      </c>
      <c r="E233" s="38" t="s">
        <v>96</v>
      </c>
      <c r="F233" s="38">
        <v>104</v>
      </c>
      <c r="G233" s="51">
        <v>27254433.546709247</v>
      </c>
      <c r="H233" s="51">
        <v>89215.664476810547</v>
      </c>
      <c r="I233" s="51">
        <v>62915.057857002372</v>
      </c>
      <c r="J233" s="51">
        <v>53465.194712444361</v>
      </c>
    </row>
    <row r="234" spans="1:10" x14ac:dyDescent="0.25">
      <c r="A234" s="45"/>
      <c r="B234" s="36" t="s">
        <v>112</v>
      </c>
      <c r="C234" s="36">
        <v>4</v>
      </c>
      <c r="D234" s="37" t="s">
        <v>61</v>
      </c>
      <c r="E234" s="37" t="s">
        <v>62</v>
      </c>
      <c r="F234" s="37">
        <v>118</v>
      </c>
      <c r="G234" s="51">
        <v>44289884.048190601</v>
      </c>
      <c r="H234" s="51">
        <v>126551.46616788473</v>
      </c>
      <c r="I234" s="51">
        <v>97941.215891299376</v>
      </c>
      <c r="J234" s="51">
        <v>79556.371265583977</v>
      </c>
    </row>
    <row r="235" spans="1:10" x14ac:dyDescent="0.25">
      <c r="A235" s="45" t="s">
        <v>0</v>
      </c>
      <c r="B235" s="48" t="s">
        <v>114</v>
      </c>
      <c r="C235" s="36">
        <v>1</v>
      </c>
      <c r="D235" s="37" t="s">
        <v>61</v>
      </c>
      <c r="E235" s="37" t="s">
        <v>97</v>
      </c>
      <c r="F235" s="37">
        <v>125</v>
      </c>
      <c r="G235" s="51">
        <v>1083631.3626637079</v>
      </c>
      <c r="H235" s="51">
        <v>5440.3091441018205</v>
      </c>
      <c r="I235" s="51">
        <v>3361.111405488145</v>
      </c>
      <c r="J235" s="51">
        <v>1626.0954321868553</v>
      </c>
    </row>
    <row r="236" spans="1:10" x14ac:dyDescent="0.25">
      <c r="A236" s="45"/>
      <c r="B236" s="48"/>
      <c r="C236" s="36"/>
      <c r="D236" s="37"/>
      <c r="E236" s="37"/>
      <c r="F236" s="37"/>
      <c r="G236" s="51"/>
      <c r="H236" s="51"/>
      <c r="I236" s="51"/>
      <c r="J236" s="51"/>
    </row>
    <row r="237" spans="1:10" x14ac:dyDescent="0.25">
      <c r="A237" s="45" t="s">
        <v>123</v>
      </c>
      <c r="B237" s="48" t="s">
        <v>116</v>
      </c>
      <c r="C237" s="36">
        <v>1</v>
      </c>
      <c r="D237" s="37" t="s">
        <v>61</v>
      </c>
      <c r="E237" s="37" t="s">
        <v>98</v>
      </c>
      <c r="F237" s="37">
        <v>245</v>
      </c>
      <c r="G237" s="51">
        <v>1797018.3673889858</v>
      </c>
      <c r="H237" s="51">
        <v>5353.2625072124756</v>
      </c>
      <c r="I237" s="51">
        <v>2855.4472006925403</v>
      </c>
      <c r="J237" s="51">
        <v>2384.561718882323</v>
      </c>
    </row>
    <row r="238" spans="1:10" x14ac:dyDescent="0.25">
      <c r="A238" s="45" t="s">
        <v>124</v>
      </c>
      <c r="B238" s="48" t="s">
        <v>116</v>
      </c>
      <c r="C238" s="36">
        <v>2</v>
      </c>
      <c r="D238" s="37" t="s">
        <v>61</v>
      </c>
      <c r="E238" s="37" t="s">
        <v>99</v>
      </c>
      <c r="F238" s="37">
        <v>48</v>
      </c>
      <c r="G238" s="51">
        <v>3197748.6889344091</v>
      </c>
      <c r="H238" s="51">
        <v>7750.0650600877971</v>
      </c>
      <c r="I238" s="51">
        <v>5279.6443598698488</v>
      </c>
      <c r="J238" s="51">
        <v>5045.844480976175</v>
      </c>
    </row>
    <row r="239" spans="1:10" x14ac:dyDescent="0.25">
      <c r="A239" s="45" t="s">
        <v>0</v>
      </c>
      <c r="B239" s="48" t="s">
        <v>116</v>
      </c>
      <c r="C239" s="36">
        <v>3</v>
      </c>
      <c r="D239" s="37" t="s">
        <v>61</v>
      </c>
      <c r="E239" s="37" t="s">
        <v>100</v>
      </c>
      <c r="F239" s="37">
        <v>19</v>
      </c>
      <c r="G239" s="51">
        <v>2946717.4139706558</v>
      </c>
      <c r="H239" s="51">
        <v>8662.4594311651617</v>
      </c>
      <c r="I239" s="51">
        <v>6154.2141735148289</v>
      </c>
      <c r="J239" s="51">
        <v>4128.3958456890132</v>
      </c>
    </row>
    <row r="240" spans="1:10" x14ac:dyDescent="0.25">
      <c r="A240" s="45"/>
      <c r="B240" s="48" t="s">
        <v>114</v>
      </c>
      <c r="C240" s="36">
        <v>1</v>
      </c>
      <c r="D240" s="37" t="s">
        <v>61</v>
      </c>
      <c r="E240" s="37" t="s">
        <v>101</v>
      </c>
      <c r="F240" s="37">
        <v>2</v>
      </c>
      <c r="G240" s="51">
        <v>2945.3036584544643</v>
      </c>
      <c r="H240" s="51">
        <v>29.748000000000005</v>
      </c>
      <c r="I240" s="51">
        <v>29.791738119176188</v>
      </c>
      <c r="J240" s="51">
        <v>3.5957626405486045</v>
      </c>
    </row>
    <row r="241" spans="1:16" s="52" customFormat="1" ht="13" x14ac:dyDescent="0.3">
      <c r="A241" s="89" t="s">
        <v>136</v>
      </c>
      <c r="B241" s="88"/>
      <c r="C241" s="88"/>
      <c r="D241" s="88"/>
      <c r="E241" s="88"/>
      <c r="F241" s="88"/>
      <c r="G241" s="88"/>
      <c r="H241" s="88"/>
      <c r="I241" s="88"/>
      <c r="J241" s="88"/>
      <c r="K241" s="84"/>
      <c r="L241" s="84"/>
      <c r="M241" s="84"/>
      <c r="N241" s="84"/>
      <c r="O241" s="84"/>
      <c r="P241" s="78"/>
    </row>
    <row r="242" spans="1:16" s="4" customFormat="1" ht="13" x14ac:dyDescent="0.3">
      <c r="A242" s="1" t="s">
        <v>59</v>
      </c>
      <c r="B242" s="1"/>
      <c r="C242" s="2"/>
      <c r="D242" s="3"/>
      <c r="E242" s="2"/>
      <c r="F242" s="2"/>
      <c r="G242" s="2"/>
      <c r="H242" s="2"/>
      <c r="I242" s="2"/>
      <c r="J242" s="2"/>
    </row>
    <row r="243" spans="1:16" s="4" customFormat="1" ht="13" x14ac:dyDescent="0.3">
      <c r="A243" s="87" t="s">
        <v>157</v>
      </c>
      <c r="B243" s="88"/>
      <c r="C243" s="88"/>
      <c r="D243" s="88"/>
      <c r="E243" s="88"/>
      <c r="F243" s="88"/>
      <c r="G243" s="88"/>
      <c r="H243" s="88"/>
      <c r="I243" s="88"/>
      <c r="J243" s="88"/>
    </row>
    <row r="244" spans="1:16" s="4" customFormat="1" ht="13" x14ac:dyDescent="0.3">
      <c r="A244" s="5" t="str">
        <f>A4</f>
        <v>TEST YEAR ENDING 12/31/2018</v>
      </c>
      <c r="B244" s="5"/>
      <c r="C244" s="2"/>
      <c r="D244" s="3"/>
      <c r="E244" s="2"/>
      <c r="F244" s="2"/>
      <c r="G244" s="2"/>
      <c r="H244" s="2"/>
      <c r="I244" s="2"/>
      <c r="J244" s="2"/>
    </row>
    <row r="245" spans="1:16" s="4" customFormat="1" ht="13" x14ac:dyDescent="0.3">
      <c r="A245" s="5"/>
      <c r="B245" s="5"/>
      <c r="C245" s="2"/>
      <c r="D245" s="3"/>
      <c r="E245" s="2"/>
      <c r="F245" s="2"/>
      <c r="G245" s="2"/>
      <c r="H245" s="2"/>
      <c r="I245" s="2"/>
      <c r="J245" s="2"/>
    </row>
    <row r="246" spans="1:16" s="4" customFormat="1" ht="13" x14ac:dyDescent="0.3">
      <c r="A246" s="5"/>
      <c r="B246" s="5"/>
      <c r="C246" s="2"/>
      <c r="D246" s="3"/>
      <c r="E246" s="2"/>
      <c r="F246" s="2"/>
      <c r="G246" s="2"/>
      <c r="H246" s="2"/>
      <c r="I246" s="2"/>
      <c r="J246" s="2"/>
    </row>
    <row r="247" spans="1:16" ht="13" x14ac:dyDescent="0.3">
      <c r="A247" s="27" t="s">
        <v>139</v>
      </c>
      <c r="B247" s="40"/>
      <c r="C247" s="8"/>
      <c r="D247" s="42"/>
      <c r="E247" s="30" t="s">
        <v>54</v>
      </c>
      <c r="F247" s="43"/>
      <c r="G247" s="43"/>
      <c r="H247" s="43"/>
      <c r="I247" s="43"/>
      <c r="J247" s="43"/>
    </row>
    <row r="248" spans="1:16" ht="78" x14ac:dyDescent="0.3">
      <c r="A248" s="27" t="s">
        <v>38</v>
      </c>
      <c r="B248" s="8" t="s">
        <v>64</v>
      </c>
      <c r="C248" s="8" t="s">
        <v>39</v>
      </c>
      <c r="D248" s="31" t="s">
        <v>102</v>
      </c>
      <c r="E248" s="31" t="s">
        <v>103</v>
      </c>
      <c r="F248" s="31" t="s">
        <v>104</v>
      </c>
      <c r="G248" s="31" t="s">
        <v>105</v>
      </c>
      <c r="H248" s="31" t="s">
        <v>106</v>
      </c>
      <c r="I248" s="31" t="s">
        <v>107</v>
      </c>
      <c r="J248" s="31" t="s">
        <v>108</v>
      </c>
    </row>
    <row r="249" spans="1:16" ht="13" x14ac:dyDescent="0.3">
      <c r="A249" s="27"/>
      <c r="B249" s="27"/>
      <c r="C249" s="8"/>
      <c r="D249" s="22"/>
      <c r="E249" s="22"/>
      <c r="F249" s="22"/>
      <c r="G249" s="22"/>
      <c r="H249" s="22"/>
      <c r="I249" s="22"/>
      <c r="J249" s="22"/>
    </row>
    <row r="250" spans="1:16" x14ac:dyDescent="0.25">
      <c r="A250" s="39" t="s">
        <v>117</v>
      </c>
      <c r="B250" s="36" t="s">
        <v>109</v>
      </c>
      <c r="C250" s="36">
        <v>1</v>
      </c>
      <c r="D250" s="37" t="s">
        <v>60</v>
      </c>
      <c r="E250" s="37" t="s">
        <v>65</v>
      </c>
      <c r="F250" s="37">
        <v>72</v>
      </c>
      <c r="G250" s="51">
        <v>192297109.47782886</v>
      </c>
      <c r="H250" s="51">
        <v>987407.18640278408</v>
      </c>
      <c r="I250" s="51">
        <v>492841.76211387839</v>
      </c>
      <c r="J250" s="51">
        <v>399940.84974235139</v>
      </c>
    </row>
    <row r="251" spans="1:16" x14ac:dyDescent="0.25">
      <c r="A251" s="45"/>
      <c r="B251" s="36" t="s">
        <v>109</v>
      </c>
      <c r="C251" s="36">
        <v>2</v>
      </c>
      <c r="D251" s="37" t="s">
        <v>60</v>
      </c>
      <c r="E251" s="37" t="s">
        <v>66</v>
      </c>
      <c r="F251" s="37">
        <v>80</v>
      </c>
      <c r="G251" s="51">
        <v>221564107.42163524</v>
      </c>
      <c r="H251" s="51">
        <v>994558.16982516123</v>
      </c>
      <c r="I251" s="51">
        <v>536290.525863647</v>
      </c>
      <c r="J251" s="51">
        <v>478106.09780558938</v>
      </c>
    </row>
    <row r="252" spans="1:16" x14ac:dyDescent="0.25">
      <c r="A252" s="45"/>
      <c r="B252" s="36" t="s">
        <v>109</v>
      </c>
      <c r="C252" s="36">
        <v>3</v>
      </c>
      <c r="D252" s="37" t="s">
        <v>60</v>
      </c>
      <c r="E252" s="37" t="s">
        <v>67</v>
      </c>
      <c r="F252" s="37">
        <v>71</v>
      </c>
      <c r="G252" s="51">
        <v>241869701.10037142</v>
      </c>
      <c r="H252" s="51">
        <v>941185.35827478266</v>
      </c>
      <c r="I252" s="51">
        <v>540402.51167274627</v>
      </c>
      <c r="J252" s="51">
        <v>519560.70226313837</v>
      </c>
    </row>
    <row r="253" spans="1:16" x14ac:dyDescent="0.25">
      <c r="A253" s="45"/>
      <c r="B253" s="36" t="s">
        <v>110</v>
      </c>
      <c r="C253" s="36">
        <v>1</v>
      </c>
      <c r="D253" s="37" t="s">
        <v>60</v>
      </c>
      <c r="E253" s="37" t="s">
        <v>68</v>
      </c>
      <c r="F253" s="37">
        <v>48</v>
      </c>
      <c r="G253" s="51">
        <v>146814793.5455212</v>
      </c>
      <c r="H253" s="51">
        <v>718437.84461955435</v>
      </c>
      <c r="I253" s="51">
        <v>368195.91184146452</v>
      </c>
      <c r="J253" s="51">
        <v>309778.00289064168</v>
      </c>
    </row>
    <row r="254" spans="1:16" x14ac:dyDescent="0.25">
      <c r="A254" s="45"/>
      <c r="B254" s="36" t="s">
        <v>110</v>
      </c>
      <c r="C254" s="36">
        <v>2</v>
      </c>
      <c r="D254" s="37" t="s">
        <v>60</v>
      </c>
      <c r="E254" s="37" t="s">
        <v>69</v>
      </c>
      <c r="F254" s="37">
        <v>51</v>
      </c>
      <c r="G254" s="51">
        <v>165714633.09977818</v>
      </c>
      <c r="H254" s="51">
        <v>659883.13190579345</v>
      </c>
      <c r="I254" s="51">
        <v>402388.04592882586</v>
      </c>
      <c r="J254" s="51">
        <v>373822.61560276232</v>
      </c>
    </row>
    <row r="255" spans="1:16" x14ac:dyDescent="0.25">
      <c r="A255" s="45"/>
      <c r="B255" s="36"/>
      <c r="C255" s="36"/>
      <c r="D255" s="37"/>
      <c r="E255" s="37"/>
      <c r="F255" s="37"/>
      <c r="G255" s="44"/>
      <c r="H255" s="44"/>
      <c r="I255" s="44"/>
      <c r="J255" s="44"/>
    </row>
    <row r="256" spans="1:16" x14ac:dyDescent="0.25">
      <c r="A256" s="45" t="s">
        <v>121</v>
      </c>
      <c r="B256" s="36" t="s">
        <v>63</v>
      </c>
      <c r="C256" s="36">
        <v>1</v>
      </c>
      <c r="D256" s="37" t="s">
        <v>60</v>
      </c>
      <c r="E256" s="36" t="s">
        <v>70</v>
      </c>
      <c r="F256" s="36">
        <v>88</v>
      </c>
      <c r="G256" s="51">
        <v>5016050.6535896249</v>
      </c>
      <c r="H256" s="51">
        <v>54314.934973856187</v>
      </c>
      <c r="I256" s="51">
        <v>13884.845311092269</v>
      </c>
      <c r="J256" s="51">
        <v>8027.1773851914713</v>
      </c>
    </row>
    <row r="257" spans="1:10" x14ac:dyDescent="0.25">
      <c r="A257" s="45" t="s">
        <v>122</v>
      </c>
      <c r="B257" s="36" t="s">
        <v>63</v>
      </c>
      <c r="C257" s="36">
        <v>2</v>
      </c>
      <c r="D257" s="37" t="s">
        <v>60</v>
      </c>
      <c r="E257" s="37" t="s">
        <v>71</v>
      </c>
      <c r="F257" s="37">
        <v>53</v>
      </c>
      <c r="G257" s="51">
        <v>6248358.6762545109</v>
      </c>
      <c r="H257" s="51">
        <v>36264.549454475513</v>
      </c>
      <c r="I257" s="51">
        <v>17599.519050430281</v>
      </c>
      <c r="J257" s="51">
        <v>15545.444414187185</v>
      </c>
    </row>
    <row r="258" spans="1:10" x14ac:dyDescent="0.25">
      <c r="A258" s="45"/>
      <c r="B258" s="36" t="s">
        <v>63</v>
      </c>
      <c r="C258" s="36">
        <v>3</v>
      </c>
      <c r="D258" s="37" t="s">
        <v>60</v>
      </c>
      <c r="E258" s="37" t="s">
        <v>72</v>
      </c>
      <c r="F258" s="37">
        <v>44</v>
      </c>
      <c r="G258" s="51">
        <v>7138652.6558547374</v>
      </c>
      <c r="H258" s="51">
        <v>29570.795568032529</v>
      </c>
      <c r="I258" s="51">
        <v>20180.671255738522</v>
      </c>
      <c r="J258" s="51">
        <v>18168.391374198567</v>
      </c>
    </row>
    <row r="259" spans="1:10" x14ac:dyDescent="0.25">
      <c r="A259" s="45"/>
      <c r="B259" s="36" t="s">
        <v>63</v>
      </c>
      <c r="C259" s="36">
        <v>4</v>
      </c>
      <c r="D259" s="37" t="s">
        <v>60</v>
      </c>
      <c r="E259" s="37" t="s">
        <v>73</v>
      </c>
      <c r="F259" s="37">
        <v>52</v>
      </c>
      <c r="G259" s="51">
        <v>7307267.4257887779</v>
      </c>
      <c r="H259" s="51">
        <v>24573.193766558925</v>
      </c>
      <c r="I259" s="51">
        <v>16092.519495280514</v>
      </c>
      <c r="J259" s="51">
        <v>15447.437481441089</v>
      </c>
    </row>
    <row r="260" spans="1:10" x14ac:dyDescent="0.25">
      <c r="A260" s="45"/>
      <c r="B260" s="36" t="s">
        <v>63</v>
      </c>
      <c r="C260" s="36">
        <v>5</v>
      </c>
      <c r="D260" s="37" t="s">
        <v>60</v>
      </c>
      <c r="E260" s="37" t="s">
        <v>74</v>
      </c>
      <c r="F260" s="37">
        <v>39</v>
      </c>
      <c r="G260" s="51">
        <v>8406691.1914378479</v>
      </c>
      <c r="H260" s="51">
        <v>20388.411386685526</v>
      </c>
      <c r="I260" s="51">
        <v>14899.300219039549</v>
      </c>
      <c r="J260" s="51">
        <v>14017.111653066606</v>
      </c>
    </row>
    <row r="261" spans="1:10" x14ac:dyDescent="0.25">
      <c r="A261" s="45"/>
      <c r="B261" s="36" t="s">
        <v>111</v>
      </c>
      <c r="C261" s="36">
        <v>1</v>
      </c>
      <c r="D261" s="37" t="s">
        <v>60</v>
      </c>
      <c r="E261" s="37" t="s">
        <v>75</v>
      </c>
      <c r="F261" s="37">
        <v>89</v>
      </c>
      <c r="G261" s="51">
        <v>65574.69047270999</v>
      </c>
      <c r="H261" s="51">
        <v>669.81370878951975</v>
      </c>
      <c r="I261" s="51">
        <v>203.49657452392111</v>
      </c>
      <c r="J261" s="51">
        <v>104.59585352705125</v>
      </c>
    </row>
    <row r="262" spans="1:10" x14ac:dyDescent="0.25">
      <c r="A262" s="45"/>
      <c r="B262" s="36" t="s">
        <v>111</v>
      </c>
      <c r="C262" s="36">
        <v>2</v>
      </c>
      <c r="D262" s="37" t="s">
        <v>60</v>
      </c>
      <c r="E262" s="37" t="s">
        <v>76</v>
      </c>
      <c r="F262" s="37">
        <v>45</v>
      </c>
      <c r="G262" s="51">
        <v>106087.85002635859</v>
      </c>
      <c r="H262" s="51">
        <v>409.44438907618985</v>
      </c>
      <c r="I262" s="51">
        <v>216.04692320292284</v>
      </c>
      <c r="J262" s="51">
        <v>163.55694548055925</v>
      </c>
    </row>
    <row r="263" spans="1:10" x14ac:dyDescent="0.25">
      <c r="A263" s="45"/>
      <c r="B263" s="36"/>
      <c r="C263" s="36"/>
      <c r="D263" s="37"/>
      <c r="E263" s="37"/>
      <c r="F263" s="37"/>
      <c r="G263" s="44"/>
      <c r="H263" s="44"/>
      <c r="I263" s="44"/>
      <c r="J263" s="44"/>
    </row>
    <row r="264" spans="1:10" x14ac:dyDescent="0.25">
      <c r="A264" s="45" t="s">
        <v>118</v>
      </c>
      <c r="B264" s="36" t="s">
        <v>112</v>
      </c>
      <c r="C264" s="36">
        <v>1</v>
      </c>
      <c r="D264" s="37" t="s">
        <v>61</v>
      </c>
      <c r="E264" s="37" t="s">
        <v>77</v>
      </c>
      <c r="F264" s="37">
        <v>138</v>
      </c>
      <c r="G264" s="51">
        <v>77499325.875615269</v>
      </c>
      <c r="H264" s="51">
        <v>302060.02866220998</v>
      </c>
      <c r="I264" s="51">
        <v>186992.31092595641</v>
      </c>
      <c r="J264" s="51">
        <v>181727.55573568912</v>
      </c>
    </row>
    <row r="265" spans="1:10" x14ac:dyDescent="0.25">
      <c r="A265" s="45" t="s">
        <v>119</v>
      </c>
      <c r="B265" s="36" t="s">
        <v>112</v>
      </c>
      <c r="C265" s="36">
        <v>2</v>
      </c>
      <c r="D265" s="37" t="s">
        <v>61</v>
      </c>
      <c r="E265" s="36" t="s">
        <v>78</v>
      </c>
      <c r="F265" s="36">
        <v>73</v>
      </c>
      <c r="G265" s="51">
        <v>114549349.96654539</v>
      </c>
      <c r="H265" s="51">
        <v>425020.50236592407</v>
      </c>
      <c r="I265" s="51">
        <v>275558.45046046452</v>
      </c>
      <c r="J265" s="51">
        <v>246105.1045906228</v>
      </c>
    </row>
    <row r="266" spans="1:10" x14ac:dyDescent="0.25">
      <c r="A266" s="46"/>
      <c r="B266" s="36" t="s">
        <v>112</v>
      </c>
      <c r="C266" s="36">
        <v>3</v>
      </c>
      <c r="D266" s="37" t="s">
        <v>61</v>
      </c>
      <c r="E266" s="38" t="s">
        <v>79</v>
      </c>
      <c r="F266" s="38">
        <v>91</v>
      </c>
      <c r="G266" s="51">
        <v>174620779.25367534</v>
      </c>
      <c r="H266" s="51">
        <v>485093.86569567421</v>
      </c>
      <c r="I266" s="51">
        <v>338686.90808630269</v>
      </c>
      <c r="J266" s="51">
        <v>321041.49782771256</v>
      </c>
    </row>
    <row r="267" spans="1:10" x14ac:dyDescent="0.25">
      <c r="A267" s="45"/>
      <c r="B267" s="36" t="s">
        <v>112</v>
      </c>
      <c r="C267" s="36">
        <v>4</v>
      </c>
      <c r="D267" s="37" t="s">
        <v>61</v>
      </c>
      <c r="E267" s="37" t="s">
        <v>80</v>
      </c>
      <c r="F267" s="37">
        <v>109</v>
      </c>
      <c r="G267" s="51">
        <v>250290278.64211863</v>
      </c>
      <c r="H267" s="51">
        <v>659210.64344076102</v>
      </c>
      <c r="I267" s="51">
        <v>515960.84447710047</v>
      </c>
      <c r="J267" s="51">
        <v>468573.90260912321</v>
      </c>
    </row>
    <row r="268" spans="1:10" x14ac:dyDescent="0.25">
      <c r="A268" s="45"/>
      <c r="B268" s="36" t="s">
        <v>113</v>
      </c>
      <c r="C268" s="36">
        <v>1</v>
      </c>
      <c r="D268" s="37" t="s">
        <v>61</v>
      </c>
      <c r="E268" s="37" t="s">
        <v>81</v>
      </c>
      <c r="F268" s="37">
        <v>7</v>
      </c>
      <c r="G268" s="51">
        <v>8552.6411734230969</v>
      </c>
      <c r="H268" s="51">
        <v>36.463000000000008</v>
      </c>
      <c r="I268" s="51">
        <v>28.253378537830699</v>
      </c>
      <c r="J268" s="51">
        <v>17.05246637579296</v>
      </c>
    </row>
    <row r="269" spans="1:10" x14ac:dyDescent="0.25">
      <c r="A269" s="45"/>
      <c r="B269" s="36" t="s">
        <v>114</v>
      </c>
      <c r="C269" s="36">
        <v>1</v>
      </c>
      <c r="D269" s="37" t="s">
        <v>61</v>
      </c>
      <c r="E269" s="37" t="s">
        <v>82</v>
      </c>
      <c r="F269" s="37">
        <v>134</v>
      </c>
      <c r="G269" s="51">
        <v>2333579.8221421675</v>
      </c>
      <c r="H269" s="51">
        <v>9601.009206292254</v>
      </c>
      <c r="I269" s="51">
        <v>5002.2920847310061</v>
      </c>
      <c r="J269" s="51">
        <v>4155.0255910809647</v>
      </c>
    </row>
    <row r="270" spans="1:10" x14ac:dyDescent="0.25">
      <c r="A270" s="45"/>
      <c r="B270" s="36" t="s">
        <v>115</v>
      </c>
      <c r="C270" s="36">
        <v>1</v>
      </c>
      <c r="D270" s="37" t="s">
        <v>61</v>
      </c>
      <c r="E270" s="37" t="s">
        <v>83</v>
      </c>
      <c r="F270" s="37">
        <v>252</v>
      </c>
      <c r="G270" s="51">
        <v>2688978.5860721092</v>
      </c>
      <c r="H270" s="51">
        <v>12458.39830662122</v>
      </c>
      <c r="I270" s="51">
        <v>5840.1803843358593</v>
      </c>
      <c r="J270" s="51">
        <v>5092.1562231226708</v>
      </c>
    </row>
    <row r="271" spans="1:10" x14ac:dyDescent="0.25">
      <c r="A271" s="45"/>
      <c r="B271" s="36" t="s">
        <v>115</v>
      </c>
      <c r="C271" s="36">
        <v>2</v>
      </c>
      <c r="D271" s="37" t="s">
        <v>61</v>
      </c>
      <c r="E271" s="37" t="s">
        <v>84</v>
      </c>
      <c r="F271" s="37">
        <v>70</v>
      </c>
      <c r="G271" s="51">
        <v>3941657.9158720765</v>
      </c>
      <c r="H271" s="51">
        <v>13554.652231705148</v>
      </c>
      <c r="I271" s="51">
        <v>9044.2544313681356</v>
      </c>
      <c r="J271" s="51">
        <v>7533.0299214316456</v>
      </c>
    </row>
    <row r="272" spans="1:10" x14ac:dyDescent="0.25">
      <c r="A272" s="45" t="s">
        <v>0</v>
      </c>
      <c r="B272" s="36"/>
      <c r="C272" s="36"/>
      <c r="D272" s="37"/>
      <c r="E272" s="37"/>
      <c r="F272" s="37"/>
      <c r="G272" s="44"/>
      <c r="H272" s="44"/>
      <c r="I272" s="44"/>
      <c r="J272" s="44"/>
    </row>
    <row r="273" spans="1:10" x14ac:dyDescent="0.25">
      <c r="A273" s="45" t="s">
        <v>123</v>
      </c>
      <c r="B273" s="36" t="s">
        <v>116</v>
      </c>
      <c r="C273" s="36">
        <v>1</v>
      </c>
      <c r="D273" s="37" t="s">
        <v>61</v>
      </c>
      <c r="E273" s="37" t="s">
        <v>85</v>
      </c>
      <c r="F273" s="37">
        <v>118</v>
      </c>
      <c r="G273" s="51">
        <v>6323284.0706875371</v>
      </c>
      <c r="H273" s="51">
        <v>15810.526517467779</v>
      </c>
      <c r="I273" s="51">
        <v>11155.231072702729</v>
      </c>
      <c r="J273" s="51">
        <v>10299.888858868724</v>
      </c>
    </row>
    <row r="274" spans="1:10" x14ac:dyDescent="0.25">
      <c r="A274" s="45" t="s">
        <v>124</v>
      </c>
      <c r="B274" s="36" t="s">
        <v>116</v>
      </c>
      <c r="C274" s="36">
        <v>2</v>
      </c>
      <c r="D274" s="37" t="s">
        <v>61</v>
      </c>
      <c r="E274" s="37" t="s">
        <v>86</v>
      </c>
      <c r="F274" s="37">
        <v>34</v>
      </c>
      <c r="G274" s="51">
        <v>7997894.7636120468</v>
      </c>
      <c r="H274" s="51">
        <v>17741.812215059377</v>
      </c>
      <c r="I274" s="51">
        <v>13899.907159894159</v>
      </c>
      <c r="J274" s="51">
        <v>12634.613033245469</v>
      </c>
    </row>
    <row r="275" spans="1:10" x14ac:dyDescent="0.25">
      <c r="A275" s="45"/>
      <c r="B275" s="36" t="s">
        <v>114</v>
      </c>
      <c r="C275" s="36">
        <v>1</v>
      </c>
      <c r="D275" s="37" t="s">
        <v>61</v>
      </c>
      <c r="E275" s="37" t="s">
        <v>87</v>
      </c>
      <c r="F275" s="37">
        <v>4</v>
      </c>
      <c r="G275" s="51">
        <v>405001.78454288421</v>
      </c>
      <c r="H275" s="51">
        <v>1192.6730634695234</v>
      </c>
      <c r="I275" s="51">
        <v>1176.498602207515</v>
      </c>
      <c r="J275" s="51">
        <v>900.82720484964057</v>
      </c>
    </row>
    <row r="276" spans="1:10" x14ac:dyDescent="0.25">
      <c r="A276" s="45"/>
      <c r="B276" s="36"/>
      <c r="C276" s="36"/>
      <c r="D276" s="37"/>
      <c r="E276" s="37"/>
      <c r="F276" s="37"/>
      <c r="G276" s="51"/>
      <c r="H276" s="51"/>
      <c r="I276" s="51"/>
      <c r="J276" s="51"/>
    </row>
    <row r="278" spans="1:10" ht="13" x14ac:dyDescent="0.3">
      <c r="A278" s="27" t="s">
        <v>140</v>
      </c>
      <c r="B278" s="40"/>
      <c r="C278" s="8"/>
      <c r="D278" s="42"/>
      <c r="E278" s="30" t="s">
        <v>54</v>
      </c>
      <c r="F278" s="43"/>
      <c r="G278" s="43"/>
      <c r="H278" s="43"/>
      <c r="I278" s="43"/>
      <c r="J278" s="43"/>
    </row>
    <row r="279" spans="1:10" ht="78" x14ac:dyDescent="0.3">
      <c r="A279" s="27" t="s">
        <v>38</v>
      </c>
      <c r="B279" s="8" t="s">
        <v>64</v>
      </c>
      <c r="C279" s="8" t="s">
        <v>39</v>
      </c>
      <c r="D279" s="31" t="s">
        <v>102</v>
      </c>
      <c r="E279" s="31" t="s">
        <v>103</v>
      </c>
      <c r="F279" s="31" t="s">
        <v>104</v>
      </c>
      <c r="G279" s="31" t="s">
        <v>105</v>
      </c>
      <c r="H279" s="31" t="s">
        <v>106</v>
      </c>
      <c r="I279" s="31" t="s">
        <v>107</v>
      </c>
      <c r="J279" s="31" t="s">
        <v>108</v>
      </c>
    </row>
    <row r="280" spans="1:10" ht="13" x14ac:dyDescent="0.3">
      <c r="A280" s="27"/>
      <c r="B280" s="27"/>
      <c r="C280" s="8"/>
      <c r="D280" s="22"/>
      <c r="E280" s="22"/>
      <c r="F280" s="22"/>
      <c r="G280" s="22"/>
      <c r="H280" s="22"/>
      <c r="I280" s="22"/>
      <c r="J280" s="22"/>
    </row>
    <row r="281" spans="1:10" x14ac:dyDescent="0.25">
      <c r="A281" s="41" t="s">
        <v>120</v>
      </c>
      <c r="B281" s="36" t="s">
        <v>125</v>
      </c>
      <c r="C281" s="36">
        <v>1</v>
      </c>
      <c r="D281" s="37" t="s">
        <v>60</v>
      </c>
      <c r="E281" s="37" t="s">
        <v>88</v>
      </c>
      <c r="F281" s="37">
        <v>103</v>
      </c>
      <c r="G281" s="51">
        <v>38822105.624969348</v>
      </c>
      <c r="H281" s="51">
        <v>261324.01544672906</v>
      </c>
      <c r="I281" s="51">
        <v>128334.58588109884</v>
      </c>
      <c r="J281" s="51">
        <v>112058.59988485511</v>
      </c>
    </row>
    <row r="282" spans="1:10" x14ac:dyDescent="0.25">
      <c r="A282" s="45"/>
      <c r="B282" s="36" t="s">
        <v>125</v>
      </c>
      <c r="C282" s="36">
        <v>2</v>
      </c>
      <c r="D282" s="37" t="s">
        <v>60</v>
      </c>
      <c r="E282" s="37" t="s">
        <v>89</v>
      </c>
      <c r="F282" s="37">
        <v>92</v>
      </c>
      <c r="G282" s="51">
        <v>41096984.359160252</v>
      </c>
      <c r="H282" s="51">
        <v>225751.61083410829</v>
      </c>
      <c r="I282" s="51">
        <v>126592.54525459048</v>
      </c>
      <c r="J282" s="51">
        <v>122654.369469023</v>
      </c>
    </row>
    <row r="283" spans="1:10" x14ac:dyDescent="0.25">
      <c r="A283" s="45"/>
      <c r="B283" s="36" t="s">
        <v>125</v>
      </c>
      <c r="C283" s="36">
        <v>3</v>
      </c>
      <c r="D283" s="37" t="s">
        <v>60</v>
      </c>
      <c r="E283" s="37" t="s">
        <v>90</v>
      </c>
      <c r="F283" s="37">
        <v>92</v>
      </c>
      <c r="G283" s="51">
        <v>45974017.928868435</v>
      </c>
      <c r="H283" s="51">
        <v>219215.59072400341</v>
      </c>
      <c r="I283" s="51">
        <v>131462.19997017263</v>
      </c>
      <c r="J283" s="51">
        <v>125425.3895899226</v>
      </c>
    </row>
    <row r="284" spans="1:10" x14ac:dyDescent="0.25">
      <c r="A284" s="45"/>
      <c r="B284" s="36" t="s">
        <v>125</v>
      </c>
      <c r="C284" s="36">
        <v>4</v>
      </c>
      <c r="D284" s="37" t="s">
        <v>60</v>
      </c>
      <c r="E284" s="37" t="s">
        <v>91</v>
      </c>
      <c r="F284" s="37">
        <v>100</v>
      </c>
      <c r="G284" s="51">
        <v>46169994.006971456</v>
      </c>
      <c r="H284" s="51">
        <v>202848.32436637962</v>
      </c>
      <c r="I284" s="51">
        <v>132278.13457520938</v>
      </c>
      <c r="J284" s="51">
        <v>123512.97581895179</v>
      </c>
    </row>
    <row r="285" spans="1:10" x14ac:dyDescent="0.25">
      <c r="A285" s="45"/>
      <c r="B285" s="36"/>
      <c r="C285" s="36"/>
      <c r="D285" s="37"/>
      <c r="E285" s="37"/>
      <c r="F285" s="37"/>
      <c r="G285" s="51"/>
      <c r="H285" s="51"/>
      <c r="I285" s="51"/>
      <c r="J285" s="51"/>
    </row>
    <row r="286" spans="1:10" x14ac:dyDescent="0.25">
      <c r="A286" s="45" t="s">
        <v>121</v>
      </c>
      <c r="B286" s="36" t="s">
        <v>63</v>
      </c>
      <c r="C286" s="36">
        <v>1</v>
      </c>
      <c r="D286" s="37" t="s">
        <v>60</v>
      </c>
      <c r="E286" s="36" t="s">
        <v>92</v>
      </c>
      <c r="F286" s="36">
        <v>99</v>
      </c>
      <c r="G286" s="51">
        <v>1875115.1344376144</v>
      </c>
      <c r="H286" s="51">
        <v>24240.173936398849</v>
      </c>
      <c r="I286" s="51">
        <v>5000.8291414192108</v>
      </c>
      <c r="J286" s="51">
        <v>4198.9299157864134</v>
      </c>
    </row>
    <row r="287" spans="1:10" x14ac:dyDescent="0.25">
      <c r="A287" s="45" t="s">
        <v>122</v>
      </c>
      <c r="B287" s="36" t="s">
        <v>63</v>
      </c>
      <c r="C287" s="36">
        <v>2</v>
      </c>
      <c r="D287" s="37" t="s">
        <v>60</v>
      </c>
      <c r="E287" s="37" t="s">
        <v>93</v>
      </c>
      <c r="F287" s="37">
        <v>69</v>
      </c>
      <c r="G287" s="51">
        <v>2669361.5905473027</v>
      </c>
      <c r="H287" s="51">
        <v>16406.322983107202</v>
      </c>
      <c r="I287" s="51">
        <v>9441.9420795186652</v>
      </c>
      <c r="J287" s="51">
        <v>7507.346494750067</v>
      </c>
    </row>
    <row r="288" spans="1:10" x14ac:dyDescent="0.25">
      <c r="A288" s="45"/>
      <c r="B288" s="36" t="s">
        <v>63</v>
      </c>
      <c r="C288" s="36">
        <v>3</v>
      </c>
      <c r="D288" s="37" t="s">
        <v>60</v>
      </c>
      <c r="E288" s="37" t="s">
        <v>94</v>
      </c>
      <c r="F288" s="37">
        <v>85</v>
      </c>
      <c r="G288" s="51">
        <v>3399784.1304788757</v>
      </c>
      <c r="H288" s="51">
        <v>14596.333332598271</v>
      </c>
      <c r="I288" s="51">
        <v>10928.788029756408</v>
      </c>
      <c r="J288" s="51">
        <v>10799.849713061916</v>
      </c>
    </row>
    <row r="289" spans="1:16" x14ac:dyDescent="0.25">
      <c r="A289" s="45"/>
      <c r="B289" s="36" t="s">
        <v>63</v>
      </c>
      <c r="C289" s="36">
        <v>4</v>
      </c>
      <c r="D289" s="37" t="s">
        <v>60</v>
      </c>
      <c r="E289" s="37" t="s">
        <v>95</v>
      </c>
      <c r="F289" s="37">
        <v>75</v>
      </c>
      <c r="G289" s="51">
        <v>3879774.9882870144</v>
      </c>
      <c r="H289" s="51">
        <v>8981.8582448076886</v>
      </c>
      <c r="I289" s="51">
        <v>6761.3675589727172</v>
      </c>
      <c r="J289" s="51">
        <v>6167.1092078815836</v>
      </c>
    </row>
    <row r="290" spans="1:16" x14ac:dyDescent="0.25">
      <c r="A290" s="45"/>
      <c r="B290" s="36"/>
      <c r="C290" s="36"/>
      <c r="D290" s="37"/>
      <c r="E290" s="37"/>
      <c r="F290" s="37"/>
      <c r="G290" s="51"/>
      <c r="H290" s="51"/>
      <c r="I290" s="51"/>
      <c r="J290" s="51"/>
    </row>
    <row r="291" spans="1:16" x14ac:dyDescent="0.25">
      <c r="A291" s="45" t="s">
        <v>118</v>
      </c>
      <c r="B291" s="36" t="s">
        <v>112</v>
      </c>
      <c r="C291" s="36">
        <v>1</v>
      </c>
      <c r="D291" s="37" t="s">
        <v>61</v>
      </c>
      <c r="E291" s="37" t="s">
        <v>77</v>
      </c>
      <c r="F291" s="37">
        <v>128</v>
      </c>
      <c r="G291" s="51">
        <v>16684031.228385676</v>
      </c>
      <c r="H291" s="51">
        <v>71028.091728650703</v>
      </c>
      <c r="I291" s="51">
        <v>44149.681865523817</v>
      </c>
      <c r="J291" s="51">
        <v>43875.823143751608</v>
      </c>
    </row>
    <row r="292" spans="1:16" x14ac:dyDescent="0.25">
      <c r="A292" s="45" t="s">
        <v>119</v>
      </c>
      <c r="B292" s="36" t="s">
        <v>112</v>
      </c>
      <c r="C292" s="36">
        <v>2</v>
      </c>
      <c r="D292" s="37" t="s">
        <v>61</v>
      </c>
      <c r="E292" s="36" t="s">
        <v>78</v>
      </c>
      <c r="F292" s="36">
        <v>85</v>
      </c>
      <c r="G292" s="51">
        <v>24565353.078748036</v>
      </c>
      <c r="H292" s="51">
        <v>91457.875882155728</v>
      </c>
      <c r="I292" s="51">
        <v>60521.514554966365</v>
      </c>
      <c r="J292" s="51">
        <v>60521.514554966365</v>
      </c>
    </row>
    <row r="293" spans="1:16" x14ac:dyDescent="0.25">
      <c r="A293" s="46"/>
      <c r="B293" s="36" t="s">
        <v>112</v>
      </c>
      <c r="C293" s="36">
        <v>3</v>
      </c>
      <c r="D293" s="37" t="s">
        <v>61</v>
      </c>
      <c r="E293" s="38" t="s">
        <v>96</v>
      </c>
      <c r="F293" s="38">
        <v>104</v>
      </c>
      <c r="G293" s="51">
        <v>36894765.363872968</v>
      </c>
      <c r="H293" s="51">
        <v>105860.31293651795</v>
      </c>
      <c r="I293" s="51">
        <v>81100.416798877981</v>
      </c>
      <c r="J293" s="51">
        <v>81007.564501264409</v>
      </c>
    </row>
    <row r="294" spans="1:16" x14ac:dyDescent="0.25">
      <c r="A294" s="45"/>
      <c r="B294" s="36" t="s">
        <v>112</v>
      </c>
      <c r="C294" s="36">
        <v>4</v>
      </c>
      <c r="D294" s="37" t="s">
        <v>61</v>
      </c>
      <c r="E294" s="37" t="s">
        <v>62</v>
      </c>
      <c r="F294" s="37">
        <v>118</v>
      </c>
      <c r="G294" s="51">
        <v>53873346.599405989</v>
      </c>
      <c r="H294" s="51">
        <v>145248.1182745588</v>
      </c>
      <c r="I294" s="51">
        <v>117381.00221102458</v>
      </c>
      <c r="J294" s="51">
        <v>107909.13590924462</v>
      </c>
    </row>
    <row r="295" spans="1:16" x14ac:dyDescent="0.25">
      <c r="A295" s="45" t="s">
        <v>0</v>
      </c>
      <c r="B295" s="48" t="s">
        <v>114</v>
      </c>
      <c r="C295" s="36">
        <v>1</v>
      </c>
      <c r="D295" s="37" t="s">
        <v>61</v>
      </c>
      <c r="E295" s="37" t="s">
        <v>97</v>
      </c>
      <c r="F295" s="37">
        <v>125</v>
      </c>
      <c r="G295" s="51">
        <v>2007951.3073931932</v>
      </c>
      <c r="H295" s="51">
        <v>6483.4654512684483</v>
      </c>
      <c r="I295" s="51">
        <v>3916.675583208661</v>
      </c>
      <c r="J295" s="51">
        <v>3842.4455020847568</v>
      </c>
    </row>
    <row r="296" spans="1:16" x14ac:dyDescent="0.25">
      <c r="A296" s="45"/>
      <c r="B296" s="48"/>
      <c r="C296" s="36"/>
      <c r="D296" s="37"/>
      <c r="E296" s="37"/>
      <c r="F296" s="37"/>
      <c r="G296" s="51"/>
      <c r="H296" s="51"/>
      <c r="I296" s="51"/>
      <c r="J296" s="51"/>
    </row>
    <row r="297" spans="1:16" x14ac:dyDescent="0.25">
      <c r="A297" s="45" t="s">
        <v>123</v>
      </c>
      <c r="B297" s="48" t="s">
        <v>116</v>
      </c>
      <c r="C297" s="36">
        <v>1</v>
      </c>
      <c r="D297" s="37" t="s">
        <v>61</v>
      </c>
      <c r="E297" s="37" t="s">
        <v>98</v>
      </c>
      <c r="F297" s="37">
        <v>245</v>
      </c>
      <c r="G297" s="51">
        <v>1844071.2018005431</v>
      </c>
      <c r="H297" s="51">
        <v>5212.1603481221191</v>
      </c>
      <c r="I297" s="51">
        <v>2823.7042218819729</v>
      </c>
      <c r="J297" s="51">
        <v>2618.3340177405607</v>
      </c>
    </row>
    <row r="298" spans="1:16" x14ac:dyDescent="0.25">
      <c r="A298" s="45" t="s">
        <v>124</v>
      </c>
      <c r="B298" s="48" t="s">
        <v>116</v>
      </c>
      <c r="C298" s="36">
        <v>2</v>
      </c>
      <c r="D298" s="37" t="s">
        <v>61</v>
      </c>
      <c r="E298" s="37" t="s">
        <v>99</v>
      </c>
      <c r="F298" s="37">
        <v>48</v>
      </c>
      <c r="G298" s="51">
        <v>3074947.0241867723</v>
      </c>
      <c r="H298" s="51">
        <v>8120.5152536912328</v>
      </c>
      <c r="I298" s="51">
        <v>5084.925263455908</v>
      </c>
      <c r="J298" s="51">
        <v>4362.7405362114241</v>
      </c>
    </row>
    <row r="299" spans="1:16" x14ac:dyDescent="0.25">
      <c r="A299" s="45" t="s">
        <v>0</v>
      </c>
      <c r="B299" s="48" t="s">
        <v>116</v>
      </c>
      <c r="C299" s="36">
        <v>3</v>
      </c>
      <c r="D299" s="37" t="s">
        <v>61</v>
      </c>
      <c r="E299" s="37" t="s">
        <v>100</v>
      </c>
      <c r="F299" s="37">
        <v>19</v>
      </c>
      <c r="G299" s="51">
        <v>3099204.3693872374</v>
      </c>
      <c r="H299" s="51">
        <v>8617.238676862924</v>
      </c>
      <c r="I299" s="51">
        <v>6416.2737372838628</v>
      </c>
      <c r="J299" s="51">
        <v>5269.9937071322483</v>
      </c>
    </row>
    <row r="300" spans="1:16" x14ac:dyDescent="0.25">
      <c r="A300" s="45"/>
      <c r="B300" s="48" t="s">
        <v>114</v>
      </c>
      <c r="C300" s="36">
        <v>1</v>
      </c>
      <c r="D300" s="37" t="s">
        <v>61</v>
      </c>
      <c r="E300" s="37" t="s">
        <v>101</v>
      </c>
      <c r="F300" s="37">
        <v>2</v>
      </c>
      <c r="G300" s="51">
        <v>3439.6787894183481</v>
      </c>
      <c r="H300" s="51">
        <v>26.232000000000006</v>
      </c>
      <c r="I300" s="51">
        <v>26.376970242413591</v>
      </c>
      <c r="J300" s="51">
        <v>5.4539755487515746</v>
      </c>
    </row>
    <row r="301" spans="1:16" s="52" customFormat="1" ht="13" x14ac:dyDescent="0.3">
      <c r="A301" s="89" t="s">
        <v>136</v>
      </c>
      <c r="B301" s="88"/>
      <c r="C301" s="88"/>
      <c r="D301" s="88"/>
      <c r="E301" s="88"/>
      <c r="F301" s="88"/>
      <c r="G301" s="88"/>
      <c r="H301" s="88"/>
      <c r="I301" s="88"/>
      <c r="J301" s="88"/>
      <c r="K301" s="84"/>
      <c r="L301" s="84"/>
      <c r="M301" s="84"/>
      <c r="N301" s="84"/>
      <c r="O301" s="84"/>
      <c r="P301" s="78"/>
    </row>
    <row r="302" spans="1:16" s="4" customFormat="1" ht="13" x14ac:dyDescent="0.3">
      <c r="A302" s="1" t="s">
        <v>59</v>
      </c>
      <c r="B302" s="1"/>
      <c r="C302" s="2"/>
      <c r="D302" s="3"/>
      <c r="E302" s="2"/>
      <c r="F302" s="2"/>
      <c r="G302" s="2"/>
      <c r="H302" s="2"/>
      <c r="I302" s="2"/>
      <c r="J302" s="2"/>
    </row>
    <row r="303" spans="1:16" s="4" customFormat="1" ht="13" x14ac:dyDescent="0.3">
      <c r="A303" s="87" t="s">
        <v>157</v>
      </c>
      <c r="B303" s="88"/>
      <c r="C303" s="88"/>
      <c r="D303" s="88"/>
      <c r="E303" s="88"/>
      <c r="F303" s="88"/>
      <c r="G303" s="88"/>
      <c r="H303" s="88"/>
      <c r="I303" s="88"/>
      <c r="J303" s="88"/>
    </row>
    <row r="304" spans="1:16" s="4" customFormat="1" ht="13" x14ac:dyDescent="0.3">
      <c r="A304" s="5" t="str">
        <f>A4</f>
        <v>TEST YEAR ENDING 12/31/2018</v>
      </c>
      <c r="B304" s="5"/>
      <c r="C304" s="2"/>
      <c r="D304" s="3"/>
      <c r="E304" s="2"/>
      <c r="F304" s="2"/>
      <c r="G304" s="2"/>
      <c r="H304" s="2"/>
      <c r="I304" s="2"/>
      <c r="J304" s="2"/>
    </row>
    <row r="305" spans="1:10" s="4" customFormat="1" ht="13" x14ac:dyDescent="0.3">
      <c r="A305" s="5"/>
      <c r="B305" s="5"/>
      <c r="C305" s="2"/>
      <c r="D305" s="3"/>
      <c r="E305" s="2"/>
      <c r="F305" s="2"/>
      <c r="G305" s="2"/>
      <c r="H305" s="2"/>
      <c r="I305" s="2"/>
      <c r="J305" s="2"/>
    </row>
    <row r="306" spans="1:10" s="4" customFormat="1" ht="13" x14ac:dyDescent="0.3">
      <c r="A306" s="5"/>
      <c r="B306" s="5"/>
      <c r="C306" s="2"/>
      <c r="D306" s="3"/>
      <c r="E306" s="2"/>
      <c r="F306" s="2"/>
      <c r="G306" s="2"/>
      <c r="H306" s="2"/>
      <c r="I306" s="2"/>
      <c r="J306" s="2"/>
    </row>
    <row r="307" spans="1:10" ht="13" x14ac:dyDescent="0.3">
      <c r="A307" s="27" t="s">
        <v>139</v>
      </c>
      <c r="B307" s="40"/>
      <c r="C307" s="8"/>
      <c r="D307" s="42"/>
      <c r="E307" s="30" t="s">
        <v>55</v>
      </c>
      <c r="F307" s="43"/>
      <c r="G307" s="43"/>
      <c r="H307" s="43"/>
      <c r="I307" s="43"/>
      <c r="J307" s="43"/>
    </row>
    <row r="308" spans="1:10" ht="78" x14ac:dyDescent="0.3">
      <c r="A308" s="27" t="s">
        <v>38</v>
      </c>
      <c r="B308" s="8" t="s">
        <v>64</v>
      </c>
      <c r="C308" s="8" t="s">
        <v>39</v>
      </c>
      <c r="D308" s="31" t="s">
        <v>102</v>
      </c>
      <c r="E308" s="31" t="s">
        <v>103</v>
      </c>
      <c r="F308" s="31" t="s">
        <v>104</v>
      </c>
      <c r="G308" s="31" t="s">
        <v>105</v>
      </c>
      <c r="H308" s="31" t="s">
        <v>106</v>
      </c>
      <c r="I308" s="31" t="s">
        <v>107</v>
      </c>
      <c r="J308" s="31" t="s">
        <v>108</v>
      </c>
    </row>
    <row r="309" spans="1:10" ht="13" x14ac:dyDescent="0.3">
      <c r="A309" s="27"/>
      <c r="B309" s="27"/>
      <c r="C309" s="8"/>
      <c r="D309" s="22"/>
      <c r="E309" s="22"/>
      <c r="F309" s="22"/>
      <c r="G309" s="22"/>
      <c r="H309" s="22"/>
      <c r="I309" s="22"/>
      <c r="J309" s="22"/>
    </row>
    <row r="310" spans="1:10" x14ac:dyDescent="0.25">
      <c r="A310" s="39" t="s">
        <v>117</v>
      </c>
      <c r="B310" s="36" t="s">
        <v>109</v>
      </c>
      <c r="C310" s="36">
        <v>1</v>
      </c>
      <c r="D310" s="37" t="s">
        <v>60</v>
      </c>
      <c r="E310" s="37" t="s">
        <v>65</v>
      </c>
      <c r="F310" s="37">
        <v>72</v>
      </c>
      <c r="G310" s="51">
        <v>215396663.12651232</v>
      </c>
      <c r="H310" s="51">
        <v>1030181.8283938584</v>
      </c>
      <c r="I310" s="51">
        <v>492053.62504636205</v>
      </c>
      <c r="J310" s="51">
        <v>407006.29010328534</v>
      </c>
    </row>
    <row r="311" spans="1:10" x14ac:dyDescent="0.25">
      <c r="A311" s="45"/>
      <c r="B311" s="36" t="s">
        <v>109</v>
      </c>
      <c r="C311" s="36">
        <v>2</v>
      </c>
      <c r="D311" s="37" t="s">
        <v>60</v>
      </c>
      <c r="E311" s="37" t="s">
        <v>66</v>
      </c>
      <c r="F311" s="37">
        <v>80</v>
      </c>
      <c r="G311" s="51">
        <v>250504867.35275221</v>
      </c>
      <c r="H311" s="51">
        <v>1013508.2626166256</v>
      </c>
      <c r="I311" s="51">
        <v>576330.81530875037</v>
      </c>
      <c r="J311" s="51">
        <v>519173.63512893842</v>
      </c>
    </row>
    <row r="312" spans="1:10" x14ac:dyDescent="0.25">
      <c r="A312" s="45"/>
      <c r="B312" s="36" t="s">
        <v>109</v>
      </c>
      <c r="C312" s="36">
        <v>3</v>
      </c>
      <c r="D312" s="37" t="s">
        <v>60</v>
      </c>
      <c r="E312" s="37" t="s">
        <v>67</v>
      </c>
      <c r="F312" s="37">
        <v>71</v>
      </c>
      <c r="G312" s="51">
        <v>272586138.61478323</v>
      </c>
      <c r="H312" s="51">
        <v>935396.35958646901</v>
      </c>
      <c r="I312" s="51">
        <v>581691.86654016504</v>
      </c>
      <c r="J312" s="51">
        <v>518627.97211078863</v>
      </c>
    </row>
    <row r="313" spans="1:10" x14ac:dyDescent="0.25">
      <c r="A313" s="45"/>
      <c r="B313" s="36" t="s">
        <v>110</v>
      </c>
      <c r="C313" s="36">
        <v>1</v>
      </c>
      <c r="D313" s="37" t="s">
        <v>60</v>
      </c>
      <c r="E313" s="37" t="s">
        <v>68</v>
      </c>
      <c r="F313" s="37">
        <v>48</v>
      </c>
      <c r="G313" s="51">
        <v>158400941.06285033</v>
      </c>
      <c r="H313" s="51">
        <v>742630.90088811691</v>
      </c>
      <c r="I313" s="51">
        <v>356861.63213693292</v>
      </c>
      <c r="J313" s="51">
        <v>333232.27977969026</v>
      </c>
    </row>
    <row r="314" spans="1:10" x14ac:dyDescent="0.25">
      <c r="A314" s="45"/>
      <c r="B314" s="36" t="s">
        <v>110</v>
      </c>
      <c r="C314" s="36">
        <v>2</v>
      </c>
      <c r="D314" s="37" t="s">
        <v>60</v>
      </c>
      <c r="E314" s="37" t="s">
        <v>69</v>
      </c>
      <c r="F314" s="37">
        <v>51</v>
      </c>
      <c r="G314" s="51">
        <v>185909100.75433105</v>
      </c>
      <c r="H314" s="51">
        <v>665341.96650620061</v>
      </c>
      <c r="I314" s="51">
        <v>407017.25192945782</v>
      </c>
      <c r="J314" s="51">
        <v>385466.17885127774</v>
      </c>
    </row>
    <row r="315" spans="1:10" x14ac:dyDescent="0.25">
      <c r="A315" s="45"/>
      <c r="B315" s="36"/>
      <c r="C315" s="36"/>
      <c r="D315" s="37"/>
      <c r="E315" s="37"/>
      <c r="F315" s="37"/>
      <c r="G315" s="44"/>
      <c r="H315" s="44"/>
      <c r="I315" s="44"/>
      <c r="J315" s="44"/>
    </row>
    <row r="316" spans="1:10" x14ac:dyDescent="0.25">
      <c r="A316" s="45" t="s">
        <v>121</v>
      </c>
      <c r="B316" s="36" t="s">
        <v>63</v>
      </c>
      <c r="C316" s="36">
        <v>1</v>
      </c>
      <c r="D316" s="37" t="s">
        <v>60</v>
      </c>
      <c r="E316" s="36" t="s">
        <v>70</v>
      </c>
      <c r="F316" s="36">
        <v>88</v>
      </c>
      <c r="G316" s="51">
        <v>4881754.4474492557</v>
      </c>
      <c r="H316" s="51">
        <v>56440.221020169076</v>
      </c>
      <c r="I316" s="51">
        <v>12548.47986975542</v>
      </c>
      <c r="J316" s="51">
        <v>8191.4153349928274</v>
      </c>
    </row>
    <row r="317" spans="1:10" x14ac:dyDescent="0.25">
      <c r="A317" s="45" t="s">
        <v>122</v>
      </c>
      <c r="B317" s="36" t="s">
        <v>63</v>
      </c>
      <c r="C317" s="36">
        <v>2</v>
      </c>
      <c r="D317" s="37" t="s">
        <v>60</v>
      </c>
      <c r="E317" s="37" t="s">
        <v>71</v>
      </c>
      <c r="F317" s="37">
        <v>53</v>
      </c>
      <c r="G317" s="51">
        <v>6517368.4737833859</v>
      </c>
      <c r="H317" s="51">
        <v>36989.726326348507</v>
      </c>
      <c r="I317" s="51">
        <v>18571.392991267021</v>
      </c>
      <c r="J317" s="51">
        <v>18571.392991267021</v>
      </c>
    </row>
    <row r="318" spans="1:10" x14ac:dyDescent="0.25">
      <c r="A318" s="45"/>
      <c r="B318" s="36" t="s">
        <v>63</v>
      </c>
      <c r="C318" s="36">
        <v>3</v>
      </c>
      <c r="D318" s="37" t="s">
        <v>60</v>
      </c>
      <c r="E318" s="37" t="s">
        <v>72</v>
      </c>
      <c r="F318" s="37">
        <v>44</v>
      </c>
      <c r="G318" s="51">
        <v>7934143.1288608192</v>
      </c>
      <c r="H318" s="51">
        <v>30295.840256084575</v>
      </c>
      <c r="I318" s="51">
        <v>21093.856790123413</v>
      </c>
      <c r="J318" s="51">
        <v>20915.359023851634</v>
      </c>
    </row>
    <row r="319" spans="1:10" x14ac:dyDescent="0.25">
      <c r="A319" s="45"/>
      <c r="B319" s="36" t="s">
        <v>63</v>
      </c>
      <c r="C319" s="36">
        <v>4</v>
      </c>
      <c r="D319" s="37" t="s">
        <v>60</v>
      </c>
      <c r="E319" s="37" t="s">
        <v>73</v>
      </c>
      <c r="F319" s="37">
        <v>52</v>
      </c>
      <c r="G319" s="51">
        <v>8059956.7832017047</v>
      </c>
      <c r="H319" s="51">
        <v>25250.163108807366</v>
      </c>
      <c r="I319" s="51">
        <v>17625.04778438072</v>
      </c>
      <c r="J319" s="51">
        <v>16413.021748910072</v>
      </c>
    </row>
    <row r="320" spans="1:10" x14ac:dyDescent="0.25">
      <c r="A320" s="45"/>
      <c r="B320" s="36" t="s">
        <v>63</v>
      </c>
      <c r="C320" s="36">
        <v>5</v>
      </c>
      <c r="D320" s="37" t="s">
        <v>60</v>
      </c>
      <c r="E320" s="37" t="s">
        <v>74</v>
      </c>
      <c r="F320" s="37">
        <v>39</v>
      </c>
      <c r="G320" s="51">
        <v>8915473.5334524792</v>
      </c>
      <c r="H320" s="51">
        <v>20975.388621380553</v>
      </c>
      <c r="I320" s="51">
        <v>15496.845707484172</v>
      </c>
      <c r="J320" s="51">
        <v>15038.516999042149</v>
      </c>
    </row>
    <row r="321" spans="1:10" x14ac:dyDescent="0.25">
      <c r="A321" s="45"/>
      <c r="B321" s="36" t="s">
        <v>111</v>
      </c>
      <c r="C321" s="36">
        <v>1</v>
      </c>
      <c r="D321" s="37" t="s">
        <v>60</v>
      </c>
      <c r="E321" s="37" t="s">
        <v>75</v>
      </c>
      <c r="F321" s="37">
        <v>89</v>
      </c>
      <c r="G321" s="51">
        <v>91717.372246507904</v>
      </c>
      <c r="H321" s="51">
        <v>1335.6215396138668</v>
      </c>
      <c r="I321" s="51">
        <v>722.20009219552344</v>
      </c>
      <c r="J321" s="51">
        <v>92.369480923271894</v>
      </c>
    </row>
    <row r="322" spans="1:10" x14ac:dyDescent="0.25">
      <c r="A322" s="45"/>
      <c r="B322" s="36" t="s">
        <v>111</v>
      </c>
      <c r="C322" s="36">
        <v>2</v>
      </c>
      <c r="D322" s="37" t="s">
        <v>60</v>
      </c>
      <c r="E322" s="37" t="s">
        <v>76</v>
      </c>
      <c r="F322" s="37">
        <v>45</v>
      </c>
      <c r="G322" s="51">
        <v>113160.11762072727</v>
      </c>
      <c r="H322" s="51">
        <v>556.3400723000193</v>
      </c>
      <c r="I322" s="51">
        <v>359.11413450878462</v>
      </c>
      <c r="J322" s="51">
        <v>145.58935295037372</v>
      </c>
    </row>
    <row r="323" spans="1:10" x14ac:dyDescent="0.25">
      <c r="A323" s="45"/>
      <c r="B323" s="36"/>
      <c r="C323" s="36"/>
      <c r="D323" s="37"/>
      <c r="E323" s="37"/>
      <c r="F323" s="37"/>
      <c r="G323" s="44"/>
      <c r="H323" s="44"/>
      <c r="I323" s="44"/>
      <c r="J323" s="44"/>
    </row>
    <row r="324" spans="1:10" x14ac:dyDescent="0.25">
      <c r="A324" s="45" t="s">
        <v>118</v>
      </c>
      <c r="B324" s="36" t="s">
        <v>112</v>
      </c>
      <c r="C324" s="36">
        <v>1</v>
      </c>
      <c r="D324" s="37" t="s">
        <v>61</v>
      </c>
      <c r="E324" s="37" t="s">
        <v>77</v>
      </c>
      <c r="F324" s="37">
        <v>138</v>
      </c>
      <c r="G324" s="51">
        <v>80385000.823674783</v>
      </c>
      <c r="H324" s="51">
        <v>313235.56240798463</v>
      </c>
      <c r="I324" s="51">
        <v>190200.29973629644</v>
      </c>
      <c r="J324" s="51">
        <v>190141.94906914057</v>
      </c>
    </row>
    <row r="325" spans="1:10" x14ac:dyDescent="0.25">
      <c r="A325" s="45" t="s">
        <v>119</v>
      </c>
      <c r="B325" s="36" t="s">
        <v>112</v>
      </c>
      <c r="C325" s="36">
        <v>2</v>
      </c>
      <c r="D325" s="37" t="s">
        <v>61</v>
      </c>
      <c r="E325" s="36" t="s">
        <v>78</v>
      </c>
      <c r="F325" s="36">
        <v>73</v>
      </c>
      <c r="G325" s="51">
        <v>120226270.42560099</v>
      </c>
      <c r="H325" s="51">
        <v>399120.08617329248</v>
      </c>
      <c r="I325" s="51">
        <v>262329.61790174281</v>
      </c>
      <c r="J325" s="51">
        <v>261751.60196765428</v>
      </c>
    </row>
    <row r="326" spans="1:10" x14ac:dyDescent="0.25">
      <c r="A326" s="46"/>
      <c r="B326" s="36" t="s">
        <v>112</v>
      </c>
      <c r="C326" s="36">
        <v>3</v>
      </c>
      <c r="D326" s="37" t="s">
        <v>61</v>
      </c>
      <c r="E326" s="38" t="s">
        <v>79</v>
      </c>
      <c r="F326" s="38">
        <v>91</v>
      </c>
      <c r="G326" s="51">
        <v>178827565.42762232</v>
      </c>
      <c r="H326" s="51">
        <v>480810.84474366775</v>
      </c>
      <c r="I326" s="51">
        <v>348635.23752606305</v>
      </c>
      <c r="J326" s="51">
        <v>337949.17638098513</v>
      </c>
    </row>
    <row r="327" spans="1:10" x14ac:dyDescent="0.25">
      <c r="A327" s="45"/>
      <c r="B327" s="36" t="s">
        <v>112</v>
      </c>
      <c r="C327" s="36">
        <v>4</v>
      </c>
      <c r="D327" s="37" t="s">
        <v>61</v>
      </c>
      <c r="E327" s="37" t="s">
        <v>80</v>
      </c>
      <c r="F327" s="37">
        <v>109</v>
      </c>
      <c r="G327" s="51">
        <v>243669134.31839961</v>
      </c>
      <c r="H327" s="51">
        <v>654993.38214254007</v>
      </c>
      <c r="I327" s="51">
        <v>505368.07896489045</v>
      </c>
      <c r="J327" s="51">
        <v>466479.91003918159</v>
      </c>
    </row>
    <row r="328" spans="1:10" x14ac:dyDescent="0.25">
      <c r="A328" s="45"/>
      <c r="B328" s="36" t="s">
        <v>113</v>
      </c>
      <c r="C328" s="36">
        <v>1</v>
      </c>
      <c r="D328" s="37" t="s">
        <v>61</v>
      </c>
      <c r="E328" s="37" t="s">
        <v>81</v>
      </c>
      <c r="F328" s="37">
        <v>7</v>
      </c>
      <c r="G328" s="51">
        <v>17418.518965407267</v>
      </c>
      <c r="H328" s="51">
        <v>126.4362</v>
      </c>
      <c r="I328" s="51">
        <v>93.455159716578905</v>
      </c>
      <c r="J328" s="51">
        <v>16.747888924725348</v>
      </c>
    </row>
    <row r="329" spans="1:10" x14ac:dyDescent="0.25">
      <c r="A329" s="45"/>
      <c r="B329" s="36" t="s">
        <v>114</v>
      </c>
      <c r="C329" s="36">
        <v>1</v>
      </c>
      <c r="D329" s="37" t="s">
        <v>61</v>
      </c>
      <c r="E329" s="37" t="s">
        <v>82</v>
      </c>
      <c r="F329" s="37">
        <v>134</v>
      </c>
      <c r="G329" s="51">
        <v>2647677.7883424019</v>
      </c>
      <c r="H329" s="51">
        <v>11390.839148247158</v>
      </c>
      <c r="I329" s="51">
        <v>5854.8651839682389</v>
      </c>
      <c r="J329" s="51">
        <v>4400.9666957289019</v>
      </c>
    </row>
    <row r="330" spans="1:10" x14ac:dyDescent="0.25">
      <c r="A330" s="45"/>
      <c r="B330" s="36" t="s">
        <v>115</v>
      </c>
      <c r="C330" s="36">
        <v>1</v>
      </c>
      <c r="D330" s="37" t="s">
        <v>61</v>
      </c>
      <c r="E330" s="37" t="s">
        <v>83</v>
      </c>
      <c r="F330" s="37">
        <v>252</v>
      </c>
      <c r="G330" s="51">
        <v>2657436.325124545</v>
      </c>
      <c r="H330" s="51">
        <v>12046.329257357518</v>
      </c>
      <c r="I330" s="51">
        <v>6189.9109970663421</v>
      </c>
      <c r="J330" s="51">
        <v>5922.6588351288292</v>
      </c>
    </row>
    <row r="331" spans="1:10" x14ac:dyDescent="0.25">
      <c r="A331" s="45"/>
      <c r="B331" s="36" t="s">
        <v>115</v>
      </c>
      <c r="C331" s="36">
        <v>2</v>
      </c>
      <c r="D331" s="37" t="s">
        <v>61</v>
      </c>
      <c r="E331" s="37" t="s">
        <v>84</v>
      </c>
      <c r="F331" s="37">
        <v>70</v>
      </c>
      <c r="G331" s="51">
        <v>3683815.166842164</v>
      </c>
      <c r="H331" s="51">
        <v>13441.209615129183</v>
      </c>
      <c r="I331" s="51">
        <v>9141.6058425568899</v>
      </c>
      <c r="J331" s="51">
        <v>8085.9357289783156</v>
      </c>
    </row>
    <row r="332" spans="1:10" x14ac:dyDescent="0.25">
      <c r="A332" s="45" t="s">
        <v>0</v>
      </c>
      <c r="B332" s="36"/>
      <c r="C332" s="36"/>
      <c r="D332" s="37"/>
      <c r="E332" s="37"/>
      <c r="F332" s="37"/>
      <c r="G332" s="44"/>
      <c r="H332" s="44"/>
      <c r="I332" s="44"/>
      <c r="J332" s="44"/>
    </row>
    <row r="333" spans="1:10" x14ac:dyDescent="0.25">
      <c r="A333" s="45" t="s">
        <v>123</v>
      </c>
      <c r="B333" s="36" t="s">
        <v>116</v>
      </c>
      <c r="C333" s="36">
        <v>1</v>
      </c>
      <c r="D333" s="37" t="s">
        <v>61</v>
      </c>
      <c r="E333" s="37" t="s">
        <v>85</v>
      </c>
      <c r="F333" s="37">
        <v>118</v>
      </c>
      <c r="G333" s="51">
        <v>6281065.1120397635</v>
      </c>
      <c r="H333" s="51">
        <v>16217.68746064796</v>
      </c>
      <c r="I333" s="51">
        <v>11287.186778010935</v>
      </c>
      <c r="J333" s="51">
        <v>11052.333886493499</v>
      </c>
    </row>
    <row r="334" spans="1:10" x14ac:dyDescent="0.25">
      <c r="A334" s="45" t="s">
        <v>124</v>
      </c>
      <c r="B334" s="36" t="s">
        <v>116</v>
      </c>
      <c r="C334" s="36">
        <v>2</v>
      </c>
      <c r="D334" s="37" t="s">
        <v>61</v>
      </c>
      <c r="E334" s="37" t="s">
        <v>86</v>
      </c>
      <c r="F334" s="37">
        <v>34</v>
      </c>
      <c r="G334" s="51">
        <v>8156686.8717401121</v>
      </c>
      <c r="H334" s="51">
        <v>17717.128153640097</v>
      </c>
      <c r="I334" s="51">
        <v>14142.25375170967</v>
      </c>
      <c r="J334" s="51">
        <v>13263.451685874425</v>
      </c>
    </row>
    <row r="335" spans="1:10" x14ac:dyDescent="0.25">
      <c r="A335" s="45"/>
      <c r="B335" s="36" t="s">
        <v>114</v>
      </c>
      <c r="C335" s="36">
        <v>1</v>
      </c>
      <c r="D335" s="37" t="s">
        <v>61</v>
      </c>
      <c r="E335" s="37" t="s">
        <v>87</v>
      </c>
      <c r="F335" s="37">
        <v>4</v>
      </c>
      <c r="G335" s="51">
        <v>387607.1686015859</v>
      </c>
      <c r="H335" s="51">
        <v>1221.2173598535617</v>
      </c>
      <c r="I335" s="51">
        <v>1209.5820331299576</v>
      </c>
      <c r="J335" s="51">
        <v>994.07120203447118</v>
      </c>
    </row>
    <row r="336" spans="1:10" x14ac:dyDescent="0.25">
      <c r="A336" s="45"/>
      <c r="B336" s="36"/>
      <c r="C336" s="36"/>
      <c r="D336" s="37"/>
      <c r="E336" s="37"/>
      <c r="F336" s="37"/>
      <c r="G336" s="51"/>
      <c r="H336" s="51"/>
      <c r="I336" s="51"/>
      <c r="J336" s="51"/>
    </row>
    <row r="338" spans="1:10" ht="13" x14ac:dyDescent="0.3">
      <c r="A338" s="27" t="s">
        <v>140</v>
      </c>
      <c r="B338" s="40"/>
      <c r="C338" s="8"/>
      <c r="D338" s="42"/>
      <c r="E338" s="30" t="s">
        <v>55</v>
      </c>
      <c r="F338" s="43"/>
      <c r="G338" s="43"/>
      <c r="H338" s="43"/>
      <c r="I338" s="43"/>
      <c r="J338" s="43"/>
    </row>
    <row r="339" spans="1:10" ht="78" x14ac:dyDescent="0.3">
      <c r="A339" s="27" t="s">
        <v>38</v>
      </c>
      <c r="B339" s="8" t="s">
        <v>64</v>
      </c>
      <c r="C339" s="8" t="s">
        <v>39</v>
      </c>
      <c r="D339" s="31" t="s">
        <v>102</v>
      </c>
      <c r="E339" s="31" t="s">
        <v>103</v>
      </c>
      <c r="F339" s="31" t="s">
        <v>104</v>
      </c>
      <c r="G339" s="31" t="s">
        <v>105</v>
      </c>
      <c r="H339" s="31" t="s">
        <v>106</v>
      </c>
      <c r="I339" s="31" t="s">
        <v>107</v>
      </c>
      <c r="J339" s="31" t="s">
        <v>108</v>
      </c>
    </row>
    <row r="340" spans="1:10" ht="13" x14ac:dyDescent="0.3">
      <c r="A340" s="27"/>
      <c r="B340" s="27"/>
      <c r="C340" s="8"/>
      <c r="D340" s="22"/>
      <c r="E340" s="22"/>
      <c r="F340" s="22"/>
      <c r="G340" s="22"/>
      <c r="H340" s="22"/>
      <c r="I340" s="22"/>
      <c r="J340" s="22"/>
    </row>
    <row r="341" spans="1:10" x14ac:dyDescent="0.25">
      <c r="A341" s="41" t="s">
        <v>120</v>
      </c>
      <c r="B341" s="36" t="s">
        <v>125</v>
      </c>
      <c r="C341" s="36">
        <v>1</v>
      </c>
      <c r="D341" s="37" t="s">
        <v>60</v>
      </c>
      <c r="E341" s="37" t="s">
        <v>88</v>
      </c>
      <c r="F341" s="37">
        <v>103</v>
      </c>
      <c r="G341" s="51">
        <v>52614883.527928285</v>
      </c>
      <c r="H341" s="51">
        <v>257206.85586294171</v>
      </c>
      <c r="I341" s="51">
        <v>129029.08071707904</v>
      </c>
      <c r="J341" s="51">
        <v>121681.86589043283</v>
      </c>
    </row>
    <row r="342" spans="1:10" x14ac:dyDescent="0.25">
      <c r="A342" s="45"/>
      <c r="B342" s="36" t="s">
        <v>125</v>
      </c>
      <c r="C342" s="36">
        <v>2</v>
      </c>
      <c r="D342" s="37" t="s">
        <v>60</v>
      </c>
      <c r="E342" s="37" t="s">
        <v>89</v>
      </c>
      <c r="F342" s="37">
        <v>92</v>
      </c>
      <c r="G342" s="51">
        <v>54077114.665732257</v>
      </c>
      <c r="H342" s="51">
        <v>233112.98114597439</v>
      </c>
      <c r="I342" s="51">
        <v>129537.74602824563</v>
      </c>
      <c r="J342" s="51">
        <v>117705.27612936022</v>
      </c>
    </row>
    <row r="343" spans="1:10" x14ac:dyDescent="0.25">
      <c r="A343" s="45"/>
      <c r="B343" s="36" t="s">
        <v>125</v>
      </c>
      <c r="C343" s="36">
        <v>3</v>
      </c>
      <c r="D343" s="37" t="s">
        <v>60</v>
      </c>
      <c r="E343" s="37" t="s">
        <v>90</v>
      </c>
      <c r="F343" s="37">
        <v>92</v>
      </c>
      <c r="G343" s="51">
        <v>57168911.294159293</v>
      </c>
      <c r="H343" s="51">
        <v>221520.34817191307</v>
      </c>
      <c r="I343" s="51">
        <v>137364.68199613289</v>
      </c>
      <c r="J343" s="51">
        <v>130352.45224538</v>
      </c>
    </row>
    <row r="344" spans="1:10" x14ac:dyDescent="0.25">
      <c r="A344" s="45"/>
      <c r="B344" s="36" t="s">
        <v>125</v>
      </c>
      <c r="C344" s="36">
        <v>4</v>
      </c>
      <c r="D344" s="37" t="s">
        <v>60</v>
      </c>
      <c r="E344" s="37" t="s">
        <v>91</v>
      </c>
      <c r="F344" s="37">
        <v>100</v>
      </c>
      <c r="G344" s="51">
        <v>57235547.216889344</v>
      </c>
      <c r="H344" s="51">
        <v>206365.84389890931</v>
      </c>
      <c r="I344" s="51">
        <v>129548.46254711867</v>
      </c>
      <c r="J344" s="51">
        <v>111910.38660638571</v>
      </c>
    </row>
    <row r="345" spans="1:10" x14ac:dyDescent="0.25">
      <c r="A345" s="45"/>
      <c r="B345" s="36"/>
      <c r="C345" s="36"/>
      <c r="D345" s="37"/>
      <c r="E345" s="37"/>
      <c r="F345" s="37"/>
      <c r="G345" s="51"/>
      <c r="H345" s="51"/>
      <c r="I345" s="51"/>
      <c r="J345" s="51"/>
    </row>
    <row r="346" spans="1:10" x14ac:dyDescent="0.25">
      <c r="A346" s="45" t="s">
        <v>121</v>
      </c>
      <c r="B346" s="36" t="s">
        <v>63</v>
      </c>
      <c r="C346" s="36">
        <v>1</v>
      </c>
      <c r="D346" s="37" t="s">
        <v>60</v>
      </c>
      <c r="E346" s="36" t="s">
        <v>92</v>
      </c>
      <c r="F346" s="36">
        <v>99</v>
      </c>
      <c r="G346" s="51">
        <v>3123134.7966292361</v>
      </c>
      <c r="H346" s="51">
        <v>27253.575325314654</v>
      </c>
      <c r="I346" s="51">
        <v>7444.6223403605454</v>
      </c>
      <c r="J346" s="51">
        <v>4857.6647617728649</v>
      </c>
    </row>
    <row r="347" spans="1:10" x14ac:dyDescent="0.25">
      <c r="A347" s="45" t="s">
        <v>122</v>
      </c>
      <c r="B347" s="36" t="s">
        <v>63</v>
      </c>
      <c r="C347" s="36">
        <v>2</v>
      </c>
      <c r="D347" s="37" t="s">
        <v>60</v>
      </c>
      <c r="E347" s="37" t="s">
        <v>93</v>
      </c>
      <c r="F347" s="37">
        <v>69</v>
      </c>
      <c r="G347" s="51">
        <v>3220943.3654472604</v>
      </c>
      <c r="H347" s="51">
        <v>16882.835725094355</v>
      </c>
      <c r="I347" s="51">
        <v>9484.2833562325395</v>
      </c>
      <c r="J347" s="51">
        <v>8473.4245795747047</v>
      </c>
    </row>
    <row r="348" spans="1:10" x14ac:dyDescent="0.25">
      <c r="A348" s="45"/>
      <c r="B348" s="36" t="s">
        <v>63</v>
      </c>
      <c r="C348" s="36">
        <v>3</v>
      </c>
      <c r="D348" s="37" t="s">
        <v>60</v>
      </c>
      <c r="E348" s="37" t="s">
        <v>94</v>
      </c>
      <c r="F348" s="37">
        <v>85</v>
      </c>
      <c r="G348" s="51">
        <v>4310667.2789711198</v>
      </c>
      <c r="H348" s="51">
        <v>15260.922415245597</v>
      </c>
      <c r="I348" s="51">
        <v>11159.110063179152</v>
      </c>
      <c r="J348" s="51">
        <v>9887.4968471352749</v>
      </c>
    </row>
    <row r="349" spans="1:10" x14ac:dyDescent="0.25">
      <c r="A349" s="45"/>
      <c r="B349" s="36" t="s">
        <v>63</v>
      </c>
      <c r="C349" s="36">
        <v>4</v>
      </c>
      <c r="D349" s="37" t="s">
        <v>60</v>
      </c>
      <c r="E349" s="37" t="s">
        <v>95</v>
      </c>
      <c r="F349" s="37">
        <v>75</v>
      </c>
      <c r="G349" s="51">
        <v>3962108.8767296616</v>
      </c>
      <c r="H349" s="51">
        <v>9089.4000690445991</v>
      </c>
      <c r="I349" s="51">
        <v>6565.8843561027779</v>
      </c>
      <c r="J349" s="51">
        <v>5813.0785767685175</v>
      </c>
    </row>
    <row r="350" spans="1:10" x14ac:dyDescent="0.25">
      <c r="A350" s="45"/>
      <c r="B350" s="36"/>
      <c r="C350" s="36"/>
      <c r="D350" s="37"/>
      <c r="E350" s="37"/>
      <c r="F350" s="37"/>
      <c r="G350" s="51"/>
      <c r="H350" s="51"/>
      <c r="I350" s="51"/>
      <c r="J350" s="51"/>
    </row>
    <row r="351" spans="1:10" x14ac:dyDescent="0.25">
      <c r="A351" s="45" t="s">
        <v>118</v>
      </c>
      <c r="B351" s="36" t="s">
        <v>112</v>
      </c>
      <c r="C351" s="36">
        <v>1</v>
      </c>
      <c r="D351" s="37" t="s">
        <v>61</v>
      </c>
      <c r="E351" s="37" t="s">
        <v>77</v>
      </c>
      <c r="F351" s="37">
        <v>128</v>
      </c>
      <c r="G351" s="51">
        <v>19615080.325183325</v>
      </c>
      <c r="H351" s="51">
        <v>72726.90005267947</v>
      </c>
      <c r="I351" s="51">
        <v>43887.391437651364</v>
      </c>
      <c r="J351" s="51">
        <v>37580.302573344663</v>
      </c>
    </row>
    <row r="352" spans="1:10" x14ac:dyDescent="0.25">
      <c r="A352" s="45" t="s">
        <v>119</v>
      </c>
      <c r="B352" s="36" t="s">
        <v>112</v>
      </c>
      <c r="C352" s="36">
        <v>2</v>
      </c>
      <c r="D352" s="37" t="s">
        <v>61</v>
      </c>
      <c r="E352" s="36" t="s">
        <v>78</v>
      </c>
      <c r="F352" s="36">
        <v>85</v>
      </c>
      <c r="G352" s="51">
        <v>27659675.383382257</v>
      </c>
      <c r="H352" s="51">
        <v>89469.061092281103</v>
      </c>
      <c r="I352" s="51">
        <v>58626.810992445637</v>
      </c>
      <c r="J352" s="51">
        <v>54862.291629059881</v>
      </c>
    </row>
    <row r="353" spans="1:16" x14ac:dyDescent="0.25">
      <c r="A353" s="46"/>
      <c r="B353" s="36" t="s">
        <v>112</v>
      </c>
      <c r="C353" s="36">
        <v>3</v>
      </c>
      <c r="D353" s="37" t="s">
        <v>61</v>
      </c>
      <c r="E353" s="38" t="s">
        <v>96</v>
      </c>
      <c r="F353" s="38">
        <v>104</v>
      </c>
      <c r="G353" s="51">
        <v>41008499.10368859</v>
      </c>
      <c r="H353" s="51">
        <v>107901.1858725847</v>
      </c>
      <c r="I353" s="51">
        <v>80302.156398299994</v>
      </c>
      <c r="J353" s="51">
        <v>74441.953590702731</v>
      </c>
    </row>
    <row r="354" spans="1:16" x14ac:dyDescent="0.25">
      <c r="A354" s="45"/>
      <c r="B354" s="36" t="s">
        <v>112</v>
      </c>
      <c r="C354" s="36">
        <v>4</v>
      </c>
      <c r="D354" s="37" t="s">
        <v>61</v>
      </c>
      <c r="E354" s="37" t="s">
        <v>62</v>
      </c>
      <c r="F354" s="37">
        <v>118</v>
      </c>
      <c r="G354" s="51">
        <v>54671419.6444548</v>
      </c>
      <c r="H354" s="51">
        <v>142257.85552342643</v>
      </c>
      <c r="I354" s="51">
        <v>109053.96524172394</v>
      </c>
      <c r="J354" s="51">
        <v>95196.421712909549</v>
      </c>
    </row>
    <row r="355" spans="1:16" x14ac:dyDescent="0.25">
      <c r="A355" s="45" t="s">
        <v>0</v>
      </c>
      <c r="B355" s="48" t="s">
        <v>114</v>
      </c>
      <c r="C355" s="36">
        <v>1</v>
      </c>
      <c r="D355" s="37" t="s">
        <v>61</v>
      </c>
      <c r="E355" s="37" t="s">
        <v>97</v>
      </c>
      <c r="F355" s="37">
        <v>125</v>
      </c>
      <c r="G355" s="51">
        <v>2036823.3910223786</v>
      </c>
      <c r="H355" s="51">
        <v>6663.4978919114264</v>
      </c>
      <c r="I355" s="51">
        <v>4071.0685797100505</v>
      </c>
      <c r="J355" s="51">
        <v>3697.8870798534931</v>
      </c>
    </row>
    <row r="356" spans="1:16" x14ac:dyDescent="0.25">
      <c r="A356" s="45"/>
      <c r="B356" s="48"/>
      <c r="C356" s="36"/>
      <c r="D356" s="37"/>
      <c r="E356" s="37"/>
      <c r="F356" s="37"/>
      <c r="G356" s="51"/>
      <c r="H356" s="51"/>
      <c r="I356" s="51"/>
      <c r="J356" s="51"/>
    </row>
    <row r="357" spans="1:16" x14ac:dyDescent="0.25">
      <c r="A357" s="45" t="s">
        <v>123</v>
      </c>
      <c r="B357" s="48" t="s">
        <v>116</v>
      </c>
      <c r="C357" s="36">
        <v>1</v>
      </c>
      <c r="D357" s="37" t="s">
        <v>61</v>
      </c>
      <c r="E357" s="37" t="s">
        <v>98</v>
      </c>
      <c r="F357" s="37">
        <v>245</v>
      </c>
      <c r="G357" s="51">
        <v>1833666.9723661148</v>
      </c>
      <c r="H357" s="51">
        <v>5267.8683806716563</v>
      </c>
      <c r="I357" s="51">
        <v>3017.9043362200573</v>
      </c>
      <c r="J357" s="51">
        <v>2577.4891739827458</v>
      </c>
    </row>
    <row r="358" spans="1:16" x14ac:dyDescent="0.25">
      <c r="A358" s="45" t="s">
        <v>124</v>
      </c>
      <c r="B358" s="48" t="s">
        <v>116</v>
      </c>
      <c r="C358" s="36">
        <v>2</v>
      </c>
      <c r="D358" s="37" t="s">
        <v>61</v>
      </c>
      <c r="E358" s="37" t="s">
        <v>99</v>
      </c>
      <c r="F358" s="37">
        <v>48</v>
      </c>
      <c r="G358" s="51">
        <v>2992734.7021138389</v>
      </c>
      <c r="H358" s="51">
        <v>7895.2642064896982</v>
      </c>
      <c r="I358" s="51">
        <v>5188.8507162731958</v>
      </c>
      <c r="J358" s="51">
        <v>4654.8006722922091</v>
      </c>
    </row>
    <row r="359" spans="1:16" x14ac:dyDescent="0.25">
      <c r="A359" s="45" t="s">
        <v>0</v>
      </c>
      <c r="B359" s="48" t="s">
        <v>116</v>
      </c>
      <c r="C359" s="36">
        <v>3</v>
      </c>
      <c r="D359" s="37" t="s">
        <v>61</v>
      </c>
      <c r="E359" s="37" t="s">
        <v>100</v>
      </c>
      <c r="F359" s="37">
        <v>19</v>
      </c>
      <c r="G359" s="51">
        <v>3718972.5416704267</v>
      </c>
      <c r="H359" s="51">
        <v>10023.038876233728</v>
      </c>
      <c r="I359" s="51">
        <v>7322.9118599065669</v>
      </c>
      <c r="J359" s="51">
        <v>5179.3298948699785</v>
      </c>
    </row>
    <row r="360" spans="1:16" x14ac:dyDescent="0.25">
      <c r="A360" s="45"/>
      <c r="B360" s="48" t="s">
        <v>114</v>
      </c>
      <c r="C360" s="36">
        <v>1</v>
      </c>
      <c r="D360" s="37" t="s">
        <v>61</v>
      </c>
      <c r="E360" s="37" t="s">
        <v>101</v>
      </c>
      <c r="F360" s="37">
        <v>2</v>
      </c>
      <c r="G360" s="51">
        <v>3698.7124621900839</v>
      </c>
      <c r="H360" s="51">
        <v>23.784000000000002</v>
      </c>
      <c r="I360" s="51">
        <v>23.91544145492394</v>
      </c>
      <c r="J360" s="51">
        <v>5.8642303466665169</v>
      </c>
    </row>
    <row r="361" spans="1:16" s="52" customFormat="1" ht="13" x14ac:dyDescent="0.3">
      <c r="A361" s="89" t="s">
        <v>136</v>
      </c>
      <c r="B361" s="88"/>
      <c r="C361" s="88"/>
      <c r="D361" s="88"/>
      <c r="E361" s="88"/>
      <c r="F361" s="88"/>
      <c r="G361" s="88"/>
      <c r="H361" s="88"/>
      <c r="I361" s="88"/>
      <c r="J361" s="88"/>
      <c r="K361" s="84"/>
      <c r="L361" s="84"/>
      <c r="M361" s="84"/>
      <c r="N361" s="84"/>
      <c r="O361" s="84"/>
      <c r="P361" s="78"/>
    </row>
    <row r="362" spans="1:16" s="4" customFormat="1" ht="13" x14ac:dyDescent="0.3">
      <c r="A362" s="1" t="s">
        <v>59</v>
      </c>
      <c r="B362" s="1"/>
      <c r="C362" s="2"/>
      <c r="D362" s="3"/>
      <c r="E362" s="2"/>
      <c r="F362" s="2"/>
      <c r="G362" s="2"/>
      <c r="H362" s="2"/>
      <c r="I362" s="2"/>
      <c r="J362" s="2"/>
    </row>
    <row r="363" spans="1:16" s="4" customFormat="1" ht="13" x14ac:dyDescent="0.3">
      <c r="A363" s="87" t="s">
        <v>157</v>
      </c>
      <c r="B363" s="88"/>
      <c r="C363" s="88"/>
      <c r="D363" s="88"/>
      <c r="E363" s="88"/>
      <c r="F363" s="88"/>
      <c r="G363" s="88"/>
      <c r="H363" s="88"/>
      <c r="I363" s="88"/>
      <c r="J363" s="88"/>
    </row>
    <row r="364" spans="1:16" s="4" customFormat="1" ht="13" x14ac:dyDescent="0.3">
      <c r="A364" s="5" t="str">
        <f>A4</f>
        <v>TEST YEAR ENDING 12/31/2018</v>
      </c>
      <c r="B364" s="5"/>
      <c r="C364" s="2"/>
      <c r="D364" s="3"/>
      <c r="E364" s="2"/>
      <c r="F364" s="2"/>
      <c r="G364" s="2"/>
      <c r="H364" s="2"/>
      <c r="I364" s="2"/>
      <c r="J364" s="2"/>
    </row>
    <row r="365" spans="1:16" s="4" customFormat="1" ht="13" x14ac:dyDescent="0.3">
      <c r="A365" s="5"/>
      <c r="B365" s="5"/>
      <c r="C365" s="2"/>
      <c r="D365" s="3"/>
      <c r="E365" s="2"/>
      <c r="F365" s="2"/>
      <c r="G365" s="2"/>
      <c r="H365" s="2"/>
      <c r="I365" s="2"/>
      <c r="J365" s="2"/>
    </row>
    <row r="366" spans="1:16" s="4" customFormat="1" ht="13" x14ac:dyDescent="0.3">
      <c r="A366" s="5"/>
      <c r="B366" s="5"/>
      <c r="C366" s="2"/>
      <c r="D366" s="3"/>
      <c r="E366" s="2"/>
      <c r="F366" s="2"/>
      <c r="G366" s="2"/>
      <c r="H366" s="2"/>
      <c r="I366" s="2"/>
      <c r="J366" s="2"/>
    </row>
    <row r="367" spans="1:16" ht="13" x14ac:dyDescent="0.3">
      <c r="A367" s="27" t="s">
        <v>139</v>
      </c>
      <c r="B367" s="40"/>
      <c r="C367" s="8"/>
      <c r="D367" s="42"/>
      <c r="E367" s="30" t="s">
        <v>57</v>
      </c>
      <c r="F367" s="43"/>
      <c r="G367" s="43"/>
      <c r="H367" s="43"/>
      <c r="I367" s="43"/>
      <c r="J367" s="43"/>
    </row>
    <row r="368" spans="1:16" ht="78" x14ac:dyDescent="0.3">
      <c r="A368" s="27" t="s">
        <v>38</v>
      </c>
      <c r="B368" s="8" t="s">
        <v>64</v>
      </c>
      <c r="C368" s="8" t="s">
        <v>39</v>
      </c>
      <c r="D368" s="31" t="s">
        <v>102</v>
      </c>
      <c r="E368" s="31" t="s">
        <v>103</v>
      </c>
      <c r="F368" s="31" t="s">
        <v>104</v>
      </c>
      <c r="G368" s="31" t="s">
        <v>105</v>
      </c>
      <c r="H368" s="31" t="s">
        <v>106</v>
      </c>
      <c r="I368" s="31" t="s">
        <v>107</v>
      </c>
      <c r="J368" s="31" t="s">
        <v>108</v>
      </c>
    </row>
    <row r="369" spans="1:10" ht="13" x14ac:dyDescent="0.3">
      <c r="A369" s="27"/>
      <c r="B369" s="27"/>
      <c r="C369" s="8"/>
      <c r="D369" s="22"/>
      <c r="E369" s="22"/>
      <c r="F369" s="22"/>
      <c r="G369" s="22"/>
      <c r="H369" s="22"/>
      <c r="I369" s="22"/>
      <c r="J369" s="22"/>
    </row>
    <row r="370" spans="1:10" x14ac:dyDescent="0.25">
      <c r="A370" s="39" t="s">
        <v>117</v>
      </c>
      <c r="B370" s="36" t="s">
        <v>109</v>
      </c>
      <c r="C370" s="36">
        <v>1</v>
      </c>
      <c r="D370" s="37" t="s">
        <v>60</v>
      </c>
      <c r="E370" s="37" t="s">
        <v>65</v>
      </c>
      <c r="F370" s="37">
        <v>72</v>
      </c>
      <c r="G370" s="51">
        <v>237212376.23376977</v>
      </c>
      <c r="H370" s="51">
        <v>1067512.1853916612</v>
      </c>
      <c r="I370" s="51">
        <v>522776.08144018974</v>
      </c>
      <c r="J370" s="51">
        <v>506021.71675176552</v>
      </c>
    </row>
    <row r="371" spans="1:10" x14ac:dyDescent="0.25">
      <c r="A371" s="45"/>
      <c r="B371" s="36" t="s">
        <v>109</v>
      </c>
      <c r="C371" s="36">
        <v>2</v>
      </c>
      <c r="D371" s="37" t="s">
        <v>60</v>
      </c>
      <c r="E371" s="37" t="s">
        <v>66</v>
      </c>
      <c r="F371" s="37">
        <v>80</v>
      </c>
      <c r="G371" s="51">
        <v>271555011.04234904</v>
      </c>
      <c r="H371" s="51">
        <v>1018481.0800526716</v>
      </c>
      <c r="I371" s="51">
        <v>581423.1870952195</v>
      </c>
      <c r="J371" s="51">
        <v>550216.44795581861</v>
      </c>
    </row>
    <row r="372" spans="1:10" x14ac:dyDescent="0.25">
      <c r="A372" s="45"/>
      <c r="B372" s="36" t="s">
        <v>109</v>
      </c>
      <c r="C372" s="36">
        <v>3</v>
      </c>
      <c r="D372" s="37" t="s">
        <v>60</v>
      </c>
      <c r="E372" s="37" t="s">
        <v>67</v>
      </c>
      <c r="F372" s="37">
        <v>71</v>
      </c>
      <c r="G372" s="51">
        <v>284549567.5505113</v>
      </c>
      <c r="H372" s="51">
        <v>946169.42946575361</v>
      </c>
      <c r="I372" s="51">
        <v>603978.19905435061</v>
      </c>
      <c r="J372" s="51">
        <v>582124.47328642919</v>
      </c>
    </row>
    <row r="373" spans="1:10" x14ac:dyDescent="0.25">
      <c r="A373" s="45"/>
      <c r="B373" s="36" t="s">
        <v>110</v>
      </c>
      <c r="C373" s="36">
        <v>1</v>
      </c>
      <c r="D373" s="37" t="s">
        <v>60</v>
      </c>
      <c r="E373" s="37" t="s">
        <v>68</v>
      </c>
      <c r="F373" s="37">
        <v>48</v>
      </c>
      <c r="G373" s="51">
        <v>163848101.24198902</v>
      </c>
      <c r="H373" s="51">
        <v>706880.90336696408</v>
      </c>
      <c r="I373" s="51">
        <v>363585.59117902402</v>
      </c>
      <c r="J373" s="51">
        <v>332342.57808223204</v>
      </c>
    </row>
    <row r="374" spans="1:10" x14ac:dyDescent="0.25">
      <c r="A374" s="45"/>
      <c r="B374" s="36" t="s">
        <v>110</v>
      </c>
      <c r="C374" s="36">
        <v>2</v>
      </c>
      <c r="D374" s="37" t="s">
        <v>60</v>
      </c>
      <c r="E374" s="37" t="s">
        <v>69</v>
      </c>
      <c r="F374" s="37">
        <v>51</v>
      </c>
      <c r="G374" s="51">
        <v>199430365.62174457</v>
      </c>
      <c r="H374" s="51">
        <v>683730.92894279386</v>
      </c>
      <c r="I374" s="51">
        <v>416979.52770224999</v>
      </c>
      <c r="J374" s="51">
        <v>416979.52770224999</v>
      </c>
    </row>
    <row r="375" spans="1:10" x14ac:dyDescent="0.25">
      <c r="A375" s="45"/>
      <c r="B375" s="36"/>
      <c r="C375" s="36"/>
      <c r="D375" s="37"/>
      <c r="E375" s="37"/>
      <c r="F375" s="37"/>
      <c r="G375" s="44"/>
      <c r="H375" s="44"/>
      <c r="I375" s="44"/>
      <c r="J375" s="44"/>
    </row>
    <row r="376" spans="1:10" x14ac:dyDescent="0.25">
      <c r="A376" s="45" t="s">
        <v>121</v>
      </c>
      <c r="B376" s="36" t="s">
        <v>63</v>
      </c>
      <c r="C376" s="36">
        <v>1</v>
      </c>
      <c r="D376" s="37" t="s">
        <v>60</v>
      </c>
      <c r="E376" s="36" t="s">
        <v>70</v>
      </c>
      <c r="F376" s="36">
        <v>88</v>
      </c>
      <c r="G376" s="51">
        <v>4740743.0698733106</v>
      </c>
      <c r="H376" s="51">
        <v>43239.198022293975</v>
      </c>
      <c r="I376" s="51">
        <v>11518.828334469765</v>
      </c>
      <c r="J376" s="51">
        <v>5422.3618531934262</v>
      </c>
    </row>
    <row r="377" spans="1:10" x14ac:dyDescent="0.25">
      <c r="A377" s="45" t="s">
        <v>122</v>
      </c>
      <c r="B377" s="36" t="s">
        <v>63</v>
      </c>
      <c r="C377" s="36">
        <v>2</v>
      </c>
      <c r="D377" s="37" t="s">
        <v>60</v>
      </c>
      <c r="E377" s="37" t="s">
        <v>71</v>
      </c>
      <c r="F377" s="37">
        <v>53</v>
      </c>
      <c r="G377" s="51">
        <v>6920901.9108743975</v>
      </c>
      <c r="H377" s="51">
        <v>36178.467034151952</v>
      </c>
      <c r="I377" s="51">
        <v>19961.880754378868</v>
      </c>
      <c r="J377" s="51">
        <v>15767.724269039985</v>
      </c>
    </row>
    <row r="378" spans="1:10" x14ac:dyDescent="0.25">
      <c r="A378" s="45"/>
      <c r="B378" s="36" t="s">
        <v>63</v>
      </c>
      <c r="C378" s="36">
        <v>3</v>
      </c>
      <c r="D378" s="37" t="s">
        <v>60</v>
      </c>
      <c r="E378" s="37" t="s">
        <v>72</v>
      </c>
      <c r="F378" s="37">
        <v>44</v>
      </c>
      <c r="G378" s="51">
        <v>7506308.9548434261</v>
      </c>
      <c r="H378" s="51">
        <v>29790.752274089009</v>
      </c>
      <c r="I378" s="51">
        <v>19519.758429292513</v>
      </c>
      <c r="J378" s="51">
        <v>19128.180942988623</v>
      </c>
    </row>
    <row r="379" spans="1:10" x14ac:dyDescent="0.25">
      <c r="A379" s="45"/>
      <c r="B379" s="36" t="s">
        <v>63</v>
      </c>
      <c r="C379" s="36">
        <v>4</v>
      </c>
      <c r="D379" s="37" t="s">
        <v>60</v>
      </c>
      <c r="E379" s="37" t="s">
        <v>73</v>
      </c>
      <c r="F379" s="37">
        <v>52</v>
      </c>
      <c r="G379" s="51">
        <v>8862783.4430274703</v>
      </c>
      <c r="H379" s="51">
        <v>25826.095589873221</v>
      </c>
      <c r="I379" s="51">
        <v>18174.180438355743</v>
      </c>
      <c r="J379" s="51">
        <v>17739.320332810978</v>
      </c>
    </row>
    <row r="380" spans="1:10" x14ac:dyDescent="0.25">
      <c r="A380" s="45"/>
      <c r="B380" s="36" t="s">
        <v>63</v>
      </c>
      <c r="C380" s="36">
        <v>5</v>
      </c>
      <c r="D380" s="37" t="s">
        <v>60</v>
      </c>
      <c r="E380" s="37" t="s">
        <v>74</v>
      </c>
      <c r="F380" s="37">
        <v>39</v>
      </c>
      <c r="G380" s="51">
        <v>9261754.3844097052</v>
      </c>
      <c r="H380" s="51">
        <v>21271.50993397455</v>
      </c>
      <c r="I380" s="51">
        <v>15536.875995206045</v>
      </c>
      <c r="J380" s="51">
        <v>14467.949754205256</v>
      </c>
    </row>
    <row r="381" spans="1:10" x14ac:dyDescent="0.25">
      <c r="A381" s="45"/>
      <c r="B381" s="36" t="s">
        <v>111</v>
      </c>
      <c r="C381" s="36">
        <v>1</v>
      </c>
      <c r="D381" s="37" t="s">
        <v>60</v>
      </c>
      <c r="E381" s="37" t="s">
        <v>75</v>
      </c>
      <c r="F381" s="37">
        <v>89</v>
      </c>
      <c r="G381" s="51">
        <v>75562.974804837766</v>
      </c>
      <c r="H381" s="51">
        <v>759.49347978912192</v>
      </c>
      <c r="I381" s="51">
        <v>194.73704783939942</v>
      </c>
      <c r="J381" s="51">
        <v>92.943954814346654</v>
      </c>
    </row>
    <row r="382" spans="1:10" x14ac:dyDescent="0.25">
      <c r="A382" s="45"/>
      <c r="B382" s="36" t="s">
        <v>111</v>
      </c>
      <c r="C382" s="36">
        <v>2</v>
      </c>
      <c r="D382" s="37" t="s">
        <v>60</v>
      </c>
      <c r="E382" s="37" t="s">
        <v>76</v>
      </c>
      <c r="F382" s="37">
        <v>45</v>
      </c>
      <c r="G382" s="51">
        <v>109403.70328988753</v>
      </c>
      <c r="H382" s="51">
        <v>471.16931933020641</v>
      </c>
      <c r="I382" s="51">
        <v>213.53914901469764</v>
      </c>
      <c r="J382" s="51">
        <v>151.65590252307007</v>
      </c>
    </row>
    <row r="383" spans="1:10" x14ac:dyDescent="0.25">
      <c r="A383" s="45"/>
      <c r="B383" s="36"/>
      <c r="C383" s="36"/>
      <c r="D383" s="37"/>
      <c r="E383" s="37"/>
      <c r="F383" s="37"/>
      <c r="G383" s="44"/>
      <c r="H383" s="44"/>
      <c r="I383" s="44"/>
      <c r="J383" s="44"/>
    </row>
    <row r="384" spans="1:10" x14ac:dyDescent="0.25">
      <c r="A384" s="45" t="s">
        <v>118</v>
      </c>
      <c r="B384" s="36" t="s">
        <v>112</v>
      </c>
      <c r="C384" s="36">
        <v>1</v>
      </c>
      <c r="D384" s="37" t="s">
        <v>61</v>
      </c>
      <c r="E384" s="37" t="s">
        <v>77</v>
      </c>
      <c r="F384" s="37">
        <v>138</v>
      </c>
      <c r="G384" s="51">
        <v>86276624.666987613</v>
      </c>
      <c r="H384" s="51">
        <v>304469.3758656478</v>
      </c>
      <c r="I384" s="51">
        <v>190180.99372315963</v>
      </c>
      <c r="J384" s="51">
        <v>188498.34218603559</v>
      </c>
    </row>
    <row r="385" spans="1:10" x14ac:dyDescent="0.25">
      <c r="A385" s="45" t="s">
        <v>119</v>
      </c>
      <c r="B385" s="36" t="s">
        <v>112</v>
      </c>
      <c r="C385" s="36">
        <v>2</v>
      </c>
      <c r="D385" s="37" t="s">
        <v>61</v>
      </c>
      <c r="E385" s="36" t="s">
        <v>78</v>
      </c>
      <c r="F385" s="36">
        <v>73</v>
      </c>
      <c r="G385" s="51">
        <v>127099602.81089348</v>
      </c>
      <c r="H385" s="51">
        <v>405680.93989230576</v>
      </c>
      <c r="I385" s="51">
        <v>279720.86164119007</v>
      </c>
      <c r="J385" s="51">
        <v>276215.09032287443</v>
      </c>
    </row>
    <row r="386" spans="1:10" x14ac:dyDescent="0.25">
      <c r="A386" s="46"/>
      <c r="B386" s="36" t="s">
        <v>112</v>
      </c>
      <c r="C386" s="36">
        <v>3</v>
      </c>
      <c r="D386" s="37" t="s">
        <v>61</v>
      </c>
      <c r="E386" s="38" t="s">
        <v>79</v>
      </c>
      <c r="F386" s="38">
        <v>91</v>
      </c>
      <c r="G386" s="51">
        <v>188248462.69709232</v>
      </c>
      <c r="H386" s="51">
        <v>491740.34368850058</v>
      </c>
      <c r="I386" s="51">
        <v>350905.90486691636</v>
      </c>
      <c r="J386" s="51">
        <v>344932.84380733554</v>
      </c>
    </row>
    <row r="387" spans="1:10" x14ac:dyDescent="0.25">
      <c r="A387" s="45"/>
      <c r="B387" s="36" t="s">
        <v>112</v>
      </c>
      <c r="C387" s="36">
        <v>4</v>
      </c>
      <c r="D387" s="37" t="s">
        <v>61</v>
      </c>
      <c r="E387" s="37" t="s">
        <v>80</v>
      </c>
      <c r="F387" s="37">
        <v>109</v>
      </c>
      <c r="G387" s="51">
        <v>251739188.22718868</v>
      </c>
      <c r="H387" s="51">
        <v>633660.39090309851</v>
      </c>
      <c r="I387" s="51">
        <v>494658.22160582064</v>
      </c>
      <c r="J387" s="51">
        <v>467932.72141199146</v>
      </c>
    </row>
    <row r="388" spans="1:10" x14ac:dyDescent="0.25">
      <c r="A388" s="45"/>
      <c r="B388" s="36" t="s">
        <v>113</v>
      </c>
      <c r="C388" s="36">
        <v>1</v>
      </c>
      <c r="D388" s="37" t="s">
        <v>61</v>
      </c>
      <c r="E388" s="37" t="s">
        <v>81</v>
      </c>
      <c r="F388" s="37">
        <v>7</v>
      </c>
      <c r="G388" s="51">
        <v>46607.871548406001</v>
      </c>
      <c r="H388" s="51">
        <v>298.18820000000011</v>
      </c>
      <c r="I388" s="51">
        <v>225.95205539161361</v>
      </c>
      <c r="J388" s="51">
        <v>22.954138350727202</v>
      </c>
    </row>
    <row r="389" spans="1:10" x14ac:dyDescent="0.25">
      <c r="A389" s="45"/>
      <c r="B389" s="36" t="s">
        <v>114</v>
      </c>
      <c r="C389" s="36">
        <v>1</v>
      </c>
      <c r="D389" s="37" t="s">
        <v>61</v>
      </c>
      <c r="E389" s="37" t="s">
        <v>82</v>
      </c>
      <c r="F389" s="37">
        <v>134</v>
      </c>
      <c r="G389" s="51">
        <v>4201029.658967115</v>
      </c>
      <c r="H389" s="51">
        <v>16517.731434049612</v>
      </c>
      <c r="I389" s="51">
        <v>9372.0943095891544</v>
      </c>
      <c r="J389" s="51">
        <v>7426.286361133818</v>
      </c>
    </row>
    <row r="390" spans="1:10" x14ac:dyDescent="0.25">
      <c r="A390" s="45"/>
      <c r="B390" s="36" t="s">
        <v>115</v>
      </c>
      <c r="C390" s="36">
        <v>1</v>
      </c>
      <c r="D390" s="37" t="s">
        <v>61</v>
      </c>
      <c r="E390" s="37" t="s">
        <v>83</v>
      </c>
      <c r="F390" s="37">
        <v>252</v>
      </c>
      <c r="G390" s="51">
        <v>2189317.6065074336</v>
      </c>
      <c r="H390" s="51">
        <v>10412.55425393614</v>
      </c>
      <c r="I390" s="51">
        <v>4718.8013723243466</v>
      </c>
      <c r="J390" s="51">
        <v>3336.5945344409874</v>
      </c>
    </row>
    <row r="391" spans="1:10" x14ac:dyDescent="0.25">
      <c r="A391" s="45"/>
      <c r="B391" s="36" t="s">
        <v>115</v>
      </c>
      <c r="C391" s="36">
        <v>2</v>
      </c>
      <c r="D391" s="37" t="s">
        <v>61</v>
      </c>
      <c r="E391" s="37" t="s">
        <v>84</v>
      </c>
      <c r="F391" s="37">
        <v>70</v>
      </c>
      <c r="G391" s="51">
        <v>2774795.0107732369</v>
      </c>
      <c r="H391" s="51">
        <v>11075.580778438811</v>
      </c>
      <c r="I391" s="51">
        <v>7322.5651745813138</v>
      </c>
      <c r="J391" s="51">
        <v>4463.9362753055029</v>
      </c>
    </row>
    <row r="392" spans="1:10" x14ac:dyDescent="0.25">
      <c r="A392" s="45" t="s">
        <v>0</v>
      </c>
      <c r="B392" s="36"/>
      <c r="C392" s="36"/>
      <c r="D392" s="37"/>
      <c r="E392" s="37"/>
      <c r="F392" s="37"/>
      <c r="G392" s="44"/>
      <c r="H392" s="44"/>
      <c r="I392" s="44"/>
      <c r="J392" s="44"/>
    </row>
    <row r="393" spans="1:10" x14ac:dyDescent="0.25">
      <c r="A393" s="45" t="s">
        <v>123</v>
      </c>
      <c r="B393" s="36" t="s">
        <v>116</v>
      </c>
      <c r="C393" s="36">
        <v>1</v>
      </c>
      <c r="D393" s="37" t="s">
        <v>61</v>
      </c>
      <c r="E393" s="37" t="s">
        <v>85</v>
      </c>
      <c r="F393" s="37">
        <v>118</v>
      </c>
      <c r="G393" s="51">
        <v>6630411.2916113865</v>
      </c>
      <c r="H393" s="51">
        <v>16543.378011050558</v>
      </c>
      <c r="I393" s="51">
        <v>11899.840147211315</v>
      </c>
      <c r="J393" s="51">
        <v>10751.136559427106</v>
      </c>
    </row>
    <row r="394" spans="1:10" x14ac:dyDescent="0.25">
      <c r="A394" s="45" t="s">
        <v>124</v>
      </c>
      <c r="B394" s="36" t="s">
        <v>116</v>
      </c>
      <c r="C394" s="36">
        <v>2</v>
      </c>
      <c r="D394" s="37" t="s">
        <v>61</v>
      </c>
      <c r="E394" s="37" t="s">
        <v>86</v>
      </c>
      <c r="F394" s="37">
        <v>34</v>
      </c>
      <c r="G394" s="51">
        <v>8302717.2715271562</v>
      </c>
      <c r="H394" s="51">
        <v>19325.975685874531</v>
      </c>
      <c r="I394" s="51">
        <v>14501.300194777104</v>
      </c>
      <c r="J394" s="51">
        <v>13041.751060521885</v>
      </c>
    </row>
    <row r="395" spans="1:10" x14ac:dyDescent="0.25">
      <c r="A395" s="45"/>
      <c r="B395" s="36" t="s">
        <v>114</v>
      </c>
      <c r="C395" s="36">
        <v>1</v>
      </c>
      <c r="D395" s="37" t="s">
        <v>61</v>
      </c>
      <c r="E395" s="37" t="s">
        <v>87</v>
      </c>
      <c r="F395" s="37">
        <v>4</v>
      </c>
      <c r="G395" s="51">
        <v>252483.78416192677</v>
      </c>
      <c r="H395" s="51">
        <v>1235.1357594423539</v>
      </c>
      <c r="I395" s="51">
        <v>1204.9292689463332</v>
      </c>
      <c r="J395" s="51">
        <v>1144.2025621469168</v>
      </c>
    </row>
    <row r="396" spans="1:10" x14ac:dyDescent="0.25">
      <c r="A396" s="45"/>
      <c r="B396" s="36"/>
      <c r="C396" s="36"/>
      <c r="D396" s="37"/>
      <c r="E396" s="37"/>
      <c r="F396" s="37"/>
      <c r="G396" s="51"/>
      <c r="H396" s="51"/>
      <c r="I396" s="51"/>
      <c r="J396" s="51"/>
    </row>
    <row r="398" spans="1:10" ht="13" x14ac:dyDescent="0.3">
      <c r="A398" s="27" t="s">
        <v>140</v>
      </c>
      <c r="B398" s="40"/>
      <c r="C398" s="8"/>
      <c r="D398" s="42"/>
      <c r="E398" s="30" t="s">
        <v>57</v>
      </c>
      <c r="F398" s="43"/>
      <c r="G398" s="43"/>
      <c r="H398" s="43"/>
      <c r="I398" s="43"/>
      <c r="J398" s="43"/>
    </row>
    <row r="399" spans="1:10" ht="78" x14ac:dyDescent="0.3">
      <c r="A399" s="27" t="s">
        <v>38</v>
      </c>
      <c r="B399" s="8" t="s">
        <v>64</v>
      </c>
      <c r="C399" s="8" t="s">
        <v>39</v>
      </c>
      <c r="D399" s="31" t="s">
        <v>102</v>
      </c>
      <c r="E399" s="31" t="s">
        <v>103</v>
      </c>
      <c r="F399" s="31" t="s">
        <v>104</v>
      </c>
      <c r="G399" s="31" t="s">
        <v>105</v>
      </c>
      <c r="H399" s="31" t="s">
        <v>106</v>
      </c>
      <c r="I399" s="31" t="s">
        <v>107</v>
      </c>
      <c r="J399" s="31" t="s">
        <v>108</v>
      </c>
    </row>
    <row r="400" spans="1:10" ht="13" x14ac:dyDescent="0.3">
      <c r="A400" s="27"/>
      <c r="B400" s="27"/>
      <c r="C400" s="8"/>
      <c r="D400" s="22"/>
      <c r="E400" s="22"/>
      <c r="F400" s="22"/>
      <c r="G400" s="22"/>
      <c r="H400" s="22"/>
      <c r="I400" s="22"/>
      <c r="J400" s="22"/>
    </row>
    <row r="401" spans="1:10" x14ac:dyDescent="0.25">
      <c r="A401" s="41" t="s">
        <v>120</v>
      </c>
      <c r="B401" s="36" t="s">
        <v>125</v>
      </c>
      <c r="C401" s="36">
        <v>1</v>
      </c>
      <c r="D401" s="37" t="s">
        <v>60</v>
      </c>
      <c r="E401" s="37" t="s">
        <v>88</v>
      </c>
      <c r="F401" s="37">
        <v>103</v>
      </c>
      <c r="G401" s="51">
        <v>53244114.862000808</v>
      </c>
      <c r="H401" s="51">
        <v>269850.89716774749</v>
      </c>
      <c r="I401" s="51">
        <v>140865.26834767373</v>
      </c>
      <c r="J401" s="51">
        <v>126404.59261208368</v>
      </c>
    </row>
    <row r="402" spans="1:10" x14ac:dyDescent="0.25">
      <c r="A402" s="45"/>
      <c r="B402" s="36" t="s">
        <v>125</v>
      </c>
      <c r="C402" s="36">
        <v>2</v>
      </c>
      <c r="D402" s="37" t="s">
        <v>60</v>
      </c>
      <c r="E402" s="37" t="s">
        <v>89</v>
      </c>
      <c r="F402" s="37">
        <v>92</v>
      </c>
      <c r="G402" s="51">
        <v>53300126.844666868</v>
      </c>
      <c r="H402" s="51">
        <v>241217.04597190145</v>
      </c>
      <c r="I402" s="51">
        <v>134559.49701722187</v>
      </c>
      <c r="J402" s="51">
        <v>134559.49701722187</v>
      </c>
    </row>
    <row r="403" spans="1:10" x14ac:dyDescent="0.25">
      <c r="A403" s="45"/>
      <c r="B403" s="36" t="s">
        <v>125</v>
      </c>
      <c r="C403" s="36">
        <v>3</v>
      </c>
      <c r="D403" s="37" t="s">
        <v>60</v>
      </c>
      <c r="E403" s="37" t="s">
        <v>90</v>
      </c>
      <c r="F403" s="37">
        <v>92</v>
      </c>
      <c r="G403" s="51">
        <v>59241886.099912174</v>
      </c>
      <c r="H403" s="51">
        <v>226897.8143929861</v>
      </c>
      <c r="I403" s="51">
        <v>144934.13907101486</v>
      </c>
      <c r="J403" s="51">
        <v>137472.21709377185</v>
      </c>
    </row>
    <row r="404" spans="1:10" x14ac:dyDescent="0.25">
      <c r="A404" s="45"/>
      <c r="B404" s="36" t="s">
        <v>125</v>
      </c>
      <c r="C404" s="36">
        <v>4</v>
      </c>
      <c r="D404" s="37" t="s">
        <v>60</v>
      </c>
      <c r="E404" s="37" t="s">
        <v>91</v>
      </c>
      <c r="F404" s="37">
        <v>100</v>
      </c>
      <c r="G404" s="51">
        <v>58395599.168589666</v>
      </c>
      <c r="H404" s="51">
        <v>205840.65801312416</v>
      </c>
      <c r="I404" s="51">
        <v>144516.79513289704</v>
      </c>
      <c r="J404" s="51">
        <v>129164.88781603385</v>
      </c>
    </row>
    <row r="405" spans="1:10" x14ac:dyDescent="0.25">
      <c r="A405" s="45"/>
      <c r="B405" s="36"/>
      <c r="C405" s="36"/>
      <c r="D405" s="37"/>
      <c r="E405" s="37"/>
      <c r="F405" s="37"/>
      <c r="G405" s="51"/>
      <c r="H405" s="51"/>
      <c r="I405" s="51"/>
      <c r="J405" s="51"/>
    </row>
    <row r="406" spans="1:10" x14ac:dyDescent="0.25">
      <c r="A406" s="45" t="s">
        <v>121</v>
      </c>
      <c r="B406" s="36" t="s">
        <v>63</v>
      </c>
      <c r="C406" s="36">
        <v>1</v>
      </c>
      <c r="D406" s="37" t="s">
        <v>60</v>
      </c>
      <c r="E406" s="36" t="s">
        <v>92</v>
      </c>
      <c r="F406" s="36">
        <v>99</v>
      </c>
      <c r="G406" s="51">
        <v>3220145.7571669025</v>
      </c>
      <c r="H406" s="51">
        <v>28744.524326209954</v>
      </c>
      <c r="I406" s="51">
        <v>7140.8432279484041</v>
      </c>
      <c r="J406" s="51">
        <v>5732.5886203315576</v>
      </c>
    </row>
    <row r="407" spans="1:10" x14ac:dyDescent="0.25">
      <c r="A407" s="45" t="s">
        <v>122</v>
      </c>
      <c r="B407" s="36" t="s">
        <v>63</v>
      </c>
      <c r="C407" s="36">
        <v>2</v>
      </c>
      <c r="D407" s="37" t="s">
        <v>60</v>
      </c>
      <c r="E407" s="37" t="s">
        <v>93</v>
      </c>
      <c r="F407" s="37">
        <v>69</v>
      </c>
      <c r="G407" s="51">
        <v>3351735.860853306</v>
      </c>
      <c r="H407" s="51">
        <v>16232.845514538134</v>
      </c>
      <c r="I407" s="51">
        <v>9171.9255245056138</v>
      </c>
      <c r="J407" s="51">
        <v>6094.4501107769684</v>
      </c>
    </row>
    <row r="408" spans="1:10" x14ac:dyDescent="0.25">
      <c r="A408" s="45"/>
      <c r="B408" s="36" t="s">
        <v>63</v>
      </c>
      <c r="C408" s="36">
        <v>3</v>
      </c>
      <c r="D408" s="37" t="s">
        <v>60</v>
      </c>
      <c r="E408" s="37" t="s">
        <v>94</v>
      </c>
      <c r="F408" s="37">
        <v>85</v>
      </c>
      <c r="G408" s="51">
        <v>4555952.0712953974</v>
      </c>
      <c r="H408" s="51">
        <v>15598.172046068064</v>
      </c>
      <c r="I408" s="51">
        <v>11951.873394756363</v>
      </c>
      <c r="J408" s="51">
        <v>9044.0444512113645</v>
      </c>
    </row>
    <row r="409" spans="1:10" x14ac:dyDescent="0.25">
      <c r="A409" s="45"/>
      <c r="B409" s="36" t="s">
        <v>63</v>
      </c>
      <c r="C409" s="36">
        <v>4</v>
      </c>
      <c r="D409" s="37" t="s">
        <v>60</v>
      </c>
      <c r="E409" s="37" t="s">
        <v>95</v>
      </c>
      <c r="F409" s="37">
        <v>75</v>
      </c>
      <c r="G409" s="51">
        <v>4061359.7946950234</v>
      </c>
      <c r="H409" s="51">
        <v>8903.6741342250916</v>
      </c>
      <c r="I409" s="51">
        <v>6504.5850844002425</v>
      </c>
      <c r="J409" s="51">
        <v>5787.1400991546789</v>
      </c>
    </row>
    <row r="410" spans="1:10" x14ac:dyDescent="0.25">
      <c r="A410" s="45"/>
      <c r="B410" s="36"/>
      <c r="C410" s="36"/>
      <c r="D410" s="37"/>
      <c r="E410" s="37"/>
      <c r="F410" s="37"/>
      <c r="G410" s="51"/>
      <c r="H410" s="51"/>
      <c r="I410" s="51"/>
      <c r="J410" s="51"/>
    </row>
    <row r="411" spans="1:10" x14ac:dyDescent="0.25">
      <c r="A411" s="45" t="s">
        <v>118</v>
      </c>
      <c r="B411" s="36" t="s">
        <v>112</v>
      </c>
      <c r="C411" s="36">
        <v>1</v>
      </c>
      <c r="D411" s="37" t="s">
        <v>61</v>
      </c>
      <c r="E411" s="37" t="s">
        <v>77</v>
      </c>
      <c r="F411" s="37">
        <v>128</v>
      </c>
      <c r="G411" s="51">
        <v>20335075.594861429</v>
      </c>
      <c r="H411" s="51">
        <v>74564.786637350568</v>
      </c>
      <c r="I411" s="51">
        <v>45607.478306102268</v>
      </c>
      <c r="J411" s="51">
        <v>37886.461598663336</v>
      </c>
    </row>
    <row r="412" spans="1:10" x14ac:dyDescent="0.25">
      <c r="A412" s="45" t="s">
        <v>119</v>
      </c>
      <c r="B412" s="36" t="s">
        <v>112</v>
      </c>
      <c r="C412" s="36">
        <v>2</v>
      </c>
      <c r="D412" s="37" t="s">
        <v>61</v>
      </c>
      <c r="E412" s="36" t="s">
        <v>78</v>
      </c>
      <c r="F412" s="36">
        <v>85</v>
      </c>
      <c r="G412" s="51">
        <v>28453922.202294674</v>
      </c>
      <c r="H412" s="51">
        <v>87435.088490376365</v>
      </c>
      <c r="I412" s="51">
        <v>63190.315564924531</v>
      </c>
      <c r="J412" s="51">
        <v>54436.774423396877</v>
      </c>
    </row>
    <row r="413" spans="1:10" x14ac:dyDescent="0.25">
      <c r="A413" s="46"/>
      <c r="B413" s="36" t="s">
        <v>112</v>
      </c>
      <c r="C413" s="36">
        <v>3</v>
      </c>
      <c r="D413" s="37" t="s">
        <v>61</v>
      </c>
      <c r="E413" s="38" t="s">
        <v>96</v>
      </c>
      <c r="F413" s="38">
        <v>104</v>
      </c>
      <c r="G413" s="51">
        <v>42103186.114863813</v>
      </c>
      <c r="H413" s="51">
        <v>107730.67695701697</v>
      </c>
      <c r="I413" s="51">
        <v>83892.878866372426</v>
      </c>
      <c r="J413" s="51">
        <v>73284.389845626036</v>
      </c>
    </row>
    <row r="414" spans="1:10" x14ac:dyDescent="0.25">
      <c r="A414" s="45"/>
      <c r="B414" s="36" t="s">
        <v>112</v>
      </c>
      <c r="C414" s="36">
        <v>4</v>
      </c>
      <c r="D414" s="37" t="s">
        <v>61</v>
      </c>
      <c r="E414" s="37" t="s">
        <v>62</v>
      </c>
      <c r="F414" s="37">
        <v>118</v>
      </c>
      <c r="G414" s="51">
        <v>55861719.866589859</v>
      </c>
      <c r="H414" s="51">
        <v>138388.31514532553</v>
      </c>
      <c r="I414" s="51">
        <v>109277.25229571787</v>
      </c>
      <c r="J414" s="51">
        <v>96105.942904927142</v>
      </c>
    </row>
    <row r="415" spans="1:10" x14ac:dyDescent="0.25">
      <c r="A415" s="45" t="s">
        <v>0</v>
      </c>
      <c r="B415" s="48" t="s">
        <v>114</v>
      </c>
      <c r="C415" s="36">
        <v>1</v>
      </c>
      <c r="D415" s="37" t="s">
        <v>61</v>
      </c>
      <c r="E415" s="37" t="s">
        <v>97</v>
      </c>
      <c r="F415" s="37">
        <v>125</v>
      </c>
      <c r="G415" s="51">
        <v>2247074.2352086245</v>
      </c>
      <c r="H415" s="51">
        <v>6416.5949777843161</v>
      </c>
      <c r="I415" s="51">
        <v>4146.7372938558883</v>
      </c>
      <c r="J415" s="51">
        <v>3293.041088647085</v>
      </c>
    </row>
    <row r="416" spans="1:10" x14ac:dyDescent="0.25">
      <c r="A416" s="45"/>
      <c r="B416" s="48"/>
      <c r="C416" s="36"/>
      <c r="D416" s="37"/>
      <c r="E416" s="37"/>
      <c r="F416" s="37"/>
      <c r="G416" s="51"/>
      <c r="H416" s="51"/>
      <c r="I416" s="51"/>
      <c r="J416" s="51"/>
    </row>
    <row r="417" spans="1:16" x14ac:dyDescent="0.25">
      <c r="A417" s="45" t="s">
        <v>123</v>
      </c>
      <c r="B417" s="48" t="s">
        <v>116</v>
      </c>
      <c r="C417" s="36">
        <v>1</v>
      </c>
      <c r="D417" s="37" t="s">
        <v>61</v>
      </c>
      <c r="E417" s="37" t="s">
        <v>98</v>
      </c>
      <c r="F417" s="37">
        <v>245</v>
      </c>
      <c r="G417" s="51">
        <v>1846503.6575303208</v>
      </c>
      <c r="H417" s="51">
        <v>5244.2246027905103</v>
      </c>
      <c r="I417" s="51">
        <v>2845.3510462803229</v>
      </c>
      <c r="J417" s="51">
        <v>2537.249773309994</v>
      </c>
    </row>
    <row r="418" spans="1:16" x14ac:dyDescent="0.25">
      <c r="A418" s="45" t="s">
        <v>124</v>
      </c>
      <c r="B418" s="48" t="s">
        <v>116</v>
      </c>
      <c r="C418" s="36">
        <v>2</v>
      </c>
      <c r="D418" s="37" t="s">
        <v>61</v>
      </c>
      <c r="E418" s="37" t="s">
        <v>99</v>
      </c>
      <c r="F418" s="37">
        <v>48</v>
      </c>
      <c r="G418" s="51">
        <v>3152745.6299649905</v>
      </c>
      <c r="H418" s="51">
        <v>7531.2578398768364</v>
      </c>
      <c r="I418" s="51">
        <v>5033.1568767186054</v>
      </c>
      <c r="J418" s="51">
        <v>4902.6624145479391</v>
      </c>
    </row>
    <row r="419" spans="1:16" x14ac:dyDescent="0.25">
      <c r="A419" s="45" t="s">
        <v>0</v>
      </c>
      <c r="B419" s="48" t="s">
        <v>116</v>
      </c>
      <c r="C419" s="36">
        <v>3</v>
      </c>
      <c r="D419" s="37" t="s">
        <v>61</v>
      </c>
      <c r="E419" s="37" t="s">
        <v>100</v>
      </c>
      <c r="F419" s="37">
        <v>19</v>
      </c>
      <c r="G419" s="51">
        <v>3774570.3151658271</v>
      </c>
      <c r="H419" s="51">
        <v>10785.291215940817</v>
      </c>
      <c r="I419" s="51">
        <v>7773.5351271130939</v>
      </c>
      <c r="J419" s="51">
        <v>5545.2484736249007</v>
      </c>
    </row>
    <row r="420" spans="1:16" x14ac:dyDescent="0.25">
      <c r="A420" s="45"/>
      <c r="B420" s="48" t="s">
        <v>114</v>
      </c>
      <c r="C420" s="36">
        <v>1</v>
      </c>
      <c r="D420" s="37" t="s">
        <v>61</v>
      </c>
      <c r="E420" s="37" t="s">
        <v>101</v>
      </c>
      <c r="F420" s="37">
        <v>2</v>
      </c>
      <c r="G420" s="51">
        <v>3160.7839579004954</v>
      </c>
      <c r="H420" s="51">
        <v>21.372</v>
      </c>
      <c r="I420" s="51">
        <v>21.490111620191492</v>
      </c>
      <c r="J420" s="51">
        <v>6.6002757193962651</v>
      </c>
    </row>
    <row r="421" spans="1:16" s="52" customFormat="1" ht="13" x14ac:dyDescent="0.3">
      <c r="A421" s="89" t="s">
        <v>136</v>
      </c>
      <c r="B421" s="88"/>
      <c r="C421" s="88"/>
      <c r="D421" s="88"/>
      <c r="E421" s="88"/>
      <c r="F421" s="88"/>
      <c r="G421" s="88"/>
      <c r="H421" s="88"/>
      <c r="I421" s="88"/>
      <c r="J421" s="88"/>
      <c r="K421" s="84"/>
      <c r="L421" s="84"/>
      <c r="M421" s="84"/>
      <c r="N421" s="84"/>
      <c r="O421" s="84"/>
      <c r="P421" s="78"/>
    </row>
    <row r="422" spans="1:16" s="4" customFormat="1" ht="13" x14ac:dyDescent="0.3">
      <c r="A422" s="1" t="s">
        <v>59</v>
      </c>
      <c r="B422" s="1"/>
      <c r="C422" s="2"/>
      <c r="D422" s="3"/>
      <c r="E422" s="2"/>
      <c r="F422" s="2"/>
      <c r="G422" s="2"/>
      <c r="H422" s="2"/>
      <c r="I422" s="2"/>
      <c r="J422" s="2"/>
    </row>
    <row r="423" spans="1:16" s="4" customFormat="1" ht="13" x14ac:dyDescent="0.3">
      <c r="A423" s="87" t="s">
        <v>157</v>
      </c>
      <c r="B423" s="88"/>
      <c r="C423" s="88"/>
      <c r="D423" s="88"/>
      <c r="E423" s="88"/>
      <c r="F423" s="88"/>
      <c r="G423" s="88"/>
      <c r="H423" s="88"/>
      <c r="I423" s="88"/>
      <c r="J423" s="88"/>
      <c r="K423" s="85"/>
    </row>
    <row r="424" spans="1:16" s="4" customFormat="1" ht="13" x14ac:dyDescent="0.3">
      <c r="A424" s="5" t="str">
        <f>A4</f>
        <v>TEST YEAR ENDING 12/31/2018</v>
      </c>
      <c r="B424" s="5"/>
      <c r="C424" s="2"/>
      <c r="D424" s="3"/>
      <c r="E424" s="2"/>
      <c r="F424" s="2"/>
      <c r="G424" s="2"/>
      <c r="H424" s="2"/>
      <c r="I424" s="2"/>
      <c r="J424" s="2"/>
    </row>
    <row r="425" spans="1:16" s="4" customFormat="1" ht="13" x14ac:dyDescent="0.3">
      <c r="A425" s="5"/>
      <c r="B425" s="5"/>
      <c r="C425" s="2"/>
      <c r="D425" s="3"/>
      <c r="E425" s="2"/>
      <c r="F425" s="2"/>
      <c r="G425" s="2"/>
      <c r="H425" s="2"/>
      <c r="I425" s="2"/>
      <c r="J425" s="2"/>
    </row>
    <row r="426" spans="1:16" s="4" customFormat="1" ht="13" x14ac:dyDescent="0.3">
      <c r="A426" s="5"/>
      <c r="B426" s="5"/>
      <c r="C426" s="2"/>
      <c r="D426" s="3"/>
      <c r="E426" s="2"/>
      <c r="F426" s="2"/>
      <c r="G426" s="2"/>
      <c r="H426" s="2"/>
      <c r="I426" s="2"/>
      <c r="J426" s="2"/>
    </row>
    <row r="427" spans="1:16" ht="13" x14ac:dyDescent="0.3">
      <c r="A427" s="27" t="s">
        <v>139</v>
      </c>
      <c r="B427" s="40"/>
      <c r="C427" s="8"/>
      <c r="D427" s="42"/>
      <c r="E427" s="30" t="s">
        <v>58</v>
      </c>
      <c r="F427" s="43"/>
      <c r="G427" s="43"/>
      <c r="H427" s="43"/>
      <c r="I427" s="43"/>
      <c r="J427" s="43"/>
    </row>
    <row r="428" spans="1:16" ht="78" x14ac:dyDescent="0.3">
      <c r="A428" s="27" t="s">
        <v>38</v>
      </c>
      <c r="B428" s="8" t="s">
        <v>64</v>
      </c>
      <c r="C428" s="8" t="s">
        <v>39</v>
      </c>
      <c r="D428" s="31" t="s">
        <v>102</v>
      </c>
      <c r="E428" s="31" t="s">
        <v>103</v>
      </c>
      <c r="F428" s="31" t="s">
        <v>104</v>
      </c>
      <c r="G428" s="31" t="s">
        <v>105</v>
      </c>
      <c r="H428" s="31" t="s">
        <v>106</v>
      </c>
      <c r="I428" s="31" t="s">
        <v>107</v>
      </c>
      <c r="J428" s="31" t="s">
        <v>108</v>
      </c>
    </row>
    <row r="429" spans="1:16" ht="13" x14ac:dyDescent="0.3">
      <c r="A429" s="27"/>
      <c r="B429" s="27"/>
      <c r="C429" s="8"/>
      <c r="D429" s="22"/>
      <c r="E429" s="22"/>
      <c r="F429" s="22"/>
      <c r="G429" s="22"/>
      <c r="H429" s="22"/>
      <c r="I429" s="22"/>
      <c r="J429" s="22"/>
    </row>
    <row r="430" spans="1:16" x14ac:dyDescent="0.25">
      <c r="A430" s="39" t="s">
        <v>117</v>
      </c>
      <c r="B430" s="36" t="s">
        <v>109</v>
      </c>
      <c r="C430" s="36">
        <v>1</v>
      </c>
      <c r="D430" s="37" t="s">
        <v>60</v>
      </c>
      <c r="E430" s="37" t="s">
        <v>65</v>
      </c>
      <c r="F430" s="37">
        <v>72</v>
      </c>
      <c r="G430" s="51">
        <v>236286531.56971601</v>
      </c>
      <c r="H430" s="51">
        <v>1015357.5036585185</v>
      </c>
      <c r="I430" s="51">
        <v>509287.42324059282</v>
      </c>
      <c r="J430" s="51">
        <v>414796.34011067642</v>
      </c>
    </row>
    <row r="431" spans="1:16" x14ac:dyDescent="0.25">
      <c r="A431" s="45"/>
      <c r="B431" s="36" t="s">
        <v>109</v>
      </c>
      <c r="C431" s="36">
        <v>2</v>
      </c>
      <c r="D431" s="37" t="s">
        <v>60</v>
      </c>
      <c r="E431" s="37" t="s">
        <v>66</v>
      </c>
      <c r="F431" s="37">
        <v>80</v>
      </c>
      <c r="G431" s="51">
        <v>271017969.43780977</v>
      </c>
      <c r="H431" s="51">
        <v>1022020.3307855963</v>
      </c>
      <c r="I431" s="51">
        <v>591594.61054525536</v>
      </c>
      <c r="J431" s="51">
        <v>517909.82186794333</v>
      </c>
    </row>
    <row r="432" spans="1:16" x14ac:dyDescent="0.25">
      <c r="A432" s="45"/>
      <c r="B432" s="36" t="s">
        <v>109</v>
      </c>
      <c r="C432" s="36">
        <v>3</v>
      </c>
      <c r="D432" s="37" t="s">
        <v>60</v>
      </c>
      <c r="E432" s="37" t="s">
        <v>67</v>
      </c>
      <c r="F432" s="37">
        <v>71</v>
      </c>
      <c r="G432" s="51">
        <v>285863273.74347496</v>
      </c>
      <c r="H432" s="51">
        <v>957776.50059099426</v>
      </c>
      <c r="I432" s="51">
        <v>592153.80478406267</v>
      </c>
      <c r="J432" s="51">
        <v>491163.69526559679</v>
      </c>
    </row>
    <row r="433" spans="1:10" x14ac:dyDescent="0.25">
      <c r="A433" s="45"/>
      <c r="B433" s="36" t="s">
        <v>110</v>
      </c>
      <c r="C433" s="36">
        <v>1</v>
      </c>
      <c r="D433" s="37" t="s">
        <v>60</v>
      </c>
      <c r="E433" s="37" t="s">
        <v>68</v>
      </c>
      <c r="F433" s="37">
        <v>48</v>
      </c>
      <c r="G433" s="51">
        <v>164240306.36690047</v>
      </c>
      <c r="H433" s="51">
        <v>697884.63319327554</v>
      </c>
      <c r="I433" s="51">
        <v>369340.79929710831</v>
      </c>
      <c r="J433" s="51">
        <v>295357.0896286788</v>
      </c>
    </row>
    <row r="434" spans="1:10" x14ac:dyDescent="0.25">
      <c r="A434" s="45"/>
      <c r="B434" s="36" t="s">
        <v>110</v>
      </c>
      <c r="C434" s="36">
        <v>2</v>
      </c>
      <c r="D434" s="37" t="s">
        <v>60</v>
      </c>
      <c r="E434" s="37" t="s">
        <v>69</v>
      </c>
      <c r="F434" s="37">
        <v>51</v>
      </c>
      <c r="G434" s="51">
        <v>197312061.83705723</v>
      </c>
      <c r="H434" s="51">
        <v>669512.60048898985</v>
      </c>
      <c r="I434" s="51">
        <v>409258.33907015651</v>
      </c>
      <c r="J434" s="51">
        <v>350697.35888837458</v>
      </c>
    </row>
    <row r="435" spans="1:10" x14ac:dyDescent="0.25">
      <c r="A435" s="45"/>
      <c r="B435" s="36"/>
      <c r="C435" s="36"/>
      <c r="D435" s="37"/>
      <c r="E435" s="37"/>
      <c r="F435" s="37"/>
      <c r="G435" s="44"/>
      <c r="H435" s="44"/>
      <c r="I435" s="44"/>
      <c r="J435" s="44"/>
    </row>
    <row r="436" spans="1:10" x14ac:dyDescent="0.25">
      <c r="A436" s="45" t="s">
        <v>121</v>
      </c>
      <c r="B436" s="36" t="s">
        <v>63</v>
      </c>
      <c r="C436" s="36">
        <v>1</v>
      </c>
      <c r="D436" s="37" t="s">
        <v>60</v>
      </c>
      <c r="E436" s="36" t="s">
        <v>70</v>
      </c>
      <c r="F436" s="36">
        <v>88</v>
      </c>
      <c r="G436" s="51">
        <v>4514478.2249758616</v>
      </c>
      <c r="H436" s="51">
        <v>47577.582579868169</v>
      </c>
      <c r="I436" s="51">
        <v>14053.818380347857</v>
      </c>
      <c r="J436" s="51">
        <v>5549.0253228743968</v>
      </c>
    </row>
    <row r="437" spans="1:10" x14ac:dyDescent="0.25">
      <c r="A437" s="45" t="s">
        <v>122</v>
      </c>
      <c r="B437" s="36" t="s">
        <v>63</v>
      </c>
      <c r="C437" s="36">
        <v>2</v>
      </c>
      <c r="D437" s="37" t="s">
        <v>60</v>
      </c>
      <c r="E437" s="37" t="s">
        <v>71</v>
      </c>
      <c r="F437" s="37">
        <v>53</v>
      </c>
      <c r="G437" s="51">
        <v>7201405.3961370401</v>
      </c>
      <c r="H437" s="51">
        <v>37105.859613687375</v>
      </c>
      <c r="I437" s="51">
        <v>19089.894697950203</v>
      </c>
      <c r="J437" s="51">
        <v>16789.561063077435</v>
      </c>
    </row>
    <row r="438" spans="1:10" x14ac:dyDescent="0.25">
      <c r="A438" s="45"/>
      <c r="B438" s="36" t="s">
        <v>63</v>
      </c>
      <c r="C438" s="36">
        <v>3</v>
      </c>
      <c r="D438" s="37" t="s">
        <v>60</v>
      </c>
      <c r="E438" s="37" t="s">
        <v>72</v>
      </c>
      <c r="F438" s="37">
        <v>44</v>
      </c>
      <c r="G438" s="51">
        <v>7908990.7058134712</v>
      </c>
      <c r="H438" s="51">
        <v>28382.091462800261</v>
      </c>
      <c r="I438" s="51">
        <v>19838.708699628631</v>
      </c>
      <c r="J438" s="51">
        <v>18269.223783263831</v>
      </c>
    </row>
    <row r="439" spans="1:10" x14ac:dyDescent="0.25">
      <c r="A439" s="45"/>
      <c r="B439" s="36" t="s">
        <v>63</v>
      </c>
      <c r="C439" s="36">
        <v>4</v>
      </c>
      <c r="D439" s="37" t="s">
        <v>60</v>
      </c>
      <c r="E439" s="37" t="s">
        <v>73</v>
      </c>
      <c r="F439" s="37">
        <v>52</v>
      </c>
      <c r="G439" s="51">
        <v>8785292.5033436045</v>
      </c>
      <c r="H439" s="51">
        <v>25478.70501248736</v>
      </c>
      <c r="I439" s="51">
        <v>17357.894330234791</v>
      </c>
      <c r="J439" s="51">
        <v>16776.551080345122</v>
      </c>
    </row>
    <row r="440" spans="1:10" x14ac:dyDescent="0.25">
      <c r="A440" s="45"/>
      <c r="B440" s="36" t="s">
        <v>63</v>
      </c>
      <c r="C440" s="36">
        <v>5</v>
      </c>
      <c r="D440" s="37" t="s">
        <v>60</v>
      </c>
      <c r="E440" s="37" t="s">
        <v>74</v>
      </c>
      <c r="F440" s="37">
        <v>39</v>
      </c>
      <c r="G440" s="51">
        <v>9400572.4391553923</v>
      </c>
      <c r="H440" s="51">
        <v>20730.4493322239</v>
      </c>
      <c r="I440" s="51">
        <v>15860.042196008868</v>
      </c>
      <c r="J440" s="51">
        <v>14913.030487154991</v>
      </c>
    </row>
    <row r="441" spans="1:10" x14ac:dyDescent="0.25">
      <c r="A441" s="45"/>
      <c r="B441" s="36" t="s">
        <v>111</v>
      </c>
      <c r="C441" s="36">
        <v>1</v>
      </c>
      <c r="D441" s="37" t="s">
        <v>60</v>
      </c>
      <c r="E441" s="37" t="s">
        <v>75</v>
      </c>
      <c r="F441" s="37">
        <v>89</v>
      </c>
      <c r="G441" s="51">
        <v>66241.985903533598</v>
      </c>
      <c r="H441" s="51">
        <v>566.38645655238213</v>
      </c>
      <c r="I441" s="51">
        <v>159.75894881973946</v>
      </c>
      <c r="J441" s="51">
        <v>91.217332729472901</v>
      </c>
    </row>
    <row r="442" spans="1:10" x14ac:dyDescent="0.25">
      <c r="A442" s="45"/>
      <c r="B442" s="36" t="s">
        <v>111</v>
      </c>
      <c r="C442" s="36">
        <v>2</v>
      </c>
      <c r="D442" s="37" t="s">
        <v>60</v>
      </c>
      <c r="E442" s="37" t="s">
        <v>76</v>
      </c>
      <c r="F442" s="37">
        <v>45</v>
      </c>
      <c r="G442" s="51">
        <v>104689.7210725443</v>
      </c>
      <c r="H442" s="51">
        <v>409.06114507608021</v>
      </c>
      <c r="I442" s="51">
        <v>213.3597734998454</v>
      </c>
      <c r="J442" s="51">
        <v>138.79093386198181</v>
      </c>
    </row>
    <row r="443" spans="1:10" x14ac:dyDescent="0.25">
      <c r="A443" s="45"/>
      <c r="B443" s="36"/>
      <c r="C443" s="36"/>
      <c r="D443" s="37"/>
      <c r="E443" s="37"/>
      <c r="F443" s="37"/>
      <c r="G443" s="44"/>
      <c r="H443" s="44"/>
      <c r="I443" s="44"/>
      <c r="J443" s="44"/>
    </row>
    <row r="444" spans="1:10" x14ac:dyDescent="0.25">
      <c r="A444" s="45" t="s">
        <v>118</v>
      </c>
      <c r="B444" s="36" t="s">
        <v>112</v>
      </c>
      <c r="C444" s="36">
        <v>1</v>
      </c>
      <c r="D444" s="37" t="s">
        <v>61</v>
      </c>
      <c r="E444" s="37" t="s">
        <v>77</v>
      </c>
      <c r="F444" s="37">
        <v>138</v>
      </c>
      <c r="G444" s="51">
        <v>86947859.484597549</v>
      </c>
      <c r="H444" s="51">
        <v>315672.55741626199</v>
      </c>
      <c r="I444" s="51">
        <v>196201.4955061092</v>
      </c>
      <c r="J444" s="51">
        <v>190955.45146582884</v>
      </c>
    </row>
    <row r="445" spans="1:10" x14ac:dyDescent="0.25">
      <c r="A445" s="45" t="s">
        <v>119</v>
      </c>
      <c r="B445" s="36" t="s">
        <v>112</v>
      </c>
      <c r="C445" s="36">
        <v>2</v>
      </c>
      <c r="D445" s="37" t="s">
        <v>61</v>
      </c>
      <c r="E445" s="36" t="s">
        <v>78</v>
      </c>
      <c r="F445" s="36">
        <v>73</v>
      </c>
      <c r="G445" s="51">
        <v>130909593.58193052</v>
      </c>
      <c r="H445" s="51">
        <v>447756.62979838235</v>
      </c>
      <c r="I445" s="51">
        <v>297976.42317537911</v>
      </c>
      <c r="J445" s="51">
        <v>270571.15931457159</v>
      </c>
    </row>
    <row r="446" spans="1:10" x14ac:dyDescent="0.25">
      <c r="A446" s="46"/>
      <c r="B446" s="36" t="s">
        <v>112</v>
      </c>
      <c r="C446" s="36">
        <v>3</v>
      </c>
      <c r="D446" s="37" t="s">
        <v>61</v>
      </c>
      <c r="E446" s="38" t="s">
        <v>79</v>
      </c>
      <c r="F446" s="38">
        <v>91</v>
      </c>
      <c r="G446" s="51">
        <v>191846006.00130871</v>
      </c>
      <c r="H446" s="51">
        <v>500683.82995396981</v>
      </c>
      <c r="I446" s="51">
        <v>360282.22316574515</v>
      </c>
      <c r="J446" s="51">
        <v>344322.19121027511</v>
      </c>
    </row>
    <row r="447" spans="1:10" x14ac:dyDescent="0.25">
      <c r="A447" s="45"/>
      <c r="B447" s="36" t="s">
        <v>112</v>
      </c>
      <c r="C447" s="36">
        <v>4</v>
      </c>
      <c r="D447" s="37" t="s">
        <v>61</v>
      </c>
      <c r="E447" s="37" t="s">
        <v>80</v>
      </c>
      <c r="F447" s="37">
        <v>109</v>
      </c>
      <c r="G447" s="51">
        <v>267353629.51339149</v>
      </c>
      <c r="H447" s="51">
        <v>678467.36104391899</v>
      </c>
      <c r="I447" s="51">
        <v>549033.42819483881</v>
      </c>
      <c r="J447" s="51">
        <v>543442.48433533439</v>
      </c>
    </row>
    <row r="448" spans="1:10" x14ac:dyDescent="0.25">
      <c r="A448" s="45"/>
      <c r="B448" s="36" t="s">
        <v>113</v>
      </c>
      <c r="C448" s="36">
        <v>1</v>
      </c>
      <c r="D448" s="37" t="s">
        <v>61</v>
      </c>
      <c r="E448" s="37" t="s">
        <v>81</v>
      </c>
      <c r="F448" s="37">
        <v>7</v>
      </c>
      <c r="G448" s="51">
        <v>656451.7635308305</v>
      </c>
      <c r="H448" s="51">
        <v>1505.6518000000003</v>
      </c>
      <c r="I448" s="51">
        <v>1469.8310857465171</v>
      </c>
      <c r="J448" s="51">
        <v>866.61799054131143</v>
      </c>
    </row>
    <row r="449" spans="1:10" x14ac:dyDescent="0.25">
      <c r="A449" s="45"/>
      <c r="B449" s="36" t="s">
        <v>114</v>
      </c>
      <c r="C449" s="36">
        <v>1</v>
      </c>
      <c r="D449" s="37" t="s">
        <v>61</v>
      </c>
      <c r="E449" s="37" t="s">
        <v>82</v>
      </c>
      <c r="F449" s="37">
        <v>134</v>
      </c>
      <c r="G449" s="51">
        <v>7373561.0590535132</v>
      </c>
      <c r="H449" s="51">
        <v>18846.593271297665</v>
      </c>
      <c r="I449" s="51">
        <v>12635.677241670561</v>
      </c>
      <c r="J449" s="51">
        <v>10586.276983406433</v>
      </c>
    </row>
    <row r="450" spans="1:10" x14ac:dyDescent="0.25">
      <c r="A450" s="45"/>
      <c r="B450" s="36" t="s">
        <v>115</v>
      </c>
      <c r="C450" s="36">
        <v>1</v>
      </c>
      <c r="D450" s="37" t="s">
        <v>61</v>
      </c>
      <c r="E450" s="37" t="s">
        <v>83</v>
      </c>
      <c r="F450" s="37">
        <v>252</v>
      </c>
      <c r="G450" s="51">
        <v>1859360.2092796424</v>
      </c>
      <c r="H450" s="51">
        <v>10616.503775790952</v>
      </c>
      <c r="I450" s="51">
        <v>4162.170721059776</v>
      </c>
      <c r="J450" s="51">
        <v>2641.485357828823</v>
      </c>
    </row>
    <row r="451" spans="1:10" x14ac:dyDescent="0.25">
      <c r="A451" s="45"/>
      <c r="B451" s="36" t="s">
        <v>115</v>
      </c>
      <c r="C451" s="36">
        <v>2</v>
      </c>
      <c r="D451" s="37" t="s">
        <v>61</v>
      </c>
      <c r="E451" s="37" t="s">
        <v>84</v>
      </c>
      <c r="F451" s="37">
        <v>70</v>
      </c>
      <c r="G451" s="51">
        <v>4106439.0312541383</v>
      </c>
      <c r="H451" s="51">
        <v>12135.892470289011</v>
      </c>
      <c r="I451" s="51">
        <v>7051.3547511255083</v>
      </c>
      <c r="J451" s="51">
        <v>6254.5455271669716</v>
      </c>
    </row>
    <row r="452" spans="1:10" x14ac:dyDescent="0.25">
      <c r="A452" s="45" t="s">
        <v>0</v>
      </c>
      <c r="B452" s="36"/>
      <c r="C452" s="36"/>
      <c r="D452" s="37"/>
      <c r="E452" s="37"/>
      <c r="F452" s="37"/>
      <c r="G452" s="44"/>
      <c r="H452" s="44"/>
      <c r="I452" s="44"/>
      <c r="J452" s="44"/>
    </row>
    <row r="453" spans="1:10" x14ac:dyDescent="0.25">
      <c r="A453" s="45" t="s">
        <v>123</v>
      </c>
      <c r="B453" s="36" t="s">
        <v>116</v>
      </c>
      <c r="C453" s="36">
        <v>1</v>
      </c>
      <c r="D453" s="37" t="s">
        <v>61</v>
      </c>
      <c r="E453" s="37" t="s">
        <v>85</v>
      </c>
      <c r="F453" s="37">
        <v>118</v>
      </c>
      <c r="G453" s="51">
        <v>6771124.8524352945</v>
      </c>
      <c r="H453" s="51">
        <v>16369.938644507714</v>
      </c>
      <c r="I453" s="51">
        <v>11544.706874352791</v>
      </c>
      <c r="J453" s="51">
        <v>11076.740410159477</v>
      </c>
    </row>
    <row r="454" spans="1:10" x14ac:dyDescent="0.25">
      <c r="A454" s="45" t="s">
        <v>124</v>
      </c>
      <c r="B454" s="36" t="s">
        <v>116</v>
      </c>
      <c r="C454" s="36">
        <v>2</v>
      </c>
      <c r="D454" s="37" t="s">
        <v>61</v>
      </c>
      <c r="E454" s="37" t="s">
        <v>86</v>
      </c>
      <c r="F454" s="37">
        <v>34</v>
      </c>
      <c r="G454" s="51">
        <v>8401338.4403499365</v>
      </c>
      <c r="H454" s="51">
        <v>18634.520800036662</v>
      </c>
      <c r="I454" s="51">
        <v>14640.286643569298</v>
      </c>
      <c r="J454" s="51">
        <v>13501.222638626292</v>
      </c>
    </row>
    <row r="455" spans="1:10" x14ac:dyDescent="0.25">
      <c r="A455" s="45"/>
      <c r="B455" s="36" t="s">
        <v>114</v>
      </c>
      <c r="C455" s="36">
        <v>1</v>
      </c>
      <c r="D455" s="37" t="s">
        <v>61</v>
      </c>
      <c r="E455" s="37" t="s">
        <v>87</v>
      </c>
      <c r="F455" s="37">
        <v>4</v>
      </c>
      <c r="G455" s="51">
        <v>604737.00584671542</v>
      </c>
      <c r="H455" s="51">
        <v>1251.7297848301002</v>
      </c>
      <c r="I455" s="51">
        <v>1221.9395145071642</v>
      </c>
      <c r="J455" s="51">
        <v>1006.1814036368837</v>
      </c>
    </row>
    <row r="456" spans="1:10" x14ac:dyDescent="0.25">
      <c r="A456" s="45"/>
      <c r="B456" s="36"/>
      <c r="C456" s="36"/>
      <c r="D456" s="37"/>
      <c r="E456" s="37"/>
      <c r="F456" s="37"/>
      <c r="G456" s="51"/>
      <c r="H456" s="51"/>
      <c r="I456" s="51"/>
      <c r="J456" s="51"/>
    </row>
    <row r="458" spans="1:10" ht="13" x14ac:dyDescent="0.3">
      <c r="A458" s="27" t="s">
        <v>140</v>
      </c>
      <c r="B458" s="40"/>
      <c r="C458" s="8"/>
      <c r="D458" s="42"/>
      <c r="E458" s="30" t="s">
        <v>58</v>
      </c>
      <c r="F458" s="43"/>
      <c r="G458" s="43"/>
      <c r="H458" s="43"/>
      <c r="I458" s="43"/>
      <c r="J458" s="43"/>
    </row>
    <row r="459" spans="1:10" ht="78" x14ac:dyDescent="0.3">
      <c r="A459" s="27" t="s">
        <v>38</v>
      </c>
      <c r="B459" s="8" t="s">
        <v>64</v>
      </c>
      <c r="C459" s="8" t="s">
        <v>39</v>
      </c>
      <c r="D459" s="31" t="s">
        <v>102</v>
      </c>
      <c r="E459" s="31" t="s">
        <v>103</v>
      </c>
      <c r="F459" s="31" t="s">
        <v>104</v>
      </c>
      <c r="G459" s="31" t="s">
        <v>105</v>
      </c>
      <c r="H459" s="31" t="s">
        <v>106</v>
      </c>
      <c r="I459" s="31" t="s">
        <v>107</v>
      </c>
      <c r="J459" s="31" t="s">
        <v>108</v>
      </c>
    </row>
    <row r="460" spans="1:10" ht="13" x14ac:dyDescent="0.3">
      <c r="A460" s="27"/>
      <c r="B460" s="27"/>
      <c r="C460" s="8"/>
      <c r="D460" s="22"/>
      <c r="E460" s="22"/>
      <c r="F460" s="22"/>
      <c r="G460" s="22"/>
      <c r="H460" s="22"/>
      <c r="I460" s="22"/>
      <c r="J460" s="22"/>
    </row>
    <row r="461" spans="1:10" x14ac:dyDescent="0.25">
      <c r="A461" s="41" t="s">
        <v>120</v>
      </c>
      <c r="B461" s="36" t="s">
        <v>125</v>
      </c>
      <c r="C461" s="36">
        <v>1</v>
      </c>
      <c r="D461" s="37" t="s">
        <v>60</v>
      </c>
      <c r="E461" s="37" t="s">
        <v>88</v>
      </c>
      <c r="F461" s="37">
        <v>103</v>
      </c>
      <c r="G461" s="51">
        <v>47287784.175113618</v>
      </c>
      <c r="H461" s="51">
        <v>251100.19876714272</v>
      </c>
      <c r="I461" s="51">
        <v>121553.72942138996</v>
      </c>
      <c r="J461" s="51">
        <v>112705.07370889644</v>
      </c>
    </row>
    <row r="462" spans="1:10" x14ac:dyDescent="0.25">
      <c r="A462" s="45"/>
      <c r="B462" s="36" t="s">
        <v>125</v>
      </c>
      <c r="C462" s="36">
        <v>2</v>
      </c>
      <c r="D462" s="37" t="s">
        <v>60</v>
      </c>
      <c r="E462" s="37" t="s">
        <v>89</v>
      </c>
      <c r="F462" s="37">
        <v>92</v>
      </c>
      <c r="G462" s="51">
        <v>50456524.500660837</v>
      </c>
      <c r="H462" s="51">
        <v>231195.93600601595</v>
      </c>
      <c r="I462" s="51">
        <v>121517.69977519722</v>
      </c>
      <c r="J462" s="51">
        <v>111862.21974174584</v>
      </c>
    </row>
    <row r="463" spans="1:10" x14ac:dyDescent="0.25">
      <c r="A463" s="45"/>
      <c r="B463" s="36" t="s">
        <v>125</v>
      </c>
      <c r="C463" s="36">
        <v>3</v>
      </c>
      <c r="D463" s="37" t="s">
        <v>60</v>
      </c>
      <c r="E463" s="37" t="s">
        <v>90</v>
      </c>
      <c r="F463" s="37">
        <v>92</v>
      </c>
      <c r="G463" s="51">
        <v>53921104.744914964</v>
      </c>
      <c r="H463" s="51">
        <v>217500.98128274808</v>
      </c>
      <c r="I463" s="51">
        <v>127772.33404411687</v>
      </c>
      <c r="J463" s="51">
        <v>117356.45552112514</v>
      </c>
    </row>
    <row r="464" spans="1:10" x14ac:dyDescent="0.25">
      <c r="A464" s="45"/>
      <c r="B464" s="36" t="s">
        <v>125</v>
      </c>
      <c r="C464" s="36">
        <v>4</v>
      </c>
      <c r="D464" s="37" t="s">
        <v>60</v>
      </c>
      <c r="E464" s="37" t="s">
        <v>91</v>
      </c>
      <c r="F464" s="37">
        <v>100</v>
      </c>
      <c r="G464" s="51">
        <v>54885912.274302043</v>
      </c>
      <c r="H464" s="51">
        <v>202437.06149685392</v>
      </c>
      <c r="I464" s="51">
        <v>126922.97781498158</v>
      </c>
      <c r="J464" s="51">
        <v>111708.1785598095</v>
      </c>
    </row>
    <row r="465" spans="1:10" x14ac:dyDescent="0.25">
      <c r="A465" s="45"/>
      <c r="B465" s="36"/>
      <c r="C465" s="36"/>
      <c r="D465" s="37"/>
      <c r="E465" s="37"/>
      <c r="F465" s="37"/>
      <c r="G465" s="51"/>
      <c r="H465" s="51"/>
      <c r="I465" s="51"/>
      <c r="J465" s="51"/>
    </row>
    <row r="466" spans="1:10" x14ac:dyDescent="0.25">
      <c r="A466" s="45" t="s">
        <v>121</v>
      </c>
      <c r="B466" s="36" t="s">
        <v>63</v>
      </c>
      <c r="C466" s="36">
        <v>1</v>
      </c>
      <c r="D466" s="37" t="s">
        <v>60</v>
      </c>
      <c r="E466" s="36" t="s">
        <v>92</v>
      </c>
      <c r="F466" s="36">
        <v>99</v>
      </c>
      <c r="G466" s="51">
        <v>2987275.1140384153</v>
      </c>
      <c r="H466" s="51">
        <v>24078.780035948679</v>
      </c>
      <c r="I466" s="51">
        <v>6859.0414679143487</v>
      </c>
      <c r="J466" s="51">
        <v>4936.7829367508948</v>
      </c>
    </row>
    <row r="467" spans="1:10" x14ac:dyDescent="0.25">
      <c r="A467" s="45" t="s">
        <v>122</v>
      </c>
      <c r="B467" s="36" t="s">
        <v>63</v>
      </c>
      <c r="C467" s="36">
        <v>2</v>
      </c>
      <c r="D467" s="37" t="s">
        <v>60</v>
      </c>
      <c r="E467" s="37" t="s">
        <v>93</v>
      </c>
      <c r="F467" s="37">
        <v>69</v>
      </c>
      <c r="G467" s="51">
        <v>3300528.2312803348</v>
      </c>
      <c r="H467" s="51">
        <v>16826.862798680446</v>
      </c>
      <c r="I467" s="51">
        <v>8953.1397055894213</v>
      </c>
      <c r="J467" s="51">
        <v>7559.1513491840324</v>
      </c>
    </row>
    <row r="468" spans="1:10" x14ac:dyDescent="0.25">
      <c r="A468" s="45"/>
      <c r="B468" s="36" t="s">
        <v>63</v>
      </c>
      <c r="C468" s="36">
        <v>3</v>
      </c>
      <c r="D468" s="37" t="s">
        <v>60</v>
      </c>
      <c r="E468" s="37" t="s">
        <v>94</v>
      </c>
      <c r="F468" s="37">
        <v>85</v>
      </c>
      <c r="G468" s="51">
        <v>4325937.6069637509</v>
      </c>
      <c r="H468" s="51">
        <v>14770.06219935938</v>
      </c>
      <c r="I468" s="51">
        <v>10993.251600068772</v>
      </c>
      <c r="J468" s="51">
        <v>10704.864296264976</v>
      </c>
    </row>
    <row r="469" spans="1:10" x14ac:dyDescent="0.25">
      <c r="A469" s="45"/>
      <c r="B469" s="36" t="s">
        <v>63</v>
      </c>
      <c r="C469" s="36">
        <v>4</v>
      </c>
      <c r="D469" s="37" t="s">
        <v>60</v>
      </c>
      <c r="E469" s="37" t="s">
        <v>95</v>
      </c>
      <c r="F469" s="37">
        <v>75</v>
      </c>
      <c r="G469" s="51">
        <v>4132364.4787324546</v>
      </c>
      <c r="H469" s="51">
        <v>8904.6832941223802</v>
      </c>
      <c r="I469" s="51">
        <v>6671.5219947396636</v>
      </c>
      <c r="J469" s="51">
        <v>6058.2425834740061</v>
      </c>
    </row>
    <row r="470" spans="1:10" x14ac:dyDescent="0.25">
      <c r="A470" s="45"/>
      <c r="B470" s="36"/>
      <c r="C470" s="36"/>
      <c r="D470" s="37"/>
      <c r="E470" s="37"/>
      <c r="F470" s="37"/>
      <c r="G470" s="51"/>
      <c r="H470" s="51"/>
      <c r="I470" s="51"/>
      <c r="J470" s="51"/>
    </row>
    <row r="471" spans="1:10" x14ac:dyDescent="0.25">
      <c r="A471" s="45" t="s">
        <v>118</v>
      </c>
      <c r="B471" s="36" t="s">
        <v>112</v>
      </c>
      <c r="C471" s="36">
        <v>1</v>
      </c>
      <c r="D471" s="37" t="s">
        <v>61</v>
      </c>
      <c r="E471" s="37" t="s">
        <v>77</v>
      </c>
      <c r="F471" s="37">
        <v>128</v>
      </c>
      <c r="G471" s="51">
        <v>20806590.078537628</v>
      </c>
      <c r="H471" s="51">
        <v>79204.407383581522</v>
      </c>
      <c r="I471" s="51">
        <v>48417.233859305365</v>
      </c>
      <c r="J471" s="51">
        <v>42260.987412560484</v>
      </c>
    </row>
    <row r="472" spans="1:10" x14ac:dyDescent="0.25">
      <c r="A472" s="45" t="s">
        <v>119</v>
      </c>
      <c r="B472" s="36" t="s">
        <v>112</v>
      </c>
      <c r="C472" s="36">
        <v>2</v>
      </c>
      <c r="D472" s="37" t="s">
        <v>61</v>
      </c>
      <c r="E472" s="36" t="s">
        <v>78</v>
      </c>
      <c r="F472" s="36">
        <v>85</v>
      </c>
      <c r="G472" s="51">
        <v>27697959.812822375</v>
      </c>
      <c r="H472" s="51">
        <v>86314.489057007275</v>
      </c>
      <c r="I472" s="51">
        <v>57780.049653886439</v>
      </c>
      <c r="J472" s="51">
        <v>53731.309598263106</v>
      </c>
    </row>
    <row r="473" spans="1:10" x14ac:dyDescent="0.25">
      <c r="A473" s="46"/>
      <c r="B473" s="36" t="s">
        <v>112</v>
      </c>
      <c r="C473" s="36">
        <v>3</v>
      </c>
      <c r="D473" s="37" t="s">
        <v>61</v>
      </c>
      <c r="E473" s="38" t="s">
        <v>96</v>
      </c>
      <c r="F473" s="38">
        <v>104</v>
      </c>
      <c r="G473" s="51">
        <v>41672597.337289244</v>
      </c>
      <c r="H473" s="51">
        <v>109333.38245143142</v>
      </c>
      <c r="I473" s="51">
        <v>80343.270361100236</v>
      </c>
      <c r="J473" s="51">
        <v>78201.095771041131</v>
      </c>
    </row>
    <row r="474" spans="1:10" x14ac:dyDescent="0.25">
      <c r="A474" s="45"/>
      <c r="B474" s="36" t="s">
        <v>112</v>
      </c>
      <c r="C474" s="36">
        <v>4</v>
      </c>
      <c r="D474" s="37" t="s">
        <v>61</v>
      </c>
      <c r="E474" s="37" t="s">
        <v>62</v>
      </c>
      <c r="F474" s="37">
        <v>118</v>
      </c>
      <c r="G474" s="51">
        <v>58287586.926876739</v>
      </c>
      <c r="H474" s="51">
        <v>150575.01490920733</v>
      </c>
      <c r="I474" s="51">
        <v>124608.28536275751</v>
      </c>
      <c r="J474" s="51">
        <v>109451.99525541916</v>
      </c>
    </row>
    <row r="475" spans="1:10" x14ac:dyDescent="0.25">
      <c r="A475" s="45" t="s">
        <v>0</v>
      </c>
      <c r="B475" s="48" t="s">
        <v>114</v>
      </c>
      <c r="C475" s="36">
        <v>1</v>
      </c>
      <c r="D475" s="37" t="s">
        <v>61</v>
      </c>
      <c r="E475" s="37" t="s">
        <v>97</v>
      </c>
      <c r="F475" s="37">
        <v>125</v>
      </c>
      <c r="G475" s="51">
        <v>2520141.0250976598</v>
      </c>
      <c r="H475" s="51">
        <v>6820.9288131097519</v>
      </c>
      <c r="I475" s="51">
        <v>4461.1359289488109</v>
      </c>
      <c r="J475" s="51">
        <v>4003.2186152162417</v>
      </c>
    </row>
    <row r="476" spans="1:10" x14ac:dyDescent="0.25">
      <c r="A476" s="45"/>
      <c r="B476" s="48"/>
      <c r="C476" s="36"/>
      <c r="D476" s="37"/>
      <c r="E476" s="37"/>
      <c r="F476" s="37"/>
      <c r="G476" s="51"/>
      <c r="H476" s="51"/>
      <c r="I476" s="51"/>
      <c r="J476" s="51"/>
    </row>
    <row r="477" spans="1:10" x14ac:dyDescent="0.25">
      <c r="A477" s="45" t="s">
        <v>123</v>
      </c>
      <c r="B477" s="48" t="s">
        <v>116</v>
      </c>
      <c r="C477" s="36">
        <v>1</v>
      </c>
      <c r="D477" s="37" t="s">
        <v>61</v>
      </c>
      <c r="E477" s="37" t="s">
        <v>98</v>
      </c>
      <c r="F477" s="37">
        <v>245</v>
      </c>
      <c r="G477" s="51">
        <v>1840558.6529213444</v>
      </c>
      <c r="H477" s="51">
        <v>5076.8796226559034</v>
      </c>
      <c r="I477" s="51">
        <v>2818.322815862979</v>
      </c>
      <c r="J477" s="51">
        <v>2391.2863819304471</v>
      </c>
    </row>
    <row r="478" spans="1:10" x14ac:dyDescent="0.25">
      <c r="A478" s="45" t="s">
        <v>124</v>
      </c>
      <c r="B478" s="48" t="s">
        <v>116</v>
      </c>
      <c r="C478" s="36">
        <v>2</v>
      </c>
      <c r="D478" s="37" t="s">
        <v>61</v>
      </c>
      <c r="E478" s="37" t="s">
        <v>99</v>
      </c>
      <c r="F478" s="37">
        <v>48</v>
      </c>
      <c r="G478" s="51">
        <v>3132654.5636163293</v>
      </c>
      <c r="H478" s="51">
        <v>7521.6547987074673</v>
      </c>
      <c r="I478" s="51">
        <v>5129.2115728465697</v>
      </c>
      <c r="J478" s="51">
        <v>4387.4031659316443</v>
      </c>
    </row>
    <row r="479" spans="1:10" x14ac:dyDescent="0.25">
      <c r="A479" s="45" t="s">
        <v>0</v>
      </c>
      <c r="B479" s="48" t="s">
        <v>116</v>
      </c>
      <c r="C479" s="36">
        <v>3</v>
      </c>
      <c r="D479" s="37" t="s">
        <v>61</v>
      </c>
      <c r="E479" s="37" t="s">
        <v>100</v>
      </c>
      <c r="F479" s="37">
        <v>19</v>
      </c>
      <c r="G479" s="51">
        <v>4201597.0838652067</v>
      </c>
      <c r="H479" s="51">
        <v>9034.8240798726456</v>
      </c>
      <c r="I479" s="51">
        <v>7188.6896902663366</v>
      </c>
      <c r="J479" s="51">
        <v>5285.3171683596756</v>
      </c>
    </row>
    <row r="480" spans="1:10" x14ac:dyDescent="0.25">
      <c r="A480" s="45"/>
      <c r="B480" s="48" t="s">
        <v>114</v>
      </c>
      <c r="C480" s="36">
        <v>1</v>
      </c>
      <c r="D480" s="37" t="s">
        <v>61</v>
      </c>
      <c r="E480" s="37" t="s">
        <v>101</v>
      </c>
      <c r="F480" s="37">
        <v>2</v>
      </c>
      <c r="G480" s="51">
        <v>4682.961987658372</v>
      </c>
      <c r="H480" s="51">
        <v>43.596000000000011</v>
      </c>
      <c r="I480" s="51">
        <v>43.716268613112739</v>
      </c>
      <c r="J480" s="51">
        <v>6.0934903807954539</v>
      </c>
    </row>
    <row r="481" spans="1:16" s="52" customFormat="1" ht="13" x14ac:dyDescent="0.3">
      <c r="A481" s="89" t="s">
        <v>136</v>
      </c>
      <c r="B481" s="88"/>
      <c r="C481" s="88"/>
      <c r="D481" s="88"/>
      <c r="E481" s="88"/>
      <c r="F481" s="88"/>
      <c r="G481" s="88"/>
      <c r="H481" s="88"/>
      <c r="I481" s="88"/>
      <c r="J481" s="88"/>
      <c r="K481" s="84"/>
      <c r="L481" s="84"/>
      <c r="M481" s="84"/>
      <c r="N481" s="84"/>
      <c r="O481" s="84"/>
      <c r="P481" s="78"/>
    </row>
    <row r="482" spans="1:16" s="4" customFormat="1" ht="13" x14ac:dyDescent="0.3">
      <c r="A482" s="1" t="s">
        <v>59</v>
      </c>
      <c r="B482" s="1"/>
      <c r="C482" s="2"/>
      <c r="D482" s="3"/>
      <c r="E482" s="2"/>
      <c r="F482" s="2"/>
      <c r="G482" s="2"/>
      <c r="H482" s="2"/>
      <c r="I482" s="2"/>
      <c r="J482" s="2"/>
    </row>
    <row r="483" spans="1:16" s="4" customFormat="1" ht="13" x14ac:dyDescent="0.3">
      <c r="A483" s="87" t="s">
        <v>157</v>
      </c>
      <c r="B483" s="88"/>
      <c r="C483" s="88"/>
      <c r="D483" s="88"/>
      <c r="E483" s="88"/>
      <c r="F483" s="88"/>
      <c r="G483" s="88"/>
      <c r="H483" s="88"/>
      <c r="I483" s="88"/>
      <c r="J483" s="88"/>
    </row>
    <row r="484" spans="1:16" s="4" customFormat="1" ht="13" x14ac:dyDescent="0.3">
      <c r="A484" s="5" t="str">
        <f>A4</f>
        <v>TEST YEAR ENDING 12/31/2018</v>
      </c>
      <c r="B484" s="5"/>
      <c r="C484" s="2"/>
      <c r="D484" s="3"/>
      <c r="E484" s="2"/>
      <c r="F484" s="2"/>
      <c r="G484" s="2"/>
      <c r="H484" s="2"/>
      <c r="I484" s="2"/>
      <c r="J484" s="2"/>
    </row>
    <row r="485" spans="1:16" s="4" customFormat="1" ht="13" x14ac:dyDescent="0.3">
      <c r="A485" s="5"/>
      <c r="B485" s="5"/>
      <c r="C485" s="2"/>
      <c r="D485" s="3"/>
      <c r="E485" s="2"/>
      <c r="F485" s="2"/>
      <c r="G485" s="2"/>
      <c r="H485" s="2"/>
      <c r="I485" s="2"/>
      <c r="J485" s="2"/>
    </row>
    <row r="486" spans="1:16" s="4" customFormat="1" ht="13" x14ac:dyDescent="0.3">
      <c r="A486" s="5"/>
      <c r="B486" s="5"/>
      <c r="C486" s="2"/>
      <c r="D486" s="3"/>
      <c r="E486" s="2"/>
      <c r="F486" s="2"/>
      <c r="G486" s="2"/>
      <c r="H486" s="2"/>
      <c r="I486" s="2"/>
      <c r="J486" s="2"/>
    </row>
    <row r="487" spans="1:16" ht="13" x14ac:dyDescent="0.3">
      <c r="A487" s="27" t="s">
        <v>139</v>
      </c>
      <c r="B487" s="40"/>
      <c r="C487" s="8"/>
      <c r="D487" s="42"/>
      <c r="E487" s="30" t="s">
        <v>47</v>
      </c>
      <c r="F487" s="43"/>
      <c r="G487" s="43"/>
      <c r="H487" s="43"/>
      <c r="I487" s="43"/>
      <c r="J487" s="43"/>
    </row>
    <row r="488" spans="1:16" ht="78" x14ac:dyDescent="0.3">
      <c r="A488" s="27" t="s">
        <v>38</v>
      </c>
      <c r="B488" s="8" t="s">
        <v>64</v>
      </c>
      <c r="C488" s="8" t="s">
        <v>39</v>
      </c>
      <c r="D488" s="31" t="s">
        <v>102</v>
      </c>
      <c r="E488" s="31" t="s">
        <v>103</v>
      </c>
      <c r="F488" s="31" t="s">
        <v>104</v>
      </c>
      <c r="G488" s="31" t="s">
        <v>105</v>
      </c>
      <c r="H488" s="31" t="s">
        <v>106</v>
      </c>
      <c r="I488" s="31" t="s">
        <v>107</v>
      </c>
      <c r="J488" s="31" t="s">
        <v>108</v>
      </c>
    </row>
    <row r="489" spans="1:16" ht="13" x14ac:dyDescent="0.3">
      <c r="A489" s="27"/>
      <c r="B489" s="27"/>
      <c r="C489" s="8"/>
      <c r="D489" s="22"/>
      <c r="E489" s="22"/>
      <c r="F489" s="22"/>
      <c r="G489" s="22"/>
      <c r="H489" s="22"/>
      <c r="I489" s="22"/>
      <c r="J489" s="22"/>
    </row>
    <row r="490" spans="1:16" x14ac:dyDescent="0.25">
      <c r="A490" s="39" t="s">
        <v>117</v>
      </c>
      <c r="B490" s="36" t="s">
        <v>109</v>
      </c>
      <c r="C490" s="36">
        <v>1</v>
      </c>
      <c r="D490" s="37" t="s">
        <v>60</v>
      </c>
      <c r="E490" s="37" t="s">
        <v>65</v>
      </c>
      <c r="F490" s="37">
        <v>72</v>
      </c>
      <c r="G490" s="51">
        <v>189994611.70279774</v>
      </c>
      <c r="H490" s="51">
        <v>984900.21870947734</v>
      </c>
      <c r="I490" s="51">
        <v>486443.35967406665</v>
      </c>
      <c r="J490" s="51">
        <v>472153.6603995504</v>
      </c>
    </row>
    <row r="491" spans="1:16" x14ac:dyDescent="0.25">
      <c r="A491" s="45"/>
      <c r="B491" s="36" t="s">
        <v>109</v>
      </c>
      <c r="C491" s="36">
        <v>2</v>
      </c>
      <c r="D491" s="37" t="s">
        <v>60</v>
      </c>
      <c r="E491" s="37" t="s">
        <v>66</v>
      </c>
      <c r="F491" s="37">
        <v>80</v>
      </c>
      <c r="G491" s="51">
        <v>215563304.67402452</v>
      </c>
      <c r="H491" s="51">
        <v>968843.12397261907</v>
      </c>
      <c r="I491" s="51">
        <v>551926.21893159149</v>
      </c>
      <c r="J491" s="51">
        <v>526851.35396997561</v>
      </c>
    </row>
    <row r="492" spans="1:16" x14ac:dyDescent="0.25">
      <c r="A492" s="45"/>
      <c r="B492" s="36" t="s">
        <v>109</v>
      </c>
      <c r="C492" s="36">
        <v>3</v>
      </c>
      <c r="D492" s="37" t="s">
        <v>60</v>
      </c>
      <c r="E492" s="37" t="s">
        <v>67</v>
      </c>
      <c r="F492" s="37">
        <v>71</v>
      </c>
      <c r="G492" s="51">
        <v>232989893.60770613</v>
      </c>
      <c r="H492" s="51">
        <v>906523.63517717167</v>
      </c>
      <c r="I492" s="51">
        <v>576223.8506336289</v>
      </c>
      <c r="J492" s="51">
        <v>537050.85131296259</v>
      </c>
    </row>
    <row r="493" spans="1:16" x14ac:dyDescent="0.25">
      <c r="A493" s="45"/>
      <c r="B493" s="36" t="s">
        <v>110</v>
      </c>
      <c r="C493" s="36">
        <v>1</v>
      </c>
      <c r="D493" s="37" t="s">
        <v>60</v>
      </c>
      <c r="E493" s="37" t="s">
        <v>68</v>
      </c>
      <c r="F493" s="37">
        <v>48</v>
      </c>
      <c r="G493" s="51">
        <v>131114857.16636227</v>
      </c>
      <c r="H493" s="51">
        <v>667631.47981192172</v>
      </c>
      <c r="I493" s="51">
        <v>323790.93725854054</v>
      </c>
      <c r="J493" s="51">
        <v>300671.42588594765</v>
      </c>
    </row>
    <row r="494" spans="1:16" x14ac:dyDescent="0.25">
      <c r="A494" s="45"/>
      <c r="B494" s="36" t="s">
        <v>110</v>
      </c>
      <c r="C494" s="36">
        <v>2</v>
      </c>
      <c r="D494" s="37" t="s">
        <v>60</v>
      </c>
      <c r="E494" s="37" t="s">
        <v>69</v>
      </c>
      <c r="F494" s="37">
        <v>51</v>
      </c>
      <c r="G494" s="51">
        <v>156611832.72557756</v>
      </c>
      <c r="H494" s="51">
        <v>633415.13751602231</v>
      </c>
      <c r="I494" s="51">
        <v>396695.89502216841</v>
      </c>
      <c r="J494" s="51">
        <v>373922.70508503023</v>
      </c>
    </row>
    <row r="495" spans="1:16" x14ac:dyDescent="0.25">
      <c r="A495" s="45"/>
      <c r="B495" s="36"/>
      <c r="C495" s="36"/>
      <c r="D495" s="37"/>
      <c r="E495" s="37"/>
      <c r="F495" s="37"/>
      <c r="G495" s="44"/>
      <c r="H495" s="44"/>
      <c r="I495" s="44"/>
      <c r="J495" s="44"/>
    </row>
    <row r="496" spans="1:16" x14ac:dyDescent="0.25">
      <c r="A496" s="45" t="s">
        <v>121</v>
      </c>
      <c r="B496" s="36" t="s">
        <v>63</v>
      </c>
      <c r="C496" s="36">
        <v>1</v>
      </c>
      <c r="D496" s="37" t="s">
        <v>60</v>
      </c>
      <c r="E496" s="36" t="s">
        <v>70</v>
      </c>
      <c r="F496" s="36">
        <v>88</v>
      </c>
      <c r="G496" s="51">
        <v>4355343.9009712255</v>
      </c>
      <c r="H496" s="51">
        <v>44037.401542956126</v>
      </c>
      <c r="I496" s="51">
        <v>9537.9837829469125</v>
      </c>
      <c r="J496" s="51">
        <v>4341.8313404565133</v>
      </c>
    </row>
    <row r="497" spans="1:10" x14ac:dyDescent="0.25">
      <c r="A497" s="45" t="s">
        <v>122</v>
      </c>
      <c r="B497" s="36" t="s">
        <v>63</v>
      </c>
      <c r="C497" s="36">
        <v>2</v>
      </c>
      <c r="D497" s="37" t="s">
        <v>60</v>
      </c>
      <c r="E497" s="37" t="s">
        <v>71</v>
      </c>
      <c r="F497" s="37">
        <v>53</v>
      </c>
      <c r="G497" s="51">
        <v>5859550.1543431953</v>
      </c>
      <c r="H497" s="51">
        <v>33309.674328211644</v>
      </c>
      <c r="I497" s="51">
        <v>16569.285773871597</v>
      </c>
      <c r="J497" s="51">
        <v>10862.287376969483</v>
      </c>
    </row>
    <row r="498" spans="1:10" x14ac:dyDescent="0.25">
      <c r="A498" s="45"/>
      <c r="B498" s="36" t="s">
        <v>63</v>
      </c>
      <c r="C498" s="36">
        <v>3</v>
      </c>
      <c r="D498" s="37" t="s">
        <v>60</v>
      </c>
      <c r="E498" s="37" t="s">
        <v>72</v>
      </c>
      <c r="F498" s="37">
        <v>44</v>
      </c>
      <c r="G498" s="51">
        <v>6598169.7946838867</v>
      </c>
      <c r="H498" s="51">
        <v>28840.493902758029</v>
      </c>
      <c r="I498" s="51">
        <v>18252.955632413741</v>
      </c>
      <c r="J498" s="51">
        <v>12493.216823940344</v>
      </c>
    </row>
    <row r="499" spans="1:10" x14ac:dyDescent="0.25">
      <c r="A499" s="45"/>
      <c r="B499" s="36" t="s">
        <v>63</v>
      </c>
      <c r="C499" s="36">
        <v>4</v>
      </c>
      <c r="D499" s="37" t="s">
        <v>60</v>
      </c>
      <c r="E499" s="37" t="s">
        <v>73</v>
      </c>
      <c r="F499" s="37">
        <v>52</v>
      </c>
      <c r="G499" s="51">
        <v>7597697.6418712214</v>
      </c>
      <c r="H499" s="51">
        <v>24482.861202370939</v>
      </c>
      <c r="I499" s="51">
        <v>16634.674324187166</v>
      </c>
      <c r="J499" s="51">
        <v>13288.167427764307</v>
      </c>
    </row>
    <row r="500" spans="1:10" x14ac:dyDescent="0.25">
      <c r="A500" s="45"/>
      <c r="B500" s="36" t="s">
        <v>63</v>
      </c>
      <c r="C500" s="36">
        <v>5</v>
      </c>
      <c r="D500" s="37" t="s">
        <v>60</v>
      </c>
      <c r="E500" s="37" t="s">
        <v>74</v>
      </c>
      <c r="F500" s="37">
        <v>39</v>
      </c>
      <c r="G500" s="51">
        <v>8372672.8093725871</v>
      </c>
      <c r="H500" s="51">
        <v>20577.464701244</v>
      </c>
      <c r="I500" s="51">
        <v>14907.303262255034</v>
      </c>
      <c r="J500" s="51">
        <v>13717.306501197851</v>
      </c>
    </row>
    <row r="501" spans="1:10" x14ac:dyDescent="0.25">
      <c r="A501" s="45"/>
      <c r="B501" s="36" t="s">
        <v>111</v>
      </c>
      <c r="C501" s="36">
        <v>1</v>
      </c>
      <c r="D501" s="37" t="s">
        <v>60</v>
      </c>
      <c r="E501" s="37" t="s">
        <v>75</v>
      </c>
      <c r="F501" s="37">
        <v>89</v>
      </c>
      <c r="G501" s="51">
        <v>112876.89186653392</v>
      </c>
      <c r="H501" s="51">
        <v>1242.4063931090154</v>
      </c>
      <c r="I501" s="51">
        <v>405.57376648131492</v>
      </c>
      <c r="J501" s="51">
        <v>85.186957079012515</v>
      </c>
    </row>
    <row r="502" spans="1:10" x14ac:dyDescent="0.25">
      <c r="A502" s="45"/>
      <c r="B502" s="36" t="s">
        <v>111</v>
      </c>
      <c r="C502" s="36">
        <v>2</v>
      </c>
      <c r="D502" s="37" t="s">
        <v>60</v>
      </c>
      <c r="E502" s="37" t="s">
        <v>76</v>
      </c>
      <c r="F502" s="37">
        <v>45</v>
      </c>
      <c r="G502" s="51">
        <v>123529.24404834765</v>
      </c>
      <c r="H502" s="51">
        <v>565.04493715705428</v>
      </c>
      <c r="I502" s="51">
        <v>301.07657714989904</v>
      </c>
      <c r="J502" s="51">
        <v>196.44492367575859</v>
      </c>
    </row>
    <row r="503" spans="1:10" x14ac:dyDescent="0.25">
      <c r="A503" s="45"/>
      <c r="B503" s="36"/>
      <c r="C503" s="36"/>
      <c r="D503" s="37"/>
      <c r="E503" s="37"/>
      <c r="F503" s="37"/>
      <c r="G503" s="44"/>
      <c r="H503" s="44"/>
      <c r="I503" s="44"/>
      <c r="J503" s="44"/>
    </row>
    <row r="504" spans="1:10" x14ac:dyDescent="0.25">
      <c r="A504" s="45" t="s">
        <v>118</v>
      </c>
      <c r="B504" s="36" t="s">
        <v>112</v>
      </c>
      <c r="C504" s="36">
        <v>1</v>
      </c>
      <c r="D504" s="37" t="s">
        <v>61</v>
      </c>
      <c r="E504" s="37" t="s">
        <v>77</v>
      </c>
      <c r="F504" s="37">
        <v>138</v>
      </c>
      <c r="G504" s="51">
        <v>75305446.718718499</v>
      </c>
      <c r="H504" s="51">
        <v>311423.20299053215</v>
      </c>
      <c r="I504" s="51">
        <v>182833.08186049788</v>
      </c>
      <c r="J504" s="51">
        <v>143559.78407799848</v>
      </c>
    </row>
    <row r="505" spans="1:10" x14ac:dyDescent="0.25">
      <c r="A505" s="45" t="s">
        <v>119</v>
      </c>
      <c r="B505" s="36" t="s">
        <v>112</v>
      </c>
      <c r="C505" s="36">
        <v>2</v>
      </c>
      <c r="D505" s="37" t="s">
        <v>61</v>
      </c>
      <c r="E505" s="36" t="s">
        <v>78</v>
      </c>
      <c r="F505" s="36">
        <v>73</v>
      </c>
      <c r="G505" s="51">
        <v>105762075.7787561</v>
      </c>
      <c r="H505" s="51">
        <v>382727.96994706197</v>
      </c>
      <c r="I505" s="51">
        <v>248595.60352823103</v>
      </c>
      <c r="J505" s="51">
        <v>197682.12074047278</v>
      </c>
    </row>
    <row r="506" spans="1:10" x14ac:dyDescent="0.25">
      <c r="A506" s="46"/>
      <c r="B506" s="36" t="s">
        <v>112</v>
      </c>
      <c r="C506" s="36">
        <v>3</v>
      </c>
      <c r="D506" s="37" t="s">
        <v>61</v>
      </c>
      <c r="E506" s="38" t="s">
        <v>79</v>
      </c>
      <c r="F506" s="38">
        <v>91</v>
      </c>
      <c r="G506" s="51">
        <v>167496533.79462627</v>
      </c>
      <c r="H506" s="51">
        <v>481897.52807980549</v>
      </c>
      <c r="I506" s="51">
        <v>337619.0254783486</v>
      </c>
      <c r="J506" s="51">
        <v>303119.78319262963</v>
      </c>
    </row>
    <row r="507" spans="1:10" x14ac:dyDescent="0.25">
      <c r="A507" s="45"/>
      <c r="B507" s="36" t="s">
        <v>112</v>
      </c>
      <c r="C507" s="36">
        <v>4</v>
      </c>
      <c r="D507" s="37" t="s">
        <v>61</v>
      </c>
      <c r="E507" s="37" t="s">
        <v>80</v>
      </c>
      <c r="F507" s="37">
        <v>109</v>
      </c>
      <c r="G507" s="51">
        <v>239594966.58614975</v>
      </c>
      <c r="H507" s="51">
        <v>651669.87020686828</v>
      </c>
      <c r="I507" s="51">
        <v>517062.47590888728</v>
      </c>
      <c r="J507" s="51">
        <v>328680.57522372529</v>
      </c>
    </row>
    <row r="508" spans="1:10" x14ac:dyDescent="0.25">
      <c r="A508" s="45"/>
      <c r="B508" s="36" t="s">
        <v>113</v>
      </c>
      <c r="C508" s="36">
        <v>1</v>
      </c>
      <c r="D508" s="37" t="s">
        <v>61</v>
      </c>
      <c r="E508" s="37" t="s">
        <v>81</v>
      </c>
      <c r="F508" s="37">
        <v>7</v>
      </c>
      <c r="G508" s="51">
        <v>384952.52018734271</v>
      </c>
      <c r="H508" s="51">
        <v>1557.2890000000002</v>
      </c>
      <c r="I508" s="51">
        <v>1477.4534675219313</v>
      </c>
      <c r="J508" s="51">
        <v>824.08532841292686</v>
      </c>
    </row>
    <row r="509" spans="1:10" x14ac:dyDescent="0.25">
      <c r="A509" s="45"/>
      <c r="B509" s="36" t="s">
        <v>114</v>
      </c>
      <c r="C509" s="36">
        <v>1</v>
      </c>
      <c r="D509" s="37" t="s">
        <v>61</v>
      </c>
      <c r="E509" s="37" t="s">
        <v>82</v>
      </c>
      <c r="F509" s="37">
        <v>134</v>
      </c>
      <c r="G509" s="51">
        <v>4120187.3503193967</v>
      </c>
      <c r="H509" s="51">
        <v>15625.535472308833</v>
      </c>
      <c r="I509" s="51">
        <v>8508.6692346713171</v>
      </c>
      <c r="J509" s="51">
        <v>7723.9280976105601</v>
      </c>
    </row>
    <row r="510" spans="1:10" x14ac:dyDescent="0.25">
      <c r="A510" s="45"/>
      <c r="B510" s="36" t="s">
        <v>115</v>
      </c>
      <c r="C510" s="36">
        <v>1</v>
      </c>
      <c r="D510" s="37" t="s">
        <v>61</v>
      </c>
      <c r="E510" s="37" t="s">
        <v>83</v>
      </c>
      <c r="F510" s="37">
        <v>252</v>
      </c>
      <c r="G510" s="51">
        <v>500214.20954245434</v>
      </c>
      <c r="H510" s="51">
        <v>5663.0015403916359</v>
      </c>
      <c r="I510" s="51">
        <v>1965.6063295673778</v>
      </c>
      <c r="J510" s="51">
        <v>1475.3631232436351</v>
      </c>
    </row>
    <row r="511" spans="1:10" x14ac:dyDescent="0.25">
      <c r="A511" s="45"/>
      <c r="B511" s="36" t="s">
        <v>115</v>
      </c>
      <c r="C511" s="36">
        <v>2</v>
      </c>
      <c r="D511" s="37" t="s">
        <v>61</v>
      </c>
      <c r="E511" s="37" t="s">
        <v>84</v>
      </c>
      <c r="F511" s="37">
        <v>70</v>
      </c>
      <c r="G511" s="51">
        <v>1170966.2966870114</v>
      </c>
      <c r="H511" s="51">
        <v>9846.7170899184766</v>
      </c>
      <c r="I511" s="51">
        <v>4784.4419993208548</v>
      </c>
      <c r="J511" s="51">
        <v>3672.8784098986653</v>
      </c>
    </row>
    <row r="512" spans="1:10" x14ac:dyDescent="0.25">
      <c r="A512" s="45" t="s">
        <v>0</v>
      </c>
      <c r="B512" s="36"/>
      <c r="C512" s="36"/>
      <c r="D512" s="37"/>
      <c r="E512" s="37"/>
      <c r="F512" s="37"/>
      <c r="G512" s="44"/>
      <c r="H512" s="44"/>
      <c r="I512" s="44"/>
      <c r="J512" s="44"/>
    </row>
    <row r="513" spans="1:10" x14ac:dyDescent="0.25">
      <c r="A513" s="45" t="s">
        <v>123</v>
      </c>
      <c r="B513" s="36" t="s">
        <v>116</v>
      </c>
      <c r="C513" s="36">
        <v>1</v>
      </c>
      <c r="D513" s="37" t="s">
        <v>61</v>
      </c>
      <c r="E513" s="37" t="s">
        <v>85</v>
      </c>
      <c r="F513" s="37">
        <v>118</v>
      </c>
      <c r="G513" s="51">
        <v>6097014.0470692292</v>
      </c>
      <c r="H513" s="51">
        <v>14889.624098200677</v>
      </c>
      <c r="I513" s="51">
        <v>11075.182554725649</v>
      </c>
      <c r="J513" s="51">
        <v>9991.3459808034477</v>
      </c>
    </row>
    <row r="514" spans="1:10" x14ac:dyDescent="0.25">
      <c r="A514" s="45" t="s">
        <v>124</v>
      </c>
      <c r="B514" s="36" t="s">
        <v>116</v>
      </c>
      <c r="C514" s="36">
        <v>2</v>
      </c>
      <c r="D514" s="37" t="s">
        <v>61</v>
      </c>
      <c r="E514" s="37" t="s">
        <v>86</v>
      </c>
      <c r="F514" s="37">
        <v>34</v>
      </c>
      <c r="G514" s="51">
        <v>8082294.9552944703</v>
      </c>
      <c r="H514" s="51">
        <v>19474.931924210177</v>
      </c>
      <c r="I514" s="51">
        <v>14939.433811621886</v>
      </c>
      <c r="J514" s="51">
        <v>11672.822945784706</v>
      </c>
    </row>
    <row r="515" spans="1:10" x14ac:dyDescent="0.25">
      <c r="A515" s="45"/>
      <c r="B515" s="36" t="s">
        <v>114</v>
      </c>
      <c r="C515" s="36">
        <v>1</v>
      </c>
      <c r="D515" s="37" t="s">
        <v>61</v>
      </c>
      <c r="E515" s="37" t="s">
        <v>87</v>
      </c>
      <c r="F515" s="37">
        <v>4</v>
      </c>
      <c r="G515" s="51">
        <v>232483.21055256485</v>
      </c>
      <c r="H515" s="51">
        <v>1264.4068484112042</v>
      </c>
      <c r="I515" s="51">
        <v>1220.3582254209816</v>
      </c>
      <c r="J515" s="51">
        <v>244.07815244669089</v>
      </c>
    </row>
    <row r="516" spans="1:10" x14ac:dyDescent="0.25">
      <c r="A516" s="45"/>
      <c r="B516" s="36"/>
      <c r="C516" s="36"/>
      <c r="D516" s="37"/>
      <c r="E516" s="37"/>
      <c r="F516" s="37"/>
      <c r="G516" s="51"/>
      <c r="H516" s="51"/>
      <c r="I516" s="51"/>
      <c r="J516" s="51"/>
    </row>
    <row r="517" spans="1:10" x14ac:dyDescent="0.25">
      <c r="A517" s="45"/>
      <c r="B517" s="36"/>
      <c r="C517" s="36"/>
      <c r="D517" s="37"/>
      <c r="E517" s="37"/>
      <c r="F517" s="37"/>
      <c r="G517" s="51"/>
      <c r="H517" s="51"/>
      <c r="I517" s="51"/>
      <c r="J517" s="51"/>
    </row>
    <row r="518" spans="1:10" ht="13" x14ac:dyDescent="0.3">
      <c r="A518" s="27" t="s">
        <v>140</v>
      </c>
      <c r="B518" s="40"/>
      <c r="C518" s="8"/>
      <c r="D518" s="42"/>
      <c r="E518" s="30" t="s">
        <v>47</v>
      </c>
      <c r="F518" s="43"/>
      <c r="G518" s="43"/>
      <c r="H518" s="43"/>
      <c r="I518" s="43"/>
      <c r="J518" s="43"/>
    </row>
    <row r="519" spans="1:10" ht="78" x14ac:dyDescent="0.3">
      <c r="A519" s="27" t="s">
        <v>38</v>
      </c>
      <c r="B519" s="8" t="s">
        <v>64</v>
      </c>
      <c r="C519" s="8" t="s">
        <v>39</v>
      </c>
      <c r="D519" s="31" t="s">
        <v>102</v>
      </c>
      <c r="E519" s="31" t="s">
        <v>103</v>
      </c>
      <c r="F519" s="31" t="s">
        <v>104</v>
      </c>
      <c r="G519" s="31" t="s">
        <v>105</v>
      </c>
      <c r="H519" s="31" t="s">
        <v>106</v>
      </c>
      <c r="I519" s="31" t="s">
        <v>107</v>
      </c>
      <c r="J519" s="31" t="s">
        <v>108</v>
      </c>
    </row>
    <row r="520" spans="1:10" ht="13" x14ac:dyDescent="0.3">
      <c r="A520" s="27"/>
      <c r="B520" s="27"/>
      <c r="C520" s="8"/>
      <c r="D520" s="22"/>
      <c r="E520" s="22"/>
      <c r="F520" s="22"/>
      <c r="G520" s="22"/>
      <c r="H520" s="22"/>
      <c r="I520" s="22"/>
      <c r="J520" s="22"/>
    </row>
    <row r="521" spans="1:10" x14ac:dyDescent="0.25">
      <c r="A521" s="41" t="s">
        <v>120</v>
      </c>
      <c r="B521" s="36" t="s">
        <v>125</v>
      </c>
      <c r="C521" s="36">
        <v>1</v>
      </c>
      <c r="D521" s="37" t="s">
        <v>60</v>
      </c>
      <c r="E521" s="37" t="s">
        <v>88</v>
      </c>
      <c r="F521" s="37">
        <v>103</v>
      </c>
      <c r="G521" s="51">
        <v>30701546.606969558</v>
      </c>
      <c r="H521" s="51">
        <v>238013.88657390059</v>
      </c>
      <c r="I521" s="51">
        <v>104320.09826997342</v>
      </c>
      <c r="J521" s="51">
        <v>102506.64146233239</v>
      </c>
    </row>
    <row r="522" spans="1:10" x14ac:dyDescent="0.25">
      <c r="A522" s="45"/>
      <c r="B522" s="36" t="s">
        <v>125</v>
      </c>
      <c r="C522" s="36">
        <v>2</v>
      </c>
      <c r="D522" s="37" t="s">
        <v>60</v>
      </c>
      <c r="E522" s="37" t="s">
        <v>89</v>
      </c>
      <c r="F522" s="37">
        <v>92</v>
      </c>
      <c r="G522" s="51">
        <v>33939052.061277255</v>
      </c>
      <c r="H522" s="51">
        <v>207210.0012857829</v>
      </c>
      <c r="I522" s="51">
        <v>111318.23273164485</v>
      </c>
      <c r="J522" s="51">
        <v>111318.23273164485</v>
      </c>
    </row>
    <row r="523" spans="1:10" x14ac:dyDescent="0.25">
      <c r="A523" s="45"/>
      <c r="B523" s="36" t="s">
        <v>125</v>
      </c>
      <c r="C523" s="36">
        <v>3</v>
      </c>
      <c r="D523" s="37" t="s">
        <v>60</v>
      </c>
      <c r="E523" s="37" t="s">
        <v>90</v>
      </c>
      <c r="F523" s="37">
        <v>92</v>
      </c>
      <c r="G523" s="51">
        <v>36941009.653577097</v>
      </c>
      <c r="H523" s="51">
        <v>195650.5073989018</v>
      </c>
      <c r="I523" s="51">
        <v>118371.52167005034</v>
      </c>
      <c r="J523" s="51">
        <v>115050.42509397863</v>
      </c>
    </row>
    <row r="524" spans="1:10" x14ac:dyDescent="0.25">
      <c r="A524" s="45"/>
      <c r="B524" s="36" t="s">
        <v>125</v>
      </c>
      <c r="C524" s="36">
        <v>4</v>
      </c>
      <c r="D524" s="37" t="s">
        <v>60</v>
      </c>
      <c r="E524" s="37" t="s">
        <v>91</v>
      </c>
      <c r="F524" s="37">
        <v>100</v>
      </c>
      <c r="G524" s="51">
        <v>38711404.729276858</v>
      </c>
      <c r="H524" s="51">
        <v>184333.92119208598</v>
      </c>
      <c r="I524" s="51">
        <v>111356.763533488</v>
      </c>
      <c r="J524" s="51">
        <v>111356.763533488</v>
      </c>
    </row>
    <row r="525" spans="1:10" x14ac:dyDescent="0.25">
      <c r="A525" s="45"/>
      <c r="B525" s="36"/>
      <c r="C525" s="36"/>
      <c r="D525" s="37"/>
      <c r="E525" s="37"/>
      <c r="F525" s="37"/>
      <c r="G525" s="51"/>
      <c r="H525" s="51"/>
      <c r="I525" s="51"/>
      <c r="J525" s="51"/>
    </row>
    <row r="526" spans="1:10" x14ac:dyDescent="0.25">
      <c r="A526" s="45" t="s">
        <v>121</v>
      </c>
      <c r="B526" s="36" t="s">
        <v>63</v>
      </c>
      <c r="C526" s="36">
        <v>1</v>
      </c>
      <c r="D526" s="37" t="s">
        <v>60</v>
      </c>
      <c r="E526" s="36" t="s">
        <v>92</v>
      </c>
      <c r="F526" s="36">
        <v>99</v>
      </c>
      <c r="G526" s="51">
        <v>1808035.8113613126</v>
      </c>
      <c r="H526" s="51">
        <v>24398.568675381219</v>
      </c>
      <c r="I526" s="51">
        <v>5520.5768094955129</v>
      </c>
      <c r="J526" s="51">
        <v>5262.5479651656415</v>
      </c>
    </row>
    <row r="527" spans="1:10" x14ac:dyDescent="0.25">
      <c r="A527" s="45" t="s">
        <v>122</v>
      </c>
      <c r="B527" s="36" t="s">
        <v>63</v>
      </c>
      <c r="C527" s="36">
        <v>2</v>
      </c>
      <c r="D527" s="37" t="s">
        <v>60</v>
      </c>
      <c r="E527" s="37" t="s">
        <v>93</v>
      </c>
      <c r="F527" s="37">
        <v>69</v>
      </c>
      <c r="G527" s="51">
        <v>2238074.668566463</v>
      </c>
      <c r="H527" s="51">
        <v>14907.00739011095</v>
      </c>
      <c r="I527" s="51">
        <v>7149.0982123025442</v>
      </c>
      <c r="J527" s="51">
        <v>4275.0059909004067</v>
      </c>
    </row>
    <row r="528" spans="1:10" x14ac:dyDescent="0.25">
      <c r="A528" s="45"/>
      <c r="B528" s="36" t="s">
        <v>63</v>
      </c>
      <c r="C528" s="36">
        <v>3</v>
      </c>
      <c r="D528" s="37" t="s">
        <v>60</v>
      </c>
      <c r="E528" s="37" t="s">
        <v>94</v>
      </c>
      <c r="F528" s="37">
        <v>85</v>
      </c>
      <c r="G528" s="51">
        <v>3085715.2242381</v>
      </c>
      <c r="H528" s="51">
        <v>13647.845446619256</v>
      </c>
      <c r="I528" s="51">
        <v>8926.2654401612854</v>
      </c>
      <c r="J528" s="51">
        <v>7395.3282896959536</v>
      </c>
    </row>
    <row r="529" spans="1:16" x14ac:dyDescent="0.25">
      <c r="A529" s="45"/>
      <c r="B529" s="36" t="s">
        <v>63</v>
      </c>
      <c r="C529" s="36">
        <v>4</v>
      </c>
      <c r="D529" s="37" t="s">
        <v>60</v>
      </c>
      <c r="E529" s="37" t="s">
        <v>95</v>
      </c>
      <c r="F529" s="37">
        <v>75</v>
      </c>
      <c r="G529" s="51">
        <v>3594984.5171869574</v>
      </c>
      <c r="H529" s="51">
        <v>8658.2272952649746</v>
      </c>
      <c r="I529" s="51">
        <v>6163.2792668763941</v>
      </c>
      <c r="J529" s="51">
        <v>5276.9199161466968</v>
      </c>
    </row>
    <row r="530" spans="1:16" x14ac:dyDescent="0.25">
      <c r="A530" s="45"/>
      <c r="B530" s="36"/>
      <c r="C530" s="36"/>
      <c r="D530" s="37"/>
      <c r="E530" s="37"/>
      <c r="F530" s="37"/>
      <c r="G530" s="51"/>
      <c r="H530" s="51"/>
      <c r="I530" s="51"/>
      <c r="J530" s="51"/>
    </row>
    <row r="531" spans="1:16" x14ac:dyDescent="0.25">
      <c r="A531" s="45" t="s">
        <v>118</v>
      </c>
      <c r="B531" s="36" t="s">
        <v>112</v>
      </c>
      <c r="C531" s="36">
        <v>1</v>
      </c>
      <c r="D531" s="37" t="s">
        <v>61</v>
      </c>
      <c r="E531" s="37" t="s">
        <v>77</v>
      </c>
      <c r="F531" s="37">
        <v>128</v>
      </c>
      <c r="G531" s="51">
        <v>15292877.551684134</v>
      </c>
      <c r="H531" s="51">
        <v>64588.918404900367</v>
      </c>
      <c r="I531" s="51">
        <v>36840.350471397345</v>
      </c>
      <c r="J531" s="51">
        <v>33587.135676652455</v>
      </c>
    </row>
    <row r="532" spans="1:16" x14ac:dyDescent="0.25">
      <c r="A532" s="45" t="s">
        <v>119</v>
      </c>
      <c r="B532" s="36" t="s">
        <v>112</v>
      </c>
      <c r="C532" s="36">
        <v>2</v>
      </c>
      <c r="D532" s="37" t="s">
        <v>61</v>
      </c>
      <c r="E532" s="36" t="s">
        <v>78</v>
      </c>
      <c r="F532" s="36">
        <v>85</v>
      </c>
      <c r="G532" s="51">
        <v>21950850.527745556</v>
      </c>
      <c r="H532" s="51">
        <v>75291.526985552715</v>
      </c>
      <c r="I532" s="51">
        <v>48622.39997870005</v>
      </c>
      <c r="J532" s="51">
        <v>45468.298443498483</v>
      </c>
    </row>
    <row r="533" spans="1:16" x14ac:dyDescent="0.25">
      <c r="A533" s="46"/>
      <c r="B533" s="36" t="s">
        <v>112</v>
      </c>
      <c r="C533" s="36">
        <v>3</v>
      </c>
      <c r="D533" s="37" t="s">
        <v>61</v>
      </c>
      <c r="E533" s="38" t="s">
        <v>96</v>
      </c>
      <c r="F533" s="38">
        <v>104</v>
      </c>
      <c r="G533" s="51">
        <v>33140417.41533573</v>
      </c>
      <c r="H533" s="51">
        <v>102916.57848298819</v>
      </c>
      <c r="I533" s="51">
        <v>71457.671256623609</v>
      </c>
      <c r="J533" s="51">
        <v>67462.885953431061</v>
      </c>
    </row>
    <row r="534" spans="1:16" x14ac:dyDescent="0.25">
      <c r="A534" s="45"/>
      <c r="B534" s="36" t="s">
        <v>112</v>
      </c>
      <c r="C534" s="36">
        <v>4</v>
      </c>
      <c r="D534" s="37" t="s">
        <v>61</v>
      </c>
      <c r="E534" s="37" t="s">
        <v>62</v>
      </c>
      <c r="F534" s="37">
        <v>118</v>
      </c>
      <c r="G534" s="51">
        <v>50951604.470512412</v>
      </c>
      <c r="H534" s="51">
        <v>141608.52176519445</v>
      </c>
      <c r="I534" s="51">
        <v>110297.76328213833</v>
      </c>
      <c r="J534" s="51">
        <v>84918.359562411191</v>
      </c>
    </row>
    <row r="535" spans="1:16" x14ac:dyDescent="0.25">
      <c r="A535" s="45" t="s">
        <v>0</v>
      </c>
      <c r="B535" s="48" t="s">
        <v>114</v>
      </c>
      <c r="C535" s="36">
        <v>1</v>
      </c>
      <c r="D535" s="37" t="s">
        <v>61</v>
      </c>
      <c r="E535" s="37" t="s">
        <v>97</v>
      </c>
      <c r="F535" s="37">
        <v>125</v>
      </c>
      <c r="G535" s="51">
        <v>760820.45217628928</v>
      </c>
      <c r="H535" s="51">
        <v>5502.0649835754048</v>
      </c>
      <c r="I535" s="51">
        <v>3404.8870538343708</v>
      </c>
      <c r="J535" s="51">
        <v>2938.6442740179764</v>
      </c>
    </row>
    <row r="536" spans="1:16" x14ac:dyDescent="0.25">
      <c r="A536" s="45"/>
      <c r="B536" s="48"/>
      <c r="C536" s="36"/>
      <c r="D536" s="37"/>
      <c r="E536" s="37"/>
      <c r="F536" s="37"/>
      <c r="G536" s="51"/>
      <c r="H536" s="51"/>
      <c r="I536" s="51"/>
      <c r="J536" s="51"/>
    </row>
    <row r="537" spans="1:16" x14ac:dyDescent="0.25">
      <c r="A537" s="45" t="s">
        <v>123</v>
      </c>
      <c r="B537" s="48" t="s">
        <v>116</v>
      </c>
      <c r="C537" s="36">
        <v>1</v>
      </c>
      <c r="D537" s="37" t="s">
        <v>61</v>
      </c>
      <c r="E537" s="37" t="s">
        <v>98</v>
      </c>
      <c r="F537" s="37">
        <v>245</v>
      </c>
      <c r="G537" s="51">
        <v>1715835.6963441744</v>
      </c>
      <c r="H537" s="51">
        <v>4969.8260979871729</v>
      </c>
      <c r="I537" s="51">
        <v>2850.5789691260907</v>
      </c>
      <c r="J537" s="51">
        <v>2418.119127956857</v>
      </c>
    </row>
    <row r="538" spans="1:16" x14ac:dyDescent="0.25">
      <c r="A538" s="45" t="s">
        <v>124</v>
      </c>
      <c r="B538" s="48" t="s">
        <v>116</v>
      </c>
      <c r="C538" s="36">
        <v>2</v>
      </c>
      <c r="D538" s="37" t="s">
        <v>61</v>
      </c>
      <c r="E538" s="37" t="s">
        <v>99</v>
      </c>
      <c r="F538" s="37">
        <v>48</v>
      </c>
      <c r="G538" s="51">
        <v>2978885.8321396159</v>
      </c>
      <c r="H538" s="51">
        <v>7516.1819451097845</v>
      </c>
      <c r="I538" s="51">
        <v>4997.8842263701536</v>
      </c>
      <c r="J538" s="51">
        <v>4252.7489093672666</v>
      </c>
    </row>
    <row r="539" spans="1:16" x14ac:dyDescent="0.25">
      <c r="A539" s="45" t="s">
        <v>0</v>
      </c>
      <c r="B539" s="48" t="s">
        <v>116</v>
      </c>
      <c r="C539" s="36">
        <v>3</v>
      </c>
      <c r="D539" s="37" t="s">
        <v>61</v>
      </c>
      <c r="E539" s="37" t="s">
        <v>100</v>
      </c>
      <c r="F539" s="37">
        <v>19</v>
      </c>
      <c r="G539" s="51">
        <v>4016026.2899427279</v>
      </c>
      <c r="H539" s="51">
        <v>8958.5696408314507</v>
      </c>
      <c r="I539" s="51">
        <v>6867.464540091406</v>
      </c>
      <c r="J539" s="51">
        <v>5229.8405633603816</v>
      </c>
    </row>
    <row r="540" spans="1:16" x14ac:dyDescent="0.25">
      <c r="A540" s="45"/>
      <c r="B540" s="48" t="s">
        <v>114</v>
      </c>
      <c r="C540" s="36">
        <v>1</v>
      </c>
      <c r="D540" s="37" t="s">
        <v>61</v>
      </c>
      <c r="E540" s="37" t="s">
        <v>101</v>
      </c>
      <c r="F540" s="37">
        <v>2</v>
      </c>
      <c r="G540" s="51">
        <v>2713.8354882073377</v>
      </c>
      <c r="H540" s="51">
        <v>10.152000000000003</v>
      </c>
      <c r="I540" s="51">
        <v>10.208104677530603</v>
      </c>
      <c r="J540" s="51">
        <v>4.3318080132783514</v>
      </c>
    </row>
    <row r="541" spans="1:16" s="52" customFormat="1" ht="13" x14ac:dyDescent="0.3">
      <c r="A541" s="89" t="s">
        <v>136</v>
      </c>
      <c r="B541" s="88"/>
      <c r="C541" s="88"/>
      <c r="D541" s="88"/>
      <c r="E541" s="88"/>
      <c r="F541" s="88"/>
      <c r="G541" s="88"/>
      <c r="H541" s="88"/>
      <c r="I541" s="88"/>
      <c r="J541" s="88"/>
      <c r="K541" s="84"/>
      <c r="L541" s="84"/>
      <c r="M541" s="84"/>
      <c r="N541" s="84"/>
      <c r="O541" s="84"/>
      <c r="P541" s="78"/>
    </row>
    <row r="542" spans="1:16" s="4" customFormat="1" ht="13" x14ac:dyDescent="0.3">
      <c r="A542" s="1" t="s">
        <v>59</v>
      </c>
      <c r="B542" s="1"/>
      <c r="C542" s="2"/>
      <c r="D542" s="3"/>
      <c r="E542" s="2"/>
      <c r="F542" s="2"/>
      <c r="G542" s="2"/>
      <c r="H542" s="2"/>
      <c r="I542" s="2"/>
      <c r="J542" s="2"/>
    </row>
    <row r="543" spans="1:16" s="4" customFormat="1" ht="13" x14ac:dyDescent="0.3">
      <c r="A543" s="87" t="s">
        <v>157</v>
      </c>
      <c r="B543" s="88"/>
      <c r="C543" s="88"/>
      <c r="D543" s="88"/>
      <c r="E543" s="88"/>
      <c r="F543" s="88"/>
      <c r="G543" s="88"/>
      <c r="H543" s="88"/>
      <c r="I543" s="88"/>
      <c r="J543" s="88"/>
    </row>
    <row r="544" spans="1:16" s="4" customFormat="1" ht="13" x14ac:dyDescent="0.3">
      <c r="A544" s="5" t="str">
        <f>A64</f>
        <v>TEST YEAR ENDING 12/31/2018</v>
      </c>
      <c r="B544" s="5"/>
      <c r="C544" s="2"/>
      <c r="D544" s="3"/>
      <c r="E544" s="2"/>
      <c r="F544" s="2"/>
      <c r="G544" s="2"/>
      <c r="H544" s="2"/>
      <c r="I544" s="2"/>
      <c r="J544" s="2"/>
    </row>
    <row r="545" spans="1:10" s="4" customFormat="1" ht="13" x14ac:dyDescent="0.3">
      <c r="A545" s="5"/>
      <c r="B545" s="5"/>
      <c r="C545" s="2"/>
      <c r="D545" s="3"/>
      <c r="E545" s="2"/>
      <c r="F545" s="2"/>
      <c r="G545" s="2"/>
      <c r="H545" s="2"/>
      <c r="I545" s="2"/>
      <c r="J545" s="2"/>
    </row>
    <row r="546" spans="1:10" s="4" customFormat="1" ht="13" x14ac:dyDescent="0.3">
      <c r="A546" s="5"/>
      <c r="B546" s="5"/>
      <c r="C546" s="2"/>
      <c r="D546" s="3"/>
      <c r="E546" s="2"/>
      <c r="F546" s="2"/>
      <c r="G546" s="2"/>
      <c r="H546" s="2"/>
      <c r="I546" s="2"/>
      <c r="J546" s="2"/>
    </row>
    <row r="547" spans="1:10" ht="13" x14ac:dyDescent="0.3">
      <c r="A547" s="27" t="s">
        <v>139</v>
      </c>
      <c r="B547" s="40"/>
      <c r="C547" s="8"/>
      <c r="D547" s="42"/>
      <c r="E547" s="30" t="s">
        <v>48</v>
      </c>
      <c r="F547" s="43"/>
      <c r="G547" s="43"/>
      <c r="H547" s="43"/>
      <c r="I547" s="43"/>
      <c r="J547" s="43"/>
    </row>
    <row r="548" spans="1:10" ht="78" x14ac:dyDescent="0.3">
      <c r="A548" s="27" t="s">
        <v>38</v>
      </c>
      <c r="B548" s="8" t="s">
        <v>64</v>
      </c>
      <c r="C548" s="8" t="s">
        <v>39</v>
      </c>
      <c r="D548" s="31" t="s">
        <v>102</v>
      </c>
      <c r="E548" s="31" t="s">
        <v>103</v>
      </c>
      <c r="F548" s="31" t="s">
        <v>104</v>
      </c>
      <c r="G548" s="31" t="s">
        <v>105</v>
      </c>
      <c r="H548" s="31" t="s">
        <v>106</v>
      </c>
      <c r="I548" s="31" t="s">
        <v>107</v>
      </c>
      <c r="J548" s="31" t="s">
        <v>108</v>
      </c>
    </row>
    <row r="549" spans="1:10" ht="13" x14ac:dyDescent="0.3">
      <c r="A549" s="27"/>
      <c r="B549" s="27"/>
      <c r="C549" s="8"/>
      <c r="D549" s="22"/>
      <c r="E549" s="22"/>
      <c r="F549" s="22"/>
      <c r="G549" s="22"/>
      <c r="H549" s="22"/>
      <c r="I549" s="22"/>
      <c r="J549" s="22"/>
    </row>
    <row r="550" spans="1:10" x14ac:dyDescent="0.25">
      <c r="A550" s="39" t="s">
        <v>117</v>
      </c>
      <c r="B550" s="36" t="s">
        <v>109</v>
      </c>
      <c r="C550" s="36">
        <v>1</v>
      </c>
      <c r="D550" s="37" t="s">
        <v>60</v>
      </c>
      <c r="E550" s="37" t="s">
        <v>65</v>
      </c>
      <c r="F550" s="37">
        <v>72</v>
      </c>
      <c r="G550" s="51">
        <v>149291634.49399388</v>
      </c>
      <c r="H550" s="51">
        <v>998476.33187512215</v>
      </c>
      <c r="I550" s="51">
        <v>407793.4345548476</v>
      </c>
      <c r="J550" s="51">
        <v>340465.61787951743</v>
      </c>
    </row>
    <row r="551" spans="1:10" x14ac:dyDescent="0.25">
      <c r="A551" s="45"/>
      <c r="B551" s="36" t="s">
        <v>109</v>
      </c>
      <c r="C551" s="36">
        <v>2</v>
      </c>
      <c r="D551" s="37" t="s">
        <v>60</v>
      </c>
      <c r="E551" s="37" t="s">
        <v>66</v>
      </c>
      <c r="F551" s="37">
        <v>80</v>
      </c>
      <c r="G551" s="51">
        <v>168517633.85383034</v>
      </c>
      <c r="H551" s="51">
        <v>970166.26633646584</v>
      </c>
      <c r="I551" s="51">
        <v>515893.1552604952</v>
      </c>
      <c r="J551" s="51">
        <v>416207.66427901958</v>
      </c>
    </row>
    <row r="552" spans="1:10" x14ac:dyDescent="0.25">
      <c r="A552" s="45"/>
      <c r="B552" s="36" t="s">
        <v>109</v>
      </c>
      <c r="C552" s="36">
        <v>3</v>
      </c>
      <c r="D552" s="37" t="s">
        <v>60</v>
      </c>
      <c r="E552" s="37" t="s">
        <v>67</v>
      </c>
      <c r="F552" s="37">
        <v>71</v>
      </c>
      <c r="G552" s="51">
        <v>187064440.05482665</v>
      </c>
      <c r="H552" s="51">
        <v>917162.965812832</v>
      </c>
      <c r="I552" s="51">
        <v>507094.29282744409</v>
      </c>
      <c r="J552" s="51">
        <v>454626.34629500151</v>
      </c>
    </row>
    <row r="553" spans="1:10" x14ac:dyDescent="0.25">
      <c r="A553" s="45"/>
      <c r="B553" s="36" t="s">
        <v>110</v>
      </c>
      <c r="C553" s="36">
        <v>1</v>
      </c>
      <c r="D553" s="37" t="s">
        <v>60</v>
      </c>
      <c r="E553" s="37" t="s">
        <v>68</v>
      </c>
      <c r="F553" s="37">
        <v>48</v>
      </c>
      <c r="G553" s="51">
        <v>104824522.42267138</v>
      </c>
      <c r="H553" s="51">
        <v>703644.95981623896</v>
      </c>
      <c r="I553" s="51">
        <v>288153.5299100806</v>
      </c>
      <c r="J553" s="51">
        <v>258452.77252856098</v>
      </c>
    </row>
    <row r="554" spans="1:10" x14ac:dyDescent="0.25">
      <c r="A554" s="45"/>
      <c r="B554" s="36" t="s">
        <v>110</v>
      </c>
      <c r="C554" s="36">
        <v>2</v>
      </c>
      <c r="D554" s="37" t="s">
        <v>60</v>
      </c>
      <c r="E554" s="37" t="s">
        <v>69</v>
      </c>
      <c r="F554" s="37">
        <v>51</v>
      </c>
      <c r="G554" s="51">
        <v>127454968.52291672</v>
      </c>
      <c r="H554" s="51">
        <v>630057.57034487731</v>
      </c>
      <c r="I554" s="51">
        <v>335390.27778418077</v>
      </c>
      <c r="J554" s="51">
        <v>291976.80207920325</v>
      </c>
    </row>
    <row r="555" spans="1:10" x14ac:dyDescent="0.25">
      <c r="A555" s="45"/>
      <c r="B555" s="36"/>
      <c r="C555" s="36"/>
      <c r="D555" s="37"/>
      <c r="E555" s="37"/>
      <c r="F555" s="37"/>
      <c r="G555" s="51"/>
      <c r="H555" s="44"/>
      <c r="I555" s="44"/>
      <c r="J555" s="44"/>
    </row>
    <row r="556" spans="1:10" x14ac:dyDescent="0.25">
      <c r="A556" s="45" t="s">
        <v>121</v>
      </c>
      <c r="B556" s="36" t="s">
        <v>63</v>
      </c>
      <c r="C556" s="36">
        <v>1</v>
      </c>
      <c r="D556" s="37" t="s">
        <v>60</v>
      </c>
      <c r="E556" s="36" t="s">
        <v>70</v>
      </c>
      <c r="F556" s="36">
        <v>88</v>
      </c>
      <c r="G556" s="51">
        <v>4683162.5627391255</v>
      </c>
      <c r="H556" s="51">
        <v>42064.085203517578</v>
      </c>
      <c r="I556" s="51">
        <v>10971.43007082837</v>
      </c>
      <c r="J556" s="51">
        <v>8341.7193279960138</v>
      </c>
    </row>
    <row r="557" spans="1:10" x14ac:dyDescent="0.25">
      <c r="A557" s="45" t="s">
        <v>122</v>
      </c>
      <c r="B557" s="36" t="s">
        <v>63</v>
      </c>
      <c r="C557" s="36">
        <v>2</v>
      </c>
      <c r="D557" s="37" t="s">
        <v>60</v>
      </c>
      <c r="E557" s="37" t="s">
        <v>71</v>
      </c>
      <c r="F557" s="37">
        <v>53</v>
      </c>
      <c r="G557" s="51">
        <v>5385884.0379777225</v>
      </c>
      <c r="H557" s="51">
        <v>35241.564686573685</v>
      </c>
      <c r="I557" s="51">
        <v>15990.949673726258</v>
      </c>
      <c r="J557" s="51">
        <v>13503.888857739274</v>
      </c>
    </row>
    <row r="558" spans="1:10" x14ac:dyDescent="0.25">
      <c r="A558" s="45"/>
      <c r="B558" s="36" t="s">
        <v>63</v>
      </c>
      <c r="C558" s="36">
        <v>3</v>
      </c>
      <c r="D558" s="37" t="s">
        <v>60</v>
      </c>
      <c r="E558" s="37" t="s">
        <v>72</v>
      </c>
      <c r="F558" s="37">
        <v>44</v>
      </c>
      <c r="G558" s="51">
        <v>5619028.5373020573</v>
      </c>
      <c r="H558" s="51">
        <v>28658.889235074243</v>
      </c>
      <c r="I558" s="51">
        <v>17955.700364936311</v>
      </c>
      <c r="J558" s="51">
        <v>15141.28014166594</v>
      </c>
    </row>
    <row r="559" spans="1:10" x14ac:dyDescent="0.25">
      <c r="A559" s="45"/>
      <c r="B559" s="36" t="s">
        <v>63</v>
      </c>
      <c r="C559" s="36">
        <v>4</v>
      </c>
      <c r="D559" s="37" t="s">
        <v>60</v>
      </c>
      <c r="E559" s="37" t="s">
        <v>73</v>
      </c>
      <c r="F559" s="37">
        <v>52</v>
      </c>
      <c r="G559" s="51">
        <v>6775490.3288285024</v>
      </c>
      <c r="H559" s="51">
        <v>24737.260350800872</v>
      </c>
      <c r="I559" s="51">
        <v>16211.193703533854</v>
      </c>
      <c r="J559" s="51">
        <v>14724.797539091071</v>
      </c>
    </row>
    <row r="560" spans="1:10" x14ac:dyDescent="0.25">
      <c r="A560" s="45"/>
      <c r="B560" s="36" t="s">
        <v>63</v>
      </c>
      <c r="C560" s="36">
        <v>5</v>
      </c>
      <c r="D560" s="37" t="s">
        <v>60</v>
      </c>
      <c r="E560" s="37" t="s">
        <v>74</v>
      </c>
      <c r="F560" s="37">
        <v>39</v>
      </c>
      <c r="G560" s="51">
        <v>7942092.671358983</v>
      </c>
      <c r="H560" s="51">
        <v>20177.79576696713</v>
      </c>
      <c r="I560" s="51">
        <v>14583.715055406943</v>
      </c>
      <c r="J560" s="51">
        <v>13312.029981302878</v>
      </c>
    </row>
    <row r="561" spans="1:10" x14ac:dyDescent="0.25">
      <c r="A561" s="45"/>
      <c r="B561" s="36" t="s">
        <v>111</v>
      </c>
      <c r="C561" s="36">
        <v>1</v>
      </c>
      <c r="D561" s="37" t="s">
        <v>60</v>
      </c>
      <c r="E561" s="37" t="s">
        <v>75</v>
      </c>
      <c r="F561" s="37">
        <v>89</v>
      </c>
      <c r="G561" s="51">
        <v>93099.377606633032</v>
      </c>
      <c r="H561" s="51">
        <v>951.2542654291268</v>
      </c>
      <c r="I561" s="51">
        <v>290.33014339657149</v>
      </c>
      <c r="J561" s="51">
        <v>119.2521386756692</v>
      </c>
    </row>
    <row r="562" spans="1:10" x14ac:dyDescent="0.25">
      <c r="A562" s="45"/>
      <c r="B562" s="36" t="s">
        <v>111</v>
      </c>
      <c r="C562" s="36">
        <v>2</v>
      </c>
      <c r="D562" s="37" t="s">
        <v>60</v>
      </c>
      <c r="E562" s="37" t="s">
        <v>76</v>
      </c>
      <c r="F562" s="37">
        <v>45</v>
      </c>
      <c r="G562" s="51">
        <v>113181.05622906654</v>
      </c>
      <c r="H562" s="51">
        <v>520.59211718070469</v>
      </c>
      <c r="I562" s="51">
        <v>234.73027628266436</v>
      </c>
      <c r="J562" s="51">
        <v>161.68308087880203</v>
      </c>
    </row>
    <row r="563" spans="1:10" x14ac:dyDescent="0.25">
      <c r="A563" s="45"/>
      <c r="B563" s="36"/>
      <c r="C563" s="36"/>
      <c r="D563" s="37"/>
      <c r="E563" s="37"/>
      <c r="F563" s="37"/>
      <c r="G563" s="51"/>
      <c r="H563" s="44"/>
      <c r="I563" s="44"/>
      <c r="J563" s="44"/>
    </row>
    <row r="564" spans="1:10" x14ac:dyDescent="0.25">
      <c r="A564" s="45" t="s">
        <v>118</v>
      </c>
      <c r="B564" s="36" t="s">
        <v>112</v>
      </c>
      <c r="C564" s="36">
        <v>1</v>
      </c>
      <c r="D564" s="37" t="s">
        <v>61</v>
      </c>
      <c r="E564" s="37" t="s">
        <v>77</v>
      </c>
      <c r="F564" s="37">
        <v>138</v>
      </c>
      <c r="G564" s="51">
        <v>65477485.609791756</v>
      </c>
      <c r="H564" s="51">
        <v>292804.13105032768</v>
      </c>
      <c r="I564" s="51">
        <v>172969.54781548251</v>
      </c>
      <c r="J564" s="51">
        <v>162451.93469794543</v>
      </c>
    </row>
    <row r="565" spans="1:10" x14ac:dyDescent="0.25">
      <c r="A565" s="45" t="s">
        <v>119</v>
      </c>
      <c r="B565" s="36" t="s">
        <v>112</v>
      </c>
      <c r="C565" s="36">
        <v>2</v>
      </c>
      <c r="D565" s="37" t="s">
        <v>61</v>
      </c>
      <c r="E565" s="36" t="s">
        <v>78</v>
      </c>
      <c r="F565" s="36">
        <v>73</v>
      </c>
      <c r="G565" s="51">
        <v>93822619.339571387</v>
      </c>
      <c r="H565" s="51">
        <v>362825.53408521734</v>
      </c>
      <c r="I565" s="51">
        <v>237925.99242290723</v>
      </c>
      <c r="J565" s="51">
        <v>224936.05241907391</v>
      </c>
    </row>
    <row r="566" spans="1:10" x14ac:dyDescent="0.25">
      <c r="A566" s="46"/>
      <c r="B566" s="36" t="s">
        <v>112</v>
      </c>
      <c r="C566" s="36">
        <v>3</v>
      </c>
      <c r="D566" s="37" t="s">
        <v>61</v>
      </c>
      <c r="E566" s="38" t="s">
        <v>79</v>
      </c>
      <c r="F566" s="38">
        <v>91</v>
      </c>
      <c r="G566" s="51">
        <v>152064932.54390872</v>
      </c>
      <c r="H566" s="51">
        <v>464905.5633530764</v>
      </c>
      <c r="I566" s="51">
        <v>319191.36254681402</v>
      </c>
      <c r="J566" s="51">
        <v>296988.62860163517</v>
      </c>
    </row>
    <row r="567" spans="1:10" x14ac:dyDescent="0.25">
      <c r="A567" s="45"/>
      <c r="B567" s="36" t="s">
        <v>112</v>
      </c>
      <c r="C567" s="36">
        <v>4</v>
      </c>
      <c r="D567" s="37" t="s">
        <v>61</v>
      </c>
      <c r="E567" s="37" t="s">
        <v>80</v>
      </c>
      <c r="F567" s="37">
        <v>109</v>
      </c>
      <c r="G567" s="51">
        <v>229917402.18187588</v>
      </c>
      <c r="H567" s="51">
        <v>658562.30803549825</v>
      </c>
      <c r="I567" s="51">
        <v>504254.43469403539</v>
      </c>
      <c r="J567" s="51">
        <v>451525.68141205242</v>
      </c>
    </row>
    <row r="568" spans="1:10" x14ac:dyDescent="0.25">
      <c r="A568" s="45"/>
      <c r="B568" s="36" t="s">
        <v>113</v>
      </c>
      <c r="C568" s="36">
        <v>1</v>
      </c>
      <c r="D568" s="37" t="s">
        <v>61</v>
      </c>
      <c r="E568" s="37" t="s">
        <v>81</v>
      </c>
      <c r="F568" s="37">
        <v>7</v>
      </c>
      <c r="G568" s="51">
        <v>317694.55572776555</v>
      </c>
      <c r="H568" s="51">
        <v>928.22780000000023</v>
      </c>
      <c r="I568" s="51">
        <v>912.63770795563141</v>
      </c>
      <c r="J568" s="51">
        <v>341.9934157488006</v>
      </c>
    </row>
    <row r="569" spans="1:10" x14ac:dyDescent="0.25">
      <c r="A569" s="45"/>
      <c r="B569" s="36" t="s">
        <v>114</v>
      </c>
      <c r="C569" s="36">
        <v>1</v>
      </c>
      <c r="D569" s="37" t="s">
        <v>61</v>
      </c>
      <c r="E569" s="37" t="s">
        <v>82</v>
      </c>
      <c r="F569" s="37">
        <v>134</v>
      </c>
      <c r="G569" s="51">
        <v>3687034.9759305269</v>
      </c>
      <c r="H569" s="51">
        <v>15356.368402743017</v>
      </c>
      <c r="I569" s="51">
        <v>8226.0042213305969</v>
      </c>
      <c r="J569" s="51">
        <v>5962.1298534363714</v>
      </c>
    </row>
    <row r="570" spans="1:10" x14ac:dyDescent="0.25">
      <c r="A570" s="45"/>
      <c r="B570" s="36" t="s">
        <v>115</v>
      </c>
      <c r="C570" s="36">
        <v>1</v>
      </c>
      <c r="D570" s="37" t="s">
        <v>61</v>
      </c>
      <c r="E570" s="37" t="s">
        <v>83</v>
      </c>
      <c r="F570" s="37">
        <v>252</v>
      </c>
      <c r="G570" s="51">
        <v>303073.18042398372</v>
      </c>
      <c r="H570" s="51">
        <v>2939.0175178005861</v>
      </c>
      <c r="I570" s="51">
        <v>827.78660811726729</v>
      </c>
      <c r="J570" s="51">
        <v>404.37309482963838</v>
      </c>
    </row>
    <row r="571" spans="1:10" x14ac:dyDescent="0.25">
      <c r="A571" s="45"/>
      <c r="B571" s="36" t="s">
        <v>115</v>
      </c>
      <c r="C571" s="36">
        <v>2</v>
      </c>
      <c r="D571" s="37" t="s">
        <v>61</v>
      </c>
      <c r="E571" s="37" t="s">
        <v>84</v>
      </c>
      <c r="F571" s="37">
        <v>70</v>
      </c>
      <c r="G571" s="51">
        <v>657023.7384999888</v>
      </c>
      <c r="H571" s="51">
        <v>6695.9137706139145</v>
      </c>
      <c r="I571" s="51">
        <v>1952.3128232494398</v>
      </c>
      <c r="J571" s="51">
        <v>1001.8435553061145</v>
      </c>
    </row>
    <row r="572" spans="1:10" x14ac:dyDescent="0.25">
      <c r="A572" s="45" t="s">
        <v>0</v>
      </c>
      <c r="B572" s="36"/>
      <c r="C572" s="36"/>
      <c r="D572" s="37"/>
      <c r="E572" s="37"/>
      <c r="F572" s="37"/>
      <c r="G572" s="51"/>
      <c r="H572" s="44"/>
      <c r="I572" s="44"/>
      <c r="J572" s="44"/>
    </row>
    <row r="573" spans="1:10" x14ac:dyDescent="0.25">
      <c r="A573" s="45" t="s">
        <v>123</v>
      </c>
      <c r="B573" s="36" t="s">
        <v>116</v>
      </c>
      <c r="C573" s="36">
        <v>1</v>
      </c>
      <c r="D573" s="37" t="s">
        <v>61</v>
      </c>
      <c r="E573" s="37" t="s">
        <v>85</v>
      </c>
      <c r="F573" s="37">
        <v>118</v>
      </c>
      <c r="G573" s="51">
        <v>5740424.0836716332</v>
      </c>
      <c r="H573" s="51">
        <v>14604.664354489558</v>
      </c>
      <c r="I573" s="51">
        <v>10898.447554491368</v>
      </c>
      <c r="J573" s="51">
        <v>10204.033890937193</v>
      </c>
    </row>
    <row r="574" spans="1:10" x14ac:dyDescent="0.25">
      <c r="A574" s="45" t="s">
        <v>124</v>
      </c>
      <c r="B574" s="36" t="s">
        <v>116</v>
      </c>
      <c r="C574" s="36">
        <v>2</v>
      </c>
      <c r="D574" s="37" t="s">
        <v>61</v>
      </c>
      <c r="E574" s="37" t="s">
        <v>86</v>
      </c>
      <c r="F574" s="37">
        <v>34</v>
      </c>
      <c r="G574" s="51">
        <v>8145942.8911903054</v>
      </c>
      <c r="H574" s="51">
        <v>19806.220796561818</v>
      </c>
      <c r="I574" s="51">
        <v>14881.610264227145</v>
      </c>
      <c r="J574" s="51">
        <v>14459.323456610837</v>
      </c>
    </row>
    <row r="575" spans="1:10" x14ac:dyDescent="0.25">
      <c r="A575" s="45"/>
      <c r="B575" s="36" t="s">
        <v>114</v>
      </c>
      <c r="C575" s="36">
        <v>1</v>
      </c>
      <c r="D575" s="37" t="s">
        <v>61</v>
      </c>
      <c r="E575" s="37" t="s">
        <v>87</v>
      </c>
      <c r="F575" s="37">
        <v>4</v>
      </c>
      <c r="G575" s="51">
        <v>116701.24294574172</v>
      </c>
      <c r="H575" s="51">
        <v>789.14238407913194</v>
      </c>
      <c r="I575" s="51">
        <v>745.80230814127117</v>
      </c>
      <c r="J575" s="51">
        <v>227.66007687286654</v>
      </c>
    </row>
    <row r="576" spans="1:10" x14ac:dyDescent="0.25">
      <c r="A576" s="45"/>
      <c r="B576" s="36"/>
      <c r="C576" s="36"/>
      <c r="D576" s="37"/>
      <c r="E576" s="37"/>
      <c r="F576" s="37"/>
      <c r="G576" s="51"/>
      <c r="H576" s="51"/>
      <c r="I576" s="51"/>
      <c r="J576" s="51"/>
    </row>
    <row r="578" spans="1:10" ht="13" x14ac:dyDescent="0.3">
      <c r="A578" s="27" t="s">
        <v>140</v>
      </c>
      <c r="B578" s="40"/>
      <c r="C578" s="8"/>
      <c r="D578" s="42"/>
      <c r="E578" s="30" t="s">
        <v>48</v>
      </c>
      <c r="F578" s="43"/>
      <c r="G578" s="43"/>
      <c r="H578" s="43"/>
      <c r="I578" s="43"/>
      <c r="J578" s="43"/>
    </row>
    <row r="579" spans="1:10" ht="78" x14ac:dyDescent="0.3">
      <c r="A579" s="27" t="s">
        <v>38</v>
      </c>
      <c r="B579" s="8" t="s">
        <v>64</v>
      </c>
      <c r="C579" s="8" t="s">
        <v>39</v>
      </c>
      <c r="D579" s="31" t="s">
        <v>102</v>
      </c>
      <c r="E579" s="31" t="s">
        <v>103</v>
      </c>
      <c r="F579" s="31" t="s">
        <v>104</v>
      </c>
      <c r="G579" s="31" t="s">
        <v>105</v>
      </c>
      <c r="H579" s="31" t="s">
        <v>106</v>
      </c>
      <c r="I579" s="31" t="s">
        <v>107</v>
      </c>
      <c r="J579" s="31" t="s">
        <v>108</v>
      </c>
    </row>
    <row r="580" spans="1:10" ht="13" x14ac:dyDescent="0.3">
      <c r="A580" s="27"/>
      <c r="B580" s="27"/>
      <c r="C580" s="8"/>
      <c r="D580" s="22"/>
      <c r="E580" s="22"/>
      <c r="F580" s="22"/>
      <c r="G580" s="22"/>
      <c r="H580" s="22"/>
      <c r="I580" s="22"/>
      <c r="J580" s="22"/>
    </row>
    <row r="581" spans="1:10" x14ac:dyDescent="0.25">
      <c r="A581" s="41" t="s">
        <v>120</v>
      </c>
      <c r="B581" s="36" t="s">
        <v>125</v>
      </c>
      <c r="C581" s="36">
        <v>1</v>
      </c>
      <c r="D581" s="37" t="s">
        <v>60</v>
      </c>
      <c r="E581" s="37" t="s">
        <v>88</v>
      </c>
      <c r="F581" s="37">
        <v>103</v>
      </c>
      <c r="G581" s="51">
        <v>25462793.7902136</v>
      </c>
      <c r="H581" s="51">
        <v>236244.44227717942</v>
      </c>
      <c r="I581" s="51">
        <v>73608.308346796359</v>
      </c>
      <c r="J581" s="51">
        <v>67696.234039011528</v>
      </c>
    </row>
    <row r="582" spans="1:10" x14ac:dyDescent="0.25">
      <c r="A582" s="45"/>
      <c r="B582" s="36" t="s">
        <v>125</v>
      </c>
      <c r="C582" s="36">
        <v>2</v>
      </c>
      <c r="D582" s="37" t="s">
        <v>60</v>
      </c>
      <c r="E582" s="37" t="s">
        <v>89</v>
      </c>
      <c r="F582" s="37">
        <v>92</v>
      </c>
      <c r="G582" s="51">
        <v>29186096.058751147</v>
      </c>
      <c r="H582" s="51">
        <v>216529.89108708853</v>
      </c>
      <c r="I582" s="51">
        <v>89685.546292364539</v>
      </c>
      <c r="J582" s="51">
        <v>81432.748610395036</v>
      </c>
    </row>
    <row r="583" spans="1:10" x14ac:dyDescent="0.25">
      <c r="A583" s="45"/>
      <c r="B583" s="36" t="s">
        <v>125</v>
      </c>
      <c r="C583" s="36">
        <v>3</v>
      </c>
      <c r="D583" s="37" t="s">
        <v>60</v>
      </c>
      <c r="E583" s="37" t="s">
        <v>90</v>
      </c>
      <c r="F583" s="37">
        <v>92</v>
      </c>
      <c r="G583" s="51">
        <v>30833143.586861808</v>
      </c>
      <c r="H583" s="51">
        <v>205714.10295388987</v>
      </c>
      <c r="I583" s="51">
        <v>87964.252975216514</v>
      </c>
      <c r="J583" s="51">
        <v>86583.133009075842</v>
      </c>
    </row>
    <row r="584" spans="1:10" x14ac:dyDescent="0.25">
      <c r="A584" s="45"/>
      <c r="B584" s="36" t="s">
        <v>125</v>
      </c>
      <c r="C584" s="36">
        <v>4</v>
      </c>
      <c r="D584" s="37" t="s">
        <v>60</v>
      </c>
      <c r="E584" s="37" t="s">
        <v>91</v>
      </c>
      <c r="F584" s="37">
        <v>100</v>
      </c>
      <c r="G584" s="51">
        <v>34569759.302401863</v>
      </c>
      <c r="H584" s="51">
        <v>203719.300572593</v>
      </c>
      <c r="I584" s="51">
        <v>90895.034291521035</v>
      </c>
      <c r="J584" s="51">
        <v>84703.354434151654</v>
      </c>
    </row>
    <row r="585" spans="1:10" x14ac:dyDescent="0.25">
      <c r="A585" s="45"/>
      <c r="B585" s="36"/>
      <c r="C585" s="36"/>
      <c r="D585" s="37"/>
      <c r="E585" s="37"/>
      <c r="F585" s="37"/>
      <c r="G585" s="51"/>
      <c r="H585" s="51"/>
      <c r="I585" s="51"/>
      <c r="J585" s="51"/>
    </row>
    <row r="586" spans="1:10" x14ac:dyDescent="0.25">
      <c r="A586" s="45" t="s">
        <v>121</v>
      </c>
      <c r="B586" s="36" t="s">
        <v>63</v>
      </c>
      <c r="C586" s="36">
        <v>1</v>
      </c>
      <c r="D586" s="37" t="s">
        <v>60</v>
      </c>
      <c r="E586" s="36" t="s">
        <v>92</v>
      </c>
      <c r="F586" s="36">
        <v>99</v>
      </c>
      <c r="G586" s="51">
        <v>1538679.674162877</v>
      </c>
      <c r="H586" s="51">
        <v>16927.596500524043</v>
      </c>
      <c r="I586" s="51">
        <v>3615.3827010472764</v>
      </c>
      <c r="J586" s="51">
        <v>3372.8707114897193</v>
      </c>
    </row>
    <row r="587" spans="1:10" x14ac:dyDescent="0.25">
      <c r="A587" s="45" t="s">
        <v>122</v>
      </c>
      <c r="B587" s="36" t="s">
        <v>63</v>
      </c>
      <c r="C587" s="36">
        <v>2</v>
      </c>
      <c r="D587" s="37" t="s">
        <v>60</v>
      </c>
      <c r="E587" s="37" t="s">
        <v>93</v>
      </c>
      <c r="F587" s="37">
        <v>69</v>
      </c>
      <c r="G587" s="51">
        <v>2151077.5663353493</v>
      </c>
      <c r="H587" s="51">
        <v>15666.628155684884</v>
      </c>
      <c r="I587" s="51">
        <v>6881.5368806776223</v>
      </c>
      <c r="J587" s="51">
        <v>5736.7603729419543</v>
      </c>
    </row>
    <row r="588" spans="1:10" x14ac:dyDescent="0.25">
      <c r="A588" s="45"/>
      <c r="B588" s="36" t="s">
        <v>63</v>
      </c>
      <c r="C588" s="36">
        <v>3</v>
      </c>
      <c r="D588" s="37" t="s">
        <v>60</v>
      </c>
      <c r="E588" s="37" t="s">
        <v>94</v>
      </c>
      <c r="F588" s="37">
        <v>85</v>
      </c>
      <c r="G588" s="51">
        <v>2503533.1674850164</v>
      </c>
      <c r="H588" s="51">
        <v>13582.73506469685</v>
      </c>
      <c r="I588" s="51">
        <v>8772.9521153441783</v>
      </c>
      <c r="J588" s="51">
        <v>8405.4717659265461</v>
      </c>
    </row>
    <row r="589" spans="1:10" x14ac:dyDescent="0.25">
      <c r="A589" s="45"/>
      <c r="B589" s="36" t="s">
        <v>63</v>
      </c>
      <c r="C589" s="36">
        <v>4</v>
      </c>
      <c r="D589" s="37" t="s">
        <v>60</v>
      </c>
      <c r="E589" s="37" t="s">
        <v>95</v>
      </c>
      <c r="F589" s="37">
        <v>75</v>
      </c>
      <c r="G589" s="51">
        <v>3457514.0114622293</v>
      </c>
      <c r="H589" s="51">
        <v>8651.0637332203623</v>
      </c>
      <c r="I589" s="51">
        <v>5666.8773786947131</v>
      </c>
      <c r="J589" s="51">
        <v>5220.5973624105973</v>
      </c>
    </row>
    <row r="590" spans="1:10" x14ac:dyDescent="0.25">
      <c r="A590" s="45"/>
      <c r="B590" s="36"/>
      <c r="C590" s="36"/>
      <c r="D590" s="37"/>
      <c r="E590" s="37"/>
      <c r="F590" s="37"/>
      <c r="G590" s="51"/>
      <c r="H590" s="51"/>
      <c r="I590" s="51"/>
      <c r="J590" s="51"/>
    </row>
    <row r="591" spans="1:10" x14ac:dyDescent="0.25">
      <c r="A591" s="45" t="s">
        <v>118</v>
      </c>
      <c r="B591" s="36" t="s">
        <v>112</v>
      </c>
      <c r="C591" s="36">
        <v>1</v>
      </c>
      <c r="D591" s="37" t="s">
        <v>61</v>
      </c>
      <c r="E591" s="37" t="s">
        <v>77</v>
      </c>
      <c r="F591" s="37">
        <v>128</v>
      </c>
      <c r="G591" s="51">
        <v>14406921.581756962</v>
      </c>
      <c r="H591" s="51">
        <v>78221.91594261305</v>
      </c>
      <c r="I591" s="51">
        <v>37629.422960886033</v>
      </c>
      <c r="J591" s="51">
        <v>35822.328645141322</v>
      </c>
    </row>
    <row r="592" spans="1:10" x14ac:dyDescent="0.25">
      <c r="A592" s="45" t="s">
        <v>119</v>
      </c>
      <c r="B592" s="36" t="s">
        <v>112</v>
      </c>
      <c r="C592" s="36">
        <v>2</v>
      </c>
      <c r="D592" s="37" t="s">
        <v>61</v>
      </c>
      <c r="E592" s="36" t="s">
        <v>78</v>
      </c>
      <c r="F592" s="36">
        <v>85</v>
      </c>
      <c r="G592" s="51">
        <v>19353597.786842637</v>
      </c>
      <c r="H592" s="51">
        <v>78766.115267072513</v>
      </c>
      <c r="I592" s="51">
        <v>50074.844118863919</v>
      </c>
      <c r="J592" s="51">
        <v>49720.933363173397</v>
      </c>
    </row>
    <row r="593" spans="1:16" x14ac:dyDescent="0.25">
      <c r="A593" s="46"/>
      <c r="B593" s="36" t="s">
        <v>112</v>
      </c>
      <c r="C593" s="36">
        <v>3</v>
      </c>
      <c r="D593" s="37" t="s">
        <v>61</v>
      </c>
      <c r="E593" s="38" t="s">
        <v>96</v>
      </c>
      <c r="F593" s="38">
        <v>104</v>
      </c>
      <c r="G593" s="51">
        <v>29877359.938837878</v>
      </c>
      <c r="H593" s="51">
        <v>95910.76179157148</v>
      </c>
      <c r="I593" s="51">
        <v>70597.387908739081</v>
      </c>
      <c r="J593" s="51">
        <v>68345.550577074566</v>
      </c>
    </row>
    <row r="594" spans="1:16" x14ac:dyDescent="0.25">
      <c r="A594" s="45"/>
      <c r="B594" s="36" t="s">
        <v>112</v>
      </c>
      <c r="C594" s="36">
        <v>4</v>
      </c>
      <c r="D594" s="37" t="s">
        <v>61</v>
      </c>
      <c r="E594" s="37" t="s">
        <v>62</v>
      </c>
      <c r="F594" s="37">
        <v>118</v>
      </c>
      <c r="G594" s="51">
        <v>46992594.402020797</v>
      </c>
      <c r="H594" s="51">
        <v>135087.03566473947</v>
      </c>
      <c r="I594" s="51">
        <v>107982.08344974853</v>
      </c>
      <c r="J594" s="51">
        <v>96745.60423124455</v>
      </c>
    </row>
    <row r="595" spans="1:16" x14ac:dyDescent="0.25">
      <c r="A595" s="45" t="s">
        <v>0</v>
      </c>
      <c r="B595" s="48" t="s">
        <v>114</v>
      </c>
      <c r="C595" s="36">
        <v>1</v>
      </c>
      <c r="D595" s="37" t="s">
        <v>61</v>
      </c>
      <c r="E595" s="37" t="s">
        <v>97</v>
      </c>
      <c r="F595" s="37">
        <v>125</v>
      </c>
      <c r="G595" s="51">
        <v>444563.36726597568</v>
      </c>
      <c r="H595" s="51">
        <v>3430.7089964315614</v>
      </c>
      <c r="I595" s="51">
        <v>1451.0000037769969</v>
      </c>
      <c r="J595" s="51">
        <v>950.65687601303432</v>
      </c>
    </row>
    <row r="596" spans="1:16" x14ac:dyDescent="0.25">
      <c r="A596" s="45"/>
      <c r="B596" s="48"/>
      <c r="C596" s="36"/>
      <c r="D596" s="37"/>
      <c r="E596" s="37"/>
      <c r="F596" s="37"/>
      <c r="G596" s="51"/>
      <c r="H596" s="51"/>
      <c r="I596" s="51"/>
      <c r="J596" s="51"/>
    </row>
    <row r="597" spans="1:16" x14ac:dyDescent="0.25">
      <c r="A597" s="45" t="s">
        <v>123</v>
      </c>
      <c r="B597" s="48" t="s">
        <v>116</v>
      </c>
      <c r="C597" s="36">
        <v>1</v>
      </c>
      <c r="D597" s="37" t="s">
        <v>61</v>
      </c>
      <c r="E597" s="37" t="s">
        <v>98</v>
      </c>
      <c r="F597" s="37">
        <v>245</v>
      </c>
      <c r="G597" s="51">
        <v>1746780.0055010719</v>
      </c>
      <c r="H597" s="51">
        <v>5170.8647864519962</v>
      </c>
      <c r="I597" s="51">
        <v>2906.3438518321741</v>
      </c>
      <c r="J597" s="51">
        <v>2790.562133359148</v>
      </c>
    </row>
    <row r="598" spans="1:16" x14ac:dyDescent="0.25">
      <c r="A598" s="45" t="s">
        <v>124</v>
      </c>
      <c r="B598" s="48" t="s">
        <v>116</v>
      </c>
      <c r="C598" s="36">
        <v>2</v>
      </c>
      <c r="D598" s="37" t="s">
        <v>61</v>
      </c>
      <c r="E598" s="37" t="s">
        <v>99</v>
      </c>
      <c r="F598" s="37">
        <v>48</v>
      </c>
      <c r="G598" s="51">
        <v>3123543.8426663708</v>
      </c>
      <c r="H598" s="51">
        <v>7567.9576088572649</v>
      </c>
      <c r="I598" s="51">
        <v>4944.422308211163</v>
      </c>
      <c r="J598" s="51">
        <v>4642.9922236907087</v>
      </c>
    </row>
    <row r="599" spans="1:16" x14ac:dyDescent="0.25">
      <c r="A599" s="45" t="s">
        <v>0</v>
      </c>
      <c r="B599" s="48" t="s">
        <v>116</v>
      </c>
      <c r="C599" s="36">
        <v>3</v>
      </c>
      <c r="D599" s="37" t="s">
        <v>61</v>
      </c>
      <c r="E599" s="37" t="s">
        <v>100</v>
      </c>
      <c r="F599" s="37">
        <v>19</v>
      </c>
      <c r="G599" s="51">
        <v>4167978.6515345979</v>
      </c>
      <c r="H599" s="51">
        <v>11348.300441142725</v>
      </c>
      <c r="I599" s="51">
        <v>6973.7355813816084</v>
      </c>
      <c r="J599" s="51">
        <v>5721.6101616405531</v>
      </c>
    </row>
    <row r="600" spans="1:16" x14ac:dyDescent="0.25">
      <c r="A600" s="45"/>
      <c r="B600" s="48" t="s">
        <v>114</v>
      </c>
      <c r="C600" s="36">
        <v>1</v>
      </c>
      <c r="D600" s="37" t="s">
        <v>61</v>
      </c>
      <c r="E600" s="37" t="s">
        <v>101</v>
      </c>
      <c r="F600" s="37">
        <v>2</v>
      </c>
      <c r="G600" s="51">
        <v>2541.0280225611946</v>
      </c>
      <c r="H600" s="51">
        <v>10.068000000000001</v>
      </c>
      <c r="I600" s="51">
        <v>10.075375184087532</v>
      </c>
      <c r="J600" s="51">
        <v>3.7888237219203416</v>
      </c>
    </row>
    <row r="601" spans="1:16" s="52" customFormat="1" ht="13" x14ac:dyDescent="0.3">
      <c r="A601" s="89" t="s">
        <v>136</v>
      </c>
      <c r="B601" s="88"/>
      <c r="C601" s="88"/>
      <c r="D601" s="88"/>
      <c r="E601" s="88"/>
      <c r="F601" s="88"/>
      <c r="G601" s="88"/>
      <c r="H601" s="88"/>
      <c r="I601" s="88"/>
      <c r="J601" s="88"/>
      <c r="K601" s="84"/>
      <c r="L601" s="84"/>
      <c r="M601" s="84"/>
      <c r="N601" s="84"/>
      <c r="O601" s="84"/>
      <c r="P601" s="78"/>
    </row>
    <row r="602" spans="1:16" s="4" customFormat="1" ht="13" x14ac:dyDescent="0.3">
      <c r="A602" s="1" t="s">
        <v>59</v>
      </c>
      <c r="B602" s="1"/>
      <c r="C602" s="2"/>
      <c r="D602" s="3"/>
      <c r="E602" s="2"/>
      <c r="F602" s="2"/>
      <c r="G602" s="2"/>
      <c r="H602" s="2"/>
      <c r="I602" s="2"/>
      <c r="J602" s="2"/>
    </row>
    <row r="603" spans="1:16" s="4" customFormat="1" ht="13" x14ac:dyDescent="0.3">
      <c r="A603" s="87" t="s">
        <v>157</v>
      </c>
      <c r="B603" s="88"/>
      <c r="C603" s="88"/>
      <c r="D603" s="88"/>
      <c r="E603" s="88"/>
      <c r="F603" s="88"/>
      <c r="G603" s="88"/>
      <c r="H603" s="88"/>
      <c r="I603" s="88"/>
      <c r="J603" s="88"/>
    </row>
    <row r="604" spans="1:16" s="4" customFormat="1" ht="13" x14ac:dyDescent="0.3">
      <c r="A604" s="5" t="str">
        <f>A4</f>
        <v>TEST YEAR ENDING 12/31/2018</v>
      </c>
      <c r="B604" s="5"/>
      <c r="C604" s="2"/>
      <c r="D604" s="3"/>
      <c r="E604" s="2"/>
      <c r="F604" s="2"/>
      <c r="G604" s="2"/>
      <c r="H604" s="2"/>
      <c r="I604" s="2"/>
      <c r="J604" s="2"/>
    </row>
    <row r="605" spans="1:16" s="4" customFormat="1" ht="13" x14ac:dyDescent="0.3">
      <c r="A605" s="5"/>
      <c r="B605" s="5"/>
      <c r="C605" s="2"/>
      <c r="D605" s="3"/>
      <c r="E605" s="2"/>
      <c r="F605" s="2"/>
      <c r="G605" s="2"/>
      <c r="H605" s="2"/>
      <c r="I605" s="2"/>
      <c r="J605" s="2"/>
    </row>
    <row r="606" spans="1:16" s="4" customFormat="1" ht="13" x14ac:dyDescent="0.3">
      <c r="A606" s="5"/>
      <c r="B606" s="5"/>
      <c r="C606" s="2"/>
      <c r="D606" s="3"/>
      <c r="E606" s="2"/>
      <c r="F606" s="2"/>
      <c r="G606" s="2"/>
      <c r="H606" s="2"/>
      <c r="I606" s="2"/>
      <c r="J606" s="2"/>
    </row>
    <row r="607" spans="1:16" ht="13" x14ac:dyDescent="0.3">
      <c r="A607" s="27" t="s">
        <v>139</v>
      </c>
      <c r="B607" s="40"/>
      <c r="C607" s="8"/>
      <c r="D607" s="42"/>
      <c r="E607" s="30" t="s">
        <v>49</v>
      </c>
      <c r="F607" s="43"/>
      <c r="G607" s="43"/>
      <c r="H607" s="43"/>
      <c r="I607" s="43"/>
      <c r="J607" s="43"/>
    </row>
    <row r="608" spans="1:16" ht="78" x14ac:dyDescent="0.3">
      <c r="A608" s="27" t="s">
        <v>38</v>
      </c>
      <c r="B608" s="8" t="s">
        <v>64</v>
      </c>
      <c r="C608" s="8" t="s">
        <v>39</v>
      </c>
      <c r="D608" s="31" t="s">
        <v>102</v>
      </c>
      <c r="E608" s="31" t="s">
        <v>103</v>
      </c>
      <c r="F608" s="31" t="s">
        <v>104</v>
      </c>
      <c r="G608" s="31" t="s">
        <v>105</v>
      </c>
      <c r="H608" s="31" t="s">
        <v>106</v>
      </c>
      <c r="I608" s="31" t="s">
        <v>107</v>
      </c>
      <c r="J608" s="31" t="s">
        <v>108</v>
      </c>
    </row>
    <row r="609" spans="1:10" ht="13" x14ac:dyDescent="0.3">
      <c r="A609" s="27"/>
      <c r="B609" s="27"/>
      <c r="C609" s="8"/>
      <c r="D609" s="22"/>
      <c r="E609" s="22"/>
      <c r="F609" s="22"/>
      <c r="G609" s="22"/>
      <c r="H609" s="22"/>
      <c r="I609" s="22"/>
      <c r="J609" s="22"/>
    </row>
    <row r="610" spans="1:10" x14ac:dyDescent="0.25">
      <c r="A610" s="39" t="s">
        <v>117</v>
      </c>
      <c r="B610" s="36" t="s">
        <v>109</v>
      </c>
      <c r="C610" s="36">
        <v>1</v>
      </c>
      <c r="D610" s="37" t="s">
        <v>60</v>
      </c>
      <c r="E610" s="37" t="s">
        <v>65</v>
      </c>
      <c r="F610" s="37">
        <v>72</v>
      </c>
      <c r="G610" s="51">
        <v>126520192.13554204</v>
      </c>
      <c r="H610" s="51">
        <v>1202618.8956707481</v>
      </c>
      <c r="I610" s="51">
        <v>472862.38819074276</v>
      </c>
      <c r="J610" s="51">
        <v>395086.95772704267</v>
      </c>
    </row>
    <row r="611" spans="1:10" x14ac:dyDescent="0.25">
      <c r="A611" s="45"/>
      <c r="B611" s="36" t="s">
        <v>109</v>
      </c>
      <c r="C611" s="36">
        <v>2</v>
      </c>
      <c r="D611" s="37" t="s">
        <v>60</v>
      </c>
      <c r="E611" s="37" t="s">
        <v>66</v>
      </c>
      <c r="F611" s="37">
        <v>80</v>
      </c>
      <c r="G611" s="51">
        <v>143706730.91453168</v>
      </c>
      <c r="H611" s="51">
        <v>1138887.9213933591</v>
      </c>
      <c r="I611" s="51">
        <v>470641.50093099341</v>
      </c>
      <c r="J611" s="51">
        <v>402665.18412480364</v>
      </c>
    </row>
    <row r="612" spans="1:10" x14ac:dyDescent="0.25">
      <c r="A612" s="45"/>
      <c r="B612" s="36" t="s">
        <v>109</v>
      </c>
      <c r="C612" s="36">
        <v>3</v>
      </c>
      <c r="D612" s="37" t="s">
        <v>60</v>
      </c>
      <c r="E612" s="37" t="s">
        <v>67</v>
      </c>
      <c r="F612" s="37">
        <v>71</v>
      </c>
      <c r="G612" s="51">
        <v>164241005.30340004</v>
      </c>
      <c r="H612" s="51">
        <v>1056786.7361567046</v>
      </c>
      <c r="I612" s="51">
        <v>535392.10868277831</v>
      </c>
      <c r="J612" s="51">
        <v>526532.42254397168</v>
      </c>
    </row>
    <row r="613" spans="1:10" x14ac:dyDescent="0.25">
      <c r="A613" s="45"/>
      <c r="B613" s="36" t="s">
        <v>110</v>
      </c>
      <c r="C613" s="36">
        <v>1</v>
      </c>
      <c r="D613" s="37" t="s">
        <v>60</v>
      </c>
      <c r="E613" s="37" t="s">
        <v>68</v>
      </c>
      <c r="F613" s="37">
        <v>48</v>
      </c>
      <c r="G613" s="51">
        <v>93626609.013523117</v>
      </c>
      <c r="H613" s="51">
        <v>847276.04566890851</v>
      </c>
      <c r="I613" s="51">
        <v>330663.44518273562</v>
      </c>
      <c r="J613" s="51">
        <v>330663.44518273562</v>
      </c>
    </row>
    <row r="614" spans="1:10" x14ac:dyDescent="0.25">
      <c r="A614" s="45"/>
      <c r="B614" s="36" t="s">
        <v>110</v>
      </c>
      <c r="C614" s="36">
        <v>2</v>
      </c>
      <c r="D614" s="37" t="s">
        <v>60</v>
      </c>
      <c r="E614" s="37" t="s">
        <v>69</v>
      </c>
      <c r="F614" s="37">
        <v>51</v>
      </c>
      <c r="G614" s="51">
        <v>111259777.09600142</v>
      </c>
      <c r="H614" s="51">
        <v>777406.22846120107</v>
      </c>
      <c r="I614" s="51">
        <v>442511.24851860374</v>
      </c>
      <c r="J614" s="51">
        <v>442511.24851860374</v>
      </c>
    </row>
    <row r="615" spans="1:10" x14ac:dyDescent="0.25">
      <c r="A615" s="45"/>
      <c r="B615" s="36"/>
      <c r="C615" s="36"/>
      <c r="D615" s="37"/>
      <c r="E615" s="37"/>
      <c r="F615" s="37"/>
      <c r="G615" s="51"/>
      <c r="H615" s="44"/>
      <c r="I615" s="44"/>
      <c r="J615" s="44"/>
    </row>
    <row r="616" spans="1:10" x14ac:dyDescent="0.25">
      <c r="A616" s="45" t="s">
        <v>121</v>
      </c>
      <c r="B616" s="36" t="s">
        <v>63</v>
      </c>
      <c r="C616" s="36">
        <v>1</v>
      </c>
      <c r="D616" s="37" t="s">
        <v>60</v>
      </c>
      <c r="E616" s="36" t="s">
        <v>70</v>
      </c>
      <c r="F616" s="36">
        <v>88</v>
      </c>
      <c r="G616" s="51">
        <v>3940079.5669315564</v>
      </c>
      <c r="H616" s="51">
        <v>42457.595913608304</v>
      </c>
      <c r="I616" s="51">
        <v>10054.415815644034</v>
      </c>
      <c r="J616" s="51">
        <v>3856.6984303956028</v>
      </c>
    </row>
    <row r="617" spans="1:10" x14ac:dyDescent="0.25">
      <c r="A617" s="45" t="s">
        <v>122</v>
      </c>
      <c r="B617" s="36" t="s">
        <v>63</v>
      </c>
      <c r="C617" s="36">
        <v>2</v>
      </c>
      <c r="D617" s="37" t="s">
        <v>60</v>
      </c>
      <c r="E617" s="37" t="s">
        <v>71</v>
      </c>
      <c r="F617" s="37">
        <v>53</v>
      </c>
      <c r="G617" s="51">
        <v>4491679.9517476</v>
      </c>
      <c r="H617" s="51">
        <v>39778.865215162186</v>
      </c>
      <c r="I617" s="51">
        <v>16268.05250792381</v>
      </c>
      <c r="J617" s="51">
        <v>7231.6407703870846</v>
      </c>
    </row>
    <row r="618" spans="1:10" x14ac:dyDescent="0.25">
      <c r="A618" s="45"/>
      <c r="B618" s="36" t="s">
        <v>63</v>
      </c>
      <c r="C618" s="36">
        <v>3</v>
      </c>
      <c r="D618" s="37" t="s">
        <v>60</v>
      </c>
      <c r="E618" s="37" t="s">
        <v>72</v>
      </c>
      <c r="F618" s="37">
        <v>44</v>
      </c>
      <c r="G618" s="51">
        <v>4861896.3374097254</v>
      </c>
      <c r="H618" s="51">
        <v>30396.529291407285</v>
      </c>
      <c r="I618" s="51">
        <v>14809.349611913603</v>
      </c>
      <c r="J618" s="51">
        <v>9495.4485153484366</v>
      </c>
    </row>
    <row r="619" spans="1:10" x14ac:dyDescent="0.25">
      <c r="A619" s="45"/>
      <c r="B619" s="36" t="s">
        <v>63</v>
      </c>
      <c r="C619" s="36">
        <v>4</v>
      </c>
      <c r="D619" s="37" t="s">
        <v>60</v>
      </c>
      <c r="E619" s="37" t="s">
        <v>73</v>
      </c>
      <c r="F619" s="37">
        <v>52</v>
      </c>
      <c r="G619" s="51">
        <v>5662210.1267153239</v>
      </c>
      <c r="H619" s="51">
        <v>24396.521237705099</v>
      </c>
      <c r="I619" s="51">
        <v>15468.899838252864</v>
      </c>
      <c r="J619" s="51">
        <v>7858.3276399613251</v>
      </c>
    </row>
    <row r="620" spans="1:10" x14ac:dyDescent="0.25">
      <c r="A620" s="45"/>
      <c r="B620" s="36" t="s">
        <v>63</v>
      </c>
      <c r="C620" s="36">
        <v>5</v>
      </c>
      <c r="D620" s="37" t="s">
        <v>60</v>
      </c>
      <c r="E620" s="37" t="s">
        <v>74</v>
      </c>
      <c r="F620" s="37">
        <v>39</v>
      </c>
      <c r="G620" s="51">
        <v>7025575.6672891853</v>
      </c>
      <c r="H620" s="51">
        <v>19545.372294443816</v>
      </c>
      <c r="I620" s="51">
        <v>13420.681466313028</v>
      </c>
      <c r="J620" s="51">
        <v>8599.2021126320597</v>
      </c>
    </row>
    <row r="621" spans="1:10" x14ac:dyDescent="0.25">
      <c r="A621" s="45"/>
      <c r="B621" s="36" t="s">
        <v>111</v>
      </c>
      <c r="C621" s="36">
        <v>1</v>
      </c>
      <c r="D621" s="37" t="s">
        <v>60</v>
      </c>
      <c r="E621" s="37" t="s">
        <v>75</v>
      </c>
      <c r="F621" s="37">
        <v>89</v>
      </c>
      <c r="G621" s="51">
        <v>77933.485169683918</v>
      </c>
      <c r="H621" s="51">
        <v>711.01130460807258</v>
      </c>
      <c r="I621" s="51">
        <v>300.0385921351525</v>
      </c>
      <c r="J621" s="51">
        <v>146.04438479896976</v>
      </c>
    </row>
    <row r="622" spans="1:10" x14ac:dyDescent="0.25">
      <c r="A622" s="45"/>
      <c r="B622" s="36" t="s">
        <v>111</v>
      </c>
      <c r="C622" s="36">
        <v>2</v>
      </c>
      <c r="D622" s="37" t="s">
        <v>60</v>
      </c>
      <c r="E622" s="37" t="s">
        <v>76</v>
      </c>
      <c r="F622" s="37">
        <v>45</v>
      </c>
      <c r="G622" s="51">
        <v>105472.01787252842</v>
      </c>
      <c r="H622" s="51">
        <v>464.08801541909031</v>
      </c>
      <c r="I622" s="51">
        <v>225.0244064947988</v>
      </c>
      <c r="J622" s="51">
        <v>161.11012413718672</v>
      </c>
    </row>
    <row r="623" spans="1:10" x14ac:dyDescent="0.25">
      <c r="A623" s="45"/>
      <c r="B623" s="36"/>
      <c r="C623" s="36"/>
      <c r="D623" s="37"/>
      <c r="E623" s="37"/>
      <c r="F623" s="37"/>
      <c r="G623" s="51"/>
      <c r="H623" s="44"/>
      <c r="I623" s="44"/>
      <c r="J623" s="44"/>
    </row>
    <row r="624" spans="1:10" x14ac:dyDescent="0.25">
      <c r="A624" s="45" t="s">
        <v>118</v>
      </c>
      <c r="B624" s="36" t="s">
        <v>112</v>
      </c>
      <c r="C624" s="36">
        <v>1</v>
      </c>
      <c r="D624" s="37" t="s">
        <v>61</v>
      </c>
      <c r="E624" s="37" t="s">
        <v>77</v>
      </c>
      <c r="F624" s="37">
        <v>138</v>
      </c>
      <c r="G624" s="51">
        <v>55610250.899817854</v>
      </c>
      <c r="H624" s="51">
        <v>339568.39884567325</v>
      </c>
      <c r="I624" s="51">
        <v>165224.21329023602</v>
      </c>
      <c r="J624" s="51">
        <v>109165.44569383824</v>
      </c>
    </row>
    <row r="625" spans="1:10" x14ac:dyDescent="0.25">
      <c r="A625" s="45" t="s">
        <v>119</v>
      </c>
      <c r="B625" s="36" t="s">
        <v>112</v>
      </c>
      <c r="C625" s="36">
        <v>2</v>
      </c>
      <c r="D625" s="37" t="s">
        <v>61</v>
      </c>
      <c r="E625" s="36" t="s">
        <v>78</v>
      </c>
      <c r="F625" s="36">
        <v>73</v>
      </c>
      <c r="G625" s="51">
        <v>77452086.07328935</v>
      </c>
      <c r="H625" s="51">
        <v>387169.00814431749</v>
      </c>
      <c r="I625" s="51">
        <v>223693.97056317708</v>
      </c>
      <c r="J625" s="51">
        <v>162495.52137385649</v>
      </c>
    </row>
    <row r="626" spans="1:10" x14ac:dyDescent="0.25">
      <c r="A626" s="46"/>
      <c r="B626" s="36" t="s">
        <v>112</v>
      </c>
      <c r="C626" s="36">
        <v>3</v>
      </c>
      <c r="D626" s="37" t="s">
        <v>61</v>
      </c>
      <c r="E626" s="38" t="s">
        <v>79</v>
      </c>
      <c r="F626" s="38">
        <v>91</v>
      </c>
      <c r="G626" s="51">
        <v>126888605.73859063</v>
      </c>
      <c r="H626" s="51">
        <v>463898.75096247008</v>
      </c>
      <c r="I626" s="51">
        <v>306490.49080294045</v>
      </c>
      <c r="J626" s="51">
        <v>221402.82100677426</v>
      </c>
    </row>
    <row r="627" spans="1:10" x14ac:dyDescent="0.25">
      <c r="A627" s="45"/>
      <c r="B627" s="36" t="s">
        <v>112</v>
      </c>
      <c r="C627" s="36">
        <v>4</v>
      </c>
      <c r="D627" s="37" t="s">
        <v>61</v>
      </c>
      <c r="E627" s="37" t="s">
        <v>80</v>
      </c>
      <c r="F627" s="37">
        <v>109</v>
      </c>
      <c r="G627" s="51">
        <v>190830514.7233732</v>
      </c>
      <c r="H627" s="51">
        <v>630767.78807543125</v>
      </c>
      <c r="I627" s="51">
        <v>477769.63405846775</v>
      </c>
      <c r="J627" s="51">
        <v>344863.74873476481</v>
      </c>
    </row>
    <row r="628" spans="1:10" x14ac:dyDescent="0.25">
      <c r="A628" s="45"/>
      <c r="B628" s="36" t="s">
        <v>113</v>
      </c>
      <c r="C628" s="36">
        <v>1</v>
      </c>
      <c r="D628" s="37" t="s">
        <v>61</v>
      </c>
      <c r="E628" s="37" t="s">
        <v>81</v>
      </c>
      <c r="F628" s="37">
        <v>7</v>
      </c>
      <c r="G628" s="51">
        <v>147217.21855140195</v>
      </c>
      <c r="H628" s="51">
        <v>969.98780000000011</v>
      </c>
      <c r="I628" s="51">
        <v>819.07762690975494</v>
      </c>
      <c r="J628" s="51">
        <v>250.07784920795277</v>
      </c>
    </row>
    <row r="629" spans="1:10" x14ac:dyDescent="0.25">
      <c r="A629" s="45"/>
      <c r="B629" s="36" t="s">
        <v>114</v>
      </c>
      <c r="C629" s="36">
        <v>1</v>
      </c>
      <c r="D629" s="37" t="s">
        <v>61</v>
      </c>
      <c r="E629" s="37" t="s">
        <v>82</v>
      </c>
      <c r="F629" s="37">
        <v>134</v>
      </c>
      <c r="G629" s="51">
        <v>3972272.3596869195</v>
      </c>
      <c r="H629" s="51">
        <v>16783.784620968087</v>
      </c>
      <c r="I629" s="51">
        <v>10353.458139707705</v>
      </c>
      <c r="J629" s="51">
        <v>8654.3766368866382</v>
      </c>
    </row>
    <row r="630" spans="1:10" x14ac:dyDescent="0.25">
      <c r="A630" s="45"/>
      <c r="B630" s="36" t="s">
        <v>115</v>
      </c>
      <c r="C630" s="36">
        <v>1</v>
      </c>
      <c r="D630" s="37" t="s">
        <v>61</v>
      </c>
      <c r="E630" s="37" t="s">
        <v>83</v>
      </c>
      <c r="F630" s="37">
        <v>252</v>
      </c>
      <c r="G630" s="51">
        <v>363663.76545514882</v>
      </c>
      <c r="H630" s="51">
        <v>4327.0205208954148</v>
      </c>
      <c r="I630" s="51">
        <v>1040.5292353768623</v>
      </c>
      <c r="J630" s="51">
        <v>382.45833674493758</v>
      </c>
    </row>
    <row r="631" spans="1:10" x14ac:dyDescent="0.25">
      <c r="A631" s="45"/>
      <c r="B631" s="36" t="s">
        <v>115</v>
      </c>
      <c r="C631" s="36">
        <v>2</v>
      </c>
      <c r="D631" s="37" t="s">
        <v>61</v>
      </c>
      <c r="E631" s="37" t="s">
        <v>84</v>
      </c>
      <c r="F631" s="37">
        <v>70</v>
      </c>
      <c r="G631" s="51">
        <v>767028.32766980957</v>
      </c>
      <c r="H631" s="51">
        <v>7132.3378509445465</v>
      </c>
      <c r="I631" s="51">
        <v>2910.9692178265982</v>
      </c>
      <c r="J631" s="51">
        <v>1431.3224989138257</v>
      </c>
    </row>
    <row r="632" spans="1:10" x14ac:dyDescent="0.25">
      <c r="A632" s="45" t="s">
        <v>0</v>
      </c>
      <c r="B632" s="36"/>
      <c r="C632" s="36"/>
      <c r="D632" s="37"/>
      <c r="E632" s="37"/>
      <c r="F632" s="37"/>
      <c r="G632" s="51"/>
      <c r="H632" s="44"/>
      <c r="I632" s="44"/>
      <c r="J632" s="44"/>
    </row>
    <row r="633" spans="1:10" x14ac:dyDescent="0.25">
      <c r="A633" s="45" t="s">
        <v>123</v>
      </c>
      <c r="B633" s="36" t="s">
        <v>116</v>
      </c>
      <c r="C633" s="36">
        <v>1</v>
      </c>
      <c r="D633" s="37" t="s">
        <v>61</v>
      </c>
      <c r="E633" s="37" t="s">
        <v>85</v>
      </c>
      <c r="F633" s="37">
        <v>118</v>
      </c>
      <c r="G633" s="51">
        <v>4909235.7231895216</v>
      </c>
      <c r="H633" s="51">
        <v>13341.632753446611</v>
      </c>
      <c r="I633" s="51">
        <v>10195.535578102397</v>
      </c>
      <c r="J633" s="51">
        <v>8239.0678001936321</v>
      </c>
    </row>
    <row r="634" spans="1:10" x14ac:dyDescent="0.25">
      <c r="A634" s="45" t="s">
        <v>124</v>
      </c>
      <c r="B634" s="36" t="s">
        <v>116</v>
      </c>
      <c r="C634" s="36">
        <v>2</v>
      </c>
      <c r="D634" s="37" t="s">
        <v>61</v>
      </c>
      <c r="E634" s="37" t="s">
        <v>86</v>
      </c>
      <c r="F634" s="37">
        <v>34</v>
      </c>
      <c r="G634" s="51">
        <v>7102522.4587470768</v>
      </c>
      <c r="H634" s="51">
        <v>19609.021358188747</v>
      </c>
      <c r="I634" s="51">
        <v>13561.254406893499</v>
      </c>
      <c r="J634" s="51">
        <v>11033.996330410702</v>
      </c>
    </row>
    <row r="635" spans="1:10" x14ac:dyDescent="0.25">
      <c r="A635" s="45"/>
      <c r="B635" s="36" t="s">
        <v>114</v>
      </c>
      <c r="C635" s="36">
        <v>1</v>
      </c>
      <c r="D635" s="37" t="s">
        <v>61</v>
      </c>
      <c r="E635" s="37" t="s">
        <v>87</v>
      </c>
      <c r="F635" s="37">
        <v>4</v>
      </c>
      <c r="G635" s="51">
        <v>113341.08999041734</v>
      </c>
      <c r="H635" s="51">
        <v>849.16387435760066</v>
      </c>
      <c r="I635" s="51">
        <v>855.26265266259418</v>
      </c>
      <c r="J635" s="51">
        <v>189.00634365506389</v>
      </c>
    </row>
    <row r="636" spans="1:10" x14ac:dyDescent="0.25">
      <c r="A636" s="45"/>
      <c r="B636" s="36"/>
      <c r="C636" s="36"/>
      <c r="D636" s="37"/>
      <c r="E636" s="37"/>
      <c r="F636" s="37"/>
      <c r="G636" s="51"/>
      <c r="H636" s="51"/>
      <c r="I636" s="51"/>
      <c r="J636" s="51"/>
    </row>
    <row r="637" spans="1:10" x14ac:dyDescent="0.25">
      <c r="A637" s="45"/>
      <c r="B637" s="36"/>
      <c r="C637" s="36"/>
      <c r="D637" s="37"/>
      <c r="E637" s="37"/>
      <c r="F637" s="37"/>
      <c r="G637" s="51"/>
      <c r="H637" s="51"/>
      <c r="I637" s="51"/>
      <c r="J637" s="51"/>
    </row>
    <row r="638" spans="1:10" ht="13" x14ac:dyDescent="0.3">
      <c r="A638" s="27" t="s">
        <v>140</v>
      </c>
      <c r="B638" s="40"/>
      <c r="C638" s="8"/>
      <c r="D638" s="42"/>
      <c r="E638" s="30" t="s">
        <v>49</v>
      </c>
      <c r="F638" s="43"/>
      <c r="G638" s="43"/>
      <c r="H638" s="43"/>
      <c r="I638" s="43"/>
      <c r="J638" s="43"/>
    </row>
    <row r="639" spans="1:10" ht="78" x14ac:dyDescent="0.3">
      <c r="A639" s="27" t="s">
        <v>38</v>
      </c>
      <c r="B639" s="8" t="s">
        <v>64</v>
      </c>
      <c r="C639" s="8" t="s">
        <v>39</v>
      </c>
      <c r="D639" s="31" t="s">
        <v>102</v>
      </c>
      <c r="E639" s="31" t="s">
        <v>103</v>
      </c>
      <c r="F639" s="31" t="s">
        <v>104</v>
      </c>
      <c r="G639" s="31" t="s">
        <v>105</v>
      </c>
      <c r="H639" s="31" t="s">
        <v>106</v>
      </c>
      <c r="I639" s="31" t="s">
        <v>107</v>
      </c>
      <c r="J639" s="31" t="s">
        <v>108</v>
      </c>
    </row>
    <row r="640" spans="1:10" ht="13" x14ac:dyDescent="0.3">
      <c r="A640" s="27"/>
      <c r="B640" s="27"/>
      <c r="C640" s="8"/>
      <c r="D640" s="22"/>
      <c r="E640" s="22"/>
      <c r="F640" s="22"/>
      <c r="G640" s="22"/>
      <c r="H640" s="22"/>
      <c r="I640" s="22"/>
      <c r="J640" s="22"/>
    </row>
    <row r="641" spans="1:10" x14ac:dyDescent="0.25">
      <c r="A641" s="41" t="s">
        <v>120</v>
      </c>
      <c r="B641" s="36" t="s">
        <v>125</v>
      </c>
      <c r="C641" s="36">
        <v>1</v>
      </c>
      <c r="D641" s="37" t="s">
        <v>60</v>
      </c>
      <c r="E641" s="37" t="s">
        <v>88</v>
      </c>
      <c r="F641" s="37">
        <v>103</v>
      </c>
      <c r="G641" s="51">
        <v>27205605.535846315</v>
      </c>
      <c r="H641" s="51">
        <v>239351.16078551018</v>
      </c>
      <c r="I641" s="51">
        <v>72816.987224180688</v>
      </c>
      <c r="J641" s="51">
        <v>61015.763212300408</v>
      </c>
    </row>
    <row r="642" spans="1:10" x14ac:dyDescent="0.25">
      <c r="A642" s="45"/>
      <c r="B642" s="36" t="s">
        <v>125</v>
      </c>
      <c r="C642" s="36">
        <v>2</v>
      </c>
      <c r="D642" s="37" t="s">
        <v>60</v>
      </c>
      <c r="E642" s="37" t="s">
        <v>89</v>
      </c>
      <c r="F642" s="37">
        <v>92</v>
      </c>
      <c r="G642" s="51">
        <v>32208735.764057316</v>
      </c>
      <c r="H642" s="51">
        <v>235496.81451586547</v>
      </c>
      <c r="I642" s="51">
        <v>104487.79631839035</v>
      </c>
      <c r="J642" s="51">
        <v>94657.752713248119</v>
      </c>
    </row>
    <row r="643" spans="1:10" x14ac:dyDescent="0.25">
      <c r="A643" s="45"/>
      <c r="B643" s="36" t="s">
        <v>125</v>
      </c>
      <c r="C643" s="36">
        <v>3</v>
      </c>
      <c r="D643" s="37" t="s">
        <v>60</v>
      </c>
      <c r="E643" s="37" t="s">
        <v>90</v>
      </c>
      <c r="F643" s="37">
        <v>92</v>
      </c>
      <c r="G643" s="51">
        <v>33585354.739816368</v>
      </c>
      <c r="H643" s="51">
        <v>211527.04274998937</v>
      </c>
      <c r="I643" s="51">
        <v>97378.824048644252</v>
      </c>
      <c r="J643" s="51">
        <v>97378.824048644252</v>
      </c>
    </row>
    <row r="644" spans="1:10" x14ac:dyDescent="0.25">
      <c r="A644" s="45"/>
      <c r="B644" s="36" t="s">
        <v>125</v>
      </c>
      <c r="C644" s="36">
        <v>4</v>
      </c>
      <c r="D644" s="37" t="s">
        <v>60</v>
      </c>
      <c r="E644" s="37" t="s">
        <v>91</v>
      </c>
      <c r="F644" s="37">
        <v>100</v>
      </c>
      <c r="G644" s="51">
        <v>40286094.652376719</v>
      </c>
      <c r="H644" s="51">
        <v>221731.59137124862</v>
      </c>
      <c r="I644" s="51">
        <v>129807.1842496382</v>
      </c>
      <c r="J644" s="51">
        <v>123078.89786218273</v>
      </c>
    </row>
    <row r="645" spans="1:10" x14ac:dyDescent="0.25">
      <c r="A645" s="45"/>
      <c r="B645" s="36"/>
      <c r="C645" s="36"/>
      <c r="D645" s="37"/>
      <c r="E645" s="37"/>
      <c r="F645" s="37"/>
      <c r="G645" s="51"/>
      <c r="H645" s="51"/>
      <c r="I645" s="51"/>
      <c r="J645" s="51"/>
    </row>
    <row r="646" spans="1:10" x14ac:dyDescent="0.25">
      <c r="A646" s="45" t="s">
        <v>121</v>
      </c>
      <c r="B646" s="36" t="s">
        <v>63</v>
      </c>
      <c r="C646" s="36">
        <v>1</v>
      </c>
      <c r="D646" s="37" t="s">
        <v>60</v>
      </c>
      <c r="E646" s="36" t="s">
        <v>92</v>
      </c>
      <c r="F646" s="36">
        <v>99</v>
      </c>
      <c r="G646" s="51">
        <v>1697220.0088630242</v>
      </c>
      <c r="H646" s="51">
        <v>20397.626318769086</v>
      </c>
      <c r="I646" s="51">
        <v>4083.2447720188006</v>
      </c>
      <c r="J646" s="51">
        <v>2818.3543426636375</v>
      </c>
    </row>
    <row r="647" spans="1:10" x14ac:dyDescent="0.25">
      <c r="A647" s="45" t="s">
        <v>122</v>
      </c>
      <c r="B647" s="36" t="s">
        <v>63</v>
      </c>
      <c r="C647" s="36">
        <v>2</v>
      </c>
      <c r="D647" s="37" t="s">
        <v>60</v>
      </c>
      <c r="E647" s="37" t="s">
        <v>93</v>
      </c>
      <c r="F647" s="37">
        <v>69</v>
      </c>
      <c r="G647" s="51">
        <v>2333301.4108871748</v>
      </c>
      <c r="H647" s="51">
        <v>15308.619928173692</v>
      </c>
      <c r="I647" s="51">
        <v>6464.9475274721062</v>
      </c>
      <c r="J647" s="51">
        <v>4934.3396582343621</v>
      </c>
    </row>
    <row r="648" spans="1:10" x14ac:dyDescent="0.25">
      <c r="A648" s="45"/>
      <c r="B648" s="36" t="s">
        <v>63</v>
      </c>
      <c r="C648" s="36">
        <v>3</v>
      </c>
      <c r="D648" s="37" t="s">
        <v>60</v>
      </c>
      <c r="E648" s="37" t="s">
        <v>94</v>
      </c>
      <c r="F648" s="37">
        <v>85</v>
      </c>
      <c r="G648" s="51">
        <v>2203558.3678797963</v>
      </c>
      <c r="H648" s="51">
        <v>11287.575833025814</v>
      </c>
      <c r="I648" s="51">
        <v>5349.3810810910009</v>
      </c>
      <c r="J648" s="51">
        <v>4227.6780766256552</v>
      </c>
    </row>
    <row r="649" spans="1:10" x14ac:dyDescent="0.25">
      <c r="A649" s="45"/>
      <c r="B649" s="36" t="s">
        <v>63</v>
      </c>
      <c r="C649" s="36">
        <v>4</v>
      </c>
      <c r="D649" s="37" t="s">
        <v>60</v>
      </c>
      <c r="E649" s="37" t="s">
        <v>95</v>
      </c>
      <c r="F649" s="37">
        <v>75</v>
      </c>
      <c r="G649" s="51">
        <v>3351496.6371151316</v>
      </c>
      <c r="H649" s="51">
        <v>8265.5793847175992</v>
      </c>
      <c r="I649" s="51">
        <v>5550.2461186120318</v>
      </c>
      <c r="J649" s="51">
        <v>4690.4758208876465</v>
      </c>
    </row>
    <row r="650" spans="1:10" x14ac:dyDescent="0.25">
      <c r="A650" s="45"/>
      <c r="B650" s="36"/>
      <c r="C650" s="36"/>
      <c r="D650" s="37"/>
      <c r="E650" s="37"/>
      <c r="F650" s="37"/>
      <c r="G650" s="51"/>
      <c r="H650" s="51"/>
      <c r="I650" s="51"/>
      <c r="J650" s="51"/>
    </row>
    <row r="651" spans="1:10" x14ac:dyDescent="0.25">
      <c r="A651" s="45" t="s">
        <v>118</v>
      </c>
      <c r="B651" s="36" t="s">
        <v>112</v>
      </c>
      <c r="C651" s="36">
        <v>1</v>
      </c>
      <c r="D651" s="37" t="s">
        <v>61</v>
      </c>
      <c r="E651" s="37" t="s">
        <v>77</v>
      </c>
      <c r="F651" s="37">
        <v>128</v>
      </c>
      <c r="G651" s="51">
        <v>14602161.427515289</v>
      </c>
      <c r="H651" s="51">
        <v>76271.799680257667</v>
      </c>
      <c r="I651" s="51">
        <v>35249.50070635834</v>
      </c>
      <c r="J651" s="51">
        <v>30316.155714957011</v>
      </c>
    </row>
    <row r="652" spans="1:10" x14ac:dyDescent="0.25">
      <c r="A652" s="45" t="s">
        <v>119</v>
      </c>
      <c r="B652" s="36" t="s">
        <v>112</v>
      </c>
      <c r="C652" s="36">
        <v>2</v>
      </c>
      <c r="D652" s="37" t="s">
        <v>61</v>
      </c>
      <c r="E652" s="36" t="s">
        <v>78</v>
      </c>
      <c r="F652" s="36">
        <v>85</v>
      </c>
      <c r="G652" s="51">
        <v>17863782.195051521</v>
      </c>
      <c r="H652" s="51">
        <v>78858.58315153369</v>
      </c>
      <c r="I652" s="51">
        <v>40381.302757922254</v>
      </c>
      <c r="J652" s="51">
        <v>36505.32260118179</v>
      </c>
    </row>
    <row r="653" spans="1:10" x14ac:dyDescent="0.25">
      <c r="A653" s="46"/>
      <c r="B653" s="36" t="s">
        <v>112</v>
      </c>
      <c r="C653" s="36">
        <v>3</v>
      </c>
      <c r="D653" s="37" t="s">
        <v>61</v>
      </c>
      <c r="E653" s="38" t="s">
        <v>96</v>
      </c>
      <c r="F653" s="38">
        <v>104</v>
      </c>
      <c r="G653" s="51">
        <v>26725203.516218565</v>
      </c>
      <c r="H653" s="51">
        <v>87203.661414452887</v>
      </c>
      <c r="I653" s="51">
        <v>54738.821533865499</v>
      </c>
      <c r="J653" s="51">
        <v>50869.340153778452</v>
      </c>
    </row>
    <row r="654" spans="1:10" x14ac:dyDescent="0.25">
      <c r="A654" s="45"/>
      <c r="B654" s="36" t="s">
        <v>112</v>
      </c>
      <c r="C654" s="36">
        <v>4</v>
      </c>
      <c r="D654" s="37" t="s">
        <v>61</v>
      </c>
      <c r="E654" s="37" t="s">
        <v>62</v>
      </c>
      <c r="F654" s="37">
        <v>118</v>
      </c>
      <c r="G654" s="51">
        <v>41723686.167820774</v>
      </c>
      <c r="H654" s="51">
        <v>122038.1343015673</v>
      </c>
      <c r="I654" s="51">
        <v>86276.096905811006</v>
      </c>
      <c r="J654" s="51">
        <v>79940.870438317725</v>
      </c>
    </row>
    <row r="655" spans="1:10" x14ac:dyDescent="0.25">
      <c r="A655" s="45" t="s">
        <v>0</v>
      </c>
      <c r="B655" s="48" t="s">
        <v>114</v>
      </c>
      <c r="C655" s="36">
        <v>1</v>
      </c>
      <c r="D655" s="37" t="s">
        <v>61</v>
      </c>
      <c r="E655" s="37" t="s">
        <v>97</v>
      </c>
      <c r="F655" s="37">
        <v>125</v>
      </c>
      <c r="G655" s="51">
        <v>497358.8945166762</v>
      </c>
      <c r="H655" s="51">
        <v>3058.0768762976923</v>
      </c>
      <c r="I655" s="51">
        <v>1640.2833748185035</v>
      </c>
      <c r="J655" s="51">
        <v>733.97487532077946</v>
      </c>
    </row>
    <row r="656" spans="1:10" x14ac:dyDescent="0.25">
      <c r="A656" s="45"/>
      <c r="B656" s="48"/>
      <c r="C656" s="36"/>
      <c r="D656" s="37"/>
      <c r="E656" s="37"/>
      <c r="F656" s="37"/>
      <c r="G656" s="51"/>
      <c r="H656" s="51"/>
      <c r="I656" s="51"/>
      <c r="J656" s="51"/>
    </row>
    <row r="657" spans="1:16" x14ac:dyDescent="0.25">
      <c r="A657" s="45" t="s">
        <v>123</v>
      </c>
      <c r="B657" s="48" t="s">
        <v>116</v>
      </c>
      <c r="C657" s="36">
        <v>1</v>
      </c>
      <c r="D657" s="37" t="s">
        <v>61</v>
      </c>
      <c r="E657" s="37" t="s">
        <v>98</v>
      </c>
      <c r="F657" s="37">
        <v>245</v>
      </c>
      <c r="G657" s="51">
        <v>1683186.4044615822</v>
      </c>
      <c r="H657" s="51">
        <v>4744.3877993844299</v>
      </c>
      <c r="I657" s="51">
        <v>2615.215092209552</v>
      </c>
      <c r="J657" s="51">
        <v>2423.1470981970419</v>
      </c>
    </row>
    <row r="658" spans="1:16" x14ac:dyDescent="0.25">
      <c r="A658" s="45" t="s">
        <v>124</v>
      </c>
      <c r="B658" s="48" t="s">
        <v>116</v>
      </c>
      <c r="C658" s="36">
        <v>2</v>
      </c>
      <c r="D658" s="37" t="s">
        <v>61</v>
      </c>
      <c r="E658" s="37" t="s">
        <v>99</v>
      </c>
      <c r="F658" s="37">
        <v>48</v>
      </c>
      <c r="G658" s="51">
        <v>2999269.371799753</v>
      </c>
      <c r="H658" s="51">
        <v>7905.6661732037783</v>
      </c>
      <c r="I658" s="51">
        <v>5038.0014870970408</v>
      </c>
      <c r="J658" s="51">
        <v>4371.5862302519754</v>
      </c>
    </row>
    <row r="659" spans="1:16" x14ac:dyDescent="0.25">
      <c r="A659" s="45" t="s">
        <v>0</v>
      </c>
      <c r="B659" s="48" t="s">
        <v>116</v>
      </c>
      <c r="C659" s="36">
        <v>3</v>
      </c>
      <c r="D659" s="37" t="s">
        <v>61</v>
      </c>
      <c r="E659" s="37" t="s">
        <v>100</v>
      </c>
      <c r="F659" s="37">
        <v>19</v>
      </c>
      <c r="G659" s="51">
        <v>3753725.7639917033</v>
      </c>
      <c r="H659" s="51">
        <v>9104.2096747551423</v>
      </c>
      <c r="I659" s="51">
        <v>6539.5708466045407</v>
      </c>
      <c r="J659" s="51">
        <v>5072.4913179787582</v>
      </c>
    </row>
    <row r="660" spans="1:16" x14ac:dyDescent="0.25">
      <c r="A660" s="45"/>
      <c r="B660" s="48" t="s">
        <v>114</v>
      </c>
      <c r="C660" s="36">
        <v>1</v>
      </c>
      <c r="D660" s="37" t="s">
        <v>61</v>
      </c>
      <c r="E660" s="37" t="s">
        <v>101</v>
      </c>
      <c r="F660" s="37">
        <v>2</v>
      </c>
      <c r="G660" s="51">
        <v>2857.5211980182521</v>
      </c>
      <c r="H660" s="51">
        <v>21.384000000000004</v>
      </c>
      <c r="I660" s="51">
        <v>21.502177937777226</v>
      </c>
      <c r="J660" s="51">
        <v>6.4916788611246607</v>
      </c>
    </row>
    <row r="661" spans="1:16" s="52" customFormat="1" ht="13" x14ac:dyDescent="0.3">
      <c r="A661" s="89" t="s">
        <v>136</v>
      </c>
      <c r="B661" s="88"/>
      <c r="C661" s="88"/>
      <c r="D661" s="88"/>
      <c r="E661" s="88"/>
      <c r="F661" s="88"/>
      <c r="G661" s="88"/>
      <c r="H661" s="88"/>
      <c r="I661" s="88"/>
      <c r="J661" s="88"/>
      <c r="K661" s="84"/>
      <c r="L661" s="84"/>
      <c r="M661" s="84"/>
      <c r="N661" s="84"/>
      <c r="O661" s="84"/>
      <c r="P661" s="78"/>
    </row>
    <row r="662" spans="1:16" s="4" customFormat="1" ht="13" x14ac:dyDescent="0.3">
      <c r="A662" s="1" t="s">
        <v>59</v>
      </c>
      <c r="B662" s="1"/>
      <c r="C662" s="2"/>
      <c r="D662" s="3"/>
      <c r="E662" s="2"/>
      <c r="F662" s="2"/>
      <c r="G662" s="2"/>
      <c r="H662" s="2"/>
      <c r="I662" s="2"/>
      <c r="J662" s="2"/>
    </row>
    <row r="663" spans="1:16" s="4" customFormat="1" ht="13" x14ac:dyDescent="0.3">
      <c r="A663" s="87" t="s">
        <v>157</v>
      </c>
      <c r="B663" s="88"/>
      <c r="C663" s="88"/>
      <c r="D663" s="88"/>
      <c r="E663" s="88"/>
      <c r="F663" s="88"/>
      <c r="G663" s="88"/>
      <c r="H663" s="88"/>
      <c r="I663" s="88"/>
      <c r="J663" s="88"/>
      <c r="K663" s="85"/>
      <c r="L663" s="85"/>
      <c r="M663" s="85"/>
      <c r="N663" s="85"/>
    </row>
    <row r="664" spans="1:16" s="4" customFormat="1" ht="13" x14ac:dyDescent="0.3">
      <c r="A664" s="5" t="str">
        <f>A64</f>
        <v>TEST YEAR ENDING 12/31/2018</v>
      </c>
      <c r="B664" s="5"/>
      <c r="C664" s="2"/>
      <c r="D664" s="3"/>
      <c r="E664" s="2"/>
      <c r="F664" s="2"/>
      <c r="G664" s="2"/>
      <c r="H664" s="2"/>
      <c r="I664" s="2"/>
      <c r="J664" s="2"/>
    </row>
    <row r="665" spans="1:16" s="4" customFormat="1" ht="13" x14ac:dyDescent="0.3">
      <c r="A665" s="5"/>
      <c r="B665" s="5"/>
      <c r="C665" s="2"/>
      <c r="D665" s="3"/>
      <c r="E665" s="2"/>
      <c r="F665" s="2"/>
      <c r="G665" s="2"/>
      <c r="H665" s="2"/>
      <c r="I665" s="2"/>
      <c r="J665" s="2"/>
    </row>
    <row r="666" spans="1:16" s="4" customFormat="1" ht="13" x14ac:dyDescent="0.3">
      <c r="A666" s="5"/>
      <c r="B666" s="5"/>
      <c r="C666" s="2"/>
      <c r="D666" s="3"/>
      <c r="E666" s="2"/>
      <c r="F666" s="2"/>
      <c r="G666" s="2"/>
      <c r="H666" s="2"/>
      <c r="I666" s="2"/>
      <c r="J666" s="2"/>
    </row>
    <row r="667" spans="1:16" ht="13" x14ac:dyDescent="0.3">
      <c r="A667" s="27" t="s">
        <v>139</v>
      </c>
      <c r="B667" s="40"/>
      <c r="C667" s="8"/>
      <c r="D667" s="42"/>
      <c r="E667" s="30" t="s">
        <v>50</v>
      </c>
      <c r="F667" s="43"/>
      <c r="G667" s="43"/>
      <c r="H667" s="43"/>
      <c r="I667" s="43"/>
      <c r="J667" s="43"/>
    </row>
    <row r="668" spans="1:16" ht="78" x14ac:dyDescent="0.3">
      <c r="A668" s="27" t="s">
        <v>38</v>
      </c>
      <c r="B668" s="8" t="s">
        <v>64</v>
      </c>
      <c r="C668" s="8" t="s">
        <v>39</v>
      </c>
      <c r="D668" s="31" t="s">
        <v>102</v>
      </c>
      <c r="E668" s="31" t="s">
        <v>103</v>
      </c>
      <c r="F668" s="31" t="s">
        <v>104</v>
      </c>
      <c r="G668" s="31" t="s">
        <v>105</v>
      </c>
      <c r="H668" s="31" t="s">
        <v>106</v>
      </c>
      <c r="I668" s="31" t="s">
        <v>107</v>
      </c>
      <c r="J668" s="31" t="s">
        <v>108</v>
      </c>
    </row>
    <row r="669" spans="1:16" ht="13" x14ac:dyDescent="0.3">
      <c r="A669" s="27"/>
      <c r="B669" s="27"/>
      <c r="C669" s="8"/>
      <c r="D669" s="22"/>
      <c r="E669" s="22"/>
      <c r="F669" s="22"/>
      <c r="G669" s="22"/>
      <c r="H669" s="22"/>
      <c r="I669" s="22"/>
      <c r="J669" s="22"/>
    </row>
    <row r="670" spans="1:16" x14ac:dyDescent="0.25">
      <c r="A670" s="39" t="s">
        <v>117</v>
      </c>
      <c r="B670" s="36" t="s">
        <v>109</v>
      </c>
      <c r="C670" s="36">
        <v>1</v>
      </c>
      <c r="D670" s="37" t="s">
        <v>60</v>
      </c>
      <c r="E670" s="37" t="s">
        <v>65</v>
      </c>
      <c r="F670" s="37">
        <v>72</v>
      </c>
      <c r="G670" s="51">
        <v>130574167.60841954</v>
      </c>
      <c r="H670" s="51">
        <v>1164524.0585141031</v>
      </c>
      <c r="I670" s="51">
        <v>338263.66482144775</v>
      </c>
      <c r="J670" s="51">
        <v>298088.5266971938</v>
      </c>
    </row>
    <row r="671" spans="1:16" x14ac:dyDescent="0.25">
      <c r="A671" s="45"/>
      <c r="B671" s="36" t="s">
        <v>109</v>
      </c>
      <c r="C671" s="36">
        <v>2</v>
      </c>
      <c r="D671" s="37" t="s">
        <v>60</v>
      </c>
      <c r="E671" s="37" t="s">
        <v>66</v>
      </c>
      <c r="F671" s="37">
        <v>80</v>
      </c>
      <c r="G671" s="51">
        <v>145867285.05322236</v>
      </c>
      <c r="H671" s="51">
        <v>1095635.2571629481</v>
      </c>
      <c r="I671" s="51">
        <v>382175.63827116572</v>
      </c>
      <c r="J671" s="51">
        <v>354243.87334940804</v>
      </c>
    </row>
    <row r="672" spans="1:16" x14ac:dyDescent="0.25">
      <c r="A672" s="45"/>
      <c r="B672" s="36" t="s">
        <v>109</v>
      </c>
      <c r="C672" s="36">
        <v>3</v>
      </c>
      <c r="D672" s="37" t="s">
        <v>60</v>
      </c>
      <c r="E672" s="37" t="s">
        <v>67</v>
      </c>
      <c r="F672" s="37">
        <v>71</v>
      </c>
      <c r="G672" s="51">
        <v>169497332.15419704</v>
      </c>
      <c r="H672" s="51">
        <v>996723.69423430879</v>
      </c>
      <c r="I672" s="51">
        <v>446347.63684626442</v>
      </c>
      <c r="J672" s="51">
        <v>430221.15761703334</v>
      </c>
    </row>
    <row r="673" spans="1:10" x14ac:dyDescent="0.25">
      <c r="A673" s="45"/>
      <c r="B673" s="36" t="s">
        <v>110</v>
      </c>
      <c r="C673" s="36">
        <v>1</v>
      </c>
      <c r="D673" s="37" t="s">
        <v>60</v>
      </c>
      <c r="E673" s="37" t="s">
        <v>68</v>
      </c>
      <c r="F673" s="37">
        <v>48</v>
      </c>
      <c r="G673" s="51">
        <v>99217400.828295231</v>
      </c>
      <c r="H673" s="51">
        <v>889893.94288596872</v>
      </c>
      <c r="I673" s="51">
        <v>273818.03225532756</v>
      </c>
      <c r="J673" s="51">
        <v>273818.03225532756</v>
      </c>
    </row>
    <row r="674" spans="1:10" x14ac:dyDescent="0.25">
      <c r="A674" s="45"/>
      <c r="B674" s="36" t="s">
        <v>110</v>
      </c>
      <c r="C674" s="36">
        <v>2</v>
      </c>
      <c r="D674" s="37" t="s">
        <v>60</v>
      </c>
      <c r="E674" s="37" t="s">
        <v>69</v>
      </c>
      <c r="F674" s="37">
        <v>51</v>
      </c>
      <c r="G674" s="51">
        <v>115192234.20119898</v>
      </c>
      <c r="H674" s="51">
        <v>787232.23888049566</v>
      </c>
      <c r="I674" s="51">
        <v>342994.38060682855</v>
      </c>
      <c r="J674" s="51">
        <v>321880.22105030064</v>
      </c>
    </row>
    <row r="675" spans="1:10" x14ac:dyDescent="0.25">
      <c r="A675" s="45"/>
      <c r="B675" s="36"/>
      <c r="C675" s="36"/>
      <c r="D675" s="37"/>
      <c r="E675" s="37"/>
      <c r="F675" s="37"/>
      <c r="G675" s="51"/>
      <c r="H675" s="44"/>
      <c r="I675" s="44"/>
      <c r="J675" s="44"/>
    </row>
    <row r="676" spans="1:10" x14ac:dyDescent="0.25">
      <c r="A676" s="45" t="s">
        <v>121</v>
      </c>
      <c r="B676" s="36" t="s">
        <v>63</v>
      </c>
      <c r="C676" s="36">
        <v>1</v>
      </c>
      <c r="D676" s="37" t="s">
        <v>60</v>
      </c>
      <c r="E676" s="36" t="s">
        <v>70</v>
      </c>
      <c r="F676" s="36">
        <v>88</v>
      </c>
      <c r="G676" s="51">
        <v>4875005.8129497403</v>
      </c>
      <c r="H676" s="51">
        <v>43294.26891305732</v>
      </c>
      <c r="I676" s="51">
        <v>12403.886514784272</v>
      </c>
      <c r="J676" s="51">
        <v>5468.0501284350858</v>
      </c>
    </row>
    <row r="677" spans="1:10" x14ac:dyDescent="0.25">
      <c r="A677" s="45" t="s">
        <v>122</v>
      </c>
      <c r="B677" s="36" t="s">
        <v>63</v>
      </c>
      <c r="C677" s="36">
        <v>2</v>
      </c>
      <c r="D677" s="37" t="s">
        <v>60</v>
      </c>
      <c r="E677" s="37" t="s">
        <v>71</v>
      </c>
      <c r="F677" s="37">
        <v>53</v>
      </c>
      <c r="G677" s="51">
        <v>4424517.273822492</v>
      </c>
      <c r="H677" s="51">
        <v>33603.412043518147</v>
      </c>
      <c r="I677" s="51">
        <v>10682.784196582996</v>
      </c>
      <c r="J677" s="51">
        <v>5326.8495418526854</v>
      </c>
    </row>
    <row r="678" spans="1:10" x14ac:dyDescent="0.25">
      <c r="A678" s="45"/>
      <c r="B678" s="36" t="s">
        <v>63</v>
      </c>
      <c r="C678" s="36">
        <v>3</v>
      </c>
      <c r="D678" s="37" t="s">
        <v>60</v>
      </c>
      <c r="E678" s="37" t="s">
        <v>72</v>
      </c>
      <c r="F678" s="37">
        <v>44</v>
      </c>
      <c r="G678" s="51">
        <v>4788442.2793930825</v>
      </c>
      <c r="H678" s="51">
        <v>29480.769833098482</v>
      </c>
      <c r="I678" s="51">
        <v>11355.229545771463</v>
      </c>
      <c r="J678" s="51">
        <v>7926.9276375525196</v>
      </c>
    </row>
    <row r="679" spans="1:10" x14ac:dyDescent="0.25">
      <c r="A679" s="45"/>
      <c r="B679" s="36" t="s">
        <v>63</v>
      </c>
      <c r="C679" s="36">
        <v>4</v>
      </c>
      <c r="D679" s="37" t="s">
        <v>60</v>
      </c>
      <c r="E679" s="37" t="s">
        <v>73</v>
      </c>
      <c r="F679" s="37">
        <v>52</v>
      </c>
      <c r="G679" s="51">
        <v>5658050.5717756543</v>
      </c>
      <c r="H679" s="51">
        <v>22206.735285148443</v>
      </c>
      <c r="I679" s="51">
        <v>9852.7060572424052</v>
      </c>
      <c r="J679" s="51">
        <v>7540.9474938806907</v>
      </c>
    </row>
    <row r="680" spans="1:10" x14ac:dyDescent="0.25">
      <c r="A680" s="45"/>
      <c r="B680" s="36" t="s">
        <v>63</v>
      </c>
      <c r="C680" s="36">
        <v>5</v>
      </c>
      <c r="D680" s="37" t="s">
        <v>60</v>
      </c>
      <c r="E680" s="37" t="s">
        <v>74</v>
      </c>
      <c r="F680" s="37">
        <v>39</v>
      </c>
      <c r="G680" s="51">
        <v>7293544.9414829109</v>
      </c>
      <c r="H680" s="51">
        <v>18109.180134853952</v>
      </c>
      <c r="I680" s="51">
        <v>11988.890312965972</v>
      </c>
      <c r="J680" s="51">
        <v>9562.6268423176807</v>
      </c>
    </row>
    <row r="681" spans="1:10" x14ac:dyDescent="0.25">
      <c r="A681" s="45"/>
      <c r="B681" s="36" t="s">
        <v>111</v>
      </c>
      <c r="C681" s="36">
        <v>1</v>
      </c>
      <c r="D681" s="37" t="s">
        <v>60</v>
      </c>
      <c r="E681" s="37" t="s">
        <v>75</v>
      </c>
      <c r="F681" s="37">
        <v>89</v>
      </c>
      <c r="G681" s="51">
        <v>74932.84815548794</v>
      </c>
      <c r="H681" s="51">
        <v>827.31230500397589</v>
      </c>
      <c r="I681" s="51">
        <v>294.8187207349132</v>
      </c>
      <c r="J681" s="51">
        <v>100.65694688950097</v>
      </c>
    </row>
    <row r="682" spans="1:10" x14ac:dyDescent="0.25">
      <c r="A682" s="45"/>
      <c r="B682" s="36" t="s">
        <v>111</v>
      </c>
      <c r="C682" s="36">
        <v>2</v>
      </c>
      <c r="D682" s="37" t="s">
        <v>60</v>
      </c>
      <c r="E682" s="37" t="s">
        <v>76</v>
      </c>
      <c r="F682" s="37">
        <v>45</v>
      </c>
      <c r="G682" s="51">
        <v>110380.12084366172</v>
      </c>
      <c r="H682" s="51">
        <v>477.50852349565565</v>
      </c>
      <c r="I682" s="51">
        <v>249.92320823966247</v>
      </c>
      <c r="J682" s="51">
        <v>154.57162539434518</v>
      </c>
    </row>
    <row r="683" spans="1:10" x14ac:dyDescent="0.25">
      <c r="A683" s="45"/>
      <c r="B683" s="36"/>
      <c r="C683" s="36"/>
      <c r="D683" s="37"/>
      <c r="E683" s="37"/>
      <c r="F683" s="37"/>
      <c r="G683" s="51"/>
      <c r="H683" s="44"/>
      <c r="I683" s="44"/>
      <c r="J683" s="44"/>
    </row>
    <row r="684" spans="1:10" x14ac:dyDescent="0.25">
      <c r="A684" s="45" t="s">
        <v>118</v>
      </c>
      <c r="B684" s="36" t="s">
        <v>112</v>
      </c>
      <c r="C684" s="36">
        <v>1</v>
      </c>
      <c r="D684" s="37" t="s">
        <v>61</v>
      </c>
      <c r="E684" s="37" t="s">
        <v>77</v>
      </c>
      <c r="F684" s="37">
        <v>138</v>
      </c>
      <c r="G684" s="51">
        <v>54366444.233398512</v>
      </c>
      <c r="H684" s="51">
        <v>291921.4762281758</v>
      </c>
      <c r="I684" s="51">
        <v>117849.31203418311</v>
      </c>
      <c r="J684" s="51">
        <v>93981.077087062818</v>
      </c>
    </row>
    <row r="685" spans="1:10" x14ac:dyDescent="0.25">
      <c r="A685" s="45" t="s">
        <v>119</v>
      </c>
      <c r="B685" s="36" t="s">
        <v>112</v>
      </c>
      <c r="C685" s="36">
        <v>2</v>
      </c>
      <c r="D685" s="37" t="s">
        <v>61</v>
      </c>
      <c r="E685" s="36" t="s">
        <v>78</v>
      </c>
      <c r="F685" s="36">
        <v>73</v>
      </c>
      <c r="G685" s="51">
        <v>74775403.958893225</v>
      </c>
      <c r="H685" s="51">
        <v>342351.25249153713</v>
      </c>
      <c r="I685" s="51">
        <v>158147.66848385686</v>
      </c>
      <c r="J685" s="51">
        <v>122966.81697112549</v>
      </c>
    </row>
    <row r="686" spans="1:10" x14ac:dyDescent="0.25">
      <c r="A686" s="46"/>
      <c r="B686" s="36" t="s">
        <v>112</v>
      </c>
      <c r="C686" s="36">
        <v>3</v>
      </c>
      <c r="D686" s="37" t="s">
        <v>61</v>
      </c>
      <c r="E686" s="38" t="s">
        <v>79</v>
      </c>
      <c r="F686" s="38">
        <v>91</v>
      </c>
      <c r="G686" s="51">
        <v>119069931.91918615</v>
      </c>
      <c r="H686" s="51">
        <v>406628.65390315052</v>
      </c>
      <c r="I686" s="51">
        <v>235603.55613400278</v>
      </c>
      <c r="J686" s="51">
        <v>188815.39987676271</v>
      </c>
    </row>
    <row r="687" spans="1:10" x14ac:dyDescent="0.25">
      <c r="A687" s="45"/>
      <c r="B687" s="36" t="s">
        <v>112</v>
      </c>
      <c r="C687" s="36">
        <v>4</v>
      </c>
      <c r="D687" s="37" t="s">
        <v>61</v>
      </c>
      <c r="E687" s="37" t="s">
        <v>80</v>
      </c>
      <c r="F687" s="37">
        <v>109</v>
      </c>
      <c r="G687" s="51">
        <v>186817087.36704212</v>
      </c>
      <c r="H687" s="51">
        <v>570600.83433997503</v>
      </c>
      <c r="I687" s="51">
        <v>390986.12733652146</v>
      </c>
      <c r="J687" s="51">
        <v>332533.80090438674</v>
      </c>
    </row>
    <row r="688" spans="1:10" x14ac:dyDescent="0.25">
      <c r="A688" s="45"/>
      <c r="B688" s="36" t="s">
        <v>113</v>
      </c>
      <c r="C688" s="36">
        <v>1</v>
      </c>
      <c r="D688" s="37" t="s">
        <v>61</v>
      </c>
      <c r="E688" s="37" t="s">
        <v>81</v>
      </c>
      <c r="F688" s="37">
        <v>7</v>
      </c>
      <c r="G688" s="51">
        <v>14179.521538427503</v>
      </c>
      <c r="H688" s="51">
        <v>701.53200000000015</v>
      </c>
      <c r="I688" s="51">
        <v>587.42396312645008</v>
      </c>
      <c r="J688" s="51">
        <v>11.151405593068228</v>
      </c>
    </row>
    <row r="689" spans="1:10" x14ac:dyDescent="0.25">
      <c r="A689" s="45"/>
      <c r="B689" s="36" t="s">
        <v>114</v>
      </c>
      <c r="C689" s="36">
        <v>1</v>
      </c>
      <c r="D689" s="37" t="s">
        <v>61</v>
      </c>
      <c r="E689" s="37" t="s">
        <v>82</v>
      </c>
      <c r="F689" s="37">
        <v>134</v>
      </c>
      <c r="G689" s="51">
        <v>2921935.2611058126</v>
      </c>
      <c r="H689" s="51">
        <v>13187.474356375364</v>
      </c>
      <c r="I689" s="51">
        <v>7178.033040635265</v>
      </c>
      <c r="J689" s="51">
        <v>5302.2024228068221</v>
      </c>
    </row>
    <row r="690" spans="1:10" x14ac:dyDescent="0.25">
      <c r="A690" s="45"/>
      <c r="B690" s="36" t="s">
        <v>115</v>
      </c>
      <c r="C690" s="36">
        <v>1</v>
      </c>
      <c r="D690" s="37" t="s">
        <v>61</v>
      </c>
      <c r="E690" s="37" t="s">
        <v>83</v>
      </c>
      <c r="F690" s="37">
        <v>252</v>
      </c>
      <c r="G690" s="51">
        <v>455179.99291296717</v>
      </c>
      <c r="H690" s="51">
        <v>4489.9559096827279</v>
      </c>
      <c r="I690" s="51">
        <v>1231.9748869219006</v>
      </c>
      <c r="J690" s="51">
        <v>654.79116491786817</v>
      </c>
    </row>
    <row r="691" spans="1:10" x14ac:dyDescent="0.25">
      <c r="A691" s="45"/>
      <c r="B691" s="36" t="s">
        <v>115</v>
      </c>
      <c r="C691" s="36">
        <v>2</v>
      </c>
      <c r="D691" s="37" t="s">
        <v>61</v>
      </c>
      <c r="E691" s="37" t="s">
        <v>84</v>
      </c>
      <c r="F691" s="37">
        <v>70</v>
      </c>
      <c r="G691" s="51">
        <v>849595.35407966806</v>
      </c>
      <c r="H691" s="51">
        <v>7759.0755740834138</v>
      </c>
      <c r="I691" s="51">
        <v>2873.385505978667</v>
      </c>
      <c r="J691" s="51">
        <v>1742.2865097276747</v>
      </c>
    </row>
    <row r="692" spans="1:10" x14ac:dyDescent="0.25">
      <c r="A692" s="45" t="s">
        <v>0</v>
      </c>
      <c r="B692" s="36"/>
      <c r="C692" s="36"/>
      <c r="D692" s="37"/>
      <c r="E692" s="37"/>
      <c r="F692" s="37"/>
      <c r="G692" s="51"/>
      <c r="H692" s="44"/>
      <c r="I692" s="44"/>
      <c r="J692" s="44"/>
    </row>
    <row r="693" spans="1:10" x14ac:dyDescent="0.25">
      <c r="A693" s="45" t="s">
        <v>123</v>
      </c>
      <c r="B693" s="36" t="s">
        <v>116</v>
      </c>
      <c r="C693" s="36">
        <v>1</v>
      </c>
      <c r="D693" s="37" t="s">
        <v>61</v>
      </c>
      <c r="E693" s="37" t="s">
        <v>85</v>
      </c>
      <c r="F693" s="37">
        <v>118</v>
      </c>
      <c r="G693" s="51">
        <v>4840585.2417027056</v>
      </c>
      <c r="H693" s="51">
        <v>12310.366199137807</v>
      </c>
      <c r="I693" s="51">
        <v>7713.7564617723729</v>
      </c>
      <c r="J693" s="51">
        <v>7320.7691177245697</v>
      </c>
    </row>
    <row r="694" spans="1:10" x14ac:dyDescent="0.25">
      <c r="A694" s="45" t="s">
        <v>124</v>
      </c>
      <c r="B694" s="36" t="s">
        <v>116</v>
      </c>
      <c r="C694" s="36">
        <v>2</v>
      </c>
      <c r="D694" s="37" t="s">
        <v>61</v>
      </c>
      <c r="E694" s="37" t="s">
        <v>86</v>
      </c>
      <c r="F694" s="37">
        <v>34</v>
      </c>
      <c r="G694" s="51">
        <v>7239843.9130631452</v>
      </c>
      <c r="H694" s="51">
        <v>17595.902441973099</v>
      </c>
      <c r="I694" s="51">
        <v>13024.972048284413</v>
      </c>
      <c r="J694" s="51">
        <v>11247.759942345947</v>
      </c>
    </row>
    <row r="695" spans="1:10" x14ac:dyDescent="0.25">
      <c r="A695" s="45"/>
      <c r="B695" s="36" t="s">
        <v>114</v>
      </c>
      <c r="C695" s="36">
        <v>1</v>
      </c>
      <c r="D695" s="37" t="s">
        <v>61</v>
      </c>
      <c r="E695" s="37" t="s">
        <v>87</v>
      </c>
      <c r="F695" s="37">
        <v>4</v>
      </c>
      <c r="G695" s="51">
        <v>147934.30534285054</v>
      </c>
      <c r="H695" s="51">
        <v>1296.6622892327346</v>
      </c>
      <c r="I695" s="51">
        <v>1119.2468269802039</v>
      </c>
      <c r="J695" s="51">
        <v>187.71137851864253</v>
      </c>
    </row>
    <row r="696" spans="1:10" x14ac:dyDescent="0.25">
      <c r="A696" s="45"/>
      <c r="B696" s="36"/>
      <c r="C696" s="36"/>
      <c r="D696" s="37"/>
      <c r="E696" s="37"/>
      <c r="F696" s="37"/>
      <c r="G696" s="51"/>
      <c r="H696" s="51"/>
      <c r="I696" s="51"/>
      <c r="J696" s="51"/>
    </row>
    <row r="698" spans="1:10" ht="13" x14ac:dyDescent="0.3">
      <c r="A698" s="27" t="s">
        <v>140</v>
      </c>
      <c r="B698" s="40"/>
      <c r="C698" s="8"/>
      <c r="D698" s="42"/>
      <c r="E698" s="30" t="s">
        <v>50</v>
      </c>
      <c r="F698" s="43"/>
      <c r="G698" s="43"/>
      <c r="H698" s="43"/>
      <c r="I698" s="43"/>
      <c r="J698" s="43"/>
    </row>
    <row r="699" spans="1:10" ht="78" x14ac:dyDescent="0.3">
      <c r="A699" s="27" t="s">
        <v>38</v>
      </c>
      <c r="B699" s="8" t="s">
        <v>64</v>
      </c>
      <c r="C699" s="8" t="s">
        <v>39</v>
      </c>
      <c r="D699" s="31" t="s">
        <v>102</v>
      </c>
      <c r="E699" s="31" t="s">
        <v>103</v>
      </c>
      <c r="F699" s="31" t="s">
        <v>104</v>
      </c>
      <c r="G699" s="31" t="s">
        <v>105</v>
      </c>
      <c r="H699" s="31" t="s">
        <v>106</v>
      </c>
      <c r="I699" s="31" t="s">
        <v>107</v>
      </c>
      <c r="J699" s="31" t="s">
        <v>108</v>
      </c>
    </row>
    <row r="700" spans="1:10" ht="13" x14ac:dyDescent="0.3">
      <c r="A700" s="27"/>
      <c r="B700" s="27"/>
      <c r="C700" s="8"/>
      <c r="D700" s="22"/>
      <c r="E700" s="22"/>
      <c r="F700" s="22"/>
      <c r="G700" s="22"/>
      <c r="H700" s="22"/>
      <c r="I700" s="22"/>
      <c r="J700" s="22"/>
    </row>
    <row r="701" spans="1:10" x14ac:dyDescent="0.25">
      <c r="A701" s="41" t="s">
        <v>120</v>
      </c>
      <c r="B701" s="36" t="s">
        <v>125</v>
      </c>
      <c r="C701" s="36">
        <v>1</v>
      </c>
      <c r="D701" s="37" t="s">
        <v>60</v>
      </c>
      <c r="E701" s="37" t="s">
        <v>88</v>
      </c>
      <c r="F701" s="37">
        <v>103</v>
      </c>
      <c r="G701" s="51">
        <v>32128097.69912383</v>
      </c>
      <c r="H701" s="51">
        <v>252658.6084229704</v>
      </c>
      <c r="I701" s="51">
        <v>67767.179654639796</v>
      </c>
      <c r="J701" s="51">
        <v>59998.272775917365</v>
      </c>
    </row>
    <row r="702" spans="1:10" x14ac:dyDescent="0.25">
      <c r="A702" s="45"/>
      <c r="B702" s="36" t="s">
        <v>125</v>
      </c>
      <c r="C702" s="36">
        <v>2</v>
      </c>
      <c r="D702" s="37" t="s">
        <v>60</v>
      </c>
      <c r="E702" s="37" t="s">
        <v>89</v>
      </c>
      <c r="F702" s="37">
        <v>92</v>
      </c>
      <c r="G702" s="51">
        <v>40387502.246876657</v>
      </c>
      <c r="H702" s="51">
        <v>255959.00547861849</v>
      </c>
      <c r="I702" s="51">
        <v>95564.449178232768</v>
      </c>
      <c r="J702" s="51">
        <v>85924.943795241168</v>
      </c>
    </row>
    <row r="703" spans="1:10" x14ac:dyDescent="0.25">
      <c r="A703" s="45"/>
      <c r="B703" s="36" t="s">
        <v>125</v>
      </c>
      <c r="C703" s="36">
        <v>3</v>
      </c>
      <c r="D703" s="37" t="s">
        <v>60</v>
      </c>
      <c r="E703" s="37" t="s">
        <v>90</v>
      </c>
      <c r="F703" s="37">
        <v>92</v>
      </c>
      <c r="G703" s="51">
        <v>42711150.431437388</v>
      </c>
      <c r="H703" s="51">
        <v>221597.86608215625</v>
      </c>
      <c r="I703" s="51">
        <v>93624.147407176453</v>
      </c>
      <c r="J703" s="51">
        <v>84994.184268373661</v>
      </c>
    </row>
    <row r="704" spans="1:10" x14ac:dyDescent="0.25">
      <c r="A704" s="45"/>
      <c r="B704" s="36" t="s">
        <v>125</v>
      </c>
      <c r="C704" s="36">
        <v>4</v>
      </c>
      <c r="D704" s="37" t="s">
        <v>60</v>
      </c>
      <c r="E704" s="37" t="s">
        <v>91</v>
      </c>
      <c r="F704" s="37">
        <v>100</v>
      </c>
      <c r="G704" s="51">
        <v>51535660.102079339</v>
      </c>
      <c r="H704" s="51">
        <v>232510.66859129706</v>
      </c>
      <c r="I704" s="51">
        <v>122333.48742374264</v>
      </c>
      <c r="J704" s="51">
        <v>105195.37000002194</v>
      </c>
    </row>
    <row r="705" spans="1:10" x14ac:dyDescent="0.25">
      <c r="A705" s="45"/>
      <c r="B705" s="36"/>
      <c r="C705" s="36"/>
      <c r="D705" s="37"/>
      <c r="E705" s="37"/>
      <c r="F705" s="37"/>
      <c r="G705" s="51"/>
      <c r="H705" s="51"/>
      <c r="I705" s="51"/>
      <c r="J705" s="51"/>
    </row>
    <row r="706" spans="1:10" x14ac:dyDescent="0.25">
      <c r="A706" s="45" t="s">
        <v>121</v>
      </c>
      <c r="B706" s="36" t="s">
        <v>63</v>
      </c>
      <c r="C706" s="36">
        <v>1</v>
      </c>
      <c r="D706" s="37" t="s">
        <v>60</v>
      </c>
      <c r="E706" s="36" t="s">
        <v>92</v>
      </c>
      <c r="F706" s="36">
        <v>99</v>
      </c>
      <c r="G706" s="51">
        <v>2179620.7336307424</v>
      </c>
      <c r="H706" s="51">
        <v>20433.311463550603</v>
      </c>
      <c r="I706" s="51">
        <v>4789.572890472582</v>
      </c>
      <c r="J706" s="51">
        <v>4025.6901344750772</v>
      </c>
    </row>
    <row r="707" spans="1:10" x14ac:dyDescent="0.25">
      <c r="A707" s="45" t="s">
        <v>122</v>
      </c>
      <c r="B707" s="36" t="s">
        <v>63</v>
      </c>
      <c r="C707" s="36">
        <v>2</v>
      </c>
      <c r="D707" s="37" t="s">
        <v>60</v>
      </c>
      <c r="E707" s="37" t="s">
        <v>93</v>
      </c>
      <c r="F707" s="37">
        <v>69</v>
      </c>
      <c r="G707" s="51">
        <v>2722549.1301724417</v>
      </c>
      <c r="H707" s="51">
        <v>13675.124652281005</v>
      </c>
      <c r="I707" s="51">
        <v>6251.5646754647387</v>
      </c>
      <c r="J707" s="51">
        <v>4013.4085274100185</v>
      </c>
    </row>
    <row r="708" spans="1:10" x14ac:dyDescent="0.25">
      <c r="A708" s="45"/>
      <c r="B708" s="36" t="s">
        <v>63</v>
      </c>
      <c r="C708" s="36">
        <v>3</v>
      </c>
      <c r="D708" s="37" t="s">
        <v>60</v>
      </c>
      <c r="E708" s="37" t="s">
        <v>94</v>
      </c>
      <c r="F708" s="37">
        <v>85</v>
      </c>
      <c r="G708" s="51">
        <v>2551545.5603328026</v>
      </c>
      <c r="H708" s="51">
        <v>10665.286294880434</v>
      </c>
      <c r="I708" s="51">
        <v>5828.5662476501238</v>
      </c>
      <c r="J708" s="51">
        <v>4212.1601037791379</v>
      </c>
    </row>
    <row r="709" spans="1:10" x14ac:dyDescent="0.25">
      <c r="A709" s="45"/>
      <c r="B709" s="36" t="s">
        <v>63</v>
      </c>
      <c r="C709" s="36">
        <v>4</v>
      </c>
      <c r="D709" s="37" t="s">
        <v>60</v>
      </c>
      <c r="E709" s="37" t="s">
        <v>95</v>
      </c>
      <c r="F709" s="37">
        <v>75</v>
      </c>
      <c r="G709" s="51">
        <v>3517474.498249419</v>
      </c>
      <c r="H709" s="51">
        <v>8313.4997475775053</v>
      </c>
      <c r="I709" s="51">
        <v>5735.9137193184797</v>
      </c>
      <c r="J709" s="51">
        <v>5387.7309155943349</v>
      </c>
    </row>
    <row r="710" spans="1:10" x14ac:dyDescent="0.25">
      <c r="A710" s="45"/>
      <c r="B710" s="36"/>
      <c r="C710" s="36"/>
      <c r="D710" s="37"/>
      <c r="E710" s="37"/>
      <c r="F710" s="37"/>
      <c r="G710" s="51"/>
      <c r="H710" s="51"/>
      <c r="I710" s="51"/>
      <c r="J710" s="51"/>
    </row>
    <row r="711" spans="1:10" x14ac:dyDescent="0.25">
      <c r="A711" s="45" t="s">
        <v>118</v>
      </c>
      <c r="B711" s="36" t="s">
        <v>112</v>
      </c>
      <c r="C711" s="36">
        <v>1</v>
      </c>
      <c r="D711" s="37" t="s">
        <v>61</v>
      </c>
      <c r="E711" s="37" t="s">
        <v>77</v>
      </c>
      <c r="F711" s="37">
        <v>128</v>
      </c>
      <c r="G711" s="51">
        <v>16624419.27756325</v>
      </c>
      <c r="H711" s="51">
        <v>68525.717493719116</v>
      </c>
      <c r="I711" s="51">
        <v>34847.995970200718</v>
      </c>
      <c r="J711" s="51">
        <v>26542.535177777478</v>
      </c>
    </row>
    <row r="712" spans="1:10" x14ac:dyDescent="0.25">
      <c r="A712" s="45" t="s">
        <v>119</v>
      </c>
      <c r="B712" s="36" t="s">
        <v>112</v>
      </c>
      <c r="C712" s="36">
        <v>2</v>
      </c>
      <c r="D712" s="37" t="s">
        <v>61</v>
      </c>
      <c r="E712" s="36" t="s">
        <v>78</v>
      </c>
      <c r="F712" s="36">
        <v>85</v>
      </c>
      <c r="G712" s="51">
        <v>20146797.046086587</v>
      </c>
      <c r="H712" s="51">
        <v>72656.951157495932</v>
      </c>
      <c r="I712" s="51">
        <v>39184.957871651881</v>
      </c>
      <c r="J712" s="51">
        <v>35386.217835989548</v>
      </c>
    </row>
    <row r="713" spans="1:10" x14ac:dyDescent="0.25">
      <c r="A713" s="46"/>
      <c r="B713" s="36" t="s">
        <v>112</v>
      </c>
      <c r="C713" s="36">
        <v>3</v>
      </c>
      <c r="D713" s="37" t="s">
        <v>61</v>
      </c>
      <c r="E713" s="38" t="s">
        <v>96</v>
      </c>
      <c r="F713" s="38">
        <v>104</v>
      </c>
      <c r="G713" s="51">
        <v>27815277.760300145</v>
      </c>
      <c r="H713" s="51">
        <v>87925.836525505161</v>
      </c>
      <c r="I713" s="51">
        <v>53014.410351997882</v>
      </c>
      <c r="J713" s="51">
        <v>47155.355380616333</v>
      </c>
    </row>
    <row r="714" spans="1:10" x14ac:dyDescent="0.25">
      <c r="A714" s="45"/>
      <c r="B714" s="36" t="s">
        <v>112</v>
      </c>
      <c r="C714" s="36">
        <v>4</v>
      </c>
      <c r="D714" s="37" t="s">
        <v>61</v>
      </c>
      <c r="E714" s="37" t="s">
        <v>62</v>
      </c>
      <c r="F714" s="37">
        <v>118</v>
      </c>
      <c r="G714" s="51">
        <v>42763867.240180135</v>
      </c>
      <c r="H714" s="51">
        <v>114807.21965379803</v>
      </c>
      <c r="I714" s="51">
        <v>82949.829534219243</v>
      </c>
      <c r="J714" s="51">
        <v>65443.293038658507</v>
      </c>
    </row>
    <row r="715" spans="1:10" x14ac:dyDescent="0.25">
      <c r="A715" s="45" t="s">
        <v>0</v>
      </c>
      <c r="B715" s="48" t="s">
        <v>114</v>
      </c>
      <c r="C715" s="36">
        <v>1</v>
      </c>
      <c r="D715" s="37" t="s">
        <v>61</v>
      </c>
      <c r="E715" s="37" t="s">
        <v>97</v>
      </c>
      <c r="F715" s="37">
        <v>125</v>
      </c>
      <c r="G715" s="51">
        <v>361206.78747673973</v>
      </c>
      <c r="H715" s="51">
        <v>3096.4545335936346</v>
      </c>
      <c r="I715" s="51">
        <v>1127.4236229458434</v>
      </c>
      <c r="J715" s="51">
        <v>249.30166543648457</v>
      </c>
    </row>
    <row r="716" spans="1:10" x14ac:dyDescent="0.25">
      <c r="A716" s="45"/>
      <c r="B716" s="48"/>
      <c r="C716" s="36"/>
      <c r="D716" s="37"/>
      <c r="E716" s="37"/>
      <c r="F716" s="37"/>
      <c r="G716" s="51"/>
      <c r="H716" s="51"/>
      <c r="I716" s="51"/>
      <c r="J716" s="51"/>
    </row>
    <row r="717" spans="1:10" x14ac:dyDescent="0.25">
      <c r="A717" s="45" t="s">
        <v>123</v>
      </c>
      <c r="B717" s="48" t="s">
        <v>116</v>
      </c>
      <c r="C717" s="36">
        <v>1</v>
      </c>
      <c r="D717" s="37" t="s">
        <v>61</v>
      </c>
      <c r="E717" s="37" t="s">
        <v>98</v>
      </c>
      <c r="F717" s="37">
        <v>245</v>
      </c>
      <c r="G717" s="51">
        <v>1805638.4218687597</v>
      </c>
      <c r="H717" s="51">
        <v>5006.4048611269282</v>
      </c>
      <c r="I717" s="51">
        <v>2718.8932141387841</v>
      </c>
      <c r="J717" s="51">
        <v>2557.7393450413401</v>
      </c>
    </row>
    <row r="718" spans="1:10" x14ac:dyDescent="0.25">
      <c r="A718" s="45" t="s">
        <v>124</v>
      </c>
      <c r="B718" s="48" t="s">
        <v>116</v>
      </c>
      <c r="C718" s="36">
        <v>2</v>
      </c>
      <c r="D718" s="37" t="s">
        <v>61</v>
      </c>
      <c r="E718" s="37" t="s">
        <v>99</v>
      </c>
      <c r="F718" s="37">
        <v>48</v>
      </c>
      <c r="G718" s="51">
        <v>3011896.1552870492</v>
      </c>
      <c r="H718" s="51">
        <v>7699.8825132271959</v>
      </c>
      <c r="I718" s="51">
        <v>4965.1981445045549</v>
      </c>
      <c r="J718" s="51">
        <v>4334.3623170605597</v>
      </c>
    </row>
    <row r="719" spans="1:10" x14ac:dyDescent="0.25">
      <c r="A719" s="45" t="s">
        <v>0</v>
      </c>
      <c r="B719" s="48" t="s">
        <v>116</v>
      </c>
      <c r="C719" s="36">
        <v>3</v>
      </c>
      <c r="D719" s="37" t="s">
        <v>61</v>
      </c>
      <c r="E719" s="37" t="s">
        <v>100</v>
      </c>
      <c r="F719" s="37">
        <v>19</v>
      </c>
      <c r="G719" s="51">
        <v>4063889.1193130426</v>
      </c>
      <c r="H719" s="51">
        <v>8848.5710980903059</v>
      </c>
      <c r="I719" s="51">
        <v>6826.460092918016</v>
      </c>
      <c r="J719" s="51">
        <v>5665.5660210402448</v>
      </c>
    </row>
    <row r="720" spans="1:10" x14ac:dyDescent="0.25">
      <c r="A720" s="45"/>
      <c r="B720" s="48" t="s">
        <v>114</v>
      </c>
      <c r="C720" s="36">
        <v>1</v>
      </c>
      <c r="D720" s="37" t="s">
        <v>61</v>
      </c>
      <c r="E720" s="37" t="s">
        <v>101</v>
      </c>
      <c r="F720" s="37">
        <v>2</v>
      </c>
      <c r="G720" s="51">
        <v>2847.6268175979508</v>
      </c>
      <c r="H720" s="51">
        <v>9.7439999999999998</v>
      </c>
      <c r="I720" s="51">
        <v>9.7978498796156597</v>
      </c>
      <c r="J720" s="51">
        <v>3.969818485706345</v>
      </c>
    </row>
    <row r="721" s="4" customFormat="1" x14ac:dyDescent="0.25"/>
    <row r="722" s="4" customFormat="1" x14ac:dyDescent="0.25"/>
  </sheetData>
  <mergeCells count="24">
    <mergeCell ref="A541:J541"/>
    <mergeCell ref="A363:J363"/>
    <mergeCell ref="A423:J423"/>
    <mergeCell ref="A483:J483"/>
    <mergeCell ref="A1:J1"/>
    <mergeCell ref="A61:J61"/>
    <mergeCell ref="A121:J121"/>
    <mergeCell ref="A181:J181"/>
    <mergeCell ref="A241:J241"/>
    <mergeCell ref="A303:J303"/>
    <mergeCell ref="A301:J301"/>
    <mergeCell ref="A361:J361"/>
    <mergeCell ref="A421:J421"/>
    <mergeCell ref="A481:J481"/>
    <mergeCell ref="A3:J3"/>
    <mergeCell ref="A63:J63"/>
    <mergeCell ref="A123:J123"/>
    <mergeCell ref="A183:J183"/>
    <mergeCell ref="A243:J243"/>
    <mergeCell ref="A543:J543"/>
    <mergeCell ref="A603:J603"/>
    <mergeCell ref="A601:J601"/>
    <mergeCell ref="A661:J661"/>
    <mergeCell ref="A663:J663"/>
  </mergeCells>
  <pageMargins left="0.7" right="0.7" top="0.75" bottom="0.75" header="0.3" footer="0.3"/>
  <pageSetup scale="56" orientation="portrait" r:id="rId1"/>
  <headerFooter>
    <oddHeader xml:space="preserve">&amp;RSchedule IV-J-4
&amp;A
Page &amp;P of &amp;N
</oddHeader>
    <oddFooter>&amp;LSponsored by: Nora D. Williams</oddFooter>
  </headerFooter>
  <rowBreaks count="12" manualBreakCount="12">
    <brk id="60" max="16383" man="1"/>
    <brk id="120" max="16383" man="1"/>
    <brk id="180" max="16383" man="1"/>
    <brk id="240" max="16383" man="1"/>
    <brk id="300" max="16383" man="1"/>
    <brk id="360" max="16383" man="1"/>
    <brk id="420" max="16383" man="1"/>
    <brk id="480" max="16383" man="1"/>
    <brk id="540" max="16383" man="1"/>
    <brk id="600" max="16383" man="1"/>
    <brk id="660" max="16383" man="1"/>
    <brk id="72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5"/>
  <sheetViews>
    <sheetView zoomScale="85" zoomScaleNormal="85" workbookViewId="0">
      <selection sqref="A1:S1"/>
    </sheetView>
  </sheetViews>
  <sheetFormatPr defaultRowHeight="12.5" x14ac:dyDescent="0.25"/>
  <cols>
    <col min="1" max="1" width="7.453125" bestFit="1" customWidth="1"/>
    <col min="2" max="2" width="7" bestFit="1" customWidth="1"/>
    <col min="3" max="3" width="6.54296875" customWidth="1"/>
    <col min="4" max="4" width="4.26953125" customWidth="1"/>
    <col min="5" max="5" width="7.453125" bestFit="1" customWidth="1"/>
    <col min="6" max="6" width="7" bestFit="1" customWidth="1"/>
    <col min="7" max="7" width="6.54296875" customWidth="1"/>
    <col min="8" max="8" width="4.26953125" customWidth="1"/>
    <col min="9" max="9" width="7.453125" bestFit="1" customWidth="1"/>
    <col min="10" max="10" width="6.81640625" customWidth="1"/>
    <col min="11" max="11" width="6.54296875" customWidth="1"/>
    <col min="12" max="12" width="4.26953125" customWidth="1"/>
    <col min="13" max="13" width="7.453125" bestFit="1" customWidth="1"/>
    <col min="14" max="14" width="7" bestFit="1" customWidth="1"/>
    <col min="15" max="15" width="6.54296875" customWidth="1"/>
    <col min="16" max="16" width="4.1796875" customWidth="1"/>
    <col min="17" max="17" width="7.453125" bestFit="1" customWidth="1"/>
    <col min="18" max="19" width="6.54296875" customWidth="1"/>
  </cols>
  <sheetData>
    <row r="1" spans="1:23" s="52" customFormat="1" ht="13" x14ac:dyDescent="0.3">
      <c r="A1" s="89" t="s">
        <v>136</v>
      </c>
      <c r="B1" s="88"/>
      <c r="C1" s="88"/>
      <c r="D1" s="88"/>
      <c r="E1" s="88"/>
      <c r="F1" s="88"/>
      <c r="G1" s="88"/>
      <c r="H1" s="88"/>
      <c r="I1" s="88"/>
      <c r="J1" s="88"/>
      <c r="K1" s="88"/>
      <c r="L1" s="88"/>
      <c r="M1" s="88"/>
      <c r="N1" s="88"/>
      <c r="O1" s="88"/>
      <c r="P1" s="88"/>
      <c r="Q1" s="88"/>
      <c r="R1" s="88"/>
      <c r="S1" s="88"/>
    </row>
    <row r="2" spans="1:23" ht="13" x14ac:dyDescent="0.3">
      <c r="A2" s="91" t="s">
        <v>59</v>
      </c>
      <c r="B2" s="91"/>
      <c r="C2" s="91"/>
      <c r="D2" s="91"/>
      <c r="E2" s="91"/>
      <c r="F2" s="91"/>
      <c r="G2" s="91"/>
      <c r="H2" s="91"/>
      <c r="I2" s="91"/>
      <c r="J2" s="91"/>
      <c r="K2" s="91"/>
      <c r="L2" s="91"/>
      <c r="M2" s="91"/>
      <c r="N2" s="91"/>
      <c r="O2" s="91"/>
      <c r="P2" s="91"/>
      <c r="Q2" s="91"/>
      <c r="R2" s="91"/>
      <c r="S2" s="91"/>
    </row>
    <row r="3" spans="1:23" ht="13" x14ac:dyDescent="0.3">
      <c r="A3" s="87" t="s">
        <v>157</v>
      </c>
      <c r="B3" s="88"/>
      <c r="C3" s="88"/>
      <c r="D3" s="88"/>
      <c r="E3" s="88"/>
      <c r="F3" s="88"/>
      <c r="G3" s="88"/>
      <c r="H3" s="88"/>
      <c r="I3" s="88"/>
      <c r="J3" s="88"/>
      <c r="K3" s="88"/>
      <c r="L3" s="88"/>
      <c r="M3" s="88"/>
      <c r="N3" s="88"/>
      <c r="O3" s="88"/>
      <c r="P3" s="88"/>
      <c r="Q3" s="88"/>
      <c r="R3" s="88"/>
      <c r="S3" s="88"/>
    </row>
    <row r="4" spans="1:23" ht="13" x14ac:dyDescent="0.3">
      <c r="A4" s="92" t="s">
        <v>135</v>
      </c>
      <c r="B4" s="92"/>
      <c r="C4" s="92"/>
      <c r="D4" s="92"/>
      <c r="E4" s="92"/>
      <c r="F4" s="92"/>
      <c r="G4" s="92"/>
      <c r="H4" s="92"/>
      <c r="I4" s="92"/>
      <c r="J4" s="92"/>
      <c r="K4" s="92"/>
      <c r="L4" s="92"/>
      <c r="M4" s="92"/>
      <c r="N4" s="92"/>
      <c r="O4" s="92"/>
      <c r="P4" s="92"/>
      <c r="Q4" s="92"/>
      <c r="R4" s="92"/>
      <c r="S4" s="92"/>
    </row>
    <row r="5" spans="1:23" ht="13" x14ac:dyDescent="0.3">
      <c r="A5" s="83"/>
      <c r="B5" s="83"/>
      <c r="C5" s="83"/>
      <c r="D5" s="83"/>
      <c r="E5" s="83"/>
      <c r="F5" s="83"/>
      <c r="G5" s="83"/>
      <c r="H5" s="83"/>
      <c r="I5" s="83"/>
      <c r="J5" s="83"/>
      <c r="K5" s="83"/>
      <c r="L5" s="83"/>
      <c r="M5" s="83"/>
      <c r="N5" s="83"/>
      <c r="O5" s="83"/>
      <c r="P5" s="83"/>
      <c r="Q5" s="83"/>
      <c r="R5" s="83"/>
      <c r="S5" s="83"/>
    </row>
    <row r="6" spans="1:23" ht="13" x14ac:dyDescent="0.3">
      <c r="A6" s="92" t="s">
        <v>141</v>
      </c>
      <c r="B6" s="92"/>
      <c r="C6" s="92"/>
      <c r="D6" s="92"/>
      <c r="E6" s="92"/>
      <c r="F6" s="92"/>
      <c r="G6" s="92"/>
      <c r="H6" s="92"/>
      <c r="I6" s="92"/>
      <c r="J6" s="92"/>
      <c r="K6" s="92"/>
      <c r="L6" s="92"/>
      <c r="M6" s="92"/>
      <c r="N6" s="92"/>
      <c r="O6" s="92"/>
      <c r="P6" s="92"/>
      <c r="Q6" s="92"/>
      <c r="R6" s="92"/>
      <c r="S6" s="92"/>
    </row>
    <row r="7" spans="1:23" ht="13" x14ac:dyDescent="0.3">
      <c r="A7" s="1" t="s">
        <v>128</v>
      </c>
      <c r="B7" s="1"/>
      <c r="C7" s="28"/>
      <c r="D7" s="28"/>
      <c r="E7" s="1" t="s">
        <v>129</v>
      </c>
      <c r="F7" s="1"/>
      <c r="G7" s="28"/>
      <c r="H7" s="28"/>
      <c r="I7" s="1" t="s">
        <v>130</v>
      </c>
      <c r="J7" s="1"/>
      <c r="K7" s="28"/>
      <c r="M7" s="1" t="s">
        <v>131</v>
      </c>
      <c r="N7" s="1"/>
      <c r="O7" s="28"/>
      <c r="P7" s="28"/>
      <c r="Q7" s="1" t="s">
        <v>132</v>
      </c>
      <c r="R7" s="1"/>
      <c r="S7" s="28"/>
    </row>
    <row r="8" spans="1:23" s="32" customFormat="1" ht="26" x14ac:dyDescent="0.3">
      <c r="A8" s="29" t="s">
        <v>60</v>
      </c>
      <c r="B8" s="29" t="s">
        <v>127</v>
      </c>
      <c r="C8" s="29" t="s">
        <v>45</v>
      </c>
      <c r="D8" s="34"/>
      <c r="E8" s="29" t="s">
        <v>60</v>
      </c>
      <c r="F8" s="29" t="s">
        <v>127</v>
      </c>
      <c r="G8" s="29" t="s">
        <v>45</v>
      </c>
      <c r="H8" s="29"/>
      <c r="I8" s="29" t="s">
        <v>60</v>
      </c>
      <c r="J8" s="29" t="s">
        <v>127</v>
      </c>
      <c r="K8" s="29" t="s">
        <v>45</v>
      </c>
      <c r="L8" s="50"/>
      <c r="M8" s="29" t="s">
        <v>60</v>
      </c>
      <c r="N8" s="29" t="s">
        <v>127</v>
      </c>
      <c r="O8" s="29" t="s">
        <v>45</v>
      </c>
      <c r="P8" s="29"/>
      <c r="Q8" s="29" t="s">
        <v>60</v>
      </c>
      <c r="R8" s="29" t="s">
        <v>127</v>
      </c>
      <c r="S8" s="29" t="s">
        <v>45</v>
      </c>
      <c r="W8"/>
    </row>
    <row r="9" spans="1:23" x14ac:dyDescent="0.25">
      <c r="A9" s="41"/>
      <c r="B9" s="41"/>
      <c r="C9" s="41"/>
      <c r="D9" s="39"/>
      <c r="E9" s="42"/>
      <c r="F9" s="41"/>
      <c r="G9" s="41"/>
      <c r="H9" s="41"/>
      <c r="I9" s="41"/>
      <c r="J9" s="41"/>
      <c r="K9" s="41"/>
      <c r="M9" s="40"/>
      <c r="N9" s="40"/>
      <c r="O9" s="36"/>
      <c r="P9" s="39"/>
      <c r="Q9" s="42"/>
      <c r="R9" s="41"/>
      <c r="S9" s="41"/>
    </row>
    <row r="10" spans="1:23" x14ac:dyDescent="0.25">
      <c r="A10">
        <v>0</v>
      </c>
      <c r="B10">
        <f>C10+B9</f>
        <v>2455</v>
      </c>
      <c r="C10">
        <v>2455</v>
      </c>
      <c r="D10" s="39"/>
      <c r="E10">
        <v>13500</v>
      </c>
      <c r="F10">
        <f>G10+F9</f>
        <v>9651</v>
      </c>
      <c r="G10">
        <v>9651</v>
      </c>
      <c r="I10">
        <v>20000</v>
      </c>
      <c r="J10">
        <f>K10+J9</f>
        <v>6442</v>
      </c>
      <c r="K10">
        <v>6442</v>
      </c>
      <c r="M10">
        <v>0</v>
      </c>
      <c r="N10">
        <f>O10+N9</f>
        <v>461</v>
      </c>
      <c r="O10">
        <v>461</v>
      </c>
      <c r="P10" s="39"/>
      <c r="Q10">
        <v>18000</v>
      </c>
      <c r="R10">
        <f>S10+R9</f>
        <v>7606</v>
      </c>
      <c r="S10">
        <v>7606</v>
      </c>
    </row>
    <row r="11" spans="1:23" x14ac:dyDescent="0.25">
      <c r="A11">
        <v>1000</v>
      </c>
      <c r="B11">
        <f t="shared" ref="B11:B24" si="0">C11+B10</f>
        <v>15352</v>
      </c>
      <c r="C11">
        <v>12897</v>
      </c>
      <c r="D11" s="39"/>
      <c r="E11">
        <v>14000</v>
      </c>
      <c r="F11">
        <f t="shared" ref="F11:F23" si="1">G11+F10</f>
        <v>22969</v>
      </c>
      <c r="G11">
        <v>13318</v>
      </c>
      <c r="I11">
        <v>22000</v>
      </c>
      <c r="J11">
        <f t="shared" ref="J11:J30" si="2">K11+J10</f>
        <v>32188</v>
      </c>
      <c r="K11">
        <v>25746</v>
      </c>
      <c r="M11">
        <v>1250</v>
      </c>
      <c r="N11">
        <f t="shared" ref="N11:N24" si="3">O11+N10</f>
        <v>4075</v>
      </c>
      <c r="O11">
        <v>3614</v>
      </c>
      <c r="P11" s="39"/>
      <c r="Q11">
        <v>21000</v>
      </c>
      <c r="R11">
        <f t="shared" ref="R11:R34" si="4">S11+R10</f>
        <v>29911</v>
      </c>
      <c r="S11">
        <v>22305</v>
      </c>
    </row>
    <row r="12" spans="1:23" x14ac:dyDescent="0.25">
      <c r="A12">
        <v>2000</v>
      </c>
      <c r="B12">
        <f t="shared" si="0"/>
        <v>25714</v>
      </c>
      <c r="C12">
        <v>10362</v>
      </c>
      <c r="D12" s="39"/>
      <c r="E12">
        <v>14500</v>
      </c>
      <c r="F12">
        <f t="shared" si="1"/>
        <v>35941</v>
      </c>
      <c r="G12">
        <v>12972</v>
      </c>
      <c r="I12">
        <v>24000</v>
      </c>
      <c r="J12">
        <f t="shared" si="2"/>
        <v>50880</v>
      </c>
      <c r="K12">
        <v>18692</v>
      </c>
      <c r="M12">
        <v>2500</v>
      </c>
      <c r="N12">
        <f t="shared" si="3"/>
        <v>7918</v>
      </c>
      <c r="O12">
        <v>3843</v>
      </c>
      <c r="P12" s="39"/>
      <c r="Q12">
        <v>24000</v>
      </c>
      <c r="R12">
        <f t="shared" si="4"/>
        <v>45359</v>
      </c>
      <c r="S12">
        <v>15448</v>
      </c>
    </row>
    <row r="13" spans="1:23" x14ac:dyDescent="0.25">
      <c r="A13">
        <v>3000</v>
      </c>
      <c r="B13">
        <f t="shared" si="0"/>
        <v>37082</v>
      </c>
      <c r="C13">
        <v>11368</v>
      </c>
      <c r="D13" s="39"/>
      <c r="E13">
        <v>15000</v>
      </c>
      <c r="F13">
        <f t="shared" si="1"/>
        <v>48398</v>
      </c>
      <c r="G13">
        <v>12457</v>
      </c>
      <c r="I13">
        <v>26000</v>
      </c>
      <c r="J13">
        <f t="shared" si="2"/>
        <v>64268</v>
      </c>
      <c r="K13">
        <v>13388</v>
      </c>
      <c r="M13">
        <v>3750</v>
      </c>
      <c r="N13">
        <f t="shared" si="3"/>
        <v>13496</v>
      </c>
      <c r="O13">
        <v>5578</v>
      </c>
      <c r="P13" s="39"/>
      <c r="Q13">
        <v>27000</v>
      </c>
      <c r="R13">
        <f t="shared" si="4"/>
        <v>55118</v>
      </c>
      <c r="S13">
        <v>9759</v>
      </c>
    </row>
    <row r="14" spans="1:23" x14ac:dyDescent="0.25">
      <c r="A14">
        <v>4000</v>
      </c>
      <c r="B14">
        <f t="shared" si="0"/>
        <v>50353</v>
      </c>
      <c r="C14">
        <v>13271</v>
      </c>
      <c r="D14" s="39"/>
      <c r="E14">
        <v>15500</v>
      </c>
      <c r="F14">
        <f t="shared" si="1"/>
        <v>60527</v>
      </c>
      <c r="G14">
        <v>12129</v>
      </c>
      <c r="I14">
        <v>28000</v>
      </c>
      <c r="J14">
        <f t="shared" si="2"/>
        <v>73873</v>
      </c>
      <c r="K14">
        <v>9605</v>
      </c>
      <c r="M14">
        <v>5000</v>
      </c>
      <c r="N14">
        <f t="shared" si="3"/>
        <v>21614</v>
      </c>
      <c r="O14">
        <v>8118</v>
      </c>
      <c r="P14" s="39"/>
      <c r="Q14">
        <v>30000</v>
      </c>
      <c r="R14">
        <f t="shared" si="4"/>
        <v>61272</v>
      </c>
      <c r="S14">
        <v>6154</v>
      </c>
    </row>
    <row r="15" spans="1:23" x14ac:dyDescent="0.25">
      <c r="A15">
        <v>5000</v>
      </c>
      <c r="B15">
        <f t="shared" si="0"/>
        <v>66545</v>
      </c>
      <c r="C15">
        <v>16192</v>
      </c>
      <c r="D15" s="39"/>
      <c r="E15">
        <v>16000</v>
      </c>
      <c r="F15">
        <f t="shared" si="1"/>
        <v>72474</v>
      </c>
      <c r="G15">
        <v>11947</v>
      </c>
      <c r="I15">
        <v>30000</v>
      </c>
      <c r="J15">
        <f t="shared" si="2"/>
        <v>80469</v>
      </c>
      <c r="K15">
        <v>6596</v>
      </c>
      <c r="M15">
        <v>6250</v>
      </c>
      <c r="N15">
        <f t="shared" si="3"/>
        <v>32033</v>
      </c>
      <c r="O15">
        <v>10419</v>
      </c>
      <c r="P15" s="39"/>
      <c r="Q15">
        <v>33000</v>
      </c>
      <c r="R15">
        <f t="shared" si="4"/>
        <v>64991</v>
      </c>
      <c r="S15">
        <v>3719</v>
      </c>
    </row>
    <row r="16" spans="1:23" x14ac:dyDescent="0.25">
      <c r="A16">
        <v>6000</v>
      </c>
      <c r="B16">
        <f t="shared" si="0"/>
        <v>85324</v>
      </c>
      <c r="C16">
        <v>18779</v>
      </c>
      <c r="D16" s="39"/>
      <c r="E16">
        <v>16500</v>
      </c>
      <c r="F16">
        <f t="shared" si="1"/>
        <v>83756</v>
      </c>
      <c r="G16">
        <v>11282</v>
      </c>
      <c r="I16">
        <v>32000</v>
      </c>
      <c r="J16">
        <f t="shared" si="2"/>
        <v>84999</v>
      </c>
      <c r="K16">
        <v>4530</v>
      </c>
      <c r="M16">
        <v>7500</v>
      </c>
      <c r="N16">
        <f t="shared" si="3"/>
        <v>44018</v>
      </c>
      <c r="O16">
        <v>11985</v>
      </c>
      <c r="P16" s="39"/>
      <c r="Q16">
        <v>36000</v>
      </c>
      <c r="R16">
        <f t="shared" si="4"/>
        <v>67339</v>
      </c>
      <c r="S16">
        <v>2348</v>
      </c>
    </row>
    <row r="17" spans="1:19" x14ac:dyDescent="0.25">
      <c r="A17">
        <v>7000</v>
      </c>
      <c r="B17">
        <f t="shared" si="0"/>
        <v>106505</v>
      </c>
      <c r="C17">
        <v>21181</v>
      </c>
      <c r="D17" s="39"/>
      <c r="E17">
        <v>17000</v>
      </c>
      <c r="F17">
        <f t="shared" si="1"/>
        <v>94619</v>
      </c>
      <c r="G17">
        <v>10863</v>
      </c>
      <c r="I17">
        <v>34000</v>
      </c>
      <c r="J17">
        <f t="shared" si="2"/>
        <v>88164</v>
      </c>
      <c r="K17">
        <v>3165</v>
      </c>
      <c r="M17">
        <v>8750</v>
      </c>
      <c r="N17">
        <f t="shared" si="3"/>
        <v>57178</v>
      </c>
      <c r="O17">
        <v>13160</v>
      </c>
      <c r="P17" s="39"/>
      <c r="Q17">
        <v>39000</v>
      </c>
      <c r="R17">
        <f t="shared" si="4"/>
        <v>68830</v>
      </c>
      <c r="S17">
        <v>1491</v>
      </c>
    </row>
    <row r="18" spans="1:19" x14ac:dyDescent="0.25">
      <c r="A18">
        <v>8000</v>
      </c>
      <c r="B18">
        <f t="shared" si="0"/>
        <v>129401</v>
      </c>
      <c r="C18">
        <v>22896</v>
      </c>
      <c r="D18" s="39"/>
      <c r="E18">
        <v>17500</v>
      </c>
      <c r="F18">
        <f t="shared" si="1"/>
        <v>105133</v>
      </c>
      <c r="G18">
        <v>10514</v>
      </c>
      <c r="I18">
        <v>36000</v>
      </c>
      <c r="J18">
        <f t="shared" si="2"/>
        <v>90439</v>
      </c>
      <c r="K18">
        <v>2275</v>
      </c>
      <c r="M18">
        <v>10000</v>
      </c>
      <c r="N18">
        <f t="shared" si="3"/>
        <v>70949</v>
      </c>
      <c r="O18">
        <v>13771</v>
      </c>
      <c r="P18" s="39"/>
      <c r="Q18">
        <v>42000</v>
      </c>
      <c r="R18">
        <f t="shared" si="4"/>
        <v>69804</v>
      </c>
      <c r="S18">
        <v>974</v>
      </c>
    </row>
    <row r="19" spans="1:19" x14ac:dyDescent="0.25">
      <c r="A19">
        <v>9000</v>
      </c>
      <c r="B19">
        <f t="shared" si="0"/>
        <v>154218</v>
      </c>
      <c r="C19">
        <v>24817</v>
      </c>
      <c r="D19" s="39"/>
      <c r="E19">
        <v>18000</v>
      </c>
      <c r="F19">
        <f t="shared" si="1"/>
        <v>114839</v>
      </c>
      <c r="G19">
        <v>9706</v>
      </c>
      <c r="I19">
        <v>38000</v>
      </c>
      <c r="J19">
        <f t="shared" si="2"/>
        <v>92077</v>
      </c>
      <c r="K19">
        <v>1638</v>
      </c>
      <c r="M19">
        <v>11250</v>
      </c>
      <c r="N19">
        <f t="shared" si="3"/>
        <v>84985</v>
      </c>
      <c r="O19">
        <v>14036</v>
      </c>
      <c r="P19" s="39"/>
      <c r="Q19">
        <v>45000</v>
      </c>
      <c r="R19">
        <f t="shared" si="4"/>
        <v>70469</v>
      </c>
      <c r="S19">
        <v>665</v>
      </c>
    </row>
    <row r="20" spans="1:19" x14ac:dyDescent="0.25">
      <c r="A20">
        <v>10000</v>
      </c>
      <c r="B20">
        <f t="shared" si="0"/>
        <v>180188</v>
      </c>
      <c r="C20">
        <v>25970</v>
      </c>
      <c r="D20" s="39"/>
      <c r="E20">
        <v>18500</v>
      </c>
      <c r="F20">
        <f t="shared" si="1"/>
        <v>124122</v>
      </c>
      <c r="G20">
        <v>9283</v>
      </c>
      <c r="I20">
        <v>40000</v>
      </c>
      <c r="J20">
        <f t="shared" si="2"/>
        <v>93247</v>
      </c>
      <c r="K20">
        <v>1170</v>
      </c>
      <c r="M20">
        <v>12500</v>
      </c>
      <c r="N20">
        <f t="shared" si="3"/>
        <v>99187</v>
      </c>
      <c r="O20">
        <v>14202</v>
      </c>
      <c r="Q20">
        <v>48000</v>
      </c>
      <c r="R20">
        <f t="shared" si="4"/>
        <v>70913</v>
      </c>
      <c r="S20">
        <v>444</v>
      </c>
    </row>
    <row r="21" spans="1:19" x14ac:dyDescent="0.25">
      <c r="A21">
        <v>11000</v>
      </c>
      <c r="B21">
        <f t="shared" si="0"/>
        <v>206866</v>
      </c>
      <c r="C21">
        <v>26678</v>
      </c>
      <c r="D21" s="39"/>
      <c r="E21">
        <v>19000</v>
      </c>
      <c r="F21">
        <f t="shared" si="1"/>
        <v>132830</v>
      </c>
      <c r="G21">
        <v>8708</v>
      </c>
      <c r="I21">
        <v>42000</v>
      </c>
      <c r="J21">
        <f t="shared" si="2"/>
        <v>94163</v>
      </c>
      <c r="K21">
        <v>916</v>
      </c>
      <c r="M21">
        <v>13750</v>
      </c>
      <c r="N21">
        <f t="shared" si="3"/>
        <v>113107</v>
      </c>
      <c r="O21">
        <v>13920</v>
      </c>
      <c r="Q21">
        <v>51000</v>
      </c>
      <c r="R21">
        <f t="shared" si="4"/>
        <v>71220</v>
      </c>
      <c r="S21">
        <v>307</v>
      </c>
    </row>
    <row r="22" spans="1:19" x14ac:dyDescent="0.25">
      <c r="A22">
        <v>12000</v>
      </c>
      <c r="B22">
        <f t="shared" si="0"/>
        <v>234027</v>
      </c>
      <c r="C22">
        <v>27161</v>
      </c>
      <c r="D22" s="39"/>
      <c r="E22">
        <v>19500</v>
      </c>
      <c r="F22">
        <f t="shared" si="1"/>
        <v>140947</v>
      </c>
      <c r="G22">
        <v>8117</v>
      </c>
      <c r="I22">
        <v>44000</v>
      </c>
      <c r="J22">
        <f t="shared" si="2"/>
        <v>94819</v>
      </c>
      <c r="K22">
        <v>656</v>
      </c>
      <c r="M22">
        <v>15000</v>
      </c>
      <c r="N22">
        <f t="shared" si="3"/>
        <v>126673</v>
      </c>
      <c r="O22">
        <v>13566</v>
      </c>
      <c r="Q22">
        <v>54000</v>
      </c>
      <c r="R22">
        <f t="shared" si="4"/>
        <v>71469</v>
      </c>
      <c r="S22">
        <v>249</v>
      </c>
    </row>
    <row r="23" spans="1:19" x14ac:dyDescent="0.25">
      <c r="A23">
        <v>13000</v>
      </c>
      <c r="B23">
        <f t="shared" si="0"/>
        <v>260910</v>
      </c>
      <c r="C23">
        <v>26883</v>
      </c>
      <c r="D23" s="39"/>
      <c r="E23">
        <v>19580</v>
      </c>
      <c r="F23">
        <f t="shared" si="1"/>
        <v>142221</v>
      </c>
      <c r="G23">
        <v>1274</v>
      </c>
      <c r="I23">
        <v>46000</v>
      </c>
      <c r="J23">
        <f t="shared" si="2"/>
        <v>95333</v>
      </c>
      <c r="K23">
        <v>514</v>
      </c>
      <c r="M23">
        <v>16250</v>
      </c>
      <c r="N23">
        <f t="shared" si="3"/>
        <v>139631</v>
      </c>
      <c r="O23">
        <v>12958</v>
      </c>
      <c r="Q23">
        <v>57000</v>
      </c>
      <c r="R23">
        <f t="shared" si="4"/>
        <v>71632</v>
      </c>
      <c r="S23">
        <v>163</v>
      </c>
    </row>
    <row r="24" spans="1:19" x14ac:dyDescent="0.25">
      <c r="A24">
        <v>13134</v>
      </c>
      <c r="B24">
        <f t="shared" si="0"/>
        <v>264581</v>
      </c>
      <c r="C24">
        <v>3671</v>
      </c>
      <c r="D24" s="39"/>
      <c r="I24">
        <v>48000</v>
      </c>
      <c r="J24">
        <f t="shared" si="2"/>
        <v>95719</v>
      </c>
      <c r="K24">
        <v>386</v>
      </c>
      <c r="M24">
        <v>17169</v>
      </c>
      <c r="N24">
        <f t="shared" si="3"/>
        <v>148499</v>
      </c>
      <c r="O24">
        <v>8868</v>
      </c>
      <c r="Q24">
        <v>60000</v>
      </c>
      <c r="R24">
        <f t="shared" si="4"/>
        <v>71740</v>
      </c>
      <c r="S24">
        <v>108</v>
      </c>
    </row>
    <row r="25" spans="1:19" x14ac:dyDescent="0.25">
      <c r="D25" s="39"/>
      <c r="I25">
        <v>50000</v>
      </c>
      <c r="J25">
        <f t="shared" si="2"/>
        <v>96053</v>
      </c>
      <c r="K25">
        <v>334</v>
      </c>
      <c r="Q25">
        <v>70000</v>
      </c>
      <c r="R25">
        <f t="shared" si="4"/>
        <v>71947</v>
      </c>
      <c r="S25">
        <v>207</v>
      </c>
    </row>
    <row r="26" spans="1:19" x14ac:dyDescent="0.25">
      <c r="D26" s="39"/>
      <c r="I26">
        <v>100000</v>
      </c>
      <c r="J26">
        <f t="shared" si="2"/>
        <v>97380</v>
      </c>
      <c r="K26">
        <v>1327</v>
      </c>
      <c r="Q26">
        <v>80000</v>
      </c>
      <c r="R26">
        <f t="shared" si="4"/>
        <v>72047</v>
      </c>
      <c r="S26">
        <v>100</v>
      </c>
    </row>
    <row r="27" spans="1:19" x14ac:dyDescent="0.25">
      <c r="D27" s="39"/>
      <c r="I27">
        <v>150000</v>
      </c>
      <c r="J27">
        <f t="shared" si="2"/>
        <v>97450</v>
      </c>
      <c r="K27">
        <v>70</v>
      </c>
      <c r="Q27">
        <v>90000</v>
      </c>
      <c r="R27">
        <f t="shared" si="4"/>
        <v>72086</v>
      </c>
      <c r="S27">
        <v>39</v>
      </c>
    </row>
    <row r="28" spans="1:19" x14ac:dyDescent="0.25">
      <c r="D28" s="39"/>
      <c r="E28" s="42"/>
      <c r="F28" s="41"/>
      <c r="G28" s="41"/>
      <c r="H28" s="41"/>
      <c r="I28">
        <v>200000</v>
      </c>
      <c r="J28">
        <f t="shared" si="2"/>
        <v>97460</v>
      </c>
      <c r="K28">
        <v>10</v>
      </c>
      <c r="Q28">
        <v>100000</v>
      </c>
      <c r="R28">
        <f t="shared" si="4"/>
        <v>72108</v>
      </c>
      <c r="S28">
        <v>22</v>
      </c>
    </row>
    <row r="29" spans="1:19" x14ac:dyDescent="0.25">
      <c r="D29" s="39"/>
      <c r="E29" s="42"/>
      <c r="F29" s="41"/>
      <c r="G29" s="41"/>
      <c r="H29" s="41"/>
      <c r="I29">
        <v>250000</v>
      </c>
      <c r="J29">
        <f t="shared" si="2"/>
        <v>97462</v>
      </c>
      <c r="K29">
        <v>2</v>
      </c>
      <c r="L29" s="41"/>
      <c r="Q29">
        <v>110000</v>
      </c>
      <c r="R29">
        <f t="shared" si="4"/>
        <v>72125</v>
      </c>
      <c r="S29">
        <v>17</v>
      </c>
    </row>
    <row r="30" spans="1:19" x14ac:dyDescent="0.25">
      <c r="D30" s="39"/>
      <c r="E30" s="42"/>
      <c r="F30" s="41"/>
      <c r="G30" s="41"/>
      <c r="H30" s="41"/>
      <c r="I30">
        <v>825011</v>
      </c>
      <c r="J30">
        <f t="shared" si="2"/>
        <v>97466</v>
      </c>
      <c r="K30">
        <v>4</v>
      </c>
      <c r="L30" s="41"/>
      <c r="Q30">
        <v>120000</v>
      </c>
      <c r="R30">
        <f t="shared" si="4"/>
        <v>72134</v>
      </c>
      <c r="S30">
        <v>9</v>
      </c>
    </row>
    <row r="31" spans="1:19" x14ac:dyDescent="0.25">
      <c r="D31" s="39"/>
      <c r="E31" s="42"/>
      <c r="F31" s="41"/>
      <c r="G31" s="41"/>
      <c r="H31" s="41"/>
      <c r="J31" s="41"/>
      <c r="K31" s="41"/>
      <c r="L31" s="41"/>
      <c r="Q31">
        <v>130000</v>
      </c>
      <c r="R31">
        <f t="shared" si="4"/>
        <v>72143</v>
      </c>
      <c r="S31">
        <v>9</v>
      </c>
    </row>
    <row r="32" spans="1:19" x14ac:dyDescent="0.25">
      <c r="D32" s="39"/>
      <c r="E32" s="42"/>
      <c r="F32" s="41"/>
      <c r="G32" s="41"/>
      <c r="H32" s="41"/>
      <c r="J32" s="41"/>
      <c r="K32" s="41"/>
      <c r="L32" s="41"/>
      <c r="Q32">
        <v>140000</v>
      </c>
      <c r="R32">
        <f t="shared" si="4"/>
        <v>72147</v>
      </c>
      <c r="S32">
        <v>4</v>
      </c>
    </row>
    <row r="33" spans="1:19" x14ac:dyDescent="0.25">
      <c r="D33" s="39"/>
      <c r="E33" s="42"/>
      <c r="F33" s="41"/>
      <c r="G33" s="41"/>
      <c r="H33" s="41"/>
      <c r="J33" s="41"/>
      <c r="K33" s="41"/>
      <c r="L33" s="41"/>
      <c r="Q33">
        <v>150000</v>
      </c>
      <c r="R33">
        <f t="shared" si="4"/>
        <v>72149</v>
      </c>
      <c r="S33">
        <v>2</v>
      </c>
    </row>
    <row r="34" spans="1:19" x14ac:dyDescent="0.25">
      <c r="D34" s="39"/>
      <c r="E34" s="42"/>
      <c r="F34" s="41"/>
      <c r="G34" s="41"/>
      <c r="H34" s="41"/>
      <c r="J34" s="41"/>
      <c r="K34" s="41"/>
      <c r="L34" s="41"/>
      <c r="Q34">
        <v>306406</v>
      </c>
      <c r="R34">
        <f t="shared" si="4"/>
        <v>72158</v>
      </c>
      <c r="S34">
        <v>9</v>
      </c>
    </row>
    <row r="35" spans="1:19" x14ac:dyDescent="0.25">
      <c r="D35" s="39"/>
      <c r="E35" s="42"/>
      <c r="F35" s="41"/>
      <c r="G35" s="41"/>
      <c r="H35" s="41"/>
      <c r="J35" s="41"/>
      <c r="K35" s="41"/>
      <c r="L35" s="41"/>
    </row>
    <row r="36" spans="1:19" ht="13" x14ac:dyDescent="0.3">
      <c r="A36" s="91" t="s">
        <v>154</v>
      </c>
      <c r="B36" s="91"/>
      <c r="C36" s="91"/>
      <c r="D36" s="91"/>
      <c r="E36" s="91"/>
      <c r="F36" s="91"/>
      <c r="G36" s="91"/>
      <c r="H36" s="91"/>
      <c r="I36" s="91"/>
      <c r="J36" s="91"/>
      <c r="K36" s="91"/>
      <c r="L36" s="91"/>
      <c r="M36" s="91"/>
      <c r="N36" s="91"/>
      <c r="O36" s="91"/>
      <c r="P36" s="91"/>
      <c r="Q36" s="91"/>
      <c r="R36" s="91"/>
      <c r="S36" s="91"/>
    </row>
    <row r="37" spans="1:19" ht="13" x14ac:dyDescent="0.3">
      <c r="A37" s="91" t="s">
        <v>41</v>
      </c>
      <c r="B37" s="91"/>
      <c r="C37" s="91"/>
      <c r="D37" s="91"/>
      <c r="E37" s="91" t="s">
        <v>42</v>
      </c>
      <c r="F37" s="91"/>
      <c r="G37" s="91"/>
      <c r="H37" s="8"/>
      <c r="I37" s="91" t="s">
        <v>43</v>
      </c>
      <c r="J37" s="91"/>
      <c r="K37" s="91"/>
      <c r="M37" s="91" t="s">
        <v>44</v>
      </c>
      <c r="N37" s="91"/>
      <c r="O37" s="91"/>
      <c r="P37" s="91"/>
    </row>
    <row r="38" spans="1:19" ht="26" x14ac:dyDescent="0.3">
      <c r="A38" s="29" t="s">
        <v>60</v>
      </c>
      <c r="B38" s="29" t="s">
        <v>127</v>
      </c>
      <c r="C38" s="29" t="s">
        <v>45</v>
      </c>
      <c r="D38" s="34"/>
      <c r="E38" s="29" t="s">
        <v>60</v>
      </c>
      <c r="F38" s="29" t="s">
        <v>127</v>
      </c>
      <c r="G38" s="29" t="s">
        <v>45</v>
      </c>
      <c r="H38" s="34"/>
      <c r="I38" s="29" t="s">
        <v>60</v>
      </c>
      <c r="J38" s="29" t="s">
        <v>127</v>
      </c>
      <c r="K38" s="29" t="s">
        <v>45</v>
      </c>
      <c r="M38" s="29" t="s">
        <v>60</v>
      </c>
      <c r="N38" s="29" t="s">
        <v>127</v>
      </c>
      <c r="O38" s="29" t="s">
        <v>45</v>
      </c>
      <c r="P38" s="39"/>
    </row>
    <row r="39" spans="1:19" ht="13" x14ac:dyDescent="0.3">
      <c r="A39" s="33"/>
      <c r="B39" s="33"/>
      <c r="C39" s="29"/>
      <c r="D39" s="29"/>
      <c r="E39" s="23"/>
      <c r="F39" s="33"/>
      <c r="G39" s="33"/>
      <c r="H39" s="33"/>
      <c r="I39" s="23"/>
      <c r="J39" s="33"/>
      <c r="K39" s="33"/>
      <c r="M39" s="40"/>
      <c r="N39" s="40"/>
      <c r="O39" s="36"/>
      <c r="P39" s="39"/>
    </row>
    <row r="40" spans="1:19" x14ac:dyDescent="0.25">
      <c r="A40">
        <v>0</v>
      </c>
      <c r="B40">
        <f>C40+B39</f>
        <v>1216</v>
      </c>
      <c r="C40">
        <v>1216</v>
      </c>
      <c r="E40">
        <v>10800</v>
      </c>
      <c r="F40">
        <f>G40+F39</f>
        <v>1019</v>
      </c>
      <c r="G40">
        <v>1019</v>
      </c>
      <c r="I40">
        <v>15250</v>
      </c>
      <c r="J40">
        <f>K40+J39</f>
        <v>544</v>
      </c>
      <c r="K40">
        <v>544</v>
      </c>
      <c r="M40">
        <v>21000</v>
      </c>
      <c r="N40">
        <f>O40+N39</f>
        <v>780</v>
      </c>
      <c r="O40">
        <v>780</v>
      </c>
      <c r="P40" s="39"/>
    </row>
    <row r="41" spans="1:19" x14ac:dyDescent="0.25">
      <c r="A41">
        <v>500</v>
      </c>
      <c r="B41">
        <f t="shared" ref="B41:B62" si="5">C41+B40</f>
        <v>4863</v>
      </c>
      <c r="C41">
        <v>3647</v>
      </c>
      <c r="E41">
        <v>11200</v>
      </c>
      <c r="F41">
        <f t="shared" ref="F41:F51" si="6">G41+F40</f>
        <v>4591</v>
      </c>
      <c r="G41">
        <v>3572</v>
      </c>
      <c r="I41">
        <v>15500</v>
      </c>
      <c r="J41">
        <f t="shared" ref="J41:J63" si="7">K41+J40</f>
        <v>2282</v>
      </c>
      <c r="K41">
        <v>1738</v>
      </c>
      <c r="M41">
        <v>22000</v>
      </c>
      <c r="N41">
        <f t="shared" ref="N41:N65" si="8">O41+N40</f>
        <v>3766</v>
      </c>
      <c r="O41">
        <v>2986</v>
      </c>
      <c r="P41" s="39"/>
    </row>
    <row r="42" spans="1:19" x14ac:dyDescent="0.25">
      <c r="A42">
        <v>1000</v>
      </c>
      <c r="B42">
        <f t="shared" si="5"/>
        <v>6738</v>
      </c>
      <c r="C42">
        <v>1875</v>
      </c>
      <c r="E42">
        <v>11600</v>
      </c>
      <c r="F42">
        <f t="shared" si="6"/>
        <v>8128</v>
      </c>
      <c r="G42">
        <v>3537</v>
      </c>
      <c r="I42">
        <v>15750</v>
      </c>
      <c r="J42">
        <f t="shared" si="7"/>
        <v>3955</v>
      </c>
      <c r="K42">
        <v>1673</v>
      </c>
      <c r="M42">
        <v>23000</v>
      </c>
      <c r="N42">
        <f t="shared" si="8"/>
        <v>6308</v>
      </c>
      <c r="O42">
        <v>2542</v>
      </c>
      <c r="P42" s="39"/>
    </row>
    <row r="43" spans="1:19" x14ac:dyDescent="0.25">
      <c r="A43">
        <v>1500</v>
      </c>
      <c r="B43">
        <f t="shared" si="5"/>
        <v>8329</v>
      </c>
      <c r="C43">
        <v>1591</v>
      </c>
      <c r="E43">
        <v>12000</v>
      </c>
      <c r="F43">
        <f t="shared" si="6"/>
        <v>11565</v>
      </c>
      <c r="G43">
        <v>3437</v>
      </c>
      <c r="I43">
        <v>16000</v>
      </c>
      <c r="J43">
        <f t="shared" si="7"/>
        <v>5550</v>
      </c>
      <c r="K43">
        <v>1595</v>
      </c>
      <c r="M43">
        <v>24000</v>
      </c>
      <c r="N43">
        <f t="shared" si="8"/>
        <v>8451</v>
      </c>
      <c r="O43">
        <v>2143</v>
      </c>
      <c r="P43" s="39"/>
    </row>
    <row r="44" spans="1:19" x14ac:dyDescent="0.25">
      <c r="A44">
        <v>2000</v>
      </c>
      <c r="B44">
        <f t="shared" si="5"/>
        <v>9865</v>
      </c>
      <c r="C44">
        <v>1536</v>
      </c>
      <c r="E44">
        <v>12400</v>
      </c>
      <c r="F44">
        <f t="shared" si="6"/>
        <v>14966</v>
      </c>
      <c r="G44">
        <v>3401</v>
      </c>
      <c r="I44">
        <v>16250</v>
      </c>
      <c r="J44">
        <f t="shared" si="7"/>
        <v>7124</v>
      </c>
      <c r="K44">
        <v>1574</v>
      </c>
      <c r="M44">
        <v>25000</v>
      </c>
      <c r="N44">
        <f t="shared" si="8"/>
        <v>10236</v>
      </c>
      <c r="O44">
        <v>1785</v>
      </c>
      <c r="P44" s="39"/>
    </row>
    <row r="45" spans="1:19" x14ac:dyDescent="0.25">
      <c r="A45">
        <v>2500</v>
      </c>
      <c r="B45">
        <f t="shared" si="5"/>
        <v>11445</v>
      </c>
      <c r="C45">
        <v>1580</v>
      </c>
      <c r="E45">
        <v>12800</v>
      </c>
      <c r="F45">
        <f t="shared" si="6"/>
        <v>18272</v>
      </c>
      <c r="G45">
        <v>3306</v>
      </c>
      <c r="I45">
        <v>16500</v>
      </c>
      <c r="J45">
        <f t="shared" si="7"/>
        <v>8640</v>
      </c>
      <c r="K45">
        <v>1516</v>
      </c>
      <c r="M45">
        <v>26000</v>
      </c>
      <c r="N45">
        <f t="shared" si="8"/>
        <v>11775</v>
      </c>
      <c r="O45">
        <v>1539</v>
      </c>
      <c r="P45" s="39"/>
    </row>
    <row r="46" spans="1:19" x14ac:dyDescent="0.25">
      <c r="A46">
        <v>3000</v>
      </c>
      <c r="B46">
        <f t="shared" si="5"/>
        <v>13161</v>
      </c>
      <c r="C46">
        <v>1716</v>
      </c>
      <c r="E46">
        <v>13200</v>
      </c>
      <c r="F46">
        <f t="shared" si="6"/>
        <v>21416</v>
      </c>
      <c r="G46">
        <v>3144</v>
      </c>
      <c r="I46">
        <v>16750</v>
      </c>
      <c r="J46">
        <f t="shared" si="7"/>
        <v>10095</v>
      </c>
      <c r="K46">
        <v>1455</v>
      </c>
      <c r="M46">
        <v>27000</v>
      </c>
      <c r="N46">
        <f t="shared" si="8"/>
        <v>12941</v>
      </c>
      <c r="O46">
        <v>1166</v>
      </c>
      <c r="P46" s="39"/>
    </row>
    <row r="47" spans="1:19" x14ac:dyDescent="0.25">
      <c r="A47">
        <v>3500</v>
      </c>
      <c r="B47">
        <f t="shared" si="5"/>
        <v>15031</v>
      </c>
      <c r="C47">
        <v>1870</v>
      </c>
      <c r="E47">
        <v>13600</v>
      </c>
      <c r="F47">
        <f t="shared" si="6"/>
        <v>24559</v>
      </c>
      <c r="G47">
        <v>3143</v>
      </c>
      <c r="I47">
        <v>17000</v>
      </c>
      <c r="J47">
        <f t="shared" si="7"/>
        <v>11485</v>
      </c>
      <c r="K47">
        <v>1390</v>
      </c>
      <c r="M47">
        <v>28000</v>
      </c>
      <c r="N47">
        <f t="shared" si="8"/>
        <v>14022</v>
      </c>
      <c r="O47">
        <v>1081</v>
      </c>
      <c r="P47" s="39"/>
    </row>
    <row r="48" spans="1:19" x14ac:dyDescent="0.25">
      <c r="A48">
        <v>4000</v>
      </c>
      <c r="B48">
        <f t="shared" si="5"/>
        <v>17087</v>
      </c>
      <c r="C48">
        <v>2056</v>
      </c>
      <c r="E48">
        <v>14000</v>
      </c>
      <c r="F48">
        <f t="shared" si="6"/>
        <v>27683</v>
      </c>
      <c r="G48">
        <v>3124</v>
      </c>
      <c r="I48">
        <v>17250</v>
      </c>
      <c r="J48">
        <f t="shared" si="7"/>
        <v>12832</v>
      </c>
      <c r="K48">
        <v>1347</v>
      </c>
      <c r="M48">
        <v>29000</v>
      </c>
      <c r="N48">
        <f t="shared" si="8"/>
        <v>14866</v>
      </c>
      <c r="O48">
        <v>844</v>
      </c>
      <c r="P48" s="39"/>
    </row>
    <row r="49" spans="1:16" x14ac:dyDescent="0.25">
      <c r="A49">
        <v>4500</v>
      </c>
      <c r="B49">
        <f t="shared" si="5"/>
        <v>19473</v>
      </c>
      <c r="C49">
        <v>2386</v>
      </c>
      <c r="E49">
        <v>14400</v>
      </c>
      <c r="F49">
        <f t="shared" si="6"/>
        <v>30671</v>
      </c>
      <c r="G49">
        <v>2988</v>
      </c>
      <c r="I49">
        <v>17500</v>
      </c>
      <c r="J49">
        <f t="shared" si="7"/>
        <v>14185</v>
      </c>
      <c r="K49">
        <v>1353</v>
      </c>
      <c r="M49">
        <v>30000</v>
      </c>
      <c r="N49">
        <f t="shared" si="8"/>
        <v>15606</v>
      </c>
      <c r="O49">
        <v>740</v>
      </c>
      <c r="P49" s="39"/>
    </row>
    <row r="50" spans="1:16" x14ac:dyDescent="0.25">
      <c r="A50">
        <v>5000</v>
      </c>
      <c r="B50">
        <f t="shared" si="5"/>
        <v>22138</v>
      </c>
      <c r="C50">
        <v>2665</v>
      </c>
      <c r="E50">
        <v>14800</v>
      </c>
      <c r="F50">
        <f t="shared" si="6"/>
        <v>33580</v>
      </c>
      <c r="G50">
        <v>2909</v>
      </c>
      <c r="I50">
        <v>17750</v>
      </c>
      <c r="J50">
        <f t="shared" si="7"/>
        <v>15519</v>
      </c>
      <c r="K50">
        <v>1334</v>
      </c>
      <c r="M50">
        <v>31000</v>
      </c>
      <c r="N50">
        <f t="shared" si="8"/>
        <v>16261</v>
      </c>
      <c r="O50">
        <v>655</v>
      </c>
      <c r="P50" s="39"/>
    </row>
    <row r="51" spans="1:16" x14ac:dyDescent="0.25">
      <c r="A51">
        <v>5500</v>
      </c>
      <c r="B51">
        <f t="shared" si="5"/>
        <v>25156</v>
      </c>
      <c r="C51">
        <v>3018</v>
      </c>
      <c r="E51">
        <v>15168</v>
      </c>
      <c r="F51">
        <f t="shared" si="6"/>
        <v>36155</v>
      </c>
      <c r="G51">
        <v>2575</v>
      </c>
      <c r="I51">
        <v>18000</v>
      </c>
      <c r="J51">
        <f t="shared" si="7"/>
        <v>16728</v>
      </c>
      <c r="K51">
        <v>1209</v>
      </c>
      <c r="M51">
        <v>32000</v>
      </c>
      <c r="N51">
        <f t="shared" si="8"/>
        <v>16775</v>
      </c>
      <c r="O51">
        <v>514</v>
      </c>
      <c r="P51" s="39"/>
    </row>
    <row r="52" spans="1:16" x14ac:dyDescent="0.25">
      <c r="A52">
        <v>6000</v>
      </c>
      <c r="B52">
        <f t="shared" si="5"/>
        <v>28454</v>
      </c>
      <c r="C52">
        <v>3298</v>
      </c>
      <c r="I52">
        <v>18250</v>
      </c>
      <c r="J52">
        <f t="shared" si="7"/>
        <v>17919</v>
      </c>
      <c r="K52">
        <v>1191</v>
      </c>
      <c r="M52">
        <v>33000</v>
      </c>
      <c r="N52">
        <f t="shared" si="8"/>
        <v>17190</v>
      </c>
      <c r="O52">
        <v>415</v>
      </c>
      <c r="P52" s="39"/>
    </row>
    <row r="53" spans="1:16" x14ac:dyDescent="0.25">
      <c r="A53">
        <v>6500</v>
      </c>
      <c r="B53">
        <f t="shared" si="5"/>
        <v>31861</v>
      </c>
      <c r="C53">
        <v>3407</v>
      </c>
      <c r="I53">
        <v>18500</v>
      </c>
      <c r="J53">
        <f t="shared" si="7"/>
        <v>19069</v>
      </c>
      <c r="K53">
        <v>1150</v>
      </c>
      <c r="M53">
        <v>34000</v>
      </c>
      <c r="N53">
        <f t="shared" si="8"/>
        <v>17529</v>
      </c>
      <c r="O53">
        <v>339</v>
      </c>
      <c r="P53" s="39"/>
    </row>
    <row r="54" spans="1:16" x14ac:dyDescent="0.25">
      <c r="A54">
        <v>7000</v>
      </c>
      <c r="B54">
        <f t="shared" si="5"/>
        <v>35596</v>
      </c>
      <c r="C54">
        <v>3735</v>
      </c>
      <c r="I54">
        <v>18750</v>
      </c>
      <c r="J54">
        <f t="shared" si="7"/>
        <v>20201</v>
      </c>
      <c r="K54">
        <v>1132</v>
      </c>
      <c r="M54">
        <v>35000</v>
      </c>
      <c r="N54">
        <f t="shared" si="8"/>
        <v>17848</v>
      </c>
      <c r="O54">
        <v>319</v>
      </c>
      <c r="P54" s="39"/>
    </row>
    <row r="55" spans="1:16" x14ac:dyDescent="0.25">
      <c r="A55">
        <v>7500</v>
      </c>
      <c r="B55">
        <f t="shared" si="5"/>
        <v>39575</v>
      </c>
      <c r="C55">
        <v>3979</v>
      </c>
      <c r="F55" s="35"/>
      <c r="G55" s="35"/>
      <c r="H55" s="35"/>
      <c r="I55">
        <v>19000</v>
      </c>
      <c r="J55">
        <f t="shared" si="7"/>
        <v>21320</v>
      </c>
      <c r="K55">
        <v>1119</v>
      </c>
      <c r="M55">
        <v>37500</v>
      </c>
      <c r="N55">
        <f t="shared" si="8"/>
        <v>18412</v>
      </c>
      <c r="O55">
        <v>564</v>
      </c>
      <c r="P55" s="39"/>
    </row>
    <row r="56" spans="1:16" x14ac:dyDescent="0.25">
      <c r="A56">
        <v>8000</v>
      </c>
      <c r="B56">
        <f t="shared" si="5"/>
        <v>43732</v>
      </c>
      <c r="C56">
        <v>4157</v>
      </c>
      <c r="F56" s="35"/>
      <c r="G56" s="35"/>
      <c r="H56" s="35"/>
      <c r="I56">
        <v>19250</v>
      </c>
      <c r="J56">
        <f t="shared" si="7"/>
        <v>22390</v>
      </c>
      <c r="K56">
        <v>1070</v>
      </c>
      <c r="M56">
        <v>40000</v>
      </c>
      <c r="N56">
        <f t="shared" si="8"/>
        <v>18810</v>
      </c>
      <c r="O56">
        <v>398</v>
      </c>
      <c r="P56" s="39"/>
    </row>
    <row r="57" spans="1:16" x14ac:dyDescent="0.25">
      <c r="A57">
        <v>8500</v>
      </c>
      <c r="B57">
        <f t="shared" si="5"/>
        <v>47898</v>
      </c>
      <c r="C57">
        <v>4166</v>
      </c>
      <c r="E57" s="41"/>
      <c r="F57" s="35"/>
      <c r="G57" s="35"/>
      <c r="H57" s="35"/>
      <c r="I57">
        <v>19500</v>
      </c>
      <c r="J57">
        <f t="shared" si="7"/>
        <v>23430</v>
      </c>
      <c r="K57">
        <v>1040</v>
      </c>
      <c r="M57">
        <v>42500</v>
      </c>
      <c r="N57">
        <f t="shared" si="8"/>
        <v>19087</v>
      </c>
      <c r="O57">
        <v>277</v>
      </c>
      <c r="P57" s="39"/>
    </row>
    <row r="58" spans="1:16" x14ac:dyDescent="0.25">
      <c r="A58">
        <v>9000</v>
      </c>
      <c r="B58">
        <f t="shared" si="5"/>
        <v>52194</v>
      </c>
      <c r="C58">
        <v>4296</v>
      </c>
      <c r="E58" s="41"/>
      <c r="F58" s="35"/>
      <c r="G58" s="35"/>
      <c r="H58" s="35"/>
      <c r="I58">
        <v>19750</v>
      </c>
      <c r="J58">
        <f t="shared" si="7"/>
        <v>24368</v>
      </c>
      <c r="K58">
        <v>938</v>
      </c>
      <c r="M58">
        <v>45000</v>
      </c>
      <c r="N58">
        <f t="shared" si="8"/>
        <v>19320</v>
      </c>
      <c r="O58">
        <v>233</v>
      </c>
      <c r="P58" s="39"/>
    </row>
    <row r="59" spans="1:16" x14ac:dyDescent="0.25">
      <c r="A59">
        <v>9500</v>
      </c>
      <c r="B59">
        <f t="shared" si="5"/>
        <v>56552</v>
      </c>
      <c r="C59">
        <v>4358</v>
      </c>
      <c r="E59" s="32"/>
      <c r="F59" s="35"/>
      <c r="G59" s="35"/>
      <c r="H59" s="35"/>
      <c r="I59">
        <v>20000</v>
      </c>
      <c r="J59">
        <f t="shared" si="7"/>
        <v>25329</v>
      </c>
      <c r="K59">
        <v>961</v>
      </c>
      <c r="M59">
        <v>47500</v>
      </c>
      <c r="N59">
        <f t="shared" si="8"/>
        <v>19452</v>
      </c>
      <c r="O59">
        <v>132</v>
      </c>
      <c r="P59" s="39"/>
    </row>
    <row r="60" spans="1:16" x14ac:dyDescent="0.25">
      <c r="A60">
        <v>10000</v>
      </c>
      <c r="B60">
        <f t="shared" si="5"/>
        <v>61100</v>
      </c>
      <c r="C60">
        <v>4548</v>
      </c>
      <c r="E60" s="32"/>
      <c r="F60" s="37"/>
      <c r="G60" s="37"/>
      <c r="H60" s="37"/>
      <c r="I60">
        <v>20250</v>
      </c>
      <c r="J60">
        <f t="shared" si="7"/>
        <v>26236</v>
      </c>
      <c r="K60">
        <v>907</v>
      </c>
      <c r="M60">
        <v>50000</v>
      </c>
      <c r="N60">
        <f t="shared" si="8"/>
        <v>19550</v>
      </c>
      <c r="O60">
        <v>98</v>
      </c>
      <c r="P60" s="39"/>
    </row>
    <row r="61" spans="1:16" x14ac:dyDescent="0.25">
      <c r="A61">
        <v>10500</v>
      </c>
      <c r="B61">
        <f t="shared" si="5"/>
        <v>65448</v>
      </c>
      <c r="C61">
        <v>4348</v>
      </c>
      <c r="D61" s="36"/>
      <c r="E61" s="32"/>
      <c r="F61" s="37"/>
      <c r="G61" s="37"/>
      <c r="H61" s="37"/>
      <c r="I61">
        <v>20500</v>
      </c>
      <c r="J61">
        <f t="shared" si="7"/>
        <v>27095</v>
      </c>
      <c r="K61">
        <v>859</v>
      </c>
      <c r="M61">
        <v>60000</v>
      </c>
      <c r="N61">
        <f t="shared" si="8"/>
        <v>19758</v>
      </c>
      <c r="O61">
        <v>208</v>
      </c>
      <c r="P61" s="39"/>
    </row>
    <row r="62" spans="1:16" x14ac:dyDescent="0.25">
      <c r="A62">
        <v>10692</v>
      </c>
      <c r="B62">
        <f t="shared" si="5"/>
        <v>67079</v>
      </c>
      <c r="C62">
        <v>1631</v>
      </c>
      <c r="D62" s="36"/>
      <c r="E62" s="32"/>
      <c r="F62" s="37"/>
      <c r="G62" s="37"/>
      <c r="H62" s="37"/>
      <c r="I62">
        <v>20750</v>
      </c>
      <c r="J62">
        <f t="shared" si="7"/>
        <v>27966</v>
      </c>
      <c r="K62">
        <v>871</v>
      </c>
      <c r="M62">
        <v>70000</v>
      </c>
      <c r="N62">
        <f t="shared" si="8"/>
        <v>19835</v>
      </c>
      <c r="O62">
        <v>77</v>
      </c>
      <c r="P62" s="39"/>
    </row>
    <row r="63" spans="1:16" x14ac:dyDescent="0.25">
      <c r="A63" s="40"/>
      <c r="B63" s="40"/>
      <c r="C63" s="36"/>
      <c r="D63" s="39"/>
      <c r="E63" s="42"/>
      <c r="F63" s="41"/>
      <c r="G63" s="41"/>
      <c r="H63" s="41"/>
      <c r="I63">
        <v>20767</v>
      </c>
      <c r="J63">
        <f t="shared" si="7"/>
        <v>28038</v>
      </c>
      <c r="K63">
        <v>72</v>
      </c>
      <c r="M63">
        <v>80000</v>
      </c>
      <c r="N63">
        <f t="shared" si="8"/>
        <v>19872</v>
      </c>
      <c r="O63">
        <v>37</v>
      </c>
      <c r="P63" s="39"/>
    </row>
    <row r="64" spans="1:16" x14ac:dyDescent="0.25">
      <c r="M64">
        <v>90000</v>
      </c>
      <c r="N64">
        <f t="shared" si="8"/>
        <v>19888</v>
      </c>
      <c r="O64">
        <v>16</v>
      </c>
      <c r="P64" s="39"/>
    </row>
    <row r="65" spans="1:19" x14ac:dyDescent="0.25">
      <c r="M65">
        <v>199105</v>
      </c>
      <c r="N65">
        <f t="shared" si="8"/>
        <v>19918</v>
      </c>
      <c r="O65" s="41">
        <v>30</v>
      </c>
      <c r="P65" s="39"/>
    </row>
    <row r="66" spans="1:19" x14ac:dyDescent="0.25">
      <c r="P66" s="39"/>
    </row>
    <row r="67" spans="1:19" s="52" customFormat="1" ht="13" x14ac:dyDescent="0.3">
      <c r="A67" s="89" t="s">
        <v>136</v>
      </c>
      <c r="B67" s="88"/>
      <c r="C67" s="88"/>
      <c r="D67" s="88"/>
      <c r="E67" s="88"/>
      <c r="F67" s="88"/>
      <c r="G67" s="88"/>
      <c r="H67" s="88"/>
      <c r="I67" s="88"/>
      <c r="J67" s="88"/>
      <c r="K67" s="88"/>
      <c r="L67" s="88"/>
      <c r="M67" s="88"/>
      <c r="N67" s="88"/>
      <c r="O67" s="88"/>
      <c r="P67" s="88"/>
      <c r="Q67" s="88"/>
      <c r="R67" s="88"/>
      <c r="S67" s="88"/>
    </row>
    <row r="68" spans="1:19" ht="13" x14ac:dyDescent="0.3">
      <c r="A68" s="91" t="s">
        <v>59</v>
      </c>
      <c r="B68" s="91"/>
      <c r="C68" s="91"/>
      <c r="D68" s="91"/>
      <c r="E68" s="91"/>
      <c r="F68" s="91"/>
      <c r="G68" s="91"/>
      <c r="H68" s="91"/>
      <c r="I68" s="91"/>
      <c r="J68" s="91"/>
      <c r="K68" s="91"/>
      <c r="L68" s="91"/>
      <c r="M68" s="91"/>
      <c r="N68" s="91"/>
      <c r="O68" s="91"/>
      <c r="P68" s="91"/>
      <c r="Q68" s="91"/>
      <c r="R68" s="91"/>
      <c r="S68" s="91"/>
    </row>
    <row r="69" spans="1:19" ht="13" x14ac:dyDescent="0.3">
      <c r="A69" s="87" t="s">
        <v>157</v>
      </c>
      <c r="B69" s="88"/>
      <c r="C69" s="88"/>
      <c r="D69" s="88"/>
      <c r="E69" s="88"/>
      <c r="F69" s="88"/>
      <c r="G69" s="88"/>
      <c r="H69" s="88"/>
      <c r="I69" s="88"/>
      <c r="J69" s="88"/>
      <c r="K69" s="88"/>
      <c r="L69" s="88"/>
      <c r="M69" s="88"/>
      <c r="N69" s="88"/>
      <c r="O69" s="88"/>
      <c r="P69" s="88"/>
      <c r="Q69" s="88"/>
      <c r="R69" s="88"/>
      <c r="S69" s="88"/>
    </row>
    <row r="70" spans="1:19" ht="13" x14ac:dyDescent="0.3">
      <c r="A70" s="92" t="s">
        <v>135</v>
      </c>
      <c r="B70" s="92"/>
      <c r="C70" s="92"/>
      <c r="D70" s="92"/>
      <c r="E70" s="92"/>
      <c r="F70" s="92"/>
      <c r="G70" s="92"/>
      <c r="H70" s="92"/>
      <c r="I70" s="92"/>
      <c r="J70" s="92"/>
      <c r="K70" s="92"/>
      <c r="L70" s="92"/>
      <c r="M70" s="92"/>
      <c r="N70" s="92"/>
      <c r="O70" s="92"/>
      <c r="P70" s="92"/>
      <c r="Q70" s="92"/>
      <c r="R70" s="92"/>
      <c r="S70" s="92"/>
    </row>
    <row r="71" spans="1:19" ht="13" x14ac:dyDescent="0.3">
      <c r="A71" s="83"/>
      <c r="B71" s="83"/>
      <c r="C71" s="83"/>
      <c r="D71" s="83"/>
      <c r="E71" s="83"/>
      <c r="F71" s="83"/>
      <c r="G71" s="83"/>
      <c r="H71" s="83"/>
      <c r="I71" s="83"/>
      <c r="J71" s="83"/>
      <c r="K71" s="83"/>
      <c r="L71" s="83"/>
      <c r="M71" s="83"/>
      <c r="N71" s="83"/>
      <c r="O71" s="83"/>
      <c r="P71" s="83"/>
      <c r="Q71" s="83"/>
      <c r="R71" s="83"/>
      <c r="S71" s="83"/>
    </row>
    <row r="72" spans="1:19" ht="13" x14ac:dyDescent="0.3">
      <c r="A72" s="92" t="s">
        <v>142</v>
      </c>
      <c r="B72" s="92"/>
      <c r="C72" s="92"/>
      <c r="D72" s="92"/>
      <c r="E72" s="92"/>
      <c r="F72" s="92"/>
      <c r="G72" s="92"/>
      <c r="H72" s="92"/>
      <c r="I72" s="92"/>
      <c r="J72" s="92"/>
      <c r="K72" s="92"/>
      <c r="L72" s="92"/>
      <c r="M72" s="92"/>
      <c r="N72" s="92"/>
      <c r="O72" s="92"/>
      <c r="P72" s="92"/>
      <c r="Q72" s="92"/>
      <c r="R72" s="92"/>
      <c r="S72" s="92"/>
    </row>
    <row r="73" spans="1:19" ht="13" x14ac:dyDescent="0.3">
      <c r="A73" s="1" t="s">
        <v>41</v>
      </c>
      <c r="B73" s="1"/>
      <c r="C73" s="28"/>
      <c r="D73" s="28"/>
      <c r="E73" s="1" t="s">
        <v>42</v>
      </c>
      <c r="F73" s="1"/>
      <c r="G73" s="28"/>
      <c r="H73" s="28"/>
      <c r="I73" s="1" t="s">
        <v>43</v>
      </c>
      <c r="J73" s="1"/>
      <c r="K73" s="28"/>
      <c r="M73" s="1" t="s">
        <v>44</v>
      </c>
      <c r="N73" s="1"/>
      <c r="O73" s="28"/>
      <c r="P73" s="28"/>
      <c r="Q73" s="1" t="s">
        <v>126</v>
      </c>
      <c r="R73" s="1"/>
      <c r="S73" s="28"/>
    </row>
    <row r="74" spans="1:19" ht="26" x14ac:dyDescent="0.3">
      <c r="A74" s="29" t="s">
        <v>60</v>
      </c>
      <c r="B74" s="29" t="s">
        <v>127</v>
      </c>
      <c r="C74" s="29" t="s">
        <v>45</v>
      </c>
      <c r="D74" s="29"/>
      <c r="E74" s="29" t="s">
        <v>60</v>
      </c>
      <c r="F74" s="29" t="s">
        <v>127</v>
      </c>
      <c r="G74" s="29" t="s">
        <v>45</v>
      </c>
      <c r="H74" s="29"/>
      <c r="I74" s="29" t="s">
        <v>60</v>
      </c>
      <c r="J74" s="29" t="s">
        <v>127</v>
      </c>
      <c r="K74" s="29" t="s">
        <v>45</v>
      </c>
      <c r="L74" s="50"/>
      <c r="M74" s="29" t="s">
        <v>60</v>
      </c>
      <c r="N74" s="29" t="s">
        <v>127</v>
      </c>
      <c r="O74" s="29" t="s">
        <v>45</v>
      </c>
      <c r="P74" s="29"/>
      <c r="Q74" s="29" t="s">
        <v>60</v>
      </c>
      <c r="R74" s="29" t="s">
        <v>127</v>
      </c>
      <c r="S74" s="29" t="s">
        <v>45</v>
      </c>
    </row>
    <row r="75" spans="1:19" x14ac:dyDescent="0.25">
      <c r="A75" s="41"/>
      <c r="B75" s="41"/>
      <c r="C75" s="41"/>
      <c r="D75" s="39"/>
      <c r="E75" s="42"/>
      <c r="F75" s="41"/>
      <c r="G75" s="41"/>
      <c r="H75" s="41"/>
      <c r="I75" s="41"/>
      <c r="J75" s="41"/>
      <c r="K75" s="41"/>
      <c r="M75" s="40"/>
      <c r="N75" s="40"/>
      <c r="O75" s="36"/>
      <c r="P75" s="39"/>
      <c r="Q75" s="42"/>
      <c r="R75" s="41"/>
      <c r="S75" s="41"/>
    </row>
    <row r="76" spans="1:19" x14ac:dyDescent="0.25">
      <c r="A76">
        <v>0</v>
      </c>
      <c r="B76">
        <f>C76+B75</f>
        <v>3225</v>
      </c>
      <c r="C76">
        <v>3225</v>
      </c>
      <c r="D76" s="39"/>
      <c r="E76">
        <v>4750</v>
      </c>
      <c r="F76">
        <f>G76+F75</f>
        <v>260</v>
      </c>
      <c r="G76">
        <v>260</v>
      </c>
      <c r="I76">
        <v>9000</v>
      </c>
      <c r="J76">
        <f>K76+J75</f>
        <v>295</v>
      </c>
      <c r="K76">
        <v>295</v>
      </c>
      <c r="M76">
        <v>15000</v>
      </c>
      <c r="N76">
        <f>O76+N75</f>
        <v>711</v>
      </c>
      <c r="O76">
        <v>711</v>
      </c>
      <c r="P76" s="39"/>
      <c r="Q76">
        <v>25000</v>
      </c>
      <c r="R76">
        <f>S76+R75</f>
        <v>257</v>
      </c>
      <c r="S76">
        <v>257</v>
      </c>
    </row>
    <row r="77" spans="1:19" x14ac:dyDescent="0.25">
      <c r="A77">
        <v>250</v>
      </c>
      <c r="B77">
        <f t="shared" ref="B77:B95" si="9">C77+B76</f>
        <v>9343</v>
      </c>
      <c r="C77">
        <v>6118</v>
      </c>
      <c r="D77" s="39"/>
      <c r="E77">
        <v>5000</v>
      </c>
      <c r="F77">
        <f t="shared" ref="F77:F93" si="10">G77+F76</f>
        <v>1100</v>
      </c>
      <c r="G77">
        <v>840</v>
      </c>
      <c r="I77">
        <v>9500</v>
      </c>
      <c r="J77">
        <f t="shared" ref="J77:J87" si="11">K77+J76</f>
        <v>1154</v>
      </c>
      <c r="K77">
        <v>859</v>
      </c>
      <c r="M77">
        <v>16000</v>
      </c>
      <c r="N77">
        <f t="shared" ref="N77:N85" si="12">O77+N76</f>
        <v>1425</v>
      </c>
      <c r="O77">
        <v>714</v>
      </c>
      <c r="P77" s="39"/>
      <c r="Q77">
        <v>30000</v>
      </c>
      <c r="R77">
        <f t="shared" ref="R77:R85" si="13">S77+R76</f>
        <v>1178</v>
      </c>
      <c r="S77">
        <v>921</v>
      </c>
    </row>
    <row r="78" spans="1:19" x14ac:dyDescent="0.25">
      <c r="A78">
        <v>500</v>
      </c>
      <c r="B78">
        <f t="shared" si="9"/>
        <v>12822</v>
      </c>
      <c r="C78">
        <v>3479</v>
      </c>
      <c r="D78" s="39"/>
      <c r="E78">
        <v>5250</v>
      </c>
      <c r="F78">
        <f t="shared" si="10"/>
        <v>1888</v>
      </c>
      <c r="G78">
        <v>788</v>
      </c>
      <c r="I78">
        <v>10000</v>
      </c>
      <c r="J78">
        <f t="shared" si="11"/>
        <v>2001</v>
      </c>
      <c r="K78">
        <v>847</v>
      </c>
      <c r="M78">
        <v>17000</v>
      </c>
      <c r="N78">
        <f t="shared" si="12"/>
        <v>2063</v>
      </c>
      <c r="O78">
        <v>638</v>
      </c>
      <c r="P78" s="39"/>
      <c r="Q78">
        <v>35000</v>
      </c>
      <c r="R78">
        <f t="shared" si="13"/>
        <v>1709</v>
      </c>
      <c r="S78">
        <v>531</v>
      </c>
    </row>
    <row r="79" spans="1:19" x14ac:dyDescent="0.25">
      <c r="A79">
        <v>750</v>
      </c>
      <c r="B79">
        <f t="shared" si="9"/>
        <v>15552</v>
      </c>
      <c r="C79">
        <v>2730</v>
      </c>
      <c r="D79" s="39"/>
      <c r="E79">
        <v>5500</v>
      </c>
      <c r="F79">
        <f t="shared" si="10"/>
        <v>2634</v>
      </c>
      <c r="G79">
        <v>746</v>
      </c>
      <c r="I79">
        <v>10500</v>
      </c>
      <c r="J79">
        <f t="shared" si="11"/>
        <v>2734</v>
      </c>
      <c r="K79">
        <v>733</v>
      </c>
      <c r="M79">
        <v>18000</v>
      </c>
      <c r="N79">
        <f t="shared" si="12"/>
        <v>2581</v>
      </c>
      <c r="O79">
        <v>518</v>
      </c>
      <c r="P79" s="39"/>
      <c r="Q79">
        <v>40000</v>
      </c>
      <c r="R79">
        <f t="shared" si="13"/>
        <v>2033</v>
      </c>
      <c r="S79">
        <v>324</v>
      </c>
    </row>
    <row r="80" spans="1:19" x14ac:dyDescent="0.25">
      <c r="A80">
        <v>1000</v>
      </c>
      <c r="B80">
        <f t="shared" si="9"/>
        <v>17883</v>
      </c>
      <c r="C80">
        <v>2331</v>
      </c>
      <c r="D80" s="39"/>
      <c r="E80">
        <v>5750</v>
      </c>
      <c r="F80">
        <f t="shared" si="10"/>
        <v>3399</v>
      </c>
      <c r="G80">
        <v>765</v>
      </c>
      <c r="I80">
        <v>11000</v>
      </c>
      <c r="J80">
        <f t="shared" si="11"/>
        <v>3380</v>
      </c>
      <c r="K80">
        <v>646</v>
      </c>
      <c r="M80">
        <v>19000</v>
      </c>
      <c r="N80">
        <f t="shared" si="12"/>
        <v>3060</v>
      </c>
      <c r="O80">
        <v>479</v>
      </c>
      <c r="P80" s="39"/>
      <c r="Q80">
        <v>45000</v>
      </c>
      <c r="R80">
        <f t="shared" si="13"/>
        <v>2250</v>
      </c>
      <c r="S80">
        <v>217</v>
      </c>
    </row>
    <row r="81" spans="1:19" x14ac:dyDescent="0.25">
      <c r="A81">
        <v>1250</v>
      </c>
      <c r="B81">
        <f t="shared" si="9"/>
        <v>19895</v>
      </c>
      <c r="C81">
        <v>2012</v>
      </c>
      <c r="D81" s="39"/>
      <c r="E81">
        <v>6000</v>
      </c>
      <c r="F81">
        <f t="shared" si="10"/>
        <v>4068</v>
      </c>
      <c r="G81">
        <v>669</v>
      </c>
      <c r="I81">
        <v>11500</v>
      </c>
      <c r="J81">
        <f t="shared" si="11"/>
        <v>4002</v>
      </c>
      <c r="K81">
        <v>622</v>
      </c>
      <c r="M81">
        <v>20000</v>
      </c>
      <c r="N81">
        <f t="shared" si="12"/>
        <v>3443</v>
      </c>
      <c r="O81">
        <v>383</v>
      </c>
      <c r="P81" s="39"/>
      <c r="Q81">
        <v>50000</v>
      </c>
      <c r="R81">
        <f t="shared" si="13"/>
        <v>2405</v>
      </c>
      <c r="S81">
        <v>155</v>
      </c>
    </row>
    <row r="82" spans="1:19" x14ac:dyDescent="0.25">
      <c r="A82">
        <v>1500</v>
      </c>
      <c r="B82">
        <f t="shared" si="9"/>
        <v>21740</v>
      </c>
      <c r="C82">
        <v>1845</v>
      </c>
      <c r="D82" s="39"/>
      <c r="E82">
        <v>6250</v>
      </c>
      <c r="F82">
        <f t="shared" si="10"/>
        <v>4709</v>
      </c>
      <c r="G82">
        <v>641</v>
      </c>
      <c r="I82">
        <v>12000</v>
      </c>
      <c r="J82">
        <f t="shared" si="11"/>
        <v>4632</v>
      </c>
      <c r="K82">
        <v>630</v>
      </c>
      <c r="M82">
        <v>21000</v>
      </c>
      <c r="N82">
        <f t="shared" si="12"/>
        <v>3760</v>
      </c>
      <c r="O82">
        <v>317</v>
      </c>
      <c r="P82" s="39"/>
      <c r="Q82">
        <v>55000</v>
      </c>
      <c r="R82">
        <f t="shared" si="13"/>
        <v>2478</v>
      </c>
      <c r="S82">
        <v>73</v>
      </c>
    </row>
    <row r="83" spans="1:19" x14ac:dyDescent="0.25">
      <c r="A83">
        <v>1750</v>
      </c>
      <c r="B83">
        <f t="shared" si="9"/>
        <v>23370</v>
      </c>
      <c r="C83">
        <v>1630</v>
      </c>
      <c r="D83" s="39"/>
      <c r="E83">
        <v>6500</v>
      </c>
      <c r="F83">
        <f t="shared" si="10"/>
        <v>5322</v>
      </c>
      <c r="G83">
        <v>613</v>
      </c>
      <c r="I83">
        <v>12500</v>
      </c>
      <c r="J83">
        <f t="shared" si="11"/>
        <v>5165</v>
      </c>
      <c r="K83">
        <v>533</v>
      </c>
      <c r="M83">
        <v>22000</v>
      </c>
      <c r="N83">
        <f t="shared" si="12"/>
        <v>4059</v>
      </c>
      <c r="O83">
        <v>299</v>
      </c>
      <c r="P83" s="39"/>
      <c r="Q83">
        <v>60000</v>
      </c>
      <c r="R83">
        <f t="shared" si="13"/>
        <v>2536</v>
      </c>
      <c r="S83">
        <v>58</v>
      </c>
    </row>
    <row r="84" spans="1:19" x14ac:dyDescent="0.25">
      <c r="A84">
        <v>2000</v>
      </c>
      <c r="B84">
        <f t="shared" si="9"/>
        <v>24927</v>
      </c>
      <c r="C84">
        <v>1557</v>
      </c>
      <c r="D84" s="39"/>
      <c r="E84">
        <v>6750</v>
      </c>
      <c r="F84">
        <f t="shared" si="10"/>
        <v>5917</v>
      </c>
      <c r="G84">
        <v>595</v>
      </c>
      <c r="I84">
        <v>13000</v>
      </c>
      <c r="J84">
        <f t="shared" si="11"/>
        <v>5695</v>
      </c>
      <c r="K84">
        <v>530</v>
      </c>
      <c r="M84">
        <v>23000</v>
      </c>
      <c r="N84">
        <f t="shared" si="12"/>
        <v>4340</v>
      </c>
      <c r="O84">
        <v>281</v>
      </c>
      <c r="P84" s="39"/>
      <c r="Q84">
        <v>80000</v>
      </c>
      <c r="R84">
        <f t="shared" si="13"/>
        <v>2621</v>
      </c>
      <c r="S84">
        <v>85</v>
      </c>
    </row>
    <row r="85" spans="1:19" x14ac:dyDescent="0.25">
      <c r="A85">
        <v>2250</v>
      </c>
      <c r="B85">
        <f t="shared" si="9"/>
        <v>26353</v>
      </c>
      <c r="C85">
        <v>1426</v>
      </c>
      <c r="D85" s="39"/>
      <c r="E85">
        <v>7000</v>
      </c>
      <c r="F85">
        <f t="shared" si="10"/>
        <v>6513</v>
      </c>
      <c r="G85">
        <v>596</v>
      </c>
      <c r="I85">
        <v>13500</v>
      </c>
      <c r="J85">
        <f t="shared" si="11"/>
        <v>6177</v>
      </c>
      <c r="K85">
        <v>482</v>
      </c>
      <c r="M85">
        <v>23990</v>
      </c>
      <c r="N85">
        <f t="shared" si="12"/>
        <v>4551</v>
      </c>
      <c r="O85">
        <v>211</v>
      </c>
      <c r="P85" s="39"/>
      <c r="Q85">
        <v>458017</v>
      </c>
      <c r="R85">
        <f t="shared" si="13"/>
        <v>2645</v>
      </c>
      <c r="S85" s="41">
        <v>24</v>
      </c>
    </row>
    <row r="86" spans="1:19" x14ac:dyDescent="0.25">
      <c r="A86">
        <v>2500</v>
      </c>
      <c r="B86">
        <f t="shared" si="9"/>
        <v>27709</v>
      </c>
      <c r="C86">
        <v>1356</v>
      </c>
      <c r="D86" s="39"/>
      <c r="E86">
        <v>7250</v>
      </c>
      <c r="F86">
        <f t="shared" si="10"/>
        <v>7072</v>
      </c>
      <c r="G86">
        <v>559</v>
      </c>
      <c r="I86">
        <v>14000</v>
      </c>
      <c r="J86">
        <f t="shared" si="11"/>
        <v>6602</v>
      </c>
      <c r="K86">
        <v>425</v>
      </c>
    </row>
    <row r="87" spans="1:19" x14ac:dyDescent="0.25">
      <c r="A87">
        <v>2750</v>
      </c>
      <c r="B87">
        <f t="shared" si="9"/>
        <v>29023</v>
      </c>
      <c r="C87">
        <v>1314</v>
      </c>
      <c r="D87" s="39"/>
      <c r="E87">
        <v>7500</v>
      </c>
      <c r="F87">
        <f t="shared" si="10"/>
        <v>7641</v>
      </c>
      <c r="G87">
        <v>569</v>
      </c>
      <c r="I87">
        <v>14073</v>
      </c>
      <c r="J87">
        <f t="shared" si="11"/>
        <v>6663</v>
      </c>
      <c r="K87">
        <v>61</v>
      </c>
    </row>
    <row r="88" spans="1:19" x14ac:dyDescent="0.25">
      <c r="A88">
        <v>3000</v>
      </c>
      <c r="B88">
        <f t="shared" si="9"/>
        <v>30229</v>
      </c>
      <c r="C88">
        <v>1206</v>
      </c>
      <c r="D88" s="39"/>
      <c r="E88">
        <v>7750</v>
      </c>
      <c r="F88">
        <f t="shared" si="10"/>
        <v>8166</v>
      </c>
      <c r="G88">
        <v>525</v>
      </c>
      <c r="I88" s="41"/>
      <c r="J88" s="41"/>
      <c r="K88" s="41"/>
    </row>
    <row r="89" spans="1:19" x14ac:dyDescent="0.25">
      <c r="A89">
        <v>3250</v>
      </c>
      <c r="B89">
        <f t="shared" si="9"/>
        <v>31373</v>
      </c>
      <c r="C89">
        <v>1144</v>
      </c>
      <c r="D89" s="39"/>
      <c r="E89">
        <v>8000</v>
      </c>
      <c r="F89">
        <f t="shared" si="10"/>
        <v>8704</v>
      </c>
      <c r="G89">
        <v>538</v>
      </c>
      <c r="I89" s="41"/>
      <c r="J89" s="41"/>
      <c r="K89" s="41"/>
    </row>
    <row r="90" spans="1:19" x14ac:dyDescent="0.25">
      <c r="A90">
        <v>3500</v>
      </c>
      <c r="B90">
        <f t="shared" si="9"/>
        <v>32403</v>
      </c>
      <c r="C90">
        <v>1030</v>
      </c>
      <c r="D90" s="39"/>
      <c r="E90">
        <v>8250</v>
      </c>
      <c r="F90">
        <f t="shared" si="10"/>
        <v>9203</v>
      </c>
      <c r="G90">
        <v>499</v>
      </c>
      <c r="I90" s="41"/>
      <c r="J90" s="41"/>
      <c r="K90" s="41"/>
    </row>
    <row r="91" spans="1:19" x14ac:dyDescent="0.25">
      <c r="A91">
        <v>3750</v>
      </c>
      <c r="B91">
        <f t="shared" si="9"/>
        <v>33411</v>
      </c>
      <c r="C91">
        <v>1008</v>
      </c>
      <c r="D91" s="39"/>
      <c r="E91">
        <v>8500</v>
      </c>
      <c r="F91">
        <f t="shared" si="10"/>
        <v>9684</v>
      </c>
      <c r="G91">
        <v>481</v>
      </c>
      <c r="I91" s="41"/>
      <c r="J91" s="41"/>
      <c r="K91" s="41"/>
    </row>
    <row r="92" spans="1:19" x14ac:dyDescent="0.25">
      <c r="A92">
        <v>4000</v>
      </c>
      <c r="B92">
        <f t="shared" si="9"/>
        <v>34339</v>
      </c>
      <c r="C92">
        <v>928</v>
      </c>
      <c r="D92" s="39"/>
      <c r="E92">
        <v>8750</v>
      </c>
      <c r="F92">
        <f t="shared" si="10"/>
        <v>10113</v>
      </c>
      <c r="G92">
        <v>429</v>
      </c>
      <c r="I92" s="41"/>
      <c r="J92" s="41"/>
      <c r="K92" s="41"/>
    </row>
    <row r="93" spans="1:19" x14ac:dyDescent="0.25">
      <c r="A93">
        <v>4250</v>
      </c>
      <c r="B93">
        <f t="shared" si="9"/>
        <v>35231</v>
      </c>
      <c r="C93">
        <v>892</v>
      </c>
      <c r="D93" s="39"/>
      <c r="E93">
        <v>8813</v>
      </c>
      <c r="F93">
        <f t="shared" si="10"/>
        <v>10222</v>
      </c>
      <c r="G93">
        <v>109</v>
      </c>
      <c r="I93" s="41"/>
      <c r="J93" s="41"/>
      <c r="K93" s="41"/>
    </row>
    <row r="94" spans="1:19" x14ac:dyDescent="0.25">
      <c r="A94">
        <v>4500</v>
      </c>
      <c r="B94">
        <f t="shared" si="9"/>
        <v>36126</v>
      </c>
      <c r="C94">
        <v>895</v>
      </c>
      <c r="D94" s="39"/>
      <c r="E94" s="42"/>
      <c r="F94" s="41"/>
      <c r="G94" s="41"/>
      <c r="H94" s="41"/>
      <c r="I94" s="41"/>
      <c r="J94" s="41"/>
      <c r="K94" s="41"/>
    </row>
    <row r="95" spans="1:19" x14ac:dyDescent="0.25">
      <c r="A95">
        <v>4673</v>
      </c>
      <c r="B95">
        <f t="shared" si="9"/>
        <v>36687</v>
      </c>
      <c r="C95">
        <v>561</v>
      </c>
      <c r="D95" s="39"/>
      <c r="E95" s="42"/>
      <c r="F95" s="41"/>
      <c r="G95" s="41"/>
      <c r="H95" s="41"/>
      <c r="I95" s="41"/>
      <c r="J95" s="41"/>
      <c r="K95" s="41"/>
      <c r="L95" s="41"/>
    </row>
    <row r="96" spans="1:19" x14ac:dyDescent="0.25">
      <c r="D96" s="39"/>
      <c r="E96" s="42"/>
      <c r="F96" s="41"/>
      <c r="G96" s="41"/>
      <c r="H96" s="41"/>
      <c r="I96" s="41"/>
      <c r="J96" s="41"/>
      <c r="K96" s="41"/>
      <c r="L96" s="41"/>
    </row>
    <row r="97" spans="1:19" ht="13" x14ac:dyDescent="0.3">
      <c r="A97" s="91" t="s">
        <v>155</v>
      </c>
      <c r="B97" s="91"/>
      <c r="C97" s="91"/>
      <c r="D97" s="91"/>
      <c r="E97" s="91"/>
      <c r="F97" s="91"/>
      <c r="G97" s="91"/>
      <c r="H97" s="91"/>
      <c r="I97" s="91"/>
      <c r="J97" s="91"/>
      <c r="K97" s="91"/>
      <c r="L97" s="91"/>
      <c r="M97" s="91"/>
      <c r="N97" s="91"/>
      <c r="O97" s="91"/>
      <c r="P97" s="91"/>
      <c r="Q97" s="91"/>
      <c r="R97" s="91"/>
      <c r="S97" s="91"/>
    </row>
    <row r="98" spans="1:19" ht="13" x14ac:dyDescent="0.3">
      <c r="A98" s="91" t="s">
        <v>41</v>
      </c>
      <c r="B98" s="91"/>
      <c r="C98" s="91"/>
      <c r="D98" s="91"/>
      <c r="E98" s="91" t="s">
        <v>42</v>
      </c>
      <c r="F98" s="91"/>
      <c r="G98" s="91"/>
      <c r="H98" s="8"/>
      <c r="I98" s="91" t="s">
        <v>43</v>
      </c>
      <c r="J98" s="91"/>
      <c r="K98" s="91"/>
      <c r="M98" s="91" t="s">
        <v>44</v>
      </c>
      <c r="N98" s="91"/>
      <c r="O98" s="91"/>
      <c r="P98" s="91"/>
    </row>
    <row r="99" spans="1:19" ht="26" x14ac:dyDescent="0.3">
      <c r="A99" s="29" t="s">
        <v>60</v>
      </c>
      <c r="B99" s="29" t="s">
        <v>127</v>
      </c>
      <c r="C99" s="29" t="s">
        <v>45</v>
      </c>
      <c r="D99" s="34"/>
      <c r="E99" s="29" t="s">
        <v>60</v>
      </c>
      <c r="F99" s="29" t="s">
        <v>127</v>
      </c>
      <c r="G99" s="29" t="s">
        <v>45</v>
      </c>
      <c r="H99" s="34"/>
      <c r="I99" s="29" t="s">
        <v>60</v>
      </c>
      <c r="J99" s="29" t="s">
        <v>127</v>
      </c>
      <c r="K99" s="29" t="s">
        <v>45</v>
      </c>
      <c r="M99" s="29" t="s">
        <v>60</v>
      </c>
      <c r="N99" s="29" t="s">
        <v>127</v>
      </c>
      <c r="O99" s="29" t="s">
        <v>45</v>
      </c>
      <c r="P99" s="39"/>
    </row>
    <row r="100" spans="1:19" ht="13" x14ac:dyDescent="0.3">
      <c r="A100" s="33"/>
      <c r="B100" s="33"/>
      <c r="C100" s="29"/>
      <c r="D100" s="29"/>
      <c r="E100" s="23"/>
      <c r="F100" s="33"/>
      <c r="G100" s="33"/>
      <c r="H100" s="33"/>
      <c r="I100" s="23"/>
      <c r="J100" s="33"/>
      <c r="K100" s="33"/>
      <c r="M100" s="40"/>
      <c r="N100" s="40"/>
      <c r="O100" s="36"/>
      <c r="P100" s="39"/>
    </row>
    <row r="101" spans="1:19" x14ac:dyDescent="0.25">
      <c r="A101">
        <v>0</v>
      </c>
      <c r="B101">
        <f>C101+B100</f>
        <v>2080</v>
      </c>
      <c r="C101">
        <v>2080</v>
      </c>
      <c r="E101">
        <v>5500</v>
      </c>
      <c r="F101">
        <f>G101+F100</f>
        <v>384</v>
      </c>
      <c r="G101">
        <v>384</v>
      </c>
      <c r="I101">
        <v>11000</v>
      </c>
      <c r="J101">
        <f>K101+J100</f>
        <v>19</v>
      </c>
      <c r="K101">
        <v>19</v>
      </c>
      <c r="M101">
        <v>25000</v>
      </c>
      <c r="N101">
        <f>O101+N100</f>
        <v>462</v>
      </c>
      <c r="O101">
        <v>462</v>
      </c>
      <c r="P101" s="39"/>
    </row>
    <row r="102" spans="1:19" x14ac:dyDescent="0.25">
      <c r="A102">
        <v>100</v>
      </c>
      <c r="B102">
        <f t="shared" ref="B102:B128" si="14">C102+B101</f>
        <v>4249</v>
      </c>
      <c r="C102">
        <v>2169</v>
      </c>
      <c r="E102">
        <v>6000</v>
      </c>
      <c r="F102">
        <f t="shared" ref="F102:F112" si="15">G102+F101</f>
        <v>920</v>
      </c>
      <c r="G102">
        <v>536</v>
      </c>
      <c r="I102">
        <v>12000</v>
      </c>
      <c r="J102">
        <f t="shared" ref="J102:J111" si="16">K102+J101</f>
        <v>446</v>
      </c>
      <c r="K102">
        <v>427</v>
      </c>
      <c r="M102">
        <v>30000</v>
      </c>
      <c r="N102">
        <f t="shared" ref="N102:N112" si="17">O102+N101</f>
        <v>789</v>
      </c>
      <c r="O102">
        <v>327</v>
      </c>
      <c r="P102" s="39"/>
    </row>
    <row r="103" spans="1:19" x14ac:dyDescent="0.25">
      <c r="A103">
        <v>200</v>
      </c>
      <c r="B103">
        <f t="shared" si="14"/>
        <v>5244</v>
      </c>
      <c r="C103">
        <v>995</v>
      </c>
      <c r="E103">
        <v>6500</v>
      </c>
      <c r="F103">
        <f t="shared" si="15"/>
        <v>1421</v>
      </c>
      <c r="G103">
        <v>501</v>
      </c>
      <c r="I103">
        <v>13000</v>
      </c>
      <c r="J103">
        <f t="shared" si="16"/>
        <v>807</v>
      </c>
      <c r="K103">
        <v>361</v>
      </c>
      <c r="M103">
        <v>35000</v>
      </c>
      <c r="N103">
        <f t="shared" si="17"/>
        <v>999</v>
      </c>
      <c r="O103">
        <v>210</v>
      </c>
      <c r="P103" s="39"/>
    </row>
    <row r="104" spans="1:19" x14ac:dyDescent="0.25">
      <c r="A104">
        <v>300</v>
      </c>
      <c r="B104">
        <f t="shared" si="14"/>
        <v>6046</v>
      </c>
      <c r="C104">
        <v>802</v>
      </c>
      <c r="E104">
        <v>7000</v>
      </c>
      <c r="F104">
        <f t="shared" si="15"/>
        <v>1825</v>
      </c>
      <c r="G104">
        <v>404</v>
      </c>
      <c r="I104">
        <v>14000</v>
      </c>
      <c r="J104">
        <f t="shared" si="16"/>
        <v>1152</v>
      </c>
      <c r="K104">
        <v>345</v>
      </c>
      <c r="M104">
        <v>40000</v>
      </c>
      <c r="N104">
        <f t="shared" si="17"/>
        <v>1122</v>
      </c>
      <c r="O104">
        <v>123</v>
      </c>
      <c r="P104" s="39"/>
    </row>
    <row r="105" spans="1:19" x14ac:dyDescent="0.25">
      <c r="A105">
        <v>400</v>
      </c>
      <c r="B105">
        <f t="shared" si="14"/>
        <v>6719</v>
      </c>
      <c r="C105">
        <v>673</v>
      </c>
      <c r="E105">
        <v>7500</v>
      </c>
      <c r="F105">
        <f t="shared" si="15"/>
        <v>2222</v>
      </c>
      <c r="G105">
        <v>397</v>
      </c>
      <c r="I105">
        <v>15000</v>
      </c>
      <c r="J105">
        <f t="shared" si="16"/>
        <v>1433</v>
      </c>
      <c r="K105">
        <v>281</v>
      </c>
      <c r="M105">
        <v>45000</v>
      </c>
      <c r="N105">
        <f t="shared" si="17"/>
        <v>1204</v>
      </c>
      <c r="O105">
        <v>82</v>
      </c>
      <c r="P105" s="39"/>
    </row>
    <row r="106" spans="1:19" x14ac:dyDescent="0.25">
      <c r="A106">
        <v>500</v>
      </c>
      <c r="B106">
        <f t="shared" si="14"/>
        <v>7281</v>
      </c>
      <c r="C106">
        <v>562</v>
      </c>
      <c r="E106">
        <v>8000</v>
      </c>
      <c r="F106">
        <f t="shared" si="15"/>
        <v>2613</v>
      </c>
      <c r="G106">
        <v>391</v>
      </c>
      <c r="I106">
        <v>16000</v>
      </c>
      <c r="J106">
        <f t="shared" si="16"/>
        <v>1689</v>
      </c>
      <c r="K106">
        <v>256</v>
      </c>
      <c r="M106">
        <v>50000</v>
      </c>
      <c r="N106">
        <f t="shared" si="17"/>
        <v>1257</v>
      </c>
      <c r="O106">
        <v>53</v>
      </c>
      <c r="P106" s="39"/>
    </row>
    <row r="107" spans="1:19" x14ac:dyDescent="0.25">
      <c r="A107">
        <v>600</v>
      </c>
      <c r="B107">
        <f t="shared" si="14"/>
        <v>7810</v>
      </c>
      <c r="C107">
        <v>529</v>
      </c>
      <c r="E107">
        <v>8500</v>
      </c>
      <c r="F107">
        <f t="shared" si="15"/>
        <v>2965</v>
      </c>
      <c r="G107">
        <v>352</v>
      </c>
      <c r="I107">
        <v>17000</v>
      </c>
      <c r="J107">
        <f t="shared" si="16"/>
        <v>1910</v>
      </c>
      <c r="K107">
        <v>221</v>
      </c>
      <c r="M107">
        <v>55000</v>
      </c>
      <c r="N107">
        <f t="shared" si="17"/>
        <v>1293</v>
      </c>
      <c r="O107">
        <v>36</v>
      </c>
      <c r="P107" s="39"/>
    </row>
    <row r="108" spans="1:19" x14ac:dyDescent="0.25">
      <c r="A108">
        <v>700</v>
      </c>
      <c r="B108">
        <f t="shared" si="14"/>
        <v>8286</v>
      </c>
      <c r="C108">
        <v>476</v>
      </c>
      <c r="E108">
        <v>9000</v>
      </c>
      <c r="F108">
        <f t="shared" si="15"/>
        <v>3265</v>
      </c>
      <c r="G108">
        <v>300</v>
      </c>
      <c r="I108">
        <v>18000</v>
      </c>
      <c r="J108">
        <f t="shared" si="16"/>
        <v>2108</v>
      </c>
      <c r="K108">
        <v>198</v>
      </c>
      <c r="M108">
        <v>60000</v>
      </c>
      <c r="N108">
        <f t="shared" si="17"/>
        <v>1316</v>
      </c>
      <c r="O108">
        <v>23</v>
      </c>
      <c r="P108" s="39"/>
    </row>
    <row r="109" spans="1:19" x14ac:dyDescent="0.25">
      <c r="A109">
        <v>800</v>
      </c>
      <c r="B109">
        <f t="shared" si="14"/>
        <v>8680</v>
      </c>
      <c r="C109">
        <v>394</v>
      </c>
      <c r="E109">
        <v>9500</v>
      </c>
      <c r="F109">
        <f t="shared" si="15"/>
        <v>3575</v>
      </c>
      <c r="G109">
        <v>310</v>
      </c>
      <c r="I109">
        <v>19000</v>
      </c>
      <c r="J109">
        <f t="shared" si="16"/>
        <v>2293</v>
      </c>
      <c r="K109">
        <v>185</v>
      </c>
      <c r="M109">
        <v>65000</v>
      </c>
      <c r="N109">
        <f t="shared" si="17"/>
        <v>1332</v>
      </c>
      <c r="O109">
        <v>16</v>
      </c>
      <c r="P109" s="39"/>
    </row>
    <row r="110" spans="1:19" x14ac:dyDescent="0.25">
      <c r="A110">
        <v>900</v>
      </c>
      <c r="B110">
        <f t="shared" si="14"/>
        <v>9089</v>
      </c>
      <c r="C110">
        <v>409</v>
      </c>
      <c r="E110">
        <v>10000</v>
      </c>
      <c r="F110">
        <f t="shared" si="15"/>
        <v>3819</v>
      </c>
      <c r="G110">
        <v>244</v>
      </c>
      <c r="I110">
        <v>20000</v>
      </c>
      <c r="J110">
        <f t="shared" si="16"/>
        <v>2435</v>
      </c>
      <c r="K110">
        <v>142</v>
      </c>
      <c r="M110">
        <v>70000</v>
      </c>
      <c r="N110">
        <f t="shared" si="17"/>
        <v>1349</v>
      </c>
      <c r="O110">
        <v>17</v>
      </c>
      <c r="P110" s="39"/>
    </row>
    <row r="111" spans="1:19" x14ac:dyDescent="0.25">
      <c r="A111">
        <v>1000</v>
      </c>
      <c r="B111">
        <f t="shared" si="14"/>
        <v>9487</v>
      </c>
      <c r="C111">
        <v>398</v>
      </c>
      <c r="E111">
        <v>10500</v>
      </c>
      <c r="F111">
        <f t="shared" si="15"/>
        <v>4033</v>
      </c>
      <c r="G111">
        <v>214</v>
      </c>
      <c r="I111">
        <v>20543</v>
      </c>
      <c r="J111">
        <f t="shared" si="16"/>
        <v>2493</v>
      </c>
      <c r="K111">
        <v>58</v>
      </c>
      <c r="M111">
        <v>75000</v>
      </c>
      <c r="N111">
        <f t="shared" si="17"/>
        <v>1353</v>
      </c>
      <c r="O111">
        <v>4</v>
      </c>
      <c r="P111" s="39"/>
    </row>
    <row r="112" spans="1:19" x14ac:dyDescent="0.25">
      <c r="A112">
        <v>1250</v>
      </c>
      <c r="B112">
        <f t="shared" si="14"/>
        <v>10376</v>
      </c>
      <c r="C112">
        <v>889</v>
      </c>
      <c r="E112">
        <v>10961</v>
      </c>
      <c r="F112">
        <f t="shared" si="15"/>
        <v>4254</v>
      </c>
      <c r="G112">
        <v>221</v>
      </c>
      <c r="M112">
        <v>657000</v>
      </c>
      <c r="N112">
        <f t="shared" si="17"/>
        <v>1358</v>
      </c>
      <c r="O112">
        <v>5</v>
      </c>
      <c r="P112" s="39"/>
    </row>
    <row r="113" spans="1:16" x14ac:dyDescent="0.25">
      <c r="A113">
        <v>1500</v>
      </c>
      <c r="B113">
        <f t="shared" si="14"/>
        <v>11175</v>
      </c>
      <c r="C113">
        <v>799</v>
      </c>
      <c r="P113" s="39"/>
    </row>
    <row r="114" spans="1:16" x14ac:dyDescent="0.25">
      <c r="A114">
        <v>1750</v>
      </c>
      <c r="B114">
        <f t="shared" si="14"/>
        <v>11902</v>
      </c>
      <c r="C114">
        <v>727</v>
      </c>
      <c r="P114" s="39"/>
    </row>
    <row r="115" spans="1:16" x14ac:dyDescent="0.25">
      <c r="A115">
        <v>2000</v>
      </c>
      <c r="B115">
        <f t="shared" si="14"/>
        <v>12501</v>
      </c>
      <c r="C115">
        <v>599</v>
      </c>
      <c r="P115" s="39"/>
    </row>
    <row r="116" spans="1:16" x14ac:dyDescent="0.25">
      <c r="A116">
        <v>2250</v>
      </c>
      <c r="B116">
        <f t="shared" si="14"/>
        <v>13105</v>
      </c>
      <c r="C116">
        <v>604</v>
      </c>
      <c r="F116" s="35"/>
      <c r="G116" s="35"/>
      <c r="H116" s="35"/>
      <c r="P116" s="39"/>
    </row>
    <row r="117" spans="1:16" x14ac:dyDescent="0.25">
      <c r="A117">
        <v>2500</v>
      </c>
      <c r="B117">
        <f t="shared" si="14"/>
        <v>13645</v>
      </c>
      <c r="C117">
        <v>540</v>
      </c>
      <c r="F117" s="35"/>
      <c r="G117" s="35"/>
      <c r="H117" s="35"/>
      <c r="P117" s="39"/>
    </row>
    <row r="118" spans="1:16" x14ac:dyDescent="0.25">
      <c r="A118">
        <v>2750</v>
      </c>
      <c r="B118">
        <f t="shared" si="14"/>
        <v>14162</v>
      </c>
      <c r="C118">
        <v>517</v>
      </c>
      <c r="E118" s="41"/>
      <c r="F118" s="35"/>
      <c r="G118" s="35"/>
      <c r="H118" s="35"/>
      <c r="P118" s="39"/>
    </row>
    <row r="119" spans="1:16" x14ac:dyDescent="0.25">
      <c r="A119">
        <v>3000</v>
      </c>
      <c r="B119">
        <f t="shared" si="14"/>
        <v>14651</v>
      </c>
      <c r="C119">
        <v>489</v>
      </c>
      <c r="E119" s="41"/>
      <c r="F119" s="35"/>
      <c r="G119" s="35"/>
      <c r="H119" s="35"/>
      <c r="P119" s="39"/>
    </row>
    <row r="120" spans="1:16" x14ac:dyDescent="0.25">
      <c r="A120">
        <v>3250</v>
      </c>
      <c r="B120">
        <f t="shared" si="14"/>
        <v>15078</v>
      </c>
      <c r="C120">
        <v>427</v>
      </c>
      <c r="E120" s="32"/>
      <c r="F120" s="35"/>
      <c r="G120" s="35"/>
      <c r="H120" s="35"/>
      <c r="P120" s="39"/>
    </row>
    <row r="121" spans="1:16" x14ac:dyDescent="0.25">
      <c r="A121">
        <v>3500</v>
      </c>
      <c r="B121">
        <f t="shared" si="14"/>
        <v>15505</v>
      </c>
      <c r="C121">
        <v>427</v>
      </c>
      <c r="E121" s="32"/>
      <c r="F121" s="37"/>
      <c r="G121" s="37"/>
      <c r="H121" s="37"/>
      <c r="P121" s="39"/>
    </row>
    <row r="122" spans="1:16" x14ac:dyDescent="0.25">
      <c r="A122">
        <v>3750</v>
      </c>
      <c r="B122">
        <f t="shared" si="14"/>
        <v>15923</v>
      </c>
      <c r="C122">
        <v>418</v>
      </c>
      <c r="D122" s="36"/>
      <c r="E122" s="32"/>
      <c r="F122" s="37"/>
      <c r="G122" s="37"/>
      <c r="H122" s="37"/>
      <c r="P122" s="39"/>
    </row>
    <row r="123" spans="1:16" x14ac:dyDescent="0.25">
      <c r="A123">
        <v>4000</v>
      </c>
      <c r="B123">
        <f t="shared" si="14"/>
        <v>16321</v>
      </c>
      <c r="C123">
        <v>398</v>
      </c>
      <c r="D123" s="36"/>
      <c r="E123" s="32"/>
      <c r="F123" s="37"/>
      <c r="G123" s="37"/>
      <c r="H123" s="37"/>
      <c r="P123" s="39"/>
    </row>
    <row r="124" spans="1:16" x14ac:dyDescent="0.25">
      <c r="A124">
        <v>4250</v>
      </c>
      <c r="B124">
        <f t="shared" si="14"/>
        <v>16687</v>
      </c>
      <c r="C124">
        <v>366</v>
      </c>
      <c r="D124" s="39"/>
      <c r="E124" s="42"/>
      <c r="F124" s="41"/>
      <c r="G124" s="41"/>
      <c r="H124" s="41"/>
      <c r="P124" s="39"/>
    </row>
    <row r="125" spans="1:16" x14ac:dyDescent="0.25">
      <c r="A125">
        <v>4500</v>
      </c>
      <c r="B125">
        <f t="shared" si="14"/>
        <v>17046</v>
      </c>
      <c r="C125">
        <v>359</v>
      </c>
      <c r="P125" s="39"/>
    </row>
    <row r="126" spans="1:16" x14ac:dyDescent="0.25">
      <c r="A126">
        <v>4750</v>
      </c>
      <c r="B126">
        <f t="shared" si="14"/>
        <v>17398</v>
      </c>
      <c r="C126">
        <v>352</v>
      </c>
      <c r="P126" s="39"/>
    </row>
    <row r="127" spans="1:16" x14ac:dyDescent="0.25">
      <c r="A127">
        <v>5000</v>
      </c>
      <c r="B127">
        <f t="shared" si="14"/>
        <v>17755</v>
      </c>
      <c r="C127">
        <v>357</v>
      </c>
      <c r="P127" s="39"/>
    </row>
    <row r="128" spans="1:16" x14ac:dyDescent="0.25">
      <c r="A128">
        <v>5166</v>
      </c>
      <c r="B128">
        <f t="shared" si="14"/>
        <v>17938</v>
      </c>
      <c r="C128">
        <v>183</v>
      </c>
    </row>
    <row r="129" spans="1:19" s="52" customFormat="1" ht="13" x14ac:dyDescent="0.3">
      <c r="A129" s="89" t="s">
        <v>136</v>
      </c>
      <c r="B129" s="88"/>
      <c r="C129" s="88"/>
      <c r="D129" s="88"/>
      <c r="E129" s="88"/>
      <c r="F129" s="88"/>
      <c r="G129" s="88"/>
      <c r="H129" s="88"/>
      <c r="I129" s="88"/>
      <c r="J129" s="88"/>
      <c r="K129" s="88"/>
      <c r="L129" s="88"/>
      <c r="M129" s="88"/>
      <c r="N129" s="88"/>
      <c r="O129" s="88"/>
      <c r="P129" s="88"/>
      <c r="Q129" s="88"/>
      <c r="R129" s="88"/>
      <c r="S129" s="88"/>
    </row>
    <row r="130" spans="1:19" ht="13" x14ac:dyDescent="0.3">
      <c r="A130" s="91" t="s">
        <v>59</v>
      </c>
      <c r="B130" s="91"/>
      <c r="C130" s="91"/>
      <c r="D130" s="91"/>
      <c r="E130" s="91"/>
      <c r="F130" s="91"/>
      <c r="G130" s="91"/>
      <c r="H130" s="91"/>
      <c r="I130" s="91"/>
      <c r="J130" s="91"/>
      <c r="K130" s="91"/>
      <c r="L130" s="91"/>
      <c r="M130" s="91"/>
      <c r="N130" s="91"/>
      <c r="O130" s="91"/>
      <c r="P130" s="91"/>
      <c r="Q130" s="91"/>
      <c r="R130" s="91"/>
      <c r="S130" s="91"/>
    </row>
    <row r="131" spans="1:19" ht="13" x14ac:dyDescent="0.3">
      <c r="A131" s="87" t="s">
        <v>157</v>
      </c>
      <c r="B131" s="88"/>
      <c r="C131" s="88"/>
      <c r="D131" s="88"/>
      <c r="E131" s="88"/>
      <c r="F131" s="88"/>
      <c r="G131" s="88"/>
      <c r="H131" s="88"/>
      <c r="I131" s="88"/>
      <c r="J131" s="88"/>
      <c r="K131" s="88"/>
      <c r="L131" s="88"/>
      <c r="M131" s="88"/>
      <c r="N131" s="88"/>
      <c r="O131" s="88"/>
      <c r="P131" s="88"/>
      <c r="Q131" s="88"/>
      <c r="R131" s="88"/>
      <c r="S131" s="88"/>
    </row>
    <row r="132" spans="1:19" ht="13" x14ac:dyDescent="0.3">
      <c r="A132" s="92" t="s">
        <v>135</v>
      </c>
      <c r="B132" s="92"/>
      <c r="C132" s="92"/>
      <c r="D132" s="92"/>
      <c r="E132" s="92"/>
      <c r="F132" s="92"/>
      <c r="G132" s="92"/>
      <c r="H132" s="92"/>
      <c r="I132" s="92"/>
      <c r="J132" s="92"/>
      <c r="K132" s="92"/>
      <c r="L132" s="92"/>
      <c r="M132" s="92"/>
      <c r="N132" s="92"/>
      <c r="O132" s="92"/>
      <c r="P132" s="92"/>
      <c r="Q132" s="92"/>
      <c r="R132" s="92"/>
      <c r="S132" s="92"/>
    </row>
    <row r="133" spans="1:19" ht="13" x14ac:dyDescent="0.3">
      <c r="A133" s="83"/>
      <c r="B133" s="83"/>
      <c r="C133" s="83"/>
      <c r="D133" s="83"/>
      <c r="E133" s="83"/>
      <c r="F133" s="83"/>
      <c r="G133" s="83"/>
      <c r="H133" s="83"/>
      <c r="I133" s="83"/>
      <c r="J133" s="83"/>
      <c r="K133" s="83"/>
      <c r="L133" s="83"/>
      <c r="M133" s="83"/>
      <c r="N133" s="83"/>
      <c r="O133" s="83"/>
      <c r="P133" s="83"/>
      <c r="Q133" s="83"/>
      <c r="R133" s="83"/>
      <c r="S133" s="83"/>
    </row>
    <row r="134" spans="1:19" ht="13" x14ac:dyDescent="0.3">
      <c r="A134" s="95" t="s">
        <v>143</v>
      </c>
      <c r="B134" s="95"/>
      <c r="C134" s="95"/>
      <c r="D134" s="95"/>
      <c r="E134" s="95"/>
      <c r="F134" s="95"/>
      <c r="G134" s="95"/>
      <c r="H134" s="95"/>
      <c r="I134" s="95"/>
      <c r="J134" s="95"/>
      <c r="K134" s="95"/>
      <c r="L134" s="95"/>
      <c r="M134" s="95"/>
      <c r="N134" s="95"/>
      <c r="O134" s="95"/>
      <c r="P134" s="95"/>
      <c r="Q134" s="95"/>
      <c r="R134" s="95"/>
      <c r="S134" s="95"/>
    </row>
    <row r="135" spans="1:19" ht="13" x14ac:dyDescent="0.3">
      <c r="A135" s="1" t="s">
        <v>41</v>
      </c>
      <c r="B135" s="1"/>
      <c r="C135" s="28"/>
      <c r="D135" s="28"/>
      <c r="E135" s="1" t="s">
        <v>42</v>
      </c>
      <c r="F135" s="1"/>
      <c r="G135" s="28"/>
    </row>
    <row r="136" spans="1:19" ht="26" x14ac:dyDescent="0.3">
      <c r="A136" s="29" t="s">
        <v>60</v>
      </c>
      <c r="B136" s="29" t="s">
        <v>127</v>
      </c>
      <c r="C136" s="29" t="s">
        <v>45</v>
      </c>
      <c r="D136" s="34"/>
      <c r="E136" s="29" t="s">
        <v>60</v>
      </c>
      <c r="F136" s="29" t="s">
        <v>127</v>
      </c>
      <c r="G136" s="29" t="s">
        <v>45</v>
      </c>
      <c r="H136" s="49"/>
    </row>
    <row r="137" spans="1:19" x14ac:dyDescent="0.25">
      <c r="A137" s="41"/>
      <c r="B137" s="41"/>
      <c r="C137" s="41"/>
      <c r="D137" s="39"/>
      <c r="E137" s="42"/>
      <c r="F137" s="41"/>
      <c r="G137" s="41"/>
    </row>
    <row r="138" spans="1:19" x14ac:dyDescent="0.25">
      <c r="A138">
        <v>0</v>
      </c>
      <c r="B138">
        <f>C138+B137</f>
        <v>25</v>
      </c>
      <c r="C138">
        <v>25</v>
      </c>
      <c r="D138" s="39"/>
      <c r="E138">
        <v>8000</v>
      </c>
      <c r="F138">
        <f>G138+F137</f>
        <v>12</v>
      </c>
      <c r="G138">
        <v>12</v>
      </c>
    </row>
    <row r="139" spans="1:19" x14ac:dyDescent="0.25">
      <c r="A139">
        <v>500</v>
      </c>
      <c r="B139">
        <f t="shared" ref="B139:B153" si="18">C139+B138</f>
        <v>77</v>
      </c>
      <c r="C139">
        <v>52</v>
      </c>
      <c r="D139" s="39"/>
      <c r="E139">
        <v>10000</v>
      </c>
      <c r="F139">
        <f t="shared" ref="F139:F147" si="19">G139+F138</f>
        <v>43</v>
      </c>
      <c r="G139">
        <v>31</v>
      </c>
    </row>
    <row r="140" spans="1:19" x14ac:dyDescent="0.25">
      <c r="A140">
        <v>1000</v>
      </c>
      <c r="B140">
        <f t="shared" si="18"/>
        <v>132</v>
      </c>
      <c r="C140">
        <v>55</v>
      </c>
      <c r="D140" s="39"/>
      <c r="E140">
        <v>12000</v>
      </c>
      <c r="F140">
        <f t="shared" si="19"/>
        <v>57</v>
      </c>
      <c r="G140">
        <v>14</v>
      </c>
    </row>
    <row r="141" spans="1:19" x14ac:dyDescent="0.25">
      <c r="A141">
        <v>1500</v>
      </c>
      <c r="B141">
        <f t="shared" si="18"/>
        <v>172</v>
      </c>
      <c r="C141">
        <v>40</v>
      </c>
      <c r="D141" s="39"/>
      <c r="E141">
        <v>14000</v>
      </c>
      <c r="F141">
        <f t="shared" si="19"/>
        <v>72</v>
      </c>
      <c r="G141">
        <v>15</v>
      </c>
    </row>
    <row r="142" spans="1:19" x14ac:dyDescent="0.25">
      <c r="A142">
        <v>2000</v>
      </c>
      <c r="B142">
        <f t="shared" si="18"/>
        <v>206</v>
      </c>
      <c r="C142">
        <v>34</v>
      </c>
      <c r="D142" s="39"/>
      <c r="E142">
        <v>16000</v>
      </c>
      <c r="F142">
        <f t="shared" si="19"/>
        <v>84</v>
      </c>
      <c r="G142">
        <v>12</v>
      </c>
    </row>
    <row r="143" spans="1:19" x14ac:dyDescent="0.25">
      <c r="A143">
        <v>2500</v>
      </c>
      <c r="B143">
        <f t="shared" si="18"/>
        <v>243</v>
      </c>
      <c r="C143">
        <v>37</v>
      </c>
      <c r="D143" s="39"/>
      <c r="E143">
        <v>18000</v>
      </c>
      <c r="F143">
        <f t="shared" si="19"/>
        <v>89</v>
      </c>
      <c r="G143">
        <v>5</v>
      </c>
    </row>
    <row r="144" spans="1:19" x14ac:dyDescent="0.25">
      <c r="A144">
        <v>3000</v>
      </c>
      <c r="B144">
        <f t="shared" si="18"/>
        <v>277</v>
      </c>
      <c r="C144">
        <v>34</v>
      </c>
      <c r="D144" s="39"/>
      <c r="E144">
        <v>20000</v>
      </c>
      <c r="F144">
        <f t="shared" si="19"/>
        <v>90</v>
      </c>
      <c r="G144">
        <v>1</v>
      </c>
    </row>
    <row r="145" spans="1:19" x14ac:dyDescent="0.25">
      <c r="A145">
        <v>3500</v>
      </c>
      <c r="B145">
        <f t="shared" si="18"/>
        <v>297</v>
      </c>
      <c r="C145">
        <v>20</v>
      </c>
      <c r="D145" s="39"/>
      <c r="E145">
        <v>22000</v>
      </c>
      <c r="F145">
        <f t="shared" si="19"/>
        <v>93</v>
      </c>
      <c r="G145">
        <v>3</v>
      </c>
    </row>
    <row r="146" spans="1:19" x14ac:dyDescent="0.25">
      <c r="A146">
        <v>4000</v>
      </c>
      <c r="B146">
        <f t="shared" si="18"/>
        <v>316</v>
      </c>
      <c r="C146">
        <v>19</v>
      </c>
      <c r="D146" s="39"/>
      <c r="E146">
        <v>24000</v>
      </c>
      <c r="F146">
        <f t="shared" si="19"/>
        <v>95</v>
      </c>
      <c r="G146">
        <v>2</v>
      </c>
    </row>
    <row r="147" spans="1:19" x14ac:dyDescent="0.25">
      <c r="A147">
        <v>4500</v>
      </c>
      <c r="B147">
        <f t="shared" si="18"/>
        <v>337</v>
      </c>
      <c r="C147">
        <v>21</v>
      </c>
      <c r="D147" s="39"/>
      <c r="E147">
        <v>41655</v>
      </c>
      <c r="F147">
        <f t="shared" si="19"/>
        <v>100</v>
      </c>
      <c r="G147">
        <v>5</v>
      </c>
    </row>
    <row r="148" spans="1:19" x14ac:dyDescent="0.25">
      <c r="A148">
        <v>5000</v>
      </c>
      <c r="B148">
        <f t="shared" si="18"/>
        <v>352</v>
      </c>
      <c r="C148">
        <v>15</v>
      </c>
      <c r="D148" s="39"/>
    </row>
    <row r="149" spans="1:19" x14ac:dyDescent="0.25">
      <c r="A149">
        <v>5500</v>
      </c>
      <c r="B149">
        <f t="shared" si="18"/>
        <v>367</v>
      </c>
      <c r="C149">
        <v>15</v>
      </c>
      <c r="D149" s="39"/>
    </row>
    <row r="150" spans="1:19" x14ac:dyDescent="0.25">
      <c r="A150">
        <v>6000</v>
      </c>
      <c r="B150">
        <f t="shared" si="18"/>
        <v>375</v>
      </c>
      <c r="C150">
        <v>8</v>
      </c>
      <c r="D150" s="39"/>
    </row>
    <row r="151" spans="1:19" x14ac:dyDescent="0.25">
      <c r="A151">
        <v>6500</v>
      </c>
      <c r="B151">
        <f t="shared" si="18"/>
        <v>389</v>
      </c>
      <c r="C151">
        <v>14</v>
      </c>
      <c r="D151" s="39"/>
    </row>
    <row r="152" spans="1:19" x14ac:dyDescent="0.25">
      <c r="A152">
        <v>7000</v>
      </c>
      <c r="B152">
        <f t="shared" si="18"/>
        <v>398</v>
      </c>
      <c r="C152">
        <v>9</v>
      </c>
      <c r="D152" s="39"/>
    </row>
    <row r="153" spans="1:19" x14ac:dyDescent="0.25">
      <c r="A153">
        <v>7379</v>
      </c>
      <c r="B153">
        <f t="shared" si="18"/>
        <v>405</v>
      </c>
      <c r="C153">
        <v>7</v>
      </c>
      <c r="D153" s="39"/>
    </row>
    <row r="154" spans="1:19" ht="13" x14ac:dyDescent="0.3">
      <c r="A154" s="91"/>
      <c r="B154" s="91"/>
      <c r="C154" s="91"/>
      <c r="D154" s="91"/>
      <c r="E154" s="91"/>
      <c r="F154" s="91"/>
      <c r="G154" s="91"/>
      <c r="H154" s="91"/>
      <c r="I154" s="91"/>
      <c r="J154" s="91"/>
      <c r="K154" s="91"/>
      <c r="L154" s="91"/>
      <c r="M154" s="91"/>
      <c r="N154" s="91"/>
      <c r="O154" s="91"/>
      <c r="P154" s="91"/>
      <c r="Q154" s="91"/>
      <c r="R154" s="91"/>
      <c r="S154" s="91"/>
    </row>
    <row r="155" spans="1:19" ht="13" x14ac:dyDescent="0.3">
      <c r="A155" s="92"/>
      <c r="B155" s="92"/>
      <c r="C155" s="92"/>
      <c r="D155" s="92"/>
      <c r="E155" s="92"/>
      <c r="F155" s="92"/>
      <c r="G155" s="92"/>
      <c r="H155" s="92"/>
      <c r="I155" s="92"/>
      <c r="J155" s="92"/>
      <c r="K155" s="92"/>
      <c r="L155" s="92"/>
      <c r="M155" s="92"/>
      <c r="N155" s="92"/>
      <c r="O155" s="92"/>
      <c r="P155" s="92"/>
      <c r="Q155" s="92"/>
      <c r="R155" s="92"/>
      <c r="S155" s="92"/>
    </row>
    <row r="156" spans="1:19" ht="13" x14ac:dyDescent="0.3">
      <c r="A156" s="92" t="s">
        <v>144</v>
      </c>
      <c r="B156" s="92"/>
      <c r="C156" s="92"/>
      <c r="D156" s="92"/>
      <c r="E156" s="92"/>
      <c r="F156" s="92"/>
      <c r="G156" s="92"/>
      <c r="H156" s="92"/>
      <c r="I156" s="92"/>
      <c r="J156" s="92"/>
      <c r="K156" s="92"/>
      <c r="L156" s="92"/>
      <c r="M156" s="92"/>
      <c r="N156" s="92"/>
      <c r="O156" s="92"/>
      <c r="P156" s="92"/>
      <c r="Q156" s="92"/>
      <c r="R156" s="92"/>
      <c r="S156" s="92"/>
    </row>
    <row r="157" spans="1:19" ht="13" x14ac:dyDescent="0.3">
      <c r="A157" s="91" t="s">
        <v>41</v>
      </c>
      <c r="B157" s="91"/>
      <c r="C157" s="91"/>
      <c r="D157" s="91"/>
      <c r="E157" s="91" t="s">
        <v>42</v>
      </c>
      <c r="F157" s="91"/>
      <c r="G157" s="91"/>
      <c r="H157" s="8"/>
      <c r="I157" s="91" t="s">
        <v>43</v>
      </c>
      <c r="J157" s="91"/>
      <c r="K157" s="91"/>
      <c r="M157" s="91" t="s">
        <v>44</v>
      </c>
      <c r="N157" s="91"/>
      <c r="O157" s="91"/>
      <c r="P157" s="91"/>
    </row>
    <row r="158" spans="1:19" ht="26" x14ac:dyDescent="0.3">
      <c r="A158" s="29" t="s">
        <v>60</v>
      </c>
      <c r="B158" s="29" t="s">
        <v>127</v>
      </c>
      <c r="C158" s="29" t="s">
        <v>45</v>
      </c>
      <c r="D158" s="34"/>
      <c r="E158" s="29" t="s">
        <v>60</v>
      </c>
      <c r="F158" s="29" t="s">
        <v>127</v>
      </c>
      <c r="G158" s="29" t="s">
        <v>45</v>
      </c>
      <c r="H158" s="34"/>
      <c r="I158" s="29" t="s">
        <v>60</v>
      </c>
      <c r="J158" s="29" t="s">
        <v>127</v>
      </c>
      <c r="K158" s="29" t="s">
        <v>45</v>
      </c>
      <c r="M158" s="29" t="s">
        <v>60</v>
      </c>
      <c r="N158" s="29" t="s">
        <v>127</v>
      </c>
      <c r="O158" s="29" t="s">
        <v>45</v>
      </c>
      <c r="P158" s="39"/>
    </row>
    <row r="159" spans="1:19" ht="13" x14ac:dyDescent="0.3">
      <c r="A159" s="33"/>
      <c r="B159" s="33"/>
      <c r="C159" s="29"/>
      <c r="D159" s="29"/>
      <c r="E159" s="23"/>
      <c r="F159" s="33"/>
      <c r="G159" s="33"/>
      <c r="H159" s="33"/>
      <c r="I159" s="23"/>
      <c r="J159" s="33"/>
      <c r="K159" s="33"/>
      <c r="M159" s="40"/>
      <c r="N159" s="40"/>
      <c r="O159" s="36"/>
      <c r="P159" s="39"/>
    </row>
    <row r="160" spans="1:19" x14ac:dyDescent="0.25">
      <c r="A160">
        <v>0</v>
      </c>
      <c r="B160">
        <f>C160+B159</f>
        <v>34</v>
      </c>
      <c r="C160">
        <v>34</v>
      </c>
      <c r="E160">
        <v>20</v>
      </c>
      <c r="F160">
        <f>G160+F159</f>
        <v>1399</v>
      </c>
      <c r="G160">
        <v>1399</v>
      </c>
      <c r="I160">
        <v>50</v>
      </c>
      <c r="J160">
        <f>K160+J159</f>
        <v>2278</v>
      </c>
      <c r="K160">
        <v>2278</v>
      </c>
      <c r="M160">
        <v>120</v>
      </c>
      <c r="N160">
        <f>O160+N159</f>
        <v>427</v>
      </c>
      <c r="O160">
        <v>427</v>
      </c>
      <c r="P160" s="39"/>
    </row>
    <row r="161" spans="1:19" x14ac:dyDescent="0.25">
      <c r="A161">
        <v>10</v>
      </c>
      <c r="B161">
        <f>C161+B160</f>
        <v>11468</v>
      </c>
      <c r="C161">
        <v>11434</v>
      </c>
      <c r="E161">
        <v>30</v>
      </c>
      <c r="F161">
        <f>G161+F160</f>
        <v>10202</v>
      </c>
      <c r="G161">
        <v>8803</v>
      </c>
      <c r="I161">
        <v>60</v>
      </c>
      <c r="J161">
        <f t="shared" ref="J161:J166" si="20">K161+J160</f>
        <v>4026</v>
      </c>
      <c r="K161">
        <v>1748</v>
      </c>
      <c r="M161">
        <v>140</v>
      </c>
      <c r="N161">
        <f t="shared" ref="N161:N174" si="21">O161+N160</f>
        <v>961</v>
      </c>
      <c r="O161">
        <v>534</v>
      </c>
      <c r="P161" s="39"/>
    </row>
    <row r="162" spans="1:19" x14ac:dyDescent="0.25">
      <c r="A162">
        <v>19</v>
      </c>
      <c r="B162">
        <f>C162+B161</f>
        <v>32264</v>
      </c>
      <c r="C162">
        <v>20796</v>
      </c>
      <c r="E162">
        <v>40</v>
      </c>
      <c r="F162">
        <f>G162+F161</f>
        <v>14639</v>
      </c>
      <c r="G162">
        <v>4437</v>
      </c>
      <c r="I162">
        <v>70</v>
      </c>
      <c r="J162">
        <f t="shared" si="20"/>
        <v>5227</v>
      </c>
      <c r="K162">
        <v>1201</v>
      </c>
      <c r="M162">
        <v>160</v>
      </c>
      <c r="N162">
        <f t="shared" si="21"/>
        <v>1348</v>
      </c>
      <c r="O162">
        <v>387</v>
      </c>
      <c r="P162" s="39"/>
    </row>
    <row r="163" spans="1:19" x14ac:dyDescent="0.25">
      <c r="E163">
        <v>41</v>
      </c>
      <c r="F163">
        <f>G163+F162</f>
        <v>14956</v>
      </c>
      <c r="G163">
        <v>317</v>
      </c>
      <c r="I163">
        <v>80</v>
      </c>
      <c r="J163">
        <f t="shared" si="20"/>
        <v>6150</v>
      </c>
      <c r="K163">
        <v>923</v>
      </c>
      <c r="M163">
        <v>180</v>
      </c>
      <c r="N163">
        <f t="shared" si="21"/>
        <v>1633</v>
      </c>
      <c r="O163">
        <v>285</v>
      </c>
      <c r="P163" s="39"/>
    </row>
    <row r="164" spans="1:19" x14ac:dyDescent="0.25">
      <c r="I164">
        <v>90</v>
      </c>
      <c r="J164">
        <f t="shared" si="20"/>
        <v>6867</v>
      </c>
      <c r="K164">
        <v>717</v>
      </c>
      <c r="M164">
        <v>200</v>
      </c>
      <c r="N164">
        <f t="shared" si="21"/>
        <v>1883</v>
      </c>
      <c r="O164">
        <v>250</v>
      </c>
      <c r="P164" s="39"/>
    </row>
    <row r="165" spans="1:19" x14ac:dyDescent="0.25">
      <c r="I165">
        <v>100</v>
      </c>
      <c r="J165">
        <f t="shared" si="20"/>
        <v>7442</v>
      </c>
      <c r="K165">
        <v>575</v>
      </c>
      <c r="M165">
        <v>220</v>
      </c>
      <c r="N165">
        <f t="shared" si="21"/>
        <v>2055</v>
      </c>
      <c r="O165">
        <v>172</v>
      </c>
      <c r="P165" s="39"/>
    </row>
    <row r="166" spans="1:19" x14ac:dyDescent="0.25">
      <c r="I166">
        <v>108</v>
      </c>
      <c r="J166">
        <f t="shared" si="20"/>
        <v>7819</v>
      </c>
      <c r="K166">
        <v>377</v>
      </c>
      <c r="M166">
        <v>240</v>
      </c>
      <c r="N166">
        <f t="shared" si="21"/>
        <v>2180</v>
      </c>
      <c r="O166">
        <v>125</v>
      </c>
      <c r="P166" s="39"/>
    </row>
    <row r="167" spans="1:19" x14ac:dyDescent="0.25">
      <c r="M167">
        <v>260</v>
      </c>
      <c r="N167">
        <f t="shared" si="21"/>
        <v>2297</v>
      </c>
      <c r="O167">
        <v>117</v>
      </c>
    </row>
    <row r="168" spans="1:19" x14ac:dyDescent="0.25">
      <c r="M168">
        <v>280</v>
      </c>
      <c r="N168">
        <f t="shared" si="21"/>
        <v>2400</v>
      </c>
      <c r="O168">
        <v>103</v>
      </c>
    </row>
    <row r="169" spans="1:19" x14ac:dyDescent="0.25">
      <c r="M169">
        <v>300</v>
      </c>
      <c r="N169">
        <f t="shared" si="21"/>
        <v>2483</v>
      </c>
      <c r="O169">
        <v>83</v>
      </c>
    </row>
    <row r="170" spans="1:19" x14ac:dyDescent="0.25">
      <c r="M170">
        <v>400</v>
      </c>
      <c r="N170">
        <f t="shared" si="21"/>
        <v>2821</v>
      </c>
      <c r="O170">
        <v>338</v>
      </c>
    </row>
    <row r="171" spans="1:19" x14ac:dyDescent="0.25">
      <c r="M171">
        <v>500</v>
      </c>
      <c r="N171">
        <f t="shared" si="21"/>
        <v>2972</v>
      </c>
      <c r="O171">
        <v>151</v>
      </c>
    </row>
    <row r="172" spans="1:19" x14ac:dyDescent="0.25">
      <c r="M172">
        <v>600</v>
      </c>
      <c r="N172">
        <f t="shared" si="21"/>
        <v>3025</v>
      </c>
      <c r="O172">
        <v>53</v>
      </c>
    </row>
    <row r="173" spans="1:19" x14ac:dyDescent="0.25">
      <c r="M173">
        <v>700</v>
      </c>
      <c r="N173">
        <f t="shared" si="21"/>
        <v>3038</v>
      </c>
      <c r="O173">
        <v>13</v>
      </c>
    </row>
    <row r="174" spans="1:19" x14ac:dyDescent="0.25">
      <c r="M174">
        <v>815</v>
      </c>
      <c r="N174">
        <f t="shared" si="21"/>
        <v>3045</v>
      </c>
      <c r="O174">
        <v>7</v>
      </c>
    </row>
    <row r="176" spans="1:19" ht="22.5" customHeight="1" x14ac:dyDescent="0.3">
      <c r="A176" s="96" t="s">
        <v>145</v>
      </c>
      <c r="B176" s="96"/>
      <c r="C176" s="96"/>
      <c r="D176" s="96"/>
      <c r="E176" s="96"/>
      <c r="F176" s="96"/>
      <c r="G176" s="96"/>
      <c r="H176" s="7"/>
      <c r="I176" s="96" t="s">
        <v>146</v>
      </c>
      <c r="J176" s="97"/>
      <c r="K176" s="97"/>
      <c r="L176" s="97"/>
      <c r="M176" s="97"/>
      <c r="N176" s="97"/>
      <c r="O176" s="97"/>
      <c r="P176" s="32"/>
      <c r="Q176" s="32"/>
      <c r="R176" s="7"/>
      <c r="S176" s="7"/>
    </row>
    <row r="177" spans="1:19" ht="13" x14ac:dyDescent="0.3">
      <c r="A177" s="91" t="s">
        <v>41</v>
      </c>
      <c r="B177" s="91"/>
      <c r="C177" s="91"/>
      <c r="D177" s="91"/>
      <c r="H177" s="34"/>
      <c r="I177" s="91" t="s">
        <v>41</v>
      </c>
      <c r="J177" s="91"/>
      <c r="K177" s="91"/>
      <c r="L177" s="91"/>
    </row>
    <row r="178" spans="1:19" ht="26" x14ac:dyDescent="0.3">
      <c r="A178" s="29" t="s">
        <v>60</v>
      </c>
      <c r="B178" s="29" t="s">
        <v>127</v>
      </c>
      <c r="C178" s="29" t="s">
        <v>45</v>
      </c>
      <c r="D178" s="34"/>
      <c r="H178" s="29"/>
      <c r="I178" s="29" t="s">
        <v>60</v>
      </c>
      <c r="J178" s="29" t="s">
        <v>127</v>
      </c>
      <c r="K178" s="29" t="s">
        <v>45</v>
      </c>
    </row>
    <row r="179" spans="1:19" ht="13" x14ac:dyDescent="0.3">
      <c r="A179" s="33"/>
      <c r="B179" s="33"/>
      <c r="C179" s="29"/>
      <c r="D179" s="29"/>
      <c r="I179" s="33"/>
      <c r="J179" s="33"/>
      <c r="K179" s="29"/>
    </row>
    <row r="180" spans="1:19" x14ac:dyDescent="0.25">
      <c r="A180">
        <v>20</v>
      </c>
      <c r="B180">
        <f>C180+B179</f>
        <v>4</v>
      </c>
      <c r="C180">
        <v>4</v>
      </c>
      <c r="I180">
        <v>50</v>
      </c>
      <c r="J180">
        <f>K180+J179</f>
        <v>87</v>
      </c>
      <c r="K180">
        <v>87</v>
      </c>
    </row>
    <row r="181" spans="1:19" x14ac:dyDescent="0.25">
      <c r="A181">
        <v>120</v>
      </c>
      <c r="B181">
        <f>C181+B180</f>
        <v>5</v>
      </c>
      <c r="C181">
        <v>1</v>
      </c>
      <c r="I181">
        <v>100</v>
      </c>
      <c r="J181">
        <f>K181+J180</f>
        <v>130</v>
      </c>
      <c r="K181">
        <v>43</v>
      </c>
    </row>
    <row r="182" spans="1:19" x14ac:dyDescent="0.25">
      <c r="A182">
        <v>160</v>
      </c>
      <c r="B182">
        <f>C182+B181</f>
        <v>6</v>
      </c>
      <c r="C182">
        <v>1</v>
      </c>
      <c r="I182">
        <v>150</v>
      </c>
      <c r="J182">
        <f>K182+J181</f>
        <v>149</v>
      </c>
      <c r="K182">
        <v>19</v>
      </c>
    </row>
    <row r="183" spans="1:19" x14ac:dyDescent="0.25">
      <c r="A183">
        <v>220</v>
      </c>
      <c r="B183">
        <f>C183+B182</f>
        <v>7</v>
      </c>
      <c r="C183">
        <v>1</v>
      </c>
      <c r="I183">
        <v>200</v>
      </c>
      <c r="J183">
        <f>K183+J182</f>
        <v>158</v>
      </c>
      <c r="K183">
        <v>9</v>
      </c>
    </row>
    <row r="184" spans="1:19" x14ac:dyDescent="0.25">
      <c r="I184">
        <v>250</v>
      </c>
      <c r="J184">
        <f>K184+J183</f>
        <v>162</v>
      </c>
      <c r="K184">
        <v>4</v>
      </c>
    </row>
    <row r="185" spans="1:19" ht="13" x14ac:dyDescent="0.3">
      <c r="A185" s="7"/>
      <c r="B185" s="7"/>
      <c r="C185" s="7"/>
      <c r="D185" s="7"/>
      <c r="E185" s="7"/>
      <c r="F185" s="7"/>
      <c r="G185" s="7"/>
      <c r="H185" s="7"/>
      <c r="I185">
        <v>300</v>
      </c>
      <c r="J185">
        <f t="shared" ref="J185:J190" si="22">K185+J184</f>
        <v>164</v>
      </c>
      <c r="K185">
        <v>2</v>
      </c>
      <c r="L185" s="7"/>
      <c r="M185" s="7"/>
      <c r="N185" s="7"/>
      <c r="O185" s="7"/>
      <c r="P185" s="7"/>
      <c r="Q185" s="7"/>
      <c r="R185" s="7"/>
      <c r="S185" s="7"/>
    </row>
    <row r="186" spans="1:19" x14ac:dyDescent="0.25">
      <c r="I186">
        <v>350</v>
      </c>
      <c r="J186">
        <f t="shared" si="22"/>
        <v>165</v>
      </c>
      <c r="K186">
        <v>1</v>
      </c>
    </row>
    <row r="187" spans="1:19" x14ac:dyDescent="0.25">
      <c r="I187">
        <v>400</v>
      </c>
      <c r="J187">
        <f t="shared" si="22"/>
        <v>166</v>
      </c>
      <c r="K187">
        <v>1</v>
      </c>
    </row>
    <row r="188" spans="1:19" x14ac:dyDescent="0.25">
      <c r="I188">
        <v>500</v>
      </c>
      <c r="J188">
        <f t="shared" si="22"/>
        <v>169</v>
      </c>
      <c r="K188">
        <v>3</v>
      </c>
    </row>
    <row r="189" spans="1:19" x14ac:dyDescent="0.25">
      <c r="I189">
        <v>600</v>
      </c>
      <c r="J189">
        <f t="shared" si="22"/>
        <v>171</v>
      </c>
      <c r="K189">
        <v>2</v>
      </c>
    </row>
    <row r="190" spans="1:19" x14ac:dyDescent="0.25">
      <c r="I190">
        <v>755</v>
      </c>
      <c r="J190">
        <f t="shared" si="22"/>
        <v>172</v>
      </c>
      <c r="K190">
        <v>1</v>
      </c>
    </row>
    <row r="192" spans="1:19" ht="13" x14ac:dyDescent="0.3">
      <c r="A192" s="7" t="s">
        <v>147</v>
      </c>
      <c r="B192" s="7"/>
      <c r="C192" s="7"/>
      <c r="D192" s="7"/>
      <c r="E192" s="7"/>
      <c r="F192" s="7"/>
      <c r="G192" s="7"/>
      <c r="H192" s="7"/>
      <c r="P192" s="7"/>
      <c r="Q192" s="7"/>
      <c r="R192" s="7"/>
      <c r="S192" s="7"/>
    </row>
    <row r="193" spans="1:19" ht="13" x14ac:dyDescent="0.3">
      <c r="A193" s="91" t="s">
        <v>41</v>
      </c>
      <c r="B193" s="91"/>
      <c r="C193" s="91"/>
      <c r="D193" s="91"/>
      <c r="E193" s="91" t="s">
        <v>42</v>
      </c>
      <c r="F193" s="91"/>
      <c r="G193" s="91"/>
    </row>
    <row r="194" spans="1:19" ht="26" x14ac:dyDescent="0.3">
      <c r="A194" s="29" t="s">
        <v>60</v>
      </c>
      <c r="B194" s="29" t="s">
        <v>127</v>
      </c>
      <c r="C194" s="29" t="s">
        <v>45</v>
      </c>
      <c r="E194" s="29" t="s">
        <v>60</v>
      </c>
      <c r="F194" s="29" t="s">
        <v>127</v>
      </c>
      <c r="G194" s="29" t="s">
        <v>45</v>
      </c>
    </row>
    <row r="195" spans="1:19" ht="13" x14ac:dyDescent="0.3">
      <c r="A195" s="33"/>
      <c r="B195" s="33"/>
      <c r="C195" s="29"/>
      <c r="E195" s="23"/>
      <c r="F195" s="33"/>
      <c r="G195" s="33"/>
    </row>
    <row r="196" spans="1:19" x14ac:dyDescent="0.25">
      <c r="A196">
        <v>0</v>
      </c>
      <c r="B196">
        <f t="shared" ref="B196:B203" si="23">C196+B195</f>
        <v>4</v>
      </c>
      <c r="C196">
        <v>4</v>
      </c>
      <c r="E196">
        <v>100</v>
      </c>
      <c r="F196">
        <f t="shared" ref="F196:F203" si="24">G196+F195</f>
        <v>48</v>
      </c>
      <c r="G196">
        <v>48</v>
      </c>
    </row>
    <row r="197" spans="1:19" x14ac:dyDescent="0.25">
      <c r="A197">
        <v>10</v>
      </c>
      <c r="B197">
        <f t="shared" si="23"/>
        <v>87</v>
      </c>
      <c r="C197">
        <v>83</v>
      </c>
      <c r="E197">
        <v>150</v>
      </c>
      <c r="F197">
        <f t="shared" si="24"/>
        <v>68</v>
      </c>
      <c r="G197">
        <v>20</v>
      </c>
    </row>
    <row r="198" spans="1:19" x14ac:dyDescent="0.25">
      <c r="A198">
        <v>20</v>
      </c>
      <c r="B198">
        <f t="shared" si="23"/>
        <v>177</v>
      </c>
      <c r="C198">
        <v>90</v>
      </c>
      <c r="E198">
        <v>200</v>
      </c>
      <c r="F198">
        <f t="shared" si="24"/>
        <v>74</v>
      </c>
      <c r="G198">
        <v>6</v>
      </c>
    </row>
    <row r="199" spans="1:19" x14ac:dyDescent="0.25">
      <c r="A199">
        <v>30</v>
      </c>
      <c r="B199">
        <f t="shared" si="23"/>
        <v>219</v>
      </c>
      <c r="C199">
        <v>42</v>
      </c>
      <c r="E199">
        <v>250</v>
      </c>
      <c r="F199">
        <f t="shared" si="24"/>
        <v>78</v>
      </c>
      <c r="G199">
        <v>4</v>
      </c>
    </row>
    <row r="200" spans="1:19" x14ac:dyDescent="0.25">
      <c r="A200">
        <v>40</v>
      </c>
      <c r="B200">
        <f t="shared" si="23"/>
        <v>262</v>
      </c>
      <c r="C200">
        <v>43</v>
      </c>
      <c r="E200">
        <v>300</v>
      </c>
      <c r="F200">
        <f t="shared" si="24"/>
        <v>81</v>
      </c>
      <c r="G200">
        <v>3</v>
      </c>
    </row>
    <row r="201" spans="1:19" ht="13" x14ac:dyDescent="0.3">
      <c r="A201">
        <v>50</v>
      </c>
      <c r="B201">
        <f t="shared" si="23"/>
        <v>295</v>
      </c>
      <c r="C201">
        <v>33</v>
      </c>
      <c r="D201" s="7"/>
      <c r="E201">
        <v>400</v>
      </c>
      <c r="F201">
        <f t="shared" si="24"/>
        <v>82</v>
      </c>
      <c r="G201">
        <v>1</v>
      </c>
      <c r="H201" s="7"/>
      <c r="P201" s="7"/>
      <c r="Q201" s="7"/>
      <c r="R201" s="7"/>
      <c r="S201" s="7"/>
    </row>
    <row r="202" spans="1:19" x14ac:dyDescent="0.25">
      <c r="A202">
        <v>60</v>
      </c>
      <c r="B202">
        <f t="shared" si="23"/>
        <v>317</v>
      </c>
      <c r="C202">
        <v>22</v>
      </c>
      <c r="E202">
        <v>500</v>
      </c>
      <c r="F202">
        <f t="shared" si="24"/>
        <v>83</v>
      </c>
      <c r="G202">
        <v>1</v>
      </c>
    </row>
    <row r="203" spans="1:19" x14ac:dyDescent="0.25">
      <c r="A203">
        <v>67</v>
      </c>
      <c r="B203">
        <f t="shared" si="23"/>
        <v>329</v>
      </c>
      <c r="C203">
        <v>12</v>
      </c>
      <c r="E203">
        <v>543</v>
      </c>
      <c r="F203">
        <f t="shared" si="24"/>
        <v>84</v>
      </c>
      <c r="G203">
        <v>1</v>
      </c>
    </row>
    <row r="204" spans="1:19" ht="13" x14ac:dyDescent="0.3">
      <c r="A204" s="33"/>
      <c r="B204" s="33"/>
      <c r="C204" s="29"/>
    </row>
    <row r="205" spans="1:19" s="52" customFormat="1" ht="13" x14ac:dyDescent="0.3">
      <c r="A205" s="89" t="s">
        <v>136</v>
      </c>
      <c r="B205" s="88"/>
      <c r="C205" s="88"/>
      <c r="D205" s="88"/>
      <c r="E205" s="88"/>
      <c r="F205" s="88"/>
      <c r="G205" s="88"/>
      <c r="H205" s="88"/>
      <c r="I205" s="88"/>
      <c r="J205" s="88"/>
      <c r="K205" s="88"/>
      <c r="L205" s="88"/>
      <c r="M205" s="88"/>
      <c r="N205" s="88"/>
      <c r="O205" s="88"/>
      <c r="P205" s="88"/>
      <c r="Q205" s="88"/>
      <c r="R205" s="88"/>
      <c r="S205" s="88"/>
    </row>
    <row r="206" spans="1:19" ht="13" x14ac:dyDescent="0.3">
      <c r="A206" s="91" t="s">
        <v>59</v>
      </c>
      <c r="B206" s="91"/>
      <c r="C206" s="91"/>
      <c r="D206" s="91"/>
      <c r="E206" s="91"/>
      <c r="F206" s="91"/>
      <c r="G206" s="91"/>
      <c r="H206" s="91"/>
      <c r="I206" s="91"/>
      <c r="J206" s="91"/>
      <c r="K206" s="91"/>
      <c r="L206" s="91"/>
      <c r="M206" s="91"/>
      <c r="N206" s="91"/>
      <c r="O206" s="91"/>
      <c r="P206" s="91"/>
      <c r="Q206" s="91"/>
      <c r="R206" s="91"/>
      <c r="S206" s="91"/>
    </row>
    <row r="207" spans="1:19" ht="13" x14ac:dyDescent="0.3">
      <c r="A207" s="87" t="s">
        <v>157</v>
      </c>
      <c r="B207" s="88"/>
      <c r="C207" s="88"/>
      <c r="D207" s="88"/>
      <c r="E207" s="88"/>
      <c r="F207" s="88"/>
      <c r="G207" s="88"/>
      <c r="H207" s="88"/>
      <c r="I207" s="88"/>
      <c r="J207" s="88"/>
      <c r="K207" s="88"/>
      <c r="L207" s="88"/>
      <c r="M207" s="88"/>
      <c r="N207" s="88"/>
      <c r="O207" s="88"/>
      <c r="P207" s="88"/>
      <c r="Q207" s="88"/>
      <c r="R207" s="88"/>
      <c r="S207" s="88"/>
    </row>
    <row r="208" spans="1:19" ht="13" x14ac:dyDescent="0.3">
      <c r="A208" s="92" t="s">
        <v>135</v>
      </c>
      <c r="B208" s="92"/>
      <c r="C208" s="92"/>
      <c r="D208" s="92"/>
      <c r="E208" s="92"/>
      <c r="F208" s="92"/>
      <c r="G208" s="92"/>
      <c r="H208" s="92"/>
      <c r="I208" s="92"/>
      <c r="J208" s="92"/>
      <c r="K208" s="92"/>
      <c r="L208" s="92"/>
      <c r="M208" s="92"/>
      <c r="N208" s="92"/>
      <c r="O208" s="92"/>
      <c r="P208" s="92"/>
      <c r="Q208" s="92"/>
      <c r="R208" s="92"/>
      <c r="S208" s="92"/>
    </row>
    <row r="209" spans="1:19" ht="13" x14ac:dyDescent="0.3">
      <c r="A209" s="83"/>
      <c r="B209" s="83"/>
      <c r="C209" s="83"/>
      <c r="D209" s="83"/>
      <c r="E209" s="83"/>
      <c r="F209" s="83"/>
      <c r="G209" s="83"/>
      <c r="H209" s="83"/>
      <c r="I209" s="83"/>
      <c r="J209" s="83"/>
      <c r="K209" s="83"/>
      <c r="L209" s="83"/>
      <c r="M209" s="83"/>
      <c r="N209" s="83"/>
      <c r="O209" s="83"/>
      <c r="P209" s="83"/>
      <c r="Q209" s="83"/>
      <c r="R209" s="83"/>
      <c r="S209" s="83"/>
    </row>
    <row r="210" spans="1:19" ht="13" x14ac:dyDescent="0.3">
      <c r="A210" s="91" t="s">
        <v>150</v>
      </c>
      <c r="B210" s="91"/>
      <c r="C210" s="91"/>
      <c r="D210" s="91"/>
      <c r="E210" s="91"/>
      <c r="F210" s="91"/>
      <c r="G210" s="91"/>
      <c r="H210" s="91"/>
      <c r="I210" s="91"/>
      <c r="J210" s="91"/>
      <c r="K210" s="91"/>
      <c r="L210" s="91"/>
      <c r="M210" s="91"/>
      <c r="N210" s="91"/>
      <c r="O210" s="91"/>
      <c r="P210" s="91"/>
      <c r="Q210" s="91"/>
      <c r="R210" s="91"/>
      <c r="S210" s="91"/>
    </row>
    <row r="211" spans="1:19" ht="13" x14ac:dyDescent="0.3">
      <c r="A211" s="91" t="s">
        <v>41</v>
      </c>
      <c r="B211" s="91"/>
      <c r="C211" s="91"/>
      <c r="D211" s="91"/>
      <c r="E211" s="91" t="s">
        <v>42</v>
      </c>
      <c r="F211" s="91"/>
      <c r="G211" s="91"/>
      <c r="H211" s="8"/>
      <c r="I211" s="91" t="s">
        <v>43</v>
      </c>
      <c r="J211" s="91"/>
      <c r="K211" s="91"/>
      <c r="M211" s="91" t="s">
        <v>44</v>
      </c>
      <c r="N211" s="91"/>
      <c r="O211" s="91"/>
      <c r="P211" s="91"/>
    </row>
    <row r="212" spans="1:19" ht="26" x14ac:dyDescent="0.3">
      <c r="A212" s="29" t="s">
        <v>60</v>
      </c>
      <c r="B212" s="29" t="s">
        <v>127</v>
      </c>
      <c r="C212" s="29" t="s">
        <v>45</v>
      </c>
      <c r="D212" s="34"/>
      <c r="E212" s="29" t="s">
        <v>60</v>
      </c>
      <c r="F212" s="29" t="s">
        <v>127</v>
      </c>
      <c r="G212" s="29" t="s">
        <v>45</v>
      </c>
      <c r="H212" s="34"/>
      <c r="I212" s="29" t="s">
        <v>60</v>
      </c>
      <c r="J212" s="29" t="s">
        <v>127</v>
      </c>
      <c r="K212" s="29" t="s">
        <v>45</v>
      </c>
      <c r="M212" s="29" t="s">
        <v>60</v>
      </c>
      <c r="N212" s="29" t="s">
        <v>127</v>
      </c>
      <c r="O212" s="29" t="s">
        <v>45</v>
      </c>
      <c r="P212" s="39"/>
    </row>
    <row r="213" spans="1:19" ht="13" x14ac:dyDescent="0.3">
      <c r="A213" s="33"/>
      <c r="B213" s="33"/>
      <c r="C213" s="29"/>
      <c r="D213" s="29"/>
      <c r="E213" s="23"/>
      <c r="F213" s="33"/>
      <c r="G213" s="33"/>
      <c r="H213" s="33"/>
      <c r="I213" s="23"/>
      <c r="J213" s="33"/>
      <c r="K213" s="33"/>
      <c r="M213" s="40"/>
      <c r="N213" s="40"/>
      <c r="O213" s="36"/>
      <c r="P213" s="39"/>
    </row>
    <row r="214" spans="1:19" x14ac:dyDescent="0.25">
      <c r="A214">
        <v>0</v>
      </c>
      <c r="B214">
        <f>C214+B213</f>
        <v>5</v>
      </c>
      <c r="C214">
        <v>5</v>
      </c>
      <c r="E214">
        <v>20</v>
      </c>
      <c r="F214">
        <f>G214+F213</f>
        <v>327</v>
      </c>
      <c r="G214">
        <v>327</v>
      </c>
      <c r="I214">
        <v>50</v>
      </c>
      <c r="J214">
        <f t="shared" ref="J214:J219" si="25">K214+J213</f>
        <v>615</v>
      </c>
      <c r="K214">
        <v>615</v>
      </c>
      <c r="M214">
        <v>150</v>
      </c>
      <c r="N214">
        <f>O214+N213</f>
        <v>399</v>
      </c>
      <c r="O214">
        <v>399</v>
      </c>
      <c r="P214" s="39"/>
    </row>
    <row r="215" spans="1:19" x14ac:dyDescent="0.25">
      <c r="A215">
        <v>10</v>
      </c>
      <c r="B215">
        <f>C215+B214</f>
        <v>2466</v>
      </c>
      <c r="C215">
        <v>2461</v>
      </c>
      <c r="E215">
        <v>30</v>
      </c>
      <c r="F215">
        <f>G215+F214</f>
        <v>2376</v>
      </c>
      <c r="G215">
        <v>2049</v>
      </c>
      <c r="I215">
        <v>60</v>
      </c>
      <c r="J215">
        <f t="shared" si="25"/>
        <v>1043</v>
      </c>
      <c r="K215">
        <v>428</v>
      </c>
      <c r="M215">
        <v>200</v>
      </c>
      <c r="N215">
        <f t="shared" ref="N215:N225" si="26">O215+N214</f>
        <v>559</v>
      </c>
      <c r="O215">
        <v>160</v>
      </c>
      <c r="P215" s="39"/>
    </row>
    <row r="216" spans="1:19" x14ac:dyDescent="0.25">
      <c r="A216">
        <v>19</v>
      </c>
      <c r="B216">
        <f>C216+B215</f>
        <v>7470</v>
      </c>
      <c r="C216">
        <v>5004</v>
      </c>
      <c r="E216">
        <v>40</v>
      </c>
      <c r="F216">
        <f>G216+F215</f>
        <v>3485</v>
      </c>
      <c r="G216">
        <v>1109</v>
      </c>
      <c r="I216">
        <v>70</v>
      </c>
      <c r="J216">
        <f t="shared" si="25"/>
        <v>1343</v>
      </c>
      <c r="K216">
        <v>300</v>
      </c>
      <c r="M216">
        <v>250</v>
      </c>
      <c r="N216">
        <f t="shared" si="26"/>
        <v>674</v>
      </c>
      <c r="O216">
        <v>115</v>
      </c>
      <c r="P216" s="39"/>
    </row>
    <row r="217" spans="1:19" x14ac:dyDescent="0.25">
      <c r="C217" s="36"/>
      <c r="E217">
        <v>41</v>
      </c>
      <c r="F217">
        <f>G217+F216</f>
        <v>3568</v>
      </c>
      <c r="G217">
        <v>83</v>
      </c>
      <c r="I217">
        <v>80</v>
      </c>
      <c r="J217">
        <f t="shared" si="25"/>
        <v>1546</v>
      </c>
      <c r="K217">
        <v>203</v>
      </c>
      <c r="M217">
        <v>300</v>
      </c>
      <c r="N217">
        <f t="shared" si="26"/>
        <v>718</v>
      </c>
      <c r="O217">
        <v>44</v>
      </c>
      <c r="P217" s="39"/>
    </row>
    <row r="218" spans="1:19" x14ac:dyDescent="0.25">
      <c r="G218" s="41"/>
      <c r="I218">
        <v>90</v>
      </c>
      <c r="J218">
        <f t="shared" si="25"/>
        <v>1719</v>
      </c>
      <c r="K218">
        <v>173</v>
      </c>
      <c r="M218">
        <v>350</v>
      </c>
      <c r="N218">
        <f t="shared" si="26"/>
        <v>750</v>
      </c>
      <c r="O218">
        <v>32</v>
      </c>
    </row>
    <row r="219" spans="1:19" x14ac:dyDescent="0.25">
      <c r="I219">
        <v>100</v>
      </c>
      <c r="J219">
        <f t="shared" si="25"/>
        <v>1861</v>
      </c>
      <c r="K219">
        <v>142</v>
      </c>
      <c r="M219">
        <v>400</v>
      </c>
      <c r="N219">
        <f t="shared" si="26"/>
        <v>773</v>
      </c>
      <c r="O219">
        <v>23</v>
      </c>
    </row>
    <row r="220" spans="1:19" x14ac:dyDescent="0.25">
      <c r="M220">
        <v>450</v>
      </c>
      <c r="N220">
        <f t="shared" si="26"/>
        <v>784</v>
      </c>
      <c r="O220">
        <v>11</v>
      </c>
    </row>
    <row r="221" spans="1:19" x14ac:dyDescent="0.25">
      <c r="M221">
        <v>500</v>
      </c>
      <c r="N221">
        <f t="shared" si="26"/>
        <v>788</v>
      </c>
      <c r="O221">
        <v>4</v>
      </c>
    </row>
    <row r="222" spans="1:19" x14ac:dyDescent="0.25">
      <c r="M222">
        <v>550</v>
      </c>
      <c r="N222">
        <f t="shared" si="26"/>
        <v>792</v>
      </c>
      <c r="O222">
        <v>4</v>
      </c>
    </row>
    <row r="223" spans="1:19" x14ac:dyDescent="0.25">
      <c r="M223">
        <v>600</v>
      </c>
      <c r="N223">
        <f t="shared" si="26"/>
        <v>796</v>
      </c>
      <c r="O223">
        <v>4</v>
      </c>
    </row>
    <row r="224" spans="1:19" x14ac:dyDescent="0.25">
      <c r="M224">
        <v>650</v>
      </c>
      <c r="N224">
        <f t="shared" si="26"/>
        <v>798</v>
      </c>
      <c r="O224">
        <v>2</v>
      </c>
    </row>
    <row r="225" spans="1:19" x14ac:dyDescent="0.25">
      <c r="M225">
        <v>985</v>
      </c>
      <c r="N225">
        <f t="shared" si="26"/>
        <v>801</v>
      </c>
      <c r="O225">
        <v>3</v>
      </c>
    </row>
    <row r="227" spans="1:19" ht="13" x14ac:dyDescent="0.3">
      <c r="A227" s="7" t="s">
        <v>151</v>
      </c>
      <c r="B227" s="7"/>
      <c r="C227" s="7"/>
      <c r="D227" s="7"/>
      <c r="E227" s="7"/>
      <c r="F227" s="7"/>
      <c r="G227" s="7"/>
    </row>
    <row r="228" spans="1:19" ht="13" x14ac:dyDescent="0.3">
      <c r="A228" s="91" t="s">
        <v>41</v>
      </c>
      <c r="B228" s="91"/>
      <c r="C228" s="91"/>
    </row>
    <row r="229" spans="1:19" ht="26" x14ac:dyDescent="0.3">
      <c r="A229" s="29" t="s">
        <v>60</v>
      </c>
      <c r="B229" s="29" t="s">
        <v>127</v>
      </c>
      <c r="C229" s="29" t="s">
        <v>45</v>
      </c>
    </row>
    <row r="230" spans="1:19" ht="13" x14ac:dyDescent="0.3">
      <c r="A230" s="23"/>
      <c r="B230" s="33"/>
      <c r="C230" s="33"/>
    </row>
    <row r="231" spans="1:19" x14ac:dyDescent="0.25">
      <c r="A231">
        <v>0</v>
      </c>
      <c r="B231">
        <f>C231+B230</f>
        <v>6</v>
      </c>
      <c r="C231">
        <v>6</v>
      </c>
    </row>
    <row r="232" spans="1:19" x14ac:dyDescent="0.25">
      <c r="A232">
        <v>50</v>
      </c>
      <c r="B232">
        <f>C232+B231</f>
        <v>124</v>
      </c>
      <c r="C232">
        <v>118</v>
      </c>
    </row>
    <row r="233" spans="1:19" x14ac:dyDescent="0.25">
      <c r="A233">
        <v>100</v>
      </c>
      <c r="B233">
        <f>C233+B232</f>
        <v>141</v>
      </c>
      <c r="C233">
        <v>17</v>
      </c>
    </row>
    <row r="234" spans="1:19" x14ac:dyDescent="0.25">
      <c r="A234">
        <v>150</v>
      </c>
      <c r="B234">
        <f>C234+B233</f>
        <v>151</v>
      </c>
      <c r="C234">
        <v>10</v>
      </c>
    </row>
    <row r="235" spans="1:19" x14ac:dyDescent="0.25">
      <c r="A235">
        <v>305</v>
      </c>
      <c r="B235">
        <f>C235+B234</f>
        <v>152</v>
      </c>
      <c r="C235">
        <v>1</v>
      </c>
    </row>
    <row r="236" spans="1:19" ht="13" x14ac:dyDescent="0.3">
      <c r="A236" s="91"/>
      <c r="B236" s="91"/>
      <c r="C236" s="91"/>
      <c r="D236" s="91"/>
      <c r="E236" s="91"/>
      <c r="F236" s="91"/>
      <c r="G236" s="91"/>
      <c r="H236" s="91"/>
      <c r="I236" s="91"/>
      <c r="J236" s="91"/>
      <c r="K236" s="91"/>
      <c r="L236" s="91"/>
      <c r="M236" s="91"/>
      <c r="N236" s="91"/>
      <c r="O236" s="91"/>
      <c r="P236" s="91"/>
      <c r="Q236" s="91"/>
      <c r="R236" s="91"/>
      <c r="S236" s="91"/>
    </row>
    <row r="237" spans="1:19" ht="13" x14ac:dyDescent="0.3">
      <c r="A237" s="92"/>
      <c r="B237" s="92"/>
      <c r="C237" s="92"/>
      <c r="D237" s="92"/>
      <c r="E237" s="92"/>
      <c r="F237" s="92"/>
      <c r="G237" s="92"/>
      <c r="H237" s="92"/>
      <c r="I237" s="92"/>
      <c r="J237" s="92"/>
      <c r="K237" s="92"/>
      <c r="L237" s="92"/>
      <c r="M237" s="92"/>
      <c r="N237" s="92"/>
      <c r="O237" s="92"/>
      <c r="P237" s="92"/>
      <c r="Q237" s="92"/>
      <c r="R237" s="92"/>
      <c r="S237" s="92"/>
    </row>
    <row r="238" spans="1:19" ht="13" x14ac:dyDescent="0.3">
      <c r="A238" s="7" t="s">
        <v>148</v>
      </c>
      <c r="B238" s="7"/>
      <c r="C238" s="7"/>
      <c r="D238" s="7"/>
      <c r="E238" s="7"/>
      <c r="F238" s="7"/>
      <c r="G238" s="7"/>
      <c r="H238" s="7"/>
      <c r="I238" s="7"/>
      <c r="J238" s="83"/>
      <c r="K238" s="83"/>
      <c r="L238" s="83"/>
      <c r="M238" s="83"/>
      <c r="N238" s="83"/>
      <c r="O238" s="83"/>
      <c r="P238" s="83"/>
      <c r="Q238" s="83"/>
      <c r="R238" s="83"/>
      <c r="S238" s="83"/>
    </row>
    <row r="239" spans="1:19" ht="13" x14ac:dyDescent="0.3">
      <c r="A239" s="1" t="s">
        <v>41</v>
      </c>
      <c r="B239" s="1"/>
      <c r="C239" s="28"/>
      <c r="D239" s="28"/>
      <c r="E239" s="1" t="s">
        <v>42</v>
      </c>
      <c r="F239" s="1"/>
      <c r="G239" s="28"/>
      <c r="H239" s="28"/>
    </row>
    <row r="240" spans="1:19" ht="26" x14ac:dyDescent="0.3">
      <c r="A240" s="29" t="s">
        <v>60</v>
      </c>
      <c r="B240" s="29" t="s">
        <v>127</v>
      </c>
      <c r="C240" s="29" t="s">
        <v>45</v>
      </c>
      <c r="D240" s="34"/>
      <c r="E240" s="29" t="s">
        <v>60</v>
      </c>
      <c r="F240" s="29" t="s">
        <v>127</v>
      </c>
      <c r="G240" s="29" t="s">
        <v>45</v>
      </c>
      <c r="H240" s="34"/>
    </row>
    <row r="241" spans="1:19" x14ac:dyDescent="0.25">
      <c r="A241" s="41"/>
      <c r="B241" s="41"/>
      <c r="C241" s="41"/>
      <c r="D241" s="39"/>
      <c r="E241" s="42"/>
      <c r="F241" s="41"/>
      <c r="G241" s="41"/>
      <c r="H241" s="41"/>
    </row>
    <row r="242" spans="1:19" x14ac:dyDescent="0.25">
      <c r="A242">
        <v>0</v>
      </c>
      <c r="B242">
        <f>C242+B241</f>
        <v>7</v>
      </c>
      <c r="C242">
        <v>7</v>
      </c>
      <c r="D242" s="39"/>
      <c r="E242">
        <v>400</v>
      </c>
      <c r="F242">
        <f t="shared" ref="F242:F247" si="27">G242+F241</f>
        <v>17</v>
      </c>
      <c r="G242">
        <v>17</v>
      </c>
    </row>
    <row r="243" spans="1:19" x14ac:dyDescent="0.25">
      <c r="A243">
        <v>50</v>
      </c>
      <c r="B243">
        <f t="shared" ref="B243:B249" si="28">C243+B242</f>
        <v>68</v>
      </c>
      <c r="C243">
        <v>61</v>
      </c>
      <c r="D243" s="39"/>
      <c r="E243">
        <v>500</v>
      </c>
      <c r="F243">
        <f t="shared" si="27"/>
        <v>36</v>
      </c>
      <c r="G243">
        <v>19</v>
      </c>
    </row>
    <row r="244" spans="1:19" x14ac:dyDescent="0.25">
      <c r="A244">
        <v>100</v>
      </c>
      <c r="B244">
        <f t="shared" si="28"/>
        <v>91</v>
      </c>
      <c r="C244">
        <v>23</v>
      </c>
      <c r="D244" s="39"/>
      <c r="E244">
        <v>600</v>
      </c>
      <c r="F244">
        <f t="shared" si="27"/>
        <v>39</v>
      </c>
      <c r="G244">
        <v>3</v>
      </c>
    </row>
    <row r="245" spans="1:19" x14ac:dyDescent="0.25">
      <c r="A245">
        <v>150</v>
      </c>
      <c r="B245">
        <f t="shared" si="28"/>
        <v>112</v>
      </c>
      <c r="C245">
        <v>21</v>
      </c>
      <c r="D245" s="39"/>
      <c r="E245">
        <v>700</v>
      </c>
      <c r="F245">
        <f t="shared" si="27"/>
        <v>40</v>
      </c>
      <c r="G245">
        <v>1</v>
      </c>
    </row>
    <row r="246" spans="1:19" x14ac:dyDescent="0.25">
      <c r="A246">
        <v>200</v>
      </c>
      <c r="B246">
        <f t="shared" si="28"/>
        <v>122</v>
      </c>
      <c r="C246">
        <v>10</v>
      </c>
      <c r="D246" s="39"/>
      <c r="E246">
        <v>800</v>
      </c>
      <c r="F246">
        <f t="shared" si="27"/>
        <v>41</v>
      </c>
      <c r="G246">
        <v>1</v>
      </c>
    </row>
    <row r="247" spans="1:19" x14ac:dyDescent="0.25">
      <c r="A247">
        <v>250</v>
      </c>
      <c r="B247">
        <f t="shared" si="28"/>
        <v>137</v>
      </c>
      <c r="C247">
        <v>15</v>
      </c>
      <c r="D247" s="39"/>
      <c r="E247">
        <v>1018</v>
      </c>
      <c r="F247">
        <f t="shared" si="27"/>
        <v>42</v>
      </c>
      <c r="G247">
        <v>1</v>
      </c>
    </row>
    <row r="248" spans="1:19" x14ac:dyDescent="0.25">
      <c r="A248">
        <v>300</v>
      </c>
      <c r="B248">
        <f t="shared" si="28"/>
        <v>149</v>
      </c>
      <c r="C248">
        <v>12</v>
      </c>
      <c r="D248" s="39"/>
    </row>
    <row r="249" spans="1:19" x14ac:dyDescent="0.25">
      <c r="A249">
        <v>331</v>
      </c>
      <c r="B249">
        <f t="shared" si="28"/>
        <v>154</v>
      </c>
      <c r="C249">
        <v>5</v>
      </c>
      <c r="D249" s="39"/>
    </row>
    <row r="250" spans="1:19" x14ac:dyDescent="0.25">
      <c r="D250" s="39"/>
    </row>
    <row r="251" spans="1:19" ht="13" x14ac:dyDescent="0.3">
      <c r="A251" s="7" t="s">
        <v>152</v>
      </c>
      <c r="B251" s="7"/>
      <c r="C251" s="7"/>
      <c r="D251" s="7"/>
      <c r="E251" s="7"/>
      <c r="F251" s="7"/>
      <c r="G251" s="7"/>
      <c r="H251" s="7"/>
      <c r="I251" s="7"/>
      <c r="J251" s="7"/>
      <c r="K251" s="7"/>
      <c r="L251" s="7"/>
      <c r="M251" s="7"/>
      <c r="N251" s="7"/>
      <c r="O251" s="7"/>
      <c r="P251" s="7"/>
      <c r="Q251" s="7"/>
      <c r="R251" s="7"/>
      <c r="S251" s="7"/>
    </row>
    <row r="252" spans="1:19" ht="13" x14ac:dyDescent="0.3">
      <c r="A252" s="91" t="s">
        <v>41</v>
      </c>
      <c r="B252" s="91"/>
      <c r="C252" s="91"/>
      <c r="D252" s="91"/>
      <c r="E252" s="91" t="s">
        <v>42</v>
      </c>
      <c r="F252" s="91"/>
      <c r="G252" s="91"/>
      <c r="H252" s="8"/>
      <c r="I252" s="91" t="s">
        <v>43</v>
      </c>
      <c r="J252" s="91"/>
      <c r="K252" s="91"/>
    </row>
    <row r="253" spans="1:19" ht="26" x14ac:dyDescent="0.3">
      <c r="A253" s="29" t="s">
        <v>60</v>
      </c>
      <c r="B253" s="29" t="s">
        <v>127</v>
      </c>
      <c r="C253" s="29" t="s">
        <v>45</v>
      </c>
      <c r="D253" s="34"/>
      <c r="E253" s="29" t="s">
        <v>60</v>
      </c>
      <c r="F253" s="29" t="s">
        <v>127</v>
      </c>
      <c r="G253" s="29" t="s">
        <v>45</v>
      </c>
      <c r="H253" s="34"/>
      <c r="I253" s="29" t="s">
        <v>60</v>
      </c>
      <c r="J253" s="29" t="s">
        <v>127</v>
      </c>
      <c r="K253" s="29" t="s">
        <v>45</v>
      </c>
    </row>
    <row r="254" spans="1:19" ht="13" x14ac:dyDescent="0.3">
      <c r="A254" s="33"/>
      <c r="B254" s="33"/>
      <c r="C254" s="29"/>
      <c r="D254" s="29"/>
      <c r="E254" s="23"/>
      <c r="F254" s="33"/>
      <c r="G254" s="33"/>
      <c r="H254" s="33"/>
      <c r="I254" s="23"/>
      <c r="J254" s="33"/>
      <c r="K254" s="33"/>
    </row>
    <row r="255" spans="1:19" x14ac:dyDescent="0.25">
      <c r="A255">
        <v>0</v>
      </c>
      <c r="B255">
        <f>C255+B254</f>
        <v>18</v>
      </c>
      <c r="C255">
        <v>18</v>
      </c>
      <c r="E255">
        <v>100</v>
      </c>
      <c r="F255">
        <f>G255+F254</f>
        <v>11</v>
      </c>
      <c r="G255">
        <v>11</v>
      </c>
      <c r="I255">
        <v>300</v>
      </c>
      <c r="J255">
        <f>K255+J254</f>
        <v>5</v>
      </c>
      <c r="K255">
        <v>5</v>
      </c>
    </row>
    <row r="256" spans="1:19" x14ac:dyDescent="0.25">
      <c r="A256">
        <v>10</v>
      </c>
      <c r="B256">
        <f t="shared" ref="B256:B263" si="29">C256+B255</f>
        <v>118</v>
      </c>
      <c r="C256">
        <v>100</v>
      </c>
      <c r="E256">
        <v>150</v>
      </c>
      <c r="F256">
        <f>G256+F255</f>
        <v>28</v>
      </c>
      <c r="G256">
        <v>17</v>
      </c>
      <c r="I256">
        <v>400</v>
      </c>
      <c r="J256">
        <f>K256+J255</f>
        <v>14</v>
      </c>
      <c r="K256">
        <v>9</v>
      </c>
    </row>
    <row r="257" spans="1:19" x14ac:dyDescent="0.25">
      <c r="A257">
        <v>20</v>
      </c>
      <c r="B257">
        <f t="shared" si="29"/>
        <v>176</v>
      </c>
      <c r="C257">
        <v>58</v>
      </c>
      <c r="E257">
        <v>200</v>
      </c>
      <c r="F257">
        <f>G257+F256</f>
        <v>43</v>
      </c>
      <c r="G257">
        <v>15</v>
      </c>
      <c r="I257">
        <v>500</v>
      </c>
      <c r="J257">
        <f>K257+J256</f>
        <v>17</v>
      </c>
      <c r="K257">
        <v>3</v>
      </c>
    </row>
    <row r="258" spans="1:19" x14ac:dyDescent="0.25">
      <c r="A258">
        <v>30</v>
      </c>
      <c r="B258">
        <f t="shared" si="29"/>
        <v>218</v>
      </c>
      <c r="C258">
        <v>42</v>
      </c>
      <c r="E258">
        <v>245</v>
      </c>
      <c r="F258">
        <f>G258+F257</f>
        <v>54</v>
      </c>
      <c r="G258">
        <v>11</v>
      </c>
      <c r="I258">
        <v>600</v>
      </c>
      <c r="J258">
        <f>K258+J257</f>
        <v>20</v>
      </c>
      <c r="K258">
        <v>3</v>
      </c>
    </row>
    <row r="259" spans="1:19" x14ac:dyDescent="0.25">
      <c r="A259">
        <v>40</v>
      </c>
      <c r="B259">
        <f t="shared" si="29"/>
        <v>241</v>
      </c>
      <c r="C259">
        <v>23</v>
      </c>
      <c r="I259">
        <v>1103</v>
      </c>
      <c r="J259">
        <f>K259+J258</f>
        <v>23</v>
      </c>
      <c r="K259">
        <v>3</v>
      </c>
    </row>
    <row r="260" spans="1:19" x14ac:dyDescent="0.25">
      <c r="A260">
        <v>50</v>
      </c>
      <c r="B260">
        <f t="shared" si="29"/>
        <v>259</v>
      </c>
      <c r="C260">
        <v>18</v>
      </c>
    </row>
    <row r="261" spans="1:19" x14ac:dyDescent="0.25">
      <c r="A261">
        <v>60</v>
      </c>
      <c r="B261">
        <f t="shared" si="29"/>
        <v>273</v>
      </c>
      <c r="C261">
        <v>14</v>
      </c>
    </row>
    <row r="262" spans="1:19" x14ac:dyDescent="0.25">
      <c r="A262">
        <v>70</v>
      </c>
      <c r="B262">
        <f t="shared" si="29"/>
        <v>281</v>
      </c>
      <c r="C262">
        <v>8</v>
      </c>
    </row>
    <row r="263" spans="1:19" x14ac:dyDescent="0.25">
      <c r="A263">
        <v>81</v>
      </c>
      <c r="B263">
        <f t="shared" si="29"/>
        <v>287</v>
      </c>
      <c r="C263">
        <v>6</v>
      </c>
    </row>
    <row r="265" spans="1:19" ht="13" x14ac:dyDescent="0.3">
      <c r="A265" s="7" t="s">
        <v>149</v>
      </c>
      <c r="B265" s="7"/>
      <c r="C265" s="7"/>
      <c r="D265" s="7"/>
      <c r="E265" s="7"/>
      <c r="F265" s="7"/>
      <c r="G265" s="7"/>
      <c r="H265" s="7"/>
      <c r="I265" s="7"/>
      <c r="J265" s="7"/>
      <c r="K265" s="7"/>
      <c r="L265" s="7"/>
      <c r="M265" s="7"/>
      <c r="N265" s="7"/>
      <c r="O265" s="7"/>
      <c r="P265" s="7"/>
      <c r="Q265" s="7"/>
      <c r="R265" s="7"/>
      <c r="S265" s="7"/>
    </row>
    <row r="266" spans="1:19" ht="13" x14ac:dyDescent="0.3">
      <c r="A266" s="91" t="s">
        <v>41</v>
      </c>
      <c r="B266" s="91"/>
      <c r="C266" s="91"/>
      <c r="D266" s="91"/>
    </row>
    <row r="267" spans="1:19" ht="26" x14ac:dyDescent="0.3">
      <c r="A267" s="29" t="s">
        <v>60</v>
      </c>
      <c r="B267" s="29" t="s">
        <v>127</v>
      </c>
      <c r="C267" s="29" t="s">
        <v>45</v>
      </c>
      <c r="D267" s="34"/>
    </row>
    <row r="268" spans="1:19" ht="13" x14ac:dyDescent="0.3">
      <c r="A268" s="33"/>
      <c r="B268" s="33"/>
      <c r="C268" s="29"/>
      <c r="D268" s="29"/>
    </row>
    <row r="269" spans="1:19" x14ac:dyDescent="0.25">
      <c r="A269">
        <v>100</v>
      </c>
      <c r="B269">
        <f>C269+B268</f>
        <v>3</v>
      </c>
      <c r="C269">
        <v>3</v>
      </c>
    </row>
    <row r="270" spans="1:19" x14ac:dyDescent="0.25">
      <c r="A270">
        <v>200</v>
      </c>
      <c r="B270">
        <f>C270+B269</f>
        <v>5</v>
      </c>
      <c r="C270">
        <v>2</v>
      </c>
    </row>
    <row r="271" spans="1:19" x14ac:dyDescent="0.25">
      <c r="A271">
        <v>300</v>
      </c>
      <c r="B271">
        <f>C271+B270</f>
        <v>6</v>
      </c>
      <c r="C271">
        <v>1</v>
      </c>
    </row>
    <row r="272" spans="1:19" x14ac:dyDescent="0.25">
      <c r="A272">
        <v>394</v>
      </c>
      <c r="B272">
        <f>C272+B271</f>
        <v>7</v>
      </c>
      <c r="C272">
        <v>1</v>
      </c>
    </row>
    <row r="274" spans="1:19" ht="13" x14ac:dyDescent="0.3">
      <c r="A274" s="7" t="s">
        <v>153</v>
      </c>
      <c r="B274" s="7"/>
      <c r="C274" s="7"/>
      <c r="D274" s="7"/>
      <c r="E274" s="7"/>
      <c r="F274" s="7"/>
      <c r="G274" s="7"/>
      <c r="H274" s="7"/>
      <c r="I274" s="7"/>
      <c r="J274" s="7"/>
      <c r="K274" s="7"/>
      <c r="L274" s="7"/>
      <c r="M274" s="7"/>
      <c r="N274" s="7"/>
      <c r="O274" s="7"/>
      <c r="P274" s="7"/>
      <c r="Q274" s="7"/>
      <c r="R274" s="7"/>
      <c r="S274" s="7"/>
    </row>
    <row r="275" spans="1:19" ht="13" x14ac:dyDescent="0.3">
      <c r="A275" s="91" t="s">
        <v>41</v>
      </c>
      <c r="B275" s="91"/>
      <c r="C275" s="91"/>
      <c r="D275" s="91"/>
    </row>
    <row r="276" spans="1:19" ht="26" x14ac:dyDescent="0.3">
      <c r="A276" s="29" t="s">
        <v>60</v>
      </c>
      <c r="B276" s="29" t="s">
        <v>127</v>
      </c>
      <c r="C276" s="29" t="s">
        <v>45</v>
      </c>
      <c r="D276" s="34"/>
    </row>
    <row r="277" spans="1:19" ht="13" x14ac:dyDescent="0.3">
      <c r="A277" s="33"/>
      <c r="B277" s="33"/>
      <c r="C277" s="29"/>
      <c r="D277" s="29"/>
    </row>
    <row r="278" spans="1:19" x14ac:dyDescent="0.25">
      <c r="A278">
        <v>0</v>
      </c>
      <c r="B278">
        <f>C278+B277</f>
        <v>1</v>
      </c>
      <c r="C278">
        <v>1</v>
      </c>
    </row>
    <row r="279" spans="1:19" x14ac:dyDescent="0.25">
      <c r="A279">
        <v>10</v>
      </c>
      <c r="B279">
        <f>C279+B278</f>
        <v>2</v>
      </c>
      <c r="C279">
        <v>1</v>
      </c>
    </row>
    <row r="280" spans="1:19" x14ac:dyDescent="0.25">
      <c r="A280">
        <v>32</v>
      </c>
      <c r="B280">
        <f>C280+B279</f>
        <v>3</v>
      </c>
      <c r="C280">
        <v>1</v>
      </c>
    </row>
    <row r="282" spans="1:19" ht="13" x14ac:dyDescent="0.3">
      <c r="A282" s="91"/>
      <c r="B282" s="91"/>
      <c r="C282" s="91"/>
      <c r="D282" s="91"/>
      <c r="E282" s="91"/>
      <c r="F282" s="91"/>
      <c r="G282" s="91"/>
      <c r="H282" s="91"/>
      <c r="I282" s="91"/>
      <c r="J282" s="91"/>
      <c r="K282" s="91"/>
      <c r="L282" s="91"/>
      <c r="M282" s="91"/>
      <c r="N282" s="91"/>
      <c r="O282" s="91"/>
      <c r="P282" s="91"/>
      <c r="Q282" s="91"/>
      <c r="R282" s="91"/>
      <c r="S282" s="91"/>
    </row>
    <row r="283" spans="1:19" ht="13" x14ac:dyDescent="0.3">
      <c r="A283" s="92" t="s">
        <v>133</v>
      </c>
      <c r="B283" s="92"/>
      <c r="C283" s="92"/>
      <c r="D283" s="92"/>
      <c r="E283" s="92"/>
      <c r="F283" s="92"/>
      <c r="G283" s="92"/>
      <c r="H283" s="92"/>
      <c r="I283" s="92"/>
      <c r="J283" s="92"/>
      <c r="K283" s="92"/>
      <c r="L283" s="92"/>
      <c r="M283" s="92"/>
      <c r="N283" s="92"/>
      <c r="O283" s="92"/>
      <c r="P283" s="92"/>
      <c r="Q283" s="92"/>
      <c r="R283" s="92"/>
      <c r="S283" s="92"/>
    </row>
    <row r="285" spans="1:19" ht="51.75" customHeight="1" x14ac:dyDescent="0.25">
      <c r="B285" s="93" t="s">
        <v>134</v>
      </c>
      <c r="C285" s="94"/>
      <c r="D285" s="94"/>
      <c r="E285" s="94"/>
      <c r="F285" s="94"/>
      <c r="G285" s="94"/>
      <c r="H285" s="94"/>
      <c r="I285" s="94"/>
      <c r="J285" s="94"/>
      <c r="K285" s="94"/>
      <c r="L285" s="94"/>
      <c r="M285" s="94"/>
      <c r="N285" s="94"/>
      <c r="O285" s="94"/>
      <c r="P285" s="94"/>
      <c r="Q285" s="94"/>
      <c r="R285" s="94"/>
    </row>
  </sheetData>
  <mergeCells count="58">
    <mergeCell ref="A228:C228"/>
    <mergeCell ref="E252:G252"/>
    <mergeCell ref="A134:S134"/>
    <mergeCell ref="A98:D98"/>
    <mergeCell ref="A2:S2"/>
    <mergeCell ref="A4:S4"/>
    <mergeCell ref="A70:S70"/>
    <mergeCell ref="A72:S72"/>
    <mergeCell ref="A6:S6"/>
    <mergeCell ref="A36:S36"/>
    <mergeCell ref="A37:D37"/>
    <mergeCell ref="E37:G37"/>
    <mergeCell ref="A68:S68"/>
    <mergeCell ref="A176:G176"/>
    <mergeCell ref="A156:S156"/>
    <mergeCell ref="A155:S155"/>
    <mergeCell ref="A210:S210"/>
    <mergeCell ref="A211:D211"/>
    <mergeCell ref="E211:G211"/>
    <mergeCell ref="I211:K211"/>
    <mergeCell ref="M211:P211"/>
    <mergeCell ref="A275:D275"/>
    <mergeCell ref="A282:S282"/>
    <mergeCell ref="A283:S283"/>
    <mergeCell ref="B285:R285"/>
    <mergeCell ref="A236:S236"/>
    <mergeCell ref="A237:S237"/>
    <mergeCell ref="A252:D252"/>
    <mergeCell ref="I252:K252"/>
    <mergeCell ref="A266:D266"/>
    <mergeCell ref="A1:S1"/>
    <mergeCell ref="A67:S67"/>
    <mergeCell ref="A129:S129"/>
    <mergeCell ref="A206:S206"/>
    <mergeCell ref="A208:S208"/>
    <mergeCell ref="I177:L177"/>
    <mergeCell ref="A177:D177"/>
    <mergeCell ref="A193:D193"/>
    <mergeCell ref="E193:G193"/>
    <mergeCell ref="I37:K37"/>
    <mergeCell ref="M37:P37"/>
    <mergeCell ref="A97:S97"/>
    <mergeCell ref="A130:S130"/>
    <mergeCell ref="A132:S132"/>
    <mergeCell ref="A154:S154"/>
    <mergeCell ref="A157:D157"/>
    <mergeCell ref="A3:S3"/>
    <mergeCell ref="A69:S69"/>
    <mergeCell ref="A131:S131"/>
    <mergeCell ref="A207:S207"/>
    <mergeCell ref="A205:S205"/>
    <mergeCell ref="E157:G157"/>
    <mergeCell ref="I157:K157"/>
    <mergeCell ref="M157:P157"/>
    <mergeCell ref="I176:O176"/>
    <mergeCell ref="E98:G98"/>
    <mergeCell ref="I98:K98"/>
    <mergeCell ref="M98:P98"/>
  </mergeCells>
  <pageMargins left="0.7" right="0.7" top="0.75" bottom="0.75" header="0.3" footer="0.3"/>
  <pageSetup scale="56" orientation="portrait" r:id="rId1"/>
  <headerFooter>
    <oddHeader xml:space="preserve">&amp;RSchedule IV-J-4
&amp;A
Page &amp;P of &amp;N
</oddHeader>
    <oddFooter>&amp;LSponsored by: Nora D. Williams</oddFooter>
  </headerFooter>
  <rowBreaks count="3" manualBreakCount="3">
    <brk id="66" max="16383" man="1"/>
    <brk id="128" max="16383" man="1"/>
    <brk id="204" max="16383" man="1"/>
  </rowBreaks>
  <colBreaks count="1" manualBreakCount="1">
    <brk id="1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2"/>
  <sheetViews>
    <sheetView zoomScale="75" zoomScaleNormal="75" workbookViewId="0">
      <selection activeCell="A3" sqref="A3:E4"/>
    </sheetView>
  </sheetViews>
  <sheetFormatPr defaultColWidth="9.1796875" defaultRowHeight="12.5" x14ac:dyDescent="0.25"/>
  <cols>
    <col min="1" max="1" width="7.1796875" style="6" customWidth="1"/>
    <col min="2" max="2" width="34.26953125" style="4" bestFit="1" customWidth="1"/>
    <col min="3" max="3" width="6.54296875" style="4" bestFit="1" customWidth="1"/>
    <col min="4" max="4" width="6.453125" style="4" bestFit="1" customWidth="1"/>
    <col min="5" max="5" width="96.54296875" style="9" customWidth="1"/>
    <col min="6" max="6" width="20.7265625" style="4" customWidth="1"/>
    <col min="7" max="16384" width="9.1796875" style="4"/>
  </cols>
  <sheetData>
    <row r="1" spans="1:256" s="52" customFormat="1" ht="13" x14ac:dyDescent="0.3">
      <c r="A1" s="89" t="s">
        <v>136</v>
      </c>
      <c r="B1" s="88"/>
      <c r="C1" s="88"/>
      <c r="D1" s="88"/>
      <c r="E1" s="88"/>
      <c r="F1" s="85"/>
      <c r="G1" s="85"/>
      <c r="H1" s="85"/>
      <c r="I1" s="85"/>
      <c r="J1" s="85"/>
      <c r="K1" s="84"/>
      <c r="L1" s="84"/>
      <c r="M1" s="84"/>
      <c r="N1" s="84"/>
      <c r="O1" s="84"/>
      <c r="P1" s="78"/>
    </row>
    <row r="2" spans="1:256" ht="13" x14ac:dyDescent="0.3">
      <c r="A2" s="1" t="s">
        <v>59</v>
      </c>
      <c r="B2" s="1"/>
      <c r="C2" s="1"/>
      <c r="D2" s="2"/>
      <c r="E2" s="3"/>
    </row>
    <row r="3" spans="1:256" customFormat="1" ht="13" x14ac:dyDescent="0.3">
      <c r="A3" s="87" t="s">
        <v>158</v>
      </c>
      <c r="B3" s="88"/>
      <c r="C3" s="88"/>
      <c r="D3" s="88"/>
      <c r="E3" s="88"/>
      <c r="F3" s="85"/>
      <c r="G3" s="85"/>
      <c r="H3" s="85"/>
      <c r="I3" s="85"/>
      <c r="J3" s="85"/>
      <c r="K3" s="85"/>
      <c r="L3" s="85"/>
      <c r="M3" s="85"/>
      <c r="N3" s="85"/>
      <c r="O3" s="85"/>
      <c r="P3" s="85"/>
      <c r="Q3" s="85"/>
      <c r="R3" s="85"/>
      <c r="S3" s="85"/>
    </row>
    <row r="4" spans="1:256" ht="13" x14ac:dyDescent="0.3">
      <c r="A4" s="92" t="s">
        <v>135</v>
      </c>
      <c r="B4" s="90"/>
      <c r="C4" s="90"/>
      <c r="D4" s="90"/>
      <c r="E4" s="90"/>
    </row>
    <row r="5" spans="1:256" ht="13" x14ac:dyDescent="0.3">
      <c r="B5" s="7"/>
      <c r="C5" s="8"/>
      <c r="D5" s="8"/>
    </row>
    <row r="6" spans="1:256" ht="13" x14ac:dyDescent="0.3">
      <c r="A6" s="1" t="s">
        <v>24</v>
      </c>
      <c r="B6" s="1"/>
      <c r="C6" s="1"/>
      <c r="D6" s="2"/>
      <c r="E6" s="3"/>
    </row>
    <row r="7" spans="1:256" ht="13" x14ac:dyDescent="0.3">
      <c r="B7" s="10"/>
      <c r="C7" s="11"/>
      <c r="D7" s="11"/>
    </row>
    <row r="8" spans="1:256" ht="13" x14ac:dyDescent="0.3">
      <c r="A8" s="12" t="s">
        <v>1</v>
      </c>
      <c r="B8" s="13" t="s">
        <v>2</v>
      </c>
      <c r="C8" s="14" t="s">
        <v>25</v>
      </c>
      <c r="D8" s="14" t="s">
        <v>3</v>
      </c>
      <c r="E8" s="15" t="s">
        <v>26</v>
      </c>
    </row>
    <row r="9" spans="1:256" ht="112.5" x14ac:dyDescent="0.25">
      <c r="A9" s="24">
        <v>10</v>
      </c>
      <c r="B9" s="25" t="s">
        <v>27</v>
      </c>
      <c r="C9" s="25"/>
      <c r="D9" s="26" t="s">
        <v>17</v>
      </c>
      <c r="E9" s="25" t="s">
        <v>40</v>
      </c>
      <c r="F9" s="19"/>
      <c r="G9" s="17"/>
      <c r="H9" s="17"/>
      <c r="I9" s="17"/>
      <c r="J9" s="17"/>
      <c r="K9" s="19"/>
      <c r="L9" s="17"/>
      <c r="M9" s="17"/>
      <c r="N9" s="17"/>
      <c r="O9" s="17"/>
      <c r="P9" s="19"/>
      <c r="Q9" s="17"/>
      <c r="R9" s="17"/>
      <c r="S9" s="17"/>
      <c r="T9" s="17"/>
      <c r="U9" s="19"/>
      <c r="V9" s="17"/>
      <c r="W9" s="17"/>
      <c r="X9" s="17"/>
      <c r="Y9" s="17"/>
      <c r="Z9" s="19"/>
      <c r="AA9" s="17"/>
      <c r="AB9" s="17"/>
      <c r="AC9" s="17"/>
      <c r="AD9" s="17"/>
      <c r="AE9" s="19"/>
      <c r="AF9" s="17"/>
      <c r="AG9" s="17"/>
      <c r="AH9" s="17"/>
      <c r="AI9" s="17"/>
      <c r="AJ9" s="19"/>
      <c r="AK9" s="17"/>
      <c r="AL9" s="17"/>
      <c r="AM9" s="17"/>
      <c r="AN9" s="17"/>
      <c r="AO9" s="19"/>
      <c r="AP9" s="17"/>
      <c r="AQ9" s="17"/>
      <c r="AR9" s="17"/>
      <c r="AS9" s="17"/>
      <c r="AT9" s="19"/>
      <c r="AU9" s="17"/>
      <c r="AV9" s="17"/>
      <c r="AW9" s="17"/>
      <c r="AX9" s="17"/>
      <c r="AY9" s="19"/>
      <c r="AZ9" s="17"/>
      <c r="BA9" s="17"/>
      <c r="BB9" s="17"/>
      <c r="BC9" s="17"/>
      <c r="BD9" s="19"/>
      <c r="BE9" s="17"/>
      <c r="BF9" s="17"/>
      <c r="BG9" s="17"/>
      <c r="BH9" s="17"/>
      <c r="BI9" s="19"/>
      <c r="BJ9" s="17"/>
      <c r="BK9" s="17"/>
      <c r="BL9" s="17"/>
      <c r="BM9" s="17"/>
      <c r="BN9" s="19"/>
      <c r="BO9" s="17"/>
      <c r="BP9" s="17"/>
      <c r="BQ9" s="17"/>
      <c r="BR9" s="17"/>
      <c r="BS9" s="19"/>
      <c r="BT9" s="17"/>
      <c r="BU9" s="17"/>
      <c r="BV9" s="17"/>
      <c r="BW9" s="17"/>
      <c r="BX9" s="19"/>
      <c r="BY9" s="17"/>
      <c r="BZ9" s="17"/>
      <c r="CA9" s="17"/>
      <c r="CB9" s="17"/>
      <c r="CC9" s="19"/>
      <c r="CD9" s="17"/>
      <c r="CE9" s="17"/>
      <c r="CF9" s="17"/>
      <c r="CG9" s="17"/>
      <c r="CH9" s="19"/>
      <c r="CI9" s="17"/>
      <c r="CJ9" s="17"/>
      <c r="CK9" s="17"/>
      <c r="CL9" s="17"/>
      <c r="CM9" s="19"/>
      <c r="CN9" s="17"/>
      <c r="CO9" s="17"/>
      <c r="CP9" s="17"/>
      <c r="CQ9" s="17"/>
      <c r="CR9" s="19"/>
      <c r="CS9" s="17"/>
      <c r="CT9" s="17"/>
      <c r="CU9" s="17"/>
      <c r="CV9" s="17"/>
      <c r="CW9" s="19"/>
      <c r="CX9" s="17"/>
      <c r="CY9" s="17"/>
      <c r="CZ9" s="17"/>
      <c r="DA9" s="17"/>
      <c r="DB9" s="19"/>
      <c r="DC9" s="17"/>
      <c r="DD9" s="17"/>
      <c r="DE9" s="17"/>
      <c r="DF9" s="17"/>
      <c r="DG9" s="19"/>
      <c r="DH9" s="17"/>
      <c r="DI9" s="17"/>
      <c r="DJ9" s="17"/>
      <c r="DK9" s="17"/>
      <c r="DL9" s="19"/>
      <c r="DM9" s="17"/>
      <c r="DN9" s="17"/>
      <c r="DO9" s="17"/>
      <c r="DP9" s="17"/>
      <c r="DQ9" s="19"/>
      <c r="DR9" s="17"/>
      <c r="DS9" s="17"/>
      <c r="DT9" s="17"/>
      <c r="DU9" s="17"/>
      <c r="DV9" s="19"/>
      <c r="DW9" s="17"/>
      <c r="DX9" s="17"/>
      <c r="DY9" s="17"/>
      <c r="DZ9" s="17"/>
      <c r="EA9" s="19"/>
      <c r="EB9" s="17"/>
      <c r="EC9" s="17"/>
      <c r="ED9" s="17"/>
      <c r="EE9" s="17"/>
      <c r="EF9" s="19"/>
      <c r="EG9" s="17"/>
      <c r="EH9" s="17"/>
      <c r="EI9" s="17"/>
      <c r="EJ9" s="17"/>
      <c r="EK9" s="19"/>
      <c r="EL9" s="17"/>
      <c r="EM9" s="17"/>
      <c r="EN9" s="17"/>
      <c r="EO9" s="17"/>
      <c r="EP9" s="19"/>
      <c r="EQ9" s="17"/>
      <c r="ER9" s="17"/>
      <c r="ES9" s="17"/>
      <c r="ET9" s="17"/>
      <c r="EU9" s="19"/>
      <c r="EV9" s="17"/>
      <c r="EW9" s="17"/>
      <c r="EX9" s="17"/>
      <c r="EY9" s="17"/>
      <c r="EZ9" s="19"/>
      <c r="FA9" s="17"/>
      <c r="FB9" s="17"/>
      <c r="FC9" s="17"/>
      <c r="FD9" s="17"/>
      <c r="FE9" s="19"/>
      <c r="FF9" s="17"/>
      <c r="FG9" s="17"/>
      <c r="FH9" s="17"/>
      <c r="FI9" s="17"/>
      <c r="FJ9" s="19"/>
      <c r="FK9" s="17"/>
      <c r="FL9" s="17"/>
      <c r="FM9" s="17"/>
      <c r="FN9" s="17"/>
      <c r="FO9" s="19"/>
      <c r="FP9" s="17"/>
      <c r="FQ9" s="17"/>
      <c r="FR9" s="17"/>
      <c r="FS9" s="17"/>
      <c r="FT9" s="19"/>
      <c r="FU9" s="17"/>
      <c r="FV9" s="17"/>
      <c r="FW9" s="17"/>
      <c r="FX9" s="17"/>
      <c r="FY9" s="19"/>
      <c r="FZ9" s="17"/>
      <c r="GA9" s="17"/>
      <c r="GB9" s="17"/>
      <c r="GC9" s="17"/>
      <c r="GD9" s="19"/>
      <c r="GE9" s="17"/>
      <c r="GF9" s="17"/>
      <c r="GG9" s="17"/>
      <c r="GH9" s="17"/>
      <c r="GI9" s="19"/>
      <c r="GJ9" s="17"/>
      <c r="GK9" s="17"/>
      <c r="GL9" s="17"/>
      <c r="GM9" s="17"/>
      <c r="GN9" s="19"/>
      <c r="GO9" s="17"/>
      <c r="GP9" s="17"/>
      <c r="GQ9" s="17"/>
      <c r="GR9" s="17"/>
      <c r="GS9" s="19"/>
      <c r="GT9" s="17"/>
      <c r="GU9" s="17"/>
      <c r="GV9" s="17"/>
      <c r="GW9" s="17"/>
      <c r="GX9" s="19"/>
      <c r="GY9" s="17"/>
      <c r="GZ9" s="17"/>
      <c r="HA9" s="17"/>
      <c r="HB9" s="17"/>
      <c r="HC9" s="19"/>
      <c r="HD9" s="17"/>
      <c r="HE9" s="17"/>
      <c r="HF9" s="17"/>
      <c r="HG9" s="17"/>
      <c r="HH9" s="19"/>
      <c r="HI9" s="17"/>
      <c r="HJ9" s="17"/>
      <c r="HK9" s="17"/>
      <c r="HL9" s="17"/>
      <c r="HM9" s="19"/>
      <c r="HN9" s="17"/>
      <c r="HO9" s="17"/>
      <c r="HP9" s="17"/>
      <c r="HQ9" s="17"/>
      <c r="HR9" s="19"/>
      <c r="HS9" s="17"/>
      <c r="HT9" s="17"/>
      <c r="HU9" s="17"/>
      <c r="HV9" s="17"/>
      <c r="HW9" s="19"/>
      <c r="HX9" s="17"/>
      <c r="HY9" s="17"/>
      <c r="HZ9" s="17"/>
      <c r="IA9" s="17"/>
      <c r="IB9" s="19"/>
      <c r="IC9" s="17"/>
      <c r="ID9" s="17"/>
      <c r="IE9" s="17"/>
      <c r="IF9" s="17"/>
      <c r="IG9" s="19"/>
      <c r="IH9" s="17"/>
      <c r="II9" s="17"/>
      <c r="IJ9" s="17"/>
      <c r="IK9" s="17"/>
      <c r="IL9" s="19"/>
      <c r="IM9" s="17"/>
      <c r="IN9" s="17"/>
      <c r="IO9" s="17"/>
      <c r="IP9" s="17"/>
      <c r="IQ9" s="19"/>
      <c r="IR9" s="17"/>
      <c r="IS9" s="17"/>
      <c r="IT9" s="17"/>
      <c r="IU9" s="17"/>
      <c r="IV9" s="19"/>
    </row>
    <row r="10" spans="1:256" ht="37.5" x14ac:dyDescent="0.25">
      <c r="A10" s="16"/>
      <c r="B10" s="17"/>
      <c r="C10" s="17"/>
      <c r="D10" s="18"/>
      <c r="E10" s="17" t="s">
        <v>46</v>
      </c>
      <c r="F10" s="19"/>
      <c r="G10" s="17"/>
      <c r="H10" s="17"/>
      <c r="I10" s="17"/>
      <c r="J10" s="17"/>
      <c r="K10" s="19"/>
      <c r="L10" s="17"/>
      <c r="M10" s="17"/>
      <c r="N10" s="17"/>
      <c r="O10" s="17"/>
      <c r="P10" s="19"/>
      <c r="Q10" s="17"/>
      <c r="R10" s="17"/>
      <c r="S10" s="17"/>
      <c r="T10" s="17"/>
      <c r="U10" s="19"/>
      <c r="V10" s="17"/>
      <c r="W10" s="17"/>
      <c r="X10" s="17"/>
      <c r="Y10" s="17"/>
      <c r="Z10" s="19"/>
      <c r="AA10" s="17"/>
      <c r="AB10" s="17"/>
      <c r="AC10" s="17"/>
      <c r="AD10" s="17"/>
      <c r="AE10" s="19"/>
      <c r="AF10" s="17"/>
      <c r="AG10" s="17"/>
      <c r="AH10" s="17"/>
      <c r="AI10" s="17"/>
      <c r="AJ10" s="19"/>
      <c r="AK10" s="17"/>
      <c r="AL10" s="17"/>
      <c r="AM10" s="17"/>
      <c r="AN10" s="17"/>
      <c r="AO10" s="19"/>
      <c r="AP10" s="17"/>
      <c r="AQ10" s="17"/>
      <c r="AR10" s="17"/>
      <c r="AS10" s="17"/>
      <c r="AT10" s="19"/>
      <c r="AU10" s="17"/>
      <c r="AV10" s="17"/>
      <c r="AW10" s="17"/>
      <c r="AX10" s="17"/>
      <c r="AY10" s="19"/>
      <c r="AZ10" s="17"/>
      <c r="BA10" s="17"/>
      <c r="BB10" s="17"/>
      <c r="BC10" s="17"/>
      <c r="BD10" s="19"/>
      <c r="BE10" s="17"/>
      <c r="BF10" s="17"/>
      <c r="BG10" s="17"/>
      <c r="BH10" s="17"/>
      <c r="BI10" s="19"/>
      <c r="BJ10" s="17"/>
      <c r="BK10" s="17"/>
      <c r="BL10" s="17"/>
      <c r="BM10" s="17"/>
      <c r="BN10" s="19"/>
      <c r="BO10" s="17"/>
      <c r="BP10" s="17"/>
      <c r="BQ10" s="17"/>
      <c r="BR10" s="17"/>
      <c r="BS10" s="19"/>
      <c r="BT10" s="17"/>
      <c r="BU10" s="17"/>
      <c r="BV10" s="17"/>
      <c r="BW10" s="17"/>
      <c r="BX10" s="19"/>
      <c r="BY10" s="17"/>
      <c r="BZ10" s="17"/>
      <c r="CA10" s="17"/>
      <c r="CB10" s="17"/>
      <c r="CC10" s="19"/>
      <c r="CD10" s="17"/>
      <c r="CE10" s="17"/>
      <c r="CF10" s="17"/>
      <c r="CG10" s="17"/>
      <c r="CH10" s="19"/>
      <c r="CI10" s="17"/>
      <c r="CJ10" s="17"/>
      <c r="CK10" s="17"/>
      <c r="CL10" s="17"/>
      <c r="CM10" s="19"/>
      <c r="CN10" s="17"/>
      <c r="CO10" s="17"/>
      <c r="CP10" s="17"/>
      <c r="CQ10" s="17"/>
      <c r="CR10" s="19"/>
      <c r="CS10" s="17"/>
      <c r="CT10" s="17"/>
      <c r="CU10" s="17"/>
      <c r="CV10" s="17"/>
      <c r="CW10" s="19"/>
      <c r="CX10" s="17"/>
      <c r="CY10" s="17"/>
      <c r="CZ10" s="17"/>
      <c r="DA10" s="17"/>
      <c r="DB10" s="19"/>
      <c r="DC10" s="17"/>
      <c r="DD10" s="17"/>
      <c r="DE10" s="17"/>
      <c r="DF10" s="17"/>
      <c r="DG10" s="19"/>
      <c r="DH10" s="17"/>
      <c r="DI10" s="17"/>
      <c r="DJ10" s="17"/>
      <c r="DK10" s="17"/>
      <c r="DL10" s="19"/>
      <c r="DM10" s="17"/>
      <c r="DN10" s="17"/>
      <c r="DO10" s="17"/>
      <c r="DP10" s="17"/>
      <c r="DQ10" s="19"/>
      <c r="DR10" s="17"/>
      <c r="DS10" s="17"/>
      <c r="DT10" s="17"/>
      <c r="DU10" s="17"/>
      <c r="DV10" s="19"/>
      <c r="DW10" s="17"/>
      <c r="DX10" s="17"/>
      <c r="DY10" s="17"/>
      <c r="DZ10" s="17"/>
      <c r="EA10" s="19"/>
      <c r="EB10" s="17"/>
      <c r="EC10" s="17"/>
      <c r="ED10" s="17"/>
      <c r="EE10" s="17"/>
      <c r="EF10" s="19"/>
      <c r="EG10" s="17"/>
      <c r="EH10" s="17"/>
      <c r="EI10" s="17"/>
      <c r="EJ10" s="17"/>
      <c r="EK10" s="19"/>
      <c r="EL10" s="17"/>
      <c r="EM10" s="17"/>
      <c r="EN10" s="17"/>
      <c r="EO10" s="17"/>
      <c r="EP10" s="19"/>
      <c r="EQ10" s="17"/>
      <c r="ER10" s="17"/>
      <c r="ES10" s="17"/>
      <c r="ET10" s="17"/>
      <c r="EU10" s="19"/>
      <c r="EV10" s="17"/>
      <c r="EW10" s="17"/>
      <c r="EX10" s="17"/>
      <c r="EY10" s="17"/>
      <c r="EZ10" s="19"/>
      <c r="FA10" s="17"/>
      <c r="FB10" s="17"/>
      <c r="FC10" s="17"/>
      <c r="FD10" s="17"/>
      <c r="FE10" s="19"/>
      <c r="FF10" s="17"/>
      <c r="FG10" s="17"/>
      <c r="FH10" s="17"/>
      <c r="FI10" s="17"/>
      <c r="FJ10" s="19"/>
      <c r="FK10" s="17"/>
      <c r="FL10" s="17"/>
      <c r="FM10" s="17"/>
      <c r="FN10" s="17"/>
      <c r="FO10" s="19"/>
      <c r="FP10" s="17"/>
      <c r="FQ10" s="17"/>
      <c r="FR10" s="17"/>
      <c r="FS10" s="17"/>
      <c r="FT10" s="19"/>
      <c r="FU10" s="17"/>
      <c r="FV10" s="17"/>
      <c r="FW10" s="17"/>
      <c r="FX10" s="17"/>
      <c r="FY10" s="19"/>
      <c r="FZ10" s="17"/>
      <c r="GA10" s="17"/>
      <c r="GB10" s="17"/>
      <c r="GC10" s="17"/>
      <c r="GD10" s="19"/>
      <c r="GE10" s="17"/>
      <c r="GF10" s="17"/>
      <c r="GG10" s="17"/>
      <c r="GH10" s="17"/>
      <c r="GI10" s="19"/>
      <c r="GJ10" s="17"/>
      <c r="GK10" s="17"/>
      <c r="GL10" s="17"/>
      <c r="GM10" s="17"/>
      <c r="GN10" s="19"/>
      <c r="GO10" s="17"/>
      <c r="GP10" s="17"/>
      <c r="GQ10" s="17"/>
      <c r="GR10" s="17"/>
      <c r="GS10" s="19"/>
      <c r="GT10" s="17"/>
      <c r="GU10" s="17"/>
      <c r="GV10" s="17"/>
      <c r="GW10" s="17"/>
      <c r="GX10" s="19"/>
      <c r="GY10" s="17"/>
      <c r="GZ10" s="17"/>
      <c r="HA10" s="17"/>
      <c r="HB10" s="17"/>
      <c r="HC10" s="19"/>
      <c r="HD10" s="17"/>
      <c r="HE10" s="17"/>
      <c r="HF10" s="17"/>
      <c r="HG10" s="17"/>
      <c r="HH10" s="19"/>
      <c r="HI10" s="17"/>
      <c r="HJ10" s="17"/>
      <c r="HK10" s="17"/>
      <c r="HL10" s="17"/>
      <c r="HM10" s="19"/>
      <c r="HN10" s="17"/>
      <c r="HO10" s="17"/>
      <c r="HP10" s="17"/>
      <c r="HQ10" s="17"/>
      <c r="HR10" s="19"/>
      <c r="HS10" s="17"/>
      <c r="HT10" s="17"/>
      <c r="HU10" s="17"/>
      <c r="HV10" s="17"/>
      <c r="HW10" s="19"/>
      <c r="HX10" s="17"/>
      <c r="HY10" s="17"/>
      <c r="HZ10" s="17"/>
      <c r="IA10" s="17"/>
      <c r="IB10" s="19"/>
      <c r="IC10" s="17"/>
      <c r="ID10" s="17"/>
      <c r="IE10" s="17"/>
      <c r="IF10" s="17"/>
      <c r="IG10" s="19"/>
      <c r="IH10" s="17"/>
      <c r="II10" s="17"/>
      <c r="IJ10" s="17"/>
      <c r="IK10" s="17"/>
      <c r="IL10" s="19"/>
      <c r="IM10" s="17"/>
      <c r="IN10" s="17"/>
      <c r="IO10" s="17"/>
      <c r="IP10" s="17"/>
      <c r="IQ10" s="19"/>
      <c r="IR10" s="17"/>
      <c r="IS10" s="17"/>
      <c r="IT10" s="17"/>
      <c r="IU10" s="17"/>
      <c r="IV10" s="19"/>
    </row>
    <row r="11" spans="1:256" ht="50" x14ac:dyDescent="0.25">
      <c r="A11" s="20"/>
      <c r="B11" s="21"/>
      <c r="C11" s="17"/>
      <c r="D11" s="17"/>
      <c r="E11" s="17" t="s">
        <v>36</v>
      </c>
      <c r="F11" s="19"/>
      <c r="G11" s="17"/>
      <c r="H11" s="17"/>
      <c r="I11" s="17"/>
      <c r="J11" s="17"/>
      <c r="K11" s="19"/>
      <c r="L11" s="17"/>
      <c r="M11" s="17"/>
      <c r="N11" s="17"/>
      <c r="O11" s="17"/>
      <c r="P11" s="19"/>
      <c r="Q11" s="17"/>
      <c r="R11" s="17"/>
      <c r="S11" s="17"/>
      <c r="T11" s="17"/>
      <c r="U11" s="19"/>
      <c r="V11" s="17"/>
      <c r="W11" s="17"/>
      <c r="X11" s="17"/>
      <c r="Y11" s="17"/>
      <c r="Z11" s="19"/>
      <c r="AA11" s="17"/>
      <c r="AB11" s="17"/>
      <c r="AC11" s="17"/>
      <c r="AD11" s="17"/>
      <c r="AE11" s="19"/>
      <c r="AF11" s="17"/>
      <c r="AG11" s="17"/>
      <c r="AH11" s="17"/>
      <c r="AI11" s="17"/>
      <c r="AJ11" s="19"/>
      <c r="AK11" s="17"/>
      <c r="AL11" s="17"/>
      <c r="AM11" s="17"/>
      <c r="AN11" s="17"/>
      <c r="AO11" s="19"/>
      <c r="AP11" s="17"/>
      <c r="AQ11" s="17"/>
      <c r="AR11" s="17"/>
      <c r="AS11" s="17"/>
      <c r="AT11" s="19"/>
      <c r="AU11" s="17"/>
      <c r="AV11" s="17"/>
      <c r="AW11" s="17"/>
      <c r="AX11" s="17"/>
      <c r="AY11" s="19"/>
      <c r="AZ11" s="17"/>
      <c r="BA11" s="17"/>
      <c r="BB11" s="17"/>
      <c r="BC11" s="17"/>
      <c r="BD11" s="19"/>
      <c r="BE11" s="17"/>
      <c r="BF11" s="17"/>
      <c r="BG11" s="17"/>
      <c r="BH11" s="17"/>
      <c r="BI11" s="19"/>
      <c r="BJ11" s="17"/>
      <c r="BK11" s="17"/>
      <c r="BL11" s="17"/>
      <c r="BM11" s="17"/>
      <c r="BN11" s="19"/>
      <c r="BO11" s="17"/>
      <c r="BP11" s="17"/>
      <c r="BQ11" s="17"/>
      <c r="BR11" s="17"/>
      <c r="BS11" s="19"/>
      <c r="BT11" s="17"/>
      <c r="BU11" s="17"/>
      <c r="BV11" s="17"/>
      <c r="BW11" s="17"/>
      <c r="BX11" s="19"/>
      <c r="BY11" s="17"/>
      <c r="BZ11" s="17"/>
      <c r="CA11" s="17"/>
      <c r="CB11" s="17"/>
      <c r="CC11" s="19"/>
      <c r="CD11" s="17"/>
      <c r="CE11" s="17"/>
      <c r="CF11" s="17"/>
      <c r="CG11" s="17"/>
      <c r="CH11" s="19"/>
      <c r="CI11" s="17"/>
      <c r="CJ11" s="17"/>
      <c r="CK11" s="17"/>
      <c r="CL11" s="17"/>
      <c r="CM11" s="19"/>
      <c r="CN11" s="17"/>
      <c r="CO11" s="17"/>
      <c r="CP11" s="17"/>
      <c r="CQ11" s="17"/>
      <c r="CR11" s="19"/>
      <c r="CS11" s="17"/>
      <c r="CT11" s="17"/>
      <c r="CU11" s="17"/>
      <c r="CV11" s="17"/>
      <c r="CW11" s="19"/>
      <c r="CX11" s="17"/>
      <c r="CY11" s="17"/>
      <c r="CZ11" s="17"/>
      <c r="DA11" s="17"/>
      <c r="DB11" s="19"/>
      <c r="DC11" s="17"/>
      <c r="DD11" s="17"/>
      <c r="DE11" s="17"/>
      <c r="DF11" s="17"/>
      <c r="DG11" s="19"/>
      <c r="DH11" s="17"/>
      <c r="DI11" s="17"/>
      <c r="DJ11" s="17"/>
      <c r="DK11" s="17"/>
      <c r="DL11" s="19"/>
      <c r="DM11" s="17"/>
      <c r="DN11" s="17"/>
      <c r="DO11" s="17"/>
      <c r="DP11" s="17"/>
      <c r="DQ11" s="19"/>
      <c r="DR11" s="17"/>
      <c r="DS11" s="17"/>
      <c r="DT11" s="17"/>
      <c r="DU11" s="17"/>
      <c r="DV11" s="19"/>
      <c r="DW11" s="17"/>
      <c r="DX11" s="17"/>
      <c r="DY11" s="17"/>
      <c r="DZ11" s="17"/>
      <c r="EA11" s="19"/>
      <c r="EB11" s="17"/>
      <c r="EC11" s="17"/>
      <c r="ED11" s="17"/>
      <c r="EE11" s="17"/>
      <c r="EF11" s="19"/>
      <c r="EG11" s="17"/>
      <c r="EH11" s="17"/>
      <c r="EI11" s="17"/>
      <c r="EJ11" s="17"/>
      <c r="EK11" s="19"/>
      <c r="EL11" s="17"/>
      <c r="EM11" s="17"/>
      <c r="EN11" s="17"/>
      <c r="EO11" s="17"/>
      <c r="EP11" s="19"/>
      <c r="EQ11" s="17"/>
      <c r="ER11" s="17"/>
      <c r="ES11" s="17"/>
      <c r="ET11" s="17"/>
      <c r="EU11" s="19"/>
      <c r="EV11" s="17"/>
      <c r="EW11" s="17"/>
      <c r="EX11" s="17"/>
      <c r="EY11" s="17"/>
      <c r="EZ11" s="19"/>
      <c r="FA11" s="17"/>
      <c r="FB11" s="17"/>
      <c r="FC11" s="17"/>
      <c r="FD11" s="17"/>
      <c r="FE11" s="19"/>
      <c r="FF11" s="17"/>
      <c r="FG11" s="17"/>
      <c r="FH11" s="17"/>
      <c r="FI11" s="17"/>
      <c r="FJ11" s="19"/>
      <c r="FK11" s="17"/>
      <c r="FL11" s="17"/>
      <c r="FM11" s="17"/>
      <c r="FN11" s="17"/>
      <c r="FO11" s="19"/>
      <c r="FP11" s="17"/>
      <c r="FQ11" s="17"/>
      <c r="FR11" s="17"/>
      <c r="FS11" s="17"/>
      <c r="FT11" s="19"/>
      <c r="FU11" s="17"/>
      <c r="FV11" s="17"/>
      <c r="FW11" s="17"/>
      <c r="FX11" s="17"/>
      <c r="FY11" s="19"/>
      <c r="FZ11" s="17"/>
      <c r="GA11" s="17"/>
      <c r="GB11" s="17"/>
      <c r="GC11" s="17"/>
      <c r="GD11" s="19"/>
      <c r="GE11" s="17"/>
      <c r="GF11" s="17"/>
      <c r="GG11" s="17"/>
      <c r="GH11" s="17"/>
      <c r="GI11" s="19"/>
      <c r="GJ11" s="17"/>
      <c r="GK11" s="17"/>
      <c r="GL11" s="17"/>
      <c r="GM11" s="17"/>
      <c r="GN11" s="19"/>
      <c r="GO11" s="17"/>
      <c r="GP11" s="17"/>
      <c r="GQ11" s="17"/>
      <c r="GR11" s="17"/>
      <c r="GS11" s="19"/>
      <c r="GT11" s="17"/>
      <c r="GU11" s="17"/>
      <c r="GV11" s="17"/>
      <c r="GW11" s="17"/>
      <c r="GX11" s="19"/>
      <c r="GY11" s="17"/>
      <c r="GZ11" s="17"/>
      <c r="HA11" s="17"/>
      <c r="HB11" s="17"/>
      <c r="HC11" s="19"/>
      <c r="HD11" s="17"/>
      <c r="HE11" s="17"/>
      <c r="HF11" s="17"/>
      <c r="HG11" s="17"/>
      <c r="HH11" s="19"/>
      <c r="HI11" s="17"/>
      <c r="HJ11" s="17"/>
      <c r="HK11" s="17"/>
      <c r="HL11" s="17"/>
      <c r="HM11" s="19"/>
      <c r="HN11" s="17"/>
      <c r="HO11" s="17"/>
      <c r="HP11" s="17"/>
      <c r="HQ11" s="17"/>
      <c r="HR11" s="19"/>
      <c r="HS11" s="17"/>
      <c r="HT11" s="17"/>
      <c r="HU11" s="17"/>
      <c r="HV11" s="17"/>
      <c r="HW11" s="19"/>
      <c r="HX11" s="17"/>
      <c r="HY11" s="17"/>
      <c r="HZ11" s="17"/>
      <c r="IA11" s="17"/>
      <c r="IB11" s="19"/>
      <c r="IC11" s="17"/>
      <c r="ID11" s="17"/>
      <c r="IE11" s="17"/>
      <c r="IF11" s="17"/>
      <c r="IG11" s="19"/>
      <c r="IH11" s="17"/>
      <c r="II11" s="17"/>
      <c r="IJ11" s="17"/>
      <c r="IK11" s="17"/>
      <c r="IL11" s="19"/>
      <c r="IM11" s="17"/>
      <c r="IN11" s="17"/>
      <c r="IO11" s="17"/>
      <c r="IP11" s="17"/>
      <c r="IQ11" s="19"/>
      <c r="IR11" s="17"/>
      <c r="IS11" s="17"/>
      <c r="IT11" s="17"/>
      <c r="IU11" s="17"/>
      <c r="IV11" s="19"/>
    </row>
    <row r="12" spans="1:256" ht="62.5" x14ac:dyDescent="0.25">
      <c r="A12" s="20"/>
      <c r="B12" s="21"/>
      <c r="C12" s="17"/>
      <c r="D12" s="17"/>
      <c r="E12" s="17" t="s">
        <v>37</v>
      </c>
      <c r="F12" s="19"/>
      <c r="G12" s="17"/>
      <c r="H12" s="17"/>
      <c r="I12" s="17"/>
      <c r="J12" s="17"/>
      <c r="K12" s="19"/>
      <c r="L12" s="17"/>
      <c r="M12" s="17"/>
      <c r="N12" s="17"/>
      <c r="O12" s="17"/>
      <c r="P12" s="19"/>
      <c r="Q12" s="17"/>
      <c r="R12" s="17"/>
      <c r="S12" s="17"/>
      <c r="T12" s="17"/>
      <c r="U12" s="19"/>
      <c r="V12" s="17"/>
      <c r="W12" s="17"/>
      <c r="X12" s="17"/>
      <c r="Y12" s="17"/>
      <c r="Z12" s="19"/>
      <c r="AA12" s="17"/>
      <c r="AB12" s="17"/>
      <c r="AC12" s="17"/>
      <c r="AD12" s="17"/>
      <c r="AE12" s="19"/>
      <c r="AF12" s="17"/>
      <c r="AG12" s="17"/>
      <c r="AH12" s="17"/>
      <c r="AI12" s="17"/>
      <c r="AJ12" s="19"/>
      <c r="AK12" s="17"/>
      <c r="AL12" s="17"/>
      <c r="AM12" s="17"/>
      <c r="AN12" s="17"/>
      <c r="AO12" s="19"/>
      <c r="AP12" s="17"/>
      <c r="AQ12" s="17"/>
      <c r="AR12" s="17"/>
      <c r="AS12" s="17"/>
      <c r="AT12" s="19"/>
      <c r="AU12" s="17"/>
      <c r="AV12" s="17"/>
      <c r="AW12" s="17"/>
      <c r="AX12" s="17"/>
      <c r="AY12" s="19"/>
      <c r="AZ12" s="17"/>
      <c r="BA12" s="17"/>
      <c r="BB12" s="17"/>
      <c r="BC12" s="17"/>
      <c r="BD12" s="19"/>
      <c r="BE12" s="17"/>
      <c r="BF12" s="17"/>
      <c r="BG12" s="17"/>
      <c r="BH12" s="17"/>
      <c r="BI12" s="19"/>
      <c r="BJ12" s="17"/>
      <c r="BK12" s="17"/>
      <c r="BL12" s="17"/>
      <c r="BM12" s="17"/>
      <c r="BN12" s="19"/>
      <c r="BO12" s="17"/>
      <c r="BP12" s="17"/>
      <c r="BQ12" s="17"/>
      <c r="BR12" s="17"/>
      <c r="BS12" s="19"/>
      <c r="BT12" s="17"/>
      <c r="BU12" s="17"/>
      <c r="BV12" s="17"/>
      <c r="BW12" s="17"/>
      <c r="BX12" s="19"/>
      <c r="BY12" s="17"/>
      <c r="BZ12" s="17"/>
      <c r="CA12" s="17"/>
      <c r="CB12" s="17"/>
      <c r="CC12" s="19"/>
      <c r="CD12" s="17"/>
      <c r="CE12" s="17"/>
      <c r="CF12" s="17"/>
      <c r="CG12" s="17"/>
      <c r="CH12" s="19"/>
      <c r="CI12" s="17"/>
      <c r="CJ12" s="17"/>
      <c r="CK12" s="17"/>
      <c r="CL12" s="17"/>
      <c r="CM12" s="19"/>
      <c r="CN12" s="17"/>
      <c r="CO12" s="17"/>
      <c r="CP12" s="17"/>
      <c r="CQ12" s="17"/>
      <c r="CR12" s="19"/>
      <c r="CS12" s="17"/>
      <c r="CT12" s="17"/>
      <c r="CU12" s="17"/>
      <c r="CV12" s="17"/>
      <c r="CW12" s="19"/>
      <c r="CX12" s="17"/>
      <c r="CY12" s="17"/>
      <c r="CZ12" s="17"/>
      <c r="DA12" s="17"/>
      <c r="DB12" s="19"/>
      <c r="DC12" s="17"/>
      <c r="DD12" s="17"/>
      <c r="DE12" s="17"/>
      <c r="DF12" s="17"/>
      <c r="DG12" s="19"/>
      <c r="DH12" s="17"/>
      <c r="DI12" s="17"/>
      <c r="DJ12" s="17"/>
      <c r="DK12" s="17"/>
      <c r="DL12" s="19"/>
      <c r="DM12" s="17"/>
      <c r="DN12" s="17"/>
      <c r="DO12" s="17"/>
      <c r="DP12" s="17"/>
      <c r="DQ12" s="19"/>
      <c r="DR12" s="17"/>
      <c r="DS12" s="17"/>
      <c r="DT12" s="17"/>
      <c r="DU12" s="17"/>
      <c r="DV12" s="19"/>
      <c r="DW12" s="17"/>
      <c r="DX12" s="17"/>
      <c r="DY12" s="17"/>
      <c r="DZ12" s="17"/>
      <c r="EA12" s="19"/>
      <c r="EB12" s="17"/>
      <c r="EC12" s="17"/>
      <c r="ED12" s="17"/>
      <c r="EE12" s="17"/>
      <c r="EF12" s="19"/>
      <c r="EG12" s="17"/>
      <c r="EH12" s="17"/>
      <c r="EI12" s="17"/>
      <c r="EJ12" s="17"/>
      <c r="EK12" s="19"/>
      <c r="EL12" s="17"/>
      <c r="EM12" s="17"/>
      <c r="EN12" s="17"/>
      <c r="EO12" s="17"/>
      <c r="EP12" s="19"/>
      <c r="EQ12" s="17"/>
      <c r="ER12" s="17"/>
      <c r="ES12" s="17"/>
      <c r="ET12" s="17"/>
      <c r="EU12" s="19"/>
      <c r="EV12" s="17"/>
      <c r="EW12" s="17"/>
      <c r="EX12" s="17"/>
      <c r="EY12" s="17"/>
      <c r="EZ12" s="19"/>
      <c r="FA12" s="17"/>
      <c r="FB12" s="17"/>
      <c r="FC12" s="17"/>
      <c r="FD12" s="17"/>
      <c r="FE12" s="19"/>
      <c r="FF12" s="17"/>
      <c r="FG12" s="17"/>
      <c r="FH12" s="17"/>
      <c r="FI12" s="17"/>
      <c r="FJ12" s="19"/>
      <c r="FK12" s="17"/>
      <c r="FL12" s="17"/>
      <c r="FM12" s="17"/>
      <c r="FN12" s="17"/>
      <c r="FO12" s="19"/>
      <c r="FP12" s="17"/>
      <c r="FQ12" s="17"/>
      <c r="FR12" s="17"/>
      <c r="FS12" s="17"/>
      <c r="FT12" s="19"/>
      <c r="FU12" s="17"/>
      <c r="FV12" s="17"/>
      <c r="FW12" s="17"/>
      <c r="FX12" s="17"/>
      <c r="FY12" s="19"/>
      <c r="FZ12" s="17"/>
      <c r="GA12" s="17"/>
      <c r="GB12" s="17"/>
      <c r="GC12" s="17"/>
      <c r="GD12" s="19"/>
      <c r="GE12" s="17"/>
      <c r="GF12" s="17"/>
      <c r="GG12" s="17"/>
      <c r="GH12" s="17"/>
      <c r="GI12" s="19"/>
      <c r="GJ12" s="17"/>
      <c r="GK12" s="17"/>
      <c r="GL12" s="17"/>
      <c r="GM12" s="17"/>
      <c r="GN12" s="19"/>
      <c r="GO12" s="17"/>
      <c r="GP12" s="17"/>
      <c r="GQ12" s="17"/>
      <c r="GR12" s="17"/>
      <c r="GS12" s="19"/>
      <c r="GT12" s="17"/>
      <c r="GU12" s="17"/>
      <c r="GV12" s="17"/>
      <c r="GW12" s="17"/>
      <c r="GX12" s="19"/>
      <c r="GY12" s="17"/>
      <c r="GZ12" s="17"/>
      <c r="HA12" s="17"/>
      <c r="HB12" s="17"/>
      <c r="HC12" s="19"/>
      <c r="HD12" s="17"/>
      <c r="HE12" s="17"/>
      <c r="HF12" s="17"/>
      <c r="HG12" s="17"/>
      <c r="HH12" s="19"/>
      <c r="HI12" s="17"/>
      <c r="HJ12" s="17"/>
      <c r="HK12" s="17"/>
      <c r="HL12" s="17"/>
      <c r="HM12" s="19"/>
      <c r="HN12" s="17"/>
      <c r="HO12" s="17"/>
      <c r="HP12" s="17"/>
      <c r="HQ12" s="17"/>
      <c r="HR12" s="19"/>
      <c r="HS12" s="17"/>
      <c r="HT12" s="17"/>
      <c r="HU12" s="17"/>
      <c r="HV12" s="17"/>
      <c r="HW12" s="19"/>
      <c r="HX12" s="17"/>
      <c r="HY12" s="17"/>
      <c r="HZ12" s="17"/>
      <c r="IA12" s="17"/>
      <c r="IB12" s="19"/>
      <c r="IC12" s="17"/>
      <c r="ID12" s="17"/>
      <c r="IE12" s="17"/>
      <c r="IF12" s="17"/>
      <c r="IG12" s="19"/>
      <c r="IH12" s="17"/>
      <c r="II12" s="17"/>
      <c r="IJ12" s="17"/>
      <c r="IK12" s="17"/>
      <c r="IL12" s="19"/>
      <c r="IM12" s="17"/>
      <c r="IN12" s="17"/>
      <c r="IO12" s="17"/>
      <c r="IP12" s="17"/>
      <c r="IQ12" s="19"/>
      <c r="IR12" s="17"/>
      <c r="IS12" s="17"/>
      <c r="IT12" s="17"/>
      <c r="IU12" s="17"/>
      <c r="IV12" s="19"/>
    </row>
  </sheetData>
  <mergeCells count="3">
    <mergeCell ref="A1:E1"/>
    <mergeCell ref="A4:E4"/>
    <mergeCell ref="A3:E3"/>
  </mergeCells>
  <phoneticPr fontId="0" type="noConversion"/>
  <printOptions horizontalCentered="1"/>
  <pageMargins left="0.7" right="0.7" top="0.75" bottom="0.75" header="0.3" footer="0.3"/>
  <pageSetup scale="56" fitToHeight="0" orientation="landscape" horizontalDpi="4294967292" r:id="rId1"/>
  <headerFooter>
    <oddHeader xml:space="preserve">&amp;RSchedule IV-J-4
&amp;A
Page &amp;P of &amp;N
</oddHeader>
    <oddFooter>&amp;LSponsored by: Nora D. Williams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e9c0b8d7-bdb4-4fd3-b62a-f50327aaefce" origin="autoSelectedSuggestion">
  <element uid="50c31824-0780-4910-87d1-eaaffd182d42" value=""/>
  <element uid="c64218ab-b8d1-40b6-a478-cb8be1e10ecc" value=""/>
</sis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088183-347C-4D4D-A745-4A1FCB3DFA97}">
  <ds:schemaRefs>
    <ds:schemaRef ds:uri="http://schemas.microsoft.com/sharepoint/v3/contenttype/forms"/>
  </ds:schemaRefs>
</ds:datastoreItem>
</file>

<file path=customXml/itemProps2.xml><?xml version="1.0" encoding="utf-8"?>
<ds:datastoreItem xmlns:ds="http://schemas.openxmlformats.org/officeDocument/2006/customXml" ds:itemID="{B8552136-02C4-46A0-B055-D5F5A0E3AE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6C55094D-C3C4-4524-8064-9F04AE384CE7}">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FC2F237A-7BF0-4A9E-BD7A-7E87E48C4299}">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IV-J-4(a) TEX</vt:lpstr>
      <vt:lpstr>IV-J-4(b1) TEX</vt:lpstr>
      <vt:lpstr>IV-J-4(b2) TEX</vt:lpstr>
      <vt:lpstr>IV-J-4(c) TEX</vt:lpstr>
      <vt:lpstr>'IV-J-4(a) TEX'!Print_Area</vt:lpstr>
      <vt:lpstr>'IV-J-4(c) TEX'!Print_Area</vt:lpstr>
      <vt:lpstr>'IV-J-4(c) TEX'!Print_Titles</vt:lpstr>
    </vt:vector>
  </TitlesOfParts>
  <Company>Central and South West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Dunn</dc:creator>
  <cp:keywords>AEP Internal</cp:keywords>
  <cp:lastModifiedBy>s254353</cp:lastModifiedBy>
  <cp:lastPrinted>2019-04-21T00:05:26Z</cp:lastPrinted>
  <dcterms:created xsi:type="dcterms:W3CDTF">2000-02-09T23:09:06Z</dcterms:created>
  <dcterms:modified xsi:type="dcterms:W3CDTF">2019-04-21T00:06:57Z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331d2e99-8ab0-4a28-b691-cf0e43ebccd9</vt:lpwstr>
  </property>
  <property fmtid="{D5CDD505-2E9C-101B-9397-08002B2CF9AE}" pid="3" name="bjSaver">
    <vt:lpwstr>+67csA82yKjSjnon/76tuYCQckurr173</vt:lpwstr>
  </property>
  <property fmtid="{D5CDD505-2E9C-101B-9397-08002B2CF9AE}" pid="4" name="bjDocumentSecurityLabel">
    <vt:lpwstr>AEP Internal</vt:lpwstr>
  </property>
  <property fmtid="{D5CDD505-2E9C-101B-9397-08002B2CF9AE}" pid="5"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6" name="bjDocumentLabelXML-0">
    <vt:lpwstr>ww.boldonjames.com/2008/01/sie/internal/label"&gt;&lt;element uid="50c31824-0780-4910-87d1-eaaffd182d42" value="" /&gt;&lt;element uid="c64218ab-b8d1-40b6-a478-cb8be1e10ecc" value="" /&gt;&lt;/sisl&gt;</vt:lpwstr>
  </property>
  <property fmtid="{D5CDD505-2E9C-101B-9397-08002B2CF9AE}" pid="7" name="Visual Markings Removed">
    <vt:lpwstr>No</vt:lpwstr>
  </property>
  <property fmtid="{D5CDD505-2E9C-101B-9397-08002B2CF9AE}" pid="8" name="ContentTypeId">
    <vt:lpwstr>0x01010068D7645638A6BA4A903C04B5C9F7EDEE</vt:lpwstr>
  </property>
</Properties>
</file>