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xl/calcChain.xml" ContentType="application/vnd.openxmlformats-officedocument.spreadsheetml.calcChain+xml"/>
  <Override PartName="/docProps/custom.xml" ContentType="application/vnd.openxmlformats-officedocument.custom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O:\INTERNAL\Depreciation Study\AEP Texas\AEP Texas 201812\TCC\Schedules - TCC\"/>
    </mc:Choice>
  </mc:AlternateContent>
  <bookViews>
    <workbookView xWindow="-15" yWindow="45" windowWidth="9570" windowHeight="12810"/>
  </bookViews>
  <sheets>
    <sheet name="Schedule II Rates" sheetId="4" r:id="rId1"/>
  </sheets>
  <definedNames>
    <definedName name="_xlnm.Print_Area" localSheetId="0">'Schedule II Rates'!$A$1:$K$71</definedName>
    <definedName name="_xlnm.Print_Titles" localSheetId="0">'Schedule II Rates'!$1:$10</definedName>
  </definedNames>
  <calcPr calcId="162913"/>
</workbook>
</file>

<file path=xl/calcChain.xml><?xml version="1.0" encoding="utf-8"?>
<calcChain xmlns="http://schemas.openxmlformats.org/spreadsheetml/2006/main">
  <c r="J55" i="4" l="1"/>
  <c r="J57" i="4" l="1"/>
  <c r="G60" i="4" l="1"/>
  <c r="G24" i="4"/>
  <c r="E49" i="4"/>
  <c r="H49" i="4" s="1"/>
  <c r="J49" i="4" s="1"/>
  <c r="K49" i="4" s="1"/>
  <c r="E52" i="4"/>
  <c r="H52" i="4" s="1"/>
  <c r="J52" i="4" s="1"/>
  <c r="K52" i="4" s="1"/>
  <c r="E53" i="4"/>
  <c r="H53" i="4" s="1"/>
  <c r="J53" i="4" s="1"/>
  <c r="K53" i="4" s="1"/>
  <c r="E54" i="4"/>
  <c r="H54" i="4" s="1"/>
  <c r="J54" i="4" s="1"/>
  <c r="K54" i="4" s="1"/>
  <c r="E55" i="4"/>
  <c r="H55" i="4" s="1"/>
  <c r="E56" i="4"/>
  <c r="H56" i="4" s="1"/>
  <c r="J56" i="4" s="1"/>
  <c r="K56" i="4" s="1"/>
  <c r="C60" i="4"/>
  <c r="E57" i="4"/>
  <c r="H57" i="4" s="1"/>
  <c r="E39" i="4"/>
  <c r="H39" i="4" s="1"/>
  <c r="E29" i="4"/>
  <c r="H29" i="4" s="1"/>
  <c r="E30" i="4"/>
  <c r="H30" i="4" s="1"/>
  <c r="J30" i="4" s="1"/>
  <c r="K30" i="4" s="1"/>
  <c r="E31" i="4"/>
  <c r="H31" i="4" s="1"/>
  <c r="J31" i="4" s="1"/>
  <c r="K31" i="4" s="1"/>
  <c r="E32" i="4"/>
  <c r="H32" i="4" s="1"/>
  <c r="J32" i="4" s="1"/>
  <c r="K32" i="4" s="1"/>
  <c r="E33" i="4"/>
  <c r="H33" i="4" s="1"/>
  <c r="J33" i="4" s="1"/>
  <c r="K33" i="4" s="1"/>
  <c r="E34" i="4"/>
  <c r="H34" i="4" s="1"/>
  <c r="J34" i="4" s="1"/>
  <c r="K34" i="4" s="1"/>
  <c r="E35" i="4"/>
  <c r="H35" i="4" s="1"/>
  <c r="J35" i="4" s="1"/>
  <c r="K35" i="4" s="1"/>
  <c r="E36" i="4"/>
  <c r="H36" i="4" s="1"/>
  <c r="J36" i="4" s="1"/>
  <c r="K36" i="4" s="1"/>
  <c r="E37" i="4"/>
  <c r="H37" i="4" s="1"/>
  <c r="J37" i="4" s="1"/>
  <c r="K37" i="4" s="1"/>
  <c r="E38" i="4"/>
  <c r="H38" i="4" s="1"/>
  <c r="J38" i="4" s="1"/>
  <c r="K38" i="4" s="1"/>
  <c r="E40" i="4"/>
  <c r="H40" i="4" s="1"/>
  <c r="J40" i="4" s="1"/>
  <c r="K40" i="4" s="1"/>
  <c r="E41" i="4"/>
  <c r="H41" i="4" s="1"/>
  <c r="J41" i="4" s="1"/>
  <c r="K41" i="4" s="1"/>
  <c r="E50" i="4"/>
  <c r="H50" i="4" s="1"/>
  <c r="J50" i="4" s="1"/>
  <c r="K50" i="4" s="1"/>
  <c r="E58" i="4"/>
  <c r="H58" i="4" s="1"/>
  <c r="J58" i="4" s="1"/>
  <c r="K58" i="4" s="1"/>
  <c r="E14" i="4"/>
  <c r="E15" i="4"/>
  <c r="H15" i="4" s="1"/>
  <c r="J15" i="4" s="1"/>
  <c r="K15" i="4" s="1"/>
  <c r="E16" i="4"/>
  <c r="H16" i="4" s="1"/>
  <c r="E17" i="4"/>
  <c r="H17" i="4" s="1"/>
  <c r="J17" i="4" s="1"/>
  <c r="K17" i="4" s="1"/>
  <c r="E18" i="4"/>
  <c r="H18" i="4" s="1"/>
  <c r="J18" i="4" s="1"/>
  <c r="K18" i="4" s="1"/>
  <c r="E19" i="4"/>
  <c r="H19" i="4" s="1"/>
  <c r="J19" i="4" s="1"/>
  <c r="K19" i="4" s="1"/>
  <c r="E20" i="4"/>
  <c r="H20" i="4" s="1"/>
  <c r="J20" i="4" s="1"/>
  <c r="K20" i="4" s="1"/>
  <c r="E21" i="4"/>
  <c r="H21" i="4" s="1"/>
  <c r="J21" i="4" s="1"/>
  <c r="K21" i="4" s="1"/>
  <c r="E22" i="4"/>
  <c r="H22" i="4" s="1"/>
  <c r="J22" i="4" s="1"/>
  <c r="K22" i="4" s="1"/>
  <c r="F60" i="4"/>
  <c r="F24" i="4"/>
  <c r="F43" i="4"/>
  <c r="C24" i="4"/>
  <c r="C43" i="4"/>
  <c r="E51" i="4"/>
  <c r="H51" i="4" s="1"/>
  <c r="J51" i="4" s="1"/>
  <c r="K51" i="4" s="1"/>
  <c r="G43" i="4"/>
  <c r="G63" i="4" l="1"/>
  <c r="F63" i="4"/>
  <c r="C63" i="4"/>
  <c r="E43" i="4"/>
  <c r="E24" i="4"/>
  <c r="H14" i="4"/>
  <c r="J14" i="4" s="1"/>
  <c r="K14" i="4" s="1"/>
  <c r="H60" i="4"/>
  <c r="H43" i="4"/>
  <c r="J29" i="4"/>
  <c r="J16" i="4"/>
  <c r="K16" i="4" s="1"/>
  <c r="E60" i="4"/>
  <c r="H24" i="4" l="1"/>
  <c r="H63" i="4" s="1"/>
  <c r="E63" i="4"/>
  <c r="K29" i="4"/>
  <c r="J60" i="4"/>
  <c r="K60" i="4" s="1"/>
  <c r="J24" i="4"/>
  <c r="K24" i="4" l="1"/>
  <c r="J39" i="4" l="1"/>
  <c r="J43" i="4" s="1"/>
  <c r="K43" i="4" l="1"/>
  <c r="J63" i="4"/>
  <c r="K63" i="4" s="1"/>
</calcChain>
</file>

<file path=xl/sharedStrings.xml><?xml version="1.0" encoding="utf-8"?>
<sst xmlns="http://schemas.openxmlformats.org/spreadsheetml/2006/main" count="112" uniqueCount="101">
  <si>
    <t xml:space="preserve"> </t>
  </si>
  <si>
    <t>TOTAL</t>
  </si>
  <si>
    <t>TO BE</t>
  </si>
  <si>
    <t>DEPRECIATION</t>
  </si>
  <si>
    <t>ACCUMULATED</t>
  </si>
  <si>
    <t>REMAINING</t>
  </si>
  <si>
    <t xml:space="preserve"> TITLE</t>
  </si>
  <si>
    <t>RATIO</t>
  </si>
  <si>
    <t>RECOVERED</t>
  </si>
  <si>
    <t>LIFE</t>
  </si>
  <si>
    <t>AMOUNT</t>
  </si>
  <si>
    <t>PERCENT</t>
  </si>
  <si>
    <t>(I)</t>
  </si>
  <si>
    <t>(II)</t>
  </si>
  <si>
    <t>(V)</t>
  </si>
  <si>
    <t>(VII)</t>
  </si>
  <si>
    <t>(IX)</t>
  </si>
  <si>
    <t>(X)</t>
  </si>
  <si>
    <t>(XI)</t>
  </si>
  <si>
    <t>(III)</t>
  </si>
  <si>
    <t xml:space="preserve">  NET </t>
  </si>
  <si>
    <t>SALVAGE</t>
  </si>
  <si>
    <t xml:space="preserve">                          ANNUAL ACCRUAL     </t>
  </si>
  <si>
    <t xml:space="preserve"> (IV)</t>
  </si>
  <si>
    <t xml:space="preserve">  (VIII)</t>
  </si>
  <si>
    <t>AVERAGE LIFE GROUP (ALG) METHOD ACCRUAL RATES</t>
  </si>
  <si>
    <t>Land Rights</t>
  </si>
  <si>
    <t>352.0</t>
  </si>
  <si>
    <t>Structures &amp; Improvements</t>
  </si>
  <si>
    <t>353.0</t>
  </si>
  <si>
    <t>Station Equipment</t>
  </si>
  <si>
    <t>354.0</t>
  </si>
  <si>
    <t xml:space="preserve">Towers &amp; Fixtures  </t>
  </si>
  <si>
    <t>355.0</t>
  </si>
  <si>
    <t>Poles &amp; Fixtures</t>
  </si>
  <si>
    <t>356.0</t>
  </si>
  <si>
    <t>OH Conductor &amp; Devices</t>
  </si>
  <si>
    <t>358.0</t>
  </si>
  <si>
    <t>Underground Conductor</t>
  </si>
  <si>
    <t>Total Transmission Plant</t>
  </si>
  <si>
    <t>361.0</t>
  </si>
  <si>
    <t>362.0</t>
  </si>
  <si>
    <t>364.0</t>
  </si>
  <si>
    <t>Poles, Towers, &amp; Fixtures</t>
  </si>
  <si>
    <t>365.0</t>
  </si>
  <si>
    <t>Overhead Conductor &amp; Devices</t>
  </si>
  <si>
    <t>366.0</t>
  </si>
  <si>
    <t>Underground Conduit</t>
  </si>
  <si>
    <t>367.0</t>
  </si>
  <si>
    <t>368.0</t>
  </si>
  <si>
    <t>Line Transformers</t>
  </si>
  <si>
    <t>369.0</t>
  </si>
  <si>
    <t>Services</t>
  </si>
  <si>
    <t>370.0</t>
  </si>
  <si>
    <t>Meters</t>
  </si>
  <si>
    <t>371.0</t>
  </si>
  <si>
    <t>Installations on Custs. Prem.</t>
  </si>
  <si>
    <t>373.0</t>
  </si>
  <si>
    <t>Street Lighting &amp; Signal Sys.</t>
  </si>
  <si>
    <t>Total Distribution Plant</t>
  </si>
  <si>
    <t>390.0</t>
  </si>
  <si>
    <t>391.0</t>
  </si>
  <si>
    <t>Office Furniture &amp; Equipment</t>
  </si>
  <si>
    <t>392.0</t>
  </si>
  <si>
    <t>Transportation Equipment</t>
  </si>
  <si>
    <t>393.0</t>
  </si>
  <si>
    <t>Stores Equipment</t>
  </si>
  <si>
    <t>394.0</t>
  </si>
  <si>
    <t>Tools Shop &amp; Garage Equipment</t>
  </si>
  <si>
    <t>395.0</t>
  </si>
  <si>
    <t>Laboratory Equipment</t>
  </si>
  <si>
    <t>396.0</t>
  </si>
  <si>
    <t>397.0</t>
  </si>
  <si>
    <t>Communication Equipment</t>
  </si>
  <si>
    <t>398.0</t>
  </si>
  <si>
    <t>Miscellaneous Equipment</t>
  </si>
  <si>
    <t>Total General Plant</t>
  </si>
  <si>
    <t xml:space="preserve">Total Depreciable Plant </t>
  </si>
  <si>
    <t>CALCULATED</t>
  </si>
  <si>
    <t>REQUIREMENT</t>
  </si>
  <si>
    <t>Roads and Trails</t>
  </si>
  <si>
    <t>Underground Conductor &amp; Devices</t>
  </si>
  <si>
    <t>REMAIN</t>
  </si>
  <si>
    <t>AVG.</t>
  </si>
  <si>
    <t>COST</t>
  </si>
  <si>
    <t>ORIGINAL</t>
  </si>
  <si>
    <t>ACCT.</t>
  </si>
  <si>
    <t>BASED ON PLANT IN SERVICE AT DECEMBER 31, 2018</t>
  </si>
  <si>
    <t>AMI Meters (1)</t>
  </si>
  <si>
    <t>AMI Communication Equipment (1)</t>
  </si>
  <si>
    <t>Notes:</t>
  </si>
  <si>
    <t>TRANSMISSION PLANT</t>
  </si>
  <si>
    <t xml:space="preserve">DISTRIBUTION PLANT </t>
  </si>
  <si>
    <t xml:space="preserve">GENERAL PLANT      </t>
  </si>
  <si>
    <t>SCHEDULE II - CALCULATION OF DEPRECIATION RATES BY THE REMAINING LIFE METHOD</t>
  </si>
  <si>
    <t>Power Operated Equipment (2)</t>
  </si>
  <si>
    <t>AEP TEXAS CENTRAL DIVISION</t>
  </si>
  <si>
    <t>(1)  A useful life of 7 years was approved for AMI meters in Docket No. 36928 and AEP Texas Central Division is using a rate of 14.29% (1 divided by 7) for AMI meters in account 370.16 and the related communication equipment in account 397.16.</t>
  </si>
  <si>
    <t>(2)  The depreciation rate calculated for account 396.0 in this study did not produce a rate that was reasonable.  This depreciation study recommends continued use of the 0.94% depreciation rate that was approved in Case No. 33309 for account 396.0.</t>
  </si>
  <si>
    <t>(3)  Original Cost and Accumulated Depreciation amounts updated to remove Hurricane Harvey assets to be securitized (reduction of plant in service; increase of accumulated depreciation).</t>
  </si>
  <si>
    <t>(VI)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</si>
</sst>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7" x14ac:knownFonts="1">
    <font>
      <sz val="12"/>
      <name val="Arial"/>
    </font>
    <font>
      <sz val="12"/>
      <name val="Arial"/>
      <family val="2"/>
    </font>
    <font>
      <u/>
      <sz val="12"/>
      <name val="Arial"/>
      <family val="2"/>
    </font>
    <font>
      <b/>
      <sz val="12"/>
      <name val="Arial"/>
      <family val="2"/>
    </font>
    <font>
      <u/>
      <sz val="12"/>
      <name val="Arial"/>
      <family val="2"/>
    </font>
    <font>
      <b/>
      <u/>
      <sz val="12"/>
      <name val="Arial"/>
      <family val="2"/>
    </font>
    <font>
      <b/>
      <u val="double"/>
      <sz val="12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5">
    <xf numFmtId="0" fontId="0" fillId="0" borderId="0" xfId="0" applyAlignment="1"/>
    <xf numFmtId="0" fontId="1" fillId="0" borderId="0" xfId="0" applyFont="1" applyAlignment="1"/>
    <xf numFmtId="0" fontId="2" fillId="0" borderId="0" xfId="0" applyFont="1" applyAlignment="1">
      <alignment horizontal="center"/>
    </xf>
    <xf numFmtId="0" fontId="3" fillId="0" borderId="0" xfId="0" applyFont="1" applyAlignme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fill"/>
    </xf>
    <xf numFmtId="3" fontId="4" fillId="0" borderId="0" xfId="0" applyNumberFormat="1" applyFont="1"/>
    <xf numFmtId="3" fontId="0" fillId="0" borderId="0" xfId="0" applyNumberFormat="1"/>
    <xf numFmtId="10" fontId="0" fillId="0" borderId="0" xfId="0" applyNumberFormat="1"/>
    <xf numFmtId="3" fontId="2" fillId="0" borderId="0" xfId="0" applyNumberFormat="1" applyFont="1"/>
    <xf numFmtId="10" fontId="1" fillId="0" borderId="0" xfId="0" applyNumberFormat="1" applyFont="1" applyAlignment="1">
      <alignment horizontal="right"/>
    </xf>
    <xf numFmtId="0" fontId="1" fillId="0" borderId="0" xfId="0" quotePrefix="1" applyFont="1" applyAlignment="1"/>
    <xf numFmtId="0" fontId="1" fillId="0" borderId="0" xfId="0" applyFont="1" applyBorder="1" applyAlignment="1">
      <alignment horizontal="center"/>
    </xf>
    <xf numFmtId="164" fontId="1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10" fontId="1" fillId="0" borderId="0" xfId="0" applyNumberFormat="1" applyFont="1" applyAlignment="1">
      <alignment horizontal="center"/>
    </xf>
    <xf numFmtId="10" fontId="0" fillId="0" borderId="0" xfId="0" applyNumberFormat="1" applyAlignment="1">
      <alignment horizontal="center"/>
    </xf>
    <xf numFmtId="0" fontId="3" fillId="0" borderId="0" xfId="0" applyFont="1" applyAlignment="1">
      <alignment horizontal="center"/>
    </xf>
    <xf numFmtId="3" fontId="5" fillId="0" borderId="0" xfId="0" applyNumberFormat="1" applyFont="1"/>
    <xf numFmtId="3" fontId="3" fillId="0" borderId="0" xfId="0" applyNumberFormat="1" applyFont="1" applyAlignment="1">
      <alignment horizontal="center"/>
    </xf>
    <xf numFmtId="10" fontId="3" fillId="0" borderId="0" xfId="0" applyNumberFormat="1" applyFont="1" applyAlignment="1">
      <alignment horizontal="center"/>
    </xf>
    <xf numFmtId="3" fontId="3" fillId="0" borderId="0" xfId="0" applyNumberFormat="1" applyFont="1" applyAlignment="1"/>
    <xf numFmtId="10" fontId="3" fillId="0" borderId="0" xfId="0" applyNumberFormat="1" applyFont="1" applyAlignment="1">
      <alignment horizontal="right"/>
    </xf>
    <xf numFmtId="10" fontId="3" fillId="0" borderId="0" xfId="0" applyNumberFormat="1" applyFont="1" applyAlignment="1"/>
    <xf numFmtId="3" fontId="3" fillId="0" borderId="0" xfId="0" applyNumberFormat="1" applyFont="1"/>
    <xf numFmtId="3" fontId="6" fillId="0" borderId="0" xfId="0" applyNumberFormat="1" applyFont="1"/>
    <xf numFmtId="10" fontId="6" fillId="0" borderId="0" xfId="0" applyNumberFormat="1" applyFont="1" applyAlignment="1">
      <alignment horizontal="center"/>
    </xf>
    <xf numFmtId="2" fontId="3" fillId="0" borderId="0" xfId="0" applyNumberFormat="1" applyFont="1" applyAlignment="1">
      <alignment horizontal="center"/>
    </xf>
    <xf numFmtId="0" fontId="3" fillId="0" borderId="0" xfId="0" applyFont="1" applyAlignment="1">
      <alignment horizontal="left" indent="2"/>
    </xf>
    <xf numFmtId="49" fontId="1" fillId="0" borderId="0" xfId="0" applyNumberFormat="1" applyFont="1" applyFill="1" applyAlignment="1">
      <alignment horizontal="center"/>
    </xf>
    <xf numFmtId="0" fontId="1" fillId="0" borderId="0" xfId="0" applyFont="1" applyFill="1" applyAlignment="1"/>
    <xf numFmtId="3" fontId="0" fillId="0" borderId="0" xfId="0" applyNumberFormat="1" applyFill="1"/>
    <xf numFmtId="2" fontId="1" fillId="0" borderId="0" xfId="0" applyNumberFormat="1" applyFont="1" applyFill="1" applyAlignment="1">
      <alignment horizontal="center"/>
    </xf>
    <xf numFmtId="2" fontId="0" fillId="0" borderId="0" xfId="0" applyNumberFormat="1" applyFill="1" applyAlignment="1">
      <alignment horizontal="center"/>
    </xf>
    <xf numFmtId="3" fontId="1" fillId="0" borderId="0" xfId="0" applyNumberFormat="1" applyFont="1" applyFill="1"/>
    <xf numFmtId="10" fontId="1" fillId="0" borderId="0" xfId="0" applyNumberFormat="1" applyFont="1" applyFill="1" applyAlignment="1">
      <alignment horizontal="center"/>
    </xf>
    <xf numFmtId="0" fontId="0" fillId="0" borderId="0" xfId="0" applyFill="1" applyAlignment="1"/>
    <xf numFmtId="0" fontId="1" fillId="0" borderId="0" xfId="0" applyFont="1" applyFill="1" applyAlignment="1">
      <alignment horizontal="center"/>
    </xf>
    <xf numFmtId="0" fontId="1" fillId="0" borderId="0" xfId="0" applyFont="1" applyFill="1" applyAlignment="1">
      <alignment vertical="center" wrapText="1"/>
    </xf>
    <xf numFmtId="0" fontId="1" fillId="0" borderId="0" xfId="0" applyFont="1" applyAlignment="1">
      <alignment vertical="center" wrapText="1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 fitToPage="1"/>
  </sheetPr>
  <dimension ref="A1:K71"/>
  <sheetViews>
    <sheetView tabSelected="1" zoomScale="75" zoomScaleNormal="75" workbookViewId="0">
      <pane xSplit="2" ySplit="10" topLeftCell="C11" activePane="bottomRight" state="frozen"/>
      <selection pane="topRight" activeCell="C1" sqref="C1"/>
      <selection pane="bottomLeft" activeCell="A13" sqref="A13"/>
      <selection pane="bottomRight" activeCell="F11" sqref="F11"/>
    </sheetView>
  </sheetViews>
  <sheetFormatPr defaultColWidth="9.6640625" defaultRowHeight="15" x14ac:dyDescent="0.2"/>
  <cols>
    <col min="1" max="1" width="7.6640625" customWidth="1"/>
    <col min="2" max="2" width="29" customWidth="1"/>
    <col min="3" max="3" width="15.21875" customWidth="1"/>
    <col min="4" max="4" width="8.6640625" customWidth="1"/>
    <col min="5" max="5" width="15.6640625" customWidth="1"/>
    <col min="6" max="6" width="13.6640625" customWidth="1"/>
    <col min="7" max="7" width="16" customWidth="1"/>
    <col min="8" max="8" width="14.44140625" customWidth="1"/>
    <col min="9" max="9" width="8.88671875" customWidth="1"/>
    <col min="10" max="10" width="13.5546875" customWidth="1"/>
  </cols>
  <sheetData>
    <row r="1" spans="1:11" ht="15.75" x14ac:dyDescent="0.25">
      <c r="A1" s="44" t="s">
        <v>96</v>
      </c>
      <c r="B1" s="44"/>
      <c r="C1" s="44"/>
      <c r="D1" s="44"/>
      <c r="E1" s="44"/>
      <c r="F1" s="44"/>
      <c r="G1" s="44"/>
      <c r="H1" s="44"/>
      <c r="I1" s="44"/>
      <c r="J1" s="44"/>
      <c r="K1" s="44"/>
    </row>
    <row r="2" spans="1:11" ht="15.75" x14ac:dyDescent="0.25">
      <c r="A2" s="44" t="s">
        <v>94</v>
      </c>
      <c r="B2" s="44"/>
      <c r="C2" s="44"/>
      <c r="D2" s="44"/>
      <c r="E2" s="44"/>
      <c r="F2" s="44"/>
      <c r="G2" s="44"/>
      <c r="H2" s="44"/>
      <c r="I2" s="44"/>
      <c r="J2" s="44"/>
      <c r="K2" s="44"/>
    </row>
    <row r="3" spans="1:11" ht="15.75" x14ac:dyDescent="0.25">
      <c r="A3" s="44" t="s">
        <v>87</v>
      </c>
      <c r="B3" s="44"/>
      <c r="C3" s="44"/>
      <c r="D3" s="44"/>
      <c r="E3" s="44"/>
      <c r="F3" s="44"/>
      <c r="G3" s="44"/>
      <c r="H3" s="44"/>
      <c r="I3" s="44"/>
      <c r="J3" s="44"/>
      <c r="K3" s="44"/>
    </row>
    <row r="4" spans="1:11" ht="15.75" x14ac:dyDescent="0.25">
      <c r="A4" s="44" t="s">
        <v>25</v>
      </c>
      <c r="B4" s="44"/>
      <c r="C4" s="44"/>
      <c r="D4" s="44"/>
      <c r="E4" s="44"/>
      <c r="F4" s="44"/>
      <c r="G4" s="44"/>
      <c r="H4" s="44"/>
      <c r="I4" s="44"/>
      <c r="J4" s="44"/>
      <c r="K4" s="44"/>
    </row>
    <row r="5" spans="1:11" x14ac:dyDescent="0.2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 x14ac:dyDescent="0.2">
      <c r="A6" s="1"/>
      <c r="B6" s="11"/>
      <c r="G6" s="4"/>
      <c r="H6" s="1"/>
      <c r="I6" s="1"/>
      <c r="K6" s="1"/>
    </row>
    <row r="7" spans="1:11" x14ac:dyDescent="0.2">
      <c r="A7" s="12"/>
      <c r="B7" s="12"/>
      <c r="D7" s="4" t="s">
        <v>20</v>
      </c>
      <c r="E7" s="4" t="s">
        <v>1</v>
      </c>
      <c r="F7" s="4" t="s">
        <v>78</v>
      </c>
      <c r="G7" s="4"/>
      <c r="H7" s="4" t="s">
        <v>5</v>
      </c>
      <c r="I7" s="4" t="s">
        <v>83</v>
      </c>
      <c r="J7" s="4"/>
      <c r="K7" s="1"/>
    </row>
    <row r="8" spans="1:11" x14ac:dyDescent="0.2">
      <c r="A8" s="5"/>
      <c r="B8" s="5"/>
      <c r="C8" s="4" t="s">
        <v>85</v>
      </c>
      <c r="D8" s="4" t="s">
        <v>21</v>
      </c>
      <c r="E8" s="4" t="s">
        <v>2</v>
      </c>
      <c r="F8" s="4" t="s">
        <v>3</v>
      </c>
      <c r="G8" s="4" t="s">
        <v>4</v>
      </c>
      <c r="H8" s="4" t="s">
        <v>2</v>
      </c>
      <c r="I8" s="4" t="s">
        <v>82</v>
      </c>
      <c r="J8" s="2" t="s">
        <v>22</v>
      </c>
      <c r="K8" s="5"/>
    </row>
    <row r="9" spans="1:11" x14ac:dyDescent="0.2">
      <c r="A9" s="4" t="s">
        <v>86</v>
      </c>
      <c r="B9" s="4" t="s">
        <v>6</v>
      </c>
      <c r="C9" s="4" t="s">
        <v>84</v>
      </c>
      <c r="D9" s="4" t="s">
        <v>7</v>
      </c>
      <c r="E9" s="4" t="s">
        <v>8</v>
      </c>
      <c r="F9" s="4" t="s">
        <v>79</v>
      </c>
      <c r="G9" s="4" t="s">
        <v>3</v>
      </c>
      <c r="H9" s="4" t="s">
        <v>8</v>
      </c>
      <c r="I9" s="4" t="s">
        <v>9</v>
      </c>
      <c r="J9" s="4" t="s">
        <v>10</v>
      </c>
      <c r="K9" s="4" t="s">
        <v>11</v>
      </c>
    </row>
    <row r="10" spans="1:11" x14ac:dyDescent="0.2">
      <c r="A10" s="2" t="s">
        <v>12</v>
      </c>
      <c r="B10" s="2" t="s">
        <v>13</v>
      </c>
      <c r="C10" s="2" t="s">
        <v>19</v>
      </c>
      <c r="D10" s="2" t="s">
        <v>23</v>
      </c>
      <c r="E10" s="2" t="s">
        <v>14</v>
      </c>
      <c r="F10" s="2" t="s">
        <v>100</v>
      </c>
      <c r="G10" s="2" t="s">
        <v>15</v>
      </c>
      <c r="H10" s="2" t="s">
        <v>24</v>
      </c>
      <c r="I10" s="2" t="s">
        <v>16</v>
      </c>
      <c r="J10" s="2" t="s">
        <v>17</v>
      </c>
      <c r="K10" s="2" t="s">
        <v>18</v>
      </c>
    </row>
    <row r="11" spans="1:11" x14ac:dyDescent="0.2">
      <c r="A11" s="1"/>
      <c r="B11" s="1"/>
      <c r="C11" s="1"/>
      <c r="D11" s="1"/>
      <c r="E11" s="1"/>
      <c r="F11" s="7"/>
      <c r="G11" s="1"/>
      <c r="H11" s="1"/>
      <c r="I11" s="1"/>
      <c r="J11" s="1"/>
      <c r="K11" s="1"/>
    </row>
    <row r="12" spans="1:11" ht="15.75" x14ac:dyDescent="0.25">
      <c r="A12" s="32" t="s">
        <v>91</v>
      </c>
      <c r="F12" s="7"/>
    </row>
    <row r="14" spans="1:11" x14ac:dyDescent="0.2">
      <c r="A14" s="13">
        <v>350.1</v>
      </c>
      <c r="B14" s="1" t="s">
        <v>26</v>
      </c>
      <c r="C14" s="7">
        <v>60036747</v>
      </c>
      <c r="D14" s="15">
        <v>1</v>
      </c>
      <c r="E14" s="7">
        <f t="shared" ref="E14:E22" si="0">C14*D14</f>
        <v>60036747</v>
      </c>
      <c r="F14" s="7">
        <v>16728837</v>
      </c>
      <c r="G14" s="7">
        <v>21047359</v>
      </c>
      <c r="H14" s="7">
        <f>E14-G14</f>
        <v>38989388</v>
      </c>
      <c r="I14" s="17">
        <v>54.1</v>
      </c>
      <c r="J14" s="7">
        <f t="shared" ref="J14:J22" si="1">ROUND(H14/I14,0)</f>
        <v>720691</v>
      </c>
      <c r="K14" s="19">
        <f t="shared" ref="K14:K22" si="2">J14/C14</f>
        <v>1.2004164715986362E-2</v>
      </c>
    </row>
    <row r="15" spans="1:11" x14ac:dyDescent="0.2">
      <c r="A15" s="13" t="s">
        <v>27</v>
      </c>
      <c r="B15" s="1" t="s">
        <v>28</v>
      </c>
      <c r="C15" s="7">
        <v>35979785</v>
      </c>
      <c r="D15" s="15">
        <v>1.03</v>
      </c>
      <c r="E15" s="7">
        <f t="shared" si="0"/>
        <v>37059178.550000004</v>
      </c>
      <c r="F15" s="7">
        <v>2971418</v>
      </c>
      <c r="G15" s="7">
        <v>4522075</v>
      </c>
      <c r="H15" s="7">
        <f t="shared" ref="H15:H22" si="3">E15-G15</f>
        <v>32537103.550000004</v>
      </c>
      <c r="I15" s="17">
        <v>59.79</v>
      </c>
      <c r="J15" s="7">
        <f t="shared" si="1"/>
        <v>544190</v>
      </c>
      <c r="K15" s="19">
        <f t="shared" si="2"/>
        <v>1.5124881930228321E-2</v>
      </c>
    </row>
    <row r="16" spans="1:11" x14ac:dyDescent="0.2">
      <c r="A16" s="13" t="s">
        <v>29</v>
      </c>
      <c r="B16" s="1" t="s">
        <v>30</v>
      </c>
      <c r="C16" s="7">
        <v>1249597777</v>
      </c>
      <c r="D16" s="15">
        <v>1</v>
      </c>
      <c r="E16" s="7">
        <f t="shared" si="0"/>
        <v>1249597777</v>
      </c>
      <c r="F16" s="7">
        <v>178707617</v>
      </c>
      <c r="G16" s="7">
        <v>148766804</v>
      </c>
      <c r="H16" s="7">
        <f t="shared" si="3"/>
        <v>1100830973</v>
      </c>
      <c r="I16" s="17">
        <v>43.71</v>
      </c>
      <c r="J16" s="7">
        <f t="shared" si="1"/>
        <v>25184877</v>
      </c>
      <c r="K16" s="19">
        <f t="shared" si="2"/>
        <v>2.0154386846352401E-2</v>
      </c>
    </row>
    <row r="17" spans="1:11" x14ac:dyDescent="0.2">
      <c r="A17" s="13" t="s">
        <v>31</v>
      </c>
      <c r="B17" s="1" t="s">
        <v>32</v>
      </c>
      <c r="C17" s="7">
        <v>46640647</v>
      </c>
      <c r="D17" s="15">
        <v>1.1000000000000001</v>
      </c>
      <c r="E17" s="7">
        <f t="shared" si="0"/>
        <v>51304711.700000003</v>
      </c>
      <c r="F17" s="7">
        <v>17328543</v>
      </c>
      <c r="G17" s="7">
        <v>15571694</v>
      </c>
      <c r="H17" s="7">
        <f t="shared" si="3"/>
        <v>35733017.700000003</v>
      </c>
      <c r="I17" s="17">
        <v>46.36</v>
      </c>
      <c r="J17" s="7">
        <f t="shared" si="1"/>
        <v>770773</v>
      </c>
      <c r="K17" s="19">
        <f t="shared" si="2"/>
        <v>1.6525778469582551E-2</v>
      </c>
    </row>
    <row r="18" spans="1:11" x14ac:dyDescent="0.2">
      <c r="A18" s="13" t="s">
        <v>33</v>
      </c>
      <c r="B18" s="1" t="s">
        <v>34</v>
      </c>
      <c r="C18" s="7">
        <v>562498025</v>
      </c>
      <c r="D18" s="15">
        <v>1.46</v>
      </c>
      <c r="E18" s="7">
        <f t="shared" si="0"/>
        <v>821247116.5</v>
      </c>
      <c r="F18" s="7">
        <v>85649474</v>
      </c>
      <c r="G18" s="7">
        <v>94372638</v>
      </c>
      <c r="H18" s="7">
        <f t="shared" si="3"/>
        <v>726874478.5</v>
      </c>
      <c r="I18" s="17">
        <v>53.74</v>
      </c>
      <c r="J18" s="7">
        <f t="shared" si="1"/>
        <v>13525763</v>
      </c>
      <c r="K18" s="19">
        <f t="shared" si="2"/>
        <v>2.4045885316664E-2</v>
      </c>
    </row>
    <row r="19" spans="1:11" x14ac:dyDescent="0.2">
      <c r="A19" s="13" t="s">
        <v>35</v>
      </c>
      <c r="B19" s="1" t="s">
        <v>36</v>
      </c>
      <c r="C19" s="7">
        <v>499084207</v>
      </c>
      <c r="D19" s="15">
        <v>1.3</v>
      </c>
      <c r="E19" s="7">
        <f t="shared" si="0"/>
        <v>648809469.10000002</v>
      </c>
      <c r="F19" s="7">
        <v>62093447</v>
      </c>
      <c r="G19" s="7">
        <v>44228560</v>
      </c>
      <c r="H19" s="7">
        <f t="shared" si="3"/>
        <v>604580909.10000002</v>
      </c>
      <c r="I19" s="17">
        <v>58.78</v>
      </c>
      <c r="J19" s="7">
        <f t="shared" si="1"/>
        <v>10285487</v>
      </c>
      <c r="K19" s="19">
        <f t="shared" si="2"/>
        <v>2.0608720644209846E-2</v>
      </c>
    </row>
    <row r="20" spans="1:11" x14ac:dyDescent="0.2">
      <c r="A20" s="13">
        <v>357</v>
      </c>
      <c r="B20" s="1" t="s">
        <v>47</v>
      </c>
      <c r="C20" s="7">
        <v>2640151</v>
      </c>
      <c r="D20" s="15">
        <v>1</v>
      </c>
      <c r="E20" s="7">
        <f t="shared" si="0"/>
        <v>2640151</v>
      </c>
      <c r="F20" s="7">
        <v>133762</v>
      </c>
      <c r="G20" s="7">
        <v>6151</v>
      </c>
      <c r="H20" s="7">
        <f t="shared" si="3"/>
        <v>2634000</v>
      </c>
      <c r="I20" s="17">
        <v>61.71</v>
      </c>
      <c r="J20" s="7">
        <f t="shared" si="1"/>
        <v>42684</v>
      </c>
      <c r="K20" s="19">
        <f t="shared" si="2"/>
        <v>1.6167257100067382E-2</v>
      </c>
    </row>
    <row r="21" spans="1:11" x14ac:dyDescent="0.2">
      <c r="A21" s="13" t="s">
        <v>37</v>
      </c>
      <c r="B21" s="1" t="s">
        <v>81</v>
      </c>
      <c r="C21" s="7">
        <v>25028080</v>
      </c>
      <c r="D21" s="15">
        <v>1</v>
      </c>
      <c r="E21" s="7">
        <f t="shared" si="0"/>
        <v>25028080</v>
      </c>
      <c r="F21" s="7">
        <v>7148529</v>
      </c>
      <c r="G21" s="7">
        <v>2964621</v>
      </c>
      <c r="H21" s="7">
        <f t="shared" si="3"/>
        <v>22063459</v>
      </c>
      <c r="I21" s="17">
        <v>35.72</v>
      </c>
      <c r="J21" s="7">
        <f t="shared" si="1"/>
        <v>617678</v>
      </c>
      <c r="K21" s="19">
        <f t="shared" si="2"/>
        <v>2.4679400097810139E-2</v>
      </c>
    </row>
    <row r="22" spans="1:11" x14ac:dyDescent="0.2">
      <c r="A22" s="13">
        <v>359</v>
      </c>
      <c r="B22" s="1" t="s">
        <v>80</v>
      </c>
      <c r="C22" s="9">
        <v>54376</v>
      </c>
      <c r="D22" s="15">
        <v>1</v>
      </c>
      <c r="E22" s="9">
        <f t="shared" si="0"/>
        <v>54376</v>
      </c>
      <c r="F22" s="9">
        <v>38880</v>
      </c>
      <c r="G22" s="9">
        <v>48848</v>
      </c>
      <c r="H22" s="9">
        <f t="shared" si="3"/>
        <v>5528</v>
      </c>
      <c r="I22" s="17">
        <v>18.52</v>
      </c>
      <c r="J22" s="6">
        <f t="shared" si="1"/>
        <v>298</v>
      </c>
      <c r="K22" s="19">
        <f t="shared" si="2"/>
        <v>5.4803589819037808E-3</v>
      </c>
    </row>
    <row r="23" spans="1:11" x14ac:dyDescent="0.2">
      <c r="C23" s="10"/>
      <c r="D23" s="16"/>
      <c r="E23" s="10"/>
      <c r="F23" s="10"/>
      <c r="G23" s="10"/>
      <c r="H23" s="10"/>
      <c r="I23" s="18"/>
      <c r="J23" s="10"/>
      <c r="K23" s="20"/>
    </row>
    <row r="24" spans="1:11" ht="15.75" x14ac:dyDescent="0.25">
      <c r="B24" s="3" t="s">
        <v>39</v>
      </c>
      <c r="C24" s="22">
        <f>SUM(C14:C23)</f>
        <v>2481559795</v>
      </c>
      <c r="D24" s="21"/>
      <c r="E24" s="22">
        <f>SUM(E14:E23)</f>
        <v>2895777606.8499999</v>
      </c>
      <c r="F24" s="22">
        <f>SUM(F14:F23)</f>
        <v>370800507</v>
      </c>
      <c r="G24" s="22">
        <f>SUM(G14:G23)</f>
        <v>331528750</v>
      </c>
      <c r="H24" s="22">
        <f>SUM(H14:H22)</f>
        <v>2564248856.8499999</v>
      </c>
      <c r="I24" s="23" t="s">
        <v>0</v>
      </c>
      <c r="J24" s="22">
        <f>SUM(J14:J23)</f>
        <v>51692441</v>
      </c>
      <c r="K24" s="24">
        <f>J24/C24</f>
        <v>2.0830624796611037E-2</v>
      </c>
    </row>
    <row r="25" spans="1:11" x14ac:dyDescent="0.2">
      <c r="C25" s="10"/>
      <c r="D25" s="16"/>
      <c r="E25" s="10"/>
      <c r="F25" s="10"/>
      <c r="G25" s="10"/>
      <c r="H25" s="10"/>
      <c r="I25" s="19"/>
      <c r="J25" s="10"/>
      <c r="K25" s="20"/>
    </row>
    <row r="26" spans="1:11" x14ac:dyDescent="0.2">
      <c r="D26" s="16"/>
      <c r="E26" s="7"/>
      <c r="I26" s="16"/>
      <c r="K26" s="20"/>
    </row>
    <row r="27" spans="1:11" ht="15.75" x14ac:dyDescent="0.25">
      <c r="A27" s="32" t="s">
        <v>92</v>
      </c>
      <c r="D27" s="16"/>
      <c r="E27" s="7"/>
      <c r="F27" s="8"/>
      <c r="I27" s="16"/>
      <c r="K27" s="20"/>
    </row>
    <row r="28" spans="1:11" x14ac:dyDescent="0.2">
      <c r="A28" s="1"/>
      <c r="D28" s="16"/>
      <c r="E28" s="7"/>
      <c r="F28" s="8"/>
      <c r="I28" s="16"/>
      <c r="K28" s="20"/>
    </row>
    <row r="29" spans="1:11" x14ac:dyDescent="0.2">
      <c r="A29" s="4">
        <v>360.1</v>
      </c>
      <c r="B29" s="1" t="s">
        <v>26</v>
      </c>
      <c r="C29" s="7">
        <v>1318356</v>
      </c>
      <c r="D29" s="15">
        <v>1</v>
      </c>
      <c r="E29" s="7">
        <f t="shared" ref="E29:E41" si="4">C29*D29</f>
        <v>1318356</v>
      </c>
      <c r="F29" s="7">
        <v>422181</v>
      </c>
      <c r="G29" s="7">
        <v>454911</v>
      </c>
      <c r="H29" s="7">
        <f>E29-G29</f>
        <v>863445</v>
      </c>
      <c r="I29" s="17">
        <v>40.79</v>
      </c>
      <c r="J29" s="7">
        <f t="shared" ref="J29:J41" si="5">ROUND(H29/I29,0)</f>
        <v>21168</v>
      </c>
      <c r="K29" s="19">
        <f t="shared" ref="K29:K41" si="6">J29/C29</f>
        <v>1.6056361104284426E-2</v>
      </c>
    </row>
    <row r="30" spans="1:11" x14ac:dyDescent="0.2">
      <c r="A30" s="4" t="s">
        <v>40</v>
      </c>
      <c r="B30" s="1" t="s">
        <v>28</v>
      </c>
      <c r="C30" s="7">
        <v>12120569</v>
      </c>
      <c r="D30" s="15">
        <v>0.99</v>
      </c>
      <c r="E30" s="7">
        <f t="shared" si="4"/>
        <v>11999363.310000001</v>
      </c>
      <c r="F30" s="7">
        <v>1946088</v>
      </c>
      <c r="G30" s="7">
        <v>2554891</v>
      </c>
      <c r="H30" s="7">
        <f t="shared" ref="H30:H41" si="7">E30-G30</f>
        <v>9444472.3100000005</v>
      </c>
      <c r="I30" s="17">
        <v>60.36</v>
      </c>
      <c r="J30" s="7">
        <f t="shared" si="5"/>
        <v>156469</v>
      </c>
      <c r="K30" s="19">
        <f t="shared" si="6"/>
        <v>1.2909377439293485E-2</v>
      </c>
    </row>
    <row r="31" spans="1:11" x14ac:dyDescent="0.2">
      <c r="A31" s="4" t="s">
        <v>41</v>
      </c>
      <c r="B31" s="1" t="s">
        <v>30</v>
      </c>
      <c r="C31" s="7">
        <v>396652656</v>
      </c>
      <c r="D31" s="15">
        <v>0.97</v>
      </c>
      <c r="E31" s="7">
        <f t="shared" si="4"/>
        <v>384753076.31999999</v>
      </c>
      <c r="F31" s="7">
        <v>41364927</v>
      </c>
      <c r="G31" s="7">
        <v>23754966</v>
      </c>
      <c r="H31" s="7">
        <f t="shared" si="7"/>
        <v>360998110.31999999</v>
      </c>
      <c r="I31" s="17">
        <v>53.63</v>
      </c>
      <c r="J31" s="7">
        <f t="shared" si="5"/>
        <v>6731272</v>
      </c>
      <c r="K31" s="19">
        <f t="shared" si="6"/>
        <v>1.6970192681629238E-2</v>
      </c>
    </row>
    <row r="32" spans="1:11" x14ac:dyDescent="0.2">
      <c r="A32" s="4" t="s">
        <v>42</v>
      </c>
      <c r="B32" s="1" t="s">
        <v>43</v>
      </c>
      <c r="C32" s="7">
        <v>612325516</v>
      </c>
      <c r="D32" s="15">
        <v>1.71</v>
      </c>
      <c r="E32" s="7">
        <f t="shared" si="4"/>
        <v>1047076632.36</v>
      </c>
      <c r="F32" s="7">
        <v>169897097</v>
      </c>
      <c r="G32" s="7">
        <v>254239347</v>
      </c>
      <c r="H32" s="7">
        <f t="shared" si="7"/>
        <v>792837285.36000001</v>
      </c>
      <c r="I32" s="17">
        <v>44.09</v>
      </c>
      <c r="J32" s="7">
        <f t="shared" si="5"/>
        <v>17982247</v>
      </c>
      <c r="K32" s="19">
        <f t="shared" si="6"/>
        <v>2.9367136482354266E-2</v>
      </c>
    </row>
    <row r="33" spans="1:11" x14ac:dyDescent="0.2">
      <c r="A33" s="4" t="s">
        <v>44</v>
      </c>
      <c r="B33" s="1" t="s">
        <v>45</v>
      </c>
      <c r="C33" s="7">
        <v>573222951</v>
      </c>
      <c r="D33" s="15">
        <v>1.95</v>
      </c>
      <c r="E33" s="7">
        <f t="shared" si="4"/>
        <v>1117784754.45</v>
      </c>
      <c r="F33" s="7">
        <v>208741644</v>
      </c>
      <c r="G33" s="7">
        <v>208288355</v>
      </c>
      <c r="H33" s="7">
        <f t="shared" si="7"/>
        <v>909496399.45000005</v>
      </c>
      <c r="I33" s="17">
        <v>46.05</v>
      </c>
      <c r="J33" s="7">
        <f t="shared" si="5"/>
        <v>19750193</v>
      </c>
      <c r="K33" s="19">
        <f t="shared" si="6"/>
        <v>3.4454644507072432E-2</v>
      </c>
    </row>
    <row r="34" spans="1:11" x14ac:dyDescent="0.2">
      <c r="A34" s="4" t="s">
        <v>46</v>
      </c>
      <c r="B34" s="1" t="s">
        <v>47</v>
      </c>
      <c r="C34" s="7">
        <v>57378067</v>
      </c>
      <c r="D34" s="15">
        <v>1</v>
      </c>
      <c r="E34" s="7">
        <f t="shared" si="4"/>
        <v>57378067</v>
      </c>
      <c r="F34" s="7">
        <v>11485750</v>
      </c>
      <c r="G34" s="7">
        <v>19362583</v>
      </c>
      <c r="H34" s="7">
        <f t="shared" si="7"/>
        <v>38015484</v>
      </c>
      <c r="I34" s="17">
        <v>56.05</v>
      </c>
      <c r="J34" s="7">
        <f t="shared" si="5"/>
        <v>678242</v>
      </c>
      <c r="K34" s="19">
        <f t="shared" si="6"/>
        <v>1.182057945590952E-2</v>
      </c>
    </row>
    <row r="35" spans="1:11" x14ac:dyDescent="0.2">
      <c r="A35" s="4" t="s">
        <v>48</v>
      </c>
      <c r="B35" s="1" t="s">
        <v>38</v>
      </c>
      <c r="C35" s="7">
        <v>285650353</v>
      </c>
      <c r="D35" s="15">
        <v>1.43</v>
      </c>
      <c r="E35" s="7">
        <f t="shared" si="4"/>
        <v>408480004.78999996</v>
      </c>
      <c r="F35" s="7">
        <v>75502355</v>
      </c>
      <c r="G35" s="7">
        <v>69074564</v>
      </c>
      <c r="H35" s="7">
        <f t="shared" si="7"/>
        <v>339405440.78999996</v>
      </c>
      <c r="I35" s="17">
        <v>44.09</v>
      </c>
      <c r="J35" s="7">
        <f t="shared" si="5"/>
        <v>7698014</v>
      </c>
      <c r="K35" s="19">
        <f t="shared" si="6"/>
        <v>2.694907924724322E-2</v>
      </c>
    </row>
    <row r="36" spans="1:11" x14ac:dyDescent="0.2">
      <c r="A36" s="4" t="s">
        <v>49</v>
      </c>
      <c r="B36" s="1" t="s">
        <v>50</v>
      </c>
      <c r="C36" s="7">
        <v>540974797</v>
      </c>
      <c r="D36" s="15">
        <v>1.18</v>
      </c>
      <c r="E36" s="7">
        <f t="shared" si="4"/>
        <v>638350260.45999992</v>
      </c>
      <c r="F36" s="7">
        <v>121148807</v>
      </c>
      <c r="G36" s="7">
        <v>84244879</v>
      </c>
      <c r="H36" s="7">
        <f t="shared" si="7"/>
        <v>554105381.45999992</v>
      </c>
      <c r="I36" s="17">
        <v>28.38</v>
      </c>
      <c r="J36" s="7">
        <f t="shared" si="5"/>
        <v>19524503</v>
      </c>
      <c r="K36" s="19">
        <f t="shared" si="6"/>
        <v>3.6091335693037838E-2</v>
      </c>
    </row>
    <row r="37" spans="1:11" x14ac:dyDescent="0.2">
      <c r="A37" s="4" t="s">
        <v>51</v>
      </c>
      <c r="B37" s="1" t="s">
        <v>52</v>
      </c>
      <c r="C37" s="7">
        <v>217507781</v>
      </c>
      <c r="D37" s="15">
        <v>1.39</v>
      </c>
      <c r="E37" s="7">
        <f t="shared" si="4"/>
        <v>302335815.58999997</v>
      </c>
      <c r="F37" s="7">
        <v>67076338</v>
      </c>
      <c r="G37" s="7">
        <v>108152652</v>
      </c>
      <c r="H37" s="7">
        <f t="shared" si="7"/>
        <v>194183163.58999997</v>
      </c>
      <c r="I37" s="17">
        <v>38.909999999999997</v>
      </c>
      <c r="J37" s="7">
        <f t="shared" si="5"/>
        <v>4990572</v>
      </c>
      <c r="K37" s="19">
        <f t="shared" si="6"/>
        <v>2.294433779359829E-2</v>
      </c>
    </row>
    <row r="38" spans="1:11" x14ac:dyDescent="0.2">
      <c r="A38" s="4" t="s">
        <v>53</v>
      </c>
      <c r="B38" s="1" t="s">
        <v>54</v>
      </c>
      <c r="C38" s="7">
        <v>31791183</v>
      </c>
      <c r="D38" s="15">
        <v>1.19</v>
      </c>
      <c r="E38" s="7">
        <f t="shared" si="4"/>
        <v>37831507.769999996</v>
      </c>
      <c r="F38" s="7">
        <v>9556092</v>
      </c>
      <c r="G38" s="7">
        <v>4032503</v>
      </c>
      <c r="H38" s="7">
        <f t="shared" si="7"/>
        <v>33799004.769999996</v>
      </c>
      <c r="I38" s="17">
        <v>16.440000000000001</v>
      </c>
      <c r="J38" s="7">
        <f t="shared" si="5"/>
        <v>2055901</v>
      </c>
      <c r="K38" s="19">
        <f t="shared" si="6"/>
        <v>6.4668905211863303E-2</v>
      </c>
    </row>
    <row r="39" spans="1:11" s="40" customFormat="1" x14ac:dyDescent="0.2">
      <c r="A39" s="41">
        <v>370.16</v>
      </c>
      <c r="B39" s="34" t="s">
        <v>88</v>
      </c>
      <c r="C39" s="35">
        <v>147966156</v>
      </c>
      <c r="D39" s="36">
        <v>1</v>
      </c>
      <c r="E39" s="35">
        <f t="shared" si="4"/>
        <v>147966156</v>
      </c>
      <c r="F39" s="35">
        <v>92651521</v>
      </c>
      <c r="G39" s="35">
        <v>115498213</v>
      </c>
      <c r="H39" s="35">
        <f t="shared" si="7"/>
        <v>32467943</v>
      </c>
      <c r="I39" s="37"/>
      <c r="J39" s="38">
        <f>ROUND(C39*K39,0)</f>
        <v>21144364</v>
      </c>
      <c r="K39" s="39">
        <v>0.1429</v>
      </c>
    </row>
    <row r="40" spans="1:11" x14ac:dyDescent="0.2">
      <c r="A40" s="4" t="s">
        <v>55</v>
      </c>
      <c r="B40" s="1" t="s">
        <v>56</v>
      </c>
      <c r="C40" s="7">
        <v>55071768</v>
      </c>
      <c r="D40" s="15">
        <v>1.1399999999999999</v>
      </c>
      <c r="E40" s="7">
        <f t="shared" si="4"/>
        <v>62781815.519999996</v>
      </c>
      <c r="F40" s="7">
        <v>16742632</v>
      </c>
      <c r="G40" s="7">
        <v>28587588</v>
      </c>
      <c r="H40" s="7">
        <f t="shared" si="7"/>
        <v>34194227.519999996</v>
      </c>
      <c r="I40" s="17">
        <v>24.2</v>
      </c>
      <c r="J40" s="7">
        <f t="shared" si="5"/>
        <v>1412985</v>
      </c>
      <c r="K40" s="19">
        <f t="shared" si="6"/>
        <v>2.5657157039156615E-2</v>
      </c>
    </row>
    <row r="41" spans="1:11" x14ac:dyDescent="0.2">
      <c r="A41" s="4" t="s">
        <v>57</v>
      </c>
      <c r="B41" s="1" t="s">
        <v>58</v>
      </c>
      <c r="C41" s="9">
        <v>81090148</v>
      </c>
      <c r="D41" s="15">
        <v>1.27</v>
      </c>
      <c r="E41" s="9">
        <f t="shared" si="4"/>
        <v>102984487.96000001</v>
      </c>
      <c r="F41" s="9">
        <v>18438161</v>
      </c>
      <c r="G41" s="9">
        <v>20468539</v>
      </c>
      <c r="H41" s="9">
        <f t="shared" si="7"/>
        <v>82515948.960000008</v>
      </c>
      <c r="I41" s="17">
        <v>33.22</v>
      </c>
      <c r="J41" s="6">
        <f t="shared" si="5"/>
        <v>2483924</v>
      </c>
      <c r="K41" s="19">
        <f t="shared" si="6"/>
        <v>3.0631637273618E-2</v>
      </c>
    </row>
    <row r="42" spans="1:11" x14ac:dyDescent="0.2">
      <c r="C42" s="10"/>
      <c r="D42" s="17"/>
      <c r="E42" s="10"/>
      <c r="F42" s="10"/>
      <c r="G42" s="10"/>
      <c r="H42" s="10"/>
      <c r="I42" s="18"/>
      <c r="J42" s="10"/>
      <c r="K42" s="20"/>
    </row>
    <row r="43" spans="1:11" ht="15.75" x14ac:dyDescent="0.25">
      <c r="B43" s="3" t="s">
        <v>59</v>
      </c>
      <c r="C43" s="22">
        <f>SUM(C29:C42)</f>
        <v>3013070301</v>
      </c>
      <c r="D43" s="31"/>
      <c r="E43" s="22">
        <f>SUM(E29:E42)</f>
        <v>4321040297.5299997</v>
      </c>
      <c r="F43" s="22">
        <f>SUM(F29:F42)</f>
        <v>834973593</v>
      </c>
      <c r="G43" s="22">
        <f>SUM(G29:G42)</f>
        <v>938713991</v>
      </c>
      <c r="H43" s="22">
        <f>SUM(H29:H42)</f>
        <v>3382326306.5300002</v>
      </c>
      <c r="I43" s="23" t="s">
        <v>0</v>
      </c>
      <c r="J43" s="22">
        <f>SUM(J29:J42)</f>
        <v>104629854</v>
      </c>
      <c r="K43" s="24">
        <f>J43/C43</f>
        <v>3.472532783761291E-2</v>
      </c>
    </row>
    <row r="44" spans="1:11" x14ac:dyDescent="0.2">
      <c r="C44" s="10"/>
      <c r="D44" s="17"/>
      <c r="E44" s="10"/>
      <c r="F44" s="10"/>
      <c r="G44" s="10"/>
      <c r="H44" s="10"/>
      <c r="I44" s="19"/>
      <c r="J44" s="10"/>
      <c r="K44" s="4"/>
    </row>
    <row r="45" spans="1:11" x14ac:dyDescent="0.2">
      <c r="D45" s="17"/>
      <c r="E45" s="7"/>
      <c r="F45" s="8"/>
      <c r="I45" s="16"/>
      <c r="K45" s="16"/>
    </row>
    <row r="46" spans="1:11" x14ac:dyDescent="0.2">
      <c r="D46" s="17"/>
      <c r="E46" s="7"/>
      <c r="F46" s="8" t="s">
        <v>0</v>
      </c>
      <c r="I46" s="16"/>
      <c r="K46" s="16"/>
    </row>
    <row r="47" spans="1:11" ht="15.75" x14ac:dyDescent="0.25">
      <c r="A47" s="32" t="s">
        <v>93</v>
      </c>
      <c r="D47" s="17"/>
      <c r="E47" s="7"/>
      <c r="F47" s="8"/>
      <c r="I47" s="16"/>
      <c r="K47" s="16"/>
    </row>
    <row r="48" spans="1:11" x14ac:dyDescent="0.2">
      <c r="D48" s="17"/>
      <c r="E48" s="7"/>
      <c r="F48" s="8"/>
      <c r="I48" s="16"/>
      <c r="K48" s="16"/>
    </row>
    <row r="49" spans="1:11" x14ac:dyDescent="0.2">
      <c r="A49" s="4" t="s">
        <v>60</v>
      </c>
      <c r="B49" s="1" t="s">
        <v>28</v>
      </c>
      <c r="C49" s="7">
        <v>281634140</v>
      </c>
      <c r="D49" s="15">
        <v>0.81</v>
      </c>
      <c r="E49" s="7">
        <f>C49*D49</f>
        <v>228123653.40000001</v>
      </c>
      <c r="F49" s="7">
        <v>19340532</v>
      </c>
      <c r="G49" s="7">
        <v>31158800</v>
      </c>
      <c r="H49" s="7">
        <f>E49-G49</f>
        <v>196964853.40000001</v>
      </c>
      <c r="I49" s="17">
        <v>45.76</v>
      </c>
      <c r="J49" s="7">
        <f>ROUND(H49/I49,0)</f>
        <v>4304302</v>
      </c>
      <c r="K49" s="19">
        <f>J49/C49</f>
        <v>1.5283310467970964E-2</v>
      </c>
    </row>
    <row r="50" spans="1:11" x14ac:dyDescent="0.2">
      <c r="A50" s="4" t="s">
        <v>61</v>
      </c>
      <c r="B50" s="1" t="s">
        <v>62</v>
      </c>
      <c r="C50" s="7">
        <v>4077464</v>
      </c>
      <c r="D50" s="15">
        <v>1</v>
      </c>
      <c r="E50" s="7">
        <f t="shared" ref="E50:E58" si="8">C50*D50</f>
        <v>4077464</v>
      </c>
      <c r="F50" s="7">
        <v>1352876</v>
      </c>
      <c r="G50" s="7">
        <v>425178</v>
      </c>
      <c r="H50" s="7">
        <f t="shared" ref="H50:H58" si="9">E50-G50</f>
        <v>3652286</v>
      </c>
      <c r="I50" s="17">
        <v>10.02</v>
      </c>
      <c r="J50" s="7">
        <f t="shared" ref="J50:J58" si="10">ROUND(H50/I50,0)</f>
        <v>364500</v>
      </c>
      <c r="K50" s="19">
        <f t="shared" ref="K50:K58" si="11">J50/C50</f>
        <v>8.9393799675484567E-2</v>
      </c>
    </row>
    <row r="51" spans="1:11" x14ac:dyDescent="0.2">
      <c r="A51" s="14" t="s">
        <v>63</v>
      </c>
      <c r="B51" s="1" t="s">
        <v>64</v>
      </c>
      <c r="C51" s="7">
        <v>185606</v>
      </c>
      <c r="D51" s="15">
        <v>1</v>
      </c>
      <c r="E51" s="7">
        <f t="shared" si="8"/>
        <v>185606</v>
      </c>
      <c r="F51" s="7">
        <v>129924</v>
      </c>
      <c r="G51" s="7">
        <v>106227</v>
      </c>
      <c r="H51" s="7">
        <f t="shared" si="9"/>
        <v>79379</v>
      </c>
      <c r="I51" s="17">
        <v>4.5</v>
      </c>
      <c r="J51" s="7">
        <f t="shared" si="10"/>
        <v>17640</v>
      </c>
      <c r="K51" s="19">
        <f t="shared" si="11"/>
        <v>9.5040031033479522E-2</v>
      </c>
    </row>
    <row r="52" spans="1:11" x14ac:dyDescent="0.2">
      <c r="A52" s="4" t="s">
        <v>65</v>
      </c>
      <c r="B52" s="1" t="s">
        <v>66</v>
      </c>
      <c r="C52" s="7">
        <v>1140695</v>
      </c>
      <c r="D52" s="15">
        <v>1</v>
      </c>
      <c r="E52" s="7">
        <f t="shared" si="8"/>
        <v>1140695</v>
      </c>
      <c r="F52" s="7">
        <v>422143</v>
      </c>
      <c r="G52" s="7">
        <v>477282</v>
      </c>
      <c r="H52" s="7">
        <f t="shared" si="9"/>
        <v>663413</v>
      </c>
      <c r="I52" s="17">
        <v>13.86</v>
      </c>
      <c r="J52" s="7">
        <f t="shared" si="10"/>
        <v>47865</v>
      </c>
      <c r="K52" s="19">
        <f t="shared" si="11"/>
        <v>4.1961260459632069E-2</v>
      </c>
    </row>
    <row r="53" spans="1:11" x14ac:dyDescent="0.2">
      <c r="A53" s="4" t="s">
        <v>67</v>
      </c>
      <c r="B53" s="1" t="s">
        <v>68</v>
      </c>
      <c r="C53" s="7">
        <v>32277620</v>
      </c>
      <c r="D53" s="15">
        <v>1</v>
      </c>
      <c r="E53" s="7">
        <f t="shared" si="8"/>
        <v>32277620</v>
      </c>
      <c r="F53" s="7">
        <v>9701385</v>
      </c>
      <c r="G53" s="7">
        <v>9034770</v>
      </c>
      <c r="H53" s="7">
        <f t="shared" si="9"/>
        <v>23242850</v>
      </c>
      <c r="I53" s="17">
        <v>24.48</v>
      </c>
      <c r="J53" s="7">
        <f t="shared" si="10"/>
        <v>949463</v>
      </c>
      <c r="K53" s="19">
        <f t="shared" si="11"/>
        <v>2.9415520723027288E-2</v>
      </c>
    </row>
    <row r="54" spans="1:11" x14ac:dyDescent="0.2">
      <c r="A54" s="4" t="s">
        <v>69</v>
      </c>
      <c r="B54" s="1" t="s">
        <v>70</v>
      </c>
      <c r="C54" s="7">
        <v>440894</v>
      </c>
      <c r="D54" s="15">
        <v>1</v>
      </c>
      <c r="E54" s="7">
        <f t="shared" si="8"/>
        <v>440894</v>
      </c>
      <c r="F54" s="7">
        <v>82742</v>
      </c>
      <c r="G54" s="7">
        <v>15022</v>
      </c>
      <c r="H54" s="7">
        <f t="shared" si="9"/>
        <v>425872</v>
      </c>
      <c r="I54" s="17">
        <v>26.81</v>
      </c>
      <c r="J54" s="7">
        <f t="shared" si="10"/>
        <v>15885</v>
      </c>
      <c r="K54" s="19">
        <f t="shared" si="11"/>
        <v>3.602906821140682E-2</v>
      </c>
    </row>
    <row r="55" spans="1:11" s="40" customFormat="1" x14ac:dyDescent="0.2">
      <c r="A55" s="33" t="s">
        <v>71</v>
      </c>
      <c r="B55" s="34" t="s">
        <v>95</v>
      </c>
      <c r="C55" s="35">
        <v>192198</v>
      </c>
      <c r="D55" s="36">
        <v>0.97</v>
      </c>
      <c r="E55" s="35">
        <f t="shared" si="8"/>
        <v>186432.06</v>
      </c>
      <c r="F55" s="35">
        <v>173168</v>
      </c>
      <c r="G55" s="35">
        <v>-124</v>
      </c>
      <c r="H55" s="35">
        <f t="shared" si="9"/>
        <v>186556.06</v>
      </c>
      <c r="I55" s="37"/>
      <c r="J55" s="38">
        <f>ROUND(C55*K55,0)</f>
        <v>1807</v>
      </c>
      <c r="K55" s="39">
        <v>9.4000000000000004E-3</v>
      </c>
    </row>
    <row r="56" spans="1:11" x14ac:dyDescent="0.2">
      <c r="A56" s="4" t="s">
        <v>72</v>
      </c>
      <c r="B56" s="1" t="s">
        <v>73</v>
      </c>
      <c r="C56" s="7">
        <v>65292628</v>
      </c>
      <c r="D56" s="15">
        <v>0.99</v>
      </c>
      <c r="E56" s="7">
        <f t="shared" si="8"/>
        <v>64639701.719999999</v>
      </c>
      <c r="F56" s="7">
        <v>28459717</v>
      </c>
      <c r="G56" s="7">
        <v>28398636</v>
      </c>
      <c r="H56" s="7">
        <f t="shared" si="9"/>
        <v>36241065.719999999</v>
      </c>
      <c r="I56" s="17">
        <v>11.28</v>
      </c>
      <c r="J56" s="7">
        <f t="shared" si="10"/>
        <v>3212860</v>
      </c>
      <c r="K56" s="19">
        <f t="shared" si="11"/>
        <v>4.9207086594829662E-2</v>
      </c>
    </row>
    <row r="57" spans="1:11" s="40" customFormat="1" x14ac:dyDescent="0.2">
      <c r="A57" s="41">
        <v>397.16</v>
      </c>
      <c r="B57" s="34" t="s">
        <v>89</v>
      </c>
      <c r="C57" s="35">
        <v>21769785</v>
      </c>
      <c r="D57" s="36">
        <v>1</v>
      </c>
      <c r="E57" s="35">
        <f t="shared" si="8"/>
        <v>21769785</v>
      </c>
      <c r="F57" s="35">
        <v>15735229</v>
      </c>
      <c r="G57" s="35">
        <v>14635179</v>
      </c>
      <c r="H57" s="35">
        <f t="shared" si="9"/>
        <v>7134606</v>
      </c>
      <c r="I57" s="37"/>
      <c r="J57" s="38">
        <f>ROUND(C57*K57,0)</f>
        <v>3110902</v>
      </c>
      <c r="K57" s="39">
        <v>0.1429</v>
      </c>
    </row>
    <row r="58" spans="1:11" x14ac:dyDescent="0.2">
      <c r="A58" s="4" t="s">
        <v>74</v>
      </c>
      <c r="B58" s="1" t="s">
        <v>75</v>
      </c>
      <c r="C58" s="9">
        <v>3112238</v>
      </c>
      <c r="D58" s="15">
        <v>1.06</v>
      </c>
      <c r="E58" s="9">
        <f t="shared" si="8"/>
        <v>3298972.2800000003</v>
      </c>
      <c r="F58" s="9">
        <v>1585398</v>
      </c>
      <c r="G58" s="9">
        <v>2110650</v>
      </c>
      <c r="H58" s="9">
        <f t="shared" si="9"/>
        <v>1188322.2800000003</v>
      </c>
      <c r="I58" s="17">
        <v>10.39</v>
      </c>
      <c r="J58" s="6">
        <f t="shared" si="10"/>
        <v>114372</v>
      </c>
      <c r="K58" s="19">
        <f t="shared" si="11"/>
        <v>3.6749117516076853E-2</v>
      </c>
    </row>
    <row r="59" spans="1:11" x14ac:dyDescent="0.2">
      <c r="C59" s="10"/>
      <c r="E59" s="10"/>
      <c r="F59" s="10"/>
      <c r="G59" s="10"/>
      <c r="H59" s="10"/>
      <c r="I59" s="18"/>
      <c r="J59" s="10"/>
      <c r="K59" s="4"/>
    </row>
    <row r="60" spans="1:11" ht="15.75" x14ac:dyDescent="0.25">
      <c r="B60" s="3" t="s">
        <v>76</v>
      </c>
      <c r="C60" s="22">
        <f>SUM(C49:C59)</f>
        <v>410123268</v>
      </c>
      <c r="D60" s="3"/>
      <c r="E60" s="22">
        <f>SUM(E49:E59)</f>
        <v>356140823.45999998</v>
      </c>
      <c r="F60" s="22">
        <f>SUM(F49:F59)</f>
        <v>76983114</v>
      </c>
      <c r="G60" s="22">
        <f>SUM(G49:G59)</f>
        <v>86361620</v>
      </c>
      <c r="H60" s="22">
        <f>SUM(H46:H58)</f>
        <v>269779203.45999998</v>
      </c>
      <c r="I60" s="25" t="s">
        <v>0</v>
      </c>
      <c r="J60" s="22">
        <f>SUM(J49:J59)</f>
        <v>12139596</v>
      </c>
      <c r="K60" s="24">
        <f>J60/C60</f>
        <v>2.9599871422072058E-2</v>
      </c>
    </row>
    <row r="61" spans="1:11" ht="15.75" x14ac:dyDescent="0.25">
      <c r="B61" s="1"/>
      <c r="C61" s="22"/>
      <c r="D61" s="3"/>
      <c r="E61" s="22"/>
      <c r="F61" s="22"/>
      <c r="G61" s="22"/>
      <c r="H61" s="22"/>
      <c r="I61" s="25"/>
      <c r="J61" s="22"/>
      <c r="K61" s="24"/>
    </row>
    <row r="62" spans="1:11" ht="15.75" x14ac:dyDescent="0.25">
      <c r="C62" s="26"/>
      <c r="D62" s="3"/>
      <c r="E62" s="28"/>
      <c r="F62" s="26"/>
      <c r="G62" s="26"/>
      <c r="H62" s="26"/>
      <c r="I62" s="27"/>
      <c r="J62" s="26"/>
      <c r="K62" s="21"/>
    </row>
    <row r="63" spans="1:11" ht="15.75" x14ac:dyDescent="0.25">
      <c r="B63" s="3" t="s">
        <v>77</v>
      </c>
      <c r="C63" s="29">
        <f>C24+C43+C60</f>
        <v>5904753364</v>
      </c>
      <c r="D63" s="3"/>
      <c r="E63" s="29">
        <f>E24+E43+E60</f>
        <v>7572958727.8399992</v>
      </c>
      <c r="F63" s="29">
        <f>F24+F43+F60</f>
        <v>1282757214</v>
      </c>
      <c r="G63" s="29">
        <f>G24+G43+G60</f>
        <v>1356604361</v>
      </c>
      <c r="H63" s="29">
        <f>H24+H43+H60</f>
        <v>6216354366.8400002</v>
      </c>
      <c r="I63" s="25"/>
      <c r="J63" s="29">
        <f>J24+J43+J60</f>
        <v>168461891</v>
      </c>
      <c r="K63" s="30">
        <f>J63/C63</f>
        <v>2.8529877645199476E-2</v>
      </c>
    </row>
    <row r="65" spans="1:11" ht="15.75" x14ac:dyDescent="0.25">
      <c r="A65" s="3" t="s">
        <v>90</v>
      </c>
    </row>
    <row r="66" spans="1:11" ht="18" customHeight="1" x14ac:dyDescent="0.2">
      <c r="B66" s="43" t="s">
        <v>97</v>
      </c>
      <c r="C66" s="43"/>
      <c r="D66" s="43"/>
      <c r="E66" s="43"/>
      <c r="F66" s="43"/>
      <c r="G66" s="43"/>
      <c r="H66" s="43"/>
      <c r="I66" s="43"/>
      <c r="J66" s="43"/>
      <c r="K66" s="43"/>
    </row>
    <row r="67" spans="1:11" ht="18" customHeight="1" x14ac:dyDescent="0.2">
      <c r="B67" s="43"/>
      <c r="C67" s="43"/>
      <c r="D67" s="43"/>
      <c r="E67" s="43"/>
      <c r="F67" s="43"/>
      <c r="G67" s="43"/>
      <c r="H67" s="43"/>
      <c r="I67" s="43"/>
      <c r="J67" s="43"/>
      <c r="K67" s="43"/>
    </row>
    <row r="68" spans="1:11" x14ac:dyDescent="0.2">
      <c r="B68" s="42" t="s">
        <v>98</v>
      </c>
      <c r="C68" s="42"/>
      <c r="D68" s="42"/>
      <c r="E68" s="42"/>
      <c r="F68" s="42"/>
      <c r="G68" s="42"/>
      <c r="H68" s="42"/>
      <c r="I68" s="42"/>
      <c r="J68" s="42"/>
      <c r="K68" s="42"/>
    </row>
    <row r="69" spans="1:11" x14ac:dyDescent="0.2">
      <c r="B69" s="42"/>
      <c r="C69" s="42"/>
      <c r="D69" s="42"/>
      <c r="E69" s="42"/>
      <c r="F69" s="42"/>
      <c r="G69" s="42"/>
      <c r="H69" s="42"/>
      <c r="I69" s="42"/>
      <c r="J69" s="42"/>
      <c r="K69" s="42"/>
    </row>
    <row r="70" spans="1:11" ht="15" customHeight="1" x14ac:dyDescent="0.2">
      <c r="B70" s="42" t="s">
        <v>99</v>
      </c>
      <c r="C70" s="42"/>
      <c r="D70" s="42"/>
      <c r="E70" s="42"/>
      <c r="F70" s="42"/>
      <c r="G70" s="42"/>
      <c r="H70" s="42"/>
      <c r="I70" s="42"/>
      <c r="J70" s="42"/>
      <c r="K70" s="42"/>
    </row>
    <row r="71" spans="1:11" x14ac:dyDescent="0.2">
      <c r="B71" s="42"/>
      <c r="C71" s="42"/>
      <c r="D71" s="42"/>
      <c r="E71" s="42"/>
      <c r="F71" s="42"/>
      <c r="G71" s="42"/>
      <c r="H71" s="42"/>
      <c r="I71" s="42"/>
      <c r="J71" s="42"/>
      <c r="K71" s="42"/>
    </row>
  </sheetData>
  <mergeCells count="7">
    <mergeCell ref="B70:K71"/>
    <mergeCell ref="B68:K69"/>
    <mergeCell ref="B66:K67"/>
    <mergeCell ref="A1:K1"/>
    <mergeCell ref="A2:K2"/>
    <mergeCell ref="A3:K3"/>
    <mergeCell ref="A4:K4"/>
  </mergeCells>
  <phoneticPr fontId="0" type="noConversion"/>
  <printOptions horizontalCentered="1"/>
  <pageMargins left="0.5" right="0.5" top="1" bottom="0.75" header="0.5" footer="0.5"/>
  <pageSetup scale="53" firstPageNumber="14" orientation="portrait" useFirstPageNumber="1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sisl xmlns:xsi="http://www.w3.org/2001/XMLSchema-instance" xmlns:xsd="http://www.w3.org/2001/XMLSchema" xmlns="http://www.boldonjames.com/2008/01/sie/internal/label" sislVersion="0" policy="e9c0b8d7-bdb4-4fd3-b62a-f50327aaefce" origin="userSelected">
  <element uid="1f6a98d5-4e6a-406f-8258-3f07b61a1b98" value=""/>
  <element uid="1da2db30-0ebc-414f-bbd3-62b9b1461ab3" value=""/>
</sisl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8D7645638A6BA4A903C04B5C9F7EDEE" ma:contentTypeVersion="0" ma:contentTypeDescription="Create a new document." ma:contentTypeScope="" ma:versionID="3a0828b1569d7c9c8f13eba4d0d5b75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1b05d82d297216baf5b26c55225140df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61C4BED-BAC6-4B61-A7F9-CAB33F1DD210}">
  <ds:schemaRefs>
    <ds:schemaRef ds:uri="http://www.w3.org/2001/XMLSchema"/>
    <ds:schemaRef ds:uri="http://www.boldonjames.com/2008/01/sie/internal/label"/>
  </ds:schemaRefs>
</ds:datastoreItem>
</file>

<file path=customXml/itemProps2.xml><?xml version="1.0" encoding="utf-8"?>
<ds:datastoreItem xmlns:ds="http://schemas.openxmlformats.org/officeDocument/2006/customXml" ds:itemID="{81145E24-A54B-448B-A85E-63FF0BDB3262}"/>
</file>

<file path=customXml/itemProps3.xml><?xml version="1.0" encoding="utf-8"?>
<ds:datastoreItem xmlns:ds="http://schemas.openxmlformats.org/officeDocument/2006/customXml" ds:itemID="{9C66F882-683B-46C2-9155-7947B1436432}"/>
</file>

<file path=customXml/itemProps4.xml><?xml version="1.0" encoding="utf-8"?>
<ds:datastoreItem xmlns:ds="http://schemas.openxmlformats.org/officeDocument/2006/customXml" ds:itemID="{3B3AA326-AC0C-469E-8C04-B12C887908C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Schedule II Rates</vt:lpstr>
      <vt:lpstr>'Schedule II Rates'!Print_Area</vt:lpstr>
      <vt:lpstr>'Schedule II Rates'!Print_Titles</vt:lpstr>
    </vt:vector>
  </TitlesOfParts>
  <Company>AEP-Word-Excel-PowerPoint-Access-6-2-00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s390872</dc:creator>
  <cp:keywords>AEP Confidential (NVM)</cp:keywords>
  <cp:lastModifiedBy>s998130</cp:lastModifiedBy>
  <cp:lastPrinted>2019-04-05T13:37:11Z</cp:lastPrinted>
  <dcterms:created xsi:type="dcterms:W3CDTF">2005-02-28T14:53:58Z</dcterms:created>
  <dcterms:modified xsi:type="dcterms:W3CDTF">2019-04-05T13:39:08Z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7099e3d0-7bad-4c42-85d1-f52ed6a3f345</vt:lpwstr>
  </property>
  <property fmtid="{D5CDD505-2E9C-101B-9397-08002B2CF9AE}" pid="3" name="bjSaver">
    <vt:lpwstr>MSLcv1Deu+j/oxKLp9zJIfjP3BgDQ2g+</vt:lpwstr>
  </property>
  <property fmtid="{D5CDD505-2E9C-101B-9397-08002B2CF9AE}" pid="4" name="bjDocumentSecurityLabel">
    <vt:lpwstr>AEP Confidential</vt:lpwstr>
  </property>
  <property fmtid="{D5CDD505-2E9C-101B-9397-08002B2CF9AE}" pid="5" name="bjCentreFooterLabel-even">
    <vt:lpwstr>&amp;"Calibri,Regular"&amp;11&amp;B&amp;K000000AEP CONFIDENTIAL</vt:lpwstr>
  </property>
  <property fmtid="{D5CDD505-2E9C-101B-9397-08002B2CF9AE}" pid="6" name="bjDocumentLabelXML">
    <vt:lpwstr>&lt;?xml version="1.0" encoding="us-ascii"?&gt;&lt;sisl xmlns:xsi="http://www.w3.org/2001/XMLSchema-instance" xmlns:xsd="http://www.w3.org/2001/XMLSchema" sislVersion="0" policy="e9c0b8d7-bdb4-4fd3-b62a-f50327aaefce" origin="userSelected" xmlns="http://www.boldonj</vt:lpwstr>
  </property>
  <property fmtid="{D5CDD505-2E9C-101B-9397-08002B2CF9AE}" pid="7" name="bjDocumentLabelXML-0">
    <vt:lpwstr>ames.com/2008/01/sie/internal/label"&gt;&lt;element uid="1f6a98d5-4e6a-406f-8258-3f07b61a1b98" value="" /&gt;&lt;element uid="1da2db30-0ebc-414f-bbd3-62b9b1461ab3" value="" /&gt;&lt;/sisl&gt;</vt:lpwstr>
  </property>
  <property fmtid="{D5CDD505-2E9C-101B-9397-08002B2CF9AE}" pid="8" name="Visual Markings Removed">
    <vt:lpwstr>Yes</vt:lpwstr>
  </property>
  <property fmtid="{D5CDD505-2E9C-101B-9397-08002B2CF9AE}" pid="9" name="ContentTypeId">
    <vt:lpwstr>0x01010068D7645638A6BA4A903C04B5C9F7EDEE</vt:lpwstr>
  </property>
</Properties>
</file>