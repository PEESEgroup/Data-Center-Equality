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AEP Texas\Rate Cases\AEP Texas 2019\Combined\Schedules\"/>
    </mc:Choice>
  </mc:AlternateContent>
  <bookViews>
    <workbookView xWindow="0" yWindow="0" windowWidth="28800" windowHeight="12000"/>
  </bookViews>
  <sheets>
    <sheet name="(a-c) AEP TX Mtrd kW Adj" sheetId="5" r:id="rId1"/>
    <sheet name="(d-f)" sheetId="6" r:id="rId2"/>
    <sheet name="(g-i)" sheetId="7" r:id="rId3"/>
    <sheet name="Central WP" sheetId="1" r:id="rId4"/>
    <sheet name="North WP" sheetId="2" r:id="rId5"/>
    <sheet name="Central Adj WP" sheetId="4" r:id="rId6"/>
    <sheet name="North Adj WP" sheetId="3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5" l="1"/>
  <c r="E13" i="5"/>
  <c r="F13" i="5"/>
  <c r="F15" i="5" s="1"/>
  <c r="G13" i="5"/>
  <c r="H13" i="5"/>
  <c r="I13" i="5"/>
  <c r="J13" i="5"/>
  <c r="J15" i="5" s="1"/>
  <c r="K13" i="5"/>
  <c r="L13" i="5"/>
  <c r="M13" i="5"/>
  <c r="N13" i="5"/>
  <c r="N15" i="5" s="1"/>
  <c r="D14" i="5"/>
  <c r="E14" i="5"/>
  <c r="F14" i="5"/>
  <c r="G14" i="5"/>
  <c r="H14" i="5"/>
  <c r="I14" i="5"/>
  <c r="J14" i="5"/>
  <c r="K14" i="5"/>
  <c r="L14" i="5"/>
  <c r="M14" i="5"/>
  <c r="N14" i="5"/>
  <c r="G15" i="5" l="1"/>
  <c r="K15" i="5"/>
  <c r="L15" i="5"/>
  <c r="H15" i="5"/>
  <c r="D15" i="5"/>
  <c r="M15" i="5"/>
  <c r="I15" i="5"/>
  <c r="E15" i="5"/>
  <c r="C14" i="5"/>
  <c r="O14" i="5" s="1"/>
  <c r="C13" i="5"/>
  <c r="O13" i="5" s="1"/>
  <c r="O15" i="5" l="1"/>
  <c r="C15" i="5"/>
  <c r="C50" i="1"/>
  <c r="C56" i="1" s="1"/>
  <c r="D50" i="1"/>
  <c r="D56" i="1" s="1"/>
  <c r="E50" i="1"/>
  <c r="E56" i="1" s="1"/>
  <c r="F50" i="1"/>
  <c r="G50" i="1"/>
  <c r="G56" i="1" s="1"/>
  <c r="H50" i="1"/>
  <c r="H56" i="1" s="1"/>
  <c r="I50" i="1"/>
  <c r="J50" i="1"/>
  <c r="J56" i="1" s="1"/>
  <c r="K50" i="1"/>
  <c r="K56" i="1" s="1"/>
  <c r="L50" i="1"/>
  <c r="L56" i="1" s="1"/>
  <c r="M50" i="1"/>
  <c r="M56" i="1" s="1"/>
  <c r="B50" i="1"/>
  <c r="C49" i="1"/>
  <c r="C55" i="1" s="1"/>
  <c r="D49" i="1"/>
  <c r="D55" i="1" s="1"/>
  <c r="E49" i="1"/>
  <c r="F49" i="1"/>
  <c r="G49" i="1"/>
  <c r="G55" i="1" s="1"/>
  <c r="H49" i="1"/>
  <c r="H55" i="1" s="1"/>
  <c r="I49" i="1"/>
  <c r="J49" i="1"/>
  <c r="K49" i="1"/>
  <c r="K55" i="1" s="1"/>
  <c r="L49" i="1"/>
  <c r="M49" i="1"/>
  <c r="B49" i="1"/>
  <c r="J62" i="1" l="1"/>
  <c r="B55" i="1"/>
  <c r="B61" i="1" s="1"/>
  <c r="F56" i="1"/>
  <c r="F62" i="1" s="1"/>
  <c r="J55" i="1"/>
  <c r="J61" i="1" s="1"/>
  <c r="J63" i="1" s="1"/>
  <c r="F55" i="1"/>
  <c r="F61" i="1" s="1"/>
  <c r="M62" i="1"/>
  <c r="E62" i="1"/>
  <c r="D61" i="1"/>
  <c r="M55" i="1"/>
  <c r="M61" i="1" s="1"/>
  <c r="I55" i="1"/>
  <c r="I61" i="1" s="1"/>
  <c r="E55" i="1"/>
  <c r="E61" i="1" s="1"/>
  <c r="E63" i="1" s="1"/>
  <c r="B56" i="1"/>
  <c r="I56" i="1"/>
  <c r="I62" i="1" s="1"/>
  <c r="L62" i="1"/>
  <c r="H62" i="1"/>
  <c r="D62" i="1"/>
  <c r="K61" i="1"/>
  <c r="G61" i="1"/>
  <c r="C61" i="1"/>
  <c r="H61" i="1"/>
  <c r="N49" i="1"/>
  <c r="L55" i="1"/>
  <c r="L61" i="1" s="1"/>
  <c r="L63" i="1" s="1"/>
  <c r="K62" i="1"/>
  <c r="G62" i="1"/>
  <c r="C62" i="1"/>
  <c r="N50" i="1"/>
  <c r="O30" i="4"/>
  <c r="N30" i="4"/>
  <c r="M30" i="4"/>
  <c r="L30" i="4"/>
  <c r="K30" i="4"/>
  <c r="J30" i="4"/>
  <c r="I30" i="4"/>
  <c r="H30" i="4"/>
  <c r="G30" i="4"/>
  <c r="F30" i="4"/>
  <c r="E30" i="4"/>
  <c r="D30" i="4"/>
  <c r="O29" i="4"/>
  <c r="N29" i="4"/>
  <c r="M29" i="4"/>
  <c r="L29" i="4"/>
  <c r="K29" i="4"/>
  <c r="J29" i="4"/>
  <c r="I29" i="4"/>
  <c r="H29" i="4"/>
  <c r="G29" i="4"/>
  <c r="F29" i="4"/>
  <c r="E29" i="4"/>
  <c r="D29" i="4"/>
  <c r="P25" i="4"/>
  <c r="P24" i="4"/>
  <c r="O21" i="4"/>
  <c r="N21" i="4"/>
  <c r="M21" i="4"/>
  <c r="L21" i="4"/>
  <c r="K21" i="4"/>
  <c r="J21" i="4"/>
  <c r="I21" i="4"/>
  <c r="H21" i="4"/>
  <c r="G21" i="4"/>
  <c r="F21" i="4"/>
  <c r="E21" i="4"/>
  <c r="D21" i="4"/>
  <c r="O20" i="4"/>
  <c r="N20" i="4"/>
  <c r="M20" i="4"/>
  <c r="L20" i="4"/>
  <c r="K20" i="4"/>
  <c r="J20" i="4"/>
  <c r="I20" i="4"/>
  <c r="H20" i="4"/>
  <c r="G20" i="4"/>
  <c r="F20" i="4"/>
  <c r="E20" i="4"/>
  <c r="D20" i="4"/>
  <c r="O17" i="4"/>
  <c r="N17" i="4"/>
  <c r="M17" i="4"/>
  <c r="L17" i="4"/>
  <c r="K17" i="4"/>
  <c r="J17" i="4"/>
  <c r="I17" i="4"/>
  <c r="H17" i="4"/>
  <c r="G17" i="4"/>
  <c r="F17" i="4"/>
  <c r="E17" i="4"/>
  <c r="D17" i="4"/>
  <c r="P16" i="4"/>
  <c r="P15" i="4"/>
  <c r="F63" i="1" l="1"/>
  <c r="M63" i="1"/>
  <c r="H63" i="1"/>
  <c r="N56" i="1"/>
  <c r="D63" i="1"/>
  <c r="B62" i="1"/>
  <c r="C63" i="1"/>
  <c r="N61" i="1"/>
  <c r="I63" i="1"/>
  <c r="G63" i="1"/>
  <c r="K63" i="1"/>
  <c r="N55" i="1"/>
  <c r="M42" i="2"/>
  <c r="M41" i="2"/>
  <c r="L42" i="2"/>
  <c r="L41" i="2"/>
  <c r="K42" i="2"/>
  <c r="K41" i="2"/>
  <c r="J42" i="2"/>
  <c r="J41" i="2"/>
  <c r="I42" i="2"/>
  <c r="I41" i="2"/>
  <c r="H42" i="2"/>
  <c r="H41" i="2"/>
  <c r="G42" i="2"/>
  <c r="G41" i="2"/>
  <c r="F42" i="2"/>
  <c r="F41" i="2"/>
  <c r="E42" i="2"/>
  <c r="E41" i="2"/>
  <c r="D42" i="2"/>
  <c r="D41" i="2"/>
  <c r="C42" i="2"/>
  <c r="C41" i="2"/>
  <c r="B42" i="2"/>
  <c r="B41" i="2"/>
  <c r="E29" i="3"/>
  <c r="F29" i="3"/>
  <c r="G29" i="3"/>
  <c r="H29" i="3"/>
  <c r="I29" i="3"/>
  <c r="J29" i="3"/>
  <c r="K29" i="3"/>
  <c r="L29" i="3"/>
  <c r="M29" i="3"/>
  <c r="N29" i="3"/>
  <c r="O29" i="3"/>
  <c r="E30" i="3"/>
  <c r="F30" i="3"/>
  <c r="G30" i="3"/>
  <c r="H30" i="3"/>
  <c r="I30" i="3"/>
  <c r="J30" i="3"/>
  <c r="K30" i="3"/>
  <c r="L30" i="3"/>
  <c r="M30" i="3"/>
  <c r="N30" i="3"/>
  <c r="O30" i="3"/>
  <c r="D30" i="3"/>
  <c r="D29" i="3"/>
  <c r="P25" i="3"/>
  <c r="P24" i="3"/>
  <c r="E20" i="3"/>
  <c r="F20" i="3"/>
  <c r="G20" i="3"/>
  <c r="H20" i="3"/>
  <c r="I20" i="3"/>
  <c r="J20" i="3"/>
  <c r="K20" i="3"/>
  <c r="L20" i="3"/>
  <c r="M20" i="3"/>
  <c r="N20" i="3"/>
  <c r="O20" i="3"/>
  <c r="E21" i="3"/>
  <c r="F21" i="3"/>
  <c r="G21" i="3"/>
  <c r="H21" i="3"/>
  <c r="I21" i="3"/>
  <c r="J21" i="3"/>
  <c r="K21" i="3"/>
  <c r="L21" i="3"/>
  <c r="M21" i="3"/>
  <c r="N21" i="3"/>
  <c r="O21" i="3"/>
  <c r="D21" i="3"/>
  <c r="D20" i="3"/>
  <c r="E17" i="3"/>
  <c r="F17" i="3"/>
  <c r="G17" i="3"/>
  <c r="H17" i="3"/>
  <c r="I17" i="3"/>
  <c r="J17" i="3"/>
  <c r="K17" i="3"/>
  <c r="L17" i="3"/>
  <c r="M17" i="3"/>
  <c r="N17" i="3"/>
  <c r="O17" i="3"/>
  <c r="D17" i="3"/>
  <c r="P16" i="3"/>
  <c r="P15" i="3"/>
  <c r="P12" i="3"/>
  <c r="P11" i="3"/>
  <c r="N62" i="1" l="1"/>
  <c r="N63" i="1" s="1"/>
  <c r="B63" i="1"/>
  <c r="F19" i="5"/>
  <c r="E47" i="2"/>
  <c r="F25" i="5" s="1"/>
  <c r="L19" i="5"/>
  <c r="K47" i="2"/>
  <c r="L25" i="5" s="1"/>
  <c r="D20" i="5"/>
  <c r="C48" i="2"/>
  <c r="D26" i="5" s="1"/>
  <c r="F20" i="5"/>
  <c r="E48" i="2"/>
  <c r="F26" i="5" s="1"/>
  <c r="H20" i="5"/>
  <c r="G48" i="2"/>
  <c r="H26" i="5" s="1"/>
  <c r="J20" i="5"/>
  <c r="I48" i="2"/>
  <c r="J26" i="5" s="1"/>
  <c r="L20" i="5"/>
  <c r="K48" i="2"/>
  <c r="L26" i="5" s="1"/>
  <c r="N20" i="5"/>
  <c r="M48" i="2"/>
  <c r="N26" i="5" s="1"/>
  <c r="H19" i="5"/>
  <c r="G47" i="2"/>
  <c r="H25" i="5" s="1"/>
  <c r="H27" i="5" s="1"/>
  <c r="N19" i="5"/>
  <c r="M47" i="2"/>
  <c r="N25" i="5" s="1"/>
  <c r="M53" i="2"/>
  <c r="C19" i="5"/>
  <c r="B47" i="2"/>
  <c r="E19" i="5"/>
  <c r="D47" i="2"/>
  <c r="E25" i="5" s="1"/>
  <c r="G19" i="5"/>
  <c r="F47" i="2"/>
  <c r="G25" i="5" s="1"/>
  <c r="I19" i="5"/>
  <c r="H47" i="2"/>
  <c r="I25" i="5" s="1"/>
  <c r="K19" i="5"/>
  <c r="J47" i="2"/>
  <c r="K25" i="5" s="1"/>
  <c r="M19" i="5"/>
  <c r="L47" i="2"/>
  <c r="M25" i="5" s="1"/>
  <c r="N41" i="2"/>
  <c r="D19" i="5"/>
  <c r="C47" i="2"/>
  <c r="D25" i="5" s="1"/>
  <c r="C53" i="2"/>
  <c r="J19" i="5"/>
  <c r="I47" i="2"/>
  <c r="J25" i="5" s="1"/>
  <c r="C20" i="5"/>
  <c r="B48" i="2"/>
  <c r="B54" i="2" s="1"/>
  <c r="E20" i="5"/>
  <c r="D48" i="2"/>
  <c r="E26" i="5" s="1"/>
  <c r="G20" i="5"/>
  <c r="F48" i="2"/>
  <c r="G26" i="5" s="1"/>
  <c r="I20" i="5"/>
  <c r="H48" i="2"/>
  <c r="I26" i="5" s="1"/>
  <c r="K20" i="5"/>
  <c r="J48" i="2"/>
  <c r="K26" i="5" s="1"/>
  <c r="M20" i="5"/>
  <c r="L54" i="2"/>
  <c r="M32" i="5" s="1"/>
  <c r="L48" i="2"/>
  <c r="M26" i="5" s="1"/>
  <c r="N42" i="2"/>
  <c r="C36" i="2"/>
  <c r="D36" i="2"/>
  <c r="E36" i="2"/>
  <c r="F36" i="2"/>
  <c r="G36" i="2"/>
  <c r="H36" i="2"/>
  <c r="I36" i="2"/>
  <c r="J36" i="2"/>
  <c r="K36" i="2"/>
  <c r="L36" i="2"/>
  <c r="M36" i="2"/>
  <c r="B36" i="2"/>
  <c r="M20" i="2"/>
  <c r="L20" i="2"/>
  <c r="K20" i="2"/>
  <c r="J20" i="2"/>
  <c r="I20" i="2"/>
  <c r="H20" i="2"/>
  <c r="G20" i="2"/>
  <c r="F20" i="2"/>
  <c r="E20" i="2"/>
  <c r="D20" i="2"/>
  <c r="C20" i="2"/>
  <c r="B20" i="2"/>
  <c r="J54" i="2" l="1"/>
  <c r="K32" i="5" s="1"/>
  <c r="G53" i="2"/>
  <c r="N21" i="5"/>
  <c r="H54" i="2"/>
  <c r="I32" i="5" s="1"/>
  <c r="G54" i="2"/>
  <c r="H32" i="5" s="1"/>
  <c r="F53" i="2"/>
  <c r="G31" i="5" s="1"/>
  <c r="M27" i="5"/>
  <c r="I21" i="5"/>
  <c r="L21" i="5"/>
  <c r="J27" i="5"/>
  <c r="D21" i="5"/>
  <c r="K27" i="5"/>
  <c r="H21" i="5"/>
  <c r="C25" i="5"/>
  <c r="N47" i="2"/>
  <c r="K21" i="5"/>
  <c r="D53" i="2"/>
  <c r="O19" i="5"/>
  <c r="C21" i="5"/>
  <c r="H31" i="5"/>
  <c r="G55" i="2"/>
  <c r="M54" i="2"/>
  <c r="N32" i="5" s="1"/>
  <c r="E54" i="2"/>
  <c r="F32" i="5" s="1"/>
  <c r="F27" i="5"/>
  <c r="O20" i="5"/>
  <c r="D31" i="5"/>
  <c r="E27" i="5"/>
  <c r="D27" i="5"/>
  <c r="C32" i="5"/>
  <c r="I53" i="2"/>
  <c r="M21" i="5"/>
  <c r="I27" i="5"/>
  <c r="G27" i="5"/>
  <c r="E21" i="5"/>
  <c r="N31" i="5"/>
  <c r="L27" i="5"/>
  <c r="E53" i="2"/>
  <c r="F54" i="2"/>
  <c r="G32" i="5" s="1"/>
  <c r="L53" i="2"/>
  <c r="D54" i="2"/>
  <c r="E32" i="5" s="1"/>
  <c r="C26" i="5"/>
  <c r="O26" i="5" s="1"/>
  <c r="N48" i="2"/>
  <c r="J21" i="5"/>
  <c r="J53" i="2"/>
  <c r="H53" i="2"/>
  <c r="G21" i="5"/>
  <c r="B53" i="2"/>
  <c r="N27" i="5"/>
  <c r="K54" i="2"/>
  <c r="L32" i="5" s="1"/>
  <c r="I54" i="2"/>
  <c r="J32" i="5" s="1"/>
  <c r="C54" i="2"/>
  <c r="D32" i="5" s="1"/>
  <c r="K53" i="2"/>
  <c r="F21" i="5"/>
  <c r="N35" i="2"/>
  <c r="N34" i="2"/>
  <c r="N36" i="2" s="1"/>
  <c r="M31" i="2"/>
  <c r="L31" i="2"/>
  <c r="K31" i="2"/>
  <c r="J31" i="2"/>
  <c r="I31" i="2"/>
  <c r="H31" i="2"/>
  <c r="G31" i="2"/>
  <c r="F31" i="2"/>
  <c r="E31" i="2"/>
  <c r="D31" i="2"/>
  <c r="C31" i="2"/>
  <c r="B31" i="2"/>
  <c r="B38" i="2" s="1"/>
  <c r="N30" i="2"/>
  <c r="N29" i="2"/>
  <c r="N28" i="2"/>
  <c r="N27" i="2"/>
  <c r="N26" i="2"/>
  <c r="N19" i="2"/>
  <c r="N18" i="2"/>
  <c r="M15" i="2"/>
  <c r="M22" i="2" s="1"/>
  <c r="L15" i="2"/>
  <c r="K15" i="2"/>
  <c r="J15" i="2"/>
  <c r="I15" i="2"/>
  <c r="I22" i="2" s="1"/>
  <c r="H15" i="2"/>
  <c r="G15" i="2"/>
  <c r="F15" i="2"/>
  <c r="E15" i="2"/>
  <c r="E22" i="2" s="1"/>
  <c r="D15" i="2"/>
  <c r="C15" i="2"/>
  <c r="B15" i="2"/>
  <c r="N14" i="2"/>
  <c r="N13" i="2"/>
  <c r="N12" i="2"/>
  <c r="N11" i="2"/>
  <c r="N10" i="2"/>
  <c r="H33" i="5" l="1"/>
  <c r="D33" i="5"/>
  <c r="M55" i="2"/>
  <c r="N33" i="5"/>
  <c r="G33" i="5"/>
  <c r="O21" i="5"/>
  <c r="C31" i="5"/>
  <c r="B55" i="2"/>
  <c r="N53" i="2"/>
  <c r="O32" i="5"/>
  <c r="I31" i="5"/>
  <c r="I33" i="5" s="1"/>
  <c r="H55" i="2"/>
  <c r="F31" i="5"/>
  <c r="F33" i="5" s="1"/>
  <c r="E55" i="2"/>
  <c r="J31" i="5"/>
  <c r="J33" i="5" s="1"/>
  <c r="I55" i="2"/>
  <c r="E31" i="5"/>
  <c r="E33" i="5" s="1"/>
  <c r="D55" i="2"/>
  <c r="M31" i="5"/>
  <c r="M33" i="5" s="1"/>
  <c r="L55" i="2"/>
  <c r="L31" i="5"/>
  <c r="L33" i="5" s="1"/>
  <c r="K55" i="2"/>
  <c r="K31" i="5"/>
  <c r="K33" i="5" s="1"/>
  <c r="J55" i="2"/>
  <c r="N54" i="2"/>
  <c r="C55" i="2"/>
  <c r="F55" i="2"/>
  <c r="O25" i="5"/>
  <c r="O27" i="5" s="1"/>
  <c r="C27" i="5"/>
  <c r="N20" i="2"/>
  <c r="F32" i="2"/>
  <c r="F38" i="2"/>
  <c r="J32" i="2"/>
  <c r="N15" i="2"/>
  <c r="N22" i="2" s="1"/>
  <c r="N31" i="2"/>
  <c r="N38" i="2" s="1"/>
  <c r="C38" i="2"/>
  <c r="K38" i="2"/>
  <c r="G38" i="2"/>
  <c r="E32" i="2"/>
  <c r="I32" i="2"/>
  <c r="M32" i="2"/>
  <c r="B32" i="2"/>
  <c r="I38" i="2"/>
  <c r="J38" i="2"/>
  <c r="D22" i="2"/>
  <c r="H22" i="2"/>
  <c r="D32" i="2"/>
  <c r="H32" i="2"/>
  <c r="L32" i="2"/>
  <c r="E38" i="2"/>
  <c r="M38" i="2"/>
  <c r="B22" i="2"/>
  <c r="F22" i="2"/>
  <c r="J22" i="2"/>
  <c r="C22" i="2"/>
  <c r="G22" i="2"/>
  <c r="K22" i="2"/>
  <c r="L22" i="2"/>
  <c r="G32" i="2"/>
  <c r="D38" i="2"/>
  <c r="H38" i="2"/>
  <c r="L38" i="2"/>
  <c r="C32" i="2"/>
  <c r="K32" i="2"/>
  <c r="N55" i="2" l="1"/>
  <c r="O31" i="5"/>
  <c r="O33" i="5" s="1"/>
  <c r="C33" i="5"/>
  <c r="N32" i="2"/>
  <c r="N20" i="1" l="1"/>
  <c r="N40" i="1"/>
  <c r="B24" i="1"/>
  <c r="N43" i="1"/>
  <c r="N42" i="1"/>
  <c r="N41" i="1"/>
  <c r="N39" i="1"/>
  <c r="N38" i="1"/>
  <c r="N34" i="1"/>
  <c r="N33" i="1"/>
  <c r="N32" i="1"/>
  <c r="N31" i="1"/>
  <c r="N30" i="1"/>
  <c r="N23" i="1"/>
  <c r="N22" i="1"/>
  <c r="N21" i="1"/>
  <c r="N19" i="1"/>
  <c r="N18" i="1"/>
  <c r="N14" i="1"/>
  <c r="N13" i="1"/>
  <c r="N12" i="1"/>
  <c r="N11" i="1"/>
  <c r="N10" i="1"/>
  <c r="C35" i="1"/>
  <c r="D35" i="1"/>
  <c r="E35" i="1"/>
  <c r="F35" i="1"/>
  <c r="G35" i="1"/>
  <c r="H35" i="1"/>
  <c r="I35" i="1"/>
  <c r="J35" i="1"/>
  <c r="K35" i="1"/>
  <c r="L35" i="1"/>
  <c r="M35" i="1"/>
  <c r="B35" i="1"/>
  <c r="C24" i="1"/>
  <c r="D24" i="1"/>
  <c r="E24" i="1"/>
  <c r="F24" i="1"/>
  <c r="G24" i="1"/>
  <c r="H24" i="1"/>
  <c r="I24" i="1"/>
  <c r="J24" i="1"/>
  <c r="K24" i="1"/>
  <c r="K26" i="1" s="1"/>
  <c r="L24" i="1"/>
  <c r="M24" i="1"/>
  <c r="D15" i="1"/>
  <c r="E15" i="1"/>
  <c r="F15" i="1"/>
  <c r="G15" i="1"/>
  <c r="H15" i="1"/>
  <c r="I15" i="1"/>
  <c r="J15" i="1"/>
  <c r="K15" i="1"/>
  <c r="L15" i="1"/>
  <c r="M15" i="1"/>
  <c r="C15" i="1"/>
  <c r="C44" i="1"/>
  <c r="D44" i="1"/>
  <c r="E44" i="1"/>
  <c r="E46" i="1" s="1"/>
  <c r="F44" i="1"/>
  <c r="G44" i="1"/>
  <c r="H44" i="1"/>
  <c r="I44" i="1"/>
  <c r="J44" i="1"/>
  <c r="K44" i="1"/>
  <c r="L44" i="1"/>
  <c r="M44" i="1"/>
  <c r="M46" i="1" s="1"/>
  <c r="B44" i="1"/>
  <c r="B15" i="1"/>
  <c r="I46" i="1" l="1"/>
  <c r="J46" i="1"/>
  <c r="N24" i="1"/>
  <c r="L46" i="1"/>
  <c r="K46" i="1"/>
  <c r="I26" i="1"/>
  <c r="F26" i="1"/>
  <c r="E26" i="1"/>
  <c r="D46" i="1"/>
  <c r="N35" i="1"/>
  <c r="M26" i="1"/>
  <c r="L26" i="1"/>
  <c r="J26" i="1"/>
  <c r="H46" i="1"/>
  <c r="H26" i="1"/>
  <c r="G46" i="1"/>
  <c r="G26" i="1"/>
  <c r="F46" i="1"/>
  <c r="D26" i="1"/>
  <c r="C46" i="1"/>
  <c r="C26" i="1"/>
  <c r="B26" i="1"/>
  <c r="N15" i="1"/>
  <c r="N44" i="1"/>
  <c r="B46" i="1"/>
  <c r="N46" i="1" l="1"/>
  <c r="N26" i="1"/>
</calcChain>
</file>

<file path=xl/sharedStrings.xml><?xml version="1.0" encoding="utf-8"?>
<sst xmlns="http://schemas.openxmlformats.org/spreadsheetml/2006/main" count="260" uniqueCount="73">
  <si>
    <t>TARF_CD</t>
  </si>
  <si>
    <t>BKW_JAN18</t>
  </si>
  <si>
    <t>MKW_JAN18</t>
  </si>
  <si>
    <t>BKW_FEB18</t>
  </si>
  <si>
    <t>MKW_FEB18</t>
  </si>
  <si>
    <t>BKW_MAR18</t>
  </si>
  <si>
    <t>MKW_MAR18</t>
  </si>
  <si>
    <t>BKW_APR18</t>
  </si>
  <si>
    <t>MKW_APR18</t>
  </si>
  <si>
    <t>BKW_MAY18</t>
  </si>
  <si>
    <t>MKW_MAY18</t>
  </si>
  <si>
    <t>BKW_JUN18</t>
  </si>
  <si>
    <t>MKW_JUN18</t>
  </si>
  <si>
    <t>BKW_JUL18</t>
  </si>
  <si>
    <t>MKW_JUL18</t>
  </si>
  <si>
    <t>BKW_AUG18</t>
  </si>
  <si>
    <t>MKW_AUG18</t>
  </si>
  <si>
    <t>BKW_SEP18</t>
  </si>
  <si>
    <t>MKW_SEP18</t>
  </si>
  <si>
    <t>BKW_OCT18</t>
  </si>
  <si>
    <t>MKW_OCT18</t>
  </si>
  <si>
    <t>BKW_NOV18</t>
  </si>
  <si>
    <t>MKW_NOV18</t>
  </si>
  <si>
    <t>BKW_DEC18</t>
  </si>
  <si>
    <t>MKW_DEC18</t>
  </si>
  <si>
    <t>834/835</t>
  </si>
  <si>
    <t>830/831/833</t>
  </si>
  <si>
    <t>Total Sec &gt; 10 kW</t>
  </si>
  <si>
    <t>Total Sec &gt; 10 kW NCP</t>
  </si>
  <si>
    <t>Total Sec &gt; 10 kW 4CP</t>
  </si>
  <si>
    <t>METERED KW</t>
  </si>
  <si>
    <t>BKW_TOTAL</t>
  </si>
  <si>
    <t>MKW_TOTAL</t>
  </si>
  <si>
    <t>838*</t>
  </si>
  <si>
    <t>836*</t>
  </si>
  <si>
    <t>839*</t>
  </si>
  <si>
    <t>837*</t>
  </si>
  <si>
    <t>Total Adjusted Metered kW</t>
  </si>
  <si>
    <t>Weather Adjustment Metered kW</t>
  </si>
  <si>
    <t>Customer Adjustment Metered kW</t>
  </si>
  <si>
    <t>857*</t>
  </si>
  <si>
    <t>SECONDARY &gt; 10 kW NCP</t>
  </si>
  <si>
    <t>SEC</t>
  </si>
  <si>
    <t>DESCRIPTION</t>
  </si>
  <si>
    <t>VOLT</t>
  </si>
  <si>
    <t>TOTAL</t>
  </si>
  <si>
    <t>JANUARY</t>
  </si>
  <si>
    <t>FEBRUARY</t>
  </si>
  <si>
    <t>MARCH</t>
  </si>
  <si>
    <t>APRIL</t>
  </si>
  <si>
    <t>MAY</t>
  </si>
  <si>
    <t>JUNE</t>
  </si>
  <si>
    <t>OCTOBER</t>
  </si>
  <si>
    <t>NOVEMBER</t>
  </si>
  <si>
    <t>DECEMBER</t>
  </si>
  <si>
    <t>NORTH</t>
  </si>
  <si>
    <t>TOTAL SECONDARY &gt; 10 kW</t>
  </si>
  <si>
    <t>WEATHER</t>
  </si>
  <si>
    <t>WEATHER FACTOR</t>
  </si>
  <si>
    <t>SECONDARY &gt; 10 kW 4CP</t>
  </si>
  <si>
    <t>CUSTOMER FACTOR</t>
  </si>
  <si>
    <t>CUSTOMER</t>
  </si>
  <si>
    <t>CENTRAL</t>
  </si>
  <si>
    <t>UADJUSTED BILLED KW</t>
  </si>
  <si>
    <t>UNADJUSTED BILLED KW</t>
  </si>
  <si>
    <t>PUBLIC UTILITY COMMISSION OF TEXAS</t>
  </si>
  <si>
    <t>AEP TEXAS INC</t>
  </si>
  <si>
    <t>TEST YEAR ENDING 12/31/2018</t>
  </si>
  <si>
    <t>DOCKET NUMBER (PENDING ASSIGNMENT)</t>
  </si>
  <si>
    <t>IV-J-5 BILLING DETERMINANTS</t>
  </si>
  <si>
    <t>NOTE: Please see Schedule II-H-1.2 for kWh Billing and Adjustments.</t>
  </si>
  <si>
    <t>NOTE: Please see Schedule II-H-3-1.3 for Customer Bills and Adjustments.</t>
  </si>
  <si>
    <t>NOTE: Please see Schedule II-H-4.1 Tab "Dist kW" and "Trans kW" for Billing Demands and Adjustments.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</si>
</sst>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.0"/>
    <numFmt numFmtId="165" formatCode="0.000"/>
    <numFmt numFmtId="166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5" fontId="2" fillId="4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5" fontId="2" fillId="5" borderId="0" xfId="0" applyNumberFormat="1" applyFont="1" applyFill="1" applyAlignment="1">
      <alignment horizontal="center"/>
    </xf>
    <xf numFmtId="164" fontId="2" fillId="6" borderId="0" xfId="0" applyNumberFormat="1" applyFont="1" applyFill="1" applyAlignment="1">
      <alignment horizontal="center"/>
    </xf>
    <xf numFmtId="165" fontId="2" fillId="6" borderId="0" xfId="0" applyNumberFormat="1" applyFont="1" applyFill="1" applyAlignment="1">
      <alignment horizontal="center"/>
    </xf>
    <xf numFmtId="164" fontId="0" fillId="0" borderId="0" xfId="0" applyNumberFormat="1"/>
    <xf numFmtId="43" fontId="0" fillId="0" borderId="0" xfId="1" applyFont="1"/>
    <xf numFmtId="43" fontId="0" fillId="0" borderId="1" xfId="1" applyFont="1" applyBorder="1"/>
    <xf numFmtId="0" fontId="0" fillId="0" borderId="0" xfId="0" applyAlignment="1">
      <alignment horizontal="center"/>
    </xf>
    <xf numFmtId="43" fontId="0" fillId="0" borderId="0" xfId="0" applyNumberFormat="1"/>
    <xf numFmtId="43" fontId="0" fillId="0" borderId="0" xfId="0" applyNumberFormat="1" applyFill="1"/>
    <xf numFmtId="164" fontId="2" fillId="7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left"/>
    </xf>
    <xf numFmtId="164" fontId="0" fillId="0" borderId="1" xfId="0" applyNumberFormat="1" applyBorder="1"/>
    <xf numFmtId="0" fontId="0" fillId="0" borderId="1" xfId="0" applyBorder="1"/>
    <xf numFmtId="166" fontId="3" fillId="0" borderId="0" xfId="1" applyNumberFormat="1" applyFont="1" applyBorder="1"/>
    <xf numFmtId="166" fontId="3" fillId="0" borderId="1" xfId="1" applyNumberFormat="1" applyFont="1" applyBorder="1"/>
    <xf numFmtId="0" fontId="0" fillId="0" borderId="1" xfId="0" applyFill="1" applyBorder="1" applyAlignment="1">
      <alignment horizontal="center"/>
    </xf>
    <xf numFmtId="43" fontId="0" fillId="0" borderId="1" xfId="0" applyNumberFormat="1" applyBorder="1"/>
    <xf numFmtId="0" fontId="0" fillId="0" borderId="0" xfId="0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 applyBorder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4"/>
  <sheetViews>
    <sheetView tabSelected="1" zoomScaleNormal="100" workbookViewId="0">
      <selection activeCell="B10" sqref="B10"/>
    </sheetView>
  </sheetViews>
  <sheetFormatPr defaultRowHeight="15" x14ac:dyDescent="0.25"/>
  <cols>
    <col min="2" max="2" width="42.7109375" customWidth="1"/>
    <col min="3" max="4" width="13.28515625" bestFit="1" customWidth="1"/>
    <col min="5" max="5" width="13.42578125" bestFit="1" customWidth="1"/>
    <col min="6" max="6" width="13.28515625" bestFit="1" customWidth="1"/>
    <col min="7" max="7" width="13.42578125" bestFit="1" customWidth="1"/>
    <col min="8" max="14" width="13.28515625" bestFit="1" customWidth="1"/>
    <col min="15" max="15" width="14.28515625" bestFit="1" customWidth="1"/>
  </cols>
  <sheetData>
    <row r="1" spans="2:15" ht="15.75" thickBot="1" x14ac:dyDescent="0.3"/>
    <row r="2" spans="2:15" x14ac:dyDescent="0.25">
      <c r="B2" s="28" t="s">
        <v>65</v>
      </c>
    </row>
    <row r="3" spans="2:15" x14ac:dyDescent="0.25">
      <c r="B3" s="29" t="s">
        <v>66</v>
      </c>
    </row>
    <row r="4" spans="2:15" x14ac:dyDescent="0.25">
      <c r="B4" s="29" t="s">
        <v>69</v>
      </c>
    </row>
    <row r="5" spans="2:15" x14ac:dyDescent="0.25">
      <c r="B5" s="29" t="s">
        <v>67</v>
      </c>
    </row>
    <row r="6" spans="2:15" ht="15.75" thickBot="1" x14ac:dyDescent="0.3">
      <c r="B6" s="30" t="s">
        <v>68</v>
      </c>
    </row>
    <row r="9" spans="2:15" x14ac:dyDescent="0.25">
      <c r="B9" s="32" t="s">
        <v>72</v>
      </c>
    </row>
    <row r="11" spans="2:15" x14ac:dyDescent="0.25">
      <c r="B11" s="18" t="s">
        <v>30</v>
      </c>
    </row>
    <row r="12" spans="2:15" x14ac:dyDescent="0.25">
      <c r="B12" s="19" t="s">
        <v>0</v>
      </c>
      <c r="C12" s="2" t="s">
        <v>2</v>
      </c>
      <c r="D12" s="4" t="s">
        <v>4</v>
      </c>
      <c r="E12" s="6" t="s">
        <v>6</v>
      </c>
      <c r="F12" s="2" t="s">
        <v>8</v>
      </c>
      <c r="G12" s="4" t="s">
        <v>10</v>
      </c>
      <c r="H12" s="8" t="s">
        <v>12</v>
      </c>
      <c r="I12" s="2" t="s">
        <v>14</v>
      </c>
      <c r="J12" s="10" t="s">
        <v>16</v>
      </c>
      <c r="K12" s="8" t="s">
        <v>18</v>
      </c>
      <c r="L12" s="2" t="s">
        <v>20</v>
      </c>
      <c r="M12" s="4" t="s">
        <v>22</v>
      </c>
      <c r="N12" s="8" t="s">
        <v>24</v>
      </c>
      <c r="O12" s="17" t="s">
        <v>32</v>
      </c>
    </row>
    <row r="13" spans="2:15" x14ac:dyDescent="0.25">
      <c r="B13" s="18" t="s">
        <v>28</v>
      </c>
      <c r="C13" s="15">
        <f>'Central WP'!B35+'North WP'!B31</f>
        <v>2540442.3319999985</v>
      </c>
      <c r="D13" s="15">
        <f>'Central WP'!C35+'North WP'!C31</f>
        <v>2473951.50599998</v>
      </c>
      <c r="E13" s="15">
        <f>'Central WP'!D35+'North WP'!D31</f>
        <v>2325708.7490000082</v>
      </c>
      <c r="F13" s="15">
        <f>'Central WP'!E35+'North WP'!E31</f>
        <v>2252675.3279999983</v>
      </c>
      <c r="G13" s="15">
        <f>'Central WP'!F35+'North WP'!F31</f>
        <v>2410126.7229999965</v>
      </c>
      <c r="H13" s="15">
        <f>'Central WP'!G35+'North WP'!G31</f>
        <v>2476379.3589999955</v>
      </c>
      <c r="I13" s="15">
        <f>'Central WP'!H35+'North WP'!H31</f>
        <v>2444023.5779999956</v>
      </c>
      <c r="J13" s="15">
        <f>'Central WP'!I35+'North WP'!I31</f>
        <v>2476250.8030000064</v>
      </c>
      <c r="K13" s="15">
        <f>'Central WP'!J35+'North WP'!J31</f>
        <v>2502074.903000019</v>
      </c>
      <c r="L13" s="15">
        <f>'Central WP'!K35+'North WP'!K31</f>
        <v>2398147.9760000128</v>
      </c>
      <c r="M13" s="15">
        <f>'Central WP'!L35+'North WP'!L31</f>
        <v>2379432.4850000027</v>
      </c>
      <c r="N13" s="15">
        <f>'Central WP'!M35+'North WP'!M31</f>
        <v>2378682.3439999986</v>
      </c>
      <c r="O13" s="15">
        <f>SUM(C13:N13)</f>
        <v>29057896.086000018</v>
      </c>
    </row>
    <row r="14" spans="2:15" x14ac:dyDescent="0.25">
      <c r="B14" s="18" t="s">
        <v>27</v>
      </c>
      <c r="C14" s="26">
        <f>'Central WP'!B44+'North WP'!B36</f>
        <v>264471.42399999988</v>
      </c>
      <c r="D14" s="26">
        <f>'Central WP'!C44+'North WP'!C36</f>
        <v>249595.47899999996</v>
      </c>
      <c r="E14" s="26">
        <f>'Central WP'!D44+'North WP'!D36</f>
        <v>250134.85599999997</v>
      </c>
      <c r="F14" s="26">
        <f>'Central WP'!E44+'North WP'!E36</f>
        <v>241819.86300000007</v>
      </c>
      <c r="G14" s="26">
        <f>'Central WP'!F44+'North WP'!F36</f>
        <v>252812.56700000004</v>
      </c>
      <c r="H14" s="26">
        <f>'Central WP'!G44+'North WP'!G36</f>
        <v>256034.54699999996</v>
      </c>
      <c r="I14" s="26">
        <f>'Central WP'!H44+'North WP'!H36</f>
        <v>269223.52099999995</v>
      </c>
      <c r="J14" s="26">
        <f>'Central WP'!I44+'North WP'!I36</f>
        <v>270983.37699999992</v>
      </c>
      <c r="K14" s="26">
        <f>'Central WP'!J44+'North WP'!J36</f>
        <v>285932.01299999998</v>
      </c>
      <c r="L14" s="26">
        <f>'Central WP'!K44+'North WP'!K36</f>
        <v>274741.97200000001</v>
      </c>
      <c r="M14" s="26">
        <f>'Central WP'!L44+'North WP'!L36</f>
        <v>266300.59499999991</v>
      </c>
      <c r="N14" s="26">
        <f>'Central WP'!M44+'North WP'!M36</f>
        <v>252292.11400000003</v>
      </c>
      <c r="O14" s="26">
        <f>SUM(C14:N14)</f>
        <v>3134342.3279999997</v>
      </c>
    </row>
    <row r="15" spans="2:15" x14ac:dyDescent="0.25">
      <c r="B15" s="18" t="s">
        <v>27</v>
      </c>
      <c r="C15" s="15">
        <f>SUM(C13:C14)</f>
        <v>2804913.7559999982</v>
      </c>
      <c r="D15" s="15">
        <f t="shared" ref="D15:O15" si="0">SUM(D13:D14)</f>
        <v>2723546.9849999798</v>
      </c>
      <c r="E15" s="15">
        <f t="shared" si="0"/>
        <v>2575843.6050000084</v>
      </c>
      <c r="F15" s="15">
        <f t="shared" si="0"/>
        <v>2494495.1909999982</v>
      </c>
      <c r="G15" s="15">
        <f t="shared" si="0"/>
        <v>2662939.2899999963</v>
      </c>
      <c r="H15" s="15">
        <f t="shared" si="0"/>
        <v>2732413.9059999953</v>
      </c>
      <c r="I15" s="15">
        <f t="shared" si="0"/>
        <v>2713247.0989999957</v>
      </c>
      <c r="J15" s="15">
        <f t="shared" si="0"/>
        <v>2747234.1800000062</v>
      </c>
      <c r="K15" s="15">
        <f t="shared" si="0"/>
        <v>2788006.9160000188</v>
      </c>
      <c r="L15" s="15">
        <f t="shared" si="0"/>
        <v>2672889.9480000129</v>
      </c>
      <c r="M15" s="15">
        <f t="shared" si="0"/>
        <v>2645733.0800000024</v>
      </c>
      <c r="N15" s="15">
        <f t="shared" si="0"/>
        <v>2630974.4579999987</v>
      </c>
      <c r="O15" s="15">
        <f t="shared" si="0"/>
        <v>32192238.414000019</v>
      </c>
    </row>
    <row r="18" spans="2:15" x14ac:dyDescent="0.25">
      <c r="B18" s="20" t="s">
        <v>38</v>
      </c>
    </row>
    <row r="19" spans="2:15" x14ac:dyDescent="0.25">
      <c r="B19" s="18" t="s">
        <v>28</v>
      </c>
      <c r="C19" s="15">
        <f>'Central WP'!B49+'North WP'!B41</f>
        <v>-31560.059999999998</v>
      </c>
      <c r="D19" s="15">
        <f>'Central WP'!C49+'North WP'!C41</f>
        <v>-11004</v>
      </c>
      <c r="E19" s="15">
        <f>'Central WP'!D49+'North WP'!D41</f>
        <v>-38059.53</v>
      </c>
      <c r="F19" s="15">
        <f>'Central WP'!E49+'North WP'!E41</f>
        <v>-15564.69</v>
      </c>
      <c r="G19" s="15">
        <f>'Central WP'!F49+'North WP'!F41</f>
        <v>46537.89</v>
      </c>
      <c r="H19" s="15">
        <f>'Central WP'!G49+'North WP'!G41</f>
        <v>-71823.990000000005</v>
      </c>
      <c r="I19" s="15">
        <f>'Central WP'!H49+'North WP'!H41</f>
        <v>5846.2000000000007</v>
      </c>
      <c r="J19" s="15">
        <f>'Central WP'!I49+'North WP'!I41</f>
        <v>19852.239999999998</v>
      </c>
      <c r="K19" s="15">
        <f>'Central WP'!J49+'North WP'!J41</f>
        <v>2508.630000000001</v>
      </c>
      <c r="L19" s="15">
        <f>'Central WP'!K49+'North WP'!K41</f>
        <v>11264.400000000001</v>
      </c>
      <c r="M19" s="15">
        <f>'Central WP'!L49+'North WP'!L41</f>
        <v>49208.639999999999</v>
      </c>
      <c r="N19" s="15">
        <f>'Central WP'!M49+'North WP'!M41</f>
        <v>31402.579999999998</v>
      </c>
      <c r="O19" s="15">
        <f>SUM(C19:N19)</f>
        <v>-1391.690000000006</v>
      </c>
    </row>
    <row r="20" spans="2:15" x14ac:dyDescent="0.25">
      <c r="B20" s="18" t="s">
        <v>29</v>
      </c>
      <c r="C20" s="26">
        <f>'Central WP'!B50+'North WP'!B42</f>
        <v>-3180.86</v>
      </c>
      <c r="D20" s="26">
        <f>'Central WP'!C50+'North WP'!C42</f>
        <v>-1279.7800000000002</v>
      </c>
      <c r="E20" s="26">
        <f>'Central WP'!D50+'North WP'!D42</f>
        <v>-3164.4199999999996</v>
      </c>
      <c r="F20" s="26">
        <f>'Central WP'!E50+'North WP'!E42</f>
        <v>-1150.6199999999999</v>
      </c>
      <c r="G20" s="26">
        <f>'Central WP'!F50+'North WP'!F42</f>
        <v>4086.91</v>
      </c>
      <c r="H20" s="26">
        <f>'Central WP'!G50+'North WP'!G42</f>
        <v>-8286.84</v>
      </c>
      <c r="I20" s="26">
        <f>'Central WP'!H50+'North WP'!H42</f>
        <v>-153.51999999999998</v>
      </c>
      <c r="J20" s="26">
        <f>'Central WP'!I50+'North WP'!I42</f>
        <v>1985.06</v>
      </c>
      <c r="K20" s="26">
        <f>'Central WP'!J50+'North WP'!J42</f>
        <v>552.09999999999991</v>
      </c>
      <c r="L20" s="26">
        <f>'Central WP'!K50+'North WP'!K42</f>
        <v>1296.6100000000001</v>
      </c>
      <c r="M20" s="26">
        <f>'Central WP'!L50+'North WP'!L42</f>
        <v>4074.95</v>
      </c>
      <c r="N20" s="26">
        <f>'Central WP'!M50+'North WP'!M42</f>
        <v>2223.06</v>
      </c>
      <c r="O20" s="26">
        <f>SUM(C20:N20)</f>
        <v>-2997.3500000000008</v>
      </c>
    </row>
    <row r="21" spans="2:15" x14ac:dyDescent="0.25">
      <c r="B21" s="20" t="s">
        <v>27</v>
      </c>
      <c r="C21" s="15">
        <f>SUM(C19:C20)</f>
        <v>-34740.92</v>
      </c>
      <c r="D21" s="15">
        <f t="shared" ref="D21:O21" si="1">SUM(D19:D20)</f>
        <v>-12283.78</v>
      </c>
      <c r="E21" s="15">
        <f t="shared" si="1"/>
        <v>-41223.949999999997</v>
      </c>
      <c r="F21" s="15">
        <f t="shared" si="1"/>
        <v>-16715.310000000001</v>
      </c>
      <c r="G21" s="15">
        <f t="shared" si="1"/>
        <v>50624.800000000003</v>
      </c>
      <c r="H21" s="15">
        <f t="shared" si="1"/>
        <v>-80110.83</v>
      </c>
      <c r="I21" s="15">
        <f t="shared" si="1"/>
        <v>5692.68</v>
      </c>
      <c r="J21" s="15">
        <f t="shared" si="1"/>
        <v>21837.3</v>
      </c>
      <c r="K21" s="15">
        <f t="shared" si="1"/>
        <v>3060.7300000000009</v>
      </c>
      <c r="L21" s="15">
        <f t="shared" si="1"/>
        <v>12561.010000000002</v>
      </c>
      <c r="M21" s="15">
        <f t="shared" si="1"/>
        <v>53283.59</v>
      </c>
      <c r="N21" s="15">
        <f t="shared" si="1"/>
        <v>33625.64</v>
      </c>
      <c r="O21" s="15">
        <f t="shared" si="1"/>
        <v>-4389.0400000000063</v>
      </c>
    </row>
    <row r="24" spans="2:15" x14ac:dyDescent="0.25">
      <c r="B24" s="20" t="s">
        <v>39</v>
      </c>
    </row>
    <row r="25" spans="2:15" x14ac:dyDescent="0.25">
      <c r="B25" s="18" t="s">
        <v>28</v>
      </c>
      <c r="C25" s="15">
        <f>'Central WP'!B55+'North WP'!B47</f>
        <v>93461.520299761498</v>
      </c>
      <c r="D25" s="15">
        <f>'Central WP'!C55+'North WP'!C47</f>
        <v>46674.006671350522</v>
      </c>
      <c r="E25" s="15">
        <f>'Central WP'!D55+'North WP'!D47</f>
        <v>19458.432084309661</v>
      </c>
      <c r="F25" s="15">
        <f>'Central WP'!E55+'North WP'!E47</f>
        <v>16960.661279352345</v>
      </c>
      <c r="G25" s="15">
        <f>'Central WP'!F55+'North WP'!F47</f>
        <v>21896.557111373961</v>
      </c>
      <c r="H25" s="15">
        <f>'Central WP'!G55+'North WP'!G47</f>
        <v>18218.588106798168</v>
      </c>
      <c r="I25" s="15">
        <f>'Central WP'!H55+'North WP'!H47</f>
        <v>14389.456387384393</v>
      </c>
      <c r="J25" s="15">
        <f>'Central WP'!I55+'North WP'!I47</f>
        <v>4254.0572066009172</v>
      </c>
      <c r="K25" s="15">
        <f>'Central WP'!J55+'North WP'!J47</f>
        <v>12905.066235198159</v>
      </c>
      <c r="L25" s="15">
        <f>'Central WP'!K55+'North WP'!K47</f>
        <v>11966.6534800389</v>
      </c>
      <c r="M25" s="15">
        <f>'Central WP'!L55+'North WP'!L47</f>
        <v>5022.7985806138877</v>
      </c>
      <c r="N25" s="15">
        <f>'Central WP'!M55+'North WP'!M47</f>
        <v>0</v>
      </c>
      <c r="O25" s="15">
        <f>SUM(C25:N25)</f>
        <v>265207.79744278238</v>
      </c>
    </row>
    <row r="26" spans="2:15" x14ac:dyDescent="0.25">
      <c r="B26" s="18" t="s">
        <v>29</v>
      </c>
      <c r="C26" s="26">
        <f>'Central WP'!B56+'North WP'!B48</f>
        <v>-13425.447631037758</v>
      </c>
      <c r="D26" s="26">
        <f>'Central WP'!C56+'North WP'!C48</f>
        <v>-13172.210618485873</v>
      </c>
      <c r="E26" s="26">
        <f>'Central WP'!D56+'North WP'!D48</f>
        <v>-12660.867703367428</v>
      </c>
      <c r="F26" s="26">
        <f>'Central WP'!E56+'North WP'!E48</f>
        <v>-11174.935760932549</v>
      </c>
      <c r="G26" s="26">
        <f>'Central WP'!F56+'North WP'!F48</f>
        <v>-12950.555234793894</v>
      </c>
      <c r="H26" s="26">
        <f>'Central WP'!G56+'North WP'!G48</f>
        <v>-8032.0217568299395</v>
      </c>
      <c r="I26" s="26">
        <f>'Central WP'!H56+'North WP'!H48</f>
        <v>-9211.4768391314446</v>
      </c>
      <c r="J26" s="26">
        <f>'Central WP'!I56+'North WP'!I48</f>
        <v>-10729.39</v>
      </c>
      <c r="K26" s="26">
        <f>'Central WP'!J56+'North WP'!J48</f>
        <v>624.16999999999996</v>
      </c>
      <c r="L26" s="26">
        <f>'Central WP'!K56+'North WP'!K48</f>
        <v>1143.4332795898622</v>
      </c>
      <c r="M26" s="26">
        <f>'Central WP'!L56+'North WP'!L48</f>
        <v>0</v>
      </c>
      <c r="N26" s="26">
        <f>'Central WP'!M56+'North WP'!M48</f>
        <v>0</v>
      </c>
      <c r="O26" s="26">
        <f>SUM(C26:N26)</f>
        <v>-89589.302264989019</v>
      </c>
    </row>
    <row r="27" spans="2:15" x14ac:dyDescent="0.25">
      <c r="B27" s="20" t="s">
        <v>27</v>
      </c>
      <c r="C27" s="15">
        <f>SUM(C25:C26)</f>
        <v>80036.072668723733</v>
      </c>
      <c r="D27" s="15">
        <f t="shared" ref="D27:O27" si="2">SUM(D25:D26)</f>
        <v>33501.796052864651</v>
      </c>
      <c r="E27" s="15">
        <f t="shared" si="2"/>
        <v>6797.5643809422327</v>
      </c>
      <c r="F27" s="15">
        <f t="shared" si="2"/>
        <v>5785.7255184197966</v>
      </c>
      <c r="G27" s="15">
        <f t="shared" si="2"/>
        <v>8946.0018765800669</v>
      </c>
      <c r="H27" s="15">
        <f t="shared" si="2"/>
        <v>10186.566349968229</v>
      </c>
      <c r="I27" s="15">
        <f t="shared" si="2"/>
        <v>5177.979548252948</v>
      </c>
      <c r="J27" s="15">
        <f t="shared" si="2"/>
        <v>-6475.3327933990822</v>
      </c>
      <c r="K27" s="15">
        <f t="shared" si="2"/>
        <v>13529.236235198159</v>
      </c>
      <c r="L27" s="15">
        <f t="shared" si="2"/>
        <v>13110.086759628763</v>
      </c>
      <c r="M27" s="15">
        <f t="shared" si="2"/>
        <v>5022.7985806138877</v>
      </c>
      <c r="N27" s="15">
        <f t="shared" si="2"/>
        <v>0</v>
      </c>
      <c r="O27" s="15">
        <f t="shared" si="2"/>
        <v>175618.49517779337</v>
      </c>
    </row>
    <row r="28" spans="2:15" x14ac:dyDescent="0.25">
      <c r="B28" s="18"/>
    </row>
    <row r="29" spans="2:15" x14ac:dyDescent="0.25">
      <c r="B29" s="18"/>
    </row>
    <row r="30" spans="2:15" x14ac:dyDescent="0.25">
      <c r="B30" s="20" t="s">
        <v>37</v>
      </c>
    </row>
    <row r="31" spans="2:15" x14ac:dyDescent="0.25">
      <c r="B31" s="18" t="s">
        <v>28</v>
      </c>
      <c r="C31" s="15">
        <f>'Central WP'!B61+'North WP'!B53</f>
        <v>2602343.7922997605</v>
      </c>
      <c r="D31" s="15">
        <f>'Central WP'!C61+'North WP'!C53</f>
        <v>2509621.5126713305</v>
      </c>
      <c r="E31" s="15">
        <f>'Central WP'!D61+'North WP'!D53</f>
        <v>2307107.6510843178</v>
      </c>
      <c r="F31" s="15">
        <f>'Central WP'!E61+'North WP'!E53</f>
        <v>2254071.2992793508</v>
      </c>
      <c r="G31" s="15">
        <f>'Central WP'!F61+'North WP'!F53</f>
        <v>2478561.1701113703</v>
      </c>
      <c r="H31" s="15">
        <f>'Central WP'!G61+'North WP'!G53</f>
        <v>2422773.9571067938</v>
      </c>
      <c r="I31" s="15">
        <f>'Central WP'!H61+'North WP'!H53</f>
        <v>2464259.2343873801</v>
      </c>
      <c r="J31" s="15">
        <f>'Central WP'!I61+'North WP'!I53</f>
        <v>2500357.100206607</v>
      </c>
      <c r="K31" s="15">
        <f>'Central WP'!J61+'North WP'!J53</f>
        <v>2517488.5992352171</v>
      </c>
      <c r="L31" s="15">
        <f>'Central WP'!K61+'North WP'!K53</f>
        <v>2421379.0294800517</v>
      </c>
      <c r="M31" s="15">
        <f>'Central WP'!L61+'North WP'!L53</f>
        <v>2433663.9235806167</v>
      </c>
      <c r="N31" s="15">
        <f>'Central WP'!M61+'North WP'!M53</f>
        <v>2410084.9239999987</v>
      </c>
      <c r="O31" s="15">
        <f>SUM(C31:N31)</f>
        <v>29321712.193442795</v>
      </c>
    </row>
    <row r="32" spans="2:15" x14ac:dyDescent="0.25">
      <c r="B32" s="27" t="s">
        <v>29</v>
      </c>
      <c r="C32" s="26">
        <f>'Central WP'!B62+'North WP'!B54</f>
        <v>247865.11636896216</v>
      </c>
      <c r="D32" s="26">
        <f>'Central WP'!C62+'North WP'!C54</f>
        <v>235143.48838151409</v>
      </c>
      <c r="E32" s="26">
        <f>'Central WP'!D62+'North WP'!D54</f>
        <v>234309.56829663255</v>
      </c>
      <c r="F32" s="26">
        <f>'Central WP'!E62+'North WP'!E54</f>
        <v>229494.30723906751</v>
      </c>
      <c r="G32" s="26">
        <f>'Central WP'!F62+'North WP'!F54</f>
        <v>243948.92176520615</v>
      </c>
      <c r="H32" s="26">
        <f>'Central WP'!G62+'North WP'!G54</f>
        <v>239715.68524317001</v>
      </c>
      <c r="I32" s="26">
        <f>'Central WP'!H62+'North WP'!H54</f>
        <v>259858.52416086849</v>
      </c>
      <c r="J32" s="26">
        <f>'Central WP'!I62+'North WP'!I54</f>
        <v>262239.0469999999</v>
      </c>
      <c r="K32" s="26">
        <f>'Central WP'!J62+'North WP'!J54</f>
        <v>287108.28299999994</v>
      </c>
      <c r="L32" s="26">
        <f>'Central WP'!K62+'North WP'!K54</f>
        <v>277182.01527958986</v>
      </c>
      <c r="M32" s="26">
        <f>'Central WP'!L62+'North WP'!L54</f>
        <v>270375.54499999993</v>
      </c>
      <c r="N32" s="26">
        <f>'Central WP'!M62+'North WP'!M54</f>
        <v>254515.17400000003</v>
      </c>
      <c r="O32" s="26">
        <f>SUM(C32:N32)</f>
        <v>3041755.6757350103</v>
      </c>
    </row>
    <row r="33" spans="2:15" x14ac:dyDescent="0.25">
      <c r="B33" s="20" t="s">
        <v>27</v>
      </c>
      <c r="C33" s="15">
        <f>SUM(C31:C32)</f>
        <v>2850208.9086687225</v>
      </c>
      <c r="D33" s="15">
        <f t="shared" ref="D33:N33" si="3">SUM(D31:D32)</f>
        <v>2744765.0010528443</v>
      </c>
      <c r="E33" s="15">
        <f t="shared" si="3"/>
        <v>2541417.2193809506</v>
      </c>
      <c r="F33" s="15">
        <f t="shared" si="3"/>
        <v>2483565.6065184185</v>
      </c>
      <c r="G33" s="15">
        <f t="shared" si="3"/>
        <v>2722510.0918765767</v>
      </c>
      <c r="H33" s="15">
        <f t="shared" si="3"/>
        <v>2662489.642349964</v>
      </c>
      <c r="I33" s="15">
        <f t="shared" si="3"/>
        <v>2724117.7585482486</v>
      </c>
      <c r="J33" s="15">
        <f t="shared" si="3"/>
        <v>2762596.1472066068</v>
      </c>
      <c r="K33" s="15">
        <f t="shared" si="3"/>
        <v>2804596.8822352169</v>
      </c>
      <c r="L33" s="15">
        <f t="shared" si="3"/>
        <v>2698561.0447596414</v>
      </c>
      <c r="M33" s="15">
        <f t="shared" si="3"/>
        <v>2704039.4685806166</v>
      </c>
      <c r="N33" s="15">
        <f t="shared" si="3"/>
        <v>2664600.0979999988</v>
      </c>
      <c r="O33" s="15">
        <f>SUM(O31:O32)</f>
        <v>32363467.869177807</v>
      </c>
    </row>
    <row r="34" spans="2:15" x14ac:dyDescent="0.25">
      <c r="C34" s="15"/>
    </row>
  </sheetData>
  <pageMargins left="0.7" right="0.7" top="0.75" bottom="0.75" header="0.3" footer="0.3"/>
  <pageSetup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9"/>
  <sheetViews>
    <sheetView workbookViewId="0">
      <selection activeCell="B10" sqref="B10"/>
    </sheetView>
  </sheetViews>
  <sheetFormatPr defaultRowHeight="15" x14ac:dyDescent="0.25"/>
  <cols>
    <col min="2" max="2" width="45.85546875" customWidth="1"/>
  </cols>
  <sheetData>
    <row r="1" spans="2:2" ht="15.75" thickBot="1" x14ac:dyDescent="0.3"/>
    <row r="2" spans="2:2" x14ac:dyDescent="0.25">
      <c r="B2" s="28" t="s">
        <v>65</v>
      </c>
    </row>
    <row r="3" spans="2:2" x14ac:dyDescent="0.25">
      <c r="B3" s="29" t="s">
        <v>66</v>
      </c>
    </row>
    <row r="4" spans="2:2" x14ac:dyDescent="0.25">
      <c r="B4" s="29" t="s">
        <v>69</v>
      </c>
    </row>
    <row r="5" spans="2:2" x14ac:dyDescent="0.25">
      <c r="B5" s="29" t="s">
        <v>67</v>
      </c>
    </row>
    <row r="6" spans="2:2" ht="15.75" thickBot="1" x14ac:dyDescent="0.3">
      <c r="B6" s="30" t="s">
        <v>68</v>
      </c>
    </row>
    <row r="9" spans="2:2" x14ac:dyDescent="0.25">
      <c r="B9" s="32" t="s">
        <v>70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9"/>
  <sheetViews>
    <sheetView workbookViewId="0">
      <selection activeCell="B23" sqref="B23"/>
    </sheetView>
  </sheetViews>
  <sheetFormatPr defaultRowHeight="15" x14ac:dyDescent="0.25"/>
  <cols>
    <col min="2" max="2" width="45.85546875" customWidth="1"/>
  </cols>
  <sheetData>
    <row r="1" spans="2:2" ht="15.75" thickBot="1" x14ac:dyDescent="0.3"/>
    <row r="2" spans="2:2" x14ac:dyDescent="0.25">
      <c r="B2" s="28" t="s">
        <v>65</v>
      </c>
    </row>
    <row r="3" spans="2:2" x14ac:dyDescent="0.25">
      <c r="B3" s="29" t="s">
        <v>66</v>
      </c>
    </row>
    <row r="4" spans="2:2" x14ac:dyDescent="0.25">
      <c r="B4" s="29" t="s">
        <v>69</v>
      </c>
    </row>
    <row r="5" spans="2:2" x14ac:dyDescent="0.25">
      <c r="B5" s="29" t="s">
        <v>67</v>
      </c>
    </row>
    <row r="6" spans="2:2" ht="15.75" thickBot="1" x14ac:dyDescent="0.3">
      <c r="B6" s="30" t="s">
        <v>68</v>
      </c>
    </row>
    <row r="9" spans="2:2" x14ac:dyDescent="0.25">
      <c r="B9" s="32" t="s">
        <v>71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5"/>
  <sheetViews>
    <sheetView workbookViewId="0">
      <selection activeCell="A2" sqref="A2:A6"/>
    </sheetView>
  </sheetViews>
  <sheetFormatPr defaultRowHeight="15" x14ac:dyDescent="0.25"/>
  <cols>
    <col min="1" max="1" width="40.140625" style="18" customWidth="1"/>
    <col min="2" max="13" width="13.28515625" bestFit="1" customWidth="1"/>
    <col min="14" max="14" width="14.28515625" bestFit="1" customWidth="1"/>
  </cols>
  <sheetData>
    <row r="1" spans="1:14" ht="15.75" thickBot="1" x14ac:dyDescent="0.3"/>
    <row r="2" spans="1:14" x14ac:dyDescent="0.25">
      <c r="A2" s="28" t="s">
        <v>65</v>
      </c>
    </row>
    <row r="3" spans="1:14" x14ac:dyDescent="0.25">
      <c r="A3" s="29" t="s">
        <v>66</v>
      </c>
    </row>
    <row r="4" spans="1:14" x14ac:dyDescent="0.25">
      <c r="A4" s="29" t="s">
        <v>69</v>
      </c>
    </row>
    <row r="5" spans="1:14" x14ac:dyDescent="0.25">
      <c r="A5" s="29" t="s">
        <v>67</v>
      </c>
    </row>
    <row r="6" spans="1:14" ht="15.75" thickBot="1" x14ac:dyDescent="0.3">
      <c r="A6" s="30" t="s">
        <v>68</v>
      </c>
    </row>
    <row r="8" spans="1:14" x14ac:dyDescent="0.25">
      <c r="A8" s="18" t="s">
        <v>63</v>
      </c>
    </row>
    <row r="9" spans="1:14" x14ac:dyDescent="0.25">
      <c r="A9" s="19" t="s">
        <v>0</v>
      </c>
      <c r="B9" s="1" t="s">
        <v>1</v>
      </c>
      <c r="C9" s="3" t="s">
        <v>3</v>
      </c>
      <c r="D9" s="5" t="s">
        <v>5</v>
      </c>
      <c r="E9" s="1" t="s">
        <v>7</v>
      </c>
      <c r="F9" s="3" t="s">
        <v>9</v>
      </c>
      <c r="G9" s="7" t="s">
        <v>11</v>
      </c>
      <c r="H9" s="1" t="s">
        <v>13</v>
      </c>
      <c r="I9" s="9" t="s">
        <v>15</v>
      </c>
      <c r="J9" s="7" t="s">
        <v>17</v>
      </c>
      <c r="K9" s="1" t="s">
        <v>19</v>
      </c>
      <c r="L9" s="3" t="s">
        <v>21</v>
      </c>
      <c r="M9" s="7" t="s">
        <v>23</v>
      </c>
      <c r="N9" s="17" t="s">
        <v>31</v>
      </c>
    </row>
    <row r="10" spans="1:14" x14ac:dyDescent="0.25">
      <c r="A10" s="18" t="s">
        <v>26</v>
      </c>
      <c r="B10" s="12">
        <v>52605.399999999965</v>
      </c>
      <c r="C10" s="12">
        <v>52221.499999999993</v>
      </c>
      <c r="D10" s="12">
        <v>52222.599999999984</v>
      </c>
      <c r="E10" s="12">
        <v>52584.399999999965</v>
      </c>
      <c r="F10" s="12">
        <v>52360.999999999942</v>
      </c>
      <c r="G10" s="12">
        <v>53154.699999999932</v>
      </c>
      <c r="H10" s="12">
        <v>53441.400000000038</v>
      </c>
      <c r="I10" s="12">
        <v>53477.799999999981</v>
      </c>
      <c r="J10" s="12">
        <v>53706.099999999962</v>
      </c>
      <c r="K10" s="12">
        <v>53655.299999999996</v>
      </c>
      <c r="L10" s="12">
        <v>55167.600000000013</v>
      </c>
      <c r="M10" s="12">
        <v>52572.999999999949</v>
      </c>
      <c r="N10" s="12">
        <f>SUM(B10:M10)</f>
        <v>637170.79999999981</v>
      </c>
    </row>
    <row r="11" spans="1:14" x14ac:dyDescent="0.25">
      <c r="A11" s="18" t="s">
        <v>34</v>
      </c>
      <c r="B11" s="12">
        <v>10448.400000000001</v>
      </c>
      <c r="C11" s="12">
        <v>8412</v>
      </c>
      <c r="D11" s="12">
        <v>7966.8</v>
      </c>
      <c r="E11" s="12">
        <v>8005.6000000000022</v>
      </c>
      <c r="F11" s="12">
        <v>9652.6999999999953</v>
      </c>
      <c r="G11" s="12">
        <v>10938.399999999998</v>
      </c>
      <c r="H11" s="12">
        <v>13932.299999999996</v>
      </c>
      <c r="I11" s="12">
        <v>15286.000000000002</v>
      </c>
      <c r="J11" s="12">
        <v>15159.9</v>
      </c>
      <c r="K11" s="12">
        <v>12978.399999999998</v>
      </c>
      <c r="L11" s="12">
        <v>12876.300000000008</v>
      </c>
      <c r="M11" s="12">
        <v>13505.700000000006</v>
      </c>
      <c r="N11" s="12">
        <f>SUM(B11:M11)</f>
        <v>139162.49999999997</v>
      </c>
    </row>
    <row r="12" spans="1:14" x14ac:dyDescent="0.25">
      <c r="A12" s="18" t="s">
        <v>33</v>
      </c>
      <c r="B12" s="12">
        <v>14809.8</v>
      </c>
      <c r="C12" s="12">
        <v>16382.500000000005</v>
      </c>
      <c r="D12" s="12">
        <v>18274.100000000002</v>
      </c>
      <c r="E12" s="12">
        <v>23191.80000000001</v>
      </c>
      <c r="F12" s="12">
        <v>24144.799999999992</v>
      </c>
      <c r="G12" s="12">
        <v>27107.400000000005</v>
      </c>
      <c r="H12" s="12">
        <v>23675.000000000007</v>
      </c>
      <c r="I12" s="12">
        <v>22176.59999999998</v>
      </c>
      <c r="J12" s="12">
        <v>19945.899999999994</v>
      </c>
      <c r="K12" s="12">
        <v>12577.999999999998</v>
      </c>
      <c r="L12" s="12">
        <v>11035.199999999997</v>
      </c>
      <c r="M12" s="12">
        <v>13209.300000000001</v>
      </c>
      <c r="N12" s="12">
        <f>SUM(B12:M12)</f>
        <v>226530.39999999997</v>
      </c>
    </row>
    <row r="13" spans="1:14" x14ac:dyDescent="0.25">
      <c r="A13" s="18">
        <v>855</v>
      </c>
      <c r="B13" s="12">
        <v>621939.19999999588</v>
      </c>
      <c r="C13" s="12">
        <v>614168.60000000207</v>
      </c>
      <c r="D13" s="12">
        <v>583789.89999999909</v>
      </c>
      <c r="E13" s="12">
        <v>576672.59999999963</v>
      </c>
      <c r="F13" s="12">
        <v>585427.30000000168</v>
      </c>
      <c r="G13" s="12">
        <v>600536.20000000286</v>
      </c>
      <c r="H13" s="12">
        <v>593953.70000000054</v>
      </c>
      <c r="I13" s="12">
        <v>595977.79999999795</v>
      </c>
      <c r="J13" s="12">
        <v>597697.70000000321</v>
      </c>
      <c r="K13" s="12">
        <v>584580.1</v>
      </c>
      <c r="L13" s="12">
        <v>578575.60000000277</v>
      </c>
      <c r="M13" s="12">
        <v>585025.20000000228</v>
      </c>
      <c r="N13" s="12">
        <f>SUM(B13:M13)</f>
        <v>7118343.9000000069</v>
      </c>
    </row>
    <row r="14" spans="1:14" x14ac:dyDescent="0.25">
      <c r="A14" s="18">
        <v>857</v>
      </c>
      <c r="B14" s="13">
        <v>1589815.899999999</v>
      </c>
      <c r="C14" s="13">
        <v>1561092.9999999951</v>
      </c>
      <c r="D14" s="13">
        <v>1508204.5999999919</v>
      </c>
      <c r="E14" s="13">
        <v>1505382.900000009</v>
      </c>
      <c r="F14" s="13">
        <v>1532076.299999998</v>
      </c>
      <c r="G14" s="13">
        <v>1581869.0000000014</v>
      </c>
      <c r="H14" s="13">
        <v>1577222.1000000052</v>
      </c>
      <c r="I14" s="13">
        <v>1593547.7000000048</v>
      </c>
      <c r="J14" s="13">
        <v>1592992.8999999936</v>
      </c>
      <c r="K14" s="13">
        <v>1559437.3000000003</v>
      </c>
      <c r="L14" s="13">
        <v>1539946.1000000087</v>
      </c>
      <c r="M14" s="13">
        <v>1545466.7999999938</v>
      </c>
      <c r="N14" s="13">
        <f>SUM(B14:M14)</f>
        <v>18687054.599999998</v>
      </c>
    </row>
    <row r="15" spans="1:14" x14ac:dyDescent="0.25">
      <c r="A15" s="18" t="s">
        <v>28</v>
      </c>
      <c r="B15" s="12">
        <f>SUM(B10:B14)</f>
        <v>2289618.6999999946</v>
      </c>
      <c r="C15" s="12">
        <f>SUM(C10:C14)</f>
        <v>2252277.5999999973</v>
      </c>
      <c r="D15" s="12">
        <f t="shared" ref="D15:M15" si="0">SUM(D10:D14)</f>
        <v>2170457.9999999912</v>
      </c>
      <c r="E15" s="12">
        <f t="shared" si="0"/>
        <v>2165837.3000000087</v>
      </c>
      <c r="F15" s="12">
        <f t="shared" si="0"/>
        <v>2203662.0999999996</v>
      </c>
      <c r="G15" s="12">
        <f t="shared" si="0"/>
        <v>2273605.7000000039</v>
      </c>
      <c r="H15" s="12">
        <f t="shared" si="0"/>
        <v>2262224.5000000056</v>
      </c>
      <c r="I15" s="12">
        <f t="shared" si="0"/>
        <v>2280465.9000000027</v>
      </c>
      <c r="J15" s="12">
        <f t="shared" si="0"/>
        <v>2279502.4999999967</v>
      </c>
      <c r="K15" s="12">
        <f t="shared" si="0"/>
        <v>2223229.1</v>
      </c>
      <c r="L15" s="12">
        <f t="shared" si="0"/>
        <v>2197600.8000000115</v>
      </c>
      <c r="M15" s="12">
        <f t="shared" si="0"/>
        <v>2209779.9999999963</v>
      </c>
      <c r="N15" s="15">
        <f>SUM(N10:N14)</f>
        <v>26808262.200000003</v>
      </c>
    </row>
    <row r="16" spans="1:14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4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4" x14ac:dyDescent="0.25">
      <c r="A18" s="18" t="s">
        <v>25</v>
      </c>
      <c r="B18" s="12">
        <v>6701.8</v>
      </c>
      <c r="C18" s="12">
        <v>4785.4000000000005</v>
      </c>
      <c r="D18" s="12">
        <v>5670.4</v>
      </c>
      <c r="E18" s="12">
        <v>3393.6000000000004</v>
      </c>
      <c r="F18" s="12">
        <v>4617.3</v>
      </c>
      <c r="G18" s="12">
        <v>4652.1000000000004</v>
      </c>
      <c r="H18" s="12">
        <v>7557.4</v>
      </c>
      <c r="I18" s="12">
        <v>20750.599999999999</v>
      </c>
      <c r="J18" s="12">
        <v>28094.799999999999</v>
      </c>
      <c r="K18" s="12">
        <v>28613.3</v>
      </c>
      <c r="L18" s="12">
        <v>21296.2</v>
      </c>
      <c r="M18" s="12">
        <v>10272.699999999999</v>
      </c>
      <c r="N18" s="12">
        <f t="shared" ref="N18:N23" si="1">SUM(B18:M18)</f>
        <v>146405.6</v>
      </c>
    </row>
    <row r="19" spans="1:14" x14ac:dyDescent="0.25">
      <c r="A19" s="18" t="s">
        <v>36</v>
      </c>
      <c r="B19" s="12">
        <v>4559.6000000000004</v>
      </c>
      <c r="C19" s="12">
        <v>3625.9999999999995</v>
      </c>
      <c r="D19" s="12">
        <v>2278.4</v>
      </c>
      <c r="E19" s="12">
        <v>2534.2000000000003</v>
      </c>
      <c r="F19" s="12">
        <v>1876.9999999999998</v>
      </c>
      <c r="G19" s="12">
        <v>1823.3000000000002</v>
      </c>
      <c r="H19" s="12">
        <v>1896.3999999999999</v>
      </c>
      <c r="I19" s="12">
        <v>4889.5</v>
      </c>
      <c r="J19" s="12">
        <v>5606.9000000000005</v>
      </c>
      <c r="K19" s="12">
        <v>4844.7000000000007</v>
      </c>
      <c r="L19" s="12">
        <v>4501.8999999999996</v>
      </c>
      <c r="M19" s="12">
        <v>5198.7</v>
      </c>
      <c r="N19" s="12">
        <f t="shared" si="1"/>
        <v>43636.6</v>
      </c>
    </row>
    <row r="20" spans="1:14" x14ac:dyDescent="0.25">
      <c r="A20" s="18" t="s">
        <v>35</v>
      </c>
      <c r="B20" s="12">
        <v>3889.6</v>
      </c>
      <c r="C20" s="12">
        <v>3700.3999999999996</v>
      </c>
      <c r="D20" s="12">
        <v>3488.3</v>
      </c>
      <c r="E20" s="12">
        <v>5524.9000000000005</v>
      </c>
      <c r="F20" s="12">
        <v>6052</v>
      </c>
      <c r="G20" s="12">
        <v>7404.4000000000005</v>
      </c>
      <c r="H20" s="12">
        <v>5682.2</v>
      </c>
      <c r="I20" s="12">
        <v>6123.5</v>
      </c>
      <c r="J20" s="12">
        <v>4782.1000000000004</v>
      </c>
      <c r="K20" s="12">
        <v>2842.6000000000004</v>
      </c>
      <c r="L20" s="12">
        <v>2418</v>
      </c>
      <c r="M20" s="12">
        <v>2522.1000000000004</v>
      </c>
      <c r="N20" s="12">
        <f t="shared" si="1"/>
        <v>54430.1</v>
      </c>
    </row>
    <row r="21" spans="1:14" x14ac:dyDescent="0.25">
      <c r="A21" s="18">
        <v>853</v>
      </c>
      <c r="B21" s="12">
        <v>111.4</v>
      </c>
      <c r="C21" s="12">
        <v>111.4</v>
      </c>
      <c r="D21" s="12">
        <v>111.4</v>
      </c>
      <c r="E21" s="12">
        <v>111.4</v>
      </c>
      <c r="F21" s="12">
        <v>111.4</v>
      </c>
      <c r="G21" s="12">
        <v>124.9</v>
      </c>
      <c r="H21" s="12">
        <v>153.1</v>
      </c>
      <c r="I21" s="12">
        <v>137.19999999999999</v>
      </c>
      <c r="J21" s="12">
        <v>0</v>
      </c>
      <c r="K21" s="12">
        <v>245</v>
      </c>
      <c r="L21" s="12">
        <v>122.5</v>
      </c>
      <c r="M21" s="12">
        <v>122.5</v>
      </c>
      <c r="N21" s="12">
        <f t="shared" si="1"/>
        <v>1462.2</v>
      </c>
    </row>
    <row r="22" spans="1:14" x14ac:dyDescent="0.25">
      <c r="A22" s="18">
        <v>856</v>
      </c>
      <c r="B22" s="12">
        <v>9348.9</v>
      </c>
      <c r="C22" s="12">
        <v>9323.6</v>
      </c>
      <c r="D22" s="12">
        <v>9259.9</v>
      </c>
      <c r="E22" s="12">
        <v>9421.6999999999989</v>
      </c>
      <c r="F22" s="12">
        <v>9517.6999999999989</v>
      </c>
      <c r="G22" s="12">
        <v>10303.1</v>
      </c>
      <c r="H22" s="12">
        <v>9720</v>
      </c>
      <c r="I22" s="12">
        <v>9432.6</v>
      </c>
      <c r="J22" s="12">
        <v>10132.9</v>
      </c>
      <c r="K22" s="12">
        <v>10097</v>
      </c>
      <c r="L22" s="12">
        <v>9536.4999999999982</v>
      </c>
      <c r="M22" s="12">
        <v>9247</v>
      </c>
      <c r="N22" s="12">
        <f t="shared" si="1"/>
        <v>115340.9</v>
      </c>
    </row>
    <row r="23" spans="1:14" x14ac:dyDescent="0.25">
      <c r="A23" s="18">
        <v>858</v>
      </c>
      <c r="B23" s="13">
        <v>158167.9000000002</v>
      </c>
      <c r="C23" s="13">
        <v>155657.00000000003</v>
      </c>
      <c r="D23" s="13">
        <v>159127.2000000001</v>
      </c>
      <c r="E23" s="13">
        <v>156938.30000000008</v>
      </c>
      <c r="F23" s="13">
        <v>160561.40000000008</v>
      </c>
      <c r="G23" s="13">
        <v>170980.40000000005</v>
      </c>
      <c r="H23" s="13">
        <v>164484.40000000002</v>
      </c>
      <c r="I23" s="13">
        <v>168292.70000000007</v>
      </c>
      <c r="J23" s="13">
        <v>171746.79999999993</v>
      </c>
      <c r="K23" s="13">
        <v>164384.30000000008</v>
      </c>
      <c r="L23" s="13">
        <v>161973.60000000018</v>
      </c>
      <c r="M23" s="13">
        <v>152908.6</v>
      </c>
      <c r="N23" s="13">
        <f t="shared" si="1"/>
        <v>1945222.6000000008</v>
      </c>
    </row>
    <row r="24" spans="1:14" x14ac:dyDescent="0.25">
      <c r="A24" s="18" t="s">
        <v>29</v>
      </c>
      <c r="B24" s="12">
        <f>SUM(B18:B23)</f>
        <v>182779.20000000019</v>
      </c>
      <c r="C24" s="12">
        <f t="shared" ref="C24:N24" si="2">SUM(C18:C23)</f>
        <v>177203.80000000002</v>
      </c>
      <c r="D24" s="12">
        <f t="shared" si="2"/>
        <v>179935.60000000009</v>
      </c>
      <c r="E24" s="12">
        <f t="shared" si="2"/>
        <v>177924.10000000006</v>
      </c>
      <c r="F24" s="12">
        <f t="shared" si="2"/>
        <v>182736.80000000008</v>
      </c>
      <c r="G24" s="12">
        <f t="shared" si="2"/>
        <v>195288.20000000007</v>
      </c>
      <c r="H24" s="12">
        <f t="shared" si="2"/>
        <v>189493.50000000003</v>
      </c>
      <c r="I24" s="12">
        <f t="shared" si="2"/>
        <v>209626.10000000006</v>
      </c>
      <c r="J24" s="12">
        <f t="shared" si="2"/>
        <v>220363.49999999994</v>
      </c>
      <c r="K24" s="12">
        <f t="shared" si="2"/>
        <v>211026.90000000008</v>
      </c>
      <c r="L24" s="12">
        <f t="shared" si="2"/>
        <v>199848.70000000019</v>
      </c>
      <c r="M24" s="12">
        <f t="shared" si="2"/>
        <v>180271.6</v>
      </c>
      <c r="N24" s="12">
        <f t="shared" si="2"/>
        <v>2306498.0000000009</v>
      </c>
    </row>
    <row r="26" spans="1:14" x14ac:dyDescent="0.25">
      <c r="A26" s="18" t="s">
        <v>27</v>
      </c>
      <c r="B26" s="15">
        <f t="shared" ref="B26:N26" si="3">B15+B24</f>
        <v>2472397.8999999948</v>
      </c>
      <c r="C26" s="15">
        <f t="shared" si="3"/>
        <v>2429481.3999999971</v>
      </c>
      <c r="D26" s="15">
        <f t="shared" si="3"/>
        <v>2350393.5999999912</v>
      </c>
      <c r="E26" s="15">
        <f t="shared" si="3"/>
        <v>2343761.4000000088</v>
      </c>
      <c r="F26" s="15">
        <f t="shared" si="3"/>
        <v>2386398.9</v>
      </c>
      <c r="G26" s="15">
        <f t="shared" si="3"/>
        <v>2468893.9000000041</v>
      </c>
      <c r="H26" s="15">
        <f t="shared" si="3"/>
        <v>2451718.0000000056</v>
      </c>
      <c r="I26" s="15">
        <f t="shared" si="3"/>
        <v>2490092.0000000028</v>
      </c>
      <c r="J26" s="15">
        <f t="shared" si="3"/>
        <v>2499865.9999999967</v>
      </c>
      <c r="K26" s="15">
        <f t="shared" si="3"/>
        <v>2434256</v>
      </c>
      <c r="L26" s="15">
        <f t="shared" si="3"/>
        <v>2397449.5000000116</v>
      </c>
      <c r="M26" s="15">
        <f t="shared" si="3"/>
        <v>2390051.5999999964</v>
      </c>
      <c r="N26" s="15">
        <f t="shared" si="3"/>
        <v>29114760.200000003</v>
      </c>
    </row>
    <row r="28" spans="1:14" x14ac:dyDescent="0.25">
      <c r="A28" s="18" t="s">
        <v>30</v>
      </c>
    </row>
    <row r="29" spans="1:14" x14ac:dyDescent="0.25">
      <c r="A29" s="19" t="s">
        <v>0</v>
      </c>
      <c r="B29" s="2" t="s">
        <v>2</v>
      </c>
      <c r="C29" s="4" t="s">
        <v>4</v>
      </c>
      <c r="D29" s="6" t="s">
        <v>6</v>
      </c>
      <c r="E29" s="2" t="s">
        <v>8</v>
      </c>
      <c r="F29" s="4" t="s">
        <v>10</v>
      </c>
      <c r="G29" s="8" t="s">
        <v>12</v>
      </c>
      <c r="H29" s="2" t="s">
        <v>14</v>
      </c>
      <c r="I29" s="10" t="s">
        <v>16</v>
      </c>
      <c r="J29" s="8" t="s">
        <v>18</v>
      </c>
      <c r="K29" s="2" t="s">
        <v>20</v>
      </c>
      <c r="L29" s="4" t="s">
        <v>22</v>
      </c>
      <c r="M29" s="8" t="s">
        <v>24</v>
      </c>
      <c r="N29" s="17" t="s">
        <v>32</v>
      </c>
    </row>
    <row r="30" spans="1:14" x14ac:dyDescent="0.25">
      <c r="A30" s="18" t="s">
        <v>26</v>
      </c>
      <c r="B30" s="12">
        <v>42097.058000000034</v>
      </c>
      <c r="C30" s="12">
        <v>44123.885999999948</v>
      </c>
      <c r="D30" s="12">
        <v>44894.069999999927</v>
      </c>
      <c r="E30" s="12">
        <v>45524.218999999925</v>
      </c>
      <c r="F30" s="12">
        <v>43952.896000000008</v>
      </c>
      <c r="G30" s="12">
        <v>45098.102000000014</v>
      </c>
      <c r="H30" s="12">
        <v>45460.120000000024</v>
      </c>
      <c r="I30" s="12">
        <v>42986.857000000033</v>
      </c>
      <c r="J30" s="12">
        <v>45645.824999999997</v>
      </c>
      <c r="K30" s="12">
        <v>45971.21100000001</v>
      </c>
      <c r="L30" s="12">
        <v>46088.868999999984</v>
      </c>
      <c r="M30" s="12">
        <v>43428.070999999953</v>
      </c>
      <c r="N30" s="12">
        <f>SUM(B30:M30)</f>
        <v>535271.18399999989</v>
      </c>
    </row>
    <row r="31" spans="1:14" x14ac:dyDescent="0.25">
      <c r="A31" s="18" t="s">
        <v>34</v>
      </c>
      <c r="B31" s="12">
        <v>10451.051999999998</v>
      </c>
      <c r="C31" s="12">
        <v>8414.2850000000035</v>
      </c>
      <c r="D31" s="12">
        <v>7967.6220000000021</v>
      </c>
      <c r="E31" s="12">
        <v>8006.3700000000017</v>
      </c>
      <c r="F31" s="12">
        <v>9653.6839999999938</v>
      </c>
      <c r="G31" s="12">
        <v>10938.866999999998</v>
      </c>
      <c r="H31" s="12">
        <v>13933.595000000001</v>
      </c>
      <c r="I31" s="12">
        <v>15286.251999999999</v>
      </c>
      <c r="J31" s="12">
        <v>15161.209999999994</v>
      </c>
      <c r="K31" s="12">
        <v>12979.745999999999</v>
      </c>
      <c r="L31" s="12">
        <v>12880.640999999991</v>
      </c>
      <c r="M31" s="12">
        <v>13510.940000000002</v>
      </c>
      <c r="N31" s="12">
        <f>SUM(B31:M31)</f>
        <v>139184.26399999997</v>
      </c>
    </row>
    <row r="32" spans="1:14" x14ac:dyDescent="0.25">
      <c r="A32" s="18" t="s">
        <v>33</v>
      </c>
      <c r="B32" s="12">
        <v>14820.731000000002</v>
      </c>
      <c r="C32" s="12">
        <v>16395.537000000008</v>
      </c>
      <c r="D32" s="12">
        <v>18288.188999999998</v>
      </c>
      <c r="E32" s="12">
        <v>23206.022999999994</v>
      </c>
      <c r="F32" s="12">
        <v>24156.399999999998</v>
      </c>
      <c r="G32" s="12">
        <v>27123.860000000008</v>
      </c>
      <c r="H32" s="12">
        <v>23689.255999999983</v>
      </c>
      <c r="I32" s="12">
        <v>22190.138999999988</v>
      </c>
      <c r="J32" s="12">
        <v>19957.679999999975</v>
      </c>
      <c r="K32" s="12">
        <v>12573.202999999996</v>
      </c>
      <c r="L32" s="12">
        <v>10939.873000000003</v>
      </c>
      <c r="M32" s="12">
        <v>13216.781999999999</v>
      </c>
      <c r="N32" s="12">
        <f>SUM(B32:M32)</f>
        <v>226557.67299999998</v>
      </c>
    </row>
    <row r="33" spans="1:15" x14ac:dyDescent="0.25">
      <c r="A33" s="18">
        <v>855</v>
      </c>
      <c r="B33" s="12">
        <v>568133.02699999965</v>
      </c>
      <c r="C33" s="12">
        <v>550525.64599999762</v>
      </c>
      <c r="D33" s="12">
        <v>494965.55499999865</v>
      </c>
      <c r="E33" s="12">
        <v>465056.50000000029</v>
      </c>
      <c r="F33" s="12">
        <v>478152.07400000276</v>
      </c>
      <c r="G33" s="12">
        <v>510201.18500000116</v>
      </c>
      <c r="H33" s="12">
        <v>496693.17699999956</v>
      </c>
      <c r="I33" s="12">
        <v>504589.85999999917</v>
      </c>
      <c r="J33" s="12">
        <v>514747.93100000004</v>
      </c>
      <c r="K33" s="12">
        <v>493848.22799999936</v>
      </c>
      <c r="L33" s="12">
        <v>496463.57400000218</v>
      </c>
      <c r="M33" s="12">
        <v>505320.04199999908</v>
      </c>
      <c r="N33" s="12">
        <f>SUM(B33:M33)</f>
        <v>6078696.7989999987</v>
      </c>
    </row>
    <row r="34" spans="1:15" x14ac:dyDescent="0.25">
      <c r="A34" s="18">
        <v>857</v>
      </c>
      <c r="B34" s="13">
        <v>1462476.1440000008</v>
      </c>
      <c r="C34" s="13">
        <v>1415247.9909999846</v>
      </c>
      <c r="D34" s="13">
        <v>1320478.4290000086</v>
      </c>
      <c r="E34" s="13">
        <v>1283085.0089999977</v>
      </c>
      <c r="F34" s="13">
        <v>1404907.6209999926</v>
      </c>
      <c r="G34" s="13">
        <v>1404907.6209999926</v>
      </c>
      <c r="H34" s="13">
        <v>1387658.1229999955</v>
      </c>
      <c r="I34" s="13">
        <v>1412917.8800000064</v>
      </c>
      <c r="J34" s="13">
        <v>1427360.3510000207</v>
      </c>
      <c r="K34" s="13">
        <v>1380183.5230000124</v>
      </c>
      <c r="L34" s="13">
        <v>1370150.2380000011</v>
      </c>
      <c r="M34" s="13">
        <v>1367811.4349999996</v>
      </c>
      <c r="N34" s="13">
        <f>SUM(B34:M34)</f>
        <v>16637184.365000013</v>
      </c>
    </row>
    <row r="35" spans="1:15" x14ac:dyDescent="0.25">
      <c r="A35" s="18" t="s">
        <v>28</v>
      </c>
      <c r="B35" s="12">
        <f>SUM(B30:B34)</f>
        <v>2097978.0120000006</v>
      </c>
      <c r="C35" s="12">
        <f t="shared" ref="C35:M35" si="4">SUM(C30:C34)</f>
        <v>2034707.344999982</v>
      </c>
      <c r="D35" s="12">
        <f t="shared" si="4"/>
        <v>1886593.8650000072</v>
      </c>
      <c r="E35" s="12">
        <f t="shared" si="4"/>
        <v>1824878.1209999979</v>
      </c>
      <c r="F35" s="12">
        <f t="shared" si="4"/>
        <v>1960822.6749999954</v>
      </c>
      <c r="G35" s="12">
        <f t="shared" si="4"/>
        <v>1998269.6349999937</v>
      </c>
      <c r="H35" s="12">
        <f t="shared" si="4"/>
        <v>1967434.2709999951</v>
      </c>
      <c r="I35" s="12">
        <f t="shared" si="4"/>
        <v>1997970.9880000055</v>
      </c>
      <c r="J35" s="12">
        <f t="shared" si="4"/>
        <v>2022872.9970000207</v>
      </c>
      <c r="K35" s="12">
        <f t="shared" si="4"/>
        <v>1945555.9110000117</v>
      </c>
      <c r="L35" s="12">
        <f t="shared" si="4"/>
        <v>1936523.1950000031</v>
      </c>
      <c r="M35" s="12">
        <f t="shared" si="4"/>
        <v>1943287.2699999986</v>
      </c>
      <c r="N35" s="15">
        <f>SUM(N30:N34)</f>
        <v>23616894.285000011</v>
      </c>
      <c r="O35" s="15"/>
    </row>
    <row r="36" spans="1:15" x14ac:dyDescent="0.25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5" x14ac:dyDescent="0.25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5" x14ac:dyDescent="0.25">
      <c r="A38" s="18" t="s">
        <v>25</v>
      </c>
      <c r="B38" s="12">
        <v>5979.43</v>
      </c>
      <c r="C38" s="12">
        <v>4382.8849999999993</v>
      </c>
      <c r="D38" s="12">
        <v>5258.1889999999994</v>
      </c>
      <c r="E38" s="12">
        <v>3145.3700000000003</v>
      </c>
      <c r="F38" s="12">
        <v>4407.93</v>
      </c>
      <c r="G38" s="12">
        <v>4326.9120000000003</v>
      </c>
      <c r="H38" s="12">
        <v>6706.4609999999993</v>
      </c>
      <c r="I38" s="12">
        <v>16451.493999999999</v>
      </c>
      <c r="J38" s="12">
        <v>22392.038000000004</v>
      </c>
      <c r="K38" s="12">
        <v>22721.588000000003</v>
      </c>
      <c r="L38" s="12">
        <v>17326.021999999997</v>
      </c>
      <c r="M38" s="12">
        <v>8451.9380000000001</v>
      </c>
      <c r="N38" s="12">
        <f t="shared" ref="N38:N43" si="5">SUM(B38:M38)</f>
        <v>121550.257</v>
      </c>
    </row>
    <row r="39" spans="1:15" x14ac:dyDescent="0.25">
      <c r="A39" s="18" t="s">
        <v>36</v>
      </c>
      <c r="B39" s="12">
        <v>4099.5360000000001</v>
      </c>
      <c r="C39" s="12">
        <v>2899.0079999999998</v>
      </c>
      <c r="D39" s="12">
        <v>1683.0239999999999</v>
      </c>
      <c r="E39" s="12">
        <v>2046.7670000000003</v>
      </c>
      <c r="F39" s="12">
        <v>1464.9839999999999</v>
      </c>
      <c r="G39" s="12">
        <v>1361.1840000000002</v>
      </c>
      <c r="H39" s="12">
        <v>1462.848</v>
      </c>
      <c r="I39" s="12">
        <v>4665.7919999999995</v>
      </c>
      <c r="J39" s="12">
        <v>5310.1440000000002</v>
      </c>
      <c r="K39" s="12">
        <v>4477.7280000000001</v>
      </c>
      <c r="L39" s="12">
        <v>3940.1279999999997</v>
      </c>
      <c r="M39" s="12">
        <v>4640.2560000000003</v>
      </c>
      <c r="N39" s="12">
        <f t="shared" si="5"/>
        <v>38051.398999999998</v>
      </c>
    </row>
    <row r="40" spans="1:15" x14ac:dyDescent="0.25">
      <c r="A40" s="18" t="s">
        <v>35</v>
      </c>
      <c r="B40" s="12">
        <v>3693.6769999999997</v>
      </c>
      <c r="C40" s="12">
        <v>3503.1939999999995</v>
      </c>
      <c r="D40" s="12">
        <v>3260.6149999999998</v>
      </c>
      <c r="E40" s="12">
        <v>5272.5619999999999</v>
      </c>
      <c r="F40" s="12">
        <v>5676.308</v>
      </c>
      <c r="G40" s="12">
        <v>7038.1249999999991</v>
      </c>
      <c r="H40" s="12">
        <v>5304.9980000000005</v>
      </c>
      <c r="I40" s="12">
        <v>5812.6840000000002</v>
      </c>
      <c r="J40" s="12">
        <v>4542.7970000000005</v>
      </c>
      <c r="K40" s="12">
        <v>2727.558</v>
      </c>
      <c r="L40" s="12">
        <v>2279.558</v>
      </c>
      <c r="M40" s="12">
        <v>2368.4609999999998</v>
      </c>
      <c r="N40" s="12">
        <f t="shared" si="5"/>
        <v>51480.536999999997</v>
      </c>
    </row>
    <row r="41" spans="1:15" x14ac:dyDescent="0.25">
      <c r="A41" s="18">
        <v>853</v>
      </c>
      <c r="B41" s="12">
        <v>102.78400000000001</v>
      </c>
      <c r="C41" s="12">
        <v>98.304000000000002</v>
      </c>
      <c r="D41" s="12">
        <v>88.703999999999994</v>
      </c>
      <c r="E41" s="12">
        <v>106.88</v>
      </c>
      <c r="F41" s="12">
        <v>60.16</v>
      </c>
      <c r="G41" s="12">
        <v>124.928</v>
      </c>
      <c r="H41" s="12">
        <v>153.08799999999999</v>
      </c>
      <c r="I41" s="12">
        <v>137.21600000000001</v>
      </c>
      <c r="J41" s="12">
        <v>0</v>
      </c>
      <c r="K41" s="12">
        <v>205.952</v>
      </c>
      <c r="L41" s="12">
        <v>103.29600000000001</v>
      </c>
      <c r="M41" s="12">
        <v>81.664000000000001</v>
      </c>
      <c r="N41" s="12">
        <f t="shared" si="5"/>
        <v>1262.9760000000001</v>
      </c>
    </row>
    <row r="42" spans="1:15" x14ac:dyDescent="0.25">
      <c r="A42" s="18">
        <v>856</v>
      </c>
      <c r="B42" s="12">
        <v>8521.876000000002</v>
      </c>
      <c r="C42" s="12">
        <v>8612.652</v>
      </c>
      <c r="D42" s="12">
        <v>8560.9599999999991</v>
      </c>
      <c r="E42" s="12">
        <v>9005.8150000000005</v>
      </c>
      <c r="F42" s="12">
        <v>9108.0249999999996</v>
      </c>
      <c r="G42" s="12">
        <v>9866.4510000000028</v>
      </c>
      <c r="H42" s="12">
        <v>9321.7450000000008</v>
      </c>
      <c r="I42" s="12">
        <v>8974.6340000000018</v>
      </c>
      <c r="J42" s="12">
        <v>9847.9600000000009</v>
      </c>
      <c r="K42" s="12">
        <v>10010.989999999998</v>
      </c>
      <c r="L42" s="12">
        <v>9276.7180000000008</v>
      </c>
      <c r="M42" s="12">
        <v>8703.4979999999978</v>
      </c>
      <c r="N42" s="12">
        <f t="shared" si="5"/>
        <v>109811.32399999999</v>
      </c>
    </row>
    <row r="43" spans="1:15" x14ac:dyDescent="0.25">
      <c r="A43" s="18">
        <v>858</v>
      </c>
      <c r="B43" s="13">
        <v>140950.73399999991</v>
      </c>
      <c r="C43" s="13">
        <v>135749.777</v>
      </c>
      <c r="D43" s="13">
        <v>141998.101</v>
      </c>
      <c r="E43" s="13">
        <v>140405.75100000005</v>
      </c>
      <c r="F43" s="13">
        <v>146671.50200000004</v>
      </c>
      <c r="G43" s="13">
        <v>155734.11899999992</v>
      </c>
      <c r="H43" s="13">
        <v>153271.74199999991</v>
      </c>
      <c r="I43" s="13">
        <v>152945.22599999997</v>
      </c>
      <c r="J43" s="13">
        <v>158626.19099999999</v>
      </c>
      <c r="K43" s="13">
        <v>152882.60300000006</v>
      </c>
      <c r="L43" s="13">
        <v>147556.99799999993</v>
      </c>
      <c r="M43" s="13">
        <v>136254.94</v>
      </c>
      <c r="N43" s="13">
        <f t="shared" si="5"/>
        <v>1763047.6839999997</v>
      </c>
    </row>
    <row r="44" spans="1:15" x14ac:dyDescent="0.25">
      <c r="A44" s="18" t="s">
        <v>29</v>
      </c>
      <c r="B44" s="12">
        <f>SUM(B38:B43)</f>
        <v>163348.03699999989</v>
      </c>
      <c r="C44" s="12">
        <f t="shared" ref="C44:N44" si="6">SUM(C38:C43)</f>
        <v>155245.82</v>
      </c>
      <c r="D44" s="12">
        <f t="shared" si="6"/>
        <v>160849.59299999999</v>
      </c>
      <c r="E44" s="12">
        <f t="shared" si="6"/>
        <v>159983.14500000005</v>
      </c>
      <c r="F44" s="12">
        <f t="shared" si="6"/>
        <v>167388.90900000004</v>
      </c>
      <c r="G44" s="12">
        <f t="shared" si="6"/>
        <v>178451.71899999992</v>
      </c>
      <c r="H44" s="12">
        <f t="shared" si="6"/>
        <v>176220.88199999993</v>
      </c>
      <c r="I44" s="12">
        <f t="shared" si="6"/>
        <v>188987.04599999997</v>
      </c>
      <c r="J44" s="12">
        <f t="shared" si="6"/>
        <v>200719.13</v>
      </c>
      <c r="K44" s="12">
        <f t="shared" si="6"/>
        <v>193026.41900000005</v>
      </c>
      <c r="L44" s="12">
        <f t="shared" si="6"/>
        <v>180482.71999999991</v>
      </c>
      <c r="M44" s="12">
        <f t="shared" si="6"/>
        <v>160500.75699999998</v>
      </c>
      <c r="N44" s="12">
        <f t="shared" si="6"/>
        <v>2085204.1769999997</v>
      </c>
      <c r="O44" s="12"/>
    </row>
    <row r="46" spans="1:15" x14ac:dyDescent="0.25">
      <c r="A46" s="18" t="s">
        <v>27</v>
      </c>
      <c r="B46" s="15">
        <f t="shared" ref="B46:N46" si="7">B35+B44</f>
        <v>2261326.0490000006</v>
      </c>
      <c r="C46" s="15">
        <f t="shared" si="7"/>
        <v>2189953.1649999819</v>
      </c>
      <c r="D46" s="15">
        <f t="shared" si="7"/>
        <v>2047443.4580000071</v>
      </c>
      <c r="E46" s="15">
        <f t="shared" si="7"/>
        <v>1984861.265999998</v>
      </c>
      <c r="F46" s="15">
        <f t="shared" si="7"/>
        <v>2128211.5839999956</v>
      </c>
      <c r="G46" s="15">
        <f t="shared" si="7"/>
        <v>2176721.3539999938</v>
      </c>
      <c r="H46" s="15">
        <f t="shared" si="7"/>
        <v>2143655.1529999948</v>
      </c>
      <c r="I46" s="16">
        <f t="shared" si="7"/>
        <v>2186958.0340000056</v>
      </c>
      <c r="J46" s="15">
        <f t="shared" si="7"/>
        <v>2223592.1270000208</v>
      </c>
      <c r="K46" s="15">
        <f t="shared" si="7"/>
        <v>2138582.3300000117</v>
      </c>
      <c r="L46" s="15">
        <f t="shared" si="7"/>
        <v>2117005.9150000028</v>
      </c>
      <c r="M46" s="15">
        <f t="shared" si="7"/>
        <v>2103788.0269999988</v>
      </c>
      <c r="N46" s="15">
        <f t="shared" si="7"/>
        <v>25702098.462000012</v>
      </c>
      <c r="O46" s="15"/>
    </row>
    <row r="47" spans="1:15" x14ac:dyDescent="0.25">
      <c r="B47" s="15"/>
    </row>
    <row r="48" spans="1:15" x14ac:dyDescent="0.25">
      <c r="A48" s="20" t="s">
        <v>38</v>
      </c>
    </row>
    <row r="49" spans="1:14" x14ac:dyDescent="0.25">
      <c r="A49" s="18" t="s">
        <v>28</v>
      </c>
      <c r="B49" s="12">
        <f>ROUND(B35*'Central Adj WP'!D20,2)</f>
        <v>-24897.42</v>
      </c>
      <c r="C49" s="12">
        <f>ROUND(C35*'Central Adj WP'!E20,2)</f>
        <v>-7516.26</v>
      </c>
      <c r="D49" s="12">
        <f>ROUND(D35*'Central Adj WP'!F20,2)</f>
        <v>-38917.279999999999</v>
      </c>
      <c r="E49" s="12">
        <f>ROUND(E35*'Central Adj WP'!G20,2)</f>
        <v>-18745.47</v>
      </c>
      <c r="F49" s="12">
        <f>ROUND(F35*'Central Adj WP'!H20,2)</f>
        <v>44827.95</v>
      </c>
      <c r="G49" s="12">
        <f>ROUND(G35*'Central Adj WP'!I20,2)</f>
        <v>-46734.41</v>
      </c>
      <c r="H49" s="12">
        <f>ROUND(H35*'Central Adj WP'!J20,2)</f>
        <v>19413.490000000002</v>
      </c>
      <c r="I49" s="12">
        <f>ROUND(I35*'Central Adj WP'!K20,2)</f>
        <v>16477.419999999998</v>
      </c>
      <c r="J49" s="12">
        <f>ROUND(J35*'Central Adj WP'!L20,2)</f>
        <v>-5805.99</v>
      </c>
      <c r="K49" s="12">
        <f>ROUND(K35*'Central Adj WP'!M20,2)</f>
        <v>593.20000000000005</v>
      </c>
      <c r="L49" s="12">
        <f>ROUND(L35*'Central Adj WP'!N20,2)</f>
        <v>48338.69</v>
      </c>
      <c r="M49" s="12">
        <f>ROUND(M35*'Central Adj WP'!O20,2)</f>
        <v>34158.35</v>
      </c>
      <c r="N49" s="15">
        <f>SUM(B49:M49)</f>
        <v>21192.270000000004</v>
      </c>
    </row>
    <row r="50" spans="1:14" x14ac:dyDescent="0.25">
      <c r="A50" s="18" t="s">
        <v>29</v>
      </c>
      <c r="B50" s="12">
        <f>ROUND(B44*'Central Adj WP'!D21,2)</f>
        <v>-1927.7</v>
      </c>
      <c r="C50" s="12">
        <f>ROUND(C44*'Central Adj WP'!E21,2)</f>
        <v>-568.58000000000004</v>
      </c>
      <c r="D50" s="12">
        <f>ROUND(D44*'Central Adj WP'!F21,2)</f>
        <v>-3317.7</v>
      </c>
      <c r="E50" s="12">
        <f>ROUND(E44*'Central Adj WP'!G21,2)</f>
        <v>-1652.74</v>
      </c>
      <c r="F50" s="12">
        <f>ROUND(F44*'Central Adj WP'!H21,2)</f>
        <v>3833.6</v>
      </c>
      <c r="G50" s="12">
        <f>ROUND(G44*'Central Adj WP'!I21,2)</f>
        <v>-4261.75</v>
      </c>
      <c r="H50" s="12">
        <f>ROUND(H44*'Central Adj WP'!J21,2)</f>
        <v>1705.65</v>
      </c>
      <c r="I50" s="12">
        <f>ROUND(I44*'Central Adj WP'!K21,2)</f>
        <v>1500.37</v>
      </c>
      <c r="J50" s="12">
        <f>ROUND(J44*'Central Adj WP'!L21,2)</f>
        <v>-492.76</v>
      </c>
      <c r="K50" s="12">
        <f>ROUND(K44*'Central Adj WP'!M21,2)</f>
        <v>50.65</v>
      </c>
      <c r="L50" s="12">
        <f>ROUND(L44*'Central Adj WP'!N21,2)</f>
        <v>4033.97</v>
      </c>
      <c r="M50" s="12">
        <f>ROUND(M44*'Central Adj WP'!O21,2)</f>
        <v>2660.47</v>
      </c>
      <c r="N50" s="15">
        <f>SUM(B50:M50)</f>
        <v>1563.4799999999996</v>
      </c>
    </row>
    <row r="51" spans="1:14" x14ac:dyDescent="0.25">
      <c r="A51" s="20" t="s">
        <v>27</v>
      </c>
    </row>
    <row r="54" spans="1:14" x14ac:dyDescent="0.25">
      <c r="A54" s="20" t="s">
        <v>39</v>
      </c>
    </row>
    <row r="55" spans="1:14" x14ac:dyDescent="0.25">
      <c r="A55" s="18" t="s">
        <v>28</v>
      </c>
      <c r="B55" s="12">
        <f>ROUND((B35+B49)*'Central Adj WP'!D29,2)</f>
        <v>81496.66</v>
      </c>
      <c r="C55" s="12">
        <f>ROUND((C35+C49)*'Central Adj WP'!E29,2)</f>
        <v>37731.480000000003</v>
      </c>
      <c r="D55" s="12">
        <f>ROUND((D35+D49)*'Central Adj WP'!F29,2)</f>
        <v>11660.39</v>
      </c>
      <c r="E55" s="12">
        <f>ROUND((E35+E49)*'Central Adj WP'!G29,2)</f>
        <v>9701.4699999999993</v>
      </c>
      <c r="F55" s="12">
        <f>ROUND((F35+F49)*'Central Adj WP'!H29,2)</f>
        <v>15841.18</v>
      </c>
      <c r="G55" s="12">
        <f>ROUND((G35+G49)*'Central Adj WP'!I29,2)</f>
        <v>12445.51</v>
      </c>
      <c r="H55" s="12">
        <f>ROUND((H35+H49)*'Central Adj WP'!J29,2)</f>
        <v>10923.86</v>
      </c>
      <c r="I55" s="12">
        <f>ROUND((I35+I49)*'Central Adj WP'!K29,2)</f>
        <v>2181.1799999999998</v>
      </c>
      <c r="J55" s="12">
        <f>ROUND((J35+J49)*'Central Adj WP'!L29,2)</f>
        <v>9047.7199999999993</v>
      </c>
      <c r="K55" s="12">
        <f>ROUND((K35+K49)*'Central Adj WP'!M29,2)</f>
        <v>9560.49</v>
      </c>
      <c r="L55" s="12">
        <f>ROUND((L35+L49)*'Central Adj WP'!N29,2)</f>
        <v>4026.4</v>
      </c>
      <c r="M55" s="12">
        <f>ROUND((M35+M49)*'Central Adj WP'!O29,2)</f>
        <v>0</v>
      </c>
      <c r="N55" s="15">
        <f>SUM(B55:M55)</f>
        <v>204616.33999999997</v>
      </c>
    </row>
    <row r="56" spans="1:14" x14ac:dyDescent="0.25">
      <c r="A56" s="18" t="s">
        <v>29</v>
      </c>
      <c r="B56" s="12">
        <f>ROUND((B44+B50)*'Central Adj WP'!D30,2)</f>
        <v>-9794.7999999999993</v>
      </c>
      <c r="C56" s="12">
        <f>ROUND((C44+C50)*'Central Adj WP'!E30,2)</f>
        <v>-10303.92</v>
      </c>
      <c r="D56" s="12">
        <f>ROUND((D44+D50)*'Central Adj WP'!F30,2)</f>
        <v>-9895.68</v>
      </c>
      <c r="E56" s="12">
        <f>ROUND((E44+E50)*'Central Adj WP'!G30,2)</f>
        <v>-9621.61</v>
      </c>
      <c r="F56" s="12">
        <f>ROUND((F44+F50)*'Central Adj WP'!H30,2)</f>
        <v>-9787.4500000000007</v>
      </c>
      <c r="G56" s="12">
        <f>ROUND((G44+G50)*'Central Adj WP'!I30,2)</f>
        <v>-7590.62</v>
      </c>
      <c r="H56" s="12">
        <f>ROUND((H44+H50)*'Central Adj WP'!J30,2)</f>
        <v>-6992.31</v>
      </c>
      <c r="I56" s="12">
        <f>ROUND((I44+I50)*'Central Adj WP'!K30,2)</f>
        <v>-10729.39</v>
      </c>
      <c r="J56" s="12">
        <f>ROUND((J44+J50)*'Central Adj WP'!L30,2)</f>
        <v>624.16999999999996</v>
      </c>
      <c r="K56" s="12">
        <f>ROUND((K44+K50)*'Central Adj WP'!M30,2)</f>
        <v>603.52</v>
      </c>
      <c r="L56" s="12">
        <f>ROUND((L44+L50)*'Central Adj WP'!N30,2)</f>
        <v>0</v>
      </c>
      <c r="M56" s="12">
        <f>ROUND((M44+M50)*'Central Adj WP'!O30,2)</f>
        <v>0</v>
      </c>
      <c r="N56" s="15">
        <f>SUM(B56:M56)</f>
        <v>-73488.09</v>
      </c>
    </row>
    <row r="57" spans="1:14" x14ac:dyDescent="0.25">
      <c r="A57" s="20" t="s">
        <v>27</v>
      </c>
    </row>
    <row r="60" spans="1:14" x14ac:dyDescent="0.25">
      <c r="A60" s="20" t="s">
        <v>37</v>
      </c>
    </row>
    <row r="61" spans="1:14" x14ac:dyDescent="0.25">
      <c r="A61" s="18" t="s">
        <v>28</v>
      </c>
      <c r="B61" s="15">
        <f>B35+B49+B55</f>
        <v>2154577.2520000008</v>
      </c>
      <c r="C61" s="15">
        <f t="shared" ref="C61:M61" si="8">C35+C49+C55</f>
        <v>2064922.564999982</v>
      </c>
      <c r="D61" s="15">
        <f t="shared" si="8"/>
        <v>1859336.9750000071</v>
      </c>
      <c r="E61" s="15">
        <f t="shared" si="8"/>
        <v>1815834.1209999979</v>
      </c>
      <c r="F61" s="15">
        <f t="shared" si="8"/>
        <v>2021491.8049999953</v>
      </c>
      <c r="G61" s="15">
        <f t="shared" si="8"/>
        <v>1963980.7349999938</v>
      </c>
      <c r="H61" s="15">
        <f t="shared" si="8"/>
        <v>1997771.6209999952</v>
      </c>
      <c r="I61" s="15">
        <f t="shared" si="8"/>
        <v>2016629.5880000053</v>
      </c>
      <c r="J61" s="15">
        <f t="shared" si="8"/>
        <v>2026114.7270000207</v>
      </c>
      <c r="K61" s="15">
        <f t="shared" si="8"/>
        <v>1955709.6010000117</v>
      </c>
      <c r="L61" s="15">
        <f t="shared" si="8"/>
        <v>1988888.2850000029</v>
      </c>
      <c r="M61" s="15">
        <f t="shared" si="8"/>
        <v>1977445.6199999987</v>
      </c>
      <c r="N61" s="15">
        <f>SUM(B61:M61)</f>
        <v>23842702.895000011</v>
      </c>
    </row>
    <row r="62" spans="1:14" x14ac:dyDescent="0.25">
      <c r="A62" s="27" t="s">
        <v>29</v>
      </c>
      <c r="B62" s="26">
        <f>B44+B50+B56</f>
        <v>151625.53699999989</v>
      </c>
      <c r="C62" s="26">
        <f t="shared" ref="C62:M62" si="9">C44+C50+C56</f>
        <v>144373.32</v>
      </c>
      <c r="D62" s="26">
        <f t="shared" si="9"/>
        <v>147636.21299999999</v>
      </c>
      <c r="E62" s="26">
        <f t="shared" si="9"/>
        <v>148708.79500000004</v>
      </c>
      <c r="F62" s="26">
        <f t="shared" si="9"/>
        <v>161435.05900000004</v>
      </c>
      <c r="G62" s="26">
        <f t="shared" si="9"/>
        <v>166599.34899999993</v>
      </c>
      <c r="H62" s="26">
        <f t="shared" si="9"/>
        <v>170934.22199999992</v>
      </c>
      <c r="I62" s="26">
        <f t="shared" si="9"/>
        <v>179758.02599999995</v>
      </c>
      <c r="J62" s="26">
        <f t="shared" si="9"/>
        <v>200850.54</v>
      </c>
      <c r="K62" s="26">
        <f t="shared" si="9"/>
        <v>193680.58900000004</v>
      </c>
      <c r="L62" s="26">
        <f t="shared" si="9"/>
        <v>184516.68999999992</v>
      </c>
      <c r="M62" s="26">
        <f t="shared" si="9"/>
        <v>163161.22699999998</v>
      </c>
      <c r="N62" s="26">
        <f>SUM(B62:M62)</f>
        <v>2013279.5669999998</v>
      </c>
    </row>
    <row r="63" spans="1:14" x14ac:dyDescent="0.25">
      <c r="A63" s="20" t="s">
        <v>27</v>
      </c>
      <c r="B63" s="15">
        <f>SUM(B61:B62)</f>
        <v>2306202.7890000008</v>
      </c>
      <c r="C63" s="15">
        <f t="shared" ref="C63:M63" si="10">SUM(C61:C62)</f>
        <v>2209295.8849999821</v>
      </c>
      <c r="D63" s="15">
        <f t="shared" si="10"/>
        <v>2006973.1880000071</v>
      </c>
      <c r="E63" s="15">
        <f t="shared" si="10"/>
        <v>1964542.9159999979</v>
      </c>
      <c r="F63" s="15">
        <f t="shared" si="10"/>
        <v>2182926.8639999954</v>
      </c>
      <c r="G63" s="15">
        <f t="shared" si="10"/>
        <v>2130580.0839999937</v>
      </c>
      <c r="H63" s="15">
        <f t="shared" si="10"/>
        <v>2168705.8429999952</v>
      </c>
      <c r="I63" s="15">
        <f t="shared" si="10"/>
        <v>2196387.6140000052</v>
      </c>
      <c r="J63" s="15">
        <f t="shared" si="10"/>
        <v>2226965.2670000205</v>
      </c>
      <c r="K63" s="15">
        <f t="shared" si="10"/>
        <v>2149390.1900000116</v>
      </c>
      <c r="L63" s="15">
        <f t="shared" si="10"/>
        <v>2173404.9750000029</v>
      </c>
      <c r="M63" s="15">
        <f t="shared" si="10"/>
        <v>2140606.8469999987</v>
      </c>
      <c r="N63" s="15">
        <f>SUM(N61:N62)</f>
        <v>25855982.462000012</v>
      </c>
    </row>
    <row r="65" spans="14:14" x14ac:dyDescent="0.25">
      <c r="N65" s="15"/>
    </row>
  </sheetData>
  <printOptions horizontalCentered="1"/>
  <pageMargins left="0.7" right="0.7" top="0.75" bottom="0.75" header="0.3" footer="0.3"/>
  <pageSetup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9"/>
  <sheetViews>
    <sheetView workbookViewId="0">
      <selection activeCell="E35" sqref="E35"/>
    </sheetView>
  </sheetViews>
  <sheetFormatPr defaultRowHeight="15" x14ac:dyDescent="0.25"/>
  <cols>
    <col min="1" max="1" width="41" style="18" customWidth="1"/>
    <col min="2" max="13" width="13.28515625" bestFit="1" customWidth="1"/>
    <col min="14" max="14" width="14.28515625" bestFit="1" customWidth="1"/>
  </cols>
  <sheetData>
    <row r="1" spans="1:16" ht="15.75" thickBot="1" x14ac:dyDescent="0.3"/>
    <row r="2" spans="1:16" x14ac:dyDescent="0.25">
      <c r="A2" s="28" t="s">
        <v>65</v>
      </c>
    </row>
    <row r="3" spans="1:16" x14ac:dyDescent="0.25">
      <c r="A3" s="29" t="s">
        <v>66</v>
      </c>
    </row>
    <row r="4" spans="1:16" x14ac:dyDescent="0.25">
      <c r="A4" s="29" t="s">
        <v>69</v>
      </c>
    </row>
    <row r="5" spans="1:16" x14ac:dyDescent="0.25">
      <c r="A5" s="29" t="s">
        <v>67</v>
      </c>
    </row>
    <row r="6" spans="1:16" ht="15.75" thickBot="1" x14ac:dyDescent="0.3">
      <c r="A6" s="30" t="s">
        <v>68</v>
      </c>
    </row>
    <row r="8" spans="1:16" x14ac:dyDescent="0.25">
      <c r="A8" s="18" t="s">
        <v>64</v>
      </c>
    </row>
    <row r="9" spans="1:16" x14ac:dyDescent="0.25">
      <c r="A9" s="19" t="s">
        <v>0</v>
      </c>
      <c r="B9" s="1" t="s">
        <v>1</v>
      </c>
      <c r="C9" s="3" t="s">
        <v>3</v>
      </c>
      <c r="D9" s="5" t="s">
        <v>5</v>
      </c>
      <c r="E9" s="1" t="s">
        <v>7</v>
      </c>
      <c r="F9" s="3" t="s">
        <v>9</v>
      </c>
      <c r="G9" s="7" t="s">
        <v>11</v>
      </c>
      <c r="H9" s="1" t="s">
        <v>13</v>
      </c>
      <c r="I9" s="9" t="s">
        <v>15</v>
      </c>
      <c r="J9" s="7" t="s">
        <v>17</v>
      </c>
      <c r="K9" s="1" t="s">
        <v>19</v>
      </c>
      <c r="L9" s="3" t="s">
        <v>21</v>
      </c>
      <c r="M9" s="7" t="s">
        <v>23</v>
      </c>
      <c r="N9" s="17" t="s">
        <v>31</v>
      </c>
    </row>
    <row r="10" spans="1:16" x14ac:dyDescent="0.25">
      <c r="A10" s="18">
        <v>833</v>
      </c>
      <c r="B10" s="12">
        <v>144.9</v>
      </c>
      <c r="C10" s="12">
        <v>143.70000000000002</v>
      </c>
      <c r="D10" s="12">
        <v>142.20000000000002</v>
      </c>
      <c r="E10" s="12">
        <v>141.4</v>
      </c>
      <c r="F10" s="12">
        <v>166.49999999999997</v>
      </c>
      <c r="G10" s="12">
        <v>147.20000000000002</v>
      </c>
      <c r="H10" s="12">
        <v>139.5</v>
      </c>
      <c r="I10" s="12">
        <v>139.5</v>
      </c>
      <c r="J10" s="12">
        <v>154.9</v>
      </c>
      <c r="K10" s="12">
        <v>123.20000000000002</v>
      </c>
      <c r="L10" s="12">
        <v>123.20000000000002</v>
      </c>
      <c r="M10" s="12">
        <v>128.60000000000002</v>
      </c>
      <c r="N10" s="12">
        <f>SUM(B10:M10)</f>
        <v>1694.8000000000002</v>
      </c>
      <c r="O10" s="11"/>
      <c r="P10" s="11"/>
    </row>
    <row r="11" spans="1:16" x14ac:dyDescent="0.25">
      <c r="A11" s="18">
        <v>835</v>
      </c>
      <c r="B11" s="12">
        <v>1356.9999999999998</v>
      </c>
      <c r="C11" s="12">
        <v>1394.7</v>
      </c>
      <c r="D11" s="12">
        <v>1467.7999999999997</v>
      </c>
      <c r="E11" s="12">
        <v>1471.2999999999997</v>
      </c>
      <c r="F11" s="12">
        <v>1448.8999999999996</v>
      </c>
      <c r="G11" s="12">
        <v>1433.9999999999998</v>
      </c>
      <c r="H11" s="12">
        <v>1408.3999999999999</v>
      </c>
      <c r="I11" s="12">
        <v>1424.6999999999998</v>
      </c>
      <c r="J11" s="12">
        <v>1406.8</v>
      </c>
      <c r="K11" s="12">
        <v>1411.5</v>
      </c>
      <c r="L11" s="12">
        <v>1417.1</v>
      </c>
      <c r="M11" s="12">
        <v>1392.8</v>
      </c>
      <c r="N11" s="12">
        <f>SUM(B11:M11)</f>
        <v>17035</v>
      </c>
    </row>
    <row r="12" spans="1:16" x14ac:dyDescent="0.25">
      <c r="A12" s="18">
        <v>836</v>
      </c>
      <c r="B12" s="12">
        <v>521168.50000000047</v>
      </c>
      <c r="C12" s="12">
        <v>514659.19999999978</v>
      </c>
      <c r="D12" s="12">
        <v>508468.2000000017</v>
      </c>
      <c r="E12" s="12">
        <v>504695.200000001</v>
      </c>
      <c r="F12" s="12">
        <v>515750.29999999976</v>
      </c>
      <c r="G12" s="12">
        <v>535685.49999999988</v>
      </c>
      <c r="H12" s="12">
        <v>545389.59999999846</v>
      </c>
      <c r="I12" s="12">
        <v>540841.79999999818</v>
      </c>
      <c r="J12" s="12">
        <v>537227.39999999886</v>
      </c>
      <c r="K12" s="12">
        <v>520588.69999999885</v>
      </c>
      <c r="L12" s="12">
        <v>515706.30000000016</v>
      </c>
      <c r="M12" s="12">
        <v>520131.49999999983</v>
      </c>
      <c r="N12" s="12">
        <f>SUM(B12:M12)</f>
        <v>6280312.1999999965</v>
      </c>
    </row>
    <row r="13" spans="1:16" x14ac:dyDescent="0.25">
      <c r="A13" s="18" t="s">
        <v>33</v>
      </c>
      <c r="B13" s="12">
        <v>2579.8000000000002</v>
      </c>
      <c r="C13" s="12">
        <v>3277.5999999999995</v>
      </c>
      <c r="D13" s="12">
        <v>3837.2999999999993</v>
      </c>
      <c r="E13" s="12">
        <v>4421.9999999999991</v>
      </c>
      <c r="F13" s="12">
        <v>5363.2</v>
      </c>
      <c r="G13" s="12">
        <v>6432.5</v>
      </c>
      <c r="H13" s="12">
        <v>6261.2999999999993</v>
      </c>
      <c r="I13" s="12">
        <v>6489.2999999999975</v>
      </c>
      <c r="J13" s="12">
        <v>6271.4000000000015</v>
      </c>
      <c r="K13" s="12">
        <v>3856.6</v>
      </c>
      <c r="L13" s="12">
        <v>2565.6</v>
      </c>
      <c r="M13" s="12">
        <v>2560.8000000000002</v>
      </c>
      <c r="N13" s="12">
        <f>SUM(B13:M13)</f>
        <v>53917.399999999994</v>
      </c>
    </row>
    <row r="14" spans="1:16" x14ac:dyDescent="0.25">
      <c r="A14" s="18" t="s">
        <v>40</v>
      </c>
      <c r="B14" s="13">
        <v>807.40000000000009</v>
      </c>
      <c r="C14" s="13">
        <v>839.20000000000016</v>
      </c>
      <c r="D14" s="13">
        <v>720.2</v>
      </c>
      <c r="E14" s="13">
        <v>798.49999999999989</v>
      </c>
      <c r="F14" s="13">
        <v>695.40000000000009</v>
      </c>
      <c r="G14" s="13">
        <v>881.90000000000009</v>
      </c>
      <c r="H14" s="13">
        <v>765.59999999999991</v>
      </c>
      <c r="I14" s="13">
        <v>828.5</v>
      </c>
      <c r="J14" s="13">
        <v>859.4</v>
      </c>
      <c r="K14" s="13">
        <v>789.69999999999993</v>
      </c>
      <c r="L14" s="13">
        <v>875.6</v>
      </c>
      <c r="M14" s="13">
        <v>915.39999999999986</v>
      </c>
      <c r="N14" s="13">
        <f>SUM(B14:M14)</f>
        <v>9776.7999999999993</v>
      </c>
    </row>
    <row r="15" spans="1:16" x14ac:dyDescent="0.25">
      <c r="A15" s="18" t="s">
        <v>28</v>
      </c>
      <c r="B15" s="12">
        <f>SUM(B10:B14)</f>
        <v>526057.60000000056</v>
      </c>
      <c r="C15" s="12">
        <f>SUM(C10:C14)</f>
        <v>520314.39999999979</v>
      </c>
      <c r="D15" s="12">
        <f t="shared" ref="D15:M15" si="0">SUM(D10:D14)</f>
        <v>514635.7000000017</v>
      </c>
      <c r="E15" s="12">
        <f t="shared" si="0"/>
        <v>511528.40000000101</v>
      </c>
      <c r="F15" s="12">
        <f t="shared" si="0"/>
        <v>523424.29999999981</v>
      </c>
      <c r="G15" s="12">
        <f t="shared" si="0"/>
        <v>544581.09999999986</v>
      </c>
      <c r="H15" s="12">
        <f t="shared" si="0"/>
        <v>553964.39999999851</v>
      </c>
      <c r="I15" s="12">
        <f t="shared" si="0"/>
        <v>549723.79999999818</v>
      </c>
      <c r="J15" s="12">
        <f t="shared" si="0"/>
        <v>545919.89999999886</v>
      </c>
      <c r="K15" s="12">
        <f t="shared" si="0"/>
        <v>526769.69999999879</v>
      </c>
      <c r="L15" s="12">
        <f t="shared" si="0"/>
        <v>520687.8000000001</v>
      </c>
      <c r="M15" s="12">
        <f t="shared" si="0"/>
        <v>525129.09999999986</v>
      </c>
      <c r="N15" s="12">
        <f>SUM(N10:N14)</f>
        <v>6362736.1999999965</v>
      </c>
    </row>
    <row r="16" spans="1:16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5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5" x14ac:dyDescent="0.25">
      <c r="A18" s="18">
        <v>837</v>
      </c>
      <c r="B18" s="11">
        <v>96808.000000000029</v>
      </c>
      <c r="C18" s="11">
        <v>87094.500000000029</v>
      </c>
      <c r="D18" s="11">
        <v>88045.799999999988</v>
      </c>
      <c r="E18" s="11">
        <v>88410.000000000044</v>
      </c>
      <c r="F18" s="11">
        <v>95431.600000000035</v>
      </c>
      <c r="G18" s="11">
        <v>85068.000000000044</v>
      </c>
      <c r="H18" s="11">
        <v>101386.90000000002</v>
      </c>
      <c r="I18" s="11">
        <v>89587.599999999977</v>
      </c>
      <c r="J18" s="11">
        <v>92230.100000000064</v>
      </c>
      <c r="K18" s="11">
        <v>87860.000000000044</v>
      </c>
      <c r="L18" s="11">
        <v>86361.800000000032</v>
      </c>
      <c r="M18" s="11">
        <v>85116.200000000012</v>
      </c>
      <c r="N18" s="12">
        <f t="shared" ref="N18:N19" si="1">SUM(B18:M18)</f>
        <v>1083400.5000000002</v>
      </c>
    </row>
    <row r="19" spans="1:15" x14ac:dyDescent="0.25">
      <c r="A19" s="18" t="s">
        <v>35</v>
      </c>
      <c r="B19" s="21">
        <v>26260.500000000004</v>
      </c>
      <c r="C19" s="21">
        <v>27058.7</v>
      </c>
      <c r="D19" s="21">
        <v>17402.100000000002</v>
      </c>
      <c r="E19" s="21">
        <v>8499.6</v>
      </c>
      <c r="F19" s="21">
        <v>1245.4000000000001</v>
      </c>
      <c r="G19" s="21">
        <v>1346.8</v>
      </c>
      <c r="H19" s="22">
        <v>1082.0999999999997</v>
      </c>
      <c r="I19" s="22">
        <v>990.89999999999986</v>
      </c>
      <c r="J19" s="22">
        <v>1026.3</v>
      </c>
      <c r="K19" s="22">
        <v>4460.7000000000007</v>
      </c>
      <c r="L19" s="22">
        <v>11532.400000000001</v>
      </c>
      <c r="M19" s="22">
        <v>24480.400000000001</v>
      </c>
      <c r="N19" s="13">
        <f t="shared" si="1"/>
        <v>125385.9</v>
      </c>
    </row>
    <row r="20" spans="1:15" x14ac:dyDescent="0.25">
      <c r="A20" s="18" t="s">
        <v>29</v>
      </c>
      <c r="B20" s="12">
        <f t="shared" ref="B20:N20" si="2">SUM(B18:B19)</f>
        <v>123068.50000000003</v>
      </c>
      <c r="C20" s="12">
        <f t="shared" si="2"/>
        <v>114153.20000000003</v>
      </c>
      <c r="D20" s="12">
        <f t="shared" si="2"/>
        <v>105447.9</v>
      </c>
      <c r="E20" s="12">
        <f t="shared" si="2"/>
        <v>96909.600000000049</v>
      </c>
      <c r="F20" s="12">
        <f t="shared" si="2"/>
        <v>96677.000000000029</v>
      </c>
      <c r="G20" s="12">
        <f t="shared" si="2"/>
        <v>86414.800000000047</v>
      </c>
      <c r="H20" s="12">
        <f t="shared" si="2"/>
        <v>102469.00000000003</v>
      </c>
      <c r="I20" s="12">
        <f t="shared" si="2"/>
        <v>90578.499999999971</v>
      </c>
      <c r="J20" s="12">
        <f t="shared" si="2"/>
        <v>93256.400000000067</v>
      </c>
      <c r="K20" s="12">
        <f t="shared" si="2"/>
        <v>92320.700000000041</v>
      </c>
      <c r="L20" s="12">
        <f t="shared" si="2"/>
        <v>97894.200000000041</v>
      </c>
      <c r="M20" s="12">
        <f t="shared" si="2"/>
        <v>109596.6</v>
      </c>
      <c r="N20" s="12">
        <f t="shared" si="2"/>
        <v>1208786.4000000001</v>
      </c>
    </row>
    <row r="22" spans="1:15" x14ac:dyDescent="0.25">
      <c r="A22" s="18" t="s">
        <v>27</v>
      </c>
      <c r="B22" s="15">
        <f t="shared" ref="B22:N22" si="3">B15+B20</f>
        <v>649126.10000000056</v>
      </c>
      <c r="C22" s="15">
        <f t="shared" si="3"/>
        <v>634467.59999999986</v>
      </c>
      <c r="D22" s="15">
        <f t="shared" si="3"/>
        <v>620083.60000000172</v>
      </c>
      <c r="E22" s="15">
        <f t="shared" si="3"/>
        <v>608438.00000000105</v>
      </c>
      <c r="F22" s="15">
        <f t="shared" si="3"/>
        <v>620101.29999999981</v>
      </c>
      <c r="G22" s="15">
        <f t="shared" si="3"/>
        <v>630995.89999999991</v>
      </c>
      <c r="H22" s="15">
        <f t="shared" si="3"/>
        <v>656433.39999999851</v>
      </c>
      <c r="I22" s="15">
        <f t="shared" si="3"/>
        <v>640302.29999999818</v>
      </c>
      <c r="J22" s="15">
        <f t="shared" si="3"/>
        <v>639176.29999999888</v>
      </c>
      <c r="K22" s="15">
        <f t="shared" si="3"/>
        <v>619090.39999999886</v>
      </c>
      <c r="L22" s="15">
        <f t="shared" si="3"/>
        <v>618582.00000000012</v>
      </c>
      <c r="M22" s="15">
        <f t="shared" si="3"/>
        <v>634725.69999999984</v>
      </c>
      <c r="N22" s="15">
        <f t="shared" si="3"/>
        <v>7571522.5999999968</v>
      </c>
    </row>
    <row r="24" spans="1:15" x14ac:dyDescent="0.25">
      <c r="A24" s="18" t="s">
        <v>30</v>
      </c>
    </row>
    <row r="25" spans="1:15" x14ac:dyDescent="0.25">
      <c r="A25" s="19" t="s">
        <v>0</v>
      </c>
      <c r="B25" s="2" t="s">
        <v>2</v>
      </c>
      <c r="C25" s="4" t="s">
        <v>4</v>
      </c>
      <c r="D25" s="6" t="s">
        <v>6</v>
      </c>
      <c r="E25" s="2" t="s">
        <v>8</v>
      </c>
      <c r="F25" s="4" t="s">
        <v>10</v>
      </c>
      <c r="G25" s="8" t="s">
        <v>12</v>
      </c>
      <c r="H25" s="2" t="s">
        <v>14</v>
      </c>
      <c r="I25" s="10" t="s">
        <v>16</v>
      </c>
      <c r="J25" s="8" t="s">
        <v>18</v>
      </c>
      <c r="K25" s="2" t="s">
        <v>20</v>
      </c>
      <c r="L25" s="4" t="s">
        <v>22</v>
      </c>
      <c r="M25" s="8" t="s">
        <v>24</v>
      </c>
      <c r="N25" s="17" t="s">
        <v>32</v>
      </c>
    </row>
    <row r="26" spans="1:15" x14ac:dyDescent="0.25">
      <c r="A26" s="18">
        <v>833</v>
      </c>
      <c r="B26" s="12">
        <v>93.499999999999986</v>
      </c>
      <c r="C26" s="12">
        <v>92.6</v>
      </c>
      <c r="D26" s="12">
        <v>84</v>
      </c>
      <c r="E26" s="12">
        <v>77.800000000000011</v>
      </c>
      <c r="F26" s="12">
        <v>147.1</v>
      </c>
      <c r="G26" s="12">
        <v>117.9</v>
      </c>
      <c r="H26" s="12">
        <v>69</v>
      </c>
      <c r="I26" s="12">
        <v>84.399999999999991</v>
      </c>
      <c r="J26" s="12">
        <v>80.7</v>
      </c>
      <c r="K26" s="12">
        <v>71.300000000000011</v>
      </c>
      <c r="L26" s="12">
        <v>59.400000000000006</v>
      </c>
      <c r="M26" s="12">
        <v>94.1</v>
      </c>
      <c r="N26" s="12">
        <f>SUM(B26:M26)</f>
        <v>1071.8</v>
      </c>
    </row>
    <row r="27" spans="1:15" x14ac:dyDescent="0.25">
      <c r="A27" s="18">
        <v>835</v>
      </c>
      <c r="B27" s="12">
        <v>568.87099999999998</v>
      </c>
      <c r="C27" s="12">
        <v>762.84099999999989</v>
      </c>
      <c r="D27" s="12">
        <v>1061.7199999999998</v>
      </c>
      <c r="E27" s="12">
        <v>1128.5049999999999</v>
      </c>
      <c r="F27" s="12">
        <v>1117.2239999999999</v>
      </c>
      <c r="G27" s="12">
        <v>1157.1429999999998</v>
      </c>
      <c r="H27" s="12">
        <v>852.12700000000007</v>
      </c>
      <c r="I27" s="12">
        <v>1031.3200000000002</v>
      </c>
      <c r="J27" s="12">
        <v>917.82800000000009</v>
      </c>
      <c r="K27" s="12">
        <v>1002.0530000000001</v>
      </c>
      <c r="L27" s="12">
        <v>1083.086</v>
      </c>
      <c r="M27" s="12">
        <v>924.16099999999994</v>
      </c>
      <c r="N27" s="12">
        <f>SUM(B27:M27)</f>
        <v>11606.878999999999</v>
      </c>
    </row>
    <row r="28" spans="1:15" x14ac:dyDescent="0.25">
      <c r="A28" s="18">
        <v>836</v>
      </c>
      <c r="B28" s="12">
        <v>439090.92899999808</v>
      </c>
      <c r="C28" s="12">
        <v>434493.64999999781</v>
      </c>
      <c r="D28" s="12">
        <v>433723.36500000092</v>
      </c>
      <c r="E28" s="12">
        <v>421521.43300000054</v>
      </c>
      <c r="F28" s="12">
        <v>442023.97600000119</v>
      </c>
      <c r="G28" s="12">
        <v>469524.50300000189</v>
      </c>
      <c r="H28" s="12">
        <v>468669.46600000054</v>
      </c>
      <c r="I28" s="12">
        <v>469894.47300000081</v>
      </c>
      <c r="J28" s="12">
        <v>471161.75799999817</v>
      </c>
      <c r="K28" s="12">
        <v>447111.94400000107</v>
      </c>
      <c r="L28" s="12">
        <v>438644.43799999967</v>
      </c>
      <c r="M28" s="12">
        <v>431323.06600000005</v>
      </c>
      <c r="N28" s="12">
        <f>SUM(B28:M28)</f>
        <v>5367183.0010000011</v>
      </c>
    </row>
    <row r="29" spans="1:15" x14ac:dyDescent="0.25">
      <c r="A29" s="18" t="s">
        <v>33</v>
      </c>
      <c r="B29" s="12">
        <v>1934.374</v>
      </c>
      <c r="C29" s="12">
        <v>3088.7550000000006</v>
      </c>
      <c r="D29" s="12">
        <v>3562.9400000000023</v>
      </c>
      <c r="E29" s="12">
        <v>4301.4220000000005</v>
      </c>
      <c r="F29" s="12">
        <v>5338.2510000000002</v>
      </c>
      <c r="G29" s="12">
        <v>6427.4749999999976</v>
      </c>
      <c r="H29" s="12">
        <v>6237.6370000000006</v>
      </c>
      <c r="I29" s="12">
        <v>6458.7009999999991</v>
      </c>
      <c r="J29" s="12">
        <v>6220.8940000000039</v>
      </c>
      <c r="K29" s="12">
        <v>3669.802999999999</v>
      </c>
      <c r="L29" s="12">
        <v>2246.6239999999989</v>
      </c>
      <c r="M29" s="12">
        <v>2138.2889999999998</v>
      </c>
      <c r="N29" s="12">
        <f>SUM(B29:M29)</f>
        <v>51625.165000000001</v>
      </c>
    </row>
    <row r="30" spans="1:15" x14ac:dyDescent="0.25">
      <c r="A30" s="18" t="s">
        <v>40</v>
      </c>
      <c r="B30" s="13">
        <v>776.64599999999996</v>
      </c>
      <c r="C30" s="13">
        <v>806.31500000000005</v>
      </c>
      <c r="D30" s="13">
        <v>682.85900000000004</v>
      </c>
      <c r="E30" s="13">
        <v>768.04700000000003</v>
      </c>
      <c r="F30" s="13">
        <v>677.49700000000007</v>
      </c>
      <c r="G30" s="13">
        <v>882.7030000000002</v>
      </c>
      <c r="H30" s="13">
        <v>761.077</v>
      </c>
      <c r="I30" s="13">
        <v>810.92100000000005</v>
      </c>
      <c r="J30" s="13">
        <v>820.72600000000011</v>
      </c>
      <c r="K30" s="13">
        <v>736.96500000000003</v>
      </c>
      <c r="L30" s="13">
        <v>875.74199999999996</v>
      </c>
      <c r="M30" s="13">
        <v>915.45799999999997</v>
      </c>
      <c r="N30" s="13">
        <f>SUM(B30:M30)</f>
        <v>9514.9560000000019</v>
      </c>
    </row>
    <row r="31" spans="1:15" x14ac:dyDescent="0.25">
      <c r="A31" s="18" t="s">
        <v>28</v>
      </c>
      <c r="B31" s="12">
        <f>SUM(B26:B30)</f>
        <v>442464.31999999809</v>
      </c>
      <c r="C31" s="12">
        <f t="shared" ref="C31:M31" si="4">SUM(C26:C30)</f>
        <v>439244.16099999781</v>
      </c>
      <c r="D31" s="12">
        <f t="shared" si="4"/>
        <v>439114.88400000089</v>
      </c>
      <c r="E31" s="12">
        <f t="shared" si="4"/>
        <v>427797.20700000058</v>
      </c>
      <c r="F31" s="12">
        <f t="shared" si="4"/>
        <v>449304.04800000117</v>
      </c>
      <c r="G31" s="12">
        <f t="shared" si="4"/>
        <v>478109.72400000185</v>
      </c>
      <c r="H31" s="12">
        <f t="shared" si="4"/>
        <v>476589.3070000005</v>
      </c>
      <c r="I31" s="12">
        <f t="shared" si="4"/>
        <v>478279.81500000076</v>
      </c>
      <c r="J31" s="12">
        <f t="shared" si="4"/>
        <v>479201.90599999821</v>
      </c>
      <c r="K31" s="12">
        <f t="shared" si="4"/>
        <v>452592.06500000111</v>
      </c>
      <c r="L31" s="12">
        <f t="shared" si="4"/>
        <v>442909.28999999969</v>
      </c>
      <c r="M31" s="12">
        <f t="shared" si="4"/>
        <v>435395.07400000002</v>
      </c>
      <c r="N31" s="12">
        <f>SUM(N26:N30)</f>
        <v>5441001.8010000009</v>
      </c>
      <c r="O31" s="15"/>
    </row>
    <row r="32" spans="1:15" x14ac:dyDescent="0.25">
      <c r="B32" s="12">
        <f t="shared" ref="B32:N32" si="5">B31/B15</f>
        <v>0.84109481547267373</v>
      </c>
      <c r="C32" s="12">
        <f t="shared" si="5"/>
        <v>0.84418989941465772</v>
      </c>
      <c r="D32" s="12">
        <f t="shared" si="5"/>
        <v>0.85325383373131602</v>
      </c>
      <c r="E32" s="12">
        <f t="shared" si="5"/>
        <v>0.83631174143996645</v>
      </c>
      <c r="F32" s="12">
        <f t="shared" si="5"/>
        <v>0.85839355948892959</v>
      </c>
      <c r="G32" s="12">
        <f t="shared" si="5"/>
        <v>0.877940354522039</v>
      </c>
      <c r="H32" s="12">
        <f t="shared" si="5"/>
        <v>0.8603247916292126</v>
      </c>
      <c r="I32" s="12">
        <f t="shared" si="5"/>
        <v>0.87003658018809149</v>
      </c>
      <c r="J32" s="12">
        <f t="shared" si="5"/>
        <v>0.87778794288319439</v>
      </c>
      <c r="K32" s="12">
        <f t="shared" si="5"/>
        <v>0.85918393749678867</v>
      </c>
      <c r="L32" s="12">
        <f t="shared" si="5"/>
        <v>0.85062352142685038</v>
      </c>
      <c r="M32" s="12">
        <f t="shared" si="5"/>
        <v>0.82912006590379417</v>
      </c>
      <c r="N32" s="12">
        <f t="shared" si="5"/>
        <v>0.85513553131434306</v>
      </c>
    </row>
    <row r="33" spans="1:15" x14ac:dyDescent="0.25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5" x14ac:dyDescent="0.25">
      <c r="A34" s="18">
        <v>837</v>
      </c>
      <c r="B34" s="11">
        <v>79546.21100000001</v>
      </c>
      <c r="C34" s="11">
        <v>72303.498999999967</v>
      </c>
      <c r="D34" s="11">
        <v>75624.410999999993</v>
      </c>
      <c r="E34" s="11">
        <v>75223.674000000028</v>
      </c>
      <c r="F34" s="11">
        <v>84345.645999999993</v>
      </c>
      <c r="G34" s="11">
        <v>76495.628000000026</v>
      </c>
      <c r="H34" s="11">
        <v>92005.751000000004</v>
      </c>
      <c r="I34" s="11">
        <v>81077.462999999931</v>
      </c>
      <c r="J34" s="11">
        <v>84320.242999999959</v>
      </c>
      <c r="K34" s="11">
        <v>78318.364999999976</v>
      </c>
      <c r="L34" s="11">
        <v>76738.629000000001</v>
      </c>
      <c r="M34" s="11">
        <v>72068.525000000038</v>
      </c>
      <c r="N34" s="12">
        <f t="shared" ref="N34:N35" si="6">SUM(B34:M34)</f>
        <v>948068.04500000004</v>
      </c>
    </row>
    <row r="35" spans="1:15" x14ac:dyDescent="0.25">
      <c r="A35" s="18" t="s">
        <v>35</v>
      </c>
      <c r="B35" s="21">
        <v>21577.176000000003</v>
      </c>
      <c r="C35" s="21">
        <v>22046.159999999996</v>
      </c>
      <c r="D35" s="21">
        <v>13660.851999999999</v>
      </c>
      <c r="E35" s="21">
        <v>6613.0439999999999</v>
      </c>
      <c r="F35" s="21">
        <v>1078.0120000000002</v>
      </c>
      <c r="G35" s="21">
        <v>1087.1999999999998</v>
      </c>
      <c r="H35" s="22">
        <v>996.88799999999992</v>
      </c>
      <c r="I35" s="22">
        <v>918.86799999999982</v>
      </c>
      <c r="J35" s="22">
        <v>892.64000000000021</v>
      </c>
      <c r="K35" s="22">
        <v>3397.1880000000001</v>
      </c>
      <c r="L35" s="22">
        <v>9079.2459999999992</v>
      </c>
      <c r="M35" s="22">
        <v>19722.832000000006</v>
      </c>
      <c r="N35" s="13">
        <f t="shared" si="6"/>
        <v>101070.10600000001</v>
      </c>
    </row>
    <row r="36" spans="1:15" x14ac:dyDescent="0.25">
      <c r="A36" s="18" t="s">
        <v>29</v>
      </c>
      <c r="B36" s="12">
        <f t="shared" ref="B36:N36" si="7">SUM(B34:B35)</f>
        <v>101123.38700000002</v>
      </c>
      <c r="C36" s="12">
        <f t="shared" si="7"/>
        <v>94349.658999999956</v>
      </c>
      <c r="D36" s="12">
        <f t="shared" si="7"/>
        <v>89285.262999999992</v>
      </c>
      <c r="E36" s="12">
        <f t="shared" si="7"/>
        <v>81836.718000000023</v>
      </c>
      <c r="F36" s="12">
        <f t="shared" si="7"/>
        <v>85423.657999999996</v>
      </c>
      <c r="G36" s="12">
        <f t="shared" si="7"/>
        <v>77582.828000000023</v>
      </c>
      <c r="H36" s="12">
        <f t="shared" si="7"/>
        <v>93002.63900000001</v>
      </c>
      <c r="I36" s="12">
        <f t="shared" si="7"/>
        <v>81996.330999999933</v>
      </c>
      <c r="J36" s="12">
        <f t="shared" si="7"/>
        <v>85212.882999999958</v>
      </c>
      <c r="K36" s="12">
        <f t="shared" si="7"/>
        <v>81715.552999999971</v>
      </c>
      <c r="L36" s="12">
        <f t="shared" si="7"/>
        <v>85817.875</v>
      </c>
      <c r="M36" s="12">
        <f t="shared" si="7"/>
        <v>91791.357000000047</v>
      </c>
      <c r="N36" s="12">
        <f t="shared" si="7"/>
        <v>1049138.1510000001</v>
      </c>
      <c r="O36" s="12"/>
    </row>
    <row r="38" spans="1:15" x14ac:dyDescent="0.25">
      <c r="A38" s="18" t="s">
        <v>27</v>
      </c>
      <c r="B38" s="15">
        <f t="shared" ref="B38:N38" si="8">B31+B36</f>
        <v>543587.70699999807</v>
      </c>
      <c r="C38" s="15">
        <f t="shared" si="8"/>
        <v>533593.81999999774</v>
      </c>
      <c r="D38" s="15">
        <f t="shared" si="8"/>
        <v>528400.14700000093</v>
      </c>
      <c r="E38" s="15">
        <f t="shared" si="8"/>
        <v>509633.92500000063</v>
      </c>
      <c r="F38" s="15">
        <f t="shared" si="8"/>
        <v>534727.70600000117</v>
      </c>
      <c r="G38" s="15">
        <f t="shared" si="8"/>
        <v>555692.55200000189</v>
      </c>
      <c r="H38" s="15">
        <f t="shared" si="8"/>
        <v>569591.94600000046</v>
      </c>
      <c r="I38" s="16">
        <f t="shared" si="8"/>
        <v>560276.14600000065</v>
      </c>
      <c r="J38" s="15">
        <f t="shared" si="8"/>
        <v>564414.78899999813</v>
      </c>
      <c r="K38" s="15">
        <f t="shared" si="8"/>
        <v>534307.61800000106</v>
      </c>
      <c r="L38" s="15">
        <f t="shared" si="8"/>
        <v>528727.16499999969</v>
      </c>
      <c r="M38" s="15">
        <f t="shared" si="8"/>
        <v>527186.4310000001</v>
      </c>
      <c r="N38" s="15">
        <f t="shared" si="8"/>
        <v>6490139.9520000014</v>
      </c>
      <c r="O38" s="15"/>
    </row>
    <row r="40" spans="1:15" x14ac:dyDescent="0.25">
      <c r="A40" s="20" t="s">
        <v>38</v>
      </c>
    </row>
    <row r="41" spans="1:15" x14ac:dyDescent="0.25">
      <c r="A41" s="18" t="s">
        <v>28</v>
      </c>
      <c r="B41" s="12">
        <f>ROUND(B31*'North Adj WP'!D20,2)</f>
        <v>-6662.64</v>
      </c>
      <c r="C41" s="12">
        <f>ROUND(C31*'North Adj WP'!E20,2)</f>
        <v>-3487.74</v>
      </c>
      <c r="D41" s="12">
        <f>ROUND(D31*'North Adj WP'!F20,2)</f>
        <v>857.75</v>
      </c>
      <c r="E41" s="12">
        <f>ROUND(E31*'North Adj WP'!G20,2)</f>
        <v>3180.78</v>
      </c>
      <c r="F41" s="12">
        <f>ROUND(F31*'North Adj WP'!H20,2)</f>
        <v>1709.94</v>
      </c>
      <c r="G41" s="12">
        <f>ROUND(G31*'North Adj WP'!I20,2)</f>
        <v>-25089.58</v>
      </c>
      <c r="H41" s="12">
        <f>ROUND(H31*'North Adj WP'!J20,2)</f>
        <v>-13567.29</v>
      </c>
      <c r="I41" s="12">
        <f>ROUND(I31*'North Adj WP'!K20,2)</f>
        <v>3374.82</v>
      </c>
      <c r="J41" s="12">
        <f>ROUND(J31*'North Adj WP'!L20,2)</f>
        <v>8314.6200000000008</v>
      </c>
      <c r="K41" s="12">
        <f>ROUND(K31*'North Adj WP'!M20,2)</f>
        <v>10671.2</v>
      </c>
      <c r="L41" s="12">
        <f>ROUND(L31*'North Adj WP'!N20,2)</f>
        <v>869.95</v>
      </c>
      <c r="M41" s="12">
        <f>ROUND(M31*'North Adj WP'!O20,2)</f>
        <v>-2755.77</v>
      </c>
      <c r="N41" s="15">
        <f>SUM(B41:M41)</f>
        <v>-22583.959999999995</v>
      </c>
    </row>
    <row r="42" spans="1:15" x14ac:dyDescent="0.25">
      <c r="A42" s="18" t="s">
        <v>29</v>
      </c>
      <c r="B42" s="12">
        <f>ROUND(B36*'North Adj WP'!D21,2)</f>
        <v>-1253.1600000000001</v>
      </c>
      <c r="C42" s="12">
        <f>ROUND(C36*'North Adj WP'!E21,2)</f>
        <v>-711.2</v>
      </c>
      <c r="D42" s="12">
        <f>ROUND(D36*'North Adj WP'!F21,2)</f>
        <v>153.28</v>
      </c>
      <c r="E42" s="12">
        <f>ROUND(E36*'North Adj WP'!G21,2)</f>
        <v>502.12</v>
      </c>
      <c r="F42" s="12">
        <f>ROUND(F36*'North Adj WP'!H21,2)</f>
        <v>253.31</v>
      </c>
      <c r="G42" s="12">
        <f>ROUND(G36*'North Adj WP'!I21,2)</f>
        <v>-4025.09</v>
      </c>
      <c r="H42" s="12">
        <f>ROUND(H36*'North Adj WP'!J21,2)</f>
        <v>-1859.17</v>
      </c>
      <c r="I42" s="12">
        <f>ROUND(I36*'North Adj WP'!K21,2)</f>
        <v>484.69</v>
      </c>
      <c r="J42" s="12">
        <f>ROUND(J36*'North Adj WP'!L21,2)</f>
        <v>1044.8599999999999</v>
      </c>
      <c r="K42" s="12">
        <f>ROUND(K36*'North Adj WP'!M21,2)</f>
        <v>1245.96</v>
      </c>
      <c r="L42" s="12">
        <f>ROUND(L36*'North Adj WP'!N21,2)</f>
        <v>40.98</v>
      </c>
      <c r="M42" s="12">
        <f>ROUND(M36*'North Adj WP'!O21,2)</f>
        <v>-437.41</v>
      </c>
      <c r="N42" s="15">
        <f>SUM(B42:M42)</f>
        <v>-4560.8300000000008</v>
      </c>
    </row>
    <row r="43" spans="1:15" x14ac:dyDescent="0.25">
      <c r="A43" s="20" t="s">
        <v>27</v>
      </c>
    </row>
    <row r="46" spans="1:15" x14ac:dyDescent="0.25">
      <c r="A46" s="20" t="s">
        <v>39</v>
      </c>
    </row>
    <row r="47" spans="1:15" x14ac:dyDescent="0.25">
      <c r="A47" s="18" t="s">
        <v>28</v>
      </c>
      <c r="B47" s="12">
        <f>(B31+B41)*'North Adj WP'!D29</f>
        <v>11964.860299761491</v>
      </c>
      <c r="C47" s="12">
        <f>(C31+C41)*'North Adj WP'!E29</f>
        <v>8942.5266713505152</v>
      </c>
      <c r="D47" s="12">
        <f>(D31+D41)*'North Adj WP'!F29</f>
        <v>7798.0420843096617</v>
      </c>
      <c r="E47" s="12">
        <f>(E31+E41)*'North Adj WP'!G29</f>
        <v>7259.191279352347</v>
      </c>
      <c r="F47" s="12">
        <f>(F31+F41)*'North Adj WP'!H29</f>
        <v>6055.3771113739604</v>
      </c>
      <c r="G47" s="12">
        <f>(G31+G41)*'North Adj WP'!I29</f>
        <v>5773.0781067981661</v>
      </c>
      <c r="H47" s="12">
        <f>(H31+H41)*'North Adj WP'!J29</f>
        <v>3465.5963873843925</v>
      </c>
      <c r="I47" s="12">
        <f>(I31+I41)*'North Adj WP'!K29</f>
        <v>2072.8772066009178</v>
      </c>
      <c r="J47" s="12">
        <f>(J31+J41)*'North Adj WP'!L29</f>
        <v>3857.3462351981607</v>
      </c>
      <c r="K47" s="12">
        <f>(K31+K41)*'North Adj WP'!M29</f>
        <v>2406.1634800389002</v>
      </c>
      <c r="L47" s="12">
        <f>(L31+L41)*'North Adj WP'!N29</f>
        <v>996.39858061388782</v>
      </c>
      <c r="M47" s="12">
        <f>(M31+M41)*'North Adj WP'!O29</f>
        <v>0</v>
      </c>
      <c r="N47" s="15">
        <f>SUM(B47:M47)</f>
        <v>60591.457442782397</v>
      </c>
    </row>
    <row r="48" spans="1:15" x14ac:dyDescent="0.25">
      <c r="A48" s="18" t="s">
        <v>29</v>
      </c>
      <c r="B48" s="12">
        <f>(B36+B42)*'North Adj WP'!D30</f>
        <v>-3630.6476310377584</v>
      </c>
      <c r="C48" s="12">
        <f>(C36+C42)*'North Adj WP'!E30</f>
        <v>-2868.290618485873</v>
      </c>
      <c r="D48" s="12">
        <f>(D36+D42)*'North Adj WP'!F30</f>
        <v>-2765.1877033674282</v>
      </c>
      <c r="E48" s="12">
        <f>(E36+E42)*'North Adj WP'!G30</f>
        <v>-1553.3257609325474</v>
      </c>
      <c r="F48" s="12">
        <f>(F36+F42)*'North Adj WP'!H30</f>
        <v>-3163.105234793893</v>
      </c>
      <c r="G48" s="12">
        <f>(G36+G42)*'North Adj WP'!I30</f>
        <v>-441.4017568299397</v>
      </c>
      <c r="H48" s="12">
        <f>(H36+H42)*'North Adj WP'!J30</f>
        <v>-2219.1668391314447</v>
      </c>
      <c r="I48" s="12">
        <f>(I36+I42)*'North Adj WP'!K30</f>
        <v>0</v>
      </c>
      <c r="J48" s="12">
        <f>(J36+J42)*'North Adj WP'!L30</f>
        <v>0</v>
      </c>
      <c r="K48" s="12">
        <f>(K36+K42)*'North Adj WP'!M30</f>
        <v>539.91327958986233</v>
      </c>
      <c r="L48" s="12">
        <f>(L36+L42)*'North Adj WP'!N30</f>
        <v>0</v>
      </c>
      <c r="M48" s="12">
        <f>(M36+M42)*'North Adj WP'!O30</f>
        <v>0</v>
      </c>
      <c r="N48" s="15">
        <f>SUM(B48:M48)</f>
        <v>-16101.212264989023</v>
      </c>
    </row>
    <row r="49" spans="1:14" x14ac:dyDescent="0.25">
      <c r="A49" s="20" t="s">
        <v>27</v>
      </c>
    </row>
    <row r="52" spans="1:14" x14ac:dyDescent="0.25">
      <c r="A52" s="20" t="s">
        <v>37</v>
      </c>
    </row>
    <row r="53" spans="1:14" x14ac:dyDescent="0.25">
      <c r="A53" s="18" t="s">
        <v>28</v>
      </c>
      <c r="B53" s="15">
        <f>B31+B41+B47</f>
        <v>447766.54029975954</v>
      </c>
      <c r="C53" s="15">
        <f t="shared" ref="C53:M53" si="9">C31+C41+C47</f>
        <v>444698.94767134835</v>
      </c>
      <c r="D53" s="15">
        <f t="shared" si="9"/>
        <v>447770.67608431057</v>
      </c>
      <c r="E53" s="15">
        <f t="shared" si="9"/>
        <v>438237.17827935296</v>
      </c>
      <c r="F53" s="15">
        <f t="shared" si="9"/>
        <v>457069.36511137511</v>
      </c>
      <c r="G53" s="15">
        <f t="shared" si="9"/>
        <v>458793.22210680001</v>
      </c>
      <c r="H53" s="15">
        <f t="shared" si="9"/>
        <v>466487.61338738492</v>
      </c>
      <c r="I53" s="15">
        <f t="shared" si="9"/>
        <v>483727.51220660168</v>
      </c>
      <c r="J53" s="15">
        <f t="shared" si="9"/>
        <v>491373.87223519635</v>
      </c>
      <c r="K53" s="15">
        <f t="shared" si="9"/>
        <v>465669.42848004005</v>
      </c>
      <c r="L53" s="15">
        <f t="shared" si="9"/>
        <v>444775.63858061359</v>
      </c>
      <c r="M53" s="15">
        <f t="shared" si="9"/>
        <v>432639.304</v>
      </c>
      <c r="N53" s="15">
        <f>SUM(B53:M53)</f>
        <v>5479009.2984427828</v>
      </c>
    </row>
    <row r="54" spans="1:14" x14ac:dyDescent="0.25">
      <c r="A54" s="25" t="s">
        <v>29</v>
      </c>
      <c r="B54" s="26">
        <f>B36+B42+B48</f>
        <v>96239.579368962251</v>
      </c>
      <c r="C54" s="26">
        <f t="shared" ref="C54:M54" si="10">C36+C42+C48</f>
        <v>90770.168381514086</v>
      </c>
      <c r="D54" s="26">
        <f t="shared" si="10"/>
        <v>86673.355296632566</v>
      </c>
      <c r="E54" s="26">
        <f t="shared" si="10"/>
        <v>80785.512239067466</v>
      </c>
      <c r="F54" s="26">
        <f t="shared" si="10"/>
        <v>82513.862765206097</v>
      </c>
      <c r="G54" s="26">
        <f t="shared" si="10"/>
        <v>73116.336243170081</v>
      </c>
      <c r="H54" s="26">
        <f t="shared" si="10"/>
        <v>88924.302160868567</v>
      </c>
      <c r="I54" s="26">
        <f t="shared" si="10"/>
        <v>82481.020999999935</v>
      </c>
      <c r="J54" s="26">
        <f t="shared" si="10"/>
        <v>86257.742999999959</v>
      </c>
      <c r="K54" s="26">
        <f t="shared" si="10"/>
        <v>83501.426279589839</v>
      </c>
      <c r="L54" s="26">
        <f t="shared" si="10"/>
        <v>85858.854999999996</v>
      </c>
      <c r="M54" s="26">
        <f t="shared" si="10"/>
        <v>91353.947000000044</v>
      </c>
      <c r="N54" s="26">
        <f>SUM(B54:M54)</f>
        <v>1028476.108735011</v>
      </c>
    </row>
    <row r="55" spans="1:14" x14ac:dyDescent="0.25">
      <c r="A55" s="20" t="s">
        <v>27</v>
      </c>
      <c r="B55" s="15">
        <f>SUM(B53:B54)</f>
        <v>544006.1196687218</v>
      </c>
      <c r="C55" s="15">
        <f t="shared" ref="C55:N55" si="11">SUM(C53:C54)</f>
        <v>535469.11605286249</v>
      </c>
      <c r="D55" s="15">
        <f t="shared" si="11"/>
        <v>534444.03138094314</v>
      </c>
      <c r="E55" s="15">
        <f t="shared" si="11"/>
        <v>519022.69051842042</v>
      </c>
      <c r="F55" s="15">
        <f t="shared" si="11"/>
        <v>539583.22787658125</v>
      </c>
      <c r="G55" s="15">
        <f t="shared" si="11"/>
        <v>531909.55834997003</v>
      </c>
      <c r="H55" s="15">
        <f t="shared" si="11"/>
        <v>555411.91554825346</v>
      </c>
      <c r="I55" s="15">
        <f t="shared" si="11"/>
        <v>566208.53320660163</v>
      </c>
      <c r="J55" s="15">
        <f t="shared" si="11"/>
        <v>577631.61523519631</v>
      </c>
      <c r="K55" s="15">
        <f t="shared" si="11"/>
        <v>549170.85475962993</v>
      </c>
      <c r="L55" s="15">
        <f t="shared" si="11"/>
        <v>530634.49358061363</v>
      </c>
      <c r="M55" s="15">
        <f t="shared" si="11"/>
        <v>523993.25100000005</v>
      </c>
      <c r="N55" s="15">
        <f t="shared" si="11"/>
        <v>6507485.4071777938</v>
      </c>
    </row>
    <row r="56" spans="1:14" x14ac:dyDescent="0.25">
      <c r="B56" s="11"/>
      <c r="C56" s="11"/>
      <c r="D56" s="11"/>
      <c r="E56" s="11"/>
      <c r="F56" s="11"/>
      <c r="G56" s="11"/>
    </row>
    <row r="57" spans="1:14" x14ac:dyDescent="0.25">
      <c r="B57" s="11"/>
      <c r="C57" s="11"/>
      <c r="D57" s="11"/>
      <c r="E57" s="11"/>
      <c r="F57" s="11"/>
      <c r="G57" s="11"/>
    </row>
    <row r="58" spans="1:14" x14ac:dyDescent="0.25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x14ac:dyDescent="0.25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</sheetData>
  <printOptions horizontalCentered="1"/>
  <pageMargins left="0.7" right="0.7" top="0.75" bottom="0.75" header="0.3" footer="0.3"/>
  <pageSetup scale="5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0"/>
  <sheetViews>
    <sheetView workbookViewId="0">
      <selection activeCell="B2" sqref="B2:B6"/>
    </sheetView>
  </sheetViews>
  <sheetFormatPr defaultRowHeight="15" x14ac:dyDescent="0.25"/>
  <cols>
    <col min="2" max="2" width="39.5703125" customWidth="1"/>
    <col min="3" max="3" width="5.5703125" bestFit="1" customWidth="1"/>
    <col min="4" max="15" width="13.28515625" bestFit="1" customWidth="1"/>
    <col min="16" max="16" width="14.28515625" bestFit="1" customWidth="1"/>
  </cols>
  <sheetData>
    <row r="1" spans="2:16" ht="15.75" thickBot="1" x14ac:dyDescent="0.3"/>
    <row r="2" spans="2:16" x14ac:dyDescent="0.25">
      <c r="B2" s="28" t="s">
        <v>65</v>
      </c>
    </row>
    <row r="3" spans="2:16" x14ac:dyDescent="0.25">
      <c r="B3" s="29" t="s">
        <v>66</v>
      </c>
    </row>
    <row r="4" spans="2:16" x14ac:dyDescent="0.25">
      <c r="B4" s="29" t="s">
        <v>69</v>
      </c>
    </row>
    <row r="5" spans="2:16" x14ac:dyDescent="0.25">
      <c r="B5" s="29" t="s">
        <v>67</v>
      </c>
    </row>
    <row r="6" spans="2:16" ht="15.75" thickBot="1" x14ac:dyDescent="0.3">
      <c r="B6" s="30" t="s">
        <v>68</v>
      </c>
    </row>
    <row r="7" spans="2:16" x14ac:dyDescent="0.25">
      <c r="B7" s="31"/>
    </row>
    <row r="8" spans="2:16" x14ac:dyDescent="0.25">
      <c r="B8" t="s">
        <v>62</v>
      </c>
    </row>
    <row r="9" spans="2:16" x14ac:dyDescent="0.25">
      <c r="B9" t="s">
        <v>43</v>
      </c>
      <c r="C9" t="s">
        <v>44</v>
      </c>
      <c r="D9" s="14" t="s">
        <v>46</v>
      </c>
      <c r="E9" s="14" t="s">
        <v>47</v>
      </c>
      <c r="F9" s="14" t="s">
        <v>48</v>
      </c>
      <c r="G9" s="14" t="s">
        <v>46</v>
      </c>
      <c r="H9" s="14" t="s">
        <v>47</v>
      </c>
      <c r="I9" s="14" t="s">
        <v>48</v>
      </c>
      <c r="J9" s="14" t="s">
        <v>49</v>
      </c>
      <c r="K9" s="14" t="s">
        <v>50</v>
      </c>
      <c r="L9" s="14" t="s">
        <v>51</v>
      </c>
      <c r="M9" s="14" t="s">
        <v>52</v>
      </c>
      <c r="N9" s="14" t="s">
        <v>53</v>
      </c>
      <c r="O9" s="14" t="s">
        <v>54</v>
      </c>
      <c r="P9" s="14" t="s">
        <v>45</v>
      </c>
    </row>
    <row r="11" spans="2:16" x14ac:dyDescent="0.25">
      <c r="B11" t="s">
        <v>41</v>
      </c>
      <c r="C11" t="s">
        <v>42</v>
      </c>
      <c r="D11" s="12">
        <v>2298784.7000000002</v>
      </c>
      <c r="E11" s="12">
        <v>2279421.9</v>
      </c>
      <c r="F11" s="12">
        <v>2197974.2000000002</v>
      </c>
      <c r="G11" s="12">
        <v>2194759.7000000002</v>
      </c>
      <c r="H11" s="12">
        <v>2231410</v>
      </c>
      <c r="I11" s="12">
        <v>2300573.2999999998</v>
      </c>
      <c r="J11" s="12">
        <v>2286677.4</v>
      </c>
      <c r="K11" s="12">
        <v>2304600.4</v>
      </c>
      <c r="L11" s="12">
        <v>2299886.7999999998</v>
      </c>
      <c r="M11" s="12">
        <v>2242766.2999999998</v>
      </c>
      <c r="N11" s="12">
        <v>2213180.4</v>
      </c>
      <c r="O11" s="12">
        <v>2223836.2999999998</v>
      </c>
      <c r="P11" s="12">
        <v>27073871.400000002</v>
      </c>
    </row>
    <row r="12" spans="2:16" x14ac:dyDescent="0.25">
      <c r="B12" t="s">
        <v>59</v>
      </c>
      <c r="C12" t="s">
        <v>42</v>
      </c>
      <c r="D12" s="12">
        <v>178437.9</v>
      </c>
      <c r="E12" s="12">
        <v>174247.7</v>
      </c>
      <c r="F12" s="12">
        <v>176919.7</v>
      </c>
      <c r="G12" s="12">
        <v>174738.7</v>
      </c>
      <c r="H12" s="12">
        <v>178950.8</v>
      </c>
      <c r="I12" s="12">
        <v>190986.8</v>
      </c>
      <c r="J12" s="12">
        <v>185520.7</v>
      </c>
      <c r="K12" s="12">
        <v>204333.2</v>
      </c>
      <c r="L12" s="12">
        <v>215936.6</v>
      </c>
      <c r="M12" s="12">
        <v>206667.8</v>
      </c>
      <c r="N12" s="12">
        <v>195775</v>
      </c>
      <c r="O12" s="12">
        <v>177883.8</v>
      </c>
      <c r="P12" s="12">
        <v>2260398.7000000002</v>
      </c>
    </row>
    <row r="14" spans="2:16" x14ac:dyDescent="0.25">
      <c r="B14" t="s">
        <v>57</v>
      </c>
    </row>
    <row r="15" spans="2:16" x14ac:dyDescent="0.25">
      <c r="B15" t="s">
        <v>41</v>
      </c>
      <c r="C15" t="s">
        <v>42</v>
      </c>
      <c r="D15" s="23">
        <v>-27280.466540855374</v>
      </c>
      <c r="E15" s="23">
        <v>-8420.2425885891662</v>
      </c>
      <c r="F15" s="23">
        <v>-45340.534630496149</v>
      </c>
      <c r="G15" s="23">
        <v>-22544.95326944537</v>
      </c>
      <c r="H15" s="23">
        <v>51014.068611443872</v>
      </c>
      <c r="I15" s="23">
        <v>-53804.518721308181</v>
      </c>
      <c r="J15" s="23">
        <v>22563.594554373773</v>
      </c>
      <c r="K15" s="23">
        <v>19006.217074272245</v>
      </c>
      <c r="L15" s="23">
        <v>-6601.0651543945205</v>
      </c>
      <c r="M15" s="23">
        <v>683.82446033345957</v>
      </c>
      <c r="N15" s="23">
        <v>55244.496009967814</v>
      </c>
      <c r="O15" s="23">
        <v>39089.735380342136</v>
      </c>
      <c r="P15" s="23">
        <f>SUM(D15:O15)</f>
        <v>23610.155185644537</v>
      </c>
    </row>
    <row r="16" spans="2:16" x14ac:dyDescent="0.25">
      <c r="B16" t="s">
        <v>59</v>
      </c>
      <c r="C16" t="s">
        <v>42</v>
      </c>
      <c r="D16" s="24">
        <v>-2105.773158767634</v>
      </c>
      <c r="E16" s="24">
        <v>-638.17022859341284</v>
      </c>
      <c r="F16" s="24">
        <v>-3649.1625583180617</v>
      </c>
      <c r="G16" s="24">
        <v>-1805.1705746676876</v>
      </c>
      <c r="H16" s="24">
        <v>4098.3962734223469</v>
      </c>
      <c r="I16" s="24">
        <v>-4561.1103956019506</v>
      </c>
      <c r="J16" s="24">
        <v>1795.6623363064975</v>
      </c>
      <c r="K16" s="24">
        <v>1622.1980343476177</v>
      </c>
      <c r="L16" s="24">
        <v>-530.11431610859233</v>
      </c>
      <c r="M16" s="24">
        <v>54.231834340943436</v>
      </c>
      <c r="N16" s="24">
        <v>4375.7663963373789</v>
      </c>
      <c r="O16" s="24">
        <v>2948.6163218555721</v>
      </c>
      <c r="P16" s="23">
        <f>SUM(D16:O16)</f>
        <v>1605.3699645530196</v>
      </c>
    </row>
    <row r="17" spans="2:16" x14ac:dyDescent="0.25">
      <c r="B17" t="s">
        <v>56</v>
      </c>
      <c r="D17" s="23">
        <f>SUM(D15:D16)</f>
        <v>-29386.239699623009</v>
      </c>
      <c r="E17" s="23">
        <f t="shared" ref="E17:O17" si="0">SUM(E15:E16)</f>
        <v>-9058.4128171825796</v>
      </c>
      <c r="F17" s="23">
        <f t="shared" si="0"/>
        <v>-48989.697188814214</v>
      </c>
      <c r="G17" s="23">
        <f t="shared" si="0"/>
        <v>-24350.123844113059</v>
      </c>
      <c r="H17" s="23">
        <f t="shared" si="0"/>
        <v>55112.464884866218</v>
      </c>
      <c r="I17" s="23">
        <f t="shared" si="0"/>
        <v>-58365.629116910131</v>
      </c>
      <c r="J17" s="23">
        <f t="shared" si="0"/>
        <v>24359.25689068027</v>
      </c>
      <c r="K17" s="23">
        <f t="shared" si="0"/>
        <v>20628.415108619862</v>
      </c>
      <c r="L17" s="23">
        <f t="shared" si="0"/>
        <v>-7131.1794705031125</v>
      </c>
      <c r="M17" s="23">
        <f t="shared" si="0"/>
        <v>738.05629467440303</v>
      </c>
      <c r="N17" s="23">
        <f t="shared" si="0"/>
        <v>59620.262406305192</v>
      </c>
      <c r="O17" s="23">
        <f t="shared" si="0"/>
        <v>42038.35170219771</v>
      </c>
      <c r="P17" s="23">
        <v>-31520.114243780117</v>
      </c>
    </row>
    <row r="19" spans="2:16" x14ac:dyDescent="0.25">
      <c r="B19" t="s">
        <v>58</v>
      </c>
    </row>
    <row r="20" spans="2:16" x14ac:dyDescent="0.25">
      <c r="B20" t="s">
        <v>41</v>
      </c>
      <c r="D20">
        <f>D15/D11</f>
        <v>-1.1867343009919708E-2</v>
      </c>
      <c r="E20">
        <f t="shared" ref="E20:O21" si="1">E15/E11</f>
        <v>-3.694025484527093E-3</v>
      </c>
      <c r="F20">
        <f t="shared" si="1"/>
        <v>-2.0628328863230582E-2</v>
      </c>
      <c r="G20">
        <f t="shared" si="1"/>
        <v>-1.0272173882838001E-2</v>
      </c>
      <c r="H20">
        <f t="shared" si="1"/>
        <v>2.2861808726968094E-2</v>
      </c>
      <c r="I20">
        <f t="shared" si="1"/>
        <v>-2.3387439435773764E-2</v>
      </c>
      <c r="J20">
        <f t="shared" si="1"/>
        <v>9.8674148589450242E-3</v>
      </c>
      <c r="K20">
        <f t="shared" si="1"/>
        <v>8.2470770526084456E-3</v>
      </c>
      <c r="L20">
        <f t="shared" si="1"/>
        <v>-2.8701695902574515E-3</v>
      </c>
      <c r="M20">
        <f t="shared" si="1"/>
        <v>3.0490223628447583E-4</v>
      </c>
      <c r="N20">
        <f t="shared" si="1"/>
        <v>2.4961587410573405E-2</v>
      </c>
      <c r="O20">
        <f t="shared" si="1"/>
        <v>1.7577613685117982E-2</v>
      </c>
    </row>
    <row r="21" spans="2:16" x14ac:dyDescent="0.25">
      <c r="B21" t="s">
        <v>59</v>
      </c>
      <c r="D21">
        <f>D16/D12</f>
        <v>-1.1801154120103598E-2</v>
      </c>
      <c r="E21">
        <f t="shared" si="1"/>
        <v>-3.6624312894426316E-3</v>
      </c>
      <c r="F21">
        <f t="shared" si="1"/>
        <v>-2.0626095105960848E-2</v>
      </c>
      <c r="G21">
        <f t="shared" si="1"/>
        <v>-1.0330685616109583E-2</v>
      </c>
      <c r="H21">
        <f t="shared" si="1"/>
        <v>2.2902363517918595E-2</v>
      </c>
      <c r="I21">
        <f t="shared" si="1"/>
        <v>-2.3881809609889011E-2</v>
      </c>
      <c r="J21">
        <f t="shared" si="1"/>
        <v>9.6790403243761872E-3</v>
      </c>
      <c r="K21">
        <f t="shared" si="1"/>
        <v>7.9389841413319891E-3</v>
      </c>
      <c r="L21">
        <f t="shared" si="1"/>
        <v>-2.4549535192671936E-3</v>
      </c>
      <c r="M21">
        <f t="shared" si="1"/>
        <v>2.6241066262351192E-4</v>
      </c>
      <c r="N21">
        <f t="shared" si="1"/>
        <v>2.2350996788851378E-2</v>
      </c>
      <c r="O21">
        <f t="shared" si="1"/>
        <v>1.6576081249982135E-2</v>
      </c>
    </row>
    <row r="23" spans="2:16" x14ac:dyDescent="0.25">
      <c r="B23" t="s">
        <v>61</v>
      </c>
    </row>
    <row r="24" spans="2:16" x14ac:dyDescent="0.25">
      <c r="B24" t="s">
        <v>41</v>
      </c>
      <c r="C24" t="s">
        <v>42</v>
      </c>
      <c r="D24" s="12">
        <v>90369.51155422625</v>
      </c>
      <c r="E24" s="12">
        <v>42426.171466298169</v>
      </c>
      <c r="F24" s="12">
        <v>13871.060618994252</v>
      </c>
      <c r="G24" s="12">
        <v>11788.941529080395</v>
      </c>
      <c r="H24" s="12">
        <v>17624.291416427575</v>
      </c>
      <c r="I24" s="12">
        <v>14671.424016508099</v>
      </c>
      <c r="J24" s="12">
        <v>12572.354196584274</v>
      </c>
      <c r="K24" s="12">
        <v>2495.3500762934532</v>
      </c>
      <c r="L24" s="12">
        <v>10316.333953619222</v>
      </c>
      <c r="M24" s="12">
        <v>11017.628092404444</v>
      </c>
      <c r="N24" s="12">
        <v>4489.5546559034347</v>
      </c>
      <c r="O24" s="12">
        <v>0</v>
      </c>
      <c r="P24" s="12">
        <f>SUM(D24:O24)</f>
        <v>231642.62157633959</v>
      </c>
    </row>
    <row r="25" spans="2:16" x14ac:dyDescent="0.25">
      <c r="B25" t="s">
        <v>59</v>
      </c>
      <c r="C25" t="s">
        <v>42</v>
      </c>
      <c r="D25" s="12">
        <v>-10827.411297268653</v>
      </c>
      <c r="E25" s="12">
        <v>-11607.613909134743</v>
      </c>
      <c r="F25" s="12">
        <v>-11113.562168271146</v>
      </c>
      <c r="G25" s="12">
        <v>-10618.725491029178</v>
      </c>
      <c r="H25" s="12">
        <v>-10229.219791750073</v>
      </c>
      <c r="I25" s="12">
        <v>-8322.5754287677701</v>
      </c>
      <c r="J25" s="12">
        <v>-7290.7566178801935</v>
      </c>
      <c r="K25" s="12">
        <v>-11509.272243095897</v>
      </c>
      <c r="L25" s="12">
        <v>673.14526776216076</v>
      </c>
      <c r="M25" s="12">
        <v>646.0063494823155</v>
      </c>
      <c r="N25" s="12">
        <v>0</v>
      </c>
      <c r="O25" s="12">
        <v>0</v>
      </c>
      <c r="P25" s="12">
        <f>SUM(D25:O25)</f>
        <v>-80199.985329953182</v>
      </c>
    </row>
    <row r="26" spans="2:16" x14ac:dyDescent="0.25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8" spans="2:16" x14ac:dyDescent="0.25">
      <c r="B28" t="s">
        <v>60</v>
      </c>
    </row>
    <row r="29" spans="2:16" x14ac:dyDescent="0.25">
      <c r="B29" t="s">
        <v>41</v>
      </c>
      <c r="C29" t="s">
        <v>42</v>
      </c>
      <c r="D29">
        <f>D24/D11</f>
        <v>3.931186402720805E-2</v>
      </c>
      <c r="E29">
        <f t="shared" ref="E29:O30" si="2">E24/E11</f>
        <v>1.8612689237695827E-2</v>
      </c>
      <c r="F29">
        <f t="shared" si="2"/>
        <v>6.3108386890957371E-3</v>
      </c>
      <c r="G29">
        <f t="shared" si="2"/>
        <v>5.3714042266587974E-3</v>
      </c>
      <c r="H29">
        <f t="shared" si="2"/>
        <v>7.8982757164427764E-3</v>
      </c>
      <c r="I29">
        <f t="shared" si="2"/>
        <v>6.3772903982273026E-3</v>
      </c>
      <c r="J29">
        <f t="shared" si="2"/>
        <v>5.4980882727857783E-3</v>
      </c>
      <c r="K29">
        <f t="shared" si="2"/>
        <v>1.0827690892935076E-3</v>
      </c>
      <c r="L29">
        <f t="shared" si="2"/>
        <v>4.4855833572414183E-3</v>
      </c>
      <c r="M29">
        <f t="shared" si="2"/>
        <v>4.9125172303527325E-3</v>
      </c>
      <c r="N29">
        <f t="shared" si="2"/>
        <v>2.0285534138579191E-3</v>
      </c>
      <c r="O29">
        <f t="shared" si="2"/>
        <v>0</v>
      </c>
    </row>
    <row r="30" spans="2:16" x14ac:dyDescent="0.25">
      <c r="B30" t="s">
        <v>59</v>
      </c>
      <c r="C30" t="s">
        <v>42</v>
      </c>
      <c r="D30">
        <f>D25/D12</f>
        <v>-6.0678876501397139E-2</v>
      </c>
      <c r="E30">
        <f t="shared" si="2"/>
        <v>-6.6615593256810518E-2</v>
      </c>
      <c r="F30">
        <f t="shared" si="2"/>
        <v>-6.2816985153553537E-2</v>
      </c>
      <c r="G30">
        <f t="shared" si="2"/>
        <v>-6.0769168427080987E-2</v>
      </c>
      <c r="H30">
        <f t="shared" si="2"/>
        <v>-5.7162190902471925E-2</v>
      </c>
      <c r="I30">
        <f t="shared" si="2"/>
        <v>-4.3576704928129956E-2</v>
      </c>
      <c r="J30">
        <f t="shared" si="2"/>
        <v>-3.9298884803044581E-2</v>
      </c>
      <c r="K30">
        <f t="shared" si="2"/>
        <v>-5.6326002054956789E-2</v>
      </c>
      <c r="L30">
        <f t="shared" si="2"/>
        <v>3.1173282702522905E-3</v>
      </c>
      <c r="M30">
        <f t="shared" si="2"/>
        <v>3.1258200333206987E-3</v>
      </c>
      <c r="N30">
        <f t="shared" si="2"/>
        <v>0</v>
      </c>
      <c r="O30">
        <f t="shared" si="2"/>
        <v>0</v>
      </c>
    </row>
  </sheetData>
  <printOptions horizontalCentered="1"/>
  <pageMargins left="0.7" right="0.7" top="0.75" bottom="0.75" header="0.3" footer="0.3"/>
  <pageSetup scale="5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0"/>
  <sheetViews>
    <sheetView workbookViewId="0">
      <selection activeCell="B26" sqref="B26"/>
    </sheetView>
  </sheetViews>
  <sheetFormatPr defaultRowHeight="15" x14ac:dyDescent="0.25"/>
  <cols>
    <col min="2" max="2" width="39.42578125" customWidth="1"/>
    <col min="3" max="3" width="5.5703125" bestFit="1" customWidth="1"/>
    <col min="4" max="15" width="11.5703125" bestFit="1" customWidth="1"/>
    <col min="16" max="16" width="13.28515625" bestFit="1" customWidth="1"/>
  </cols>
  <sheetData>
    <row r="1" spans="2:16" ht="15.75" thickBot="1" x14ac:dyDescent="0.3"/>
    <row r="2" spans="2:16" x14ac:dyDescent="0.25">
      <c r="B2" s="28" t="s">
        <v>65</v>
      </c>
    </row>
    <row r="3" spans="2:16" x14ac:dyDescent="0.25">
      <c r="B3" s="29" t="s">
        <v>66</v>
      </c>
    </row>
    <row r="4" spans="2:16" x14ac:dyDescent="0.25">
      <c r="B4" s="29" t="s">
        <v>69</v>
      </c>
    </row>
    <row r="5" spans="2:16" x14ac:dyDescent="0.25">
      <c r="B5" s="29" t="s">
        <v>67</v>
      </c>
    </row>
    <row r="6" spans="2:16" ht="15.75" thickBot="1" x14ac:dyDescent="0.3">
      <c r="B6" s="30" t="s">
        <v>68</v>
      </c>
    </row>
    <row r="8" spans="2:16" x14ac:dyDescent="0.25">
      <c r="B8" t="s">
        <v>55</v>
      </c>
    </row>
    <row r="9" spans="2:16" x14ac:dyDescent="0.25">
      <c r="B9" t="s">
        <v>43</v>
      </c>
      <c r="C9" t="s">
        <v>44</v>
      </c>
      <c r="D9" s="14" t="s">
        <v>46</v>
      </c>
      <c r="E9" s="14" t="s">
        <v>47</v>
      </c>
      <c r="F9" s="14" t="s">
        <v>48</v>
      </c>
      <c r="G9" s="14" t="s">
        <v>46</v>
      </c>
      <c r="H9" s="14" t="s">
        <v>47</v>
      </c>
      <c r="I9" s="14" t="s">
        <v>48</v>
      </c>
      <c r="J9" s="14" t="s">
        <v>49</v>
      </c>
      <c r="K9" s="14" t="s">
        <v>50</v>
      </c>
      <c r="L9" s="14" t="s">
        <v>51</v>
      </c>
      <c r="M9" s="14" t="s">
        <v>52</v>
      </c>
      <c r="N9" s="14" t="s">
        <v>53</v>
      </c>
      <c r="O9" s="14" t="s">
        <v>54</v>
      </c>
      <c r="P9" s="14" t="s">
        <v>45</v>
      </c>
    </row>
    <row r="11" spans="2:16" x14ac:dyDescent="0.25">
      <c r="B11" t="s">
        <v>41</v>
      </c>
      <c r="C11" t="s">
        <v>42</v>
      </c>
      <c r="D11" s="12">
        <v>530521.19999999995</v>
      </c>
      <c r="E11" s="12">
        <v>523329.6</v>
      </c>
      <c r="F11" s="12">
        <v>518453.6</v>
      </c>
      <c r="G11" s="12">
        <v>515296.9</v>
      </c>
      <c r="H11" s="12">
        <v>527213.19999999995</v>
      </c>
      <c r="I11" s="12">
        <v>547426.9</v>
      </c>
      <c r="J11" s="12">
        <v>556366.6</v>
      </c>
      <c r="K11" s="12">
        <v>554246.9</v>
      </c>
      <c r="L11" s="12">
        <v>551032.9</v>
      </c>
      <c r="M11" s="12">
        <v>529958</v>
      </c>
      <c r="N11" s="12">
        <v>521165.5</v>
      </c>
      <c r="O11" s="12">
        <v>525906.80000000005</v>
      </c>
      <c r="P11" s="12">
        <f>SUM(D11:O11)</f>
        <v>6400918.1000000006</v>
      </c>
    </row>
    <row r="12" spans="2:16" x14ac:dyDescent="0.25">
      <c r="B12" t="s">
        <v>59</v>
      </c>
      <c r="C12" t="s">
        <v>42</v>
      </c>
      <c r="D12" s="12">
        <v>121881.3</v>
      </c>
      <c r="E12" s="12">
        <v>114747.8</v>
      </c>
      <c r="F12" s="12">
        <v>106025.9</v>
      </c>
      <c r="G12" s="12">
        <v>96666.1</v>
      </c>
      <c r="H12" s="12">
        <v>96709.6</v>
      </c>
      <c r="I12" s="12">
        <v>86597.1</v>
      </c>
      <c r="J12" s="12">
        <v>102108.2</v>
      </c>
      <c r="K12" s="12">
        <v>88830</v>
      </c>
      <c r="L12" s="12">
        <v>90134.7</v>
      </c>
      <c r="M12" s="12">
        <v>89782.2</v>
      </c>
      <c r="N12" s="12">
        <v>97907.4</v>
      </c>
      <c r="O12" s="12">
        <v>109528.2</v>
      </c>
      <c r="P12" s="12">
        <f>SUM(D12:O12)</f>
        <v>1200918.4999999998</v>
      </c>
    </row>
    <row r="14" spans="2:16" x14ac:dyDescent="0.25">
      <c r="B14" t="s">
        <v>57</v>
      </c>
    </row>
    <row r="15" spans="2:16" x14ac:dyDescent="0.25">
      <c r="B15" t="s">
        <v>41</v>
      </c>
      <c r="C15" t="s">
        <v>42</v>
      </c>
      <c r="D15" s="23">
        <v>-7988.6065489627654</v>
      </c>
      <c r="E15" s="23">
        <v>-4155.4012114129455</v>
      </c>
      <c r="F15" s="23">
        <v>1012.7223731102471</v>
      </c>
      <c r="G15" s="23">
        <v>3831.3644786910672</v>
      </c>
      <c r="H15" s="23">
        <v>2006.4424477410134</v>
      </c>
      <c r="I15" s="23">
        <v>-28727.108038767441</v>
      </c>
      <c r="J15" s="23">
        <v>-15838.35151091805</v>
      </c>
      <c r="K15" s="23">
        <v>3910.8538569240709</v>
      </c>
      <c r="L15" s="23">
        <v>9560.9613150697696</v>
      </c>
      <c r="M15" s="23">
        <v>12495.33613995522</v>
      </c>
      <c r="N15" s="23">
        <v>1023.6625743414179</v>
      </c>
      <c r="O15" s="23">
        <v>-3328.6534456523973</v>
      </c>
      <c r="P15" s="23">
        <f>SUM(D15:O15)</f>
        <v>-26196.777569880796</v>
      </c>
    </row>
    <row r="16" spans="2:16" x14ac:dyDescent="0.25">
      <c r="B16" t="s">
        <v>59</v>
      </c>
      <c r="C16" t="s">
        <v>42</v>
      </c>
      <c r="D16" s="24">
        <v>-1510.4033139323024</v>
      </c>
      <c r="E16" s="24">
        <v>-864.96432974033587</v>
      </c>
      <c r="F16" s="24">
        <v>182.01400144179397</v>
      </c>
      <c r="G16" s="24">
        <v>593.10969891538946</v>
      </c>
      <c r="H16" s="24">
        <v>286.77256151933062</v>
      </c>
      <c r="I16" s="24">
        <v>-4492.7575844173252</v>
      </c>
      <c r="J16" s="24">
        <v>-2041.1942050274097</v>
      </c>
      <c r="K16" s="24">
        <v>525.08516769198991</v>
      </c>
      <c r="L16" s="24">
        <v>1105.2150538093974</v>
      </c>
      <c r="M16" s="24">
        <v>1368.957283301964</v>
      </c>
      <c r="N16" s="24">
        <v>46.757396876395312</v>
      </c>
      <c r="O16" s="24">
        <v>-521.92840433820936</v>
      </c>
      <c r="P16" s="23">
        <f>SUM(D16:O16)</f>
        <v>-5323.3366738993227</v>
      </c>
    </row>
    <row r="17" spans="2:16" x14ac:dyDescent="0.25">
      <c r="B17" t="s">
        <v>56</v>
      </c>
      <c r="D17" s="23">
        <f>SUM(D15:D16)</f>
        <v>-9499.0098628950673</v>
      </c>
      <c r="E17" s="23">
        <f t="shared" ref="E17:O17" si="0">SUM(E15:E16)</f>
        <v>-5020.3655411532818</v>
      </c>
      <c r="F17" s="23">
        <f t="shared" si="0"/>
        <v>1194.7363745520411</v>
      </c>
      <c r="G17" s="23">
        <f t="shared" si="0"/>
        <v>4424.4741776064566</v>
      </c>
      <c r="H17" s="23">
        <f t="shared" si="0"/>
        <v>2293.2150092603442</v>
      </c>
      <c r="I17" s="23">
        <f t="shared" si="0"/>
        <v>-33219.865623184764</v>
      </c>
      <c r="J17" s="23">
        <f t="shared" si="0"/>
        <v>-17879.54571594546</v>
      </c>
      <c r="K17" s="23">
        <f t="shared" si="0"/>
        <v>4435.939024616061</v>
      </c>
      <c r="L17" s="23">
        <f t="shared" si="0"/>
        <v>10666.176368879167</v>
      </c>
      <c r="M17" s="23">
        <f t="shared" si="0"/>
        <v>13864.293423257184</v>
      </c>
      <c r="N17" s="23">
        <f t="shared" si="0"/>
        <v>1070.4199712178131</v>
      </c>
      <c r="O17" s="23">
        <f t="shared" si="0"/>
        <v>-3850.5818499906068</v>
      </c>
      <c r="P17" s="23">
        <v>-31520.114243780117</v>
      </c>
    </row>
    <row r="19" spans="2:16" x14ac:dyDescent="0.25">
      <c r="B19" t="s">
        <v>58</v>
      </c>
    </row>
    <row r="20" spans="2:16" x14ac:dyDescent="0.25">
      <c r="B20" t="s">
        <v>41</v>
      </c>
      <c r="D20">
        <f>D15/D11</f>
        <v>-1.5058034530877873E-2</v>
      </c>
      <c r="E20">
        <f t="shared" ref="E20:O20" si="1">E15/E11</f>
        <v>-7.9403137361482058E-3</v>
      </c>
      <c r="F20">
        <f t="shared" si="1"/>
        <v>1.9533519935250659E-3</v>
      </c>
      <c r="G20">
        <f t="shared" si="1"/>
        <v>7.4352562157681658E-3</v>
      </c>
      <c r="H20">
        <f t="shared" si="1"/>
        <v>3.8057515398723205E-3</v>
      </c>
      <c r="I20">
        <f t="shared" si="1"/>
        <v>-5.2476610189903787E-2</v>
      </c>
      <c r="J20">
        <f t="shared" si="1"/>
        <v>-2.8467473624257909E-2</v>
      </c>
      <c r="K20">
        <f t="shared" si="1"/>
        <v>7.0561582878029099E-3</v>
      </c>
      <c r="L20">
        <f t="shared" si="1"/>
        <v>1.7350980885296994E-2</v>
      </c>
      <c r="M20">
        <f t="shared" si="1"/>
        <v>2.3577974367695591E-2</v>
      </c>
      <c r="N20">
        <f t="shared" si="1"/>
        <v>1.9641794676382414E-3</v>
      </c>
      <c r="O20">
        <f t="shared" si="1"/>
        <v>-6.3293599657817641E-3</v>
      </c>
    </row>
    <row r="21" spans="2:16" x14ac:dyDescent="0.25">
      <c r="B21" t="s">
        <v>59</v>
      </c>
      <c r="D21">
        <f>D16/D12</f>
        <v>-1.2392412239878491E-2</v>
      </c>
      <c r="E21">
        <f t="shared" ref="E21:O21" si="2">E16/E12</f>
        <v>-7.5379600283433396E-3</v>
      </c>
      <c r="F21">
        <f t="shared" si="2"/>
        <v>1.7166937648423071E-3</v>
      </c>
      <c r="G21">
        <f t="shared" si="2"/>
        <v>6.1356535426110026E-3</v>
      </c>
      <c r="H21">
        <f t="shared" si="2"/>
        <v>2.9652957050730292E-3</v>
      </c>
      <c r="I21">
        <f t="shared" si="2"/>
        <v>-5.1881155193618779E-2</v>
      </c>
      <c r="J21">
        <f t="shared" si="2"/>
        <v>-1.9990502281182213E-2</v>
      </c>
      <c r="K21">
        <f t="shared" si="2"/>
        <v>5.9111242563547215E-3</v>
      </c>
      <c r="L21">
        <f t="shared" si="2"/>
        <v>1.2261815414145689E-2</v>
      </c>
      <c r="M21">
        <f t="shared" si="2"/>
        <v>1.5247535517084278E-2</v>
      </c>
      <c r="N21">
        <f t="shared" si="2"/>
        <v>4.7756754725787137E-4</v>
      </c>
      <c r="O21">
        <f t="shared" si="2"/>
        <v>-4.7652422329428346E-3</v>
      </c>
    </row>
    <row r="23" spans="2:16" x14ac:dyDescent="0.25">
      <c r="B23" t="s">
        <v>61</v>
      </c>
    </row>
    <row r="24" spans="2:16" x14ac:dyDescent="0.25">
      <c r="B24" t="s">
        <v>41</v>
      </c>
      <c r="C24" t="s">
        <v>42</v>
      </c>
      <c r="D24" s="12">
        <v>14565.368458565497</v>
      </c>
      <c r="E24" s="12">
        <v>10739.690066224452</v>
      </c>
      <c r="F24" s="12">
        <v>9189.0328605343202</v>
      </c>
      <c r="G24" s="12">
        <v>8679.4195425050639</v>
      </c>
      <c r="H24" s="12">
        <v>7078.4384277106128</v>
      </c>
      <c r="I24" s="12">
        <v>6976.1539157127991</v>
      </c>
      <c r="J24" s="12">
        <v>4164.2557118862342</v>
      </c>
      <c r="K24" s="12">
        <v>2385.2895463971117</v>
      </c>
      <c r="L24" s="12">
        <v>4359.9028318587343</v>
      </c>
      <c r="M24" s="12">
        <v>2752.5722022324658</v>
      </c>
      <c r="N24" s="12">
        <v>1170.1506462197906</v>
      </c>
      <c r="O24" s="12">
        <v>0</v>
      </c>
      <c r="P24" s="12">
        <f>SUM(D24:O24)</f>
        <v>72060.274209847077</v>
      </c>
    </row>
    <row r="25" spans="2:16" x14ac:dyDescent="0.25">
      <c r="B25" t="s">
        <v>59</v>
      </c>
      <c r="C25" t="s">
        <v>42</v>
      </c>
      <c r="D25" s="12">
        <v>-4430.8305528613882</v>
      </c>
      <c r="E25" s="12">
        <v>-3514.9023355018412</v>
      </c>
      <c r="F25" s="12">
        <v>-3278.0220370815368</v>
      </c>
      <c r="G25" s="12">
        <v>-1823.6101818546636</v>
      </c>
      <c r="H25" s="12">
        <v>-3570.4186218964178</v>
      </c>
      <c r="I25" s="12">
        <v>-519.64773680748533</v>
      </c>
      <c r="J25" s="12">
        <v>-2486.1367899372071</v>
      </c>
      <c r="K25" s="12">
        <v>0</v>
      </c>
      <c r="L25" s="12">
        <v>0</v>
      </c>
      <c r="M25" s="12">
        <v>584.30229027757662</v>
      </c>
      <c r="N25" s="12">
        <v>0</v>
      </c>
      <c r="O25" s="12">
        <v>0</v>
      </c>
      <c r="P25" s="12">
        <f>SUM(D25:O25)</f>
        <v>-19039.265965662962</v>
      </c>
    </row>
    <row r="26" spans="2:16" x14ac:dyDescent="0.25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8" spans="2:16" x14ac:dyDescent="0.25">
      <c r="B28" t="s">
        <v>60</v>
      </c>
    </row>
    <row r="29" spans="2:16" x14ac:dyDescent="0.25">
      <c r="B29" t="s">
        <v>41</v>
      </c>
      <c r="C29" t="s">
        <v>42</v>
      </c>
      <c r="D29">
        <f>D24/D11</f>
        <v>2.7454828305759502E-2</v>
      </c>
      <c r="E29">
        <f t="shared" ref="E29:O29" si="3">E24/E11</f>
        <v>2.0521847161376793E-2</v>
      </c>
      <c r="F29">
        <f t="shared" si="3"/>
        <v>1.7723925266473838E-2</v>
      </c>
      <c r="G29">
        <f t="shared" si="3"/>
        <v>1.684353145245986E-2</v>
      </c>
      <c r="H29">
        <f t="shared" si="3"/>
        <v>1.34261403692294E-2</v>
      </c>
      <c r="I29">
        <f t="shared" si="3"/>
        <v>1.274353510160498E-2</v>
      </c>
      <c r="J29">
        <f t="shared" si="3"/>
        <v>7.4847334686989377E-3</v>
      </c>
      <c r="K29">
        <f t="shared" si="3"/>
        <v>4.303658796101722E-3</v>
      </c>
      <c r="L29">
        <f t="shared" si="3"/>
        <v>7.9122368770698347E-3</v>
      </c>
      <c r="M29">
        <f t="shared" si="3"/>
        <v>5.1939440526088216E-3</v>
      </c>
      <c r="N29">
        <f t="shared" si="3"/>
        <v>2.2452573054428785E-3</v>
      </c>
      <c r="O29">
        <f t="shared" si="3"/>
        <v>0</v>
      </c>
    </row>
    <row r="30" spans="2:16" x14ac:dyDescent="0.25">
      <c r="B30" t="s">
        <v>59</v>
      </c>
      <c r="C30" t="s">
        <v>42</v>
      </c>
      <c r="D30">
        <f>D25/D12</f>
        <v>-3.6353653537182389E-2</v>
      </c>
      <c r="E30">
        <f t="shared" ref="E30:O30" si="4">E25/E12</f>
        <v>-3.0631544443569646E-2</v>
      </c>
      <c r="F30">
        <f t="shared" si="4"/>
        <v>-3.0917181906322293E-2</v>
      </c>
      <c r="G30">
        <f t="shared" si="4"/>
        <v>-1.8865043503923956E-2</v>
      </c>
      <c r="H30">
        <f t="shared" si="4"/>
        <v>-3.6918967940064044E-2</v>
      </c>
      <c r="I30">
        <f t="shared" si="4"/>
        <v>-6.0007521823188682E-3</v>
      </c>
      <c r="J30">
        <f t="shared" si="4"/>
        <v>-2.4348062055125907E-2</v>
      </c>
      <c r="K30">
        <f t="shared" si="4"/>
        <v>0</v>
      </c>
      <c r="L30">
        <f t="shared" si="4"/>
        <v>0</v>
      </c>
      <c r="M30">
        <f t="shared" si="4"/>
        <v>6.5079970225454115E-3</v>
      </c>
      <c r="N30">
        <f t="shared" si="4"/>
        <v>0</v>
      </c>
      <c r="O30">
        <f t="shared" si="4"/>
        <v>0</v>
      </c>
    </row>
  </sheetData>
  <printOptions horizontalCentered="1"/>
  <pageMargins left="0.7" right="0.7" top="0.75" bottom="0.75" header="0.3" footer="0.3"/>
  <pageSetup scale="5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1B4324-148A-4F56-BF6E-8CADD600DAEA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F5FE22B0-54A3-464D-A7BA-FD9A0715A345}"/>
</file>

<file path=customXml/itemProps3.xml><?xml version="1.0" encoding="utf-8"?>
<ds:datastoreItem xmlns:ds="http://schemas.openxmlformats.org/officeDocument/2006/customXml" ds:itemID="{5E174585-46CA-4585-B79A-B429BE4058AC}"/>
</file>

<file path=customXml/itemProps4.xml><?xml version="1.0" encoding="utf-8"?>
<ds:datastoreItem xmlns:ds="http://schemas.openxmlformats.org/officeDocument/2006/customXml" ds:itemID="{4FAD4FCA-16A4-4C78-A281-C9D9EC77B2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(a-c) AEP TX Mtrd kW Adj</vt:lpstr>
      <vt:lpstr>(d-f)</vt:lpstr>
      <vt:lpstr>(g-i)</vt:lpstr>
      <vt:lpstr>Central WP</vt:lpstr>
      <vt:lpstr>North WP</vt:lpstr>
      <vt:lpstr>Central Adj WP</vt:lpstr>
      <vt:lpstr>North Adj WP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dtsoa12</dc:creator>
  <cp:lastModifiedBy>d897737</cp:lastModifiedBy>
  <cp:lastPrinted>2019-04-26T19:10:55Z</cp:lastPrinted>
  <dcterms:created xsi:type="dcterms:W3CDTF">2019-04-05T14:24:27Z</dcterms:created>
  <dcterms:modified xsi:type="dcterms:W3CDTF">2019-04-26T19:11:36Z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a4fdbc88-b64a-478f-be2a-f655f7ace8be</vt:lpwstr>
  </property>
  <property fmtid="{D5CDD505-2E9C-101B-9397-08002B2CF9AE}" pid="3" name="bjDocumentSecurityLabel">
    <vt:lpwstr>Uncategorized</vt:lpwstr>
  </property>
  <property fmtid="{D5CDD505-2E9C-101B-9397-08002B2CF9AE}" pid="4" name="bjSaver">
    <vt:lpwstr>UhaBZRC4hf8PDNfVc3fDEeb6MeC3iUVD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7" name="Visual Markings Removed">
    <vt:lpwstr>No</vt:lpwstr>
  </property>
  <property fmtid="{D5CDD505-2E9C-101B-9397-08002B2CF9AE}" pid="8" name="ContentTypeId">
    <vt:lpwstr>0x01010068D7645638A6BA4A903C04B5C9F7EDEE</vt:lpwstr>
  </property>
</Properties>
</file>