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H:\Regmgmt\RegCaseMgmt\2019 AEPTX RATE CASE\TESTIMONY\STRAHLER\"/>
    </mc:Choice>
  </mc:AlternateContent>
  <bookViews>
    <workbookView xWindow="0" yWindow="0" windowWidth="26010" windowHeight="10755"/>
  </bookViews>
  <sheets>
    <sheet name=" Exh Rate Case Exp" sheetId="16" r:id="rId1"/>
    <sheet name="Exh Rate Case Exp 2" sheetId="17" r:id="rId2"/>
    <sheet name="Docket 40261" sheetId="15" r:id="rId3"/>
    <sheet name="2017 DCRF 47015" sheetId="1" r:id="rId4"/>
    <sheet name="2018 DCRF 48222 " sheetId="2" r:id="rId5"/>
    <sheet name="Docket 48577 " sheetId="3" r:id="rId6"/>
    <sheet name="Trailing Charges Central" sheetId="10" r:id="rId7"/>
    <sheet name="Trailing Charges North" sheetId="9" r:id="rId8"/>
  </sheets>
  <definedNames>
    <definedName name="_xlnm._FilterDatabase" localSheetId="3" hidden="1">'2017 DCRF 47015'!$A$6:$BF$76</definedName>
    <definedName name="_xlnm._FilterDatabase" localSheetId="4" hidden="1">'2018 DCRF 48222 '!$A$6:$T$68</definedName>
    <definedName name="_xlnm._FilterDatabase" localSheetId="2" hidden="1">'Docket 40261'!$A$6:$M$29</definedName>
    <definedName name="_xlnm._FilterDatabase" localSheetId="5" hidden="1">'Docket 48577 '!$A$6:$M$103</definedName>
    <definedName name="_xlnm._FilterDatabase" localSheetId="6" hidden="1">'Trailing Charges Central'!$C$7:$AH$171</definedName>
    <definedName name="_xlnm.Print_Area" localSheetId="0">' Exh Rate Case Exp'!$A$1:$B$74</definedName>
    <definedName name="_xlnm.Print_Area" localSheetId="3">'2017 DCRF 47015'!$A$1:$M$77</definedName>
    <definedName name="_xlnm.Print_Area" localSheetId="4">'2018 DCRF 48222 '!$A$1:$M$71</definedName>
    <definedName name="_xlnm.Print_Area" localSheetId="2">'Docket 40261'!$A$1:$M$31</definedName>
    <definedName name="_xlnm.Print_Area" localSheetId="1">'Exh Rate Case Exp 2'!$A$1:$C$73</definedName>
    <definedName name="_xlnm.Print_Area" localSheetId="6">'Trailing Charges Central'!$A$1:$O$173</definedName>
    <definedName name="_xlnm.Print_Titles" localSheetId="0">' Exh Rate Case Exp'!$1:$3</definedName>
    <definedName name="_xlnm.Print_Titles" localSheetId="5">'Docket 48577 '!$1:$6</definedName>
    <definedName name="_xlnm.Print_Titles" localSheetId="1">'Exh Rate Case Exp 2'!$1:$5</definedName>
    <definedName name="_xlnm.Print_Titles" localSheetId="6">'Trailing Charges Central'!$1:$7</definedName>
  </definedNames>
  <calcPr calcId="162913" iterate="1"/>
  <pivotCaches>
    <pivotCache cacheId="0" r:id="rId9"/>
    <pivotCache cacheId="1" r:id="rId10"/>
  </pivotCaches>
</workbook>
</file>

<file path=xl/calcChain.xml><?xml version="1.0" encoding="utf-8"?>
<calcChain xmlns="http://schemas.openxmlformats.org/spreadsheetml/2006/main">
  <c r="B20" i="16" l="1"/>
  <c r="B10" i="16"/>
  <c r="B73" i="16" l="1"/>
  <c r="B68" i="16"/>
  <c r="B48" i="16"/>
  <c r="B39" i="16"/>
  <c r="B9" i="16"/>
  <c r="B8" i="16"/>
  <c r="G169" i="10" l="1"/>
  <c r="E36" i="15" l="1"/>
  <c r="H27" i="15"/>
  <c r="G27" i="15"/>
  <c r="F27" i="15"/>
  <c r="C13" i="17" l="1"/>
  <c r="C68" i="17" l="1"/>
  <c r="C64" i="17"/>
  <c r="C63" i="17"/>
  <c r="C62" i="17"/>
  <c r="C58" i="17"/>
  <c r="C59" i="17" s="1"/>
  <c r="C54" i="17"/>
  <c r="C47" i="17"/>
  <c r="C43" i="17"/>
  <c r="C42" i="17"/>
  <c r="C35" i="17"/>
  <c r="C31" i="17"/>
  <c r="C65" i="17" l="1"/>
  <c r="C44" i="17"/>
  <c r="C49" i="17" s="1"/>
  <c r="G70" i="3"/>
  <c r="H68" i="3"/>
  <c r="H69" i="3" s="1"/>
  <c r="H70" i="3" s="1"/>
  <c r="G69" i="3"/>
  <c r="F69" i="3"/>
  <c r="F70" i="3" s="1"/>
  <c r="F71" i="3" s="1"/>
  <c r="G46" i="3"/>
  <c r="F46" i="3"/>
  <c r="H44" i="3"/>
  <c r="H43" i="3"/>
  <c r="G45" i="3"/>
  <c r="F45" i="3"/>
  <c r="H45" i="3" l="1"/>
  <c r="H46" i="3" s="1"/>
  <c r="H42" i="3" l="1"/>
  <c r="G42" i="3"/>
  <c r="F42" i="3"/>
  <c r="B27" i="16" l="1"/>
  <c r="B26" i="16"/>
  <c r="B59" i="16"/>
  <c r="B54" i="16"/>
  <c r="B21" i="16"/>
  <c r="B47" i="16"/>
  <c r="B64" i="16" l="1"/>
  <c r="B50" i="16"/>
  <c r="B28" i="16"/>
  <c r="G69" i="10" l="1"/>
  <c r="G71" i="10" s="1"/>
  <c r="G73" i="10" s="1"/>
  <c r="G75" i="10" s="1"/>
  <c r="G77" i="10" s="1"/>
  <c r="G79" i="10" s="1"/>
  <c r="G81" i="10" s="1"/>
  <c r="G84" i="10" s="1"/>
  <c r="G86" i="10" s="1"/>
  <c r="G88" i="10" s="1"/>
  <c r="G90" i="10" s="1"/>
  <c r="G92" i="10" s="1"/>
  <c r="G94" i="10" s="1"/>
  <c r="G96" i="10" s="1"/>
  <c r="G98" i="10" s="1"/>
  <c r="G100" i="10" s="1"/>
  <c r="G101" i="10" s="1"/>
  <c r="G105" i="10" s="1"/>
  <c r="G108" i="10" s="1"/>
  <c r="G111" i="10" s="1"/>
  <c r="G114" i="10" s="1"/>
  <c r="G117" i="10" s="1"/>
  <c r="G119" i="10" s="1"/>
  <c r="G121" i="10" s="1"/>
  <c r="G123" i="10" s="1"/>
  <c r="G125" i="10" s="1"/>
  <c r="G127" i="10" s="1"/>
  <c r="G129" i="10" s="1"/>
  <c r="G131" i="10" s="1"/>
  <c r="G134" i="10" s="1"/>
  <c r="G136" i="10" s="1"/>
  <c r="G138" i="10" s="1"/>
  <c r="G140" i="10" s="1"/>
  <c r="G142" i="10" s="1"/>
  <c r="G144" i="10" s="1"/>
  <c r="G146" i="10" s="1"/>
  <c r="G148" i="10" s="1"/>
  <c r="G150" i="10" s="1"/>
  <c r="G152" i="10" s="1"/>
  <c r="G154" i="10" s="1"/>
  <c r="G156" i="10" s="1"/>
  <c r="G158" i="10" s="1"/>
  <c r="G160" i="10" s="1"/>
  <c r="G162" i="10" s="1"/>
  <c r="G164" i="10" s="1"/>
  <c r="G165" i="10" s="1"/>
  <c r="G166" i="10" s="1"/>
  <c r="G67" i="10"/>
  <c r="F71" i="10"/>
  <c r="F73" i="10" s="1"/>
  <c r="F75" i="10" s="1"/>
  <c r="F77" i="10" s="1"/>
  <c r="F79" i="10" s="1"/>
  <c r="F81" i="10" s="1"/>
  <c r="F84" i="10" s="1"/>
  <c r="F86" i="10" s="1"/>
  <c r="F88" i="10" s="1"/>
  <c r="F90" i="10" s="1"/>
  <c r="F92" i="10" s="1"/>
  <c r="F69" i="10"/>
  <c r="F67" i="10"/>
  <c r="G14" i="10"/>
  <c r="F14" i="10"/>
  <c r="F16" i="10"/>
  <c r="F18" i="10"/>
  <c r="G16" i="10"/>
  <c r="G18" i="10"/>
  <c r="G21" i="10"/>
  <c r="F21" i="10"/>
  <c r="G23" i="10"/>
  <c r="F23" i="10"/>
  <c r="G25" i="10"/>
  <c r="F25" i="10"/>
  <c r="G27" i="10"/>
  <c r="F27" i="10"/>
  <c r="G30" i="10"/>
  <c r="F30" i="10"/>
  <c r="G32" i="10"/>
  <c r="F32" i="10"/>
  <c r="G35" i="10"/>
  <c r="F35" i="10"/>
  <c r="G42" i="10"/>
  <c r="F42" i="10"/>
  <c r="G44" i="10"/>
  <c r="F44" i="10"/>
  <c r="G46" i="10"/>
  <c r="F46" i="10"/>
  <c r="G49" i="10"/>
  <c r="F49" i="10"/>
  <c r="G52" i="10"/>
  <c r="F52" i="10"/>
  <c r="G54" i="10"/>
  <c r="F54" i="10"/>
  <c r="G57" i="10"/>
  <c r="F57" i="10"/>
  <c r="G59" i="10"/>
  <c r="F59" i="10"/>
  <c r="G61" i="10"/>
  <c r="F61" i="10"/>
  <c r="F62" i="10" s="1"/>
  <c r="F63" i="10" s="1"/>
  <c r="G62" i="10" l="1"/>
  <c r="G63" i="10" s="1"/>
  <c r="G168" i="10" s="1"/>
  <c r="G171" i="10" s="1"/>
  <c r="F94" i="10"/>
  <c r="F96" i="10" s="1"/>
  <c r="F98" i="10" s="1"/>
  <c r="F100" i="10" s="1"/>
  <c r="F101" i="10" s="1"/>
  <c r="F105" i="10" s="1"/>
  <c r="F108" i="10" s="1"/>
  <c r="F111" i="10" s="1"/>
  <c r="F114" i="10" s="1"/>
  <c r="F117" i="10" s="1"/>
  <c r="F119" i="10" s="1"/>
  <c r="F121" i="10" s="1"/>
  <c r="F123" i="10" s="1"/>
  <c r="F125" i="10" s="1"/>
  <c r="F127" i="10" s="1"/>
  <c r="F129" i="10" s="1"/>
  <c r="F131" i="10" s="1"/>
  <c r="F134" i="10" s="1"/>
  <c r="F136" i="10" s="1"/>
  <c r="F138" i="10" s="1"/>
  <c r="F140" i="10" s="1"/>
  <c r="F142" i="10" s="1"/>
  <c r="F144" i="10" s="1"/>
  <c r="F146" i="10" s="1"/>
  <c r="F148" i="10" s="1"/>
  <c r="F150" i="10" s="1"/>
  <c r="F152" i="10" s="1"/>
  <c r="F154" i="10" s="1"/>
  <c r="F156" i="10" s="1"/>
  <c r="F158" i="10" s="1"/>
  <c r="F160" i="10" s="1"/>
  <c r="F162" i="10" s="1"/>
  <c r="F164" i="10" s="1"/>
  <c r="F165" i="10" s="1"/>
  <c r="F166" i="10" s="1"/>
  <c r="F168" i="10" s="1"/>
  <c r="C95" i="2" l="1"/>
  <c r="B95" i="2"/>
  <c r="C94" i="2"/>
  <c r="B94" i="2"/>
  <c r="C93" i="2"/>
  <c r="B93" i="2"/>
  <c r="G88" i="3"/>
  <c r="F88" i="3"/>
  <c r="G76" i="3"/>
  <c r="F76" i="3"/>
  <c r="H75" i="3"/>
  <c r="H76" i="3" s="1"/>
  <c r="C99" i="1" l="1"/>
  <c r="B99" i="1"/>
  <c r="C98" i="1"/>
  <c r="B98" i="1"/>
  <c r="G9" i="15"/>
  <c r="I32" i="9" l="1"/>
  <c r="H32" i="9"/>
  <c r="G32" i="9"/>
  <c r="F32" i="9"/>
  <c r="I30" i="9"/>
  <c r="H30" i="9"/>
  <c r="G30" i="9"/>
  <c r="F30" i="9"/>
  <c r="I29" i="9"/>
  <c r="H29" i="9"/>
  <c r="G29" i="9"/>
  <c r="F29" i="9"/>
  <c r="I28" i="9"/>
  <c r="I26" i="9"/>
  <c r="I24" i="9"/>
  <c r="I22" i="9"/>
  <c r="I20" i="9"/>
  <c r="H20" i="9"/>
  <c r="I13" i="9"/>
  <c r="I14" i="9"/>
  <c r="I12" i="9"/>
  <c r="I11" i="9"/>
  <c r="I15" i="9"/>
  <c r="I16" i="9" s="1"/>
  <c r="I17" i="9" s="1"/>
  <c r="H28" i="9"/>
  <c r="G28" i="9"/>
  <c r="F28" i="9"/>
  <c r="H26" i="9"/>
  <c r="G26" i="9"/>
  <c r="F26" i="9"/>
  <c r="H24" i="9"/>
  <c r="G24" i="9"/>
  <c r="F24" i="9"/>
  <c r="H22" i="9"/>
  <c r="G22" i="9"/>
  <c r="F22" i="9"/>
  <c r="G20" i="9"/>
  <c r="F20" i="9"/>
  <c r="H17" i="9"/>
  <c r="G17" i="9"/>
  <c r="F17" i="9"/>
  <c r="H16" i="9"/>
  <c r="G16" i="9"/>
  <c r="F16" i="9"/>
  <c r="H15" i="9"/>
  <c r="G15" i="9"/>
  <c r="F15" i="9"/>
  <c r="H13" i="9"/>
  <c r="G13" i="9"/>
  <c r="F13" i="9"/>
  <c r="H11" i="9"/>
  <c r="G11" i="9"/>
  <c r="F11" i="9"/>
  <c r="G26" i="15"/>
  <c r="F26" i="15"/>
  <c r="F29" i="15" s="1"/>
  <c r="F17" i="15"/>
  <c r="G21" i="15"/>
  <c r="F21" i="15"/>
  <c r="G19" i="15"/>
  <c r="G22" i="15" s="1"/>
  <c r="G23" i="15" s="1"/>
  <c r="F19" i="15"/>
  <c r="F22" i="15" s="1"/>
  <c r="F23" i="15" s="1"/>
  <c r="G17" i="15"/>
  <c r="G15" i="15"/>
  <c r="F15" i="15"/>
  <c r="G13" i="15"/>
  <c r="F13" i="15"/>
  <c r="G11" i="15"/>
  <c r="F11" i="15"/>
  <c r="F9" i="15"/>
  <c r="G100" i="3"/>
  <c r="F100" i="3"/>
  <c r="G94" i="3"/>
  <c r="F94" i="3"/>
  <c r="G67" i="3"/>
  <c r="F67" i="3"/>
  <c r="G63" i="3"/>
  <c r="G64" i="3" s="1"/>
  <c r="F63" i="3"/>
  <c r="F64" i="3" s="1"/>
  <c r="G58" i="3"/>
  <c r="F58" i="3"/>
  <c r="G56" i="3"/>
  <c r="F56" i="3"/>
  <c r="G39" i="3"/>
  <c r="F39" i="3"/>
  <c r="G33" i="3"/>
  <c r="F33" i="3"/>
  <c r="G31" i="3"/>
  <c r="F31" i="3"/>
  <c r="G29" i="3"/>
  <c r="F29" i="3"/>
  <c r="G27" i="3"/>
  <c r="F27" i="3"/>
  <c r="G24" i="3"/>
  <c r="F24" i="3"/>
  <c r="G22" i="3"/>
  <c r="F22" i="3"/>
  <c r="G20" i="3"/>
  <c r="F20" i="3"/>
  <c r="G18" i="3"/>
  <c r="F18" i="3"/>
  <c r="G16" i="3"/>
  <c r="F16" i="3"/>
  <c r="G14" i="3"/>
  <c r="F14" i="3"/>
  <c r="H8" i="3"/>
  <c r="H9" i="3" s="1"/>
  <c r="H10" i="3" s="1"/>
  <c r="B31" i="16" s="1"/>
  <c r="G8" i="3"/>
  <c r="G9" i="3" s="1"/>
  <c r="G10" i="3" s="1"/>
  <c r="F8" i="3"/>
  <c r="F9" i="3" s="1"/>
  <c r="F10" i="3" s="1"/>
  <c r="G65" i="2"/>
  <c r="F65" i="2"/>
  <c r="G62" i="2"/>
  <c r="F62" i="2"/>
  <c r="G56" i="2"/>
  <c r="F56" i="2"/>
  <c r="G43" i="2"/>
  <c r="F43" i="2"/>
  <c r="G39" i="2"/>
  <c r="F39" i="2"/>
  <c r="G28" i="2"/>
  <c r="G29" i="2" s="1"/>
  <c r="F28" i="2"/>
  <c r="F29" i="2" s="1"/>
  <c r="G25" i="2"/>
  <c r="G24" i="2"/>
  <c r="F24" i="2"/>
  <c r="G22" i="2"/>
  <c r="F22" i="2"/>
  <c r="G20" i="2"/>
  <c r="F20" i="2"/>
  <c r="G15" i="2"/>
  <c r="F15" i="2"/>
  <c r="G12" i="2"/>
  <c r="G16" i="2" s="1"/>
  <c r="G17" i="2" s="1"/>
  <c r="F12" i="2"/>
  <c r="F16" i="2" s="1"/>
  <c r="F17" i="2" s="1"/>
  <c r="G73" i="1"/>
  <c r="G39" i="1"/>
  <c r="F39" i="1"/>
  <c r="G19" i="1"/>
  <c r="G20" i="1" s="1"/>
  <c r="G21" i="1" s="1"/>
  <c r="F19" i="1"/>
  <c r="F20" i="1" s="1"/>
  <c r="F21" i="1" s="1"/>
  <c r="G13" i="1"/>
  <c r="F13" i="1"/>
  <c r="G11" i="1"/>
  <c r="F11" i="1"/>
  <c r="G9" i="1"/>
  <c r="F9" i="1"/>
  <c r="F59" i="3" l="1"/>
  <c r="G59" i="3"/>
  <c r="G71" i="3" s="1"/>
  <c r="G47" i="3"/>
  <c r="F101" i="3"/>
  <c r="G101" i="3"/>
  <c r="G66" i="2"/>
  <c r="G14" i="1"/>
  <c r="G15" i="1" s="1"/>
  <c r="F14" i="1"/>
  <c r="F15" i="1" s="1"/>
  <c r="G74" i="1"/>
  <c r="G29" i="15"/>
  <c r="G76" i="1"/>
  <c r="F47" i="3"/>
  <c r="F103" i="3" s="1"/>
  <c r="F25" i="2"/>
  <c r="F30" i="2" s="1"/>
  <c r="F68" i="2" s="1"/>
  <c r="F66" i="2"/>
  <c r="G30" i="2"/>
  <c r="G68" i="2"/>
  <c r="G103" i="3" l="1"/>
  <c r="B55" i="16" l="1"/>
  <c r="C55" i="17"/>
  <c r="C70" i="17" s="1"/>
  <c r="A51" i="17"/>
  <c r="A39" i="17"/>
  <c r="C32" i="17"/>
  <c r="C37" i="17" s="1"/>
  <c r="A27" i="17"/>
  <c r="A17" i="17"/>
  <c r="A6" i="17"/>
  <c r="B60" i="16"/>
  <c r="B22" i="16"/>
  <c r="H18" i="15" l="1"/>
  <c r="H19" i="15" s="1"/>
  <c r="H16" i="15"/>
  <c r="H17" i="15" s="1"/>
  <c r="H14" i="15"/>
  <c r="H15" i="15" s="1"/>
  <c r="H12" i="15"/>
  <c r="H13" i="15" s="1"/>
  <c r="H25" i="15"/>
  <c r="H26" i="15" s="1"/>
  <c r="H10" i="15"/>
  <c r="H11" i="15" s="1"/>
  <c r="H8" i="15"/>
  <c r="H7" i="15"/>
  <c r="H20" i="15"/>
  <c r="H21" i="15" s="1"/>
  <c r="H9" i="15" l="1"/>
  <c r="H22" i="15" s="1"/>
  <c r="H23" i="15" s="1"/>
  <c r="H14" i="2"/>
  <c r="H13" i="2"/>
  <c r="H11" i="2"/>
  <c r="H10" i="2"/>
  <c r="H9" i="2"/>
  <c r="H8" i="2"/>
  <c r="H7" i="2"/>
  <c r="C20" i="17" l="1"/>
  <c r="C21" i="17" s="1"/>
  <c r="B14" i="16"/>
  <c r="H15" i="2"/>
  <c r="H12" i="2"/>
  <c r="H16" i="2"/>
  <c r="H17" i="2" s="1"/>
  <c r="C24" i="17" l="1"/>
  <c r="B15" i="16"/>
  <c r="B16" i="16" s="1"/>
  <c r="H29" i="15"/>
  <c r="C26" i="17"/>
  <c r="D95" i="2"/>
  <c r="H132" i="10" l="1"/>
  <c r="I132" i="10" s="1"/>
  <c r="J132" i="10" s="1"/>
  <c r="H103" i="10"/>
  <c r="I103" i="10" s="1"/>
  <c r="H39" i="10"/>
  <c r="I39" i="10" s="1"/>
  <c r="J39" i="10" s="1"/>
  <c r="H38" i="10"/>
  <c r="I38" i="10" s="1"/>
  <c r="J38" i="10" s="1"/>
  <c r="H37" i="10"/>
  <c r="I37" i="10" s="1"/>
  <c r="J37" i="10" s="1"/>
  <c r="H36" i="10"/>
  <c r="H161" i="10"/>
  <c r="H163" i="10"/>
  <c r="H99" i="10"/>
  <c r="H159" i="10"/>
  <c r="H157" i="10"/>
  <c r="H97" i="10"/>
  <c r="H155" i="10"/>
  <c r="H95" i="10"/>
  <c r="H153" i="10"/>
  <c r="H60" i="10"/>
  <c r="I60" i="10" s="1"/>
  <c r="H151" i="10"/>
  <c r="H93" i="10"/>
  <c r="H58" i="10"/>
  <c r="H149" i="10"/>
  <c r="H91" i="10"/>
  <c r="H56" i="10"/>
  <c r="H55" i="10"/>
  <c r="I55" i="10" s="1"/>
  <c r="J55" i="10" s="1"/>
  <c r="H147" i="10"/>
  <c r="H145" i="10"/>
  <c r="H53" i="10"/>
  <c r="H51" i="10"/>
  <c r="H50" i="10"/>
  <c r="I50" i="10" s="1"/>
  <c r="J50" i="10" s="1"/>
  <c r="H48" i="10"/>
  <c r="H47" i="10"/>
  <c r="I47" i="10" s="1"/>
  <c r="J47" i="10" s="1"/>
  <c r="H89" i="10"/>
  <c r="H143" i="10"/>
  <c r="H45" i="10"/>
  <c r="H43" i="10"/>
  <c r="H141" i="10"/>
  <c r="H139" i="10"/>
  <c r="H87" i="10"/>
  <c r="H137" i="10"/>
  <c r="H41" i="10"/>
  <c r="I41" i="10" s="1"/>
  <c r="J41" i="10" s="1"/>
  <c r="H40" i="10"/>
  <c r="I40" i="10" s="1"/>
  <c r="J40" i="10" s="1"/>
  <c r="H85" i="10"/>
  <c r="H34" i="10"/>
  <c r="H33" i="10"/>
  <c r="I33" i="10" s="1"/>
  <c r="J33" i="10" s="1"/>
  <c r="H135" i="10"/>
  <c r="H31" i="10"/>
  <c r="H133" i="10"/>
  <c r="H130" i="10"/>
  <c r="H29" i="10"/>
  <c r="H28" i="10"/>
  <c r="I28" i="10" s="1"/>
  <c r="J28" i="10" s="1"/>
  <c r="H128" i="10"/>
  <c r="H26" i="10"/>
  <c r="H83" i="10"/>
  <c r="H82" i="10"/>
  <c r="I82" i="10" s="1"/>
  <c r="J82" i="10" s="1"/>
  <c r="H126" i="10"/>
  <c r="H80" i="10"/>
  <c r="H124" i="10"/>
  <c r="H78" i="10"/>
  <c r="H122" i="10"/>
  <c r="H24" i="10"/>
  <c r="H76" i="10"/>
  <c r="H120" i="10"/>
  <c r="H22" i="10"/>
  <c r="H74" i="10"/>
  <c r="H118" i="10"/>
  <c r="H20" i="10"/>
  <c r="H19" i="10"/>
  <c r="I19" i="10" s="1"/>
  <c r="J19" i="10" s="1"/>
  <c r="H15" i="10"/>
  <c r="H17" i="10"/>
  <c r="H115" i="10"/>
  <c r="I115" i="10" s="1"/>
  <c r="H72" i="10"/>
  <c r="H112" i="10"/>
  <c r="I112" i="10" s="1"/>
  <c r="H109" i="10"/>
  <c r="I109" i="10" s="1"/>
  <c r="H70" i="10"/>
  <c r="H106" i="10"/>
  <c r="I106" i="10" s="1"/>
  <c r="H68" i="10"/>
  <c r="H11" i="10"/>
  <c r="I11" i="10" s="1"/>
  <c r="J11" i="10" s="1"/>
  <c r="H10" i="10"/>
  <c r="I10" i="10" s="1"/>
  <c r="J10" i="10" s="1"/>
  <c r="H9" i="10"/>
  <c r="I9" i="10" s="1"/>
  <c r="J9" i="10" s="1"/>
  <c r="H8" i="10"/>
  <c r="H13" i="10"/>
  <c r="I13" i="10" s="1"/>
  <c r="J13" i="10" s="1"/>
  <c r="H12" i="10"/>
  <c r="I12" i="10" s="1"/>
  <c r="J12" i="10" s="1"/>
  <c r="H116" i="10"/>
  <c r="H113" i="10"/>
  <c r="H110" i="10"/>
  <c r="H107" i="10"/>
  <c r="H104" i="10"/>
  <c r="H66" i="10"/>
  <c r="H14" i="9"/>
  <c r="J14" i="9" s="1"/>
  <c r="H12" i="9"/>
  <c r="J12" i="9" s="1"/>
  <c r="H10" i="9"/>
  <c r="I10" i="9" s="1"/>
  <c r="J10" i="9" s="1"/>
  <c r="H9" i="9"/>
  <c r="I9" i="9" s="1"/>
  <c r="J9" i="9" s="1"/>
  <c r="H27" i="9"/>
  <c r="J27" i="9" s="1"/>
  <c r="H25" i="9"/>
  <c r="J25" i="9" s="1"/>
  <c r="H23" i="9"/>
  <c r="J23" i="9" s="1"/>
  <c r="H21" i="9"/>
  <c r="J21" i="9" s="1"/>
  <c r="H19" i="9"/>
  <c r="J19" i="9" s="1"/>
  <c r="I124" i="10" l="1"/>
  <c r="I143" i="10"/>
  <c r="I147" i="10"/>
  <c r="H61" i="10"/>
  <c r="I163" i="10"/>
  <c r="J112" i="10"/>
  <c r="I74" i="10"/>
  <c r="I80" i="10"/>
  <c r="I130" i="10"/>
  <c r="I89" i="10"/>
  <c r="I153" i="10"/>
  <c r="I161" i="10"/>
  <c r="J109" i="10"/>
  <c r="J104" i="10"/>
  <c r="I72" i="10"/>
  <c r="I22" i="10"/>
  <c r="H23" i="10"/>
  <c r="I126" i="10"/>
  <c r="I133" i="10"/>
  <c r="I137" i="10"/>
  <c r="I56" i="10"/>
  <c r="H57" i="10"/>
  <c r="I95" i="10"/>
  <c r="H42" i="10"/>
  <c r="I118" i="10"/>
  <c r="I8" i="10"/>
  <c r="H14" i="10"/>
  <c r="J107" i="10"/>
  <c r="J115" i="10"/>
  <c r="I120" i="10"/>
  <c r="I31" i="10"/>
  <c r="H32" i="10"/>
  <c r="I87" i="10"/>
  <c r="I48" i="10"/>
  <c r="H49" i="10"/>
  <c r="I91" i="10"/>
  <c r="I155" i="10"/>
  <c r="I135" i="10"/>
  <c r="I139" i="10"/>
  <c r="I149" i="10"/>
  <c r="I97" i="10"/>
  <c r="I29" i="10"/>
  <c r="H30" i="10"/>
  <c r="I83" i="10"/>
  <c r="J113" i="10"/>
  <c r="I68" i="10"/>
  <c r="I15" i="10"/>
  <c r="H16" i="10"/>
  <c r="I24" i="10"/>
  <c r="H25" i="10"/>
  <c r="I26" i="10"/>
  <c r="H27" i="10"/>
  <c r="I141" i="10"/>
  <c r="I51" i="10"/>
  <c r="H52" i="10"/>
  <c r="I58" i="10"/>
  <c r="H59" i="10"/>
  <c r="I157" i="10"/>
  <c r="J110" i="10"/>
  <c r="I17" i="10"/>
  <c r="H18" i="10"/>
  <c r="J116" i="10"/>
  <c r="J106" i="10"/>
  <c r="I122" i="10"/>
  <c r="I128" i="10"/>
  <c r="I34" i="10"/>
  <c r="H35" i="10"/>
  <c r="I43" i="10"/>
  <c r="H44" i="10"/>
  <c r="I53" i="10"/>
  <c r="H54" i="10"/>
  <c r="I93" i="10"/>
  <c r="I159" i="10"/>
  <c r="J103" i="10"/>
  <c r="I66" i="10"/>
  <c r="H67" i="10"/>
  <c r="H69" i="10" s="1"/>
  <c r="H71" i="10" s="1"/>
  <c r="H73" i="10" s="1"/>
  <c r="H75" i="10" s="1"/>
  <c r="H77" i="10" s="1"/>
  <c r="H79" i="10" s="1"/>
  <c r="H81" i="10" s="1"/>
  <c r="H84" i="10" s="1"/>
  <c r="H86" i="10" s="1"/>
  <c r="H88" i="10" s="1"/>
  <c r="H90" i="10" s="1"/>
  <c r="H92" i="10" s="1"/>
  <c r="H94" i="10" s="1"/>
  <c r="H96" i="10" s="1"/>
  <c r="H98" i="10" s="1"/>
  <c r="H100" i="10" s="1"/>
  <c r="H101" i="10" s="1"/>
  <c r="H105" i="10" s="1"/>
  <c r="H108" i="10" s="1"/>
  <c r="H111" i="10" s="1"/>
  <c r="H114" i="10" s="1"/>
  <c r="H117" i="10" s="1"/>
  <c r="H119" i="10" s="1"/>
  <c r="H121" i="10" s="1"/>
  <c r="H123" i="10" s="1"/>
  <c r="H125" i="10" s="1"/>
  <c r="H127" i="10" s="1"/>
  <c r="H129" i="10" s="1"/>
  <c r="H131" i="10" s="1"/>
  <c r="H134" i="10" s="1"/>
  <c r="H136" i="10" s="1"/>
  <c r="H138" i="10" s="1"/>
  <c r="H140" i="10" s="1"/>
  <c r="H142" i="10" s="1"/>
  <c r="H144" i="10" s="1"/>
  <c r="H146" i="10" s="1"/>
  <c r="H148" i="10" s="1"/>
  <c r="H150" i="10" s="1"/>
  <c r="H152" i="10" s="1"/>
  <c r="H154" i="10" s="1"/>
  <c r="H156" i="10" s="1"/>
  <c r="H158" i="10" s="1"/>
  <c r="H160" i="10" s="1"/>
  <c r="H162" i="10" s="1"/>
  <c r="H164" i="10" s="1"/>
  <c r="I76" i="10"/>
  <c r="I70" i="10"/>
  <c r="I20" i="10"/>
  <c r="H21" i="10"/>
  <c r="I78" i="10"/>
  <c r="I85" i="10"/>
  <c r="I45" i="10"/>
  <c r="H46" i="10"/>
  <c r="I145" i="10"/>
  <c r="I151" i="10"/>
  <c r="I99" i="10"/>
  <c r="I36" i="10"/>
  <c r="I42" i="10" s="1"/>
  <c r="H62" i="10" l="1"/>
  <c r="J95" i="10"/>
  <c r="J130" i="10"/>
  <c r="J99" i="10"/>
  <c r="J17" i="10"/>
  <c r="I18" i="10"/>
  <c r="J135" i="10"/>
  <c r="J87" i="10"/>
  <c r="J56" i="10"/>
  <c r="I57" i="10"/>
  <c r="J22" i="10"/>
  <c r="I23" i="10"/>
  <c r="J161" i="10"/>
  <c r="J80" i="10"/>
  <c r="J60" i="10"/>
  <c r="I61" i="10"/>
  <c r="J85" i="10"/>
  <c r="J51" i="10"/>
  <c r="I52" i="10"/>
  <c r="H63" i="10"/>
  <c r="J151" i="10"/>
  <c r="J78" i="10"/>
  <c r="J66" i="10"/>
  <c r="I67" i="10"/>
  <c r="J53" i="10"/>
  <c r="I54" i="10"/>
  <c r="J122" i="10"/>
  <c r="J141" i="10"/>
  <c r="J68" i="10"/>
  <c r="I69" i="10"/>
  <c r="J97" i="10"/>
  <c r="J155" i="10"/>
  <c r="J31" i="10"/>
  <c r="I32" i="10"/>
  <c r="J8" i="10"/>
  <c r="I14" i="10"/>
  <c r="J126" i="10"/>
  <c r="J93" i="10"/>
  <c r="J29" i="10"/>
  <c r="I30" i="10"/>
  <c r="J137" i="10"/>
  <c r="J72" i="10"/>
  <c r="J153" i="10"/>
  <c r="J74" i="10"/>
  <c r="J147" i="10"/>
  <c r="J163" i="10"/>
  <c r="J76" i="10"/>
  <c r="J15" i="10"/>
  <c r="I16" i="10"/>
  <c r="J20" i="10"/>
  <c r="I21" i="10"/>
  <c r="J43" i="10"/>
  <c r="I44" i="10"/>
  <c r="J157" i="10"/>
  <c r="J91" i="10"/>
  <c r="J118" i="10"/>
  <c r="J133" i="10"/>
  <c r="J89" i="10"/>
  <c r="J143" i="10"/>
  <c r="J124" i="10"/>
  <c r="J128" i="10"/>
  <c r="J145" i="10"/>
  <c r="J26" i="10"/>
  <c r="I27" i="10"/>
  <c r="J149" i="10"/>
  <c r="J120" i="10"/>
  <c r="J45" i="10"/>
  <c r="I46" i="10"/>
  <c r="J70" i="10"/>
  <c r="I71" i="10"/>
  <c r="I73" i="10" s="1"/>
  <c r="I75" i="10" s="1"/>
  <c r="I77" i="10" s="1"/>
  <c r="I79" i="10" s="1"/>
  <c r="I81" i="10" s="1"/>
  <c r="I84" i="10" s="1"/>
  <c r="I86" i="10" s="1"/>
  <c r="I88" i="10" s="1"/>
  <c r="I90" i="10" s="1"/>
  <c r="I92" i="10" s="1"/>
  <c r="I94" i="10" s="1"/>
  <c r="I96" i="10" s="1"/>
  <c r="I98" i="10" s="1"/>
  <c r="I100" i="10" s="1"/>
  <c r="J159" i="10"/>
  <c r="J34" i="10"/>
  <c r="I35" i="10"/>
  <c r="J58" i="10"/>
  <c r="I59" i="10"/>
  <c r="J24" i="10"/>
  <c r="I25" i="10"/>
  <c r="J83" i="10"/>
  <c r="J139" i="10"/>
  <c r="J48" i="10"/>
  <c r="I49" i="10"/>
  <c r="H165" i="10"/>
  <c r="H166" i="10" s="1"/>
  <c r="H168" i="10" s="1"/>
  <c r="H171" i="10" s="1"/>
  <c r="J36" i="10"/>
  <c r="I62" i="10" l="1"/>
  <c r="I63" i="10" s="1"/>
  <c r="I101" i="10"/>
  <c r="H64" i="2"/>
  <c r="H63" i="2"/>
  <c r="H23" i="2"/>
  <c r="H24" i="2" s="1"/>
  <c r="H27" i="2"/>
  <c r="H28" i="2" s="1"/>
  <c r="H29" i="2" s="1"/>
  <c r="H61" i="2"/>
  <c r="H60" i="2"/>
  <c r="H59" i="2"/>
  <c r="H58" i="2"/>
  <c r="H57" i="2"/>
  <c r="H55" i="2"/>
  <c r="H21" i="2"/>
  <c r="H22" i="2" s="1"/>
  <c r="H54" i="2"/>
  <c r="H53" i="2"/>
  <c r="H52" i="2"/>
  <c r="H51" i="2"/>
  <c r="H50" i="2"/>
  <c r="H49" i="2"/>
  <c r="H48" i="2"/>
  <c r="H47" i="2"/>
  <c r="H46" i="2"/>
  <c r="H45" i="2"/>
  <c r="H44" i="2"/>
  <c r="H19" i="2"/>
  <c r="H20" i="2" s="1"/>
  <c r="H42" i="2"/>
  <c r="H41" i="2"/>
  <c r="H40" i="2"/>
  <c r="H38" i="2"/>
  <c r="H37" i="2"/>
  <c r="H36" i="2"/>
  <c r="H35" i="2"/>
  <c r="H34" i="2"/>
  <c r="H33" i="2"/>
  <c r="H39" i="2" s="1"/>
  <c r="H99" i="3"/>
  <c r="H38" i="3"/>
  <c r="H37" i="3"/>
  <c r="H36" i="3"/>
  <c r="H35" i="3"/>
  <c r="H34" i="3"/>
  <c r="H98" i="3"/>
  <c r="H57" i="3"/>
  <c r="H58" i="3" s="1"/>
  <c r="H97" i="3"/>
  <c r="H96" i="3"/>
  <c r="H95" i="3"/>
  <c r="H90" i="3"/>
  <c r="H89" i="3"/>
  <c r="H32" i="3"/>
  <c r="H33" i="3" s="1"/>
  <c r="H93" i="3"/>
  <c r="H92" i="3"/>
  <c r="H91" i="3"/>
  <c r="H84" i="3"/>
  <c r="H83" i="3"/>
  <c r="H87" i="3"/>
  <c r="H86" i="3"/>
  <c r="H85" i="3"/>
  <c r="H55" i="3"/>
  <c r="H54" i="3"/>
  <c r="H53" i="3"/>
  <c r="H82" i="3"/>
  <c r="H81" i="3"/>
  <c r="H80" i="3"/>
  <c r="H77" i="3"/>
  <c r="H88" i="3" s="1"/>
  <c r="H30" i="3"/>
  <c r="H31" i="3" s="1"/>
  <c r="H62" i="3"/>
  <c r="H61" i="3"/>
  <c r="H52" i="3"/>
  <c r="H51" i="3"/>
  <c r="H50" i="3"/>
  <c r="H66" i="3"/>
  <c r="H67" i="3" s="1"/>
  <c r="H28" i="3"/>
  <c r="H29" i="3" s="1"/>
  <c r="H26" i="3"/>
  <c r="H25" i="3"/>
  <c r="H23" i="3"/>
  <c r="H24" i="3" s="1"/>
  <c r="H21" i="3"/>
  <c r="H22" i="3" s="1"/>
  <c r="H19" i="3"/>
  <c r="H20" i="3" s="1"/>
  <c r="H17" i="3"/>
  <c r="H18" i="3" s="1"/>
  <c r="H15" i="3"/>
  <c r="H16" i="3" s="1"/>
  <c r="H13" i="3"/>
  <c r="H14" i="3" s="1"/>
  <c r="I105" i="10" l="1"/>
  <c r="I108" i="10" s="1"/>
  <c r="I111" i="10" s="1"/>
  <c r="I114" i="10" s="1"/>
  <c r="I117" i="10" s="1"/>
  <c r="I119" i="10" s="1"/>
  <c r="I121" i="10" s="1"/>
  <c r="I123" i="10" s="1"/>
  <c r="I125" i="10" s="1"/>
  <c r="I127" i="10" s="1"/>
  <c r="I129" i="10" s="1"/>
  <c r="I131" i="10" s="1"/>
  <c r="I134" i="10" s="1"/>
  <c r="I136" i="10" s="1"/>
  <c r="I138" i="10" s="1"/>
  <c r="I140" i="10" s="1"/>
  <c r="I142" i="10" s="1"/>
  <c r="I144" i="10" s="1"/>
  <c r="I146" i="10" s="1"/>
  <c r="I148" i="10" s="1"/>
  <c r="I150" i="10" s="1"/>
  <c r="I152" i="10" s="1"/>
  <c r="I154" i="10" s="1"/>
  <c r="I156" i="10" s="1"/>
  <c r="I158" i="10" s="1"/>
  <c r="I160" i="10" s="1"/>
  <c r="I162" i="10" s="1"/>
  <c r="I164" i="10" s="1"/>
  <c r="I165" i="10" s="1"/>
  <c r="C9" i="17"/>
  <c r="H63" i="3"/>
  <c r="H64" i="3" s="1"/>
  <c r="H39" i="3"/>
  <c r="B175" i="10"/>
  <c r="H94" i="3"/>
  <c r="H56" i="3"/>
  <c r="H59" i="3" s="1"/>
  <c r="H27" i="3"/>
  <c r="H100" i="3"/>
  <c r="H56" i="2"/>
  <c r="H25" i="2"/>
  <c r="H30" i="2" s="1"/>
  <c r="H43" i="2"/>
  <c r="H65" i="2"/>
  <c r="H62" i="2"/>
  <c r="H12" i="1"/>
  <c r="H13" i="1" s="1"/>
  <c r="H10" i="1"/>
  <c r="H11" i="1" s="1"/>
  <c r="H8" i="1"/>
  <c r="H7" i="1"/>
  <c r="H72" i="1"/>
  <c r="H71" i="1"/>
  <c r="H70" i="1"/>
  <c r="H69" i="1"/>
  <c r="H68" i="1"/>
  <c r="H67" i="1"/>
  <c r="H66" i="1"/>
  <c r="H65" i="1"/>
  <c r="H64" i="1"/>
  <c r="H63" i="1"/>
  <c r="H62" i="1"/>
  <c r="H61" i="1"/>
  <c r="H60" i="1"/>
  <c r="H59" i="1"/>
  <c r="H58" i="1"/>
  <c r="F57" i="1"/>
  <c r="H57" i="1" s="1"/>
  <c r="F56" i="1"/>
  <c r="H56" i="1" s="1"/>
  <c r="F55" i="1"/>
  <c r="H55" i="1" s="1"/>
  <c r="F54" i="1"/>
  <c r="H54" i="1" s="1"/>
  <c r="F53" i="1"/>
  <c r="H52" i="1"/>
  <c r="H51" i="1"/>
  <c r="H50" i="1"/>
  <c r="H49" i="1"/>
  <c r="H48" i="1"/>
  <c r="H47" i="1"/>
  <c r="H46" i="1"/>
  <c r="H45" i="1"/>
  <c r="H44" i="1"/>
  <c r="H43" i="1"/>
  <c r="H42" i="1"/>
  <c r="H41" i="1"/>
  <c r="H38" i="1"/>
  <c r="H37" i="1"/>
  <c r="H36" i="1"/>
  <c r="H35" i="1"/>
  <c r="H34" i="1"/>
  <c r="H33" i="1"/>
  <c r="H32" i="1"/>
  <c r="H31" i="1"/>
  <c r="H30" i="1"/>
  <c r="H29" i="1"/>
  <c r="H28" i="1"/>
  <c r="H27" i="1"/>
  <c r="H26" i="1"/>
  <c r="H25" i="1"/>
  <c r="H24" i="1"/>
  <c r="H18" i="1"/>
  <c r="H17" i="1"/>
  <c r="H19" i="1" s="1"/>
  <c r="H20" i="1" s="1"/>
  <c r="H21" i="1" s="1"/>
  <c r="H23" i="1"/>
  <c r="I166" i="10" l="1"/>
  <c r="C10" i="17"/>
  <c r="C11" i="17" s="1"/>
  <c r="C15" i="17" s="1"/>
  <c r="C73" i="17" s="1"/>
  <c r="H101" i="3"/>
  <c r="B34" i="16" s="1"/>
  <c r="H47" i="3"/>
  <c r="B32" i="16" s="1"/>
  <c r="H71" i="3"/>
  <c r="B33" i="16" s="1"/>
  <c r="B65" i="16"/>
  <c r="B66" i="16" s="1"/>
  <c r="B69" i="16" s="1"/>
  <c r="H9" i="1"/>
  <c r="H39" i="1"/>
  <c r="H14" i="1"/>
  <c r="H15" i="1" s="1"/>
  <c r="H53" i="1"/>
  <c r="H73" i="1" s="1"/>
  <c r="H74" i="1" s="1"/>
  <c r="H76" i="1" s="1"/>
  <c r="F73" i="1"/>
  <c r="F74" i="1" s="1"/>
  <c r="F76" i="1" s="1"/>
  <c r="H66" i="2"/>
  <c r="H68" i="2" s="1"/>
  <c r="B176" i="10" l="1"/>
  <c r="I168" i="10"/>
  <c r="B35" i="16"/>
  <c r="H103" i="3"/>
  <c r="B101" i="1"/>
  <c r="D101" i="1" s="1"/>
  <c r="C101" i="1"/>
  <c r="B38" i="16" l="1"/>
  <c r="B177" i="10"/>
  <c r="C176" i="10"/>
  <c r="F170" i="10" s="1"/>
  <c r="I171" i="10"/>
  <c r="C175" i="10"/>
  <c r="B72" i="16" l="1"/>
  <c r="B41" i="16"/>
  <c r="B74" i="16" s="1"/>
  <c r="F169" i="10"/>
  <c r="F171" i="10" s="1"/>
  <c r="C177" i="10"/>
</calcChain>
</file>

<file path=xl/sharedStrings.xml><?xml version="1.0" encoding="utf-8"?>
<sst xmlns="http://schemas.openxmlformats.org/spreadsheetml/2006/main" count="1874" uniqueCount="448">
  <si>
    <t>Voucher</t>
  </si>
  <si>
    <t>Category</t>
  </si>
  <si>
    <t>Desc</t>
  </si>
  <si>
    <t>Vendor</t>
  </si>
  <si>
    <t>Name</t>
  </si>
  <si>
    <t>Amount</t>
  </si>
  <si>
    <t>Adjustment</t>
  </si>
  <si>
    <t>Requested</t>
  </si>
  <si>
    <t>Invoice</t>
  </si>
  <si>
    <t>Emp. Name</t>
  </si>
  <si>
    <t>Invoice date</t>
  </si>
  <si>
    <t>Year</t>
  </si>
  <si>
    <t>Period</t>
  </si>
  <si>
    <t>BANK OF AMERICA</t>
  </si>
  <si>
    <t>UTX17DCR01</t>
  </si>
  <si>
    <t>STEWIEN, CAROL J</t>
  </si>
  <si>
    <t>EX0000432404</t>
  </si>
  <si>
    <t>(03) Mar</t>
  </si>
  <si>
    <t>FEDEX</t>
  </si>
  <si>
    <t>(04) Apr</t>
  </si>
  <si>
    <t>TOUNGATE, JAY E</t>
  </si>
  <si>
    <t>SPX17DCR01</t>
  </si>
  <si>
    <t>EX0000438248</t>
  </si>
  <si>
    <t>EX0000456925</t>
  </si>
  <si>
    <t>(05) May</t>
  </si>
  <si>
    <t>MCALLEN, CITY OF</t>
  </si>
  <si>
    <t>4701597482378</t>
  </si>
  <si>
    <t>(06) Jun</t>
  </si>
  <si>
    <t>4701597483244</t>
  </si>
  <si>
    <t>(08) Aug</t>
  </si>
  <si>
    <t>(10) Oct</t>
  </si>
  <si>
    <t>UTX18DCR01</t>
  </si>
  <si>
    <t>0000106587EX0000683369</t>
  </si>
  <si>
    <t>GULLICKSON, GREGORY K</t>
  </si>
  <si>
    <t>EX0000683369</t>
  </si>
  <si>
    <t>Invoice Date</t>
  </si>
  <si>
    <t>EX0000590208</t>
  </si>
  <si>
    <t>EX0000590211</t>
  </si>
  <si>
    <t>EX0000591684</t>
  </si>
  <si>
    <t>EX0000598796</t>
  </si>
  <si>
    <t>BEATY, STEVEN J</t>
  </si>
  <si>
    <t>EX0000608540</t>
  </si>
  <si>
    <t>EX0000610656</t>
  </si>
  <si>
    <t>ROBERT HALF TECHNOLOGY</t>
  </si>
  <si>
    <t>AEPIN00126670</t>
  </si>
  <si>
    <t>EX0000623604</t>
  </si>
  <si>
    <t>SPX18DCR01</t>
  </si>
  <si>
    <t>KIMANI, PETER K</t>
  </si>
  <si>
    <t>EX0000620517</t>
  </si>
  <si>
    <t>EX0000620532</t>
  </si>
  <si>
    <t>AEPIN00130429</t>
  </si>
  <si>
    <t>EX0000622472</t>
  </si>
  <si>
    <t>EX0000631736</t>
  </si>
  <si>
    <t>EX0000634721</t>
  </si>
  <si>
    <t>EX0000639966</t>
  </si>
  <si>
    <t>EX0000640229</t>
  </si>
  <si>
    <t>US POSTAL SERVICE</t>
  </si>
  <si>
    <t>AEPIN00150177</t>
  </si>
  <si>
    <t>(02) Feb</t>
  </si>
  <si>
    <t>FINANCO INC</t>
  </si>
  <si>
    <t>(11) Nov</t>
  </si>
  <si>
    <t>legal</t>
  </si>
  <si>
    <t>DUGGINS WREN MANN &amp; ROMERO LLP</t>
  </si>
  <si>
    <t>(01) Jan</t>
  </si>
  <si>
    <t>EX0000577234</t>
  </si>
  <si>
    <t>(07) Jul</t>
  </si>
  <si>
    <t>(09) Sep</t>
  </si>
  <si>
    <t>EX0000664427</t>
  </si>
  <si>
    <t>AEPIN00148071</t>
  </si>
  <si>
    <t>AEPIN00149552</t>
  </si>
  <si>
    <t>TEXAS PRESS SERVICE INC</t>
  </si>
  <si>
    <t>EX0000673255</t>
  </si>
  <si>
    <t>COAD, THOMAS M</t>
  </si>
  <si>
    <t>EX0000673864</t>
  </si>
  <si>
    <t>EX0000676777</t>
  </si>
  <si>
    <t>EX0000680831</t>
  </si>
  <si>
    <t>AEPIN00151642</t>
  </si>
  <si>
    <t>AEPIN00153064</t>
  </si>
  <si>
    <t>AEPIN00154473</t>
  </si>
  <si>
    <t>HAMLETT, RANDALL W</t>
  </si>
  <si>
    <t>EX0000677641</t>
  </si>
  <si>
    <t>EX0000691420</t>
  </si>
  <si>
    <t>EX0000691447</t>
  </si>
  <si>
    <t>(12) Dec</t>
  </si>
  <si>
    <t>EX0000691960</t>
  </si>
  <si>
    <t>EX0000693396</t>
  </si>
  <si>
    <t>AEPIN00156118</t>
  </si>
  <si>
    <t>EX0000688260</t>
  </si>
  <si>
    <t>EX0000713888</t>
  </si>
  <si>
    <t xml:space="preserve">Employee </t>
  </si>
  <si>
    <t>Unit</t>
  </si>
  <si>
    <t>Descr</t>
  </si>
  <si>
    <t>W/O</t>
  </si>
  <si>
    <t>Employee Name</t>
  </si>
  <si>
    <t>01054347</t>
  </si>
  <si>
    <t>147958</t>
  </si>
  <si>
    <t>CLARK THOMAS &amp; WINTERS</t>
  </si>
  <si>
    <t>0000001353</t>
  </si>
  <si>
    <t>Legal</t>
  </si>
  <si>
    <t>01045580</t>
  </si>
  <si>
    <t>147354</t>
  </si>
  <si>
    <t>01064198</t>
  </si>
  <si>
    <t>149417</t>
  </si>
  <si>
    <t>01079983</t>
  </si>
  <si>
    <t>151472</t>
  </si>
  <si>
    <t>01089740</t>
  </si>
  <si>
    <t>152844</t>
  </si>
  <si>
    <t>01104330</t>
  </si>
  <si>
    <t>3331036540</t>
  </si>
  <si>
    <t>ABILENE, CITY OF</t>
  </si>
  <si>
    <t>0000097098</t>
  </si>
  <si>
    <t>Cities</t>
  </si>
  <si>
    <t>01087298</t>
  </si>
  <si>
    <t>3331035913</t>
  </si>
  <si>
    <t>01091322</t>
  </si>
  <si>
    <t>33310</t>
  </si>
  <si>
    <t>01151452</t>
  </si>
  <si>
    <t>35913</t>
  </si>
  <si>
    <t>01059153</t>
  </si>
  <si>
    <t>33309</t>
  </si>
  <si>
    <t>0000097118</t>
  </si>
  <si>
    <t>01063999</t>
  </si>
  <si>
    <t>33309DEC2007</t>
  </si>
  <si>
    <t>01064000</t>
  </si>
  <si>
    <t>33309FEB2008</t>
  </si>
  <si>
    <t>01064008</t>
  </si>
  <si>
    <t>01066033</t>
  </si>
  <si>
    <t>01066711</t>
  </si>
  <si>
    <t>01060155</t>
  </si>
  <si>
    <t>21366200</t>
  </si>
  <si>
    <t>0000199577</t>
  </si>
  <si>
    <t>BRACEWELL &amp; GIULIANI</t>
  </si>
  <si>
    <t>01064196</t>
  </si>
  <si>
    <t>149405</t>
  </si>
  <si>
    <t>01049157</t>
  </si>
  <si>
    <t>21362731</t>
  </si>
  <si>
    <t>01054345</t>
  </si>
  <si>
    <t>147951</t>
  </si>
  <si>
    <t>01079982</t>
  </si>
  <si>
    <t>151467</t>
  </si>
  <si>
    <t>01085427</t>
  </si>
  <si>
    <t>21374055</t>
  </si>
  <si>
    <t>01089739</t>
  </si>
  <si>
    <t>152842</t>
  </si>
  <si>
    <t>01091323</t>
  </si>
  <si>
    <t>36251</t>
  </si>
  <si>
    <t>01079391</t>
  </si>
  <si>
    <t>35915</t>
  </si>
  <si>
    <t>01111817</t>
  </si>
  <si>
    <t>3330936553</t>
  </si>
  <si>
    <t>01103762</t>
  </si>
  <si>
    <t>3330934911</t>
  </si>
  <si>
    <t>01111006</t>
  </si>
  <si>
    <t>155914</t>
  </si>
  <si>
    <t>01111007</t>
  </si>
  <si>
    <t>21380766</t>
  </si>
  <si>
    <t>01119115</t>
  </si>
  <si>
    <t>3330936984</t>
  </si>
  <si>
    <t>01119844</t>
  </si>
  <si>
    <t>156627</t>
  </si>
  <si>
    <t>01120860</t>
  </si>
  <si>
    <t>21384375</t>
  </si>
  <si>
    <t>01130842</t>
  </si>
  <si>
    <t>01133358</t>
  </si>
  <si>
    <t>158356</t>
  </si>
  <si>
    <t>01131072</t>
  </si>
  <si>
    <t>21387756</t>
  </si>
  <si>
    <t>01144656</t>
  </si>
  <si>
    <t>159795</t>
  </si>
  <si>
    <t>01139671</t>
  </si>
  <si>
    <t>21389410</t>
  </si>
  <si>
    <t>01156850</t>
  </si>
  <si>
    <t>161495</t>
  </si>
  <si>
    <t>01151450</t>
  </si>
  <si>
    <t>01159638</t>
  </si>
  <si>
    <t>21395109</t>
  </si>
  <si>
    <t>01150213</t>
  </si>
  <si>
    <t>21392214</t>
  </si>
  <si>
    <t>01165072</t>
  </si>
  <si>
    <t>162018</t>
  </si>
  <si>
    <t>01167304</t>
  </si>
  <si>
    <t>3330938672</t>
  </si>
  <si>
    <t>01167301</t>
  </si>
  <si>
    <t>3330938484</t>
  </si>
  <si>
    <t>01173913</t>
  </si>
  <si>
    <t>163330</t>
  </si>
  <si>
    <t>01183766</t>
  </si>
  <si>
    <t>164865</t>
  </si>
  <si>
    <t>01177712</t>
  </si>
  <si>
    <t>01192893</t>
  </si>
  <si>
    <t>166366</t>
  </si>
  <si>
    <t>01195228</t>
  </si>
  <si>
    <t>39893</t>
  </si>
  <si>
    <t>01195227</t>
  </si>
  <si>
    <t>01192124</t>
  </si>
  <si>
    <t>21405640</t>
  </si>
  <si>
    <t>01200357</t>
  </si>
  <si>
    <t>01197060</t>
  </si>
  <si>
    <t>3330937703</t>
  </si>
  <si>
    <t>211</t>
  </si>
  <si>
    <t>00359676</t>
  </si>
  <si>
    <t>167501</t>
  </si>
  <si>
    <t>00358546</t>
  </si>
  <si>
    <t>21399929</t>
  </si>
  <si>
    <t>00363869</t>
  </si>
  <si>
    <t>168965</t>
  </si>
  <si>
    <t>00367708</t>
  </si>
  <si>
    <t>170328</t>
  </si>
  <si>
    <t>01215483</t>
  </si>
  <si>
    <t>01223080</t>
  </si>
  <si>
    <t>00370581</t>
  </si>
  <si>
    <t>171478</t>
  </si>
  <si>
    <t>00369631</t>
  </si>
  <si>
    <t>21416700</t>
  </si>
  <si>
    <t>00375405</t>
  </si>
  <si>
    <t>01231135</t>
  </si>
  <si>
    <t>00379604</t>
  </si>
  <si>
    <t>00379605</t>
  </si>
  <si>
    <t>00382521</t>
  </si>
  <si>
    <t>3330942903</t>
  </si>
  <si>
    <t>00375402</t>
  </si>
  <si>
    <t>172910</t>
  </si>
  <si>
    <t>00394527</t>
  </si>
  <si>
    <t>179551</t>
  </si>
  <si>
    <t>00400328</t>
  </si>
  <si>
    <t>3330944517</t>
  </si>
  <si>
    <t>00402835</t>
  </si>
  <si>
    <t>3330944896</t>
  </si>
  <si>
    <t>00401472</t>
  </si>
  <si>
    <t>21438582</t>
  </si>
  <si>
    <t>00401959</t>
  </si>
  <si>
    <t>181531</t>
  </si>
  <si>
    <t>00404438</t>
  </si>
  <si>
    <t>45226</t>
  </si>
  <si>
    <t>00404322</t>
  </si>
  <si>
    <t>21442031</t>
  </si>
  <si>
    <t>00404737</t>
  </si>
  <si>
    <t>182418</t>
  </si>
  <si>
    <t>00410194</t>
  </si>
  <si>
    <t>45730</t>
  </si>
  <si>
    <t>00412124</t>
  </si>
  <si>
    <t>184518</t>
  </si>
  <si>
    <t>00421719</t>
  </si>
  <si>
    <t>21456067</t>
  </si>
  <si>
    <t>00421923</t>
  </si>
  <si>
    <t>187631</t>
  </si>
  <si>
    <t>00425623</t>
  </si>
  <si>
    <t>21459912</t>
  </si>
  <si>
    <t>00426082</t>
  </si>
  <si>
    <t>188514</t>
  </si>
  <si>
    <t>00430317</t>
  </si>
  <si>
    <t>189578</t>
  </si>
  <si>
    <t>00430318</t>
  </si>
  <si>
    <t>21463709</t>
  </si>
  <si>
    <t>00437361</t>
  </si>
  <si>
    <t>191484</t>
  </si>
  <si>
    <t>00434444</t>
  </si>
  <si>
    <t>190772</t>
  </si>
  <si>
    <t>01200359</t>
  </si>
  <si>
    <t>28840</t>
  </si>
  <si>
    <t>01200360</t>
  </si>
  <si>
    <t>01200361</t>
  </si>
  <si>
    <t>01200358</t>
  </si>
  <si>
    <t>01045578</t>
  </si>
  <si>
    <t>147346</t>
  </si>
  <si>
    <t>01042241</t>
  </si>
  <si>
    <t>BRACEWELL &amp; GIULIANI LLP</t>
  </si>
  <si>
    <t>21360991</t>
  </si>
  <si>
    <t>2017 DCRF</t>
  </si>
  <si>
    <t>2018 DCRF</t>
  </si>
  <si>
    <t>Column Labels</t>
  </si>
  <si>
    <t>Grand Total</t>
  </si>
  <si>
    <t>119</t>
  </si>
  <si>
    <t>Total</t>
  </si>
  <si>
    <t>Sum of Sum Amount</t>
  </si>
  <si>
    <t>Request</t>
  </si>
  <si>
    <t>Sum of Requested</t>
  </si>
  <si>
    <t>00891815</t>
  </si>
  <si>
    <t>97491936DKT48222</t>
  </si>
  <si>
    <t>00891816</t>
  </si>
  <si>
    <t>97492334DKT48222</t>
  </si>
  <si>
    <t>00891817</t>
  </si>
  <si>
    <t>97494170DKT48222</t>
  </si>
  <si>
    <t>00891818</t>
  </si>
  <si>
    <t>97494843DKT48222</t>
  </si>
  <si>
    <t>00891819</t>
  </si>
  <si>
    <t>97494955DKT48222</t>
  </si>
  <si>
    <t>00895179</t>
  </si>
  <si>
    <t>01549738</t>
  </si>
  <si>
    <t>21523732</t>
  </si>
  <si>
    <t>Parking</t>
  </si>
  <si>
    <t>JP MORGAN CHASE CORPORATE CARD ACTIVITY</t>
  </si>
  <si>
    <t>01499816</t>
  </si>
  <si>
    <t>21505447</t>
  </si>
  <si>
    <t>01500576</t>
  </si>
  <si>
    <t>21506988</t>
  </si>
  <si>
    <t>Meal - Business</t>
  </si>
  <si>
    <t>01507417</t>
  </si>
  <si>
    <t>21509869</t>
  </si>
  <si>
    <t>01508982</t>
  </si>
  <si>
    <t>0000091005ER79</t>
  </si>
  <si>
    <t>01515976</t>
  </si>
  <si>
    <t>21512285</t>
  </si>
  <si>
    <t>01525515</t>
  </si>
  <si>
    <t>21515035</t>
  </si>
  <si>
    <t>01533428</t>
  </si>
  <si>
    <t>21517990</t>
  </si>
  <si>
    <t>01543356</t>
  </si>
  <si>
    <t>21521308</t>
  </si>
  <si>
    <t>AMERICAN ELECTRIC POWER TEXAS INC</t>
  </si>
  <si>
    <t>SUMMARY OF RATE CASE EXPENSES</t>
  </si>
  <si>
    <t xml:space="preserve">Intervenor </t>
  </si>
  <si>
    <t>Postage</t>
  </si>
  <si>
    <t>Temporary Employees</t>
  </si>
  <si>
    <t xml:space="preserve">Postage     </t>
  </si>
  <si>
    <t xml:space="preserve">Postage   </t>
  </si>
  <si>
    <t>Airfare</t>
  </si>
  <si>
    <t>Tax</t>
  </si>
  <si>
    <t>Car Rental</t>
  </si>
  <si>
    <t xml:space="preserve">Hotel  </t>
  </si>
  <si>
    <t>Meal-Business</t>
  </si>
  <si>
    <t>Meal-Self</t>
  </si>
  <si>
    <t>Personal Mileage</t>
  </si>
  <si>
    <t>Courier</t>
  </si>
  <si>
    <t>Hotel</t>
  </si>
  <si>
    <t>Office Supplies</t>
  </si>
  <si>
    <t>Taxi</t>
  </si>
  <si>
    <t>Printing</t>
  </si>
  <si>
    <t>Consultant</t>
  </si>
  <si>
    <t>Prof. Services</t>
  </si>
  <si>
    <t>Transcription</t>
  </si>
  <si>
    <t xml:space="preserve">Taxi  </t>
  </si>
  <si>
    <t>0000146747</t>
  </si>
  <si>
    <t>PUC DOCKET NO. 47015</t>
  </si>
  <si>
    <t>PUC DOCKET NO. 48222</t>
  </si>
  <si>
    <t>PUC DOCKET NO. 48577</t>
  </si>
  <si>
    <t>PUC DOCKET NO. 40261</t>
  </si>
  <si>
    <t>AEP TEXAS INC</t>
  </si>
  <si>
    <t>PUC DOCKET NOS. 33309, 33310, 34301, 40261, 47015, 48222 and 48577</t>
  </si>
  <si>
    <t>AEP Texas</t>
  </si>
  <si>
    <t>Total Expenses</t>
  </si>
  <si>
    <t>PUC Docket No. 33309/33310/34301</t>
  </si>
  <si>
    <t>Legal Expenses</t>
  </si>
  <si>
    <t>Other Expenses</t>
  </si>
  <si>
    <t>Employee Expenses</t>
  </si>
  <si>
    <t>PUC Docket No. 40261</t>
  </si>
  <si>
    <t xml:space="preserve">               Total Company Expenses Docket No. 40261</t>
  </si>
  <si>
    <t>PUC Docket No. 47015</t>
  </si>
  <si>
    <t xml:space="preserve">               Total Company Expenses Docket No. 47015</t>
  </si>
  <si>
    <t>PUC Docket No. 48222</t>
  </si>
  <si>
    <t xml:space="preserve">               Total Company Expenses Docket No. 48222</t>
  </si>
  <si>
    <t>PUC Docket No. 48577</t>
  </si>
  <si>
    <t xml:space="preserve">               Total Company Expenses Docket No. 48577</t>
  </si>
  <si>
    <t>Total Company Expenses Docket Nos. 33309, 33310, 34301, 40261, 47015, 48222 and 48577</t>
  </si>
  <si>
    <t>Municipal Expenses Reimbursed by AEP Texas</t>
  </si>
  <si>
    <t>City of Abilene</t>
  </si>
  <si>
    <t>City of McAllen</t>
  </si>
  <si>
    <t xml:space="preserve">               Total Expenses Reimbursed Docket No. 48222</t>
  </si>
  <si>
    <t>Total Municipal Expenses Reimbursed for Docket Nos. 33309, 33310, 34301, 40261, 48222 and 48577</t>
  </si>
  <si>
    <t>Description of Service Provided</t>
  </si>
  <si>
    <t>Clark Thomas &amp; Winters</t>
  </si>
  <si>
    <t>Total Legal</t>
  </si>
  <si>
    <t>Total Expenses Associated with Dockets 33309, 33310 and 34301</t>
  </si>
  <si>
    <t xml:space="preserve">Texas Press Service, Inc. </t>
  </si>
  <si>
    <t>Handles the newspaper notice required by PUC Procedural Rule §22.51</t>
  </si>
  <si>
    <t>Total Expenses Associated with Docket 40261</t>
  </si>
  <si>
    <t>FedEx</t>
  </si>
  <si>
    <t>These expenses cover delivery services to provide time-sensitive documents to attorneys or representatives of other parties to Docket No. 47015 located outside of Austin or to members of the AEP Texas rate case team located outside of Austin where facsimile transmission was not feasible due to the bulk of the documents, such as multi-page responses to discovery and voluminous materials requested from AEP Texas' voluminous room.</t>
  </si>
  <si>
    <t>Total Other</t>
  </si>
  <si>
    <t xml:space="preserve">Employee Expenses </t>
  </si>
  <si>
    <t xml:space="preserve">Non payroll employee expenses related to Docket No. 47015 including air fare, car rentals, taxi, hotels, meals, supplies and miscellaneous expenses.  </t>
  </si>
  <si>
    <t>Total Expenses Associated with Docket 47015</t>
  </si>
  <si>
    <t>Robert Half</t>
  </si>
  <si>
    <t>Robert Half furnished temporary clerical personnel to AEP's Austin regulatory services office to assist with the preparation of the rate filing package and responding to discovery.  AEP's Austin regulatory services office does not have sufficient full time clerical personnel to handle the requirements associated with preparation of a major rate case filing and the extensive discovery generated by such a case.</t>
  </si>
  <si>
    <t>US Postal Service</t>
  </si>
  <si>
    <t xml:space="preserve">Cost of postage necessary to mail documents and other materials to parties in connection with the case.  </t>
  </si>
  <si>
    <t xml:space="preserve">Non payroll employee expenses related to Docket No. 48222 including air fare, car rentals, taxi, hotels, meals, supplies and miscellaneous expenses.  </t>
  </si>
  <si>
    <t>Total Expenses Associated with Docket 44701</t>
  </si>
  <si>
    <t>Duggins, Wren, Mann &amp; Romero, LLP</t>
  </si>
  <si>
    <t xml:space="preserve">DWMR attorneys provided counsel to AEP Texas in Docket No. 48577.   These costs were required to carry out the activities required to prosecute this case.  These activities are described in detail in the voluminous invoices provided in the work papers to this Exhibit.  As shown in the invoices, the activities were not duplicative or excessive and provided substantial value to the Company.  The billing rates to AEP Texas for the attorneys at DWMR ranged between $335/hour to $395/hour.  Paralegal services were charged to AEP Texas at a rate of $135/hour.  DWMR was also reimbursed for courier expenses.  The billing rates charged by DWMR to AEP Texas were the firm's normal hourly billing rates, were comparable to the rates charged by other attorneys for similar services to other Texas utilities, and were the normal hourly rates or were lower than the normal hourly billing rates charged by the firm for services to non-regulated entities.  </t>
  </si>
  <si>
    <t xml:space="preserve">Non payroll employee expenses related to Docket No. 45691 including meals, supplies and miscellaneous expenses.  </t>
  </si>
  <si>
    <t>Total Expenses Associated with Docket 48577</t>
  </si>
  <si>
    <t>Other</t>
  </si>
  <si>
    <t xml:space="preserve">Subtotal </t>
  </si>
  <si>
    <t>Total MCALLEN, CITY OF</t>
  </si>
  <si>
    <t>Total Cities</t>
  </si>
  <si>
    <t>Total FEDEX</t>
  </si>
  <si>
    <t>Subtotal</t>
  </si>
  <si>
    <t>Total ROBERT HALF TECHNOLOGY</t>
  </si>
  <si>
    <t>Total US POSTAL SERVICE</t>
  </si>
  <si>
    <t>Notice</t>
  </si>
  <si>
    <t>Total FINANCO INC</t>
  </si>
  <si>
    <t>Total Consultant</t>
  </si>
  <si>
    <t>Total DUGGINS WREN MANN &amp; ROMERO LLP</t>
  </si>
  <si>
    <t>Total TEXAS PRESS SERVICE INC</t>
  </si>
  <si>
    <t>WALKER, TERI L</t>
  </si>
  <si>
    <t>4/23/2012</t>
  </si>
  <si>
    <t>3/31/2012</t>
  </si>
  <si>
    <t>5/31/2012</t>
  </si>
  <si>
    <t>4/30/2012</t>
  </si>
  <si>
    <t>7/31/2012</t>
  </si>
  <si>
    <t>8/31/2012</t>
  </si>
  <si>
    <t>9/30/2012</t>
  </si>
  <si>
    <t>Total BRACEWELL &amp; GIULIANI LLP</t>
  </si>
  <si>
    <t>Total ABILENE, CITY OF</t>
  </si>
  <si>
    <t>Total CLARK THOMAS &amp; WINTERS</t>
  </si>
  <si>
    <t>Grand Total - 2017 DCRF Docket 47015</t>
  </si>
  <si>
    <t>Total Employee Expense</t>
  </si>
  <si>
    <t>Grand Total - 2018 DCRF Docket 48222</t>
  </si>
  <si>
    <t>Employee Expense</t>
  </si>
  <si>
    <t>North %</t>
  </si>
  <si>
    <t>Rate Case Expense Divisional Split</t>
  </si>
  <si>
    <t>Grand Total- North Trailing Charges Docket Nos. 31433/33310/34310</t>
  </si>
  <si>
    <t>Grand Total - Docket 40261</t>
  </si>
  <si>
    <t>Grand Total - Docket 48577</t>
  </si>
  <si>
    <t>Divisional Allocation</t>
  </si>
  <si>
    <t>Business Unit</t>
  </si>
  <si>
    <t>Per GL (Account 928)</t>
  </si>
  <si>
    <t>North Division Requested</t>
  </si>
  <si>
    <t>Central %</t>
  </si>
  <si>
    <t>Central Division Requested</t>
  </si>
  <si>
    <t>Total BRACEWELL &amp; GIULIANI</t>
  </si>
  <si>
    <t xml:space="preserve">   Consultant Expenses</t>
  </si>
  <si>
    <t>Municipal Expenses Reimbursed by AEP Texas Inc</t>
  </si>
  <si>
    <r>
      <t>Total AEP Texas Inc and Municipal Expense Docket Nos</t>
    </r>
    <r>
      <rPr>
        <b/>
        <sz val="9"/>
        <rFont val="Arial"/>
        <family val="2"/>
      </rPr>
      <t>. 33309,33310,34301,40261,48222, and 48577</t>
    </r>
  </si>
  <si>
    <t>Allocation of Over-Recovery</t>
  </si>
  <si>
    <t>Less:  Over-Recovery on 34301 Rate Case Amortization- Allocable to Cities</t>
  </si>
  <si>
    <t>Less:  Over-Recovery on 34301 Rate Case Amortization- Allocable to Legal</t>
  </si>
  <si>
    <t>Total Trailing Expenses</t>
  </si>
  <si>
    <t>Requested- Trailing Charges Docket Nos. 31433/33309/33310/34301</t>
  </si>
  <si>
    <t>Grand Total- Trailing Charges Docket Nos. 31433/33310/34301</t>
  </si>
  <si>
    <t>Bracewell &amp; Giuliani</t>
  </si>
  <si>
    <t xml:space="preserve">Consultant Expenses </t>
  </si>
  <si>
    <t>Over-Recovery on 34301 Rate Case Amortization</t>
  </si>
  <si>
    <t>PUC DOCKET NOS. 28840/33309 (CENTRAL)</t>
  </si>
  <si>
    <t>PUC DOCKET NO. 33310 (NORTH)</t>
  </si>
  <si>
    <t xml:space="preserve">Bracewell &amp; Giuliani attorneys provided counsel to AEP Texas in Docket Nos. 33309 and 33310.   These costs were required to carry out the activities required to prosecute this case.  These activities are described in detail in the voluminous invoices provided in the work papers to this Exhibit.  As shown in the invoices, the activities were not duplicative or excessive and provided substantial value to the Company.  The billing rates to AEP Texas for the attorneys at Bracewell &amp; Giuliani ranged between $120/hour to $325/hour.  Paralegal services were charged to AEP Texas at a rate of $80/hour to $90/hour.  Bracewell &amp; Giuliani was also reimbursed for expenses related to copying and courier charges.  The billing rates charged by Bracewell &amp; Giuliani to AEP Texas were the firm's normal hourly billing rates, were comparable to the rates charged by other attorneys for similar services to other Texas utilities, and were the normal hourly rates or were lower than the normal hourly billing rates charged by the firm for services to non-regulated entities.  </t>
  </si>
  <si>
    <t>Legal Expenses - Central</t>
  </si>
  <si>
    <t>Legal Expenses - North</t>
  </si>
  <si>
    <t xml:space="preserve">               Total Requested Company Expenses Docket No. 33309/33310/34301</t>
  </si>
  <si>
    <t xml:space="preserve">               Total  Expenses Requested for Reimbursment Associated with Docket Nos. 33309/33310/34301</t>
  </si>
  <si>
    <t>Total Company Expenses to be collected for Docket Nos. 33309, 33310, 34301, 40261, 47015, 48222 and 48577</t>
  </si>
  <si>
    <r>
      <t>Total AEP Texas Inc and Municipal Expense Docket Nos</t>
    </r>
    <r>
      <rPr>
        <b/>
        <sz val="9"/>
        <rFont val="Arial"/>
        <family val="2"/>
      </rPr>
      <t>. 33309,33310,34301,40261,48222, and 48577 net of Over-Recovery</t>
    </r>
  </si>
  <si>
    <t>Total Municipal Expenses to be collected for Docket Nos. 33309, 33310, 34301, 40261, 48222 and 48577</t>
  </si>
  <si>
    <t>Financo</t>
  </si>
  <si>
    <r>
      <t xml:space="preserve">Total AEP Texas Expenses for Dockets Nos. </t>
    </r>
    <r>
      <rPr>
        <b/>
        <sz val="10"/>
        <color rgb="FFFF0000"/>
        <rFont val="Times New Roman"/>
        <family val="1"/>
      </rPr>
      <t xml:space="preserve"> </t>
    </r>
    <r>
      <rPr>
        <b/>
        <sz val="10"/>
        <rFont val="Times New Roman"/>
        <family val="1"/>
      </rPr>
      <t>33309, 33310, 34301, 40261, 47015, 48222 and 48577</t>
    </r>
  </si>
  <si>
    <t xml:space="preserve">Clark Thomas &amp; Winters attorneys provided counsel to AEP Texas in Docket Nos. 33309, 33310 and 34301.  These costs were required to carry out the activities required to prosecute this case.  These activities are described in detail in the voluminous invoices provided in the work papers to this Exhibit.  As shown in the invoices, the activities were not duplicative or excessive and provided substantial value to the Company.  The billing rates to AEP Texas for the attorneys at Clark Thomas &amp; Winters ranged between $125/hour to $340/hour.  Paralegal services were charged to AEP Texas at a rate of $90/hour.  Clark Thomas &amp; Winters was also reimbursed for expenses related to copying and courier charges.  The billing rates charged by Clark Thomas &amp; Winters to AEP Texas were the firm's normal hourly billing rates, were comparable to the rates charged by other attorneys for similar services to other Texas utilities, and were the normal hourly rates or were lower than the normal hourly billing rates charged by the firm for services to non-regulated entities.  </t>
  </si>
  <si>
    <t>Bracewell &amp; Giuliani attorneys provided counsel to AEP Texas in Docket No 40261.  These costs were required to carry out the activites required to prosecute this case.  These activities are described in detail in the voluminous invoices provided in the work papers to this Exhibit.  As shown in the invoices, the activities were not duplicative or excessive and provided substantial value to the Company.  The billing rates to AEP Texas for the Attorney at Bracewell &amp; Giuliani ranged between $150/hour to $320/hour.  Bracewell &amp; Giuliani was also reimbursed for expenses related to copying and courier charges.  The billing rates charged by Bracewell &amp; Giuliani to AEP Texas were the firm's normal hourly billing rates, were comparable to the rates charged by other attorneys for similar services to other Texas utilities, and were the normal hourly rates or were lower than the normal hourly rates charged by the firm for services to non-regulated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</si>
</sst>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64" formatCode="_(* #,##0_);_(* \(#,##0\);_(* &quot;-&quot;??_);_(@_)"/>
    <numFmt numFmtId="165" formatCode="&quot;$&quot;#,##0.00"/>
  </numFmts>
  <fonts count="24">
    <font>
      <sz val="11"/>
      <color theme="1"/>
      <name val="Calibri"/>
      <family val="2"/>
      <scheme val="minor"/>
    </font>
    <font>
      <sz val="11"/>
      <color theme="1"/>
      <name val="Calibri"/>
      <family val="2"/>
      <scheme val="minor"/>
    </font>
    <font>
      <sz val="10"/>
      <name val="Arial Unicode MS"/>
      <family val="2"/>
    </font>
    <font>
      <b/>
      <sz val="10"/>
      <name val="Arial Unicode MS"/>
      <family val="2"/>
    </font>
    <font>
      <sz val="10"/>
      <name val="Arial Unicode MS"/>
      <family val="2"/>
    </font>
    <font>
      <sz val="10"/>
      <name val="Arial"/>
      <family val="2"/>
    </font>
    <font>
      <sz val="10"/>
      <name val="MS Sans Serif"/>
      <family val="2"/>
    </font>
    <font>
      <sz val="10"/>
      <name val="Arial"/>
      <family val="2"/>
    </font>
    <font>
      <sz val="10"/>
      <name val="Arial Unicode MS"/>
      <family val="2"/>
    </font>
    <font>
      <sz val="10"/>
      <name val="Arial Unicode MS"/>
      <family val="2"/>
    </font>
    <font>
      <b/>
      <sz val="10"/>
      <name val="Arial Unicode MS"/>
      <family val="2"/>
    </font>
    <font>
      <sz val="10"/>
      <name val="Arial Unicode MS"/>
    </font>
    <font>
      <sz val="10"/>
      <name val="Times New Roman"/>
      <family val="1"/>
    </font>
    <font>
      <b/>
      <sz val="10"/>
      <name val="Times New Roman"/>
      <family val="1"/>
    </font>
    <font>
      <b/>
      <sz val="10"/>
      <color theme="1"/>
      <name val="Times New Roman"/>
      <family val="1"/>
    </font>
    <font>
      <sz val="10"/>
      <color theme="1"/>
      <name val="Times New Roman"/>
      <family val="1"/>
    </font>
    <font>
      <b/>
      <sz val="9"/>
      <color theme="1"/>
      <name val="Arial"/>
      <family val="2"/>
    </font>
    <font>
      <sz val="9"/>
      <color theme="1"/>
      <name val="Arial"/>
      <family val="2"/>
    </font>
    <font>
      <b/>
      <u/>
      <sz val="9"/>
      <name val="Arial"/>
      <family val="2"/>
    </font>
    <font>
      <sz val="10"/>
      <color rgb="FFFF0000"/>
      <name val="Times New Roman"/>
      <family val="1"/>
    </font>
    <font>
      <b/>
      <sz val="9"/>
      <name val="Arial"/>
      <family val="2"/>
    </font>
    <font>
      <b/>
      <u/>
      <sz val="10"/>
      <name val="Times New Roman"/>
      <family val="1"/>
    </font>
    <font>
      <b/>
      <sz val="10"/>
      <color rgb="FFFF0000"/>
      <name val="Times New Roman"/>
      <family val="1"/>
    </font>
    <font>
      <sz val="9"/>
      <name val="Arial"/>
      <family val="2"/>
    </font>
  </fonts>
  <fills count="2">
    <fill>
      <patternFill patternType="none"/>
    </fill>
    <fill>
      <patternFill patternType="gray125"/>
    </fill>
  </fills>
  <borders count="38">
    <border>
      <left/>
      <right/>
      <top/>
      <bottom/>
      <diagonal/>
    </border>
    <border>
      <left/>
      <right/>
      <top style="thin">
        <color indexed="64"/>
      </top>
      <bottom style="double">
        <color indexed="64"/>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n">
        <color rgb="FF999999"/>
      </left>
      <right/>
      <top style="thin">
        <color rgb="FF999999"/>
      </top>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medium">
        <color auto="1"/>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medium">
        <color indexed="64"/>
      </left>
      <right/>
      <top style="thin">
        <color indexed="65"/>
      </top>
      <bottom/>
      <diagonal/>
    </border>
    <border>
      <left style="thin">
        <color rgb="FF999999"/>
      </left>
      <right style="medium">
        <color indexed="64"/>
      </right>
      <top style="thin">
        <color rgb="FF999999"/>
      </top>
      <bottom/>
      <diagonal/>
    </border>
    <border>
      <left style="medium">
        <color indexed="64"/>
      </left>
      <right/>
      <top style="thin">
        <color rgb="FF999999"/>
      </top>
      <bottom style="thin">
        <color rgb="FF999999"/>
      </bottom>
      <diagonal/>
    </border>
    <border>
      <left style="thin">
        <color rgb="FF999999"/>
      </left>
      <right style="medium">
        <color indexed="64"/>
      </right>
      <top style="thin">
        <color rgb="FF999999"/>
      </top>
      <bottom style="thin">
        <color rgb="FF999999"/>
      </bottom>
      <diagonal/>
    </border>
    <border>
      <left style="thin">
        <color rgb="FF999999"/>
      </left>
      <right/>
      <top/>
      <bottom/>
      <diagonal/>
    </border>
    <border>
      <left style="thin">
        <color indexed="65"/>
      </left>
      <right/>
      <top/>
      <bottom/>
      <diagonal/>
    </border>
    <border>
      <left style="thin">
        <color indexed="65"/>
      </left>
      <right style="medium">
        <color indexed="64"/>
      </right>
      <top/>
      <bottom/>
      <diagonal/>
    </border>
    <border>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0" fontId="2" fillId="0" borderId="0"/>
    <xf numFmtId="43" fontId="3" fillId="0" borderId="0" applyFont="0" applyFill="0" applyBorder="0" applyAlignment="0" applyProtection="0"/>
    <xf numFmtId="44" fontId="1" fillId="0" borderId="0" applyFont="0" applyFill="0" applyBorder="0" applyAlignment="0" applyProtection="0"/>
    <xf numFmtId="43" fontId="5" fillId="0" borderId="0" applyFont="0" applyFill="0" applyBorder="0" applyAlignment="0" applyProtection="0"/>
    <xf numFmtId="0" fontId="6" fillId="0" borderId="0" applyNumberFormat="0" applyFont="0" applyFill="0" applyBorder="0" applyAlignment="0" applyProtection="0">
      <alignment horizontal="left"/>
    </xf>
    <xf numFmtId="4" fontId="6" fillId="0" borderId="0" applyFont="0" applyFill="0" applyBorder="0" applyAlignment="0" applyProtection="0"/>
    <xf numFmtId="0" fontId="6" fillId="0" borderId="0" applyNumberFormat="0" applyFont="0" applyFill="0" applyBorder="0" applyAlignment="0" applyProtection="0">
      <alignment horizontal="left"/>
    </xf>
    <xf numFmtId="0" fontId="7" fillId="0" borderId="0"/>
    <xf numFmtId="44" fontId="7" fillId="0" borderId="0" applyFont="0" applyFill="0" applyBorder="0" applyAlignment="0" applyProtection="0"/>
    <xf numFmtId="0" fontId="4" fillId="0" borderId="0"/>
    <xf numFmtId="0" fontId="4" fillId="0" borderId="0"/>
    <xf numFmtId="0" fontId="5" fillId="0" borderId="0"/>
    <xf numFmtId="44" fontId="5" fillId="0" borderId="0" applyFont="0" applyFill="0" applyBorder="0" applyAlignment="0" applyProtection="0"/>
    <xf numFmtId="44" fontId="4" fillId="0" borderId="0" applyFont="0" applyFill="0" applyBorder="0" applyAlignment="0" applyProtection="0"/>
    <xf numFmtId="0" fontId="4" fillId="0" borderId="0"/>
    <xf numFmtId="9" fontId="1" fillId="0" borderId="0" applyFont="0" applyFill="0" applyBorder="0" applyAlignment="0" applyProtection="0"/>
    <xf numFmtId="44" fontId="2" fillId="0" borderId="0" applyFont="0" applyFill="0" applyBorder="0" applyAlignment="0" applyProtection="0"/>
    <xf numFmtId="0" fontId="2" fillId="0" borderId="0"/>
    <xf numFmtId="0" fontId="8" fillId="0" borderId="0"/>
    <xf numFmtId="0" fontId="9" fillId="0" borderId="0"/>
    <xf numFmtId="43" fontId="10" fillId="0" borderId="0" applyFont="0" applyFill="0" applyBorder="0" applyAlignment="0" applyProtection="0"/>
    <xf numFmtId="0" fontId="11" fillId="0" borderId="0"/>
    <xf numFmtId="43" fontId="5" fillId="0" borderId="0" applyFont="0" applyFill="0" applyBorder="0" applyAlignment="0" applyProtection="0"/>
  </cellStyleXfs>
  <cellXfs count="288">
    <xf numFmtId="0" fontId="0" fillId="0" borderId="0" xfId="0"/>
    <xf numFmtId="0" fontId="12" fillId="0" borderId="0" xfId="23" applyFont="1"/>
    <xf numFmtId="40" fontId="12" fillId="0" borderId="0" xfId="23" applyNumberFormat="1" applyFont="1"/>
    <xf numFmtId="0" fontId="12" fillId="0" borderId="0" xfId="23" applyFont="1" applyAlignment="1">
      <alignment horizontal="center"/>
    </xf>
    <xf numFmtId="49" fontId="13" fillId="0" borderId="12" xfId="23" applyNumberFormat="1" applyFont="1" applyFill="1" applyBorder="1"/>
    <xf numFmtId="40" fontId="13" fillId="0" borderId="12" xfId="23" applyNumberFormat="1" applyFont="1" applyFill="1" applyBorder="1"/>
    <xf numFmtId="49" fontId="13" fillId="0" borderId="12" xfId="23" applyNumberFormat="1" applyFont="1" applyFill="1" applyBorder="1" applyAlignment="1">
      <alignment horizontal="center"/>
    </xf>
    <xf numFmtId="0" fontId="12" fillId="0" borderId="0" xfId="23" applyFont="1" applyFill="1"/>
    <xf numFmtId="49" fontId="12" fillId="0" borderId="0" xfId="23" applyNumberFormat="1" applyFont="1"/>
    <xf numFmtId="40" fontId="12" fillId="0" borderId="1" xfId="23" applyNumberFormat="1" applyFont="1" applyBorder="1"/>
    <xf numFmtId="0" fontId="15" fillId="0" borderId="0" xfId="0" applyFont="1" applyFill="1" applyAlignment="1">
      <alignment horizontal="left"/>
    </xf>
    <xf numFmtId="0" fontId="15" fillId="0" borderId="0" xfId="0" applyFont="1" applyFill="1"/>
    <xf numFmtId="0" fontId="15" fillId="0" borderId="0" xfId="0" applyNumberFormat="1" applyFont="1" applyFill="1" applyAlignment="1">
      <alignment horizontal="left"/>
    </xf>
    <xf numFmtId="43" fontId="15" fillId="0" borderId="0" xfId="1" applyFont="1" applyFill="1"/>
    <xf numFmtId="14" fontId="14" fillId="0" borderId="1" xfId="0" applyNumberFormat="1" applyFont="1" applyFill="1" applyBorder="1" applyAlignment="1">
      <alignment horizontal="center"/>
    </xf>
    <xf numFmtId="0" fontId="14" fillId="0" borderId="1" xfId="0" applyFont="1" applyFill="1" applyBorder="1" applyAlignment="1">
      <alignment horizontal="center"/>
    </xf>
    <xf numFmtId="40" fontId="14" fillId="0" borderId="1" xfId="0" applyNumberFormat="1" applyFont="1" applyFill="1" applyBorder="1" applyAlignment="1">
      <alignment horizontal="center"/>
    </xf>
    <xf numFmtId="43" fontId="14" fillId="0" borderId="1" xfId="1" applyFont="1" applyFill="1" applyBorder="1" applyAlignment="1">
      <alignment horizontal="center"/>
    </xf>
    <xf numFmtId="40" fontId="14" fillId="0" borderId="1" xfId="1" applyNumberFormat="1" applyFont="1" applyFill="1" applyBorder="1" applyAlignment="1">
      <alignment horizontal="center"/>
    </xf>
    <xf numFmtId="0" fontId="14" fillId="0" borderId="1" xfId="0" applyNumberFormat="1" applyFont="1" applyFill="1" applyBorder="1" applyAlignment="1">
      <alignment horizontal="left"/>
    </xf>
    <xf numFmtId="0" fontId="15" fillId="0" borderId="0" xfId="0" applyFont="1" applyFill="1" applyAlignment="1">
      <alignment horizontal="center"/>
    </xf>
    <xf numFmtId="14" fontId="15" fillId="0" borderId="0" xfId="0" applyNumberFormat="1" applyFont="1" applyFill="1"/>
    <xf numFmtId="40" fontId="15" fillId="0" borderId="0" xfId="0" applyNumberFormat="1" applyFont="1" applyFill="1"/>
    <xf numFmtId="0" fontId="15" fillId="0" borderId="0" xfId="0" applyFont="1"/>
    <xf numFmtId="43" fontId="15" fillId="0" borderId="0" xfId="1" applyFont="1"/>
    <xf numFmtId="43" fontId="15" fillId="0" borderId="0" xfId="0" applyNumberFormat="1" applyFont="1" applyFill="1"/>
    <xf numFmtId="0" fontId="15" fillId="0" borderId="0" xfId="0" quotePrefix="1" applyNumberFormat="1" applyFont="1" applyFill="1" applyAlignment="1">
      <alignment horizontal="left"/>
    </xf>
    <xf numFmtId="1" fontId="15" fillId="0" borderId="0" xfId="0" applyNumberFormat="1" applyFont="1" applyFill="1" applyAlignment="1">
      <alignment horizontal="left"/>
    </xf>
    <xf numFmtId="40" fontId="15" fillId="0" borderId="1" xfId="0" applyNumberFormat="1" applyFont="1" applyFill="1" applyBorder="1"/>
    <xf numFmtId="43" fontId="15" fillId="0" borderId="13" xfId="1" applyFont="1" applyBorder="1"/>
    <xf numFmtId="43" fontId="15" fillId="0" borderId="14" xfId="1" applyFont="1" applyBorder="1"/>
    <xf numFmtId="43" fontId="15" fillId="0" borderId="15" xfId="1" applyFont="1" applyBorder="1"/>
    <xf numFmtId="43" fontId="15" fillId="0" borderId="16" xfId="1" applyFont="1" applyBorder="1"/>
    <xf numFmtId="0" fontId="14" fillId="0" borderId="0" xfId="0" applyFont="1" applyFill="1"/>
    <xf numFmtId="14" fontId="15" fillId="0" borderId="0" xfId="0" applyNumberFormat="1" applyFont="1" applyFill="1" applyAlignment="1">
      <alignment horizontal="left"/>
    </xf>
    <xf numFmtId="14" fontId="15" fillId="0" borderId="0" xfId="0" applyNumberFormat="1" applyFont="1" applyAlignment="1">
      <alignment horizontal="left"/>
    </xf>
    <xf numFmtId="0" fontId="15" fillId="0" borderId="0" xfId="0" applyFont="1" applyFill="1" applyBorder="1" applyAlignment="1">
      <alignment horizontal="left"/>
    </xf>
    <xf numFmtId="14" fontId="15" fillId="0" borderId="0" xfId="0" applyNumberFormat="1" applyFont="1" applyFill="1" applyBorder="1" applyAlignment="1">
      <alignment horizontal="left"/>
    </xf>
    <xf numFmtId="49" fontId="15" fillId="0" borderId="0" xfId="0" applyNumberFormat="1" applyFont="1"/>
    <xf numFmtId="0" fontId="15" fillId="0" borderId="0" xfId="0" applyFont="1" applyAlignment="1">
      <alignment horizontal="left"/>
    </xf>
    <xf numFmtId="14" fontId="15" fillId="0" borderId="0" xfId="0" applyNumberFormat="1" applyFont="1"/>
    <xf numFmtId="22" fontId="15" fillId="0" borderId="0" xfId="0" applyNumberFormat="1" applyFont="1" applyFill="1" applyAlignment="1">
      <alignment horizontal="left"/>
    </xf>
    <xf numFmtId="49" fontId="12" fillId="0" borderId="0" xfId="23" applyNumberFormat="1" applyFont="1" applyFill="1"/>
    <xf numFmtId="43" fontId="15" fillId="0" borderId="0" xfId="1" applyFont="1" applyFill="1" applyAlignment="1">
      <alignment horizontal="right"/>
    </xf>
    <xf numFmtId="43" fontId="15" fillId="0" borderId="0" xfId="1" applyFont="1" applyFill="1" applyBorder="1" applyAlignment="1">
      <alignment horizontal="right"/>
    </xf>
    <xf numFmtId="43" fontId="15" fillId="0" borderId="1" xfId="1" applyFont="1" applyFill="1" applyBorder="1" applyAlignment="1">
      <alignment horizontal="right"/>
    </xf>
    <xf numFmtId="0" fontId="17" fillId="0" borderId="0" xfId="0" applyFont="1" applyFill="1"/>
    <xf numFmtId="0" fontId="17" fillId="0" borderId="0" xfId="0" applyFont="1" applyFill="1" applyBorder="1"/>
    <xf numFmtId="0" fontId="16" fillId="0" borderId="17" xfId="0" applyFont="1" applyFill="1" applyBorder="1" applyAlignment="1">
      <alignment horizontal="center"/>
    </xf>
    <xf numFmtId="0" fontId="16" fillId="0" borderId="0" xfId="0" applyFont="1" applyFill="1" applyBorder="1" applyAlignment="1">
      <alignment horizontal="center"/>
    </xf>
    <xf numFmtId="0" fontId="18" fillId="0" borderId="0" xfId="0" applyFont="1" applyFill="1" applyBorder="1" applyAlignment="1">
      <alignment horizontal="left"/>
    </xf>
    <xf numFmtId="0" fontId="17" fillId="0" borderId="0" xfId="0" applyFont="1" applyFill="1" applyAlignment="1">
      <alignment horizontal="left" indent="1"/>
    </xf>
    <xf numFmtId="39" fontId="17" fillId="0" borderId="0" xfId="4" applyNumberFormat="1" applyFont="1" applyFill="1"/>
    <xf numFmtId="0" fontId="16" fillId="0" borderId="0" xfId="0" applyFont="1" applyFill="1" applyAlignment="1">
      <alignment horizontal="right" wrapText="1"/>
    </xf>
    <xf numFmtId="44" fontId="16" fillId="0" borderId="18" xfId="4" applyFont="1" applyFill="1" applyBorder="1"/>
    <xf numFmtId="0" fontId="16" fillId="0" borderId="0" xfId="0" applyFont="1" applyFill="1" applyAlignment="1">
      <alignment horizontal="right"/>
    </xf>
    <xf numFmtId="0" fontId="16" fillId="0" borderId="0" xfId="0" applyFont="1" applyFill="1"/>
    <xf numFmtId="43" fontId="17" fillId="0" borderId="0" xfId="0" applyNumberFormat="1" applyFont="1" applyFill="1" applyBorder="1"/>
    <xf numFmtId="0" fontId="16" fillId="0" borderId="19" xfId="0" applyFont="1" applyFill="1" applyBorder="1" applyAlignment="1">
      <alignment wrapText="1"/>
    </xf>
    <xf numFmtId="44" fontId="16" fillId="0" borderId="19" xfId="4" applyFont="1" applyFill="1" applyBorder="1"/>
    <xf numFmtId="0" fontId="16" fillId="0" borderId="0" xfId="0" applyFont="1" applyFill="1" applyAlignment="1">
      <alignment horizontal="left"/>
    </xf>
    <xf numFmtId="0" fontId="16" fillId="0" borderId="19" xfId="0" applyFont="1" applyFill="1" applyBorder="1" applyAlignment="1">
      <alignment horizontal="left" wrapText="1"/>
    </xf>
    <xf numFmtId="0" fontId="12" fillId="0" borderId="0" xfId="0" applyFont="1"/>
    <xf numFmtId="0" fontId="12" fillId="0" borderId="0" xfId="0" applyFont="1" applyFill="1"/>
    <xf numFmtId="0" fontId="19" fillId="0" borderId="0" xfId="0" applyFont="1" applyFill="1"/>
    <xf numFmtId="0" fontId="13" fillId="0" borderId="17" xfId="0" applyFont="1" applyBorder="1" applyAlignment="1">
      <alignment horizontal="center" vertical="center" wrapText="1"/>
    </xf>
    <xf numFmtId="0" fontId="13" fillId="0" borderId="17" xfId="0" applyFont="1" applyBorder="1" applyAlignment="1">
      <alignment horizontal="center" wrapText="1"/>
    </xf>
    <xf numFmtId="0" fontId="20" fillId="0" borderId="17" xfId="0" applyFont="1" applyFill="1" applyBorder="1" applyAlignment="1">
      <alignment horizontal="center"/>
    </xf>
    <xf numFmtId="0" fontId="12" fillId="0" borderId="0" xfId="0" applyFont="1" applyBorder="1" applyAlignment="1">
      <alignment vertical="center" wrapText="1"/>
    </xf>
    <xf numFmtId="0" fontId="12" fillId="0" borderId="0" xfId="0" applyFont="1" applyBorder="1"/>
    <xf numFmtId="0" fontId="12" fillId="0" borderId="24" xfId="0" applyFont="1" applyFill="1" applyBorder="1" applyAlignment="1">
      <alignment vertical="center" wrapText="1"/>
    </xf>
    <xf numFmtId="0" fontId="12" fillId="0" borderId="17" xfId="0" applyFont="1" applyFill="1" applyBorder="1" applyAlignment="1">
      <alignment wrapText="1"/>
    </xf>
    <xf numFmtId="44" fontId="12" fillId="0" borderId="17" xfId="4" applyFont="1" applyFill="1" applyBorder="1"/>
    <xf numFmtId="0" fontId="13" fillId="0" borderId="17" xfId="0" applyFont="1" applyFill="1" applyBorder="1"/>
    <xf numFmtId="0" fontId="13" fillId="0" borderId="17" xfId="0" applyFont="1" applyFill="1" applyBorder="1" applyAlignment="1">
      <alignment horizontal="right" vertical="center" wrapText="1"/>
    </xf>
    <xf numFmtId="44" fontId="13" fillId="0" borderId="17" xfId="4" applyFont="1" applyFill="1" applyBorder="1"/>
    <xf numFmtId="0" fontId="12" fillId="0" borderId="0" xfId="0" applyFont="1" applyFill="1" applyBorder="1" applyAlignment="1">
      <alignment vertical="center" wrapText="1"/>
    </xf>
    <xf numFmtId="0" fontId="12" fillId="0" borderId="0" xfId="0" applyFont="1" applyFill="1" applyBorder="1"/>
    <xf numFmtId="0" fontId="21" fillId="0" borderId="0" xfId="0" applyFont="1" applyFill="1" applyAlignment="1">
      <alignment vertical="center" wrapText="1"/>
    </xf>
    <xf numFmtId="0" fontId="13" fillId="0" borderId="17" xfId="0" applyFont="1" applyFill="1" applyBorder="1" applyAlignment="1">
      <alignment horizontal="right"/>
    </xf>
    <xf numFmtId="44" fontId="12" fillId="0" borderId="17" xfId="4" applyFont="1" applyFill="1" applyBorder="1" applyAlignment="1">
      <alignment horizontal="right" wrapText="1"/>
    </xf>
    <xf numFmtId="0" fontId="12" fillId="0" borderId="0" xfId="0" applyFont="1" applyFill="1" applyAlignment="1">
      <alignment wrapText="1"/>
    </xf>
    <xf numFmtId="0" fontId="12" fillId="0" borderId="25" xfId="0" applyFont="1" applyFill="1" applyBorder="1" applyAlignment="1">
      <alignment vertical="center" wrapText="1"/>
    </xf>
    <xf numFmtId="0" fontId="13" fillId="0" borderId="21" xfId="0" applyFont="1" applyFill="1" applyBorder="1" applyAlignment="1">
      <alignment horizontal="left" wrapText="1"/>
    </xf>
    <xf numFmtId="0" fontId="13" fillId="0" borderId="22" xfId="0" applyFont="1" applyFill="1" applyBorder="1" applyAlignment="1">
      <alignment horizontal="left" wrapText="1"/>
    </xf>
    <xf numFmtId="0" fontId="13" fillId="0" borderId="23" xfId="0" applyFont="1" applyFill="1" applyBorder="1" applyAlignment="1">
      <alignment horizontal="left" wrapText="1"/>
    </xf>
    <xf numFmtId="0" fontId="12" fillId="0" borderId="17" xfId="0" applyFont="1" applyFill="1" applyBorder="1" applyAlignment="1">
      <alignment horizontal="left" wrapText="1"/>
    </xf>
    <xf numFmtId="0" fontId="12" fillId="0" borderId="26" xfId="0" applyFont="1" applyFill="1" applyBorder="1" applyAlignment="1">
      <alignment horizontal="justify" vertical="top" wrapText="1"/>
    </xf>
    <xf numFmtId="0" fontId="12" fillId="0" borderId="17" xfId="0" applyFont="1" applyFill="1" applyBorder="1" applyAlignment="1">
      <alignment vertical="center" wrapText="1"/>
    </xf>
    <xf numFmtId="164" fontId="12" fillId="0" borderId="0" xfId="24" applyNumberFormat="1" applyFont="1" applyFill="1" applyBorder="1"/>
    <xf numFmtId="0" fontId="13" fillId="0" borderId="0" xfId="0" applyFont="1" applyFill="1" applyBorder="1" applyAlignment="1">
      <alignment horizontal="center" vertical="center" wrapText="1"/>
    </xf>
    <xf numFmtId="0" fontId="13" fillId="0" borderId="0" xfId="0" applyFont="1" applyFill="1" applyBorder="1" applyAlignment="1">
      <alignment horizontal="center" wrapText="1"/>
    </xf>
    <xf numFmtId="0" fontId="12" fillId="0" borderId="0" xfId="0" applyFont="1" applyFill="1" applyAlignment="1">
      <alignment vertical="center" wrapText="1"/>
    </xf>
    <xf numFmtId="43" fontId="12" fillId="0" borderId="17" xfId="0" applyNumberFormat="1" applyFont="1" applyFill="1" applyBorder="1"/>
    <xf numFmtId="0" fontId="12" fillId="0" borderId="0" xfId="0" applyFont="1" applyFill="1" applyBorder="1" applyAlignment="1">
      <alignment horizontal="justify" vertical="top" wrapText="1"/>
    </xf>
    <xf numFmtId="0" fontId="13" fillId="0" borderId="0" xfId="0" applyFont="1" applyFill="1"/>
    <xf numFmtId="0" fontId="12" fillId="0" borderId="24" xfId="0" applyFont="1" applyFill="1" applyBorder="1" applyAlignment="1">
      <alignment wrapText="1"/>
    </xf>
    <xf numFmtId="165" fontId="12" fillId="0" borderId="0" xfId="0" applyNumberFormat="1" applyFont="1" applyFill="1" applyBorder="1"/>
    <xf numFmtId="165" fontId="13" fillId="0" borderId="17" xfId="0" applyNumberFormat="1" applyFont="1" applyFill="1" applyBorder="1"/>
    <xf numFmtId="165" fontId="13" fillId="0" borderId="17" xfId="4" applyNumberFormat="1" applyFont="1" applyFill="1" applyBorder="1"/>
    <xf numFmtId="44" fontId="12" fillId="0" borderId="0" xfId="0" applyNumberFormat="1" applyFont="1" applyFill="1"/>
    <xf numFmtId="0" fontId="13" fillId="0" borderId="0" xfId="0" applyFont="1" applyFill="1" applyBorder="1" applyAlignment="1">
      <alignment horizontal="right"/>
    </xf>
    <xf numFmtId="165" fontId="13" fillId="0" borderId="0" xfId="4" applyNumberFormat="1" applyFont="1" applyFill="1" applyBorder="1"/>
    <xf numFmtId="165" fontId="13" fillId="0" borderId="17" xfId="4" applyNumberFormat="1" applyFont="1" applyBorder="1"/>
    <xf numFmtId="0" fontId="12" fillId="0" borderId="0" xfId="0" applyFont="1" applyAlignment="1">
      <alignment vertical="center" wrapText="1"/>
    </xf>
    <xf numFmtId="0" fontId="13" fillId="0" borderId="0" xfId="0" applyFont="1"/>
    <xf numFmtId="40" fontId="12" fillId="0" borderId="0" xfId="23" applyNumberFormat="1" applyFont="1" applyFill="1"/>
    <xf numFmtId="49" fontId="12" fillId="0" borderId="0" xfId="23" applyNumberFormat="1" applyFont="1" applyFill="1" applyAlignment="1">
      <alignment horizontal="left"/>
    </xf>
    <xf numFmtId="40" fontId="15" fillId="0" borderId="3" xfId="0" applyNumberFormat="1" applyFont="1" applyFill="1" applyBorder="1"/>
    <xf numFmtId="40" fontId="15" fillId="0" borderId="0" xfId="0" applyNumberFormat="1" applyFont="1" applyFill="1" applyBorder="1"/>
    <xf numFmtId="43" fontId="15" fillId="0" borderId="3" xfId="1" applyFont="1" applyBorder="1"/>
    <xf numFmtId="43" fontId="15" fillId="0" borderId="3" xfId="1" applyFont="1" applyFill="1" applyBorder="1"/>
    <xf numFmtId="43" fontId="15" fillId="0" borderId="3" xfId="1" applyFont="1" applyFill="1" applyBorder="1" applyAlignment="1">
      <alignment horizontal="right"/>
    </xf>
    <xf numFmtId="0" fontId="15" fillId="0" borderId="0" xfId="0" quotePrefix="1" applyNumberFormat="1" applyFont="1" applyFill="1" applyBorder="1" applyAlignment="1">
      <alignment horizontal="left"/>
    </xf>
    <xf numFmtId="40" fontId="12" fillId="0" borderId="3" xfId="23" applyNumberFormat="1" applyFont="1" applyBorder="1"/>
    <xf numFmtId="43" fontId="13" fillId="0" borderId="1" xfId="1" applyFont="1" applyBorder="1" applyAlignment="1">
      <alignment horizontal="center" vertical="center" wrapText="1"/>
    </xf>
    <xf numFmtId="0" fontId="12" fillId="0" borderId="0" xfId="9" applyFont="1" applyBorder="1"/>
    <xf numFmtId="0" fontId="15" fillId="0" borderId="0" xfId="0" applyFont="1" applyBorder="1"/>
    <xf numFmtId="0" fontId="12" fillId="0" borderId="0" xfId="9" applyFont="1" applyBorder="1" applyAlignment="1">
      <alignment wrapText="1"/>
    </xf>
    <xf numFmtId="10" fontId="12" fillId="0" borderId="0" xfId="17" applyNumberFormat="1" applyFont="1" applyBorder="1" applyAlignment="1">
      <alignment wrapText="1"/>
    </xf>
    <xf numFmtId="14" fontId="12" fillId="0" borderId="0" xfId="9" applyNumberFormat="1" applyFont="1" applyBorder="1" applyAlignment="1">
      <alignment wrapText="1"/>
    </xf>
    <xf numFmtId="49" fontId="12" fillId="0" borderId="0" xfId="9" applyNumberFormat="1" applyFont="1" applyBorder="1"/>
    <xf numFmtId="14" fontId="12" fillId="0" borderId="0" xfId="9" applyNumberFormat="1" applyFont="1" applyBorder="1"/>
    <xf numFmtId="49" fontId="12" fillId="0" borderId="0" xfId="12" applyNumberFormat="1" applyFont="1" applyBorder="1"/>
    <xf numFmtId="0" fontId="12" fillId="0" borderId="0" xfId="12" applyFont="1" applyBorder="1"/>
    <xf numFmtId="14" fontId="12" fillId="0" borderId="0" xfId="12" applyNumberFormat="1" applyFont="1" applyBorder="1"/>
    <xf numFmtId="43" fontId="14" fillId="0" borderId="0" xfId="0" applyNumberFormat="1" applyFont="1" applyBorder="1"/>
    <xf numFmtId="0" fontId="12" fillId="0" borderId="0" xfId="9" applyFont="1" applyFill="1" applyBorder="1" applyAlignment="1">
      <alignment wrapText="1"/>
    </xf>
    <xf numFmtId="43" fontId="12" fillId="0" borderId="3" xfId="1" applyFont="1" applyBorder="1" applyAlignment="1">
      <alignment wrapText="1"/>
    </xf>
    <xf numFmtId="43" fontId="12" fillId="0" borderId="3" xfId="1" applyFont="1" applyBorder="1"/>
    <xf numFmtId="43" fontId="15" fillId="0" borderId="1" xfId="1" applyFont="1" applyBorder="1"/>
    <xf numFmtId="43" fontId="12" fillId="0" borderId="0" xfId="1" applyFont="1" applyBorder="1" applyAlignment="1">
      <alignment horizontal="right" wrapText="1"/>
    </xf>
    <xf numFmtId="43" fontId="12" fillId="0" borderId="3" xfId="1" applyFont="1" applyBorder="1" applyAlignment="1">
      <alignment horizontal="right" wrapText="1"/>
    </xf>
    <xf numFmtId="43" fontId="12" fillId="0" borderId="0" xfId="1" applyFont="1" applyBorder="1" applyAlignment="1">
      <alignment horizontal="right"/>
    </xf>
    <xf numFmtId="43" fontId="12" fillId="0" borderId="3" xfId="1" applyFont="1" applyBorder="1" applyAlignment="1">
      <alignment horizontal="right"/>
    </xf>
    <xf numFmtId="43" fontId="15" fillId="0" borderId="3" xfId="1" applyFont="1" applyBorder="1" applyAlignment="1">
      <alignment horizontal="right"/>
    </xf>
    <xf numFmtId="43" fontId="14" fillId="0" borderId="3" xfId="1" applyFont="1" applyBorder="1" applyAlignment="1">
      <alignment horizontal="right"/>
    </xf>
    <xf numFmtId="43" fontId="15" fillId="0" borderId="0" xfId="1" applyFont="1" applyAlignment="1">
      <alignment horizontal="right"/>
    </xf>
    <xf numFmtId="43" fontId="14" fillId="0" borderId="0" xfId="1" applyFont="1" applyBorder="1" applyAlignment="1">
      <alignment horizontal="right"/>
    </xf>
    <xf numFmtId="43" fontId="15" fillId="0" borderId="1" xfId="1" applyFont="1" applyBorder="1" applyAlignment="1">
      <alignment horizontal="right"/>
    </xf>
    <xf numFmtId="43" fontId="12" fillId="0" borderId="3" xfId="1" applyFont="1" applyBorder="1" applyAlignment="1"/>
    <xf numFmtId="43" fontId="12" fillId="0" borderId="0" xfId="1" applyFont="1" applyBorder="1" applyAlignment="1"/>
    <xf numFmtId="43" fontId="14" fillId="0" borderId="0" xfId="1" applyFont="1" applyBorder="1" applyAlignment="1"/>
    <xf numFmtId="43" fontId="15" fillId="0" borderId="0" xfId="1" applyFont="1" applyAlignment="1"/>
    <xf numFmtId="43" fontId="15" fillId="0" borderId="3" xfId="1" applyFont="1" applyBorder="1" applyAlignment="1"/>
    <xf numFmtId="43" fontId="14" fillId="0" borderId="3" xfId="1" applyFont="1" applyBorder="1" applyAlignment="1"/>
    <xf numFmtId="0" fontId="13" fillId="0" borderId="1" xfId="9" applyFont="1" applyBorder="1" applyAlignment="1">
      <alignment horizontal="center" wrapText="1"/>
    </xf>
    <xf numFmtId="43" fontId="13" fillId="0" borderId="1" xfId="1" applyFont="1" applyBorder="1" applyAlignment="1">
      <alignment horizontal="center" wrapText="1"/>
    </xf>
    <xf numFmtId="0" fontId="15" fillId="0" borderId="0" xfId="0" applyFont="1" applyAlignment="1"/>
    <xf numFmtId="43" fontId="13" fillId="0" borderId="1" xfId="1" applyFont="1" applyBorder="1" applyAlignment="1">
      <alignment horizontal="center"/>
    </xf>
    <xf numFmtId="0" fontId="14" fillId="0" borderId="0" xfId="0" applyFont="1"/>
    <xf numFmtId="0" fontId="15" fillId="0" borderId="27" xfId="0" applyFont="1" applyBorder="1"/>
    <xf numFmtId="43" fontId="15" fillId="0" borderId="28" xfId="1" applyFont="1" applyBorder="1"/>
    <xf numFmtId="0" fontId="15" fillId="0" borderId="29" xfId="0" applyFont="1" applyBorder="1"/>
    <xf numFmtId="43" fontId="15" fillId="0" borderId="30" xfId="1" applyFont="1" applyBorder="1"/>
    <xf numFmtId="0" fontId="15" fillId="0" borderId="8" xfId="0" applyFont="1" applyBorder="1"/>
    <xf numFmtId="9" fontId="14" fillId="0" borderId="0" xfId="17" applyFont="1" applyBorder="1"/>
    <xf numFmtId="43" fontId="15" fillId="0" borderId="0" xfId="1" applyFont="1" applyBorder="1"/>
    <xf numFmtId="43" fontId="15" fillId="0" borderId="9" xfId="1" applyFont="1" applyBorder="1"/>
    <xf numFmtId="0" fontId="15" fillId="0" borderId="10" xfId="0" applyFont="1" applyBorder="1"/>
    <xf numFmtId="43" fontId="15" fillId="0" borderId="2" xfId="1" applyFont="1" applyBorder="1"/>
    <xf numFmtId="43" fontId="15" fillId="0" borderId="11" xfId="1" applyFont="1" applyBorder="1"/>
    <xf numFmtId="0" fontId="15" fillId="0" borderId="8" xfId="0" pivotButton="1" applyFont="1" applyBorder="1"/>
    <xf numFmtId="43" fontId="15" fillId="0" borderId="31" xfId="1" pivotButton="1" applyFont="1" applyBorder="1"/>
    <xf numFmtId="43" fontId="15" fillId="0" borderId="32" xfId="1" applyFont="1" applyBorder="1"/>
    <xf numFmtId="43" fontId="15" fillId="0" borderId="33" xfId="1" applyFont="1" applyBorder="1"/>
    <xf numFmtId="0" fontId="14" fillId="0" borderId="4" xfId="0" applyFont="1" applyBorder="1"/>
    <xf numFmtId="43" fontId="14" fillId="0" borderId="5" xfId="1" applyFont="1" applyBorder="1"/>
    <xf numFmtId="43" fontId="14" fillId="0" borderId="6" xfId="1" applyFont="1" applyBorder="1"/>
    <xf numFmtId="43" fontId="15" fillId="0" borderId="1" xfId="1" applyFont="1" applyBorder="1" applyAlignment="1"/>
    <xf numFmtId="0" fontId="15" fillId="0" borderId="0" xfId="0" pivotButton="1" applyFont="1" applyBorder="1"/>
    <xf numFmtId="0" fontId="15" fillId="0" borderId="9" xfId="0" applyFont="1" applyBorder="1"/>
    <xf numFmtId="164" fontId="15" fillId="0" borderId="0" xfId="0" applyNumberFormat="1" applyFont="1" applyBorder="1"/>
    <xf numFmtId="43" fontId="15" fillId="0" borderId="8" xfId="1" applyFont="1" applyBorder="1"/>
    <xf numFmtId="43" fontId="15" fillId="0" borderId="9" xfId="1" applyFont="1" applyFill="1" applyBorder="1"/>
    <xf numFmtId="43" fontId="15" fillId="0" borderId="8" xfId="1" applyFont="1" applyFill="1" applyBorder="1"/>
    <xf numFmtId="43" fontId="15" fillId="0" borderId="0" xfId="1" applyFont="1" applyFill="1" applyBorder="1"/>
    <xf numFmtId="0" fontId="14" fillId="0" borderId="4" xfId="0" applyFont="1" applyFill="1" applyBorder="1"/>
    <xf numFmtId="0" fontId="14" fillId="0" borderId="5" xfId="0" applyFont="1" applyFill="1" applyBorder="1"/>
    <xf numFmtId="0" fontId="14" fillId="0" borderId="6" xfId="0" applyFont="1" applyFill="1" applyBorder="1"/>
    <xf numFmtId="10" fontId="15" fillId="0" borderId="0" xfId="17" applyNumberFormat="1" applyFont="1" applyFill="1" applyBorder="1"/>
    <xf numFmtId="0" fontId="15" fillId="0" borderId="0" xfId="0" applyFont="1" applyFill="1" applyBorder="1"/>
    <xf numFmtId="0" fontId="15" fillId="0" borderId="10" xfId="0" applyFont="1" applyFill="1" applyBorder="1"/>
    <xf numFmtId="0" fontId="15" fillId="0" borderId="2" xfId="0" applyFont="1" applyFill="1" applyBorder="1"/>
    <xf numFmtId="0" fontId="15" fillId="0" borderId="11" xfId="0" applyFont="1" applyFill="1" applyBorder="1"/>
    <xf numFmtId="43" fontId="15" fillId="0" borderId="0" xfId="0" applyNumberFormat="1" applyFont="1" applyBorder="1"/>
    <xf numFmtId="43" fontId="15" fillId="0" borderId="9" xfId="0" applyNumberFormat="1" applyFont="1" applyBorder="1"/>
    <xf numFmtId="0" fontId="15" fillId="0" borderId="9" xfId="0" applyFont="1" applyFill="1" applyBorder="1"/>
    <xf numFmtId="0" fontId="15" fillId="0" borderId="8" xfId="0" applyFont="1" applyFill="1" applyBorder="1"/>
    <xf numFmtId="43" fontId="12" fillId="0" borderId="0" xfId="1" applyFont="1"/>
    <xf numFmtId="43" fontId="13" fillId="0" borderId="12" xfId="1" applyFont="1" applyFill="1" applyBorder="1"/>
    <xf numFmtId="43" fontId="12" fillId="0" borderId="1" xfId="1" applyFont="1" applyBorder="1"/>
    <xf numFmtId="43" fontId="15" fillId="0" borderId="0" xfId="1" applyFont="1" applyFill="1" applyAlignment="1"/>
    <xf numFmtId="43" fontId="15" fillId="0" borderId="34" xfId="1" applyFont="1" applyBorder="1"/>
    <xf numFmtId="43" fontId="15" fillId="0" borderId="35" xfId="1" applyFont="1" applyFill="1" applyBorder="1"/>
    <xf numFmtId="43" fontId="15" fillId="0" borderId="1" xfId="1" applyFont="1" applyFill="1" applyBorder="1"/>
    <xf numFmtId="43" fontId="15" fillId="0" borderId="34" xfId="1" applyFont="1" applyFill="1" applyBorder="1"/>
    <xf numFmtId="43" fontId="15" fillId="0" borderId="0" xfId="1" applyFont="1" applyBorder="1" applyAlignment="1">
      <alignment horizontal="center"/>
    </xf>
    <xf numFmtId="43" fontId="15" fillId="0" borderId="0" xfId="1" applyFont="1" applyFill="1" applyBorder="1" applyAlignment="1">
      <alignment horizontal="center"/>
    </xf>
    <xf numFmtId="0" fontId="15" fillId="0" borderId="0" xfId="0" applyNumberFormat="1" applyFont="1" applyFill="1"/>
    <xf numFmtId="0" fontId="14" fillId="0" borderId="1" xfId="0" applyNumberFormat="1" applyFont="1" applyFill="1" applyBorder="1" applyAlignment="1">
      <alignment horizontal="center"/>
    </xf>
    <xf numFmtId="0" fontId="15" fillId="0" borderId="0" xfId="0" applyNumberFormat="1" applyFont="1" applyFill="1" applyBorder="1" applyAlignment="1">
      <alignment horizontal="left"/>
    </xf>
    <xf numFmtId="0" fontId="15" fillId="0" borderId="0" xfId="1" applyNumberFormat="1" applyFont="1" applyFill="1" applyAlignment="1">
      <alignment horizontal="left"/>
    </xf>
    <xf numFmtId="49" fontId="12" fillId="0" borderId="0" xfId="13" applyNumberFormat="1" applyFont="1" applyBorder="1"/>
    <xf numFmtId="0" fontId="12" fillId="0" borderId="0" xfId="13" applyFont="1" applyBorder="1"/>
    <xf numFmtId="14" fontId="12" fillId="0" borderId="0" xfId="13" applyNumberFormat="1" applyFont="1" applyBorder="1"/>
    <xf numFmtId="49" fontId="12" fillId="0" borderId="0" xfId="16" applyNumberFormat="1" applyFont="1" applyBorder="1"/>
    <xf numFmtId="0" fontId="12" fillId="0" borderId="0" xfId="16" applyFont="1" applyBorder="1"/>
    <xf numFmtId="14" fontId="12" fillId="0" borderId="0" xfId="16" applyNumberFormat="1" applyFont="1" applyBorder="1"/>
    <xf numFmtId="0" fontId="12" fillId="0" borderId="0" xfId="13" applyFont="1" applyBorder="1" applyAlignment="1">
      <alignment wrapText="1"/>
    </xf>
    <xf numFmtId="14" fontId="12" fillId="0" borderId="0" xfId="13" applyNumberFormat="1" applyFont="1" applyBorder="1" applyAlignment="1">
      <alignment wrapText="1"/>
    </xf>
    <xf numFmtId="49" fontId="12" fillId="0" borderId="0" xfId="11" applyNumberFormat="1" applyFont="1" applyBorder="1"/>
    <xf numFmtId="0" fontId="12" fillId="0" borderId="0" xfId="11" applyFont="1" applyBorder="1"/>
    <xf numFmtId="14" fontId="12" fillId="0" borderId="0" xfId="11" applyNumberFormat="1" applyFont="1" applyBorder="1"/>
    <xf numFmtId="49" fontId="12" fillId="0" borderId="0" xfId="2" applyNumberFormat="1" applyFont="1" applyBorder="1"/>
    <xf numFmtId="0" fontId="12" fillId="0" borderId="0" xfId="2" applyFont="1" applyBorder="1"/>
    <xf numFmtId="14" fontId="12" fillId="0" borderId="0" xfId="2" applyNumberFormat="1" applyFont="1" applyBorder="1"/>
    <xf numFmtId="49" fontId="12" fillId="0" borderId="0" xfId="11" applyNumberFormat="1" applyFont="1" applyFill="1" applyBorder="1"/>
    <xf numFmtId="49" fontId="12" fillId="0" borderId="0" xfId="16" applyNumberFormat="1" applyFont="1" applyFill="1" applyBorder="1"/>
    <xf numFmtId="14" fontId="12" fillId="0" borderId="0" xfId="16" applyNumberFormat="1" applyFont="1" applyBorder="1" applyAlignment="1">
      <alignment horizontal="right"/>
    </xf>
    <xf numFmtId="49" fontId="12" fillId="0" borderId="0" xfId="2" applyNumberFormat="1" applyFont="1" applyFill="1" applyBorder="1"/>
    <xf numFmtId="43" fontId="12" fillId="0" borderId="0" xfId="1" applyFont="1" applyFill="1" applyBorder="1"/>
    <xf numFmtId="0" fontId="12" fillId="0" borderId="0" xfId="2" applyFont="1" applyFill="1" applyBorder="1"/>
    <xf numFmtId="14" fontId="12" fillId="0" borderId="0" xfId="2" applyNumberFormat="1" applyFont="1" applyFill="1" applyBorder="1"/>
    <xf numFmtId="49" fontId="12" fillId="0" borderId="0" xfId="19" applyNumberFormat="1" applyFont="1" applyBorder="1"/>
    <xf numFmtId="0" fontId="12" fillId="0" borderId="0" xfId="19" applyFont="1" applyBorder="1"/>
    <xf numFmtId="14" fontId="12" fillId="0" borderId="0" xfId="19" applyNumberFormat="1" applyFont="1" applyBorder="1"/>
    <xf numFmtId="10" fontId="15" fillId="0" borderId="0" xfId="17" applyNumberFormat="1" applyFont="1" applyBorder="1"/>
    <xf numFmtId="43" fontId="15" fillId="0" borderId="7" xfId="1" applyFont="1" applyBorder="1"/>
    <xf numFmtId="10" fontId="15" fillId="0" borderId="0" xfId="17" applyNumberFormat="1" applyFont="1" applyFill="1"/>
    <xf numFmtId="0" fontId="12" fillId="0" borderId="0" xfId="9" applyFont="1" applyFill="1" applyBorder="1"/>
    <xf numFmtId="43" fontId="12" fillId="0" borderId="0" xfId="1" applyFont="1" applyFill="1" applyBorder="1" applyAlignment="1">
      <alignment wrapText="1"/>
    </xf>
    <xf numFmtId="14" fontId="12" fillId="0" borderId="0" xfId="9" applyNumberFormat="1" applyFont="1" applyFill="1" applyBorder="1" applyAlignment="1">
      <alignment wrapText="1"/>
    </xf>
    <xf numFmtId="10" fontId="15" fillId="0" borderId="0" xfId="17" applyNumberFormat="1" applyFont="1"/>
    <xf numFmtId="49" fontId="15" fillId="0" borderId="0" xfId="0" applyNumberFormat="1" applyFont="1" applyBorder="1"/>
    <xf numFmtId="14" fontId="15" fillId="0" borderId="0" xfId="0" applyNumberFormat="1" applyFont="1" applyBorder="1"/>
    <xf numFmtId="49" fontId="15" fillId="0" borderId="0" xfId="0" applyNumberFormat="1" applyFont="1" applyFill="1"/>
    <xf numFmtId="0" fontId="14" fillId="0" borderId="4"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43" fontId="12" fillId="0" borderId="3" xfId="1" applyFont="1" applyFill="1" applyBorder="1"/>
    <xf numFmtId="43" fontId="12" fillId="0" borderId="3" xfId="1" applyFont="1" applyFill="1" applyBorder="1" applyAlignment="1">
      <alignment wrapText="1"/>
    </xf>
    <xf numFmtId="43" fontId="12" fillId="0" borderId="3" xfId="1" applyFont="1" applyFill="1" applyBorder="1" applyAlignment="1"/>
    <xf numFmtId="43" fontId="12" fillId="0" borderId="0" xfId="1" applyFont="1" applyFill="1" applyBorder="1" applyAlignment="1"/>
    <xf numFmtId="0" fontId="13" fillId="0" borderId="1" xfId="9" applyFont="1" applyFill="1" applyBorder="1" applyAlignment="1">
      <alignment horizontal="center" wrapText="1"/>
    </xf>
    <xf numFmtId="43" fontId="13" fillId="0" borderId="1" xfId="1" applyFont="1" applyFill="1" applyBorder="1" applyAlignment="1">
      <alignment horizontal="center" wrapText="1"/>
    </xf>
    <xf numFmtId="43" fontId="13" fillId="0" borderId="1" xfId="1" applyFont="1" applyFill="1" applyBorder="1" applyAlignment="1">
      <alignment horizontal="center"/>
    </xf>
    <xf numFmtId="0" fontId="23" fillId="0" borderId="0" xfId="0" applyFont="1" applyFill="1" applyBorder="1" applyAlignment="1">
      <alignment horizontal="left"/>
    </xf>
    <xf numFmtId="44" fontId="17" fillId="0" borderId="0" xfId="0" applyNumberFormat="1" applyFont="1" applyFill="1"/>
    <xf numFmtId="9" fontId="15" fillId="0" borderId="0" xfId="17" applyFont="1"/>
    <xf numFmtId="44" fontId="17" fillId="0" borderId="0" xfId="0" applyNumberFormat="1" applyFont="1" applyFill="1" applyBorder="1"/>
    <xf numFmtId="43" fontId="15" fillId="0" borderId="7" xfId="1" applyFont="1" applyFill="1" applyBorder="1" applyAlignment="1">
      <alignment horizontal="right"/>
    </xf>
    <xf numFmtId="40" fontId="15" fillId="0" borderId="0" xfId="0" applyNumberFormat="1" applyFont="1"/>
    <xf numFmtId="0" fontId="13" fillId="0" borderId="0" xfId="0" applyFont="1" applyFill="1" applyBorder="1" applyAlignment="1">
      <alignment vertical="center" wrapText="1"/>
    </xf>
    <xf numFmtId="0" fontId="13" fillId="0" borderId="0" xfId="0" applyFont="1" applyFill="1" applyBorder="1"/>
    <xf numFmtId="0" fontId="13" fillId="0" borderId="0" xfId="0" applyFont="1" applyFill="1" applyBorder="1" applyAlignment="1">
      <alignment horizontal="right" vertical="center" wrapText="1"/>
    </xf>
    <xf numFmtId="44" fontId="13" fillId="0" borderId="0" xfId="4" applyFont="1" applyFill="1" applyBorder="1"/>
    <xf numFmtId="0" fontId="13" fillId="0" borderId="0" xfId="0" applyFont="1" applyFill="1" applyBorder="1" applyAlignment="1">
      <alignment horizontal="left" vertical="center" wrapText="1"/>
    </xf>
    <xf numFmtId="43" fontId="15" fillId="0" borderId="36" xfId="1" applyFont="1" applyFill="1" applyBorder="1" applyAlignment="1">
      <alignment horizontal="right"/>
    </xf>
    <xf numFmtId="0" fontId="13" fillId="0" borderId="37" xfId="9" applyFont="1" applyFill="1" applyBorder="1" applyAlignment="1">
      <alignment horizontal="center" wrapText="1"/>
    </xf>
    <xf numFmtId="43" fontId="17" fillId="0" borderId="0" xfId="0" applyNumberFormat="1" applyFont="1" applyFill="1"/>
    <xf numFmtId="0" fontId="16" fillId="0" borderId="0" xfId="0" applyFont="1" applyFill="1" applyBorder="1" applyAlignment="1">
      <alignment wrapText="1"/>
    </xf>
    <xf numFmtId="44" fontId="16" fillId="0" borderId="0" xfId="4" applyFont="1" applyFill="1" applyBorder="1"/>
    <xf numFmtId="0" fontId="16" fillId="0" borderId="4" xfId="0" applyFont="1" applyFill="1" applyBorder="1" applyAlignment="1">
      <alignment horizontal="left" wrapText="1"/>
    </xf>
    <xf numFmtId="44" fontId="16" fillId="0" borderId="19" xfId="0" applyNumberFormat="1" applyFont="1" applyFill="1" applyBorder="1"/>
    <xf numFmtId="0" fontId="16" fillId="0" borderId="4" xfId="0" applyFont="1" applyFill="1" applyBorder="1"/>
    <xf numFmtId="44" fontId="17" fillId="0" borderId="6" xfId="0" applyNumberFormat="1" applyFont="1" applyFill="1" applyBorder="1"/>
    <xf numFmtId="0" fontId="16" fillId="0" borderId="0" xfId="0" applyFont="1" applyFill="1" applyBorder="1"/>
    <xf numFmtId="40" fontId="12" fillId="0" borderId="17" xfId="0" applyNumberFormat="1" applyFont="1" applyFill="1" applyBorder="1" applyAlignment="1">
      <alignment wrapText="1"/>
    </xf>
    <xf numFmtId="0" fontId="16" fillId="0" borderId="0" xfId="0" applyFont="1" applyFill="1" applyAlignment="1">
      <alignment horizontal="center"/>
    </xf>
    <xf numFmtId="0" fontId="16" fillId="0" borderId="0" xfId="0" applyFont="1" applyFill="1" applyAlignment="1">
      <alignment horizontal="center" vertical="top" wrapText="1"/>
    </xf>
    <xf numFmtId="0" fontId="13" fillId="0" borderId="21" xfId="0" applyFont="1" applyFill="1" applyBorder="1" applyAlignment="1">
      <alignment horizontal="left" wrapText="1"/>
    </xf>
    <xf numFmtId="0" fontId="13" fillId="0" borderId="22" xfId="0" applyFont="1" applyFill="1" applyBorder="1" applyAlignment="1">
      <alignment horizontal="left" wrapText="1"/>
    </xf>
    <xf numFmtId="0" fontId="13" fillId="0" borderId="23" xfId="0" applyFont="1" applyFill="1" applyBorder="1" applyAlignment="1">
      <alignment horizontal="left" wrapText="1"/>
    </xf>
    <xf numFmtId="0" fontId="13" fillId="0" borderId="0" xfId="0" applyFont="1" applyBorder="1" applyAlignment="1">
      <alignment horizontal="center" vertical="center" wrapText="1"/>
    </xf>
    <xf numFmtId="0" fontId="13" fillId="0" borderId="0" xfId="0" applyFont="1" applyBorder="1" applyAlignment="1">
      <alignment horizontal="center" wrapText="1"/>
    </xf>
    <xf numFmtId="0" fontId="13" fillId="0" borderId="0" xfId="0" applyFont="1" applyFill="1" applyBorder="1" applyAlignment="1">
      <alignment horizontal="center" wrapText="1"/>
    </xf>
    <xf numFmtId="0" fontId="21" fillId="0" borderId="20" xfId="0" applyFont="1" applyBorder="1" applyAlignment="1">
      <alignment horizontal="left" vertical="center" wrapText="1"/>
    </xf>
    <xf numFmtId="0" fontId="13" fillId="0" borderId="21" xfId="0" applyFont="1" applyBorder="1" applyAlignment="1">
      <alignment horizontal="left" wrapText="1"/>
    </xf>
    <xf numFmtId="0" fontId="13" fillId="0" borderId="22" xfId="0" applyFont="1" applyBorder="1" applyAlignment="1">
      <alignment horizontal="left" wrapText="1"/>
    </xf>
    <xf numFmtId="0" fontId="13" fillId="0" borderId="23" xfId="0" applyFont="1" applyBorder="1" applyAlignment="1">
      <alignment horizontal="left" wrapText="1"/>
    </xf>
    <xf numFmtId="0" fontId="13" fillId="0" borderId="21" xfId="0" applyFont="1" applyFill="1" applyBorder="1" applyAlignment="1">
      <alignment horizontal="right"/>
    </xf>
    <xf numFmtId="0" fontId="13" fillId="0" borderId="23" xfId="0" applyFont="1" applyFill="1" applyBorder="1" applyAlignment="1">
      <alignment horizontal="right"/>
    </xf>
    <xf numFmtId="0" fontId="13" fillId="0" borderId="21" xfId="0" applyFont="1" applyBorder="1" applyAlignment="1">
      <alignment horizontal="right"/>
    </xf>
    <xf numFmtId="0" fontId="13" fillId="0" borderId="23" xfId="0" applyFont="1" applyBorder="1" applyAlignment="1">
      <alignment horizontal="right"/>
    </xf>
    <xf numFmtId="0" fontId="14" fillId="0" borderId="0" xfId="0" applyFont="1" applyFill="1" applyAlignment="1">
      <alignment horizontal="center"/>
    </xf>
    <xf numFmtId="0" fontId="14" fillId="0" borderId="0" xfId="0" applyFont="1" applyFill="1" applyAlignment="1">
      <alignment horizontal="center" vertical="top" wrapText="1"/>
    </xf>
    <xf numFmtId="43" fontId="15" fillId="0" borderId="0" xfId="1" applyFont="1" applyBorder="1" applyAlignment="1">
      <alignment horizontal="center"/>
    </xf>
  </cellXfs>
  <cellStyles count="25">
    <cellStyle name="Comma" xfId="1" builtinId="3"/>
    <cellStyle name="Comma 2" xfId="3"/>
    <cellStyle name="Comma 2 2" xfId="24"/>
    <cellStyle name="Comma 3" xfId="22"/>
    <cellStyle name="Comma 4" xfId="5"/>
    <cellStyle name="Currency" xfId="4" builtinId="4"/>
    <cellStyle name="Currency 2" xfId="10"/>
    <cellStyle name="Currency 3" xfId="14"/>
    <cellStyle name="Currency 4" xfId="15"/>
    <cellStyle name="Currency 5" xfId="18"/>
    <cellStyle name="Normal" xfId="0" builtinId="0"/>
    <cellStyle name="Normal 2" xfId="2"/>
    <cellStyle name="Normal 3" xfId="9"/>
    <cellStyle name="Normal 4" xfId="13"/>
    <cellStyle name="Normal 5" xfId="16"/>
    <cellStyle name="Normal 6" xfId="20"/>
    <cellStyle name="Normal 7" xfId="21"/>
    <cellStyle name="Normal 8" xfId="23"/>
    <cellStyle name="Normal_Sheet3" xfId="19"/>
    <cellStyle name="Normal_TCC AEPSC" xfId="11"/>
    <cellStyle name="Normal_TNC AEPSC" xfId="12"/>
    <cellStyle name="Percent" xfId="17" builtinId="5"/>
    <cellStyle name="PSChar 2 2" xfId="6"/>
    <cellStyle name="PSChar 3" xfId="8"/>
    <cellStyle name="PSDec 2" xfId="7"/>
  </cellStyles>
  <dxfs count="8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35" formatCode="_(* #,##0.00_);_(* \(#,##0.00\);_(* &quot;-&quot;??_);_(@_)"/>
    </dxf>
    <dxf>
      <border>
        <top style="thin">
          <color indexed="64"/>
        </top>
        <bottom style="double">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_(* #,##0_);_(* \(#,##0\);_(* &quot;-&quot;??_);_(@_)"/>
    </dxf>
  </dxfs>
  <tableStyles count="0" defaultTableStyle="TableStyleMedium2" defaultPivotStyle="PivotStyleLight16"/>
  <colors>
    <mruColors>
      <color rgb="FFCCFFCC"/>
      <color rgb="FFCCFFFF"/>
      <color rgb="FFCCFF99"/>
      <color rgb="FF66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273817" refreshedDate="43530.787576504626" createdVersion="4" refreshedVersion="4" minRefreshableVersion="3" recordCount="54">
  <cacheSource type="worksheet">
    <worksheetSource ref="I6:M18" sheet="2017 DCRF 47015"/>
  </cacheSource>
  <cacheFields count="20">
    <cacheField name="GL BU" numFmtId="0">
      <sharedItems containsSemiMixedTypes="0" containsString="0" containsNumber="1" containsInteger="1" minValue="103" maxValue="211" count="2">
        <n v="211"/>
        <n v="103"/>
      </sharedItems>
    </cacheField>
    <cacheField name="Account" numFmtId="0">
      <sharedItems containsSemiMixedTypes="0" containsString="0" containsNumber="1" containsInteger="1" minValue="9280002" maxValue="9280002"/>
    </cacheField>
    <cacheField name="CC" numFmtId="0">
      <sharedItems containsSemiMixedTypes="0" containsString="0" containsNumber="1" containsInteger="1" minValue="260" maxValue="520"/>
    </cacheField>
    <cacheField name="Voucher" numFmtId="0">
      <sharedItems containsSemiMixedTypes="0" containsString="0" containsNumber="1" containsInteger="1" minValue="178556" maxValue="2079294"/>
    </cacheField>
    <cacheField name="Journal ID" numFmtId="0">
      <sharedItems/>
    </cacheField>
    <cacheField name="Journal Date" numFmtId="14">
      <sharedItems containsSemiMixedTypes="0" containsNonDate="0" containsDate="1" containsString="0" minDate="2017-03-23T00:00:00" maxDate="2017-10-25T00:00:00"/>
    </cacheField>
    <cacheField name="Category" numFmtId="14">
      <sharedItems/>
    </cacheField>
    <cacheField name="Desc" numFmtId="14">
      <sharedItems/>
    </cacheField>
    <cacheField name="Vendor" numFmtId="0">
      <sharedItems containsSemiMixedTypes="0" containsString="0" containsNumber="1" containsInteger="1" minValue="93058" maxValue="161803"/>
    </cacheField>
    <cacheField name="Name" numFmtId="0">
      <sharedItems/>
    </cacheField>
    <cacheField name="Amount" numFmtId="40">
      <sharedItems containsSemiMixedTypes="0" containsString="0" containsNumber="1" minValue="-16" maxValue="7329.81"/>
    </cacheField>
    <cacheField name="Adjustment" numFmtId="40">
      <sharedItems containsString="0" containsBlank="1" containsNumber="1" containsInteger="1" minValue="-30" maxValue="-30"/>
    </cacheField>
    <cacheField name="Requested" numFmtId="40">
      <sharedItems containsSemiMixedTypes="0" containsString="0" containsNumber="1" minValue="-16" maxValue="7329.81"/>
    </cacheField>
    <cacheField name="WO" numFmtId="0">
      <sharedItems/>
    </cacheField>
    <cacheField name="Invoice" numFmtId="0">
      <sharedItems containsMixedTypes="1" containsNumber="1" containsInteger="1" minValue="576154348" maxValue="4701597485160"/>
    </cacheField>
    <cacheField name="Invoice date" numFmtId="14">
      <sharedItems containsSemiMixedTypes="0" containsNonDate="0" containsDate="1" containsString="0" minDate="2017-03-23T00:00:00" maxDate="2017-08-15T00:00:00"/>
    </cacheField>
    <cacheField name="Emp. Name" numFmtId="0">
      <sharedItems containsBlank="1"/>
    </cacheField>
    <cacheField name="Exp. No." numFmtId="0">
      <sharedItems containsBlank="1"/>
    </cacheField>
    <cacheField name="Year" numFmtId="0">
      <sharedItems containsSemiMixedTypes="0" containsString="0" containsNumber="1" containsInteger="1" minValue="2017" maxValue="2017"/>
    </cacheField>
    <cacheField name="Perio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273817" refreshedDate="43539.695117939817" createdVersion="4" refreshedVersion="4" minRefreshableVersion="3" recordCount="39">
  <cacheSource type="worksheet">
    <worksheetSource ref="N6:R64" sheet="2018 DCRF 48222 "/>
  </cacheSource>
  <cacheFields count="20">
    <cacheField name="GL BU" numFmtId="0">
      <sharedItems containsMixedTypes="1" containsNumber="1" containsInteger="1" minValue="103" maxValue="211" count="3">
        <n v="211"/>
        <n v="103"/>
        <s v="211"/>
      </sharedItems>
    </cacheField>
    <cacheField name="Account" numFmtId="0">
      <sharedItems containsSemiMixedTypes="0" containsString="0" containsNumber="1" containsInteger="1" minValue="9280002" maxValue="9280002"/>
    </cacheField>
    <cacheField name="CC" numFmtId="0">
      <sharedItems containsMixedTypes="1" containsNumber="1" containsInteger="1" minValue="285" maxValue="933"/>
    </cacheField>
    <cacheField name="Voucher" numFmtId="0">
      <sharedItems containsMixedTypes="1" containsNumber="1" containsInteger="1" minValue="854762" maxValue="2278581"/>
    </cacheField>
    <cacheField name="Journal ID" numFmtId="0">
      <sharedItems/>
    </cacheField>
    <cacheField name="Journal Date" numFmtId="14">
      <sharedItems containsSemiMixedTypes="0" containsNonDate="0" containsDate="1" containsString="0" minDate="2018-03-12T00:00:00" maxDate="2018-10-05T00:00:00"/>
    </cacheField>
    <cacheField name="Category" numFmtId="14">
      <sharedItems/>
    </cacheField>
    <cacheField name="Desc" numFmtId="14">
      <sharedItems/>
    </cacheField>
    <cacheField name="Vendor" numFmtId="0">
      <sharedItems containsMixedTypes="1" containsNumber="1" containsInteger="1" minValue="80046" maxValue="254271"/>
    </cacheField>
    <cacheField name="Name" numFmtId="0">
      <sharedItems/>
    </cacheField>
    <cacheField name="Amount" numFmtId="0">
      <sharedItems containsSemiMixedTypes="0" containsString="0" containsNumber="1" minValue="4.6100000000000003" maxValue="17041"/>
    </cacheField>
    <cacheField name="Adjustment" numFmtId="0">
      <sharedItems containsNonDate="0" containsString="0" containsBlank="1"/>
    </cacheField>
    <cacheField name="Requested" numFmtId="0">
      <sharedItems containsSemiMixedTypes="0" containsString="0" containsNumber="1" minValue="4.6100000000000003" maxValue="17041"/>
    </cacheField>
    <cacheField name="WO" numFmtId="0">
      <sharedItems/>
    </cacheField>
    <cacheField name="Invoice" numFmtId="0">
      <sharedItems containsMixedTypes="1" containsNumber="1" containsInteger="1" minValue="201802" maxValue="201802"/>
    </cacheField>
    <cacheField name="Invoice Date" numFmtId="14">
      <sharedItems containsSemiMixedTypes="0" containsNonDate="0" containsDate="1" containsString="0" minDate="2018-03-12T00:00:00" maxDate="2018-10-05T00:00:00"/>
    </cacheField>
    <cacheField name="Emp. Name" numFmtId="0">
      <sharedItems containsBlank="1"/>
    </cacheField>
    <cacheField name="Exp. No." numFmtId="0">
      <sharedItems containsBlank="1"/>
    </cacheField>
    <cacheField name="Year" numFmtId="0">
      <sharedItems containsSemiMixedTypes="0" containsString="0" containsNumber="1" containsInteger="1" minValue="2018" maxValue="2018"/>
    </cacheField>
    <cacheField name="Period" numFmtId="0">
      <sharedItems containsMixedTypes="1" containsNumber="1" containsInteger="1" minValue="9"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4">
  <r>
    <x v="0"/>
    <n v="9280002"/>
    <n v="510"/>
    <n v="2054773"/>
    <s v="APACC54100"/>
    <d v="2017-03-23T00:00:00"/>
    <s v="employee"/>
    <s v="parking"/>
    <n v="161803"/>
    <s v="BANK OF AMERICA"/>
    <n v="5"/>
    <m/>
    <n v="5"/>
    <s v="UTX17DCR01"/>
    <s v="0000183308EX0000432404"/>
    <d v="2017-03-23T00:00:00"/>
    <s v="STEWIEN, CAROL J"/>
    <s v="EX0000432404"/>
    <n v="2017"/>
    <s v="(03) Mar"/>
  </r>
  <r>
    <x v="0"/>
    <n v="9280002"/>
    <n v="520"/>
    <n v="178556"/>
    <s v="APACC68297"/>
    <d v="2017-04-19T00:00:00"/>
    <s v="other"/>
    <s v="postage"/>
    <n v="109159"/>
    <s v="FEDEX"/>
    <n v="19.09"/>
    <m/>
    <n v="19.09"/>
    <s v="UTX17DCR01"/>
    <n v="576921009"/>
    <d v="2017-04-13T00:00:00"/>
    <m/>
    <m/>
    <n v="2017"/>
    <s v="(04) Apr"/>
  </r>
  <r>
    <x v="0"/>
    <n v="9280002"/>
    <n v="520"/>
    <n v="794435"/>
    <s v="APACC67030"/>
    <d v="2017-04-17T00:00:00"/>
    <s v="other"/>
    <s v="postage"/>
    <n v="109159"/>
    <s v="FEDEX"/>
    <n v="4294.96"/>
    <m/>
    <n v="4294.96"/>
    <s v="UTX17DCR01"/>
    <n v="576154348"/>
    <d v="2017-04-06T00:00:00"/>
    <m/>
    <m/>
    <n v="2017"/>
    <s v="(04) Apr"/>
  </r>
  <r>
    <x v="1"/>
    <n v="9280002"/>
    <n v="510"/>
    <n v="2062408"/>
    <s v="APACC62407"/>
    <d v="2017-04-06T00:00:00"/>
    <s v="employee"/>
    <s v="personal mileage"/>
    <n v="93058"/>
    <s v="TOUNGATE, JAY E"/>
    <n v="251.45"/>
    <m/>
    <n v="251.45"/>
    <s v="SPX17DCR01"/>
    <s v="0000093058EX0000438248"/>
    <d v="2017-04-05T00:00:00"/>
    <s v="TOUNGATE, JAY E"/>
    <s v="EX0000438248"/>
    <n v="2017"/>
    <s v="(04) Apr"/>
  </r>
  <r>
    <x v="1"/>
    <n v="9280002"/>
    <n v="520"/>
    <n v="2062408"/>
    <s v="APACC62407"/>
    <d v="2017-04-06T00:00:00"/>
    <s v="employee"/>
    <s v="meal-self"/>
    <n v="93058"/>
    <s v="TOUNGATE, JAY E"/>
    <n v="24.16"/>
    <m/>
    <n v="24.16"/>
    <s v="SPX17DCR01"/>
    <s v="0000093058EX0000438248"/>
    <d v="2017-04-05T00:00:00"/>
    <s v="TOUNGATE, JAY E"/>
    <s v="EX0000438248"/>
    <n v="2017"/>
    <s v="(04) Apr"/>
  </r>
  <r>
    <x v="1"/>
    <n v="9280002"/>
    <n v="520"/>
    <n v="2062408"/>
    <s v="APACC62407"/>
    <d v="2017-04-06T00:00:00"/>
    <s v="employee"/>
    <s v="meal-self"/>
    <n v="93058"/>
    <s v="TOUNGATE, JAY E"/>
    <n v="12.5"/>
    <m/>
    <n v="12.5"/>
    <s v="SPX17DCR01"/>
    <s v="0000093058EX0000438248"/>
    <d v="2017-04-05T00:00:00"/>
    <s v="TOUNGATE, JAY E"/>
    <s v="EX0000438248"/>
    <n v="2017"/>
    <s v="(04) Apr"/>
  </r>
  <r>
    <x v="1"/>
    <n v="9280002"/>
    <n v="520"/>
    <n v="2062408"/>
    <s v="APACC62407"/>
    <d v="2017-04-06T00:00:00"/>
    <s v="employee"/>
    <s v="meal-self"/>
    <n v="93058"/>
    <s v="TOUNGATE, JAY E"/>
    <n v="10.7"/>
    <m/>
    <n v="10.7"/>
    <s v="SPX17DCR01"/>
    <s v="0000093058EX0000438248"/>
    <d v="2017-04-05T00:00:00"/>
    <s v="TOUNGATE, JAY E"/>
    <s v="EX0000438248"/>
    <n v="2017"/>
    <s v="(04) Apr"/>
  </r>
  <r>
    <x v="1"/>
    <n v="9280002"/>
    <n v="510"/>
    <n v="2062409"/>
    <s v="APACC62407"/>
    <d v="2017-04-06T00:00:00"/>
    <s v="employee"/>
    <s v="parking"/>
    <n v="161803"/>
    <s v="BANK OF AMERICA"/>
    <n v="15"/>
    <m/>
    <n v="15"/>
    <s v="SPX17DCR01"/>
    <s v="0000093058EX0000438248"/>
    <d v="2017-04-05T00:00:00"/>
    <s v="TOUNGATE, JAY E"/>
    <s v="EX0000438248"/>
    <n v="2017"/>
    <s v="(04) Apr"/>
  </r>
  <r>
    <x v="1"/>
    <n v="9280002"/>
    <n v="510"/>
    <n v="2062409"/>
    <s v="APACC62407"/>
    <d v="2017-04-06T00:00:00"/>
    <s v="employee"/>
    <s v="parking"/>
    <n v="161803"/>
    <s v="BANK OF AMERICA"/>
    <n v="5"/>
    <m/>
    <n v="5"/>
    <s v="SPX17DCR01"/>
    <s v="0000093058EX0000438248"/>
    <d v="2017-04-05T00:00:00"/>
    <s v="TOUNGATE, JAY E"/>
    <s v="EX0000438248"/>
    <n v="2017"/>
    <s v="(04) Apr"/>
  </r>
  <r>
    <x v="1"/>
    <n v="9280002"/>
    <n v="510"/>
    <n v="2062409"/>
    <s v="APACC62407"/>
    <d v="2017-04-06T00:00:00"/>
    <s v="employee"/>
    <s v="parking"/>
    <n v="161803"/>
    <s v="BANK OF AMERICA"/>
    <n v="15"/>
    <m/>
    <n v="15"/>
    <s v="SPX17DCR01"/>
    <s v="0000093058EX0000438248"/>
    <d v="2017-04-05T00:00:00"/>
    <s v="TOUNGATE, JAY E"/>
    <s v="EX0000438248"/>
    <n v="2017"/>
    <s v="(04) Apr"/>
  </r>
  <r>
    <x v="1"/>
    <n v="9280002"/>
    <n v="510"/>
    <n v="2062409"/>
    <s v="APACC62407"/>
    <d v="2017-04-06T00:00:00"/>
    <s v="employee"/>
    <s v="parking"/>
    <n v="161803"/>
    <s v="BANK OF AMERICA"/>
    <n v="5"/>
    <m/>
    <n v="5"/>
    <s v="SPX17DCR01"/>
    <s v="0000093058EX0000438248"/>
    <d v="2017-04-05T00:00:00"/>
    <s v="TOUNGATE, JAY E"/>
    <s v="EX0000438248"/>
    <n v="2017"/>
    <s v="(04) Apr"/>
  </r>
  <r>
    <x v="1"/>
    <n v="9280002"/>
    <n v="520"/>
    <n v="2062409"/>
    <s v="APACC62407"/>
    <d v="2017-04-06T00:00:00"/>
    <s v="employee"/>
    <s v="meal-self"/>
    <n v="161803"/>
    <s v="BANK OF AMERICA"/>
    <n v="22.35"/>
    <m/>
    <n v="22.35"/>
    <s v="SPX17DCR01"/>
    <s v="0000093058EX0000438248"/>
    <d v="2017-04-05T00:00:00"/>
    <s v="TOUNGATE, JAY E"/>
    <s v="EX0000438248"/>
    <n v="2017"/>
    <s v="(04) Apr"/>
  </r>
  <r>
    <x v="1"/>
    <n v="9280002"/>
    <n v="520"/>
    <n v="2062409"/>
    <s v="APACC62407"/>
    <d v="2017-04-06T00:00:00"/>
    <s v="employee"/>
    <s v="meal-self"/>
    <n v="161803"/>
    <s v="BANK OF AMERICA"/>
    <n v="6.48"/>
    <m/>
    <n v="6.48"/>
    <s v="SPX17DCR01"/>
    <s v="0000093058EX0000438248"/>
    <d v="2017-04-05T00:00:00"/>
    <s v="TOUNGATE, JAY E"/>
    <s v="EX0000438248"/>
    <n v="2017"/>
    <s v="(04) Apr"/>
  </r>
  <r>
    <x v="1"/>
    <n v="9280002"/>
    <n v="520"/>
    <n v="2062409"/>
    <s v="APACC62407"/>
    <d v="2017-04-06T00:00:00"/>
    <s v="employee"/>
    <s v="meal-self"/>
    <n v="161803"/>
    <s v="BANK OF AMERICA"/>
    <n v="18.64"/>
    <m/>
    <n v="18.64"/>
    <s v="SPX17DCR01"/>
    <s v="0000093058EX0000438248"/>
    <d v="2017-04-05T00:00:00"/>
    <s v="TOUNGATE, JAY E"/>
    <s v="EX0000438248"/>
    <n v="2017"/>
    <s v="(04) Apr"/>
  </r>
  <r>
    <x v="1"/>
    <n v="9280002"/>
    <n v="520"/>
    <n v="2062409"/>
    <s v="APACC62407"/>
    <d v="2017-04-06T00:00:00"/>
    <s v="employee"/>
    <s v="meal-business"/>
    <n v="161803"/>
    <s v="BANK OF AMERICA"/>
    <n v="28.32"/>
    <m/>
    <n v="28.32"/>
    <s v="SPX17DCR01"/>
    <s v="0000093058EX0000438248"/>
    <d v="2017-04-05T00:00:00"/>
    <s v="TOUNGATE, JAY E"/>
    <s v="EX0000438248"/>
    <n v="2017"/>
    <s v="(04) Apr"/>
  </r>
  <r>
    <x v="1"/>
    <n v="9280002"/>
    <n v="520"/>
    <n v="2062409"/>
    <s v="APACC62407"/>
    <d v="2017-04-06T00:00:00"/>
    <s v="employee"/>
    <s v="meal-self"/>
    <n v="161803"/>
    <s v="BANK OF AMERICA"/>
    <n v="31.06"/>
    <m/>
    <n v="31.06"/>
    <s v="SPX17DCR01"/>
    <s v="0000093058EX0000438248"/>
    <d v="2017-04-05T00:00:00"/>
    <s v="TOUNGATE, JAY E"/>
    <s v="EX0000438248"/>
    <n v="2017"/>
    <s v="(04) Apr"/>
  </r>
  <r>
    <x v="1"/>
    <n v="9280002"/>
    <n v="520"/>
    <n v="2062409"/>
    <s v="APACC62407"/>
    <d v="2017-04-06T00:00:00"/>
    <s v="employee"/>
    <s v="meal-business"/>
    <n v="161803"/>
    <s v="BANK OF AMERICA"/>
    <n v="33.57"/>
    <m/>
    <n v="33.57"/>
    <s v="SPX17DCR01"/>
    <s v="0000093058EX0000438248"/>
    <d v="2017-04-05T00:00:00"/>
    <s v="TOUNGATE, JAY E"/>
    <s v="EX0000438248"/>
    <n v="2017"/>
    <s v="(04) Apr"/>
  </r>
  <r>
    <x v="1"/>
    <n v="9280002"/>
    <n v="520"/>
    <n v="2062409"/>
    <s v="APACC62407"/>
    <d v="2017-04-06T00:00:00"/>
    <s v="employee"/>
    <s v="meal-self"/>
    <n v="161803"/>
    <s v="BANK OF AMERICA"/>
    <n v="14.17"/>
    <m/>
    <n v="14.17"/>
    <s v="SPX17DCR01"/>
    <s v="0000093058EX0000438248"/>
    <d v="2017-04-05T00:00:00"/>
    <s v="TOUNGATE, JAY E"/>
    <s v="EX0000438248"/>
    <n v="2017"/>
    <s v="(04) Apr"/>
  </r>
  <r>
    <x v="1"/>
    <n v="9280002"/>
    <n v="510"/>
    <n v="2079293"/>
    <s v="APACC84286"/>
    <d v="2017-05-18T00:00:00"/>
    <s v="employee"/>
    <s v="personal mileage"/>
    <n v="93058"/>
    <s v="TOUNGATE, JAY E"/>
    <n v="13.91"/>
    <m/>
    <n v="13.91"/>
    <s v="SPX17DCR01"/>
    <s v="0000093058EX0000456925"/>
    <d v="2017-05-18T00:00:00"/>
    <s v="TOUNGATE, JAY E"/>
    <s v="EX0000456925"/>
    <n v="2017"/>
    <s v="(05) May"/>
  </r>
  <r>
    <x v="1"/>
    <n v="9280002"/>
    <n v="510"/>
    <n v="2079293"/>
    <s v="APACC84286"/>
    <d v="2017-05-18T00:00:00"/>
    <s v="employee"/>
    <s v="personal mileage"/>
    <n v="93058"/>
    <s v="TOUNGATE, JAY E"/>
    <n v="13.91"/>
    <m/>
    <n v="13.91"/>
    <s v="SPX17DCR01"/>
    <s v="0000093058EX0000456925"/>
    <d v="2017-05-18T00:00:00"/>
    <s v="TOUNGATE, JAY E"/>
    <s v="EX0000456925"/>
    <n v="2017"/>
    <s v="(05) May"/>
  </r>
  <r>
    <x v="1"/>
    <n v="9280002"/>
    <n v="520"/>
    <n v="2079294"/>
    <s v="APACC84286"/>
    <d v="2017-05-18T00:00:00"/>
    <s v="employee"/>
    <s v="meal-self"/>
    <n v="161803"/>
    <s v="BANK OF AMERICA"/>
    <n v="13"/>
    <m/>
    <n v="13"/>
    <s v="SPX17DCR01"/>
    <s v="0000093058EX0000456925"/>
    <d v="2017-05-18T00:00:00"/>
    <s v="TOUNGATE, JAY E"/>
    <s v="EX0000456925"/>
    <n v="2017"/>
    <s v="(05) May"/>
  </r>
  <r>
    <x v="1"/>
    <n v="9280002"/>
    <n v="520"/>
    <n v="2079294"/>
    <s v="APACC84286"/>
    <d v="2017-05-18T00:00:00"/>
    <s v="employee"/>
    <s v="meal-self"/>
    <n v="161803"/>
    <s v="BANK OF AMERICA"/>
    <n v="20.27"/>
    <m/>
    <n v="20.27"/>
    <s v="SPX17DCR01"/>
    <s v="0000093058EX0000456925"/>
    <d v="2017-05-18T00:00:00"/>
    <s v="TOUNGATE, JAY E"/>
    <s v="EX0000456925"/>
    <n v="2017"/>
    <s v="(05) May"/>
  </r>
  <r>
    <x v="1"/>
    <n v="9280002"/>
    <n v="520"/>
    <n v="2079294"/>
    <s v="APACC84286"/>
    <d v="2017-05-18T00:00:00"/>
    <s v="employee"/>
    <s v="meal-business"/>
    <n v="161803"/>
    <s v="BANK OF AMERICA"/>
    <n v="55.65"/>
    <m/>
    <n v="55.65"/>
    <s v="SPX17DCR01"/>
    <s v="0000093058EX0000456925"/>
    <d v="2017-05-18T00:00:00"/>
    <s v="TOUNGATE, JAY E"/>
    <s v="EX0000456925"/>
    <n v="2017"/>
    <s v="(05) May"/>
  </r>
  <r>
    <x v="1"/>
    <n v="9280002"/>
    <n v="520"/>
    <n v="2079294"/>
    <s v="APACC84286"/>
    <d v="2017-05-18T00:00:00"/>
    <s v="employee"/>
    <s v="meal-self"/>
    <n v="161803"/>
    <s v="BANK OF AMERICA"/>
    <n v="26"/>
    <m/>
    <n v="26"/>
    <s v="SPX17DCR01"/>
    <s v="0000093058EX0000456925"/>
    <d v="2017-05-18T00:00:00"/>
    <s v="TOUNGATE, JAY E"/>
    <s v="EX0000456925"/>
    <n v="2017"/>
    <s v="(05) May"/>
  </r>
  <r>
    <x v="1"/>
    <n v="9280002"/>
    <n v="520"/>
    <n v="2079294"/>
    <s v="APACC84286"/>
    <d v="2017-05-18T00:00:00"/>
    <s v="employee"/>
    <s v="meal-self"/>
    <n v="161803"/>
    <s v="BANK OF AMERICA"/>
    <n v="9.06"/>
    <m/>
    <n v="9.06"/>
    <s v="SPX17DCR01"/>
    <s v="0000093058EX0000456925"/>
    <d v="2017-05-18T00:00:00"/>
    <s v="TOUNGATE, JAY E"/>
    <s v="EX0000456925"/>
    <n v="2017"/>
    <s v="(05) May"/>
  </r>
  <r>
    <x v="1"/>
    <n v="9280002"/>
    <n v="520"/>
    <n v="2079294"/>
    <s v="APACC84286"/>
    <d v="2017-05-18T00:00:00"/>
    <s v="employee"/>
    <s v="meal-self"/>
    <n v="161803"/>
    <s v="BANK OF AMERICA"/>
    <n v="16.78"/>
    <m/>
    <n v="16.78"/>
    <s v="SPX17DCR01"/>
    <s v="0000093058EX0000456925"/>
    <d v="2017-05-18T00:00:00"/>
    <s v="TOUNGATE, JAY E"/>
    <s v="EX0000456925"/>
    <n v="2017"/>
    <s v="(05) May"/>
  </r>
  <r>
    <x v="1"/>
    <n v="9280002"/>
    <n v="520"/>
    <n v="2079294"/>
    <s v="APACC84286"/>
    <d v="2017-05-18T00:00:00"/>
    <s v="employee"/>
    <s v="meal-self"/>
    <n v="161803"/>
    <s v="BANK OF AMERICA"/>
    <n v="23.54"/>
    <m/>
    <n v="23.54"/>
    <s v="SPX17DCR01"/>
    <s v="0000093058EX0000456925"/>
    <d v="2017-05-18T00:00:00"/>
    <s v="TOUNGATE, JAY E"/>
    <s v="EX0000456925"/>
    <n v="2017"/>
    <s v="(05) May"/>
  </r>
  <r>
    <x v="1"/>
    <n v="9280002"/>
    <n v="520"/>
    <n v="2079294"/>
    <s v="APACC84286"/>
    <d v="2017-05-18T00:00:00"/>
    <s v="employee"/>
    <s v="meal-self"/>
    <n v="161803"/>
    <s v="BANK OF AMERICA"/>
    <n v="16.21"/>
    <m/>
    <n v="16.21"/>
    <s v="SPX17DCR01"/>
    <s v="0000093058EX0000456925"/>
    <d v="2017-05-18T00:00:00"/>
    <s v="TOUNGATE, JAY E"/>
    <s v="EX0000456925"/>
    <n v="2017"/>
    <s v="(05) May"/>
  </r>
  <r>
    <x v="1"/>
    <n v="9280002"/>
    <n v="520"/>
    <n v="2079294"/>
    <s v="APACC84286"/>
    <d v="2017-05-18T00:00:00"/>
    <s v="employee"/>
    <s v="meal-self"/>
    <n v="161803"/>
    <s v="BANK OF AMERICA"/>
    <n v="7.77"/>
    <m/>
    <n v="7.77"/>
    <s v="SPX17DCR01"/>
    <s v="0000093058EX0000456925"/>
    <d v="2017-05-18T00:00:00"/>
    <s v="TOUNGATE, JAY E"/>
    <s v="EX0000456925"/>
    <n v="2017"/>
    <s v="(05) May"/>
  </r>
  <r>
    <x v="1"/>
    <n v="9280002"/>
    <n v="510"/>
    <n v="2079294"/>
    <s v="APACC84286"/>
    <d v="2017-05-18T00:00:00"/>
    <s v="employee"/>
    <s v="parking"/>
    <n v="161803"/>
    <s v="BANK OF AMERICA"/>
    <n v="5"/>
    <m/>
    <n v="5"/>
    <s v="SPX17DCR01"/>
    <s v="0000093058EX0000456925"/>
    <d v="2017-05-18T00:00:00"/>
    <s v="TOUNGATE, JAY E"/>
    <s v="EX0000456925"/>
    <n v="2017"/>
    <s v="(05) May"/>
  </r>
  <r>
    <x v="1"/>
    <n v="9280002"/>
    <n v="510"/>
    <n v="2079294"/>
    <s v="APACC84286"/>
    <d v="2017-05-18T00:00:00"/>
    <s v="employee"/>
    <s v="hotel"/>
    <n v="161803"/>
    <s v="BANK OF AMERICA"/>
    <n v="1285"/>
    <m/>
    <n v="1285"/>
    <s v="SPX17DCR01"/>
    <s v="0000093058EX0000456925"/>
    <d v="2017-05-18T00:00:00"/>
    <s v="TOUNGATE, JAY E"/>
    <s v="EX0000456925"/>
    <n v="2017"/>
    <s v="(05) May"/>
  </r>
  <r>
    <x v="1"/>
    <n v="9280002"/>
    <n v="510"/>
    <n v="2079294"/>
    <s v="APACC84286"/>
    <d v="2017-05-18T00:00:00"/>
    <s v="employee"/>
    <s v="sales tax"/>
    <n v="161803"/>
    <s v="BANK OF AMERICA"/>
    <n v="12.4"/>
    <m/>
    <n v="12.4"/>
    <s v="SPX17DCR01"/>
    <s v="0000093058EX0000456925"/>
    <d v="2017-05-18T00:00:00"/>
    <s v="TOUNGATE, JAY E"/>
    <s v="EX0000456925"/>
    <n v="2017"/>
    <s v="(05) May"/>
  </r>
  <r>
    <x v="1"/>
    <n v="9280002"/>
    <n v="510"/>
    <n v="2079294"/>
    <s v="APACC84286"/>
    <d v="2017-05-18T00:00:00"/>
    <s v="employee"/>
    <s v="state tax"/>
    <n v="161803"/>
    <s v="BANK OF AMERICA"/>
    <n v="77.099999999999994"/>
    <m/>
    <n v="77.099999999999994"/>
    <s v="SPX17DCR01"/>
    <s v="0000093058EX0000456925"/>
    <d v="2017-05-18T00:00:00"/>
    <s v="TOUNGATE, JAY E"/>
    <s v="EX0000456925"/>
    <n v="2017"/>
    <s v="(05) May"/>
  </r>
  <r>
    <x v="1"/>
    <n v="9280002"/>
    <n v="510"/>
    <n v="2079294"/>
    <s v="APACC84286"/>
    <d v="2017-05-18T00:00:00"/>
    <s v="employee"/>
    <s v="city tax"/>
    <n v="161803"/>
    <s v="BANK OF AMERICA"/>
    <n v="115.65"/>
    <m/>
    <n v="115.65"/>
    <s v="SPX17DCR01"/>
    <s v="0000093058EX0000456925"/>
    <d v="2017-05-18T00:00:00"/>
    <s v="TOUNGATE, JAY E"/>
    <s v="EX0000456925"/>
    <n v="2017"/>
    <s v="(05) May"/>
  </r>
  <r>
    <x v="1"/>
    <n v="9280002"/>
    <n v="510"/>
    <n v="2079294"/>
    <s v="APACC84286"/>
    <d v="2017-05-18T00:00:00"/>
    <s v="employee"/>
    <s v="parking"/>
    <n v="161803"/>
    <s v="BANK OF AMERICA"/>
    <n v="150"/>
    <m/>
    <n v="150"/>
    <s v="SPX17DCR01"/>
    <s v="0000093058EX0000456925"/>
    <d v="2017-05-18T00:00:00"/>
    <s v="TOUNGATE, JAY E"/>
    <s v="EX0000456925"/>
    <n v="2017"/>
    <s v="(05) May"/>
  </r>
  <r>
    <x v="1"/>
    <n v="9280002"/>
    <n v="510"/>
    <n v="2079294"/>
    <s v="APACC84286"/>
    <d v="2017-05-18T00:00:00"/>
    <s v="employee"/>
    <s v="airfare"/>
    <n v="161803"/>
    <s v="BANK OF AMERICA"/>
    <n v="477.96"/>
    <m/>
    <n v="477.96"/>
    <s v="SPX17DCR01"/>
    <s v="0000093058EX0000456925"/>
    <d v="2017-05-18T00:00:00"/>
    <s v="TOUNGATE, JAY E"/>
    <s v="EX0000456925"/>
    <n v="2017"/>
    <s v="(05) May"/>
  </r>
  <r>
    <x v="1"/>
    <n v="9280002"/>
    <n v="510"/>
    <n v="2079294"/>
    <s v="APACC84286"/>
    <d v="2017-05-18T00:00:00"/>
    <s v="employee"/>
    <s v="car rental"/>
    <n v="161803"/>
    <s v="BANK OF AMERICA"/>
    <n v="51.3"/>
    <m/>
    <n v="51.3"/>
    <s v="SPX17DCR01"/>
    <s v="0000093058EX0000456925"/>
    <d v="2017-05-18T00:00:00"/>
    <s v="TOUNGATE, JAY E"/>
    <s v="EX0000456925"/>
    <n v="2017"/>
    <s v="(05) May"/>
  </r>
  <r>
    <x v="1"/>
    <n v="9280002"/>
    <n v="510"/>
    <n v="2079294"/>
    <s v="APACC84286"/>
    <d v="2017-05-18T00:00:00"/>
    <s v="employee"/>
    <s v="parking"/>
    <n v="161803"/>
    <s v="BANK OF AMERICA"/>
    <n v="17"/>
    <m/>
    <n v="17"/>
    <s v="SPX17DCR01"/>
    <s v="0000093058EX0000456925"/>
    <d v="2017-05-18T00:00:00"/>
    <s v="TOUNGATE, JAY E"/>
    <s v="EX0000456925"/>
    <n v="2017"/>
    <s v="(05) May"/>
  </r>
  <r>
    <x v="1"/>
    <n v="9280002"/>
    <n v="510"/>
    <n v="2079294"/>
    <s v="APACC84286"/>
    <d v="2017-05-18T00:00:00"/>
    <s v="employee"/>
    <s v="hotel"/>
    <n v="161803"/>
    <s v="BANK OF AMERICA"/>
    <n v="194"/>
    <m/>
    <n v="194"/>
    <s v="SPX17DCR01"/>
    <s v="0000093058EX0000456925"/>
    <d v="2017-05-18T00:00:00"/>
    <s v="TOUNGATE, JAY E"/>
    <s v="EX0000456925"/>
    <n v="2017"/>
    <s v="(05) May"/>
  </r>
  <r>
    <x v="1"/>
    <n v="9280002"/>
    <n v="510"/>
    <n v="2079294"/>
    <s v="APACC84286"/>
    <d v="2017-05-18T00:00:00"/>
    <s v="employee"/>
    <s v="state tax"/>
    <n v="161803"/>
    <s v="BANK OF AMERICA"/>
    <n v="11.64"/>
    <m/>
    <n v="11.64"/>
    <s v="SPX17DCR01"/>
    <s v="0000093058EX0000456925"/>
    <d v="2017-05-18T00:00:00"/>
    <s v="TOUNGATE, JAY E"/>
    <s v="EX0000456925"/>
    <n v="2017"/>
    <s v="(05) May"/>
  </r>
  <r>
    <x v="1"/>
    <n v="9280002"/>
    <n v="510"/>
    <n v="2079294"/>
    <s v="APACC84286"/>
    <d v="2017-05-18T00:00:00"/>
    <s v="employee"/>
    <s v="city tax"/>
    <n v="161803"/>
    <s v="BANK OF AMERICA"/>
    <n v="17.46"/>
    <m/>
    <n v="17.46"/>
    <s v="SPX17DCR01"/>
    <s v="0000093058EX0000456925"/>
    <d v="2017-05-18T00:00:00"/>
    <s v="TOUNGATE, JAY E"/>
    <s v="EX0000456925"/>
    <n v="2017"/>
    <s v="(05) May"/>
  </r>
  <r>
    <x v="1"/>
    <n v="9280002"/>
    <n v="510"/>
    <n v="2079294"/>
    <s v="APACC84286"/>
    <d v="2017-05-18T00:00:00"/>
    <s v="employee"/>
    <s v="parking"/>
    <n v="161803"/>
    <s v="BANK OF AMERICA"/>
    <n v="15"/>
    <m/>
    <n v="15"/>
    <s v="SPX17DCR01"/>
    <s v="0000093058EX0000456925"/>
    <d v="2017-05-18T00:00:00"/>
    <s v="TOUNGATE, JAY E"/>
    <s v="EX0000456925"/>
    <n v="2017"/>
    <s v="(05) May"/>
  </r>
  <r>
    <x v="1"/>
    <n v="9280002"/>
    <n v="510"/>
    <n v="2079294"/>
    <s v="APACC84286"/>
    <d v="2017-05-18T00:00:00"/>
    <s v="employee"/>
    <s v="airfare"/>
    <n v="161803"/>
    <s v="BANK OF AMERICA"/>
    <n v="477.96"/>
    <m/>
    <n v="477.96"/>
    <s v="SPX17DCR01"/>
    <s v="0000093058EX0000456925"/>
    <d v="2017-05-18T00:00:00"/>
    <s v="TOUNGATE, JAY E"/>
    <s v="EX0000456925"/>
    <n v="2017"/>
    <s v="(05) May"/>
  </r>
  <r>
    <x v="1"/>
    <n v="9280002"/>
    <n v="510"/>
    <n v="2079294"/>
    <s v="APACC84286"/>
    <d v="2017-05-18T00:00:00"/>
    <s v="employee"/>
    <s v="car rental"/>
    <n v="161803"/>
    <s v="BANK OF AMERICA"/>
    <n v="102.59"/>
    <m/>
    <n v="102.59"/>
    <s v="SPX17DCR01"/>
    <s v="0000093058EX0000456925"/>
    <d v="2017-05-18T00:00:00"/>
    <s v="TOUNGATE, JAY E"/>
    <s v="EX0000456925"/>
    <n v="2017"/>
    <s v="(05) May"/>
  </r>
  <r>
    <x v="1"/>
    <n v="9280002"/>
    <n v="510"/>
    <n v="2079294"/>
    <s v="APACC84286"/>
    <d v="2017-05-18T00:00:00"/>
    <s v="employee"/>
    <s v="parking"/>
    <n v="161803"/>
    <s v="BANK OF AMERICA"/>
    <n v="34"/>
    <m/>
    <n v="34"/>
    <s v="SPX17DCR01"/>
    <s v="0000093058EX0000456925"/>
    <d v="2017-05-18T00:00:00"/>
    <s v="TOUNGATE, JAY E"/>
    <s v="EX0000456925"/>
    <n v="2017"/>
    <s v="(05) May"/>
  </r>
  <r>
    <x v="1"/>
    <n v="9280002"/>
    <n v="510"/>
    <n v="2079294"/>
    <s v="APACC84286"/>
    <d v="2017-05-18T00:00:00"/>
    <s v="employee"/>
    <s v="hotel"/>
    <n v="161803"/>
    <s v="BANK OF AMERICA"/>
    <n v="229"/>
    <m/>
    <n v="229"/>
    <s v="SPX17DCR01"/>
    <s v="0000093058EX0000456925"/>
    <d v="2017-05-18T00:00:00"/>
    <s v="TOUNGATE, JAY E"/>
    <s v="EX0000456925"/>
    <n v="2017"/>
    <s v="(05) May"/>
  </r>
  <r>
    <x v="1"/>
    <n v="9280002"/>
    <n v="510"/>
    <n v="2079294"/>
    <s v="APACC84286"/>
    <d v="2017-05-18T00:00:00"/>
    <s v="employee"/>
    <s v="state tax"/>
    <n v="161803"/>
    <s v="BANK OF AMERICA"/>
    <n v="13.74"/>
    <m/>
    <n v="13.74"/>
    <s v="SPX17DCR01"/>
    <s v="0000093058EX0000456925"/>
    <d v="2017-05-18T00:00:00"/>
    <s v="TOUNGATE, JAY E"/>
    <s v="EX0000456925"/>
    <n v="2017"/>
    <s v="(05) May"/>
  </r>
  <r>
    <x v="1"/>
    <n v="9280002"/>
    <n v="510"/>
    <n v="2079294"/>
    <s v="APACC84286"/>
    <d v="2017-05-18T00:00:00"/>
    <s v="employee"/>
    <s v="city tax"/>
    <n v="161803"/>
    <s v="BANK OF AMERICA"/>
    <n v="20.61"/>
    <m/>
    <n v="20.61"/>
    <s v="SPX17DCR01"/>
    <s v="0000093058EX0000456925"/>
    <d v="2017-05-18T00:00:00"/>
    <s v="TOUNGATE, JAY E"/>
    <s v="EX0000456925"/>
    <n v="2017"/>
    <s v="(05) May"/>
  </r>
  <r>
    <x v="1"/>
    <n v="9280002"/>
    <n v="510"/>
    <n v="2079294"/>
    <s v="APACC84286"/>
    <d v="2017-05-18T00:00:00"/>
    <s v="employee"/>
    <s v="parking"/>
    <n v="161803"/>
    <s v="BANK OF AMERICA"/>
    <n v="30"/>
    <n v="-30"/>
    <n v="0"/>
    <s v="SPX17DCR01"/>
    <s v="0000093058EX0000456925"/>
    <d v="2017-05-18T00:00:00"/>
    <s v="TOUNGATE, JAY E"/>
    <s v="EX0000456925"/>
    <n v="2017"/>
    <s v="(05) May"/>
  </r>
  <r>
    <x v="1"/>
    <n v="9280002"/>
    <n v="510"/>
    <n v="2079294"/>
    <s v="APACC84286"/>
    <d v="2017-05-18T00:00:00"/>
    <s v="employee"/>
    <s v="airfare"/>
    <n v="161803"/>
    <s v="BANK OF AMERICA"/>
    <n v="-16"/>
    <m/>
    <n v="-16"/>
    <s v="SPX17DCR01"/>
    <s v="0000093058EX0000456925"/>
    <d v="2017-05-18T00:00:00"/>
    <s v="TOUNGATE, JAY E"/>
    <s v="EX0000456925"/>
    <n v="2017"/>
    <s v="(05) May"/>
  </r>
  <r>
    <x v="0"/>
    <n v="9280002"/>
    <n v="260"/>
    <n v="804669"/>
    <s v="APACC98853"/>
    <d v="2017-06-15T00:00:00"/>
    <s v="cities"/>
    <s v="prof services"/>
    <n v="97118"/>
    <s v="MCALLEN, CITY OF"/>
    <n v="4239.96"/>
    <m/>
    <n v="4239.96"/>
    <s v="UTX17DCR01"/>
    <s v="4701597482378"/>
    <d v="2017-05-18T00:00:00"/>
    <m/>
    <m/>
    <n v="2017"/>
    <s v="(06) Jun"/>
  </r>
  <r>
    <x v="0"/>
    <n v="9280002"/>
    <n v="260"/>
    <n v="807297"/>
    <s v="APACC05487"/>
    <d v="2017-06-30T00:00:00"/>
    <s v="cities"/>
    <s v="prof services"/>
    <n v="97118"/>
    <s v="MCALLEN, CITY OF"/>
    <n v="7329.81"/>
    <m/>
    <n v="7329.81"/>
    <s v="UTX17DCR01"/>
    <s v="4701597483244"/>
    <d v="2017-06-09T00:00:00"/>
    <m/>
    <m/>
    <n v="2017"/>
    <s v="(06) Jun"/>
  </r>
  <r>
    <x v="0"/>
    <n v="9280002"/>
    <n v="260"/>
    <n v="812336"/>
    <s v="APACC22892"/>
    <d v="2017-08-01T00:00:00"/>
    <s v="cities"/>
    <s v="prof services"/>
    <n v="97118"/>
    <s v="MCALLEN, CITY OF"/>
    <n v="814.5"/>
    <m/>
    <n v="814.5"/>
    <s v="UTX17DCR01"/>
    <n v="4701597484267"/>
    <d v="2017-07-10T00:00:00"/>
    <m/>
    <m/>
    <n v="2017"/>
    <s v="(08) Aug"/>
  </r>
  <r>
    <x v="0"/>
    <n v="9280002"/>
    <n v="260"/>
    <n v="828777"/>
    <s v="APACC66845"/>
    <d v="2017-10-24T00:00:00"/>
    <s v="cities"/>
    <s v="prof services"/>
    <n v="97118"/>
    <s v="MCALLEN, CITY OF"/>
    <n v="296"/>
    <m/>
    <n v="296"/>
    <s v="UTX17DCR01"/>
    <n v="4701597485160"/>
    <d v="2017-08-14T00:00:00"/>
    <m/>
    <m/>
    <n v="2017"/>
    <s v="(10) Oct"/>
  </r>
</pivotCacheRecords>
</file>

<file path=xl/pivotCache/pivotCacheRecords2.xml><?xml version="1.0" encoding="utf-8"?>
<pivotCacheRecords xmlns="http://schemas.openxmlformats.org/spreadsheetml/2006/main" xmlns:r="http://schemas.openxmlformats.org/officeDocument/2006/relationships" count="39">
  <r>
    <x v="0"/>
    <n v="9280002"/>
    <n v="396"/>
    <n v="854762"/>
    <s v="APACC44528"/>
    <d v="2018-03-12T00:00:00"/>
    <s v="employee"/>
    <s v="office supplies"/>
    <n v="161803"/>
    <s v="BANK OF AMERICA"/>
    <n v="180.79"/>
    <m/>
    <n v="180.79"/>
    <s v="UTX18DCR01"/>
    <s v="0000106587EX0000590208"/>
    <d v="2018-03-12T00:00:00"/>
    <s v="GULLICKSON, GREGORY K"/>
    <s v="EX0000590208"/>
    <n v="2018"/>
    <s v="(03) Mar"/>
  </r>
  <r>
    <x v="0"/>
    <n v="9280002"/>
    <n v="396"/>
    <n v="854857"/>
    <s v="APACC44528"/>
    <d v="2018-03-12T00:00:00"/>
    <s v="employee"/>
    <s v="office supplies"/>
    <n v="161803"/>
    <s v="BANK OF AMERICA"/>
    <n v="399.64"/>
    <m/>
    <n v="399.64"/>
    <s v="UTX18DCR01"/>
    <s v="0000106587EX0000590211"/>
    <d v="2018-03-12T00:00:00"/>
    <s v="GULLICKSON, GREGORY K"/>
    <s v="EX0000590211"/>
    <n v="2018"/>
    <s v="(03) Mar"/>
  </r>
  <r>
    <x v="0"/>
    <n v="9280002"/>
    <n v="396"/>
    <n v="856146"/>
    <s v="APACC47490"/>
    <d v="2018-03-19T00:00:00"/>
    <s v="employee"/>
    <s v="office supplies"/>
    <n v="161803"/>
    <s v="BANK OF AMERICA"/>
    <n v="342.55"/>
    <m/>
    <n v="342.55"/>
    <s v="UTX18DCR01"/>
    <s v="0000106587EX0000591684"/>
    <d v="2018-03-19T00:00:00"/>
    <s v="GULLICKSON, GREGORY K"/>
    <s v="EX0000591684"/>
    <n v="2018"/>
    <s v="(03) Mar"/>
  </r>
  <r>
    <x v="0"/>
    <n v="9280002"/>
    <n v="393"/>
    <n v="858342"/>
    <s v="APACC51905"/>
    <d v="2018-03-28T00:00:00"/>
    <s v="employee"/>
    <s v="tax"/>
    <n v="161803"/>
    <s v="BANK OF AMERICA"/>
    <n v="204.52"/>
    <m/>
    <n v="204.52"/>
    <s v="UTX18DCR01"/>
    <s v="0000106587EX0000598796"/>
    <d v="2018-03-28T00:00:00"/>
    <s v="GULLICKSON, GREGORY K"/>
    <s v="EX0000598796"/>
    <n v="2018"/>
    <s v="(03) Mar"/>
  </r>
  <r>
    <x v="0"/>
    <n v="9280002"/>
    <n v="396"/>
    <n v="858342"/>
    <s v="APACC51905"/>
    <d v="2018-03-28T00:00:00"/>
    <s v="employee"/>
    <s v="office supplies"/>
    <n v="161803"/>
    <s v="BANK OF AMERICA"/>
    <n v="565"/>
    <m/>
    <n v="565"/>
    <s v="UTX18DCR01"/>
    <s v="0000106587EX0000598796"/>
    <d v="2018-03-28T00:00:00"/>
    <s v="GULLICKSON, GREGORY K"/>
    <s v="EX0000598796"/>
    <n v="2018"/>
    <s v="(03) Mar"/>
  </r>
  <r>
    <x v="0"/>
    <n v="9280002"/>
    <n v="396"/>
    <n v="858342"/>
    <s v="APACC51905"/>
    <d v="2018-03-28T00:00:00"/>
    <s v="employee"/>
    <s v="office supplies"/>
    <n v="161803"/>
    <s v="BANK OF AMERICA"/>
    <n v="1914"/>
    <m/>
    <n v="1914"/>
    <s v="UTX18DCR01"/>
    <s v="0000106587EX0000598796"/>
    <d v="2018-03-28T00:00:00"/>
    <s v="GULLICKSON, GREGORY K"/>
    <s v="EX0000598796"/>
    <n v="2018"/>
    <s v="(03) Mar"/>
  </r>
  <r>
    <x v="0"/>
    <n v="9280002"/>
    <n v="520"/>
    <n v="862052"/>
    <s v="APACC64629"/>
    <d v="2018-04-19T00:00:00"/>
    <s v="employee"/>
    <s v="meal-business"/>
    <n v="161803"/>
    <s v="BANK OF AMERICA"/>
    <n v="57.23"/>
    <m/>
    <n v="57.23"/>
    <s v="UTX18DCR01"/>
    <s v="0000093070EX0000608540"/>
    <d v="2018-04-19T00:00:00"/>
    <s v="BEATY, STEVEN J"/>
    <s v="EX0000608540"/>
    <n v="2018"/>
    <s v="(04) Apr"/>
  </r>
  <r>
    <x v="0"/>
    <n v="9280002"/>
    <n v="392"/>
    <n v="862960"/>
    <s v="APACC67710"/>
    <d v="2018-04-25T00:00:00"/>
    <s v="employee"/>
    <s v="shipping"/>
    <n v="161803"/>
    <s v="BANK OF AMERICA"/>
    <n v="19"/>
    <m/>
    <n v="19"/>
    <s v="UTX18DCR01"/>
    <s v="0000106587EX0000610656"/>
    <d v="2018-04-25T00:00:00"/>
    <s v="GULLICKSON, GREGORY K"/>
    <s v="EX0000610656"/>
    <n v="2018"/>
    <s v="(04) Apr"/>
  </r>
  <r>
    <x v="0"/>
    <n v="9280002"/>
    <n v="933"/>
    <n v="862960"/>
    <s v="APACC67710"/>
    <d v="2018-04-25T00:00:00"/>
    <s v="employee"/>
    <s v="postage"/>
    <n v="161803"/>
    <s v="BANK OF AMERICA"/>
    <n v="12.72"/>
    <m/>
    <n v="12.72"/>
    <s v="UTX18DCR01"/>
    <s v="0000106587EX0000610656"/>
    <d v="2018-04-25T00:00:00"/>
    <s v="GULLICKSON, GREGORY K"/>
    <s v="EX0000610656"/>
    <n v="2018"/>
    <s v="(04) Apr"/>
  </r>
  <r>
    <x v="0"/>
    <n v="9280002"/>
    <n v="285"/>
    <n v="2215275"/>
    <s v="APACC60574"/>
    <d v="2018-04-10T00:00:00"/>
    <s v="other"/>
    <s v="temporary"/>
    <n v="164567"/>
    <s v="ROBERT HALF TECHNOLOGY"/>
    <n v="247.1"/>
    <m/>
    <n v="247.1"/>
    <s v="UTX18DCR01"/>
    <s v="AEPIN00126670"/>
    <d v="2018-04-09T00:00:00"/>
    <m/>
    <m/>
    <n v="2018"/>
    <s v="(04) Apr"/>
  </r>
  <r>
    <x v="0"/>
    <n v="9280002"/>
    <n v="520"/>
    <n v="868015"/>
    <s v="APACC82363"/>
    <d v="2018-05-22T00:00:00"/>
    <s v="employee"/>
    <s v="meal-business"/>
    <n v="161803"/>
    <s v="BANK OF AMERICA"/>
    <n v="61.91"/>
    <m/>
    <n v="61.91"/>
    <s v="UTX18DCR01"/>
    <s v="0000093070EX0000623604"/>
    <d v="2018-05-22T00:00:00"/>
    <s v="BEATY, STEVEN J"/>
    <s v="EX0000623604"/>
    <n v="2018"/>
    <s v="(05) May"/>
  </r>
  <r>
    <x v="0"/>
    <n v="9280002"/>
    <n v="520"/>
    <n v="868015"/>
    <s v="APACC82363"/>
    <d v="2018-05-22T00:00:00"/>
    <s v="employee"/>
    <s v="meal-business"/>
    <n v="161803"/>
    <s v="BANK OF AMERICA"/>
    <n v="57.9"/>
    <m/>
    <n v="57.9"/>
    <s v="UTX18DCR01"/>
    <s v="0000093070EX0000623604"/>
    <d v="2018-05-22T00:00:00"/>
    <s v="BEATY, STEVEN J"/>
    <s v="EX0000623604"/>
    <n v="2018"/>
    <s v="(05) May"/>
  </r>
  <r>
    <x v="1"/>
    <n v="9280002"/>
    <n v="520"/>
    <n v="2227859"/>
    <s v="APACC79549"/>
    <d v="2018-05-15T00:00:00"/>
    <s v="employee"/>
    <s v="meal-self"/>
    <n v="161803"/>
    <s v="BANK OF AMERICA"/>
    <n v="19"/>
    <m/>
    <n v="19"/>
    <s v="SPX18DCR01"/>
    <s v="0000254271EX0000620517"/>
    <d v="2018-05-15T00:00:00"/>
    <s v="KIMANI, PETER K"/>
    <s v="EX0000620517"/>
    <n v="2018"/>
    <s v="(05) May"/>
  </r>
  <r>
    <x v="1"/>
    <n v="9280002"/>
    <n v="520"/>
    <n v="2227859"/>
    <s v="APACC79549"/>
    <d v="2018-05-15T00:00:00"/>
    <s v="employee"/>
    <s v="meal-self"/>
    <n v="161803"/>
    <s v="BANK OF AMERICA"/>
    <n v="4.6100000000000003"/>
    <m/>
    <n v="4.6100000000000003"/>
    <s v="SPX18DCR01"/>
    <s v="0000254271EX0000620517"/>
    <d v="2018-05-15T00:00:00"/>
    <s v="KIMANI, PETER K"/>
    <s v="EX0000620517"/>
    <n v="2018"/>
    <s v="(05) May"/>
  </r>
  <r>
    <x v="1"/>
    <n v="9280002"/>
    <n v="520"/>
    <n v="2227859"/>
    <s v="APACC79549"/>
    <d v="2018-05-15T00:00:00"/>
    <s v="employee"/>
    <s v="meal-self-hotel"/>
    <n v="161803"/>
    <s v="BANK OF AMERICA"/>
    <n v="12.83"/>
    <m/>
    <n v="12.83"/>
    <s v="SPX18DCR01"/>
    <s v="0000254271EX0000620517"/>
    <d v="2018-05-15T00:00:00"/>
    <s v="KIMANI, PETER K"/>
    <s v="EX0000620517"/>
    <n v="2018"/>
    <s v="(05) May"/>
  </r>
  <r>
    <x v="1"/>
    <n v="9280002"/>
    <n v="510"/>
    <n v="2227859"/>
    <s v="APACC79549"/>
    <d v="2018-05-15T00:00:00"/>
    <s v="employee"/>
    <s v="taxi"/>
    <n v="161803"/>
    <s v="BANK OF AMERICA"/>
    <n v="37.08"/>
    <m/>
    <n v="37.08"/>
    <s v="SPX18DCR01"/>
    <s v="0000254271EX0000620517"/>
    <d v="2018-05-15T00:00:00"/>
    <s v="KIMANI, PETER K"/>
    <s v="EX0000620517"/>
    <n v="2018"/>
    <s v="(05) May"/>
  </r>
  <r>
    <x v="1"/>
    <n v="9280002"/>
    <n v="510"/>
    <n v="2227859"/>
    <s v="APACC79549"/>
    <d v="2018-05-15T00:00:00"/>
    <s v="employee"/>
    <s v="hotel"/>
    <n v="161803"/>
    <s v="BANK OF AMERICA"/>
    <n v="229"/>
    <m/>
    <n v="229"/>
    <s v="SPX18DCR01"/>
    <s v="0000254271EX0000620517"/>
    <d v="2018-05-15T00:00:00"/>
    <s v="KIMANI, PETER K"/>
    <s v="EX0000620517"/>
    <n v="2018"/>
    <s v="(05) May"/>
  </r>
  <r>
    <x v="1"/>
    <n v="9280002"/>
    <n v="510"/>
    <n v="2227859"/>
    <s v="APACC79549"/>
    <d v="2018-05-15T00:00:00"/>
    <s v="employee"/>
    <s v="state tax"/>
    <n v="161803"/>
    <s v="BANK OF AMERICA"/>
    <n v="13.74"/>
    <m/>
    <n v="13.74"/>
    <s v="SPX18DCR01"/>
    <s v="0000254271EX0000620517"/>
    <d v="2018-05-15T00:00:00"/>
    <s v="KIMANI, PETER K"/>
    <s v="EX0000620517"/>
    <n v="2018"/>
    <s v="(05) May"/>
  </r>
  <r>
    <x v="1"/>
    <n v="9280002"/>
    <n v="510"/>
    <n v="2227859"/>
    <s v="APACC79549"/>
    <d v="2018-05-15T00:00:00"/>
    <s v="employee"/>
    <s v="city tax"/>
    <n v="161803"/>
    <s v="BANK OF AMERICA"/>
    <n v="20.61"/>
    <m/>
    <n v="20.61"/>
    <s v="SPX18DCR01"/>
    <s v="0000254271EX0000620517"/>
    <d v="2018-05-15T00:00:00"/>
    <s v="KIMANI, PETER K"/>
    <s v="EX0000620517"/>
    <n v="2018"/>
    <s v="(05) May"/>
  </r>
  <r>
    <x v="1"/>
    <n v="9280002"/>
    <n v="510"/>
    <n v="2227859"/>
    <s v="APACC79549"/>
    <d v="2018-05-15T00:00:00"/>
    <s v="employee"/>
    <s v="parking"/>
    <n v="161803"/>
    <s v="BANK OF AMERICA"/>
    <n v="24"/>
    <m/>
    <n v="24"/>
    <s v="SPX18DCR01"/>
    <s v="0000254271EX0000620517"/>
    <d v="2018-05-15T00:00:00"/>
    <s v="KIMANI, PETER K"/>
    <s v="EX0000620517"/>
    <n v="2018"/>
    <s v="(05) May"/>
  </r>
  <r>
    <x v="1"/>
    <n v="9280002"/>
    <n v="510"/>
    <n v="2227860"/>
    <s v="APACC79549"/>
    <d v="2018-05-15T00:00:00"/>
    <s v="employee"/>
    <s v="taxi"/>
    <n v="254271"/>
    <s v="KIMANI, PETER K"/>
    <n v="31.3"/>
    <m/>
    <n v="31.3"/>
    <s v="SPX18DCR01"/>
    <s v="0000254271EX0000620532"/>
    <d v="2018-05-15T00:00:00"/>
    <s v="KIMANI, PETER K"/>
    <s v="EX0000620532"/>
    <n v="2018"/>
    <s v="(05) May"/>
  </r>
  <r>
    <x v="0"/>
    <n v="9280002"/>
    <n v="285"/>
    <n v="2230324"/>
    <s v="APACC80656"/>
    <d v="2018-05-17T00:00:00"/>
    <s v="other"/>
    <s v="temporary"/>
    <n v="164567"/>
    <s v="ROBERT HALF TECHNOLOGY"/>
    <n v="49.42"/>
    <m/>
    <n v="49.42"/>
    <s v="UTX18DCR01"/>
    <s v="AEPIN00130429"/>
    <d v="2018-04-30T00:00:00"/>
    <m/>
    <m/>
    <n v="2018"/>
    <s v="(05) May"/>
  </r>
  <r>
    <x v="1"/>
    <n v="9280002"/>
    <n v="510"/>
    <n v="2232793"/>
    <s v="APACC81122"/>
    <d v="2018-05-18T00:00:00"/>
    <s v="employee"/>
    <s v="airfare"/>
    <n v="254271"/>
    <s v="KIMANI, PETER K"/>
    <n v="574.66"/>
    <m/>
    <n v="574.66"/>
    <s v="SPX18DCR01"/>
    <s v="0000254271EX0000622472"/>
    <d v="2018-05-18T00:00:00"/>
    <s v="KIMANI, PETER K"/>
    <s v="EX0000622472"/>
    <n v="2018"/>
    <s v="(05) May"/>
  </r>
  <r>
    <x v="0"/>
    <n v="9280002"/>
    <n v="392"/>
    <n v="872975"/>
    <s v="APACC94523"/>
    <d v="2018-06-14T00:00:00"/>
    <s v="employee"/>
    <s v="shipping"/>
    <n v="161803"/>
    <s v="BANK OF AMERICA"/>
    <n v="9868.1200000000008"/>
    <m/>
    <n v="9868.1200000000008"/>
    <s v="UTX18DCR01"/>
    <s v="0000106587EX0000631736"/>
    <d v="2018-06-14T00:00:00"/>
    <s v="GULLICKSON, GREGORY K"/>
    <s v="EX0000631736"/>
    <n v="2018"/>
    <s v="(06) Jun"/>
  </r>
  <r>
    <x v="0"/>
    <n v="9280002"/>
    <n v="290"/>
    <n v="873463"/>
    <s v="APACC95586"/>
    <d v="2018-06-18T00:00:00"/>
    <s v="employee"/>
    <s v="courier"/>
    <n v="161803"/>
    <s v="BANK OF AMERICA"/>
    <n v="11"/>
    <m/>
    <n v="11"/>
    <s v="UTX18DCR01"/>
    <s v="0000106587EX0000634721"/>
    <d v="2018-06-18T00:00:00"/>
    <s v="GULLICKSON, GREGORY K"/>
    <s v="EX0000634721"/>
    <n v="2018"/>
    <s v="(06) Jun"/>
  </r>
  <r>
    <x v="0"/>
    <n v="9280002"/>
    <n v="290"/>
    <n v="875982"/>
    <s v="APACC99924"/>
    <d v="2018-06-27T00:00:00"/>
    <s v="employee"/>
    <s v="printing"/>
    <n v="161803"/>
    <s v="BANK OF AMERICA"/>
    <n v="7410.04"/>
    <m/>
    <n v="7410.04"/>
    <s v="UTX18DCR01"/>
    <s v="0000106587EX0000639966"/>
    <d v="2018-06-27T00:00:00"/>
    <s v="GULLICKSON, GREGORY K"/>
    <s v="EX0000639966"/>
    <n v="2018"/>
    <s v="(06) Jun"/>
  </r>
  <r>
    <x v="0"/>
    <n v="9280002"/>
    <n v="290"/>
    <n v="875982"/>
    <s v="APACC99924"/>
    <d v="2018-06-27T00:00:00"/>
    <s v="employee"/>
    <s v="printing"/>
    <n v="161803"/>
    <s v="BANK OF AMERICA"/>
    <n v="923.05"/>
    <m/>
    <n v="923.05"/>
    <s v="UTX18DCR01"/>
    <s v="0000106587EX0000639966"/>
    <d v="2018-06-27T00:00:00"/>
    <s v="GULLICKSON, GREGORY K"/>
    <s v="EX0000639966"/>
    <n v="2018"/>
    <s v="(06) Jun"/>
  </r>
  <r>
    <x v="0"/>
    <n v="9280002"/>
    <n v="392"/>
    <n v="876369"/>
    <s v="APACC01244"/>
    <d v="2018-06-29T00:00:00"/>
    <s v="employee"/>
    <s v="shipping"/>
    <n v="161803"/>
    <s v="BANK OF AMERICA"/>
    <n v="31.48"/>
    <m/>
    <n v="31.48"/>
    <s v="UTX18DCR01"/>
    <s v="0000106587EX0000640229"/>
    <d v="2018-06-29T00:00:00"/>
    <s v="GULLICKSON, GREGORY K"/>
    <s v="EX0000640229"/>
    <n v="2018"/>
    <s v="(06) Jun"/>
  </r>
  <r>
    <x v="0"/>
    <n v="9280002"/>
    <n v="933"/>
    <n v="885914"/>
    <s v="APACC27486"/>
    <d v="2018-08-17T00:00:00"/>
    <s v="other"/>
    <s v="postage"/>
    <n v="80046"/>
    <s v="US POSTAL SERVICE"/>
    <n v="50.16"/>
    <m/>
    <n v="50.16"/>
    <s v="UTX18DCR01"/>
    <n v="201802"/>
    <d v="2018-08-17T00:00:00"/>
    <m/>
    <m/>
    <n v="2018"/>
    <s v="(08) Aug"/>
  </r>
  <r>
    <x v="0"/>
    <n v="9280002"/>
    <n v="285"/>
    <n v="2278581"/>
    <s v="APACC31468"/>
    <d v="2018-08-28T00:00:00"/>
    <s v="other"/>
    <s v="temporary"/>
    <n v="164567"/>
    <s v="ROBERT HALF TECHNOLOGY"/>
    <n v="25.57"/>
    <m/>
    <n v="25.57"/>
    <s v="UTX18DCR01"/>
    <s v="AEPIN00150177"/>
    <d v="2018-08-24T00:00:00"/>
    <m/>
    <m/>
    <n v="2018"/>
    <s v="(08) Aug"/>
  </r>
  <r>
    <x v="0"/>
    <n v="9280002"/>
    <n v="293"/>
    <n v="895179"/>
    <s v="APACC52312"/>
    <d v="2018-10-04T00:00:00"/>
    <s v="employee"/>
    <s v="tax"/>
    <n v="161803"/>
    <s v="BANK OF AMERICA"/>
    <n v="29.6"/>
    <m/>
    <n v="29.6"/>
    <s v="UTX18DCR01"/>
    <s v="0000106587EX0000683369"/>
    <d v="2018-10-04T00:00:00"/>
    <s v="GULLICKSON, GREGORY K"/>
    <s v="EX0000683369"/>
    <n v="2018"/>
    <s v="(10) Oct"/>
  </r>
  <r>
    <x v="0"/>
    <n v="9280002"/>
    <n v="290"/>
    <n v="895179"/>
    <s v="APACC52312"/>
    <d v="2018-10-04T00:00:00"/>
    <s v="employee"/>
    <s v="printing services"/>
    <n v="161803"/>
    <s v="BANK OF AMERICA"/>
    <n v="358.75"/>
    <m/>
    <n v="358.75"/>
    <s v="UTX18DCR01"/>
    <s v="0000106587EX0000683369"/>
    <d v="2018-10-04T00:00:00"/>
    <s v="GULLICKSON, GREGORY K"/>
    <s v="EX0000683369"/>
    <n v="2018"/>
    <s v="(10) Oct"/>
  </r>
  <r>
    <x v="2"/>
    <n v="9280002"/>
    <s v="260"/>
    <s v="00891815"/>
    <s v="APACC42529"/>
    <d v="2018-09-18T00:00:00"/>
    <s v="cities"/>
    <s v="cities"/>
    <s v="0000097118"/>
    <s v="MCALLEN, CITY OF"/>
    <n v="5660.6"/>
    <m/>
    <n v="5660.6"/>
    <s v="UTX18DCR01"/>
    <s v="97491936DKT48222"/>
    <d v="2018-05-10T00:00:00"/>
    <m/>
    <m/>
    <n v="2018"/>
    <n v="9"/>
  </r>
  <r>
    <x v="2"/>
    <n v="9280002"/>
    <s v="260"/>
    <s v="00891816"/>
    <s v="APACC42529"/>
    <d v="2018-09-18T00:00:00"/>
    <s v="cities"/>
    <s v="cities"/>
    <s v="0000097118"/>
    <s v="MCALLEN, CITY OF"/>
    <n v="17041"/>
    <m/>
    <n v="17041"/>
    <s v="UTX18DCR01"/>
    <s v="97492334DKT48222"/>
    <d v="2018-06-12T00:00:00"/>
    <m/>
    <m/>
    <n v="2018"/>
    <n v="9"/>
  </r>
  <r>
    <x v="2"/>
    <n v="9280002"/>
    <s v="260"/>
    <s v="00891817"/>
    <s v="APACC42529"/>
    <d v="2018-09-18T00:00:00"/>
    <s v="cities"/>
    <s v="cities"/>
    <s v="0000097118"/>
    <s v="MCALLEN, CITY OF"/>
    <n v="175"/>
    <m/>
    <n v="175"/>
    <s v="UTX18DCR01"/>
    <s v="97494170DKT48222"/>
    <d v="2018-08-08T00:00:00"/>
    <m/>
    <m/>
    <n v="2018"/>
    <n v="9"/>
  </r>
  <r>
    <x v="2"/>
    <n v="9280002"/>
    <s v="260"/>
    <s v="00891818"/>
    <s v="APACC42529"/>
    <d v="2018-09-18T00:00:00"/>
    <s v="cities"/>
    <s v="cities"/>
    <s v="0000097118"/>
    <s v="MCALLEN, CITY OF"/>
    <n v="313.5"/>
    <m/>
    <n v="313.5"/>
    <s v="UTX18DCR01"/>
    <s v="97494843DKT48222"/>
    <d v="2018-09-11T00:00:00"/>
    <m/>
    <m/>
    <n v="2018"/>
    <n v="9"/>
  </r>
  <r>
    <x v="2"/>
    <n v="9280002"/>
    <s v="260"/>
    <s v="00891819"/>
    <s v="APACC42529"/>
    <d v="2018-09-18T00:00:00"/>
    <s v="cities"/>
    <s v="cities"/>
    <s v="0000097118"/>
    <s v="MCALLEN, CITY OF"/>
    <n v="743"/>
    <m/>
    <n v="743"/>
    <s v="UTX18DCR01"/>
    <s v="97494955DKT48222"/>
    <d v="2018-09-01T00:00:00"/>
    <m/>
    <m/>
    <n v="2018"/>
    <n v="9"/>
  </r>
  <r>
    <x v="2"/>
    <n v="9280002"/>
    <s v="290"/>
    <s v="00895179"/>
    <s v="APACC52312"/>
    <d v="2018-10-04T00:00:00"/>
    <s v="cities"/>
    <s v="cities"/>
    <s v="0000097118"/>
    <s v="MCALLEN, CITY OF"/>
    <n v="358.75"/>
    <m/>
    <n v="358.75"/>
    <s v="UTX18DCR01"/>
    <s v="0000106587EX0000683369"/>
    <d v="2018-10-04T00:00:00"/>
    <m/>
    <m/>
    <n v="2018"/>
    <n v="10"/>
  </r>
  <r>
    <x v="2"/>
    <n v="9280002"/>
    <s v="293"/>
    <s v="00895179"/>
    <s v="APACC52312"/>
    <d v="2018-10-04T00:00:00"/>
    <s v="cities"/>
    <s v="cities"/>
    <s v="0000097118"/>
    <s v="MCALLEN, CITY OF"/>
    <n v="29.6"/>
    <m/>
    <n v="29.6"/>
    <s v="UTX18DCR01"/>
    <s v="0000106587EX0000683369"/>
    <d v="2018-10-04T00:00:00"/>
    <m/>
    <m/>
    <n v="2018"/>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81:D83" firstHeaderRow="1" firstDataRow="2" firstDataCol="1"/>
  <pivotFields count="20">
    <pivotField axis="axisCol" showAll="0">
      <items count="3">
        <item x="1"/>
        <item x="0"/>
        <item t="default"/>
      </items>
    </pivotField>
    <pivotField showAll="0"/>
    <pivotField showAll="0"/>
    <pivotField showAll="0"/>
    <pivotField showAll="0"/>
    <pivotField numFmtId="14" showAll="0"/>
    <pivotField showAll="0"/>
    <pivotField showAll="0"/>
    <pivotField showAll="0"/>
    <pivotField showAll="0"/>
    <pivotField numFmtId="40" showAll="0"/>
    <pivotField showAll="0"/>
    <pivotField dataField="1" numFmtId="40" showAll="0"/>
    <pivotField showAll="0"/>
    <pivotField showAll="0"/>
    <pivotField numFmtId="14" showAll="0"/>
    <pivotField showAll="0"/>
    <pivotField showAll="0"/>
    <pivotField showAll="0"/>
    <pivotField showAll="0"/>
  </pivotFields>
  <rowItems count="1">
    <i/>
  </rowItems>
  <colFields count="1">
    <field x="0"/>
  </colFields>
  <colItems count="3">
    <i>
      <x/>
    </i>
    <i>
      <x v="1"/>
    </i>
    <i t="grand">
      <x/>
    </i>
  </colItems>
  <dataFields count="1">
    <dataField name="Sum of Requested" fld="12" baseField="0" baseItem="0"/>
  </dataFields>
  <formats count="56">
    <format dxfId="83">
      <pivotArea dataOnly="0" labelOnly="1" fieldPosition="0">
        <references count="1">
          <reference field="0" count="0"/>
        </references>
      </pivotArea>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dataOnly="0" labelOnly="1" outline="0" axis="axisValues" fieldPosition="0"/>
    </format>
    <format dxfId="78">
      <pivotArea field="0" type="button" dataOnly="0" labelOnly="1" outline="0" axis="axisCol" fieldPosition="0"/>
    </format>
    <format dxfId="77">
      <pivotArea type="topRight" dataOnly="0" labelOnly="1" outline="0" fieldPosition="0"/>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dataOnly="0" labelOnly="1" outline="0" axis="axisValues" fieldPosition="0"/>
    </format>
    <format dxfId="72">
      <pivotArea field="0" type="button" dataOnly="0" labelOnly="1" outline="0" axis="axisCol" fieldPosition="0"/>
    </format>
    <format dxfId="71">
      <pivotArea type="topRight" dataOnly="0" labelOnly="1" outline="0" fieldPosition="0"/>
    </format>
    <format dxfId="70">
      <pivotArea type="all" dataOnly="0" outline="0" fieldPosition="0"/>
    </format>
    <format dxfId="69">
      <pivotArea outline="0" collapsedLevelsAreSubtotals="1" fieldPosition="0"/>
    </format>
    <format dxfId="68">
      <pivotArea type="origin" dataOnly="0" labelOnly="1" outline="0" fieldPosition="0"/>
    </format>
    <format dxfId="67">
      <pivotArea dataOnly="0" labelOnly="1" outline="0" axis="axisValues" fieldPosition="0"/>
    </format>
    <format dxfId="66">
      <pivotArea field="0" type="button" dataOnly="0" labelOnly="1" outline="0" axis="axisCol" fieldPosition="0"/>
    </format>
    <format dxfId="65">
      <pivotArea type="topRight" dataOnly="0" labelOnly="1" outline="0"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dataOnly="0" labelOnly="1" outline="0" axis="axisValues" fieldPosition="0"/>
    </format>
    <format dxfId="60">
      <pivotArea field="0" type="button" dataOnly="0" labelOnly="1" outline="0" axis="axisCol" fieldPosition="0"/>
    </format>
    <format dxfId="59">
      <pivotArea type="topRight" dataOnly="0" labelOnly="1" outline="0"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dataOnly="0" labelOnly="1" outline="0" axis="axisValues" fieldPosition="0"/>
    </format>
    <format dxfId="54">
      <pivotArea field="0" type="button" dataOnly="0" labelOnly="1" outline="0" axis="axisCol" fieldPosition="0"/>
    </format>
    <format dxfId="53">
      <pivotArea type="topRight" dataOnly="0" labelOnly="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dataOnly="0" labelOnly="1" outline="0" axis="axisValues" fieldPosition="0"/>
    </format>
    <format dxfId="48">
      <pivotArea field="0" type="button" dataOnly="0" labelOnly="1" outline="0" axis="axisCol" fieldPosition="0"/>
    </format>
    <format dxfId="47">
      <pivotArea type="topRight" dataOnly="0" labelOnly="1" outline="0" fieldPosition="0"/>
    </format>
    <format dxfId="46">
      <pivotArea type="all" dataOnly="0" outline="0" fieldPosition="0"/>
    </format>
    <format dxfId="45">
      <pivotArea outline="0" collapsedLevelsAreSubtotals="1" fieldPosition="0"/>
    </format>
    <format dxfId="44">
      <pivotArea type="origin" dataOnly="0" labelOnly="1" outline="0" offset="A1" fieldPosition="0"/>
    </format>
    <format dxfId="43">
      <pivotArea dataOnly="0" labelOnly="1" outline="0" axis="axisValues" fieldPosition="0"/>
    </format>
    <format dxfId="42">
      <pivotArea field="0" type="button" dataOnly="0" labelOnly="1" outline="0" axis="axisCol" fieldPosition="0"/>
    </format>
    <format dxfId="41">
      <pivotArea type="topRight" dataOnly="0" labelOnly="1" outline="0" fieldPosition="0"/>
    </format>
    <format dxfId="40">
      <pivotArea type="origin" dataOnly="0" labelOnly="1" outline="0" offset="A2" fieldPosition="0"/>
    </format>
    <format dxfId="39">
      <pivotArea dataOnly="0" labelOnly="1" fieldPosition="0">
        <references count="1">
          <reference field="0"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offset="A1" fieldPosition="0"/>
    </format>
    <format dxfId="34">
      <pivotArea dataOnly="0" labelOnly="1" outline="0" axis="axisValues" fieldPosition="0"/>
    </format>
    <format dxfId="33">
      <pivotArea field="0" type="button" dataOnly="0" labelOnly="1" outline="0" axis="axisCol" fieldPosition="0"/>
    </format>
    <format dxfId="32">
      <pivotArea type="topRight" dataOnly="0" labelOnly="1" outline="0" fieldPosition="0"/>
    </format>
    <format dxfId="31">
      <pivotArea type="origin" dataOnly="0" labelOnly="1" outline="0" offset="A2" fieldPosition="0"/>
    </format>
    <format dxfId="30">
      <pivotArea dataOnly="0" labelOnly="1" fieldPosition="0">
        <references count="1">
          <reference field="0" count="0"/>
        </references>
      </pivotArea>
    </format>
    <format dxfId="29">
      <pivotArea dataOnly="0" labelOnly="1" grandCol="1" outline="0"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5:E77" firstHeaderRow="1" firstDataRow="2" firstDataCol="1"/>
  <pivotFields count="20">
    <pivotField axis="axisCol" showAll="0">
      <items count="4">
        <item x="1"/>
        <item x="0"/>
        <item x="2"/>
        <item t="default"/>
      </items>
    </pivotField>
    <pivotField showAll="0"/>
    <pivotField showAll="0"/>
    <pivotField showAll="0"/>
    <pivotField showAll="0"/>
    <pivotField numFmtId="14" showAll="0"/>
    <pivotField showAll="0"/>
    <pivotField showAll="0"/>
    <pivotField showAll="0"/>
    <pivotField showAll="0"/>
    <pivotField showAll="0"/>
    <pivotField showAll="0"/>
    <pivotField dataField="1" numFmtId="40" showAll="0"/>
    <pivotField showAll="0"/>
    <pivotField showAll="0"/>
    <pivotField numFmtId="14" showAll="0"/>
    <pivotField showAll="0"/>
    <pivotField showAll="0"/>
    <pivotField showAll="0"/>
    <pivotField showAll="0"/>
  </pivotFields>
  <rowItems count="1">
    <i/>
  </rowItems>
  <colFields count="1">
    <field x="0"/>
  </colFields>
  <colItems count="4">
    <i>
      <x/>
    </i>
    <i>
      <x v="1"/>
    </i>
    <i>
      <x v="2"/>
    </i>
    <i t="grand">
      <x/>
    </i>
  </colItems>
  <dataFields count="1">
    <dataField name="Sum of Requested" fld="12" baseField="0" baseItem="0"/>
  </dataFields>
  <formats count="28">
    <format dxfId="27">
      <pivotArea outline="0" collapsedLevelsAreSubtotals="1"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dataOnly="0" labelOnly="1" outline="0" axis="axisValues" fieldPosition="0"/>
    </format>
    <format dxfId="22">
      <pivotArea field="0" type="button" dataOnly="0" labelOnly="1" outline="0" axis="axisCol" fieldPosition="0"/>
    </format>
    <format dxfId="21">
      <pivotArea type="topRight" dataOnly="0" labelOnly="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dataOnly="0" labelOnly="1" outline="0" axis="axisValues" fieldPosition="0"/>
    </format>
    <format dxfId="16">
      <pivotArea field="0" type="button" dataOnly="0" labelOnly="1" outline="0" axis="axisCol" fieldPosition="0"/>
    </format>
    <format dxfId="15">
      <pivotArea type="topRight" dataOnly="0" labelOnly="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dataOnly="0" labelOnly="1" outline="0" axis="axisValues" fieldPosition="0"/>
    </format>
    <format dxfId="10">
      <pivotArea field="0" type="button" dataOnly="0" labelOnly="1" outline="0" axis="axisCol" fieldPosition="0"/>
    </format>
    <format dxfId="9">
      <pivotArea type="topRight" dataOnly="0" labelOnly="1" outline="0" fieldPosition="0"/>
    </format>
    <format dxfId="8">
      <pivotArea type="all" dataOnly="0" outline="0" fieldPosition="0"/>
    </format>
    <format dxfId="7">
      <pivotArea outline="0" collapsedLevelsAreSubtotals="1" fieldPosition="0"/>
    </format>
    <format dxfId="6">
      <pivotArea type="origin" dataOnly="0" labelOnly="1" outline="0" offset="A1" fieldPosition="0"/>
    </format>
    <format dxfId="5">
      <pivotArea dataOnly="0" labelOnly="1" outline="0" axis="axisValues" fieldPosition="0"/>
    </format>
    <format dxfId="4">
      <pivotArea field="0" type="button" dataOnly="0" labelOnly="1" outline="0" axis="axisCol" fieldPosition="0"/>
    </format>
    <format dxfId="3">
      <pivotArea type="topRight" dataOnly="0" labelOnly="1" outline="0" fieldPosition="0"/>
    </format>
    <format dxfId="2">
      <pivotArea type="origin" dataOnly="0" labelOnly="1" outline="0" offset="A2" fieldPosition="0"/>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topLeftCell="A36" zoomScaleNormal="100" workbookViewId="0">
      <selection activeCell="B58" sqref="B58"/>
    </sheetView>
  </sheetViews>
  <sheetFormatPr defaultColWidth="8.85546875" defaultRowHeight="12"/>
  <cols>
    <col min="1" max="1" width="94.85546875" style="46" bestFit="1" customWidth="1"/>
    <col min="2" max="2" width="15.85546875" style="46" customWidth="1"/>
    <col min="3" max="3" width="8.85546875" style="46"/>
    <col min="4" max="5" width="12" style="46" bestFit="1" customWidth="1"/>
    <col min="6" max="246" width="8.85546875" style="46"/>
    <col min="247" max="247" width="24.140625" style="46" customWidth="1"/>
    <col min="248" max="248" width="16.42578125" style="46" customWidth="1"/>
    <col min="249" max="249" width="14" style="46" bestFit="1" customWidth="1"/>
    <col min="250" max="250" width="12.42578125" style="46" bestFit="1" customWidth="1"/>
    <col min="251" max="251" width="13.42578125" style="46" bestFit="1" customWidth="1"/>
    <col min="252" max="252" width="12.85546875" style="46" bestFit="1" customWidth="1"/>
    <col min="253" max="253" width="14.42578125" style="46" customWidth="1"/>
    <col min="254" max="502" width="8.85546875" style="46"/>
    <col min="503" max="503" width="24.140625" style="46" customWidth="1"/>
    <col min="504" max="504" width="16.42578125" style="46" customWidth="1"/>
    <col min="505" max="505" width="14" style="46" bestFit="1" customWidth="1"/>
    <col min="506" max="506" width="12.42578125" style="46" bestFit="1" customWidth="1"/>
    <col min="507" max="507" width="13.42578125" style="46" bestFit="1" customWidth="1"/>
    <col min="508" max="508" width="12.85546875" style="46" bestFit="1" customWidth="1"/>
    <col min="509" max="509" width="14.42578125" style="46" customWidth="1"/>
    <col min="510" max="758" width="8.85546875" style="46"/>
    <col min="759" max="759" width="24.140625" style="46" customWidth="1"/>
    <col min="760" max="760" width="16.42578125" style="46" customWidth="1"/>
    <col min="761" max="761" width="14" style="46" bestFit="1" customWidth="1"/>
    <col min="762" max="762" width="12.42578125" style="46" bestFit="1" customWidth="1"/>
    <col min="763" max="763" width="13.42578125" style="46" bestFit="1" customWidth="1"/>
    <col min="764" max="764" width="12.85546875" style="46" bestFit="1" customWidth="1"/>
    <col min="765" max="765" width="14.42578125" style="46" customWidth="1"/>
    <col min="766" max="1014" width="8.85546875" style="46"/>
    <col min="1015" max="1015" width="24.140625" style="46" customWidth="1"/>
    <col min="1016" max="1016" width="16.42578125" style="46" customWidth="1"/>
    <col min="1017" max="1017" width="14" style="46" bestFit="1" customWidth="1"/>
    <col min="1018" max="1018" width="12.42578125" style="46" bestFit="1" customWidth="1"/>
    <col min="1019" max="1019" width="13.42578125" style="46" bestFit="1" customWidth="1"/>
    <col min="1020" max="1020" width="12.85546875" style="46" bestFit="1" customWidth="1"/>
    <col min="1021" max="1021" width="14.42578125" style="46" customWidth="1"/>
    <col min="1022" max="1270" width="8.85546875" style="46"/>
    <col min="1271" max="1271" width="24.140625" style="46" customWidth="1"/>
    <col min="1272" max="1272" width="16.42578125" style="46" customWidth="1"/>
    <col min="1273" max="1273" width="14" style="46" bestFit="1" customWidth="1"/>
    <col min="1274" max="1274" width="12.42578125" style="46" bestFit="1" customWidth="1"/>
    <col min="1275" max="1275" width="13.42578125" style="46" bestFit="1" customWidth="1"/>
    <col min="1276" max="1276" width="12.85546875" style="46" bestFit="1" customWidth="1"/>
    <col min="1277" max="1277" width="14.42578125" style="46" customWidth="1"/>
    <col min="1278" max="1526" width="8.85546875" style="46"/>
    <col min="1527" max="1527" width="24.140625" style="46" customWidth="1"/>
    <col min="1528" max="1528" width="16.42578125" style="46" customWidth="1"/>
    <col min="1529" max="1529" width="14" style="46" bestFit="1" customWidth="1"/>
    <col min="1530" max="1530" width="12.42578125" style="46" bestFit="1" customWidth="1"/>
    <col min="1531" max="1531" width="13.42578125" style="46" bestFit="1" customWidth="1"/>
    <col min="1532" max="1532" width="12.85546875" style="46" bestFit="1" customWidth="1"/>
    <col min="1533" max="1533" width="14.42578125" style="46" customWidth="1"/>
    <col min="1534" max="1782" width="8.85546875" style="46"/>
    <col min="1783" max="1783" width="24.140625" style="46" customWidth="1"/>
    <col min="1784" max="1784" width="16.42578125" style="46" customWidth="1"/>
    <col min="1785" max="1785" width="14" style="46" bestFit="1" customWidth="1"/>
    <col min="1786" max="1786" width="12.42578125" style="46" bestFit="1" customWidth="1"/>
    <col min="1787" max="1787" width="13.42578125" style="46" bestFit="1" customWidth="1"/>
    <col min="1788" max="1788" width="12.85546875" style="46" bestFit="1" customWidth="1"/>
    <col min="1789" max="1789" width="14.42578125" style="46" customWidth="1"/>
    <col min="1790" max="2038" width="8.85546875" style="46"/>
    <col min="2039" max="2039" width="24.140625" style="46" customWidth="1"/>
    <col min="2040" max="2040" width="16.42578125" style="46" customWidth="1"/>
    <col min="2041" max="2041" width="14" style="46" bestFit="1" customWidth="1"/>
    <col min="2042" max="2042" width="12.42578125" style="46" bestFit="1" customWidth="1"/>
    <col min="2043" max="2043" width="13.42578125" style="46" bestFit="1" customWidth="1"/>
    <col min="2044" max="2044" width="12.85546875" style="46" bestFit="1" customWidth="1"/>
    <col min="2045" max="2045" width="14.42578125" style="46" customWidth="1"/>
    <col min="2046" max="2294" width="8.85546875" style="46"/>
    <col min="2295" max="2295" width="24.140625" style="46" customWidth="1"/>
    <col min="2296" max="2296" width="16.42578125" style="46" customWidth="1"/>
    <col min="2297" max="2297" width="14" style="46" bestFit="1" customWidth="1"/>
    <col min="2298" max="2298" width="12.42578125" style="46" bestFit="1" customWidth="1"/>
    <col min="2299" max="2299" width="13.42578125" style="46" bestFit="1" customWidth="1"/>
    <col min="2300" max="2300" width="12.85546875" style="46" bestFit="1" customWidth="1"/>
    <col min="2301" max="2301" width="14.42578125" style="46" customWidth="1"/>
    <col min="2302" max="2550" width="8.85546875" style="46"/>
    <col min="2551" max="2551" width="24.140625" style="46" customWidth="1"/>
    <col min="2552" max="2552" width="16.42578125" style="46" customWidth="1"/>
    <col min="2553" max="2553" width="14" style="46" bestFit="1" customWidth="1"/>
    <col min="2554" max="2554" width="12.42578125" style="46" bestFit="1" customWidth="1"/>
    <col min="2555" max="2555" width="13.42578125" style="46" bestFit="1" customWidth="1"/>
    <col min="2556" max="2556" width="12.85546875" style="46" bestFit="1" customWidth="1"/>
    <col min="2557" max="2557" width="14.42578125" style="46" customWidth="1"/>
    <col min="2558" max="2806" width="8.85546875" style="46"/>
    <col min="2807" max="2807" width="24.140625" style="46" customWidth="1"/>
    <col min="2808" max="2808" width="16.42578125" style="46" customWidth="1"/>
    <col min="2809" max="2809" width="14" style="46" bestFit="1" customWidth="1"/>
    <col min="2810" max="2810" width="12.42578125" style="46" bestFit="1" customWidth="1"/>
    <col min="2811" max="2811" width="13.42578125" style="46" bestFit="1" customWidth="1"/>
    <col min="2812" max="2812" width="12.85546875" style="46" bestFit="1" customWidth="1"/>
    <col min="2813" max="2813" width="14.42578125" style="46" customWidth="1"/>
    <col min="2814" max="3062" width="8.85546875" style="46"/>
    <col min="3063" max="3063" width="24.140625" style="46" customWidth="1"/>
    <col min="3064" max="3064" width="16.42578125" style="46" customWidth="1"/>
    <col min="3065" max="3065" width="14" style="46" bestFit="1" customWidth="1"/>
    <col min="3066" max="3066" width="12.42578125" style="46" bestFit="1" customWidth="1"/>
    <col min="3067" max="3067" width="13.42578125" style="46" bestFit="1" customWidth="1"/>
    <col min="3068" max="3068" width="12.85546875" style="46" bestFit="1" customWidth="1"/>
    <col min="3069" max="3069" width="14.42578125" style="46" customWidth="1"/>
    <col min="3070" max="3318" width="8.85546875" style="46"/>
    <col min="3319" max="3319" width="24.140625" style="46" customWidth="1"/>
    <col min="3320" max="3320" width="16.42578125" style="46" customWidth="1"/>
    <col min="3321" max="3321" width="14" style="46" bestFit="1" customWidth="1"/>
    <col min="3322" max="3322" width="12.42578125" style="46" bestFit="1" customWidth="1"/>
    <col min="3323" max="3323" width="13.42578125" style="46" bestFit="1" customWidth="1"/>
    <col min="3324" max="3324" width="12.85546875" style="46" bestFit="1" customWidth="1"/>
    <col min="3325" max="3325" width="14.42578125" style="46" customWidth="1"/>
    <col min="3326" max="3574" width="8.85546875" style="46"/>
    <col min="3575" max="3575" width="24.140625" style="46" customWidth="1"/>
    <col min="3576" max="3576" width="16.42578125" style="46" customWidth="1"/>
    <col min="3577" max="3577" width="14" style="46" bestFit="1" customWidth="1"/>
    <col min="3578" max="3578" width="12.42578125" style="46" bestFit="1" customWidth="1"/>
    <col min="3579" max="3579" width="13.42578125" style="46" bestFit="1" customWidth="1"/>
    <col min="3580" max="3580" width="12.85546875" style="46" bestFit="1" customWidth="1"/>
    <col min="3581" max="3581" width="14.42578125" style="46" customWidth="1"/>
    <col min="3582" max="3830" width="8.85546875" style="46"/>
    <col min="3831" max="3831" width="24.140625" style="46" customWidth="1"/>
    <col min="3832" max="3832" width="16.42578125" style="46" customWidth="1"/>
    <col min="3833" max="3833" width="14" style="46" bestFit="1" customWidth="1"/>
    <col min="3834" max="3834" width="12.42578125" style="46" bestFit="1" customWidth="1"/>
    <col min="3835" max="3835" width="13.42578125" style="46" bestFit="1" customWidth="1"/>
    <col min="3836" max="3836" width="12.85546875" style="46" bestFit="1" customWidth="1"/>
    <col min="3837" max="3837" width="14.42578125" style="46" customWidth="1"/>
    <col min="3838" max="4086" width="8.85546875" style="46"/>
    <col min="4087" max="4087" width="24.140625" style="46" customWidth="1"/>
    <col min="4088" max="4088" width="16.42578125" style="46" customWidth="1"/>
    <col min="4089" max="4089" width="14" style="46" bestFit="1" customWidth="1"/>
    <col min="4090" max="4090" width="12.42578125" style="46" bestFit="1" customWidth="1"/>
    <col min="4091" max="4091" width="13.42578125" style="46" bestFit="1" customWidth="1"/>
    <col min="4092" max="4092" width="12.85546875" style="46" bestFit="1" customWidth="1"/>
    <col min="4093" max="4093" width="14.42578125" style="46" customWidth="1"/>
    <col min="4094" max="4342" width="8.85546875" style="46"/>
    <col min="4343" max="4343" width="24.140625" style="46" customWidth="1"/>
    <col min="4344" max="4344" width="16.42578125" style="46" customWidth="1"/>
    <col min="4345" max="4345" width="14" style="46" bestFit="1" customWidth="1"/>
    <col min="4346" max="4346" width="12.42578125" style="46" bestFit="1" customWidth="1"/>
    <col min="4347" max="4347" width="13.42578125" style="46" bestFit="1" customWidth="1"/>
    <col min="4348" max="4348" width="12.85546875" style="46" bestFit="1" customWidth="1"/>
    <col min="4349" max="4349" width="14.42578125" style="46" customWidth="1"/>
    <col min="4350" max="4598" width="8.85546875" style="46"/>
    <col min="4599" max="4599" width="24.140625" style="46" customWidth="1"/>
    <col min="4600" max="4600" width="16.42578125" style="46" customWidth="1"/>
    <col min="4601" max="4601" width="14" style="46" bestFit="1" customWidth="1"/>
    <col min="4602" max="4602" width="12.42578125" style="46" bestFit="1" customWidth="1"/>
    <col min="4603" max="4603" width="13.42578125" style="46" bestFit="1" customWidth="1"/>
    <col min="4604" max="4604" width="12.85546875" style="46" bestFit="1" customWidth="1"/>
    <col min="4605" max="4605" width="14.42578125" style="46" customWidth="1"/>
    <col min="4606" max="4854" width="8.85546875" style="46"/>
    <col min="4855" max="4855" width="24.140625" style="46" customWidth="1"/>
    <col min="4856" max="4856" width="16.42578125" style="46" customWidth="1"/>
    <col min="4857" max="4857" width="14" style="46" bestFit="1" customWidth="1"/>
    <col min="4858" max="4858" width="12.42578125" style="46" bestFit="1" customWidth="1"/>
    <col min="4859" max="4859" width="13.42578125" style="46" bestFit="1" customWidth="1"/>
    <col min="4860" max="4860" width="12.85546875" style="46" bestFit="1" customWidth="1"/>
    <col min="4861" max="4861" width="14.42578125" style="46" customWidth="1"/>
    <col min="4862" max="5110" width="8.85546875" style="46"/>
    <col min="5111" max="5111" width="24.140625" style="46" customWidth="1"/>
    <col min="5112" max="5112" width="16.42578125" style="46" customWidth="1"/>
    <col min="5113" max="5113" width="14" style="46" bestFit="1" customWidth="1"/>
    <col min="5114" max="5114" width="12.42578125" style="46" bestFit="1" customWidth="1"/>
    <col min="5115" max="5115" width="13.42578125" style="46" bestFit="1" customWidth="1"/>
    <col min="5116" max="5116" width="12.85546875" style="46" bestFit="1" customWidth="1"/>
    <col min="5117" max="5117" width="14.42578125" style="46" customWidth="1"/>
    <col min="5118" max="5366" width="8.85546875" style="46"/>
    <col min="5367" max="5367" width="24.140625" style="46" customWidth="1"/>
    <col min="5368" max="5368" width="16.42578125" style="46" customWidth="1"/>
    <col min="5369" max="5369" width="14" style="46" bestFit="1" customWidth="1"/>
    <col min="5370" max="5370" width="12.42578125" style="46" bestFit="1" customWidth="1"/>
    <col min="5371" max="5371" width="13.42578125" style="46" bestFit="1" customWidth="1"/>
    <col min="5372" max="5372" width="12.85546875" style="46" bestFit="1" customWidth="1"/>
    <col min="5373" max="5373" width="14.42578125" style="46" customWidth="1"/>
    <col min="5374" max="5622" width="8.85546875" style="46"/>
    <col min="5623" max="5623" width="24.140625" style="46" customWidth="1"/>
    <col min="5624" max="5624" width="16.42578125" style="46" customWidth="1"/>
    <col min="5625" max="5625" width="14" style="46" bestFit="1" customWidth="1"/>
    <col min="5626" max="5626" width="12.42578125" style="46" bestFit="1" customWidth="1"/>
    <col min="5627" max="5627" width="13.42578125" style="46" bestFit="1" customWidth="1"/>
    <col min="5628" max="5628" width="12.85546875" style="46" bestFit="1" customWidth="1"/>
    <col min="5629" max="5629" width="14.42578125" style="46" customWidth="1"/>
    <col min="5630" max="5878" width="8.85546875" style="46"/>
    <col min="5879" max="5879" width="24.140625" style="46" customWidth="1"/>
    <col min="5880" max="5880" width="16.42578125" style="46" customWidth="1"/>
    <col min="5881" max="5881" width="14" style="46" bestFit="1" customWidth="1"/>
    <col min="5882" max="5882" width="12.42578125" style="46" bestFit="1" customWidth="1"/>
    <col min="5883" max="5883" width="13.42578125" style="46" bestFit="1" customWidth="1"/>
    <col min="5884" max="5884" width="12.85546875" style="46" bestFit="1" customWidth="1"/>
    <col min="5885" max="5885" width="14.42578125" style="46" customWidth="1"/>
    <col min="5886" max="6134" width="8.85546875" style="46"/>
    <col min="6135" max="6135" width="24.140625" style="46" customWidth="1"/>
    <col min="6136" max="6136" width="16.42578125" style="46" customWidth="1"/>
    <col min="6137" max="6137" width="14" style="46" bestFit="1" customWidth="1"/>
    <col min="6138" max="6138" width="12.42578125" style="46" bestFit="1" customWidth="1"/>
    <col min="6139" max="6139" width="13.42578125" style="46" bestFit="1" customWidth="1"/>
    <col min="6140" max="6140" width="12.85546875" style="46" bestFit="1" customWidth="1"/>
    <col min="6141" max="6141" width="14.42578125" style="46" customWidth="1"/>
    <col min="6142" max="6390" width="8.85546875" style="46"/>
    <col min="6391" max="6391" width="24.140625" style="46" customWidth="1"/>
    <col min="6392" max="6392" width="16.42578125" style="46" customWidth="1"/>
    <col min="6393" max="6393" width="14" style="46" bestFit="1" customWidth="1"/>
    <col min="6394" max="6394" width="12.42578125" style="46" bestFit="1" customWidth="1"/>
    <col min="6395" max="6395" width="13.42578125" style="46" bestFit="1" customWidth="1"/>
    <col min="6396" max="6396" width="12.85546875" style="46" bestFit="1" customWidth="1"/>
    <col min="6397" max="6397" width="14.42578125" style="46" customWidth="1"/>
    <col min="6398" max="6646" width="8.85546875" style="46"/>
    <col min="6647" max="6647" width="24.140625" style="46" customWidth="1"/>
    <col min="6648" max="6648" width="16.42578125" style="46" customWidth="1"/>
    <col min="6649" max="6649" width="14" style="46" bestFit="1" customWidth="1"/>
    <col min="6650" max="6650" width="12.42578125" style="46" bestFit="1" customWidth="1"/>
    <col min="6651" max="6651" width="13.42578125" style="46" bestFit="1" customWidth="1"/>
    <col min="6652" max="6652" width="12.85546875" style="46" bestFit="1" customWidth="1"/>
    <col min="6653" max="6653" width="14.42578125" style="46" customWidth="1"/>
    <col min="6654" max="6902" width="8.85546875" style="46"/>
    <col min="6903" max="6903" width="24.140625" style="46" customWidth="1"/>
    <col min="6904" max="6904" width="16.42578125" style="46" customWidth="1"/>
    <col min="6905" max="6905" width="14" style="46" bestFit="1" customWidth="1"/>
    <col min="6906" max="6906" width="12.42578125" style="46" bestFit="1" customWidth="1"/>
    <col min="6907" max="6907" width="13.42578125" style="46" bestFit="1" customWidth="1"/>
    <col min="6908" max="6908" width="12.85546875" style="46" bestFit="1" customWidth="1"/>
    <col min="6909" max="6909" width="14.42578125" style="46" customWidth="1"/>
    <col min="6910" max="7158" width="8.85546875" style="46"/>
    <col min="7159" max="7159" width="24.140625" style="46" customWidth="1"/>
    <col min="7160" max="7160" width="16.42578125" style="46" customWidth="1"/>
    <col min="7161" max="7161" width="14" style="46" bestFit="1" customWidth="1"/>
    <col min="7162" max="7162" width="12.42578125" style="46" bestFit="1" customWidth="1"/>
    <col min="7163" max="7163" width="13.42578125" style="46" bestFit="1" customWidth="1"/>
    <col min="7164" max="7164" width="12.85546875" style="46" bestFit="1" customWidth="1"/>
    <col min="7165" max="7165" width="14.42578125" style="46" customWidth="1"/>
    <col min="7166" max="7414" width="8.85546875" style="46"/>
    <col min="7415" max="7415" width="24.140625" style="46" customWidth="1"/>
    <col min="7416" max="7416" width="16.42578125" style="46" customWidth="1"/>
    <col min="7417" max="7417" width="14" style="46" bestFit="1" customWidth="1"/>
    <col min="7418" max="7418" width="12.42578125" style="46" bestFit="1" customWidth="1"/>
    <col min="7419" max="7419" width="13.42578125" style="46" bestFit="1" customWidth="1"/>
    <col min="7420" max="7420" width="12.85546875" style="46" bestFit="1" customWidth="1"/>
    <col min="7421" max="7421" width="14.42578125" style="46" customWidth="1"/>
    <col min="7422" max="7670" width="8.85546875" style="46"/>
    <col min="7671" max="7671" width="24.140625" style="46" customWidth="1"/>
    <col min="7672" max="7672" width="16.42578125" style="46" customWidth="1"/>
    <col min="7673" max="7673" width="14" style="46" bestFit="1" customWidth="1"/>
    <col min="7674" max="7674" width="12.42578125" style="46" bestFit="1" customWidth="1"/>
    <col min="7675" max="7675" width="13.42578125" style="46" bestFit="1" customWidth="1"/>
    <col min="7676" max="7676" width="12.85546875" style="46" bestFit="1" customWidth="1"/>
    <col min="7677" max="7677" width="14.42578125" style="46" customWidth="1"/>
    <col min="7678" max="7926" width="8.85546875" style="46"/>
    <col min="7927" max="7927" width="24.140625" style="46" customWidth="1"/>
    <col min="7928" max="7928" width="16.42578125" style="46" customWidth="1"/>
    <col min="7929" max="7929" width="14" style="46" bestFit="1" customWidth="1"/>
    <col min="7930" max="7930" width="12.42578125" style="46" bestFit="1" customWidth="1"/>
    <col min="7931" max="7931" width="13.42578125" style="46" bestFit="1" customWidth="1"/>
    <col min="7932" max="7932" width="12.85546875" style="46" bestFit="1" customWidth="1"/>
    <col min="7933" max="7933" width="14.42578125" style="46" customWidth="1"/>
    <col min="7934" max="8182" width="8.85546875" style="46"/>
    <col min="8183" max="8183" width="24.140625" style="46" customWidth="1"/>
    <col min="8184" max="8184" width="16.42578125" style="46" customWidth="1"/>
    <col min="8185" max="8185" width="14" style="46" bestFit="1" customWidth="1"/>
    <col min="8186" max="8186" width="12.42578125" style="46" bestFit="1" customWidth="1"/>
    <col min="8187" max="8187" width="13.42578125" style="46" bestFit="1" customWidth="1"/>
    <col min="8188" max="8188" width="12.85546875" style="46" bestFit="1" customWidth="1"/>
    <col min="8189" max="8189" width="14.42578125" style="46" customWidth="1"/>
    <col min="8190" max="8438" width="8.85546875" style="46"/>
    <col min="8439" max="8439" width="24.140625" style="46" customWidth="1"/>
    <col min="8440" max="8440" width="16.42578125" style="46" customWidth="1"/>
    <col min="8441" max="8441" width="14" style="46" bestFit="1" customWidth="1"/>
    <col min="8442" max="8442" width="12.42578125" style="46" bestFit="1" customWidth="1"/>
    <col min="8443" max="8443" width="13.42578125" style="46" bestFit="1" customWidth="1"/>
    <col min="8444" max="8444" width="12.85546875" style="46" bestFit="1" customWidth="1"/>
    <col min="8445" max="8445" width="14.42578125" style="46" customWidth="1"/>
    <col min="8446" max="8694" width="8.85546875" style="46"/>
    <col min="8695" max="8695" width="24.140625" style="46" customWidth="1"/>
    <col min="8696" max="8696" width="16.42578125" style="46" customWidth="1"/>
    <col min="8697" max="8697" width="14" style="46" bestFit="1" customWidth="1"/>
    <col min="8698" max="8698" width="12.42578125" style="46" bestFit="1" customWidth="1"/>
    <col min="8699" max="8699" width="13.42578125" style="46" bestFit="1" customWidth="1"/>
    <col min="8700" max="8700" width="12.85546875" style="46" bestFit="1" customWidth="1"/>
    <col min="8701" max="8701" width="14.42578125" style="46" customWidth="1"/>
    <col min="8702" max="8950" width="8.85546875" style="46"/>
    <col min="8951" max="8951" width="24.140625" style="46" customWidth="1"/>
    <col min="8952" max="8952" width="16.42578125" style="46" customWidth="1"/>
    <col min="8953" max="8953" width="14" style="46" bestFit="1" customWidth="1"/>
    <col min="8954" max="8954" width="12.42578125" style="46" bestFit="1" customWidth="1"/>
    <col min="8955" max="8955" width="13.42578125" style="46" bestFit="1" customWidth="1"/>
    <col min="8956" max="8956" width="12.85546875" style="46" bestFit="1" customWidth="1"/>
    <col min="8957" max="8957" width="14.42578125" style="46" customWidth="1"/>
    <col min="8958" max="9206" width="8.85546875" style="46"/>
    <col min="9207" max="9207" width="24.140625" style="46" customWidth="1"/>
    <col min="9208" max="9208" width="16.42578125" style="46" customWidth="1"/>
    <col min="9209" max="9209" width="14" style="46" bestFit="1" customWidth="1"/>
    <col min="9210" max="9210" width="12.42578125" style="46" bestFit="1" customWidth="1"/>
    <col min="9211" max="9211" width="13.42578125" style="46" bestFit="1" customWidth="1"/>
    <col min="9212" max="9212" width="12.85546875" style="46" bestFit="1" customWidth="1"/>
    <col min="9213" max="9213" width="14.42578125" style="46" customWidth="1"/>
    <col min="9214" max="9462" width="8.85546875" style="46"/>
    <col min="9463" max="9463" width="24.140625" style="46" customWidth="1"/>
    <col min="9464" max="9464" width="16.42578125" style="46" customWidth="1"/>
    <col min="9465" max="9465" width="14" style="46" bestFit="1" customWidth="1"/>
    <col min="9466" max="9466" width="12.42578125" style="46" bestFit="1" customWidth="1"/>
    <col min="9467" max="9467" width="13.42578125" style="46" bestFit="1" customWidth="1"/>
    <col min="9468" max="9468" width="12.85546875" style="46" bestFit="1" customWidth="1"/>
    <col min="9469" max="9469" width="14.42578125" style="46" customWidth="1"/>
    <col min="9470" max="9718" width="8.85546875" style="46"/>
    <col min="9719" max="9719" width="24.140625" style="46" customWidth="1"/>
    <col min="9720" max="9720" width="16.42578125" style="46" customWidth="1"/>
    <col min="9721" max="9721" width="14" style="46" bestFit="1" customWidth="1"/>
    <col min="9722" max="9722" width="12.42578125" style="46" bestFit="1" customWidth="1"/>
    <col min="9723" max="9723" width="13.42578125" style="46" bestFit="1" customWidth="1"/>
    <col min="9724" max="9724" width="12.85546875" style="46" bestFit="1" customWidth="1"/>
    <col min="9725" max="9725" width="14.42578125" style="46" customWidth="1"/>
    <col min="9726" max="9974" width="8.85546875" style="46"/>
    <col min="9975" max="9975" width="24.140625" style="46" customWidth="1"/>
    <col min="9976" max="9976" width="16.42578125" style="46" customWidth="1"/>
    <col min="9977" max="9977" width="14" style="46" bestFit="1" customWidth="1"/>
    <col min="9978" max="9978" width="12.42578125" style="46" bestFit="1" customWidth="1"/>
    <col min="9979" max="9979" width="13.42578125" style="46" bestFit="1" customWidth="1"/>
    <col min="9980" max="9980" width="12.85546875" style="46" bestFit="1" customWidth="1"/>
    <col min="9981" max="9981" width="14.42578125" style="46" customWidth="1"/>
    <col min="9982" max="10230" width="8.85546875" style="46"/>
    <col min="10231" max="10231" width="24.140625" style="46" customWidth="1"/>
    <col min="10232" max="10232" width="16.42578125" style="46" customWidth="1"/>
    <col min="10233" max="10233" width="14" style="46" bestFit="1" customWidth="1"/>
    <col min="10234" max="10234" width="12.42578125" style="46" bestFit="1" customWidth="1"/>
    <col min="10235" max="10235" width="13.42578125" style="46" bestFit="1" customWidth="1"/>
    <col min="10236" max="10236" width="12.85546875" style="46" bestFit="1" customWidth="1"/>
    <col min="10237" max="10237" width="14.42578125" style="46" customWidth="1"/>
    <col min="10238" max="10486" width="8.85546875" style="46"/>
    <col min="10487" max="10487" width="24.140625" style="46" customWidth="1"/>
    <col min="10488" max="10488" width="16.42578125" style="46" customWidth="1"/>
    <col min="10489" max="10489" width="14" style="46" bestFit="1" customWidth="1"/>
    <col min="10490" max="10490" width="12.42578125" style="46" bestFit="1" customWidth="1"/>
    <col min="10491" max="10491" width="13.42578125" style="46" bestFit="1" customWidth="1"/>
    <col min="10492" max="10492" width="12.85546875" style="46" bestFit="1" customWidth="1"/>
    <col min="10493" max="10493" width="14.42578125" style="46" customWidth="1"/>
    <col min="10494" max="10742" width="8.85546875" style="46"/>
    <col min="10743" max="10743" width="24.140625" style="46" customWidth="1"/>
    <col min="10744" max="10744" width="16.42578125" style="46" customWidth="1"/>
    <col min="10745" max="10745" width="14" style="46" bestFit="1" customWidth="1"/>
    <col min="10746" max="10746" width="12.42578125" style="46" bestFit="1" customWidth="1"/>
    <col min="10747" max="10747" width="13.42578125" style="46" bestFit="1" customWidth="1"/>
    <col min="10748" max="10748" width="12.85546875" style="46" bestFit="1" customWidth="1"/>
    <col min="10749" max="10749" width="14.42578125" style="46" customWidth="1"/>
    <col min="10750" max="10998" width="8.85546875" style="46"/>
    <col min="10999" max="10999" width="24.140625" style="46" customWidth="1"/>
    <col min="11000" max="11000" width="16.42578125" style="46" customWidth="1"/>
    <col min="11001" max="11001" width="14" style="46" bestFit="1" customWidth="1"/>
    <col min="11002" max="11002" width="12.42578125" style="46" bestFit="1" customWidth="1"/>
    <col min="11003" max="11003" width="13.42578125" style="46" bestFit="1" customWidth="1"/>
    <col min="11004" max="11004" width="12.85546875" style="46" bestFit="1" customWidth="1"/>
    <col min="11005" max="11005" width="14.42578125" style="46" customWidth="1"/>
    <col min="11006" max="11254" width="8.85546875" style="46"/>
    <col min="11255" max="11255" width="24.140625" style="46" customWidth="1"/>
    <col min="11256" max="11256" width="16.42578125" style="46" customWidth="1"/>
    <col min="11257" max="11257" width="14" style="46" bestFit="1" customWidth="1"/>
    <col min="11258" max="11258" width="12.42578125" style="46" bestFit="1" customWidth="1"/>
    <col min="11259" max="11259" width="13.42578125" style="46" bestFit="1" customWidth="1"/>
    <col min="11260" max="11260" width="12.85546875" style="46" bestFit="1" customWidth="1"/>
    <col min="11261" max="11261" width="14.42578125" style="46" customWidth="1"/>
    <col min="11262" max="11510" width="8.85546875" style="46"/>
    <col min="11511" max="11511" width="24.140625" style="46" customWidth="1"/>
    <col min="11512" max="11512" width="16.42578125" style="46" customWidth="1"/>
    <col min="11513" max="11513" width="14" style="46" bestFit="1" customWidth="1"/>
    <col min="11514" max="11514" width="12.42578125" style="46" bestFit="1" customWidth="1"/>
    <col min="11515" max="11515" width="13.42578125" style="46" bestFit="1" customWidth="1"/>
    <col min="11516" max="11516" width="12.85546875" style="46" bestFit="1" customWidth="1"/>
    <col min="11517" max="11517" width="14.42578125" style="46" customWidth="1"/>
    <col min="11518" max="11766" width="8.85546875" style="46"/>
    <col min="11767" max="11767" width="24.140625" style="46" customWidth="1"/>
    <col min="11768" max="11768" width="16.42578125" style="46" customWidth="1"/>
    <col min="11769" max="11769" width="14" style="46" bestFit="1" customWidth="1"/>
    <col min="11770" max="11770" width="12.42578125" style="46" bestFit="1" customWidth="1"/>
    <col min="11771" max="11771" width="13.42578125" style="46" bestFit="1" customWidth="1"/>
    <col min="11772" max="11772" width="12.85546875" style="46" bestFit="1" customWidth="1"/>
    <col min="11773" max="11773" width="14.42578125" style="46" customWidth="1"/>
    <col min="11774" max="12022" width="8.85546875" style="46"/>
    <col min="12023" max="12023" width="24.140625" style="46" customWidth="1"/>
    <col min="12024" max="12024" width="16.42578125" style="46" customWidth="1"/>
    <col min="12025" max="12025" width="14" style="46" bestFit="1" customWidth="1"/>
    <col min="12026" max="12026" width="12.42578125" style="46" bestFit="1" customWidth="1"/>
    <col min="12027" max="12027" width="13.42578125" style="46" bestFit="1" customWidth="1"/>
    <col min="12028" max="12028" width="12.85546875" style="46" bestFit="1" customWidth="1"/>
    <col min="12029" max="12029" width="14.42578125" style="46" customWidth="1"/>
    <col min="12030" max="12278" width="8.85546875" style="46"/>
    <col min="12279" max="12279" width="24.140625" style="46" customWidth="1"/>
    <col min="12280" max="12280" width="16.42578125" style="46" customWidth="1"/>
    <col min="12281" max="12281" width="14" style="46" bestFit="1" customWidth="1"/>
    <col min="12282" max="12282" width="12.42578125" style="46" bestFit="1" customWidth="1"/>
    <col min="12283" max="12283" width="13.42578125" style="46" bestFit="1" customWidth="1"/>
    <col min="12284" max="12284" width="12.85546875" style="46" bestFit="1" customWidth="1"/>
    <col min="12285" max="12285" width="14.42578125" style="46" customWidth="1"/>
    <col min="12286" max="12534" width="8.85546875" style="46"/>
    <col min="12535" max="12535" width="24.140625" style="46" customWidth="1"/>
    <col min="12536" max="12536" width="16.42578125" style="46" customWidth="1"/>
    <col min="12537" max="12537" width="14" style="46" bestFit="1" customWidth="1"/>
    <col min="12538" max="12538" width="12.42578125" style="46" bestFit="1" customWidth="1"/>
    <col min="12539" max="12539" width="13.42578125" style="46" bestFit="1" customWidth="1"/>
    <col min="12540" max="12540" width="12.85546875" style="46" bestFit="1" customWidth="1"/>
    <col min="12541" max="12541" width="14.42578125" style="46" customWidth="1"/>
    <col min="12542" max="12790" width="8.85546875" style="46"/>
    <col min="12791" max="12791" width="24.140625" style="46" customWidth="1"/>
    <col min="12792" max="12792" width="16.42578125" style="46" customWidth="1"/>
    <col min="12793" max="12793" width="14" style="46" bestFit="1" customWidth="1"/>
    <col min="12794" max="12794" width="12.42578125" style="46" bestFit="1" customWidth="1"/>
    <col min="12795" max="12795" width="13.42578125" style="46" bestFit="1" customWidth="1"/>
    <col min="12796" max="12796" width="12.85546875" style="46" bestFit="1" customWidth="1"/>
    <col min="12797" max="12797" width="14.42578125" style="46" customWidth="1"/>
    <col min="12798" max="13046" width="8.85546875" style="46"/>
    <col min="13047" max="13047" width="24.140625" style="46" customWidth="1"/>
    <col min="13048" max="13048" width="16.42578125" style="46" customWidth="1"/>
    <col min="13049" max="13049" width="14" style="46" bestFit="1" customWidth="1"/>
    <col min="13050" max="13050" width="12.42578125" style="46" bestFit="1" customWidth="1"/>
    <col min="13051" max="13051" width="13.42578125" style="46" bestFit="1" customWidth="1"/>
    <col min="13052" max="13052" width="12.85546875" style="46" bestFit="1" customWidth="1"/>
    <col min="13053" max="13053" width="14.42578125" style="46" customWidth="1"/>
    <col min="13054" max="13302" width="8.85546875" style="46"/>
    <col min="13303" max="13303" width="24.140625" style="46" customWidth="1"/>
    <col min="13304" max="13304" width="16.42578125" style="46" customWidth="1"/>
    <col min="13305" max="13305" width="14" style="46" bestFit="1" customWidth="1"/>
    <col min="13306" max="13306" width="12.42578125" style="46" bestFit="1" customWidth="1"/>
    <col min="13307" max="13307" width="13.42578125" style="46" bestFit="1" customWidth="1"/>
    <col min="13308" max="13308" width="12.85546875" style="46" bestFit="1" customWidth="1"/>
    <col min="13309" max="13309" width="14.42578125" style="46" customWidth="1"/>
    <col min="13310" max="13558" width="8.85546875" style="46"/>
    <col min="13559" max="13559" width="24.140625" style="46" customWidth="1"/>
    <col min="13560" max="13560" width="16.42578125" style="46" customWidth="1"/>
    <col min="13561" max="13561" width="14" style="46" bestFit="1" customWidth="1"/>
    <col min="13562" max="13562" width="12.42578125" style="46" bestFit="1" customWidth="1"/>
    <col min="13563" max="13563" width="13.42578125" style="46" bestFit="1" customWidth="1"/>
    <col min="13564" max="13564" width="12.85546875" style="46" bestFit="1" customWidth="1"/>
    <col min="13565" max="13565" width="14.42578125" style="46" customWidth="1"/>
    <col min="13566" max="13814" width="8.85546875" style="46"/>
    <col min="13815" max="13815" width="24.140625" style="46" customWidth="1"/>
    <col min="13816" max="13816" width="16.42578125" style="46" customWidth="1"/>
    <col min="13817" max="13817" width="14" style="46" bestFit="1" customWidth="1"/>
    <col min="13818" max="13818" width="12.42578125" style="46" bestFit="1" customWidth="1"/>
    <col min="13819" max="13819" width="13.42578125" style="46" bestFit="1" customWidth="1"/>
    <col min="13820" max="13820" width="12.85546875" style="46" bestFit="1" customWidth="1"/>
    <col min="13821" max="13821" width="14.42578125" style="46" customWidth="1"/>
    <col min="13822" max="14070" width="8.85546875" style="46"/>
    <col min="14071" max="14071" width="24.140625" style="46" customWidth="1"/>
    <col min="14072" max="14072" width="16.42578125" style="46" customWidth="1"/>
    <col min="14073" max="14073" width="14" style="46" bestFit="1" customWidth="1"/>
    <col min="14074" max="14074" width="12.42578125" style="46" bestFit="1" customWidth="1"/>
    <col min="14075" max="14075" width="13.42578125" style="46" bestFit="1" customWidth="1"/>
    <col min="14076" max="14076" width="12.85546875" style="46" bestFit="1" customWidth="1"/>
    <col min="14077" max="14077" width="14.42578125" style="46" customWidth="1"/>
    <col min="14078" max="14326" width="8.85546875" style="46"/>
    <col min="14327" max="14327" width="24.140625" style="46" customWidth="1"/>
    <col min="14328" max="14328" width="16.42578125" style="46" customWidth="1"/>
    <col min="14329" max="14329" width="14" style="46" bestFit="1" customWidth="1"/>
    <col min="14330" max="14330" width="12.42578125" style="46" bestFit="1" customWidth="1"/>
    <col min="14331" max="14331" width="13.42578125" style="46" bestFit="1" customWidth="1"/>
    <col min="14332" max="14332" width="12.85546875" style="46" bestFit="1" customWidth="1"/>
    <col min="14333" max="14333" width="14.42578125" style="46" customWidth="1"/>
    <col min="14334" max="14582" width="8.85546875" style="46"/>
    <col min="14583" max="14583" width="24.140625" style="46" customWidth="1"/>
    <col min="14584" max="14584" width="16.42578125" style="46" customWidth="1"/>
    <col min="14585" max="14585" width="14" style="46" bestFit="1" customWidth="1"/>
    <col min="14586" max="14586" width="12.42578125" style="46" bestFit="1" customWidth="1"/>
    <col min="14587" max="14587" width="13.42578125" style="46" bestFit="1" customWidth="1"/>
    <col min="14588" max="14588" width="12.85546875" style="46" bestFit="1" customWidth="1"/>
    <col min="14589" max="14589" width="14.42578125" style="46" customWidth="1"/>
    <col min="14590" max="14838" width="8.85546875" style="46"/>
    <col min="14839" max="14839" width="24.140625" style="46" customWidth="1"/>
    <col min="14840" max="14840" width="16.42578125" style="46" customWidth="1"/>
    <col min="14841" max="14841" width="14" style="46" bestFit="1" customWidth="1"/>
    <col min="14842" max="14842" width="12.42578125" style="46" bestFit="1" customWidth="1"/>
    <col min="14843" max="14843" width="13.42578125" style="46" bestFit="1" customWidth="1"/>
    <col min="14844" max="14844" width="12.85546875" style="46" bestFit="1" customWidth="1"/>
    <col min="14845" max="14845" width="14.42578125" style="46" customWidth="1"/>
    <col min="14846" max="15094" width="8.85546875" style="46"/>
    <col min="15095" max="15095" width="24.140625" style="46" customWidth="1"/>
    <col min="15096" max="15096" width="16.42578125" style="46" customWidth="1"/>
    <col min="15097" max="15097" width="14" style="46" bestFit="1" customWidth="1"/>
    <col min="15098" max="15098" width="12.42578125" style="46" bestFit="1" customWidth="1"/>
    <col min="15099" max="15099" width="13.42578125" style="46" bestFit="1" customWidth="1"/>
    <col min="15100" max="15100" width="12.85546875" style="46" bestFit="1" customWidth="1"/>
    <col min="15101" max="15101" width="14.42578125" style="46" customWidth="1"/>
    <col min="15102" max="15350" width="8.85546875" style="46"/>
    <col min="15351" max="15351" width="24.140625" style="46" customWidth="1"/>
    <col min="15352" max="15352" width="16.42578125" style="46" customWidth="1"/>
    <col min="15353" max="15353" width="14" style="46" bestFit="1" customWidth="1"/>
    <col min="15354" max="15354" width="12.42578125" style="46" bestFit="1" customWidth="1"/>
    <col min="15355" max="15355" width="13.42578125" style="46" bestFit="1" customWidth="1"/>
    <col min="15356" max="15356" width="12.85546875" style="46" bestFit="1" customWidth="1"/>
    <col min="15357" max="15357" width="14.42578125" style="46" customWidth="1"/>
    <col min="15358" max="15606" width="8.85546875" style="46"/>
    <col min="15607" max="15607" width="24.140625" style="46" customWidth="1"/>
    <col min="15608" max="15608" width="16.42578125" style="46" customWidth="1"/>
    <col min="15609" max="15609" width="14" style="46" bestFit="1" customWidth="1"/>
    <col min="15610" max="15610" width="12.42578125" style="46" bestFit="1" customWidth="1"/>
    <col min="15611" max="15611" width="13.42578125" style="46" bestFit="1" customWidth="1"/>
    <col min="15612" max="15612" width="12.85546875" style="46" bestFit="1" customWidth="1"/>
    <col min="15613" max="15613" width="14.42578125" style="46" customWidth="1"/>
    <col min="15614" max="15862" width="8.85546875" style="46"/>
    <col min="15863" max="15863" width="24.140625" style="46" customWidth="1"/>
    <col min="15864" max="15864" width="16.42578125" style="46" customWidth="1"/>
    <col min="15865" max="15865" width="14" style="46" bestFit="1" customWidth="1"/>
    <col min="15866" max="15866" width="12.42578125" style="46" bestFit="1" customWidth="1"/>
    <col min="15867" max="15867" width="13.42578125" style="46" bestFit="1" customWidth="1"/>
    <col min="15868" max="15868" width="12.85546875" style="46" bestFit="1" customWidth="1"/>
    <col min="15869" max="15869" width="14.42578125" style="46" customWidth="1"/>
    <col min="15870" max="16118" width="8.85546875" style="46"/>
    <col min="16119" max="16119" width="24.140625" style="46" customWidth="1"/>
    <col min="16120" max="16120" width="16.42578125" style="46" customWidth="1"/>
    <col min="16121" max="16121" width="14" style="46" bestFit="1" customWidth="1"/>
    <col min="16122" max="16122" width="12.42578125" style="46" bestFit="1" customWidth="1"/>
    <col min="16123" max="16123" width="13.42578125" style="46" bestFit="1" customWidth="1"/>
    <col min="16124" max="16124" width="12.85546875" style="46" bestFit="1" customWidth="1"/>
    <col min="16125" max="16125" width="14.42578125" style="46" customWidth="1"/>
    <col min="16126" max="16380" width="8.85546875" style="46"/>
    <col min="16381" max="16384" width="8.85546875" style="46" customWidth="1"/>
  </cols>
  <sheetData>
    <row r="1" spans="1:2">
      <c r="A1" s="269" t="s">
        <v>337</v>
      </c>
      <c r="B1" s="269"/>
    </row>
    <row r="2" spans="1:2">
      <c r="A2" s="269" t="s">
        <v>310</v>
      </c>
      <c r="B2" s="269"/>
    </row>
    <row r="3" spans="1:2" ht="23.25" customHeight="1">
      <c r="A3" s="270" t="s">
        <v>338</v>
      </c>
      <c r="B3" s="270"/>
    </row>
    <row r="4" spans="1:2" s="47" customFormat="1"/>
    <row r="5" spans="1:2" s="47" customFormat="1">
      <c r="A5" s="48" t="s">
        <v>339</v>
      </c>
      <c r="B5" s="48" t="s">
        <v>340</v>
      </c>
    </row>
    <row r="6" spans="1:2" s="47" customFormat="1">
      <c r="A6" s="49"/>
    </row>
    <row r="7" spans="1:2">
      <c r="A7" s="50" t="s">
        <v>341</v>
      </c>
    </row>
    <row r="8" spans="1:2">
      <c r="A8" s="247" t="s">
        <v>437</v>
      </c>
      <c r="B8" s="260">
        <f>'Trailing Charges Central'!I166</f>
        <v>211749.86</v>
      </c>
    </row>
    <row r="9" spans="1:2">
      <c r="A9" s="247" t="s">
        <v>438</v>
      </c>
      <c r="B9" s="260">
        <f>'Trailing Charges North'!I30</f>
        <v>1827.1999999999998</v>
      </c>
    </row>
    <row r="10" spans="1:2" s="47" customFormat="1" ht="12.75" thickBot="1">
      <c r="A10" s="53" t="s">
        <v>439</v>
      </c>
      <c r="B10" s="54">
        <f>B8+B9</f>
        <v>213577.06</v>
      </c>
    </row>
    <row r="11" spans="1:2" s="47" customFormat="1" ht="12.75" thickTop="1">
      <c r="A11" s="55"/>
      <c r="B11" s="57"/>
    </row>
    <row r="12" spans="1:2" s="47" customFormat="1">
      <c r="A12" s="46"/>
    </row>
    <row r="13" spans="1:2" s="47" customFormat="1">
      <c r="A13" s="50" t="s">
        <v>345</v>
      </c>
    </row>
    <row r="14" spans="1:2" s="47" customFormat="1">
      <c r="A14" s="51" t="s">
        <v>342</v>
      </c>
      <c r="B14" s="52">
        <f>+'Docket 40261'!H23</f>
        <v>82047.58</v>
      </c>
    </row>
    <row r="15" spans="1:2" s="47" customFormat="1">
      <c r="A15" s="51" t="s">
        <v>344</v>
      </c>
      <c r="B15" s="52">
        <f>+'Docket 40261'!H27</f>
        <v>55.48</v>
      </c>
    </row>
    <row r="16" spans="1:2" s="47" customFormat="1" ht="12.75" thickBot="1">
      <c r="A16" s="55" t="s">
        <v>346</v>
      </c>
      <c r="B16" s="54">
        <f>SUM(B14:B15)</f>
        <v>82103.06</v>
      </c>
    </row>
    <row r="17" spans="1:5" s="47" customFormat="1" ht="12.75" thickTop="1">
      <c r="A17" s="55"/>
    </row>
    <row r="18" spans="1:5" s="47" customFormat="1">
      <c r="A18" s="56"/>
    </row>
    <row r="19" spans="1:5" s="47" customFormat="1">
      <c r="A19" s="50" t="s">
        <v>347</v>
      </c>
    </row>
    <row r="20" spans="1:5" s="47" customFormat="1">
      <c r="A20" s="51" t="s">
        <v>343</v>
      </c>
      <c r="B20" s="52">
        <f>'2017 DCRF 47015'!H21</f>
        <v>4314.05</v>
      </c>
    </row>
    <row r="21" spans="1:5" s="47" customFormat="1">
      <c r="A21" s="51" t="s">
        <v>344</v>
      </c>
      <c r="B21" s="52">
        <f>+'2017 DCRF 47015'!H74</f>
        <v>4005.9100000000003</v>
      </c>
    </row>
    <row r="22" spans="1:5" s="47" customFormat="1" ht="12.75" thickBot="1">
      <c r="A22" s="55" t="s">
        <v>348</v>
      </c>
      <c r="B22" s="54">
        <f>SUM(B20:B21)</f>
        <v>8319.9600000000009</v>
      </c>
      <c r="E22" s="250"/>
    </row>
    <row r="23" spans="1:5" s="47" customFormat="1" ht="12.75" thickTop="1">
      <c r="A23" s="55"/>
    </row>
    <row r="24" spans="1:5" s="47" customFormat="1">
      <c r="A24" s="56"/>
    </row>
    <row r="25" spans="1:5" s="47" customFormat="1">
      <c r="A25" s="50" t="s">
        <v>349</v>
      </c>
    </row>
    <row r="26" spans="1:5" s="47" customFormat="1">
      <c r="A26" s="51" t="s">
        <v>343</v>
      </c>
      <c r="B26" s="52">
        <f>+'2018 DCRF 48222 '!H30</f>
        <v>372.25</v>
      </c>
    </row>
    <row r="27" spans="1:5" s="47" customFormat="1">
      <c r="A27" s="51" t="s">
        <v>344</v>
      </c>
      <c r="B27" s="52">
        <f>+'2018 DCRF 48222 '!H66</f>
        <v>23414.129999999997</v>
      </c>
    </row>
    <row r="28" spans="1:5" s="47" customFormat="1" ht="12.75" thickBot="1">
      <c r="A28" s="55" t="s">
        <v>350</v>
      </c>
      <c r="B28" s="54">
        <f>+SUM(B26:B27)</f>
        <v>23786.379999999997</v>
      </c>
      <c r="E28" s="250"/>
    </row>
    <row r="29" spans="1:5" s="47" customFormat="1" ht="12.75" thickTop="1">
      <c r="A29" s="55"/>
      <c r="B29" s="57"/>
    </row>
    <row r="30" spans="1:5" s="47" customFormat="1">
      <c r="A30" s="50" t="s">
        <v>351</v>
      </c>
      <c r="B30" s="57"/>
    </row>
    <row r="31" spans="1:5" s="47" customFormat="1" ht="68.25" customHeight="1">
      <c r="A31" s="247" t="s">
        <v>422</v>
      </c>
      <c r="B31" s="57">
        <f>+'Docket 48577 '!H10</f>
        <v>2400</v>
      </c>
    </row>
    <row r="32" spans="1:5" s="47" customFormat="1">
      <c r="A32" s="51" t="s">
        <v>342</v>
      </c>
      <c r="B32" s="52">
        <f>+'Docket 48577 '!H47</f>
        <v>366397.52</v>
      </c>
    </row>
    <row r="33" spans="1:2" s="47" customFormat="1">
      <c r="A33" s="51" t="s">
        <v>343</v>
      </c>
      <c r="B33" s="52">
        <f>+'Docket 48577 '!H71</f>
        <v>26383.77</v>
      </c>
    </row>
    <row r="34" spans="1:2" s="47" customFormat="1">
      <c r="A34" s="51" t="s">
        <v>344</v>
      </c>
      <c r="B34" s="52">
        <f>+'Docket 48577 '!H101</f>
        <v>3994.8100000000004</v>
      </c>
    </row>
    <row r="35" spans="1:2" s="47" customFormat="1" ht="12.75" thickBot="1">
      <c r="A35" s="55" t="s">
        <v>352</v>
      </c>
      <c r="B35" s="54">
        <f>SUM(B31:B34)</f>
        <v>399176.10000000003</v>
      </c>
    </row>
    <row r="36" spans="1:2" s="47" customFormat="1" ht="12.75" thickTop="1">
      <c r="A36" s="56"/>
      <c r="B36" s="57"/>
    </row>
    <row r="37" spans="1:2" s="47" customFormat="1" ht="12.75" thickBot="1">
      <c r="A37" s="56"/>
      <c r="B37" s="57"/>
    </row>
    <row r="38" spans="1:2" s="47" customFormat="1" ht="12.75" thickBot="1">
      <c r="A38" s="58" t="s">
        <v>353</v>
      </c>
      <c r="B38" s="59">
        <f>B10+B16+B22+B28+B35</f>
        <v>726962.56</v>
      </c>
    </row>
    <row r="39" spans="1:2" s="47" customFormat="1">
      <c r="A39" s="51" t="s">
        <v>426</v>
      </c>
      <c r="B39" s="260">
        <f>'Trailing Charges Central'!I170</f>
        <v>-143175.95418090283</v>
      </c>
    </row>
    <row r="40" spans="1:2" s="47" customFormat="1" ht="12.75" thickBot="1">
      <c r="A40" s="51"/>
      <c r="B40" s="260"/>
    </row>
    <row r="41" spans="1:2" s="47" customFormat="1" ht="12.75" thickBot="1">
      <c r="A41" s="58" t="s">
        <v>441</v>
      </c>
      <c r="B41" s="59">
        <f>B38+B39</f>
        <v>583786.60581909725</v>
      </c>
    </row>
    <row r="42" spans="1:2" s="47" customFormat="1">
      <c r="A42" s="56"/>
    </row>
    <row r="43" spans="1:2" s="47" customFormat="1">
      <c r="A43" s="56"/>
    </row>
    <row r="44" spans="1:2" s="47" customFormat="1" ht="30.6" customHeight="1">
      <c r="A44" s="48" t="s">
        <v>354</v>
      </c>
      <c r="B44" s="48" t="s">
        <v>340</v>
      </c>
    </row>
    <row r="45" spans="1:2" s="47" customFormat="1" ht="13.35" customHeight="1">
      <c r="A45" s="49"/>
    </row>
    <row r="46" spans="1:2">
      <c r="A46" s="50" t="s">
        <v>341</v>
      </c>
    </row>
    <row r="47" spans="1:2">
      <c r="A47" s="51" t="s">
        <v>355</v>
      </c>
      <c r="B47" s="52">
        <f>+'Trailing Charges North'!I17</f>
        <v>1094.6399999999999</v>
      </c>
    </row>
    <row r="48" spans="1:2">
      <c r="A48" s="51" t="s">
        <v>356</v>
      </c>
      <c r="B48" s="52">
        <f>+'Trailing Charges Central'!I63</f>
        <v>234968.2</v>
      </c>
    </row>
    <row r="49" spans="1:4">
      <c r="A49" s="51"/>
      <c r="B49" s="52"/>
    </row>
    <row r="50" spans="1:4" ht="12.75" thickBot="1">
      <c r="A50" s="53" t="s">
        <v>440</v>
      </c>
      <c r="B50" s="54">
        <f>SUM(B47:B49)</f>
        <v>236062.84000000003</v>
      </c>
    </row>
    <row r="51" spans="1:4" ht="12.75" thickTop="1">
      <c r="A51" s="55"/>
      <c r="D51" s="248"/>
    </row>
    <row r="52" spans="1:4">
      <c r="A52" s="55"/>
    </row>
    <row r="53" spans="1:4">
      <c r="A53" s="50" t="s">
        <v>347</v>
      </c>
      <c r="B53" s="47"/>
    </row>
    <row r="54" spans="1:4">
      <c r="A54" s="51" t="s">
        <v>356</v>
      </c>
      <c r="B54" s="52">
        <f>+'2017 DCRF 47015'!H15</f>
        <v>12680.27</v>
      </c>
    </row>
    <row r="55" spans="1:4" ht="12.75" thickBot="1">
      <c r="A55" s="55" t="s">
        <v>357</v>
      </c>
      <c r="B55" s="54">
        <f>SUM(B54:B54)</f>
        <v>12680.27</v>
      </c>
    </row>
    <row r="56" spans="1:4" ht="12.75" thickTop="1">
      <c r="A56" s="56"/>
    </row>
    <row r="57" spans="1:4">
      <c r="A57" s="56"/>
    </row>
    <row r="58" spans="1:4">
      <c r="A58" s="50" t="s">
        <v>444</v>
      </c>
      <c r="B58" s="47"/>
    </row>
    <row r="59" spans="1:4" s="47" customFormat="1">
      <c r="A59" s="51" t="s">
        <v>356</v>
      </c>
      <c r="B59" s="52">
        <f>+'2018 DCRF 48222 '!H17</f>
        <v>24321.449999999997</v>
      </c>
    </row>
    <row r="60" spans="1:4" ht="12.75" thickBot="1">
      <c r="A60" s="55" t="s">
        <v>357</v>
      </c>
      <c r="B60" s="54">
        <f>SUM(B59:B59)</f>
        <v>24321.449999999997</v>
      </c>
    </row>
    <row r="61" spans="1:4" ht="12.75" thickTop="1">
      <c r="A61" s="55"/>
    </row>
    <row r="62" spans="1:4">
      <c r="A62" s="55"/>
    </row>
    <row r="63" spans="1:4">
      <c r="A63" s="60" t="s">
        <v>423</v>
      </c>
    </row>
    <row r="64" spans="1:4">
      <c r="A64" s="51" t="s">
        <v>355</v>
      </c>
      <c r="B64" s="52">
        <f>+B47</f>
        <v>1094.6399999999999</v>
      </c>
    </row>
    <row r="65" spans="1:2" ht="12.75" thickBot="1">
      <c r="A65" s="51" t="s">
        <v>356</v>
      </c>
      <c r="B65" s="52">
        <f>+B59+B54+B48</f>
        <v>271969.92000000004</v>
      </c>
    </row>
    <row r="66" spans="1:2" ht="12.75" thickBot="1">
      <c r="A66" s="58" t="s">
        <v>358</v>
      </c>
      <c r="B66" s="59">
        <f>SUM(B64:B65)</f>
        <v>273064.56000000006</v>
      </c>
    </row>
    <row r="67" spans="1:2">
      <c r="A67" s="261"/>
      <c r="B67" s="262"/>
    </row>
    <row r="68" spans="1:2" ht="12.75" thickBot="1">
      <c r="A68" s="46" t="s">
        <v>427</v>
      </c>
      <c r="B68" s="52">
        <f>+'Trailing Charges Central'!I169</f>
        <v>-158875.17581909717</v>
      </c>
    </row>
    <row r="69" spans="1:2" ht="12.75" thickBot="1">
      <c r="A69" s="265" t="s">
        <v>443</v>
      </c>
      <c r="B69" s="266">
        <f>B66+B68</f>
        <v>114189.38418090288</v>
      </c>
    </row>
    <row r="70" spans="1:2">
      <c r="A70" s="267"/>
      <c r="B70" s="250"/>
    </row>
    <row r="71" spans="1:2" ht="12.75" thickBot="1"/>
    <row r="72" spans="1:2" ht="12.75" thickBot="1">
      <c r="A72" s="61" t="s">
        <v>424</v>
      </c>
      <c r="B72" s="59">
        <f>+B66+B38</f>
        <v>1000027.1200000001</v>
      </c>
    </row>
    <row r="73" spans="1:2" ht="13.5" thickBot="1">
      <c r="A73" s="95" t="s">
        <v>445</v>
      </c>
      <c r="B73" s="260">
        <f>B68+B39</f>
        <v>-302051.13</v>
      </c>
    </row>
    <row r="74" spans="1:2" ht="24.75" thickBot="1">
      <c r="A74" s="263" t="s">
        <v>442</v>
      </c>
      <c r="B74" s="264">
        <f>B41+B69</f>
        <v>697975.99000000011</v>
      </c>
    </row>
  </sheetData>
  <mergeCells count="3">
    <mergeCell ref="A1:B1"/>
    <mergeCell ref="A2:B2"/>
    <mergeCell ref="A3:B3"/>
  </mergeCells>
  <printOptions horizontalCentered="1"/>
  <pageMargins left="0.5" right="0.5" top="1.1499999999999999" bottom="0.75" header="0.5" footer="0.3"/>
  <pageSetup scale="86" fitToHeight="3" orientation="portrait" r:id="rId1"/>
  <headerFooter>
    <oddHeader xml:space="preserve">&amp;REXHIBIT LAS-2
Page &amp;P of &amp;N
</oddHeader>
  </headerFooter>
  <rowBreaks count="1" manualBreakCount="1">
    <brk id="41"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
  <sheetViews>
    <sheetView tabSelected="1" topLeftCell="A49" zoomScaleNormal="100" zoomScaleSheetLayoutView="90" workbookViewId="0">
      <selection activeCell="B58" sqref="B58"/>
    </sheetView>
  </sheetViews>
  <sheetFormatPr defaultColWidth="8.85546875" defaultRowHeight="12.75"/>
  <cols>
    <col min="1" max="1" width="21.42578125" style="104" customWidth="1"/>
    <col min="2" max="2" width="75.42578125" style="62" customWidth="1"/>
    <col min="3" max="3" width="15" style="62" customWidth="1"/>
    <col min="4" max="4" width="126.140625" style="62" bestFit="1" customWidth="1"/>
    <col min="5" max="5" width="11.85546875" style="62" bestFit="1" customWidth="1"/>
    <col min="6" max="16384" width="8.85546875" style="62"/>
  </cols>
  <sheetData>
    <row r="1" spans="1:15" ht="12" customHeight="1">
      <c r="A1" s="274" t="s">
        <v>337</v>
      </c>
      <c r="B1" s="274"/>
      <c r="C1" s="274"/>
    </row>
    <row r="2" spans="1:15" ht="12" customHeight="1">
      <c r="A2" s="275" t="s">
        <v>310</v>
      </c>
      <c r="B2" s="275"/>
      <c r="C2" s="275"/>
    </row>
    <row r="3" spans="1:15" ht="12" customHeight="1">
      <c r="A3" s="276" t="s">
        <v>338</v>
      </c>
      <c r="B3" s="276"/>
      <c r="C3" s="276"/>
      <c r="D3" s="63"/>
      <c r="E3" s="63"/>
      <c r="F3" s="63"/>
      <c r="G3" s="63"/>
      <c r="H3" s="63"/>
      <c r="I3" s="63"/>
      <c r="J3" s="64"/>
      <c r="K3" s="64"/>
      <c r="L3" s="64"/>
      <c r="M3" s="64"/>
      <c r="N3" s="64"/>
      <c r="O3" s="64"/>
    </row>
    <row r="4" spans="1:15" ht="9" customHeight="1">
      <c r="A4" s="275"/>
      <c r="B4" s="275"/>
    </row>
    <row r="5" spans="1:15" ht="25.35" customHeight="1">
      <c r="A5" s="65"/>
      <c r="B5" s="66" t="s">
        <v>359</v>
      </c>
      <c r="C5" s="67" t="s">
        <v>340</v>
      </c>
    </row>
    <row r="6" spans="1:15" ht="26.1" customHeight="1">
      <c r="A6" s="277" t="str">
        <f>' Exh Rate Case Exp'!A7</f>
        <v>PUC Docket No. 33309/33310/34301</v>
      </c>
      <c r="B6" s="277"/>
    </row>
    <row r="7" spans="1:15">
      <c r="A7" s="68"/>
      <c r="B7" s="69"/>
    </row>
    <row r="8" spans="1:15">
      <c r="A8" s="278" t="s">
        <v>342</v>
      </c>
      <c r="B8" s="279"/>
      <c r="C8" s="280"/>
    </row>
    <row r="9" spans="1:15" ht="153">
      <c r="A9" s="70" t="s">
        <v>431</v>
      </c>
      <c r="B9" s="71" t="s">
        <v>436</v>
      </c>
      <c r="C9" s="72">
        <f>'Trailing Charges Central'!I101</f>
        <v>147341.07999999999</v>
      </c>
    </row>
    <row r="10" spans="1:15" s="63" customFormat="1" ht="153">
      <c r="A10" s="70" t="s">
        <v>360</v>
      </c>
      <c r="B10" s="71" t="s">
        <v>446</v>
      </c>
      <c r="C10" s="72">
        <f>'Trailing Charges Central'!I165+'Trailing Charges North'!I30</f>
        <v>66235.98</v>
      </c>
    </row>
    <row r="11" spans="1:15" s="63" customFormat="1">
      <c r="A11" s="73"/>
      <c r="B11" s="74" t="s">
        <v>361</v>
      </c>
      <c r="C11" s="75">
        <f>C9+C10</f>
        <v>213577.06</v>
      </c>
    </row>
    <row r="12" spans="1:15" s="63" customFormat="1">
      <c r="A12" s="254"/>
      <c r="B12" s="255"/>
      <c r="C12" s="256"/>
    </row>
    <row r="13" spans="1:15" s="63" customFormat="1">
      <c r="A13" s="254"/>
      <c r="B13" s="257" t="s">
        <v>433</v>
      </c>
      <c r="C13" s="256">
        <f>'Trailing Charges Central'!I170</f>
        <v>-143175.95418090283</v>
      </c>
    </row>
    <row r="14" spans="1:15" s="63" customFormat="1">
      <c r="A14" s="76"/>
      <c r="B14" s="77"/>
    </row>
    <row r="15" spans="1:15" s="63" customFormat="1">
      <c r="A15" s="281" t="s">
        <v>362</v>
      </c>
      <c r="B15" s="282"/>
      <c r="C15" s="75">
        <f>C11+C13</f>
        <v>70401.105819097167</v>
      </c>
    </row>
    <row r="16" spans="1:15" s="63" customFormat="1">
      <c r="A16" s="76"/>
      <c r="B16" s="77"/>
    </row>
    <row r="17" spans="1:4" s="63" customFormat="1">
      <c r="A17" s="78" t="str">
        <f>+' Exh Rate Case Exp'!A13</f>
        <v>PUC Docket No. 40261</v>
      </c>
      <c r="B17" s="77"/>
    </row>
    <row r="18" spans="1:4" s="63" customFormat="1">
      <c r="A18" s="78"/>
      <c r="B18" s="77"/>
    </row>
    <row r="19" spans="1:4" s="63" customFormat="1">
      <c r="A19" s="271" t="s">
        <v>342</v>
      </c>
      <c r="B19" s="272"/>
      <c r="C19" s="273"/>
    </row>
    <row r="20" spans="1:4" s="63" customFormat="1" ht="140.25">
      <c r="A20" s="70" t="s">
        <v>431</v>
      </c>
      <c r="B20" s="268" t="s">
        <v>447</v>
      </c>
      <c r="C20" s="72">
        <f>'Docket 40261'!H23</f>
        <v>82047.58</v>
      </c>
    </row>
    <row r="21" spans="1:4" s="63" customFormat="1">
      <c r="A21" s="73"/>
      <c r="B21" s="79" t="s">
        <v>361</v>
      </c>
      <c r="C21" s="75">
        <f t="shared" ref="C21" si="0">SUM(C20)</f>
        <v>82047.58</v>
      </c>
    </row>
    <row r="22" spans="1:4" s="63" customFormat="1">
      <c r="A22" s="76"/>
      <c r="B22" s="77"/>
    </row>
    <row r="23" spans="1:4" s="63" customFormat="1">
      <c r="A23" s="271" t="s">
        <v>344</v>
      </c>
      <c r="B23" s="272"/>
      <c r="C23" s="273"/>
    </row>
    <row r="24" spans="1:4" s="63" customFormat="1" ht="25.5">
      <c r="A24" s="71"/>
      <c r="B24" s="71" t="s">
        <v>370</v>
      </c>
      <c r="C24" s="72">
        <f>'Docket 40261'!H27</f>
        <v>55.48</v>
      </c>
      <c r="D24" s="81"/>
    </row>
    <row r="25" spans="1:4" s="63" customFormat="1">
      <c r="A25" s="83"/>
      <c r="B25" s="84"/>
      <c r="C25" s="85"/>
    </row>
    <row r="26" spans="1:4" s="63" customFormat="1">
      <c r="A26" s="281" t="s">
        <v>365</v>
      </c>
      <c r="B26" s="282"/>
      <c r="C26" s="75">
        <f>C21+C24</f>
        <v>82103.06</v>
      </c>
    </row>
    <row r="27" spans="1:4" s="63" customFormat="1">
      <c r="A27" s="78" t="str">
        <f>+' Exh Rate Case Exp'!A19</f>
        <v>PUC Docket No. 47015</v>
      </c>
      <c r="B27" s="77"/>
    </row>
    <row r="28" spans="1:4" s="63" customFormat="1">
      <c r="A28" s="76"/>
      <c r="B28" s="77"/>
    </row>
    <row r="29" spans="1:4" s="63" customFormat="1">
      <c r="A29" s="76"/>
      <c r="B29" s="77"/>
    </row>
    <row r="30" spans="1:4" s="63" customFormat="1">
      <c r="A30" s="271" t="s">
        <v>343</v>
      </c>
      <c r="B30" s="272"/>
      <c r="C30" s="273"/>
    </row>
    <row r="31" spans="1:4" s="63" customFormat="1" ht="68.25" customHeight="1">
      <c r="A31" s="86" t="s">
        <v>366</v>
      </c>
      <c r="B31" s="87" t="s">
        <v>367</v>
      </c>
      <c r="C31" s="80">
        <f>'2017 DCRF 47015'!H20</f>
        <v>4314.05</v>
      </c>
      <c r="D31" s="81"/>
    </row>
    <row r="32" spans="1:4" s="63" customFormat="1">
      <c r="A32" s="73"/>
      <c r="B32" s="79" t="s">
        <v>368</v>
      </c>
      <c r="C32" s="75">
        <f>C31</f>
        <v>4314.05</v>
      </c>
    </row>
    <row r="33" spans="1:4" s="63" customFormat="1">
      <c r="A33" s="76"/>
      <c r="B33" s="77"/>
    </row>
    <row r="34" spans="1:4" s="63" customFormat="1">
      <c r="A34" s="271" t="s">
        <v>369</v>
      </c>
      <c r="B34" s="272"/>
      <c r="C34" s="273"/>
    </row>
    <row r="35" spans="1:4" s="63" customFormat="1" ht="25.5">
      <c r="A35" s="88"/>
      <c r="B35" s="71" t="s">
        <v>370</v>
      </c>
      <c r="C35" s="72">
        <f>'2017 DCRF 47015'!H74</f>
        <v>4005.9100000000003</v>
      </c>
      <c r="D35" s="81"/>
    </row>
    <row r="36" spans="1:4" s="63" customFormat="1">
      <c r="A36" s="76"/>
      <c r="B36" s="77"/>
      <c r="C36" s="89"/>
    </row>
    <row r="37" spans="1:4" s="63" customFormat="1">
      <c r="A37" s="281" t="s">
        <v>371</v>
      </c>
      <c r="B37" s="282"/>
      <c r="C37" s="75">
        <f>C32+C35</f>
        <v>8319.9600000000009</v>
      </c>
    </row>
    <row r="38" spans="1:4" s="63" customFormat="1">
      <c r="A38" s="90"/>
      <c r="B38" s="91"/>
    </row>
    <row r="39" spans="1:4" s="63" customFormat="1">
      <c r="A39" s="78" t="str">
        <f>+' Exh Rate Case Exp'!A25</f>
        <v>PUC Docket No. 48222</v>
      </c>
    </row>
    <row r="40" spans="1:4" s="63" customFormat="1">
      <c r="A40" s="92"/>
    </row>
    <row r="41" spans="1:4" s="63" customFormat="1">
      <c r="A41" s="271" t="s">
        <v>343</v>
      </c>
      <c r="B41" s="272"/>
      <c r="C41" s="273"/>
    </row>
    <row r="42" spans="1:4" s="63" customFormat="1" ht="63.75">
      <c r="A42" s="71" t="s">
        <v>372</v>
      </c>
      <c r="B42" s="87" t="s">
        <v>373</v>
      </c>
      <c r="C42" s="93">
        <f>'2018 DCRF 48222 '!H25</f>
        <v>322.09000000000003</v>
      </c>
      <c r="D42" s="81"/>
    </row>
    <row r="43" spans="1:4" s="63" customFormat="1" ht="25.5">
      <c r="A43" s="82" t="s">
        <v>374</v>
      </c>
      <c r="B43" s="94" t="s">
        <v>375</v>
      </c>
      <c r="C43" s="93">
        <f>'2018 DCRF 48222 '!H29</f>
        <v>50.16</v>
      </c>
    </row>
    <row r="44" spans="1:4" s="95" customFormat="1">
      <c r="A44" s="73"/>
      <c r="B44" s="74" t="s">
        <v>368</v>
      </c>
      <c r="C44" s="75">
        <f>SUM(C42:C43)</f>
        <v>372.25</v>
      </c>
    </row>
    <row r="45" spans="1:4" s="63" customFormat="1">
      <c r="A45" s="76"/>
      <c r="B45" s="77"/>
    </row>
    <row r="46" spans="1:4" s="63" customFormat="1">
      <c r="A46" s="271" t="s">
        <v>369</v>
      </c>
      <c r="B46" s="272"/>
      <c r="C46" s="273"/>
    </row>
    <row r="47" spans="1:4" s="63" customFormat="1" ht="25.5">
      <c r="A47" s="70"/>
      <c r="B47" s="96" t="s">
        <v>376</v>
      </c>
      <c r="C47" s="72">
        <f>'2018 DCRF 48222 '!H66</f>
        <v>23414.129999999997</v>
      </c>
      <c r="D47" s="81"/>
    </row>
    <row r="48" spans="1:4" s="63" customFormat="1">
      <c r="A48" s="76"/>
      <c r="B48" s="77"/>
      <c r="C48" s="97"/>
    </row>
    <row r="49" spans="1:4" s="63" customFormat="1">
      <c r="A49" s="281" t="s">
        <v>377</v>
      </c>
      <c r="B49" s="282"/>
      <c r="C49" s="98">
        <f>C44+C47</f>
        <v>23786.379999999997</v>
      </c>
    </row>
    <row r="50" spans="1:4" s="63" customFormat="1">
      <c r="A50" s="76"/>
      <c r="B50" s="77"/>
      <c r="C50" s="97"/>
    </row>
    <row r="51" spans="1:4" s="63" customFormat="1">
      <c r="A51" s="78" t="str">
        <f>+' Exh Rate Case Exp'!A30</f>
        <v>PUC Docket No. 48577</v>
      </c>
    </row>
    <row r="52" spans="1:4" s="63" customFormat="1">
      <c r="A52" s="92"/>
    </row>
    <row r="53" spans="1:4" s="63" customFormat="1">
      <c r="A53" s="271" t="s">
        <v>342</v>
      </c>
      <c r="B53" s="272"/>
      <c r="C53" s="273"/>
    </row>
    <row r="54" spans="1:4" s="63" customFormat="1" ht="140.25">
      <c r="A54" s="88" t="s">
        <v>378</v>
      </c>
      <c r="B54" s="71" t="s">
        <v>379</v>
      </c>
      <c r="C54" s="72">
        <f>'Docket 48577 '!H46</f>
        <v>366397.52</v>
      </c>
    </row>
    <row r="55" spans="1:4" s="95" customFormat="1">
      <c r="A55" s="73"/>
      <c r="B55" s="74" t="s">
        <v>361</v>
      </c>
      <c r="C55" s="75">
        <f t="shared" ref="C55" si="1">SUM(C54)</f>
        <v>366397.52</v>
      </c>
    </row>
    <row r="56" spans="1:4" s="63" customFormat="1">
      <c r="A56" s="76"/>
      <c r="B56" s="77"/>
      <c r="C56" s="97"/>
    </row>
    <row r="57" spans="1:4" s="63" customFormat="1">
      <c r="A57" s="253" t="s">
        <v>432</v>
      </c>
      <c r="B57" s="77"/>
      <c r="C57" s="97"/>
    </row>
    <row r="58" spans="1:4" s="63" customFormat="1">
      <c r="A58" s="71" t="s">
        <v>444</v>
      </c>
      <c r="B58" s="87"/>
      <c r="C58" s="72">
        <f>'Docket 48577 '!H9</f>
        <v>2400</v>
      </c>
      <c r="D58" s="81"/>
    </row>
    <row r="59" spans="1:4" s="95" customFormat="1">
      <c r="A59" s="73"/>
      <c r="B59" s="74" t="s">
        <v>392</v>
      </c>
      <c r="C59" s="75">
        <f>C58</f>
        <v>2400</v>
      </c>
    </row>
    <row r="60" spans="1:4" s="63" customFormat="1">
      <c r="A60" s="76"/>
      <c r="B60" s="77"/>
      <c r="C60" s="97"/>
    </row>
    <row r="61" spans="1:4" s="63" customFormat="1">
      <c r="A61" s="271" t="s">
        <v>343</v>
      </c>
      <c r="B61" s="272"/>
      <c r="C61" s="273"/>
    </row>
    <row r="62" spans="1:4" s="63" customFormat="1" ht="63.75">
      <c r="A62" s="71" t="s">
        <v>372</v>
      </c>
      <c r="B62" s="87" t="s">
        <v>373</v>
      </c>
      <c r="C62" s="72">
        <f>'Docket 48577 '!H59</f>
        <v>997.23000000000025</v>
      </c>
      <c r="D62" s="81"/>
    </row>
    <row r="63" spans="1:4" s="63" customFormat="1">
      <c r="A63" s="82" t="s">
        <v>363</v>
      </c>
      <c r="B63" s="87" t="s">
        <v>364</v>
      </c>
      <c r="C63" s="72">
        <f>'Docket 48577 '!H64</f>
        <v>24863.83</v>
      </c>
    </row>
    <row r="64" spans="1:4" s="63" customFormat="1" ht="25.5">
      <c r="A64" s="71" t="s">
        <v>374</v>
      </c>
      <c r="B64" s="94" t="s">
        <v>375</v>
      </c>
      <c r="C64" s="72">
        <f>'Docket 48577 '!H70</f>
        <v>522.71</v>
      </c>
    </row>
    <row r="65" spans="1:5" s="95" customFormat="1">
      <c r="A65" s="73"/>
      <c r="B65" s="74" t="s">
        <v>368</v>
      </c>
      <c r="C65" s="75">
        <f>SUM(C62:C64)</f>
        <v>26383.77</v>
      </c>
    </row>
    <row r="66" spans="1:5" s="63" customFormat="1">
      <c r="A66" s="76"/>
      <c r="B66" s="77"/>
      <c r="C66" s="97"/>
    </row>
    <row r="67" spans="1:5" s="63" customFormat="1">
      <c r="A67" s="271" t="s">
        <v>369</v>
      </c>
      <c r="B67" s="272"/>
      <c r="C67" s="273"/>
    </row>
    <row r="68" spans="1:5" s="63" customFormat="1" ht="25.5">
      <c r="A68" s="70"/>
      <c r="B68" s="96" t="s">
        <v>380</v>
      </c>
      <c r="C68" s="98">
        <f>'Docket 48577 '!H101</f>
        <v>3994.8100000000004</v>
      </c>
      <c r="D68" s="81"/>
    </row>
    <row r="69" spans="1:5" s="63" customFormat="1">
      <c r="A69" s="76"/>
      <c r="B69" s="77"/>
      <c r="C69" s="97"/>
    </row>
    <row r="70" spans="1:5" s="63" customFormat="1">
      <c r="A70" s="281" t="s">
        <v>381</v>
      </c>
      <c r="B70" s="282"/>
      <c r="C70" s="99">
        <f>C55+C59+C65+C68</f>
        <v>399176.10000000003</v>
      </c>
      <c r="E70" s="100"/>
    </row>
    <row r="71" spans="1:5" s="63" customFormat="1">
      <c r="A71" s="101"/>
      <c r="B71" s="101"/>
      <c r="C71" s="102"/>
      <c r="E71" s="100"/>
    </row>
    <row r="72" spans="1:5" s="63" customFormat="1">
      <c r="A72" s="101"/>
      <c r="B72" s="101"/>
      <c r="C72" s="102"/>
      <c r="E72" s="100"/>
    </row>
    <row r="73" spans="1:5">
      <c r="A73" s="283" t="s">
        <v>445</v>
      </c>
      <c r="B73" s="284"/>
      <c r="C73" s="103">
        <f>C70+C49+C37+C26+C15</f>
        <v>583786.60581909725</v>
      </c>
    </row>
    <row r="89" spans="1:2" s="105" customFormat="1">
      <c r="A89" s="104"/>
      <c r="B89" s="62"/>
    </row>
  </sheetData>
  <mergeCells count="21">
    <mergeCell ref="A67:C67"/>
    <mergeCell ref="A70:B70"/>
    <mergeCell ref="A73:B73"/>
    <mergeCell ref="A37:B37"/>
    <mergeCell ref="A41:C41"/>
    <mergeCell ref="A46:C46"/>
    <mergeCell ref="A49:B49"/>
    <mergeCell ref="A53:C53"/>
    <mergeCell ref="A61:C61"/>
    <mergeCell ref="A34:C34"/>
    <mergeCell ref="A1:C1"/>
    <mergeCell ref="A2:C2"/>
    <mergeCell ref="A3:C3"/>
    <mergeCell ref="A4:B4"/>
    <mergeCell ref="A6:B6"/>
    <mergeCell ref="A8:C8"/>
    <mergeCell ref="A15:B15"/>
    <mergeCell ref="A19:C19"/>
    <mergeCell ref="A23:C23"/>
    <mergeCell ref="A26:B26"/>
    <mergeCell ref="A30:C30"/>
  </mergeCells>
  <printOptions horizontalCentered="1"/>
  <pageMargins left="0.7" right="0.45" top="1" bottom="0.5" header="0.25" footer="0.3"/>
  <pageSetup scale="79" fitToHeight="0" orientation="portrait" r:id="rId1"/>
  <headerFooter>
    <oddHeader xml:space="preserve">&amp;REXHIBIT LAS-2
Page &amp;P of &amp;N
</oddHeader>
  </headerFooter>
  <rowBreaks count="2" manualBreakCount="2">
    <brk id="26" max="2" man="1"/>
    <brk id="55"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5"/>
  <sheetViews>
    <sheetView zoomScaleNormal="100" workbookViewId="0">
      <selection activeCell="A21" sqref="A21"/>
    </sheetView>
  </sheetViews>
  <sheetFormatPr defaultColWidth="10.28515625" defaultRowHeight="12.75"/>
  <cols>
    <col min="1" max="1" width="38" style="1" bestFit="1" customWidth="1"/>
    <col min="2" max="2" width="13.42578125" style="1" bestFit="1" customWidth="1"/>
    <col min="3" max="3" width="10" style="1" bestFit="1" customWidth="1"/>
    <col min="4" max="4" width="9.5703125" style="1" bestFit="1" customWidth="1"/>
    <col min="5" max="5" width="43.7109375" style="1" bestFit="1" customWidth="1"/>
    <col min="6" max="6" width="14" style="2" bestFit="1" customWidth="1"/>
    <col min="7" max="7" width="14.85546875" style="189" customWidth="1"/>
    <col min="8" max="8" width="11.28515625" style="2" bestFit="1" customWidth="1"/>
    <col min="9" max="9" width="19.5703125" style="2" bestFit="1" customWidth="1"/>
    <col min="10" max="10" width="7" style="1" bestFit="1" customWidth="1"/>
    <col min="11" max="11" width="10.7109375" style="3" bestFit="1" customWidth="1"/>
    <col min="12" max="12" width="14.42578125" style="1" bestFit="1" customWidth="1"/>
    <col min="13" max="13" width="12.7109375" style="1" bestFit="1" customWidth="1"/>
    <col min="14" max="14" width="10.28515625" style="1"/>
    <col min="15" max="15" width="16.85546875" style="1" bestFit="1" customWidth="1"/>
    <col min="16" max="17" width="9.85546875" style="1" bestFit="1" customWidth="1"/>
    <col min="18" max="18" width="7.42578125" style="1" bestFit="1" customWidth="1"/>
    <col min="19" max="19" width="11.140625" style="1" bestFit="1" customWidth="1"/>
    <col min="20" max="16384" width="10.28515625" style="1"/>
  </cols>
  <sheetData>
    <row r="1" spans="1:13" s="10" customFormat="1">
      <c r="A1" s="285" t="s">
        <v>309</v>
      </c>
      <c r="B1" s="285"/>
      <c r="C1" s="285"/>
      <c r="D1" s="285"/>
      <c r="E1" s="285"/>
      <c r="F1" s="285"/>
      <c r="G1" s="285"/>
      <c r="H1" s="285"/>
      <c r="I1" s="285"/>
      <c r="J1" s="285"/>
      <c r="K1" s="285"/>
      <c r="L1" s="285"/>
      <c r="M1" s="285"/>
    </row>
    <row r="2" spans="1:13" s="10" customFormat="1">
      <c r="A2" s="285" t="s">
        <v>310</v>
      </c>
      <c r="B2" s="285"/>
      <c r="C2" s="285"/>
      <c r="D2" s="285"/>
      <c r="E2" s="285"/>
      <c r="F2" s="285"/>
      <c r="G2" s="285"/>
      <c r="H2" s="285"/>
      <c r="I2" s="285"/>
      <c r="J2" s="285"/>
      <c r="K2" s="285"/>
      <c r="L2" s="285"/>
      <c r="M2" s="285"/>
    </row>
    <row r="3" spans="1:13" s="10" customFormat="1" ht="12" customHeight="1">
      <c r="A3" s="286" t="s">
        <v>336</v>
      </c>
      <c r="B3" s="286"/>
      <c r="C3" s="286"/>
      <c r="D3" s="286"/>
      <c r="E3" s="286"/>
      <c r="F3" s="286"/>
      <c r="G3" s="286"/>
      <c r="H3" s="286"/>
      <c r="I3" s="286"/>
      <c r="J3" s="286"/>
      <c r="K3" s="286"/>
      <c r="L3" s="286"/>
      <c r="M3" s="286"/>
    </row>
    <row r="5" spans="1:13" ht="13.5" thickBot="1"/>
    <row r="6" spans="1:13" s="7" customFormat="1" ht="14.25" thickTop="1" thickBot="1">
      <c r="A6" s="4" t="s">
        <v>1</v>
      </c>
      <c r="B6" s="4" t="s">
        <v>91</v>
      </c>
      <c r="C6" s="4" t="s">
        <v>0</v>
      </c>
      <c r="D6" s="4" t="s">
        <v>3</v>
      </c>
      <c r="E6" s="4" t="s">
        <v>4</v>
      </c>
      <c r="F6" s="5" t="s">
        <v>5</v>
      </c>
      <c r="G6" s="190" t="s">
        <v>6</v>
      </c>
      <c r="H6" s="5" t="s">
        <v>7</v>
      </c>
      <c r="I6" s="5" t="s">
        <v>93</v>
      </c>
      <c r="J6" s="4" t="s">
        <v>11</v>
      </c>
      <c r="K6" s="6" t="s">
        <v>12</v>
      </c>
      <c r="L6" s="4" t="s">
        <v>8</v>
      </c>
      <c r="M6" s="4" t="s">
        <v>35</v>
      </c>
    </row>
    <row r="7" spans="1:13" ht="13.5" thickTop="1">
      <c r="A7" s="7" t="s">
        <v>98</v>
      </c>
      <c r="B7" s="42" t="s">
        <v>98</v>
      </c>
      <c r="C7" s="8" t="s">
        <v>292</v>
      </c>
      <c r="D7" s="42" t="s">
        <v>130</v>
      </c>
      <c r="E7" s="8" t="s">
        <v>266</v>
      </c>
      <c r="F7" s="2">
        <v>5824.8</v>
      </c>
      <c r="G7" s="189">
        <v>0</v>
      </c>
      <c r="H7" s="2">
        <f>+F7+G7</f>
        <v>5824.8</v>
      </c>
      <c r="I7" s="106"/>
      <c r="J7" s="1">
        <v>2012</v>
      </c>
      <c r="K7" s="3">
        <v>3</v>
      </c>
      <c r="L7" s="8" t="s">
        <v>293</v>
      </c>
      <c r="M7" s="34">
        <v>40966</v>
      </c>
    </row>
    <row r="8" spans="1:13">
      <c r="A8" s="7" t="s">
        <v>98</v>
      </c>
      <c r="B8" s="42" t="s">
        <v>98</v>
      </c>
      <c r="C8" s="8" t="s">
        <v>294</v>
      </c>
      <c r="D8" s="42" t="s">
        <v>130</v>
      </c>
      <c r="E8" s="8" t="s">
        <v>266</v>
      </c>
      <c r="F8" s="2">
        <v>16914.5</v>
      </c>
      <c r="G8" s="189">
        <v>0</v>
      </c>
      <c r="H8" s="2">
        <f>+F8+G8</f>
        <v>16914.5</v>
      </c>
      <c r="I8" s="106"/>
      <c r="J8" s="1">
        <v>2012</v>
      </c>
      <c r="K8" s="3">
        <v>3</v>
      </c>
      <c r="L8" s="8" t="s">
        <v>295</v>
      </c>
      <c r="M8" s="34">
        <v>40966</v>
      </c>
    </row>
    <row r="9" spans="1:13">
      <c r="A9" s="7"/>
      <c r="B9" s="42"/>
      <c r="C9" s="8"/>
      <c r="D9" s="42"/>
      <c r="E9" s="36" t="s">
        <v>387</v>
      </c>
      <c r="F9" s="114">
        <f>+F8+F7</f>
        <v>22739.3</v>
      </c>
      <c r="G9" s="129">
        <f t="shared" ref="G9:H9" si="0">+G8+G7</f>
        <v>0</v>
      </c>
      <c r="H9" s="114">
        <f t="shared" si="0"/>
        <v>22739.3</v>
      </c>
      <c r="I9" s="106"/>
      <c r="L9" s="8"/>
      <c r="M9" s="34"/>
    </row>
    <row r="10" spans="1:13">
      <c r="A10" s="7" t="s">
        <v>98</v>
      </c>
      <c r="B10" s="42" t="s">
        <v>98</v>
      </c>
      <c r="C10" s="8" t="s">
        <v>297</v>
      </c>
      <c r="D10" s="42" t="s">
        <v>130</v>
      </c>
      <c r="E10" s="8" t="s">
        <v>266</v>
      </c>
      <c r="F10" s="2">
        <v>15392</v>
      </c>
      <c r="H10" s="2">
        <f>+F10+G10</f>
        <v>15392</v>
      </c>
      <c r="I10" s="106"/>
      <c r="J10" s="1">
        <v>2012</v>
      </c>
      <c r="K10" s="3">
        <v>4</v>
      </c>
      <c r="L10" s="8" t="s">
        <v>298</v>
      </c>
      <c r="M10" s="107" t="s">
        <v>397</v>
      </c>
    </row>
    <row r="11" spans="1:13">
      <c r="A11" s="7"/>
      <c r="B11" s="42"/>
      <c r="C11" s="8"/>
      <c r="D11" s="42"/>
      <c r="E11" s="36" t="s">
        <v>387</v>
      </c>
      <c r="F11" s="114">
        <f>+F10</f>
        <v>15392</v>
      </c>
      <c r="G11" s="129">
        <f t="shared" ref="G11:H11" si="1">+G10</f>
        <v>0</v>
      </c>
      <c r="H11" s="114">
        <f t="shared" si="1"/>
        <v>15392</v>
      </c>
      <c r="I11" s="106"/>
      <c r="L11" s="8"/>
      <c r="M11" s="107"/>
    </row>
    <row r="12" spans="1:13">
      <c r="A12" s="7" t="s">
        <v>98</v>
      </c>
      <c r="B12" s="42" t="s">
        <v>98</v>
      </c>
      <c r="C12" s="8" t="s">
        <v>301</v>
      </c>
      <c r="D12" s="42" t="s">
        <v>130</v>
      </c>
      <c r="E12" s="8" t="s">
        <v>266</v>
      </c>
      <c r="F12" s="2">
        <v>32550.12</v>
      </c>
      <c r="H12" s="2">
        <f>+F12+G12</f>
        <v>32550.12</v>
      </c>
      <c r="I12" s="106"/>
      <c r="J12" s="1">
        <v>2012</v>
      </c>
      <c r="K12" s="3">
        <v>5</v>
      </c>
      <c r="L12" s="8" t="s">
        <v>302</v>
      </c>
      <c r="M12" s="107" t="s">
        <v>399</v>
      </c>
    </row>
    <row r="13" spans="1:13">
      <c r="A13" s="7"/>
      <c r="B13" s="42"/>
      <c r="C13" s="8"/>
      <c r="D13" s="42"/>
      <c r="E13" s="36" t="s">
        <v>387</v>
      </c>
      <c r="F13" s="114">
        <f>+F12</f>
        <v>32550.12</v>
      </c>
      <c r="G13" s="129">
        <f t="shared" ref="G13:H13" si="2">+G12</f>
        <v>0</v>
      </c>
      <c r="H13" s="114">
        <f t="shared" si="2"/>
        <v>32550.12</v>
      </c>
      <c r="I13" s="106"/>
      <c r="L13" s="8"/>
      <c r="M13" s="107"/>
    </row>
    <row r="14" spans="1:13">
      <c r="A14" s="7" t="s">
        <v>98</v>
      </c>
      <c r="B14" s="42" t="s">
        <v>98</v>
      </c>
      <c r="C14" s="8" t="s">
        <v>303</v>
      </c>
      <c r="D14" s="42" t="s">
        <v>130</v>
      </c>
      <c r="E14" s="8" t="s">
        <v>266</v>
      </c>
      <c r="F14" s="2">
        <v>3243.04</v>
      </c>
      <c r="H14" s="2">
        <f>+F14+G14</f>
        <v>3243.04</v>
      </c>
      <c r="I14" s="106"/>
      <c r="J14" s="1">
        <v>2012</v>
      </c>
      <c r="K14" s="3">
        <v>6</v>
      </c>
      <c r="L14" s="8" t="s">
        <v>304</v>
      </c>
      <c r="M14" s="107" t="s">
        <v>398</v>
      </c>
    </row>
    <row r="15" spans="1:13">
      <c r="A15" s="7"/>
      <c r="B15" s="42"/>
      <c r="C15" s="8"/>
      <c r="D15" s="42"/>
      <c r="E15" s="36" t="s">
        <v>387</v>
      </c>
      <c r="F15" s="114">
        <f>+F14</f>
        <v>3243.04</v>
      </c>
      <c r="G15" s="129">
        <f t="shared" ref="G15:H15" si="3">+G14</f>
        <v>0</v>
      </c>
      <c r="H15" s="114">
        <f t="shared" si="3"/>
        <v>3243.04</v>
      </c>
      <c r="I15" s="106"/>
      <c r="L15" s="8"/>
      <c r="M15" s="107"/>
    </row>
    <row r="16" spans="1:13">
      <c r="A16" s="7" t="s">
        <v>98</v>
      </c>
      <c r="B16" s="42" t="s">
        <v>98</v>
      </c>
      <c r="C16" s="8" t="s">
        <v>305</v>
      </c>
      <c r="D16" s="42" t="s">
        <v>130</v>
      </c>
      <c r="E16" s="8" t="s">
        <v>266</v>
      </c>
      <c r="F16" s="2">
        <v>6580.04</v>
      </c>
      <c r="H16" s="2">
        <f>+F16+G16</f>
        <v>6580.04</v>
      </c>
      <c r="I16" s="106"/>
      <c r="J16" s="1">
        <v>2012</v>
      </c>
      <c r="K16" s="3">
        <v>8</v>
      </c>
      <c r="L16" s="8" t="s">
        <v>306</v>
      </c>
      <c r="M16" s="107" t="s">
        <v>400</v>
      </c>
    </row>
    <row r="17" spans="1:13">
      <c r="A17" s="7"/>
      <c r="B17" s="42"/>
      <c r="C17" s="8"/>
      <c r="D17" s="42"/>
      <c r="E17" s="36" t="s">
        <v>387</v>
      </c>
      <c r="F17" s="114">
        <f>+F16</f>
        <v>6580.04</v>
      </c>
      <c r="G17" s="129">
        <f t="shared" ref="G17:H17" si="4">+G16</f>
        <v>0</v>
      </c>
      <c r="H17" s="114">
        <f t="shared" si="4"/>
        <v>6580.04</v>
      </c>
      <c r="I17" s="106"/>
      <c r="L17" s="8"/>
      <c r="M17" s="107"/>
    </row>
    <row r="18" spans="1:13">
      <c r="A18" s="7" t="s">
        <v>98</v>
      </c>
      <c r="B18" s="42" t="s">
        <v>98</v>
      </c>
      <c r="C18" s="8" t="s">
        <v>307</v>
      </c>
      <c r="D18" s="42" t="s">
        <v>130</v>
      </c>
      <c r="E18" s="8" t="s">
        <v>266</v>
      </c>
      <c r="F18" s="2">
        <v>1415.08</v>
      </c>
      <c r="H18" s="2">
        <f>+F18+G18</f>
        <v>1415.08</v>
      </c>
      <c r="I18" s="106"/>
      <c r="J18" s="1">
        <v>2012</v>
      </c>
      <c r="K18" s="3">
        <v>9</v>
      </c>
      <c r="L18" s="8" t="s">
        <v>308</v>
      </c>
      <c r="M18" s="107" t="s">
        <v>401</v>
      </c>
    </row>
    <row r="19" spans="1:13">
      <c r="A19" s="7"/>
      <c r="B19" s="42"/>
      <c r="C19" s="8"/>
      <c r="D19" s="42"/>
      <c r="E19" s="36" t="s">
        <v>387</v>
      </c>
      <c r="F19" s="114">
        <f>+F18</f>
        <v>1415.08</v>
      </c>
      <c r="G19" s="129">
        <f t="shared" ref="G19:H19" si="5">+G18</f>
        <v>0</v>
      </c>
      <c r="H19" s="114">
        <f t="shared" si="5"/>
        <v>1415.08</v>
      </c>
      <c r="I19" s="106"/>
      <c r="L19" s="8"/>
      <c r="M19" s="107"/>
    </row>
    <row r="20" spans="1:13">
      <c r="A20" s="1" t="s">
        <v>98</v>
      </c>
      <c r="B20" s="42" t="s">
        <v>98</v>
      </c>
      <c r="C20" s="8" t="s">
        <v>288</v>
      </c>
      <c r="D20" s="42" t="s">
        <v>130</v>
      </c>
      <c r="E20" s="8" t="s">
        <v>266</v>
      </c>
      <c r="F20" s="2">
        <v>128</v>
      </c>
      <c r="H20" s="2">
        <f>+F20+G20</f>
        <v>128</v>
      </c>
      <c r="I20" s="106"/>
      <c r="J20" s="1">
        <v>2012</v>
      </c>
      <c r="K20" s="3">
        <v>10</v>
      </c>
      <c r="L20" s="8" t="s">
        <v>289</v>
      </c>
      <c r="M20" s="107" t="s">
        <v>402</v>
      </c>
    </row>
    <row r="21" spans="1:13">
      <c r="B21" s="42"/>
      <c r="C21" s="8"/>
      <c r="D21" s="42"/>
      <c r="E21" s="36" t="s">
        <v>387</v>
      </c>
      <c r="F21" s="114">
        <f>+F20</f>
        <v>128</v>
      </c>
      <c r="G21" s="129">
        <f t="shared" ref="G21:H21" si="6">+G20</f>
        <v>0</v>
      </c>
      <c r="H21" s="114">
        <f t="shared" si="6"/>
        <v>128</v>
      </c>
      <c r="I21" s="106"/>
      <c r="L21" s="8"/>
      <c r="M21" s="107"/>
    </row>
    <row r="22" spans="1:13">
      <c r="B22" s="42"/>
      <c r="C22" s="8"/>
      <c r="D22" s="42"/>
      <c r="E22" s="8" t="s">
        <v>403</v>
      </c>
      <c r="F22" s="114">
        <f>+F21+F19+F17+F15+F13+F11+F9</f>
        <v>82047.58</v>
      </c>
      <c r="G22" s="129">
        <f t="shared" ref="G22:H22" si="7">+G21+G19+G17+G15+G13+G11+G9</f>
        <v>0</v>
      </c>
      <c r="H22" s="114">
        <f t="shared" si="7"/>
        <v>82047.58</v>
      </c>
      <c r="I22" s="106"/>
      <c r="L22" s="8"/>
      <c r="M22" s="107"/>
    </row>
    <row r="23" spans="1:13">
      <c r="A23" s="1" t="s">
        <v>361</v>
      </c>
      <c r="B23" s="42"/>
      <c r="C23" s="8"/>
      <c r="D23" s="42"/>
      <c r="E23" s="8"/>
      <c r="F23" s="114">
        <f>+F22</f>
        <v>82047.58</v>
      </c>
      <c r="G23" s="114">
        <f t="shared" ref="G23:H23" si="8">+G22</f>
        <v>0</v>
      </c>
      <c r="H23" s="114">
        <f t="shared" si="8"/>
        <v>82047.58</v>
      </c>
      <c r="I23" s="106"/>
      <c r="L23" s="8"/>
      <c r="M23" s="107"/>
    </row>
    <row r="24" spans="1:13">
      <c r="B24" s="42"/>
      <c r="C24" s="8"/>
      <c r="D24" s="42"/>
      <c r="E24" s="8"/>
      <c r="I24" s="106"/>
      <c r="L24" s="8"/>
      <c r="M24" s="107"/>
    </row>
    <row r="25" spans="1:13">
      <c r="A25" s="42" t="s">
        <v>409</v>
      </c>
      <c r="B25" s="42" t="s">
        <v>296</v>
      </c>
      <c r="C25" s="8" t="s">
        <v>299</v>
      </c>
      <c r="D25" s="113" t="s">
        <v>332</v>
      </c>
      <c r="E25" s="8" t="s">
        <v>291</v>
      </c>
      <c r="F25" s="2">
        <v>55.48</v>
      </c>
      <c r="G25" s="189">
        <v>0</v>
      </c>
      <c r="H25" s="2">
        <f>+F25+G25</f>
        <v>55.48</v>
      </c>
      <c r="I25" s="106" t="s">
        <v>395</v>
      </c>
      <c r="J25" s="1">
        <v>2012</v>
      </c>
      <c r="K25" s="3">
        <v>4</v>
      </c>
      <c r="L25" s="8" t="s">
        <v>300</v>
      </c>
      <c r="M25" s="42" t="s">
        <v>396</v>
      </c>
    </row>
    <row r="26" spans="1:13">
      <c r="A26" s="42"/>
      <c r="B26" s="42"/>
      <c r="C26" s="8"/>
      <c r="D26" s="113"/>
      <c r="E26" s="36" t="s">
        <v>387</v>
      </c>
      <c r="F26" s="114">
        <f>+F25</f>
        <v>55.48</v>
      </c>
      <c r="G26" s="129">
        <f t="shared" ref="G26:H26" si="9">+G25</f>
        <v>0</v>
      </c>
      <c r="H26" s="114">
        <f t="shared" si="9"/>
        <v>55.48</v>
      </c>
      <c r="I26" s="106"/>
      <c r="L26" s="8"/>
      <c r="M26" s="42"/>
    </row>
    <row r="27" spans="1:13">
      <c r="A27" s="42" t="s">
        <v>407</v>
      </c>
      <c r="B27" s="42"/>
      <c r="C27" s="8"/>
      <c r="D27" s="113"/>
      <c r="E27" s="8"/>
      <c r="F27" s="114">
        <f>+F26</f>
        <v>55.48</v>
      </c>
      <c r="G27" s="114">
        <f t="shared" ref="G27:H27" si="10">+G26</f>
        <v>0</v>
      </c>
      <c r="H27" s="114">
        <f t="shared" si="10"/>
        <v>55.48</v>
      </c>
      <c r="I27" s="106"/>
      <c r="L27" s="8"/>
      <c r="M27" s="42"/>
    </row>
    <row r="28" spans="1:13">
      <c r="A28" s="42"/>
      <c r="B28" s="42"/>
      <c r="C28" s="8"/>
      <c r="D28" s="113"/>
      <c r="E28" s="8"/>
      <c r="I28" s="106"/>
      <c r="L28" s="8"/>
      <c r="M28" s="42"/>
    </row>
    <row r="29" spans="1:13" ht="13.5" thickBot="1">
      <c r="A29" s="11" t="s">
        <v>413</v>
      </c>
      <c r="B29" s="11"/>
      <c r="F29" s="9">
        <f>+F27+F22</f>
        <v>82103.06</v>
      </c>
      <c r="G29" s="191">
        <f>+G27+G22</f>
        <v>0</v>
      </c>
      <c r="H29" s="9">
        <f>+H27+H22</f>
        <v>82103.06</v>
      </c>
    </row>
    <row r="30" spans="1:13" ht="13.5" thickTop="1">
      <c r="I30" s="106"/>
    </row>
    <row r="32" spans="1:13" ht="13.5" thickBot="1"/>
    <row r="33" spans="1:20" ht="13.5" thickBot="1">
      <c r="A33" s="166" t="s">
        <v>415</v>
      </c>
      <c r="B33" s="167"/>
      <c r="C33" s="167"/>
      <c r="D33" s="167"/>
      <c r="E33" s="168"/>
    </row>
    <row r="34" spans="1:20">
      <c r="A34" s="162" t="s">
        <v>274</v>
      </c>
      <c r="B34" s="163" t="s">
        <v>90</v>
      </c>
      <c r="C34" s="164"/>
      <c r="D34" s="164"/>
      <c r="E34" s="165"/>
    </row>
    <row r="35" spans="1:20">
      <c r="A35" s="151"/>
      <c r="B35" s="29" t="s">
        <v>272</v>
      </c>
      <c r="C35" s="30" t="s">
        <v>199</v>
      </c>
      <c r="D35" s="30"/>
      <c r="E35" s="152" t="s">
        <v>271</v>
      </c>
    </row>
    <row r="36" spans="1:20">
      <c r="A36" s="153" t="s">
        <v>273</v>
      </c>
      <c r="B36" s="31">
        <v>41051.53</v>
      </c>
      <c r="C36" s="31">
        <v>41051.53</v>
      </c>
      <c r="D36" s="32"/>
      <c r="E36" s="154">
        <f>+C36+B36</f>
        <v>82103.06</v>
      </c>
    </row>
    <row r="37" spans="1:20">
      <c r="A37" s="155" t="s">
        <v>411</v>
      </c>
      <c r="B37" s="156">
        <v>0.5</v>
      </c>
      <c r="C37" s="156">
        <v>0.5</v>
      </c>
      <c r="D37" s="157"/>
      <c r="E37" s="158"/>
      <c r="O37" s="23"/>
      <c r="P37" s="24"/>
      <c r="Q37" s="24"/>
      <c r="R37" s="24"/>
      <c r="S37" s="24"/>
      <c r="T37" s="24"/>
    </row>
    <row r="38" spans="1:20" ht="13.5" thickBot="1">
      <c r="A38" s="159"/>
      <c r="B38" s="160"/>
      <c r="C38" s="160"/>
      <c r="D38" s="160"/>
      <c r="E38" s="161"/>
      <c r="T38" s="24"/>
    </row>
    <row r="39" spans="1:20">
      <c r="A39" s="23"/>
      <c r="B39" s="24"/>
      <c r="C39" s="24"/>
      <c r="D39" s="24"/>
      <c r="E39" s="24"/>
      <c r="T39" s="24"/>
    </row>
    <row r="40" spans="1:20">
      <c r="T40" s="24"/>
    </row>
    <row r="41" spans="1:20">
      <c r="T41" s="24"/>
    </row>
    <row r="42" spans="1:20">
      <c r="T42" s="24"/>
    </row>
    <row r="43" spans="1:20">
      <c r="T43" s="24"/>
    </row>
    <row r="44" spans="1:20">
      <c r="T44" s="24"/>
    </row>
    <row r="45" spans="1:20">
      <c r="O45" s="23"/>
      <c r="P45" s="24"/>
      <c r="Q45" s="24"/>
      <c r="R45" s="24"/>
      <c r="S45" s="24"/>
      <c r="T45" s="24"/>
    </row>
  </sheetData>
  <sortState ref="A25:M42">
    <sortCondition descending="1" ref="A25:A42"/>
    <sortCondition ref="K25:K42"/>
  </sortState>
  <mergeCells count="3">
    <mergeCell ref="A1:M1"/>
    <mergeCell ref="A2:M2"/>
    <mergeCell ref="A3:M3"/>
  </mergeCells>
  <pageMargins left="0.75" right="0.75" top="1" bottom="1" header="0.5" footer="0.5"/>
  <pageSetup scale="55" fitToHeight="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04"/>
  <sheetViews>
    <sheetView topLeftCell="A4" zoomScaleNormal="100" workbookViewId="0">
      <selection activeCell="I73" sqref="I73"/>
    </sheetView>
  </sheetViews>
  <sheetFormatPr defaultColWidth="9.140625" defaultRowHeight="12.75"/>
  <cols>
    <col min="1" max="1" width="36.85546875" style="11" bestFit="1" customWidth="1"/>
    <col min="2" max="2" width="16.5703125" style="11" bestFit="1" customWidth="1"/>
    <col min="3" max="3" width="10.85546875" style="11" bestFit="1" customWidth="1"/>
    <col min="4" max="4" width="12.42578125" style="11" customWidth="1"/>
    <col min="5" max="5" width="24.85546875" style="11" bestFit="1" customWidth="1"/>
    <col min="6" max="6" width="11.140625" style="11" bestFit="1" customWidth="1"/>
    <col min="7" max="7" width="16.28515625" style="13" bestFit="1" customWidth="1"/>
    <col min="8" max="8" width="13.42578125" style="11" bestFit="1" customWidth="1"/>
    <col min="9" max="9" width="19.42578125" style="11" bestFit="1" customWidth="1"/>
    <col min="10" max="10" width="7" style="11" bestFit="1" customWidth="1"/>
    <col min="11" max="11" width="9.42578125" style="11" bestFit="1" customWidth="1"/>
    <col min="12" max="12" width="16.28515625" style="12" bestFit="1" customWidth="1"/>
    <col min="13" max="13" width="15.140625" style="11" bestFit="1" customWidth="1"/>
    <col min="14" max="14" width="9.140625" style="11"/>
    <col min="15" max="43" width="6.28515625" style="11" customWidth="1"/>
    <col min="44" max="53" width="7.28515625" style="11" customWidth="1"/>
    <col min="54" max="57" width="8.85546875" style="11" customWidth="1"/>
    <col min="58" max="58" width="11.28515625" style="11" bestFit="1" customWidth="1"/>
    <col min="59" max="16384" width="9.140625" style="11"/>
  </cols>
  <sheetData>
    <row r="1" spans="1:58" s="10" customFormat="1">
      <c r="A1" s="285" t="s">
        <v>309</v>
      </c>
      <c r="B1" s="285"/>
      <c r="C1" s="285"/>
      <c r="D1" s="285"/>
      <c r="E1" s="285"/>
      <c r="F1" s="285"/>
      <c r="G1" s="285"/>
      <c r="H1" s="285"/>
      <c r="I1" s="285"/>
      <c r="J1" s="285"/>
      <c r="K1" s="285"/>
      <c r="L1" s="285"/>
      <c r="M1" s="285"/>
    </row>
    <row r="2" spans="1:58" s="10" customFormat="1">
      <c r="A2" s="285" t="s">
        <v>310</v>
      </c>
      <c r="B2" s="285"/>
      <c r="C2" s="285"/>
      <c r="D2" s="285"/>
      <c r="E2" s="285"/>
      <c r="F2" s="285"/>
      <c r="G2" s="285"/>
      <c r="H2" s="285"/>
      <c r="I2" s="285"/>
      <c r="J2" s="285"/>
      <c r="K2" s="285"/>
      <c r="L2" s="285"/>
      <c r="M2" s="285"/>
    </row>
    <row r="3" spans="1:58" s="10" customFormat="1" ht="12" customHeight="1">
      <c r="A3" s="286" t="s">
        <v>333</v>
      </c>
      <c r="B3" s="286"/>
      <c r="C3" s="286"/>
      <c r="D3" s="286"/>
      <c r="E3" s="286"/>
      <c r="F3" s="286"/>
      <c r="G3" s="286"/>
      <c r="H3" s="286"/>
      <c r="I3" s="286"/>
      <c r="J3" s="286"/>
      <c r="K3" s="286"/>
      <c r="L3" s="286"/>
      <c r="M3" s="286"/>
    </row>
    <row r="6" spans="1:58" s="20" customFormat="1" ht="13.5" thickBot="1">
      <c r="A6" s="14" t="s">
        <v>1</v>
      </c>
      <c r="B6" s="14" t="s">
        <v>2</v>
      </c>
      <c r="C6" s="15" t="s">
        <v>0</v>
      </c>
      <c r="D6" s="15" t="s">
        <v>3</v>
      </c>
      <c r="E6" s="15" t="s">
        <v>4</v>
      </c>
      <c r="F6" s="16" t="s">
        <v>5</v>
      </c>
      <c r="G6" s="17" t="s">
        <v>6</v>
      </c>
      <c r="H6" s="18" t="s">
        <v>7</v>
      </c>
      <c r="I6" s="15" t="s">
        <v>9</v>
      </c>
      <c r="J6" s="15" t="s">
        <v>11</v>
      </c>
      <c r="K6" s="15" t="s">
        <v>12</v>
      </c>
      <c r="L6" s="19" t="s">
        <v>8</v>
      </c>
      <c r="M6" s="14" t="s">
        <v>10</v>
      </c>
    </row>
    <row r="7" spans="1:58" ht="13.5" thickTop="1">
      <c r="A7" s="21" t="s">
        <v>111</v>
      </c>
      <c r="B7" s="41" t="s">
        <v>311</v>
      </c>
      <c r="C7" s="11">
        <v>804669</v>
      </c>
      <c r="D7" s="11">
        <v>97118</v>
      </c>
      <c r="E7" s="11" t="s">
        <v>25</v>
      </c>
      <c r="F7" s="22">
        <v>4239.96</v>
      </c>
      <c r="G7" s="13">
        <v>0</v>
      </c>
      <c r="H7" s="22">
        <f t="shared" ref="H7:H12" si="0">+F7+G7</f>
        <v>4239.96</v>
      </c>
      <c r="J7" s="11">
        <v>2017</v>
      </c>
      <c r="K7" s="11" t="s">
        <v>27</v>
      </c>
      <c r="L7" s="26" t="s">
        <v>26</v>
      </c>
      <c r="M7" s="21">
        <v>42873</v>
      </c>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row>
    <row r="8" spans="1:58">
      <c r="A8" s="21" t="s">
        <v>111</v>
      </c>
      <c r="B8" s="41" t="s">
        <v>311</v>
      </c>
      <c r="C8" s="11">
        <v>807297</v>
      </c>
      <c r="D8" s="11">
        <v>97118</v>
      </c>
      <c r="E8" s="11" t="s">
        <v>25</v>
      </c>
      <c r="F8" s="22">
        <v>7329.81</v>
      </c>
      <c r="G8" s="13">
        <v>0</v>
      </c>
      <c r="H8" s="22">
        <f t="shared" si="0"/>
        <v>7329.81</v>
      </c>
      <c r="J8" s="11">
        <v>2017</v>
      </c>
      <c r="K8" s="11" t="s">
        <v>27</v>
      </c>
      <c r="L8" s="26" t="s">
        <v>28</v>
      </c>
      <c r="M8" s="21">
        <v>42895</v>
      </c>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row>
    <row r="9" spans="1:58">
      <c r="A9" s="21"/>
      <c r="B9" s="41"/>
      <c r="E9" s="23" t="s">
        <v>383</v>
      </c>
      <c r="F9" s="108">
        <f>+SUM(F7:F8)</f>
        <v>11569.77</v>
      </c>
      <c r="G9" s="111">
        <f t="shared" ref="G9:H9" si="1">+SUM(G7:G8)</f>
        <v>0</v>
      </c>
      <c r="H9" s="108">
        <f t="shared" si="1"/>
        <v>11569.77</v>
      </c>
      <c r="L9" s="26"/>
      <c r="M9" s="21"/>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row>
    <row r="10" spans="1:58">
      <c r="A10" s="21" t="s">
        <v>111</v>
      </c>
      <c r="B10" s="41" t="s">
        <v>311</v>
      </c>
      <c r="C10" s="11">
        <v>812336</v>
      </c>
      <c r="D10" s="11">
        <v>97118</v>
      </c>
      <c r="E10" s="11" t="s">
        <v>25</v>
      </c>
      <c r="F10" s="22">
        <v>814.5</v>
      </c>
      <c r="G10" s="13">
        <v>0</v>
      </c>
      <c r="H10" s="22">
        <f t="shared" si="0"/>
        <v>814.5</v>
      </c>
      <c r="J10" s="11">
        <v>2017</v>
      </c>
      <c r="K10" s="11" t="s">
        <v>29</v>
      </c>
      <c r="L10" s="27">
        <v>4701597484267</v>
      </c>
      <c r="M10" s="21">
        <v>42926</v>
      </c>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row>
    <row r="11" spans="1:58">
      <c r="A11" s="21"/>
      <c r="B11" s="41"/>
      <c r="E11" s="23" t="s">
        <v>383</v>
      </c>
      <c r="F11" s="108">
        <f>+F10</f>
        <v>814.5</v>
      </c>
      <c r="G11" s="111">
        <f t="shared" ref="G11:H11" si="2">+G10</f>
        <v>0</v>
      </c>
      <c r="H11" s="108">
        <f t="shared" si="2"/>
        <v>814.5</v>
      </c>
      <c r="L11" s="27"/>
      <c r="M11" s="21"/>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row>
    <row r="12" spans="1:58">
      <c r="A12" s="21" t="s">
        <v>111</v>
      </c>
      <c r="B12" s="41" t="s">
        <v>311</v>
      </c>
      <c r="C12" s="11">
        <v>828777</v>
      </c>
      <c r="D12" s="11">
        <v>97118</v>
      </c>
      <c r="E12" s="11" t="s">
        <v>25</v>
      </c>
      <c r="F12" s="22">
        <v>296</v>
      </c>
      <c r="G12" s="13">
        <v>0</v>
      </c>
      <c r="H12" s="22">
        <f t="shared" si="0"/>
        <v>296</v>
      </c>
      <c r="J12" s="11">
        <v>2017</v>
      </c>
      <c r="K12" s="11" t="s">
        <v>30</v>
      </c>
      <c r="L12" s="27">
        <v>4701597485160</v>
      </c>
      <c r="M12" s="21">
        <v>42961</v>
      </c>
    </row>
    <row r="13" spans="1:58">
      <c r="A13" s="21"/>
      <c r="B13" s="41"/>
      <c r="E13" s="23" t="s">
        <v>383</v>
      </c>
      <c r="F13" s="108">
        <f>+F12</f>
        <v>296</v>
      </c>
      <c r="G13" s="111">
        <f t="shared" ref="G13:H13" si="3">+G12</f>
        <v>0</v>
      </c>
      <c r="H13" s="108">
        <f t="shared" si="3"/>
        <v>296</v>
      </c>
      <c r="L13" s="27"/>
      <c r="M13" s="21"/>
    </row>
    <row r="14" spans="1:58">
      <c r="A14" s="21"/>
      <c r="B14" s="41"/>
      <c r="E14" s="11" t="s">
        <v>384</v>
      </c>
      <c r="F14" s="108">
        <f>+F13+F11+F9</f>
        <v>12680.27</v>
      </c>
      <c r="G14" s="111">
        <f t="shared" ref="G14:H14" si="4">+G13+G11+G9</f>
        <v>0</v>
      </c>
      <c r="H14" s="108">
        <f t="shared" si="4"/>
        <v>12680.27</v>
      </c>
      <c r="L14" s="27"/>
      <c r="M14" s="21"/>
    </row>
    <row r="15" spans="1:58">
      <c r="A15" s="21" t="s">
        <v>385</v>
      </c>
      <c r="B15" s="41"/>
      <c r="F15" s="108">
        <f>+F14</f>
        <v>12680.27</v>
      </c>
      <c r="G15" s="111">
        <f t="shared" ref="G15:H15" si="5">+G14</f>
        <v>0</v>
      </c>
      <c r="H15" s="108">
        <f t="shared" si="5"/>
        <v>12680.27</v>
      </c>
      <c r="L15" s="27"/>
      <c r="M15" s="21"/>
    </row>
    <row r="16" spans="1:58">
      <c r="A16" s="21"/>
      <c r="B16" s="41"/>
      <c r="F16" s="22"/>
      <c r="H16" s="22"/>
      <c r="L16" s="27"/>
      <c r="M16" s="21"/>
    </row>
    <row r="17" spans="1:13">
      <c r="A17" s="37" t="s">
        <v>382</v>
      </c>
      <c r="B17" s="21" t="s">
        <v>312</v>
      </c>
      <c r="C17" s="11">
        <v>178556</v>
      </c>
      <c r="D17" s="11">
        <v>109159</v>
      </c>
      <c r="E17" s="11" t="s">
        <v>18</v>
      </c>
      <c r="F17" s="22">
        <v>19.09</v>
      </c>
      <c r="G17" s="13">
        <v>0</v>
      </c>
      <c r="H17" s="22">
        <f t="shared" ref="H17:H18" si="6">+F17+G17</f>
        <v>19.09</v>
      </c>
      <c r="J17" s="11">
        <v>2017</v>
      </c>
      <c r="K17" s="11" t="s">
        <v>19</v>
      </c>
      <c r="L17" s="12">
        <v>576921009</v>
      </c>
      <c r="M17" s="21">
        <v>42838</v>
      </c>
    </row>
    <row r="18" spans="1:13">
      <c r="A18" s="37" t="s">
        <v>382</v>
      </c>
      <c r="B18" s="21" t="s">
        <v>312</v>
      </c>
      <c r="C18" s="11">
        <v>794435</v>
      </c>
      <c r="D18" s="11">
        <v>109159</v>
      </c>
      <c r="E18" s="11" t="s">
        <v>18</v>
      </c>
      <c r="F18" s="22">
        <v>4294.96</v>
      </c>
      <c r="G18" s="13">
        <v>0</v>
      </c>
      <c r="H18" s="22">
        <f t="shared" si="6"/>
        <v>4294.96</v>
      </c>
      <c r="J18" s="11">
        <v>2017</v>
      </c>
      <c r="K18" s="11" t="s">
        <v>19</v>
      </c>
      <c r="L18" s="12">
        <v>576154348</v>
      </c>
      <c r="M18" s="21">
        <v>42831</v>
      </c>
    </row>
    <row r="19" spans="1:13">
      <c r="A19" s="37"/>
      <c r="B19" s="21"/>
      <c r="E19" s="23" t="s">
        <v>383</v>
      </c>
      <c r="F19" s="108">
        <f>+SUM(F17:F18)</f>
        <v>4314.05</v>
      </c>
      <c r="G19" s="111">
        <f t="shared" ref="G19:H19" si="7">+SUM(G17:G18)</f>
        <v>0</v>
      </c>
      <c r="H19" s="108">
        <f t="shared" si="7"/>
        <v>4314.05</v>
      </c>
      <c r="M19" s="21"/>
    </row>
    <row r="20" spans="1:13">
      <c r="A20" s="37"/>
      <c r="B20" s="21"/>
      <c r="E20" s="11" t="s">
        <v>386</v>
      </c>
      <c r="F20" s="108">
        <f>+F19</f>
        <v>4314.05</v>
      </c>
      <c r="G20" s="111">
        <f t="shared" ref="G20:H21" si="8">+G19</f>
        <v>0</v>
      </c>
      <c r="H20" s="108">
        <f t="shared" si="8"/>
        <v>4314.05</v>
      </c>
      <c r="M20" s="21"/>
    </row>
    <row r="21" spans="1:13">
      <c r="A21" s="37" t="s">
        <v>368</v>
      </c>
      <c r="B21" s="21"/>
      <c r="F21" s="108">
        <f>+F20</f>
        <v>4314.05</v>
      </c>
      <c r="G21" s="111">
        <f t="shared" si="8"/>
        <v>0</v>
      </c>
      <c r="H21" s="108">
        <f t="shared" si="8"/>
        <v>4314.05</v>
      </c>
      <c r="M21" s="21"/>
    </row>
    <row r="22" spans="1:13">
      <c r="A22" s="37"/>
      <c r="B22" s="21"/>
      <c r="F22" s="22"/>
      <c r="H22" s="22"/>
      <c r="M22" s="21"/>
    </row>
    <row r="23" spans="1:13">
      <c r="A23" s="21" t="s">
        <v>409</v>
      </c>
      <c r="B23" s="21" t="s">
        <v>290</v>
      </c>
      <c r="C23" s="11">
        <v>2054773</v>
      </c>
      <c r="D23" s="11">
        <v>161803</v>
      </c>
      <c r="E23" s="11" t="s">
        <v>13</v>
      </c>
      <c r="F23" s="22">
        <v>5</v>
      </c>
      <c r="G23" s="13">
        <v>0</v>
      </c>
      <c r="H23" s="22">
        <f t="shared" ref="H23:H38" si="9">+F23+G23</f>
        <v>5</v>
      </c>
      <c r="I23" s="11" t="s">
        <v>15</v>
      </c>
      <c r="J23" s="11">
        <v>2017</v>
      </c>
      <c r="K23" s="11" t="s">
        <v>17</v>
      </c>
      <c r="L23" s="10" t="s">
        <v>16</v>
      </c>
      <c r="M23" s="21">
        <v>42817</v>
      </c>
    </row>
    <row r="24" spans="1:13">
      <c r="A24" s="21" t="s">
        <v>409</v>
      </c>
      <c r="B24" s="21" t="s">
        <v>322</v>
      </c>
      <c r="C24" s="11">
        <v>2062408</v>
      </c>
      <c r="D24" s="11">
        <v>93058</v>
      </c>
      <c r="E24" s="11" t="s">
        <v>20</v>
      </c>
      <c r="F24" s="22">
        <v>251.45</v>
      </c>
      <c r="G24" s="13">
        <v>0</v>
      </c>
      <c r="H24" s="22">
        <f t="shared" si="9"/>
        <v>251.45</v>
      </c>
      <c r="I24" s="11" t="s">
        <v>20</v>
      </c>
      <c r="J24" s="11">
        <v>2017</v>
      </c>
      <c r="K24" s="11" t="s">
        <v>19</v>
      </c>
      <c r="L24" s="10" t="s">
        <v>22</v>
      </c>
      <c r="M24" s="21">
        <v>42830</v>
      </c>
    </row>
    <row r="25" spans="1:13">
      <c r="A25" s="21" t="s">
        <v>409</v>
      </c>
      <c r="B25" s="21" t="s">
        <v>321</v>
      </c>
      <c r="C25" s="11">
        <v>2062408</v>
      </c>
      <c r="D25" s="11">
        <v>93058</v>
      </c>
      <c r="E25" s="11" t="s">
        <v>20</v>
      </c>
      <c r="F25" s="22">
        <v>24.16</v>
      </c>
      <c r="G25" s="13">
        <v>0</v>
      </c>
      <c r="H25" s="22">
        <f t="shared" si="9"/>
        <v>24.16</v>
      </c>
      <c r="I25" s="11" t="s">
        <v>20</v>
      </c>
      <c r="J25" s="11">
        <v>2017</v>
      </c>
      <c r="K25" s="11" t="s">
        <v>19</v>
      </c>
      <c r="L25" s="10" t="s">
        <v>22</v>
      </c>
      <c r="M25" s="21">
        <v>42830</v>
      </c>
    </row>
    <row r="26" spans="1:13">
      <c r="A26" s="21" t="s">
        <v>409</v>
      </c>
      <c r="B26" s="21" t="s">
        <v>321</v>
      </c>
      <c r="C26" s="11">
        <v>2062408</v>
      </c>
      <c r="D26" s="11">
        <v>93058</v>
      </c>
      <c r="E26" s="11" t="s">
        <v>20</v>
      </c>
      <c r="F26" s="22">
        <v>12.5</v>
      </c>
      <c r="G26" s="13">
        <v>0</v>
      </c>
      <c r="H26" s="22">
        <f t="shared" si="9"/>
        <v>12.5</v>
      </c>
      <c r="I26" s="11" t="s">
        <v>20</v>
      </c>
      <c r="J26" s="11">
        <v>2017</v>
      </c>
      <c r="K26" s="11" t="s">
        <v>19</v>
      </c>
      <c r="L26" s="10" t="s">
        <v>22</v>
      </c>
      <c r="M26" s="21">
        <v>42830</v>
      </c>
    </row>
    <row r="27" spans="1:13">
      <c r="A27" s="21" t="s">
        <v>409</v>
      </c>
      <c r="B27" s="21" t="s">
        <v>321</v>
      </c>
      <c r="C27" s="11">
        <v>2062408</v>
      </c>
      <c r="D27" s="11">
        <v>93058</v>
      </c>
      <c r="E27" s="11" t="s">
        <v>20</v>
      </c>
      <c r="F27" s="22">
        <v>10.7</v>
      </c>
      <c r="G27" s="13">
        <v>0</v>
      </c>
      <c r="H27" s="22">
        <f t="shared" si="9"/>
        <v>10.7</v>
      </c>
      <c r="I27" s="11" t="s">
        <v>20</v>
      </c>
      <c r="J27" s="11">
        <v>2017</v>
      </c>
      <c r="K27" s="11" t="s">
        <v>19</v>
      </c>
      <c r="L27" s="10" t="s">
        <v>22</v>
      </c>
      <c r="M27" s="21">
        <v>42830</v>
      </c>
    </row>
    <row r="28" spans="1:13">
      <c r="A28" s="21" t="s">
        <v>409</v>
      </c>
      <c r="B28" s="21" t="s">
        <v>290</v>
      </c>
      <c r="C28" s="11">
        <v>2062409</v>
      </c>
      <c r="D28" s="11">
        <v>161803</v>
      </c>
      <c r="E28" s="11" t="s">
        <v>13</v>
      </c>
      <c r="F28" s="22">
        <v>15</v>
      </c>
      <c r="G28" s="13">
        <v>0</v>
      </c>
      <c r="H28" s="22">
        <f t="shared" si="9"/>
        <v>15</v>
      </c>
      <c r="I28" s="11" t="s">
        <v>20</v>
      </c>
      <c r="J28" s="11">
        <v>2017</v>
      </c>
      <c r="K28" s="11" t="s">
        <v>19</v>
      </c>
      <c r="L28" s="10" t="s">
        <v>22</v>
      </c>
      <c r="M28" s="21">
        <v>42830</v>
      </c>
    </row>
    <row r="29" spans="1:13">
      <c r="A29" s="21" t="s">
        <v>409</v>
      </c>
      <c r="B29" s="21" t="s">
        <v>290</v>
      </c>
      <c r="C29" s="11">
        <v>2062409</v>
      </c>
      <c r="D29" s="11">
        <v>161803</v>
      </c>
      <c r="E29" s="11" t="s">
        <v>13</v>
      </c>
      <c r="F29" s="22">
        <v>5</v>
      </c>
      <c r="G29" s="13">
        <v>0</v>
      </c>
      <c r="H29" s="22">
        <f t="shared" si="9"/>
        <v>5</v>
      </c>
      <c r="I29" s="11" t="s">
        <v>20</v>
      </c>
      <c r="J29" s="11">
        <v>2017</v>
      </c>
      <c r="K29" s="11" t="s">
        <v>19</v>
      </c>
      <c r="L29" s="10" t="s">
        <v>22</v>
      </c>
      <c r="M29" s="21">
        <v>42830</v>
      </c>
    </row>
    <row r="30" spans="1:13">
      <c r="A30" s="21" t="s">
        <v>409</v>
      </c>
      <c r="B30" s="21" t="s">
        <v>290</v>
      </c>
      <c r="C30" s="11">
        <v>2062409</v>
      </c>
      <c r="D30" s="11">
        <v>161803</v>
      </c>
      <c r="E30" s="11" t="s">
        <v>13</v>
      </c>
      <c r="F30" s="22">
        <v>15</v>
      </c>
      <c r="G30" s="13">
        <v>0</v>
      </c>
      <c r="H30" s="22">
        <f t="shared" si="9"/>
        <v>15</v>
      </c>
      <c r="I30" s="11" t="s">
        <v>20</v>
      </c>
      <c r="J30" s="11">
        <v>2017</v>
      </c>
      <c r="K30" s="11" t="s">
        <v>19</v>
      </c>
      <c r="L30" s="10" t="s">
        <v>22</v>
      </c>
      <c r="M30" s="21">
        <v>42830</v>
      </c>
    </row>
    <row r="31" spans="1:13">
      <c r="A31" s="21" t="s">
        <v>409</v>
      </c>
      <c r="B31" s="21" t="s">
        <v>290</v>
      </c>
      <c r="C31" s="11">
        <v>2062409</v>
      </c>
      <c r="D31" s="11">
        <v>161803</v>
      </c>
      <c r="E31" s="11" t="s">
        <v>13</v>
      </c>
      <c r="F31" s="22">
        <v>5</v>
      </c>
      <c r="G31" s="13">
        <v>0</v>
      </c>
      <c r="H31" s="22">
        <f t="shared" si="9"/>
        <v>5</v>
      </c>
      <c r="I31" s="11" t="s">
        <v>20</v>
      </c>
      <c r="J31" s="11">
        <v>2017</v>
      </c>
      <c r="K31" s="11" t="s">
        <v>19</v>
      </c>
      <c r="L31" s="10" t="s">
        <v>22</v>
      </c>
      <c r="M31" s="21">
        <v>42830</v>
      </c>
    </row>
    <row r="32" spans="1:13">
      <c r="A32" s="21" t="s">
        <v>409</v>
      </c>
      <c r="B32" s="21" t="s">
        <v>321</v>
      </c>
      <c r="C32" s="11">
        <v>2062409</v>
      </c>
      <c r="D32" s="11">
        <v>161803</v>
      </c>
      <c r="E32" s="11" t="s">
        <v>13</v>
      </c>
      <c r="F32" s="22">
        <v>22.35</v>
      </c>
      <c r="G32" s="13">
        <v>0</v>
      </c>
      <c r="H32" s="22">
        <f t="shared" si="9"/>
        <v>22.35</v>
      </c>
      <c r="I32" s="11" t="s">
        <v>20</v>
      </c>
      <c r="J32" s="11">
        <v>2017</v>
      </c>
      <c r="K32" s="11" t="s">
        <v>19</v>
      </c>
      <c r="L32" s="10" t="s">
        <v>22</v>
      </c>
      <c r="M32" s="21">
        <v>42830</v>
      </c>
    </row>
    <row r="33" spans="1:13">
      <c r="A33" s="21" t="s">
        <v>409</v>
      </c>
      <c r="B33" s="21" t="s">
        <v>321</v>
      </c>
      <c r="C33" s="11">
        <v>2062409</v>
      </c>
      <c r="D33" s="11">
        <v>161803</v>
      </c>
      <c r="E33" s="11" t="s">
        <v>13</v>
      </c>
      <c r="F33" s="22">
        <v>6.48</v>
      </c>
      <c r="G33" s="13">
        <v>0</v>
      </c>
      <c r="H33" s="22">
        <f t="shared" si="9"/>
        <v>6.48</v>
      </c>
      <c r="I33" s="11" t="s">
        <v>20</v>
      </c>
      <c r="J33" s="11">
        <v>2017</v>
      </c>
      <c r="K33" s="11" t="s">
        <v>19</v>
      </c>
      <c r="L33" s="10" t="s">
        <v>22</v>
      </c>
      <c r="M33" s="21">
        <v>42830</v>
      </c>
    </row>
    <row r="34" spans="1:13">
      <c r="A34" s="21" t="s">
        <v>409</v>
      </c>
      <c r="B34" s="21" t="s">
        <v>321</v>
      </c>
      <c r="C34" s="11">
        <v>2062409</v>
      </c>
      <c r="D34" s="11">
        <v>161803</v>
      </c>
      <c r="E34" s="11" t="s">
        <v>13</v>
      </c>
      <c r="F34" s="22">
        <v>18.64</v>
      </c>
      <c r="G34" s="13">
        <v>0</v>
      </c>
      <c r="H34" s="22">
        <f t="shared" si="9"/>
        <v>18.64</v>
      </c>
      <c r="I34" s="11" t="s">
        <v>20</v>
      </c>
      <c r="J34" s="11">
        <v>2017</v>
      </c>
      <c r="K34" s="11" t="s">
        <v>19</v>
      </c>
      <c r="L34" s="10" t="s">
        <v>22</v>
      </c>
      <c r="M34" s="21">
        <v>42830</v>
      </c>
    </row>
    <row r="35" spans="1:13">
      <c r="A35" s="21" t="s">
        <v>409</v>
      </c>
      <c r="B35" s="21" t="s">
        <v>320</v>
      </c>
      <c r="C35" s="11">
        <v>2062409</v>
      </c>
      <c r="D35" s="11">
        <v>161803</v>
      </c>
      <c r="E35" s="11" t="s">
        <v>13</v>
      </c>
      <c r="F35" s="22">
        <v>28.32</v>
      </c>
      <c r="G35" s="13">
        <v>0</v>
      </c>
      <c r="H35" s="22">
        <f t="shared" si="9"/>
        <v>28.32</v>
      </c>
      <c r="I35" s="11" t="s">
        <v>20</v>
      </c>
      <c r="J35" s="11">
        <v>2017</v>
      </c>
      <c r="K35" s="11" t="s">
        <v>19</v>
      </c>
      <c r="L35" s="10" t="s">
        <v>22</v>
      </c>
      <c r="M35" s="21">
        <v>42830</v>
      </c>
    </row>
    <row r="36" spans="1:13">
      <c r="A36" s="21" t="s">
        <v>409</v>
      </c>
      <c r="B36" s="21" t="s">
        <v>321</v>
      </c>
      <c r="C36" s="11">
        <v>2062409</v>
      </c>
      <c r="D36" s="11">
        <v>161803</v>
      </c>
      <c r="E36" s="11" t="s">
        <v>13</v>
      </c>
      <c r="F36" s="22">
        <v>31.06</v>
      </c>
      <c r="G36" s="13">
        <v>0</v>
      </c>
      <c r="H36" s="22">
        <f t="shared" si="9"/>
        <v>31.06</v>
      </c>
      <c r="I36" s="11" t="s">
        <v>20</v>
      </c>
      <c r="J36" s="11">
        <v>2017</v>
      </c>
      <c r="K36" s="11" t="s">
        <v>19</v>
      </c>
      <c r="L36" s="10" t="s">
        <v>22</v>
      </c>
      <c r="M36" s="21">
        <v>42830</v>
      </c>
    </row>
    <row r="37" spans="1:13">
      <c r="A37" s="21" t="s">
        <v>409</v>
      </c>
      <c r="B37" s="21" t="s">
        <v>320</v>
      </c>
      <c r="C37" s="11">
        <v>2062409</v>
      </c>
      <c r="D37" s="11">
        <v>161803</v>
      </c>
      <c r="E37" s="11" t="s">
        <v>13</v>
      </c>
      <c r="F37" s="22">
        <v>33.57</v>
      </c>
      <c r="G37" s="13">
        <v>0</v>
      </c>
      <c r="H37" s="22">
        <f t="shared" si="9"/>
        <v>33.57</v>
      </c>
      <c r="I37" s="11" t="s">
        <v>20</v>
      </c>
      <c r="J37" s="11">
        <v>2017</v>
      </c>
      <c r="K37" s="11" t="s">
        <v>19</v>
      </c>
      <c r="L37" s="10" t="s">
        <v>22</v>
      </c>
      <c r="M37" s="21">
        <v>42830</v>
      </c>
    </row>
    <row r="38" spans="1:13">
      <c r="A38" s="21" t="s">
        <v>409</v>
      </c>
      <c r="B38" s="21" t="s">
        <v>321</v>
      </c>
      <c r="C38" s="11">
        <v>2062409</v>
      </c>
      <c r="D38" s="11">
        <v>161803</v>
      </c>
      <c r="E38" s="11" t="s">
        <v>13</v>
      </c>
      <c r="F38" s="22">
        <v>14.17</v>
      </c>
      <c r="G38" s="13">
        <v>0</v>
      </c>
      <c r="H38" s="22">
        <f t="shared" si="9"/>
        <v>14.17</v>
      </c>
      <c r="I38" s="11" t="s">
        <v>20</v>
      </c>
      <c r="J38" s="11">
        <v>2017</v>
      </c>
      <c r="K38" s="11" t="s">
        <v>19</v>
      </c>
      <c r="L38" s="10" t="s">
        <v>22</v>
      </c>
      <c r="M38" s="21">
        <v>42830</v>
      </c>
    </row>
    <row r="39" spans="1:13">
      <c r="A39" s="21"/>
      <c r="B39" s="21"/>
      <c r="E39" s="23" t="s">
        <v>383</v>
      </c>
      <c r="F39" s="108">
        <f>+SUM(F23:F38)</f>
        <v>498.40000000000003</v>
      </c>
      <c r="G39" s="111">
        <f t="shared" ref="G39:H39" si="10">+SUM(G23:G38)</f>
        <v>0</v>
      </c>
      <c r="H39" s="108">
        <f t="shared" si="10"/>
        <v>498.40000000000003</v>
      </c>
      <c r="I39" s="108"/>
      <c r="L39" s="10"/>
      <c r="M39" s="21"/>
    </row>
    <row r="40" spans="1:13">
      <c r="A40" s="21"/>
      <c r="B40" s="21"/>
      <c r="E40" s="23"/>
      <c r="F40" s="109"/>
      <c r="G40" s="176"/>
      <c r="H40" s="109"/>
      <c r="I40" s="109"/>
      <c r="L40" s="10"/>
      <c r="M40" s="21"/>
    </row>
    <row r="41" spans="1:13">
      <c r="A41" s="21" t="s">
        <v>409</v>
      </c>
      <c r="B41" s="21" t="s">
        <v>322</v>
      </c>
      <c r="C41" s="11">
        <v>2079293</v>
      </c>
      <c r="D41" s="11">
        <v>93058</v>
      </c>
      <c r="E41" s="11" t="s">
        <v>20</v>
      </c>
      <c r="F41" s="22">
        <v>13.91</v>
      </c>
      <c r="G41" s="13">
        <v>0</v>
      </c>
      <c r="H41" s="22">
        <f t="shared" ref="H41:H72" si="11">+F41+G41</f>
        <v>13.91</v>
      </c>
      <c r="I41" s="11" t="s">
        <v>20</v>
      </c>
      <c r="J41" s="11">
        <v>2017</v>
      </c>
      <c r="K41" s="11" t="s">
        <v>24</v>
      </c>
      <c r="L41" s="10" t="s">
        <v>23</v>
      </c>
      <c r="M41" s="21">
        <v>42873</v>
      </c>
    </row>
    <row r="42" spans="1:13">
      <c r="A42" s="21" t="s">
        <v>409</v>
      </c>
      <c r="B42" s="21" t="s">
        <v>322</v>
      </c>
      <c r="C42" s="11">
        <v>2079293</v>
      </c>
      <c r="D42" s="11">
        <v>93058</v>
      </c>
      <c r="E42" s="11" t="s">
        <v>20</v>
      </c>
      <c r="F42" s="22">
        <v>13.91</v>
      </c>
      <c r="G42" s="13">
        <v>0</v>
      </c>
      <c r="H42" s="22">
        <f t="shared" si="11"/>
        <v>13.91</v>
      </c>
      <c r="I42" s="11" t="s">
        <v>20</v>
      </c>
      <c r="J42" s="11">
        <v>2017</v>
      </c>
      <c r="K42" s="11" t="s">
        <v>24</v>
      </c>
      <c r="L42" s="10" t="s">
        <v>23</v>
      </c>
      <c r="M42" s="21">
        <v>42873</v>
      </c>
    </row>
    <row r="43" spans="1:13">
      <c r="A43" s="21" t="s">
        <v>409</v>
      </c>
      <c r="B43" s="21" t="s">
        <v>321</v>
      </c>
      <c r="C43" s="11">
        <v>2079294</v>
      </c>
      <c r="D43" s="11">
        <v>161803</v>
      </c>
      <c r="E43" s="11" t="s">
        <v>13</v>
      </c>
      <c r="F43" s="22">
        <v>13</v>
      </c>
      <c r="G43" s="13">
        <v>0</v>
      </c>
      <c r="H43" s="22">
        <f t="shared" si="11"/>
        <v>13</v>
      </c>
      <c r="I43" s="11" t="s">
        <v>20</v>
      </c>
      <c r="J43" s="11">
        <v>2017</v>
      </c>
      <c r="K43" s="11" t="s">
        <v>24</v>
      </c>
      <c r="L43" s="10" t="s">
        <v>23</v>
      </c>
      <c r="M43" s="21">
        <v>42873</v>
      </c>
    </row>
    <row r="44" spans="1:13">
      <c r="A44" s="21" t="s">
        <v>409</v>
      </c>
      <c r="B44" s="21" t="s">
        <v>321</v>
      </c>
      <c r="C44" s="11">
        <v>2079294</v>
      </c>
      <c r="D44" s="11">
        <v>161803</v>
      </c>
      <c r="E44" s="11" t="s">
        <v>13</v>
      </c>
      <c r="F44" s="22">
        <v>20.27</v>
      </c>
      <c r="G44" s="13">
        <v>0</v>
      </c>
      <c r="H44" s="22">
        <f t="shared" si="11"/>
        <v>20.27</v>
      </c>
      <c r="I44" s="11" t="s">
        <v>20</v>
      </c>
      <c r="J44" s="11">
        <v>2017</v>
      </c>
      <c r="K44" s="11" t="s">
        <v>24</v>
      </c>
      <c r="L44" s="10" t="s">
        <v>23</v>
      </c>
      <c r="M44" s="21">
        <v>42873</v>
      </c>
    </row>
    <row r="45" spans="1:13">
      <c r="A45" s="21" t="s">
        <v>409</v>
      </c>
      <c r="B45" s="21" t="s">
        <v>320</v>
      </c>
      <c r="C45" s="11">
        <v>2079294</v>
      </c>
      <c r="D45" s="11">
        <v>161803</v>
      </c>
      <c r="E45" s="11" t="s">
        <v>13</v>
      </c>
      <c r="F45" s="22">
        <v>55.65</v>
      </c>
      <c r="G45" s="13">
        <v>0</v>
      </c>
      <c r="H45" s="22">
        <f t="shared" si="11"/>
        <v>55.65</v>
      </c>
      <c r="I45" s="11" t="s">
        <v>20</v>
      </c>
      <c r="J45" s="11">
        <v>2017</v>
      </c>
      <c r="K45" s="11" t="s">
        <v>24</v>
      </c>
      <c r="L45" s="10" t="s">
        <v>23</v>
      </c>
      <c r="M45" s="21">
        <v>42873</v>
      </c>
    </row>
    <row r="46" spans="1:13">
      <c r="A46" s="21" t="s">
        <v>409</v>
      </c>
      <c r="B46" s="21" t="s">
        <v>321</v>
      </c>
      <c r="C46" s="11">
        <v>2079294</v>
      </c>
      <c r="D46" s="11">
        <v>161803</v>
      </c>
      <c r="E46" s="11" t="s">
        <v>13</v>
      </c>
      <c r="F46" s="22">
        <v>26</v>
      </c>
      <c r="G46" s="13">
        <v>0</v>
      </c>
      <c r="H46" s="22">
        <f t="shared" si="11"/>
        <v>26</v>
      </c>
      <c r="I46" s="11" t="s">
        <v>20</v>
      </c>
      <c r="J46" s="11">
        <v>2017</v>
      </c>
      <c r="K46" s="11" t="s">
        <v>24</v>
      </c>
      <c r="L46" s="10" t="s">
        <v>23</v>
      </c>
      <c r="M46" s="21">
        <v>42873</v>
      </c>
    </row>
    <row r="47" spans="1:13">
      <c r="A47" s="21" t="s">
        <v>409</v>
      </c>
      <c r="B47" s="21" t="s">
        <v>321</v>
      </c>
      <c r="C47" s="11">
        <v>2079294</v>
      </c>
      <c r="D47" s="11">
        <v>161803</v>
      </c>
      <c r="E47" s="11" t="s">
        <v>13</v>
      </c>
      <c r="F47" s="22">
        <v>9.06</v>
      </c>
      <c r="G47" s="13">
        <v>0</v>
      </c>
      <c r="H47" s="22">
        <f t="shared" si="11"/>
        <v>9.06</v>
      </c>
      <c r="I47" s="11" t="s">
        <v>20</v>
      </c>
      <c r="J47" s="11">
        <v>2017</v>
      </c>
      <c r="K47" s="11" t="s">
        <v>24</v>
      </c>
      <c r="L47" s="10" t="s">
        <v>23</v>
      </c>
      <c r="M47" s="21">
        <v>42873</v>
      </c>
    </row>
    <row r="48" spans="1:13">
      <c r="A48" s="21" t="s">
        <v>409</v>
      </c>
      <c r="B48" s="21" t="s">
        <v>321</v>
      </c>
      <c r="C48" s="11">
        <v>2079294</v>
      </c>
      <c r="D48" s="11">
        <v>161803</v>
      </c>
      <c r="E48" s="11" t="s">
        <v>13</v>
      </c>
      <c r="F48" s="22">
        <v>16.78</v>
      </c>
      <c r="G48" s="13">
        <v>0</v>
      </c>
      <c r="H48" s="22">
        <f t="shared" si="11"/>
        <v>16.78</v>
      </c>
      <c r="I48" s="11" t="s">
        <v>20</v>
      </c>
      <c r="J48" s="11">
        <v>2017</v>
      </c>
      <c r="K48" s="11" t="s">
        <v>24</v>
      </c>
      <c r="L48" s="10" t="s">
        <v>23</v>
      </c>
      <c r="M48" s="21">
        <v>42873</v>
      </c>
    </row>
    <row r="49" spans="1:13">
      <c r="A49" s="21" t="s">
        <v>409</v>
      </c>
      <c r="B49" s="21" t="s">
        <v>321</v>
      </c>
      <c r="C49" s="11">
        <v>2079294</v>
      </c>
      <c r="D49" s="11">
        <v>161803</v>
      </c>
      <c r="E49" s="11" t="s">
        <v>13</v>
      </c>
      <c r="F49" s="22">
        <v>23.54</v>
      </c>
      <c r="G49" s="13">
        <v>0</v>
      </c>
      <c r="H49" s="22">
        <f t="shared" si="11"/>
        <v>23.54</v>
      </c>
      <c r="I49" s="11" t="s">
        <v>20</v>
      </c>
      <c r="J49" s="11">
        <v>2017</v>
      </c>
      <c r="K49" s="11" t="s">
        <v>24</v>
      </c>
      <c r="L49" s="10" t="s">
        <v>23</v>
      </c>
      <c r="M49" s="21">
        <v>42873</v>
      </c>
    </row>
    <row r="50" spans="1:13">
      <c r="A50" s="21" t="s">
        <v>409</v>
      </c>
      <c r="B50" s="21" t="s">
        <v>321</v>
      </c>
      <c r="C50" s="11">
        <v>2079294</v>
      </c>
      <c r="D50" s="11">
        <v>161803</v>
      </c>
      <c r="E50" s="11" t="s">
        <v>13</v>
      </c>
      <c r="F50" s="22">
        <v>16.21</v>
      </c>
      <c r="G50" s="13">
        <v>0</v>
      </c>
      <c r="H50" s="22">
        <f t="shared" si="11"/>
        <v>16.21</v>
      </c>
      <c r="I50" s="11" t="s">
        <v>20</v>
      </c>
      <c r="J50" s="11">
        <v>2017</v>
      </c>
      <c r="K50" s="11" t="s">
        <v>24</v>
      </c>
      <c r="L50" s="10" t="s">
        <v>23</v>
      </c>
      <c r="M50" s="21">
        <v>42873</v>
      </c>
    </row>
    <row r="51" spans="1:13">
      <c r="A51" s="21" t="s">
        <v>409</v>
      </c>
      <c r="B51" s="21" t="s">
        <v>321</v>
      </c>
      <c r="C51" s="11">
        <v>2079294</v>
      </c>
      <c r="D51" s="11">
        <v>161803</v>
      </c>
      <c r="E51" s="11" t="s">
        <v>13</v>
      </c>
      <c r="F51" s="22">
        <v>7.77</v>
      </c>
      <c r="G51" s="13">
        <v>0</v>
      </c>
      <c r="H51" s="22">
        <f t="shared" si="11"/>
        <v>7.77</v>
      </c>
      <c r="I51" s="11" t="s">
        <v>20</v>
      </c>
      <c r="J51" s="11">
        <v>2017</v>
      </c>
      <c r="K51" s="11" t="s">
        <v>24</v>
      </c>
      <c r="L51" s="10" t="s">
        <v>23</v>
      </c>
      <c r="M51" s="21">
        <v>42873</v>
      </c>
    </row>
    <row r="52" spans="1:13">
      <c r="A52" s="21" t="s">
        <v>409</v>
      </c>
      <c r="B52" s="21" t="s">
        <v>290</v>
      </c>
      <c r="C52" s="11">
        <v>2079294</v>
      </c>
      <c r="D52" s="11">
        <v>161803</v>
      </c>
      <c r="E52" s="11" t="s">
        <v>13</v>
      </c>
      <c r="F52" s="22">
        <v>5</v>
      </c>
      <c r="G52" s="13">
        <v>0</v>
      </c>
      <c r="H52" s="22">
        <f t="shared" si="11"/>
        <v>5</v>
      </c>
      <c r="I52" s="11" t="s">
        <v>20</v>
      </c>
      <c r="J52" s="11">
        <v>2017</v>
      </c>
      <c r="K52" s="11" t="s">
        <v>24</v>
      </c>
      <c r="L52" s="10" t="s">
        <v>23</v>
      </c>
      <c r="M52" s="21">
        <v>42873</v>
      </c>
    </row>
    <row r="53" spans="1:13">
      <c r="A53" s="21" t="s">
        <v>409</v>
      </c>
      <c r="B53" s="21" t="s">
        <v>319</v>
      </c>
      <c r="C53" s="11">
        <v>2079294</v>
      </c>
      <c r="D53" s="11">
        <v>161803</v>
      </c>
      <c r="E53" s="11" t="s">
        <v>13</v>
      </c>
      <c r="F53" s="22">
        <f>249+249+249+269+269</f>
        <v>1285</v>
      </c>
      <c r="G53" s="13">
        <v>0</v>
      </c>
      <c r="H53" s="22">
        <f t="shared" si="11"/>
        <v>1285</v>
      </c>
      <c r="I53" s="11" t="s">
        <v>20</v>
      </c>
      <c r="J53" s="11">
        <v>2017</v>
      </c>
      <c r="K53" s="11" t="s">
        <v>24</v>
      </c>
      <c r="L53" s="10" t="s">
        <v>23</v>
      </c>
      <c r="M53" s="21">
        <v>42873</v>
      </c>
    </row>
    <row r="54" spans="1:13">
      <c r="A54" s="21" t="s">
        <v>409</v>
      </c>
      <c r="B54" s="21" t="s">
        <v>317</v>
      </c>
      <c r="C54" s="11">
        <v>2079294</v>
      </c>
      <c r="D54" s="11">
        <v>161803</v>
      </c>
      <c r="E54" s="11" t="s">
        <v>13</v>
      </c>
      <c r="F54" s="22">
        <f>2.48+2.48+2.48+2.48+2.48</f>
        <v>12.4</v>
      </c>
      <c r="G54" s="13">
        <v>0</v>
      </c>
      <c r="H54" s="22">
        <f t="shared" si="11"/>
        <v>12.4</v>
      </c>
      <c r="I54" s="11" t="s">
        <v>20</v>
      </c>
      <c r="J54" s="11">
        <v>2017</v>
      </c>
      <c r="K54" s="11" t="s">
        <v>24</v>
      </c>
      <c r="L54" s="10" t="s">
        <v>23</v>
      </c>
      <c r="M54" s="21">
        <v>42873</v>
      </c>
    </row>
    <row r="55" spans="1:13">
      <c r="A55" s="21" t="s">
        <v>409</v>
      </c>
      <c r="B55" s="21" t="s">
        <v>317</v>
      </c>
      <c r="C55" s="11">
        <v>2079294</v>
      </c>
      <c r="D55" s="11">
        <v>161803</v>
      </c>
      <c r="E55" s="11" t="s">
        <v>13</v>
      </c>
      <c r="F55" s="22">
        <f>14.94+14.94+14.94+16.14+16.14</f>
        <v>77.099999999999994</v>
      </c>
      <c r="G55" s="13">
        <v>0</v>
      </c>
      <c r="H55" s="22">
        <f t="shared" si="11"/>
        <v>77.099999999999994</v>
      </c>
      <c r="I55" s="11" t="s">
        <v>20</v>
      </c>
      <c r="J55" s="11">
        <v>2017</v>
      </c>
      <c r="K55" s="11" t="s">
        <v>24</v>
      </c>
      <c r="L55" s="10" t="s">
        <v>23</v>
      </c>
      <c r="M55" s="21">
        <v>42873</v>
      </c>
    </row>
    <row r="56" spans="1:13">
      <c r="A56" s="21" t="s">
        <v>409</v>
      </c>
      <c r="B56" s="21" t="s">
        <v>317</v>
      </c>
      <c r="C56" s="11">
        <v>2079294</v>
      </c>
      <c r="D56" s="11">
        <v>161803</v>
      </c>
      <c r="E56" s="11" t="s">
        <v>13</v>
      </c>
      <c r="F56" s="22">
        <f>22.41+22.41+22.41+24.21+24.21</f>
        <v>115.65</v>
      </c>
      <c r="G56" s="13">
        <v>0</v>
      </c>
      <c r="H56" s="22">
        <f t="shared" si="11"/>
        <v>115.65</v>
      </c>
      <c r="I56" s="11" t="s">
        <v>20</v>
      </c>
      <c r="J56" s="11">
        <v>2017</v>
      </c>
      <c r="K56" s="11" t="s">
        <v>24</v>
      </c>
      <c r="L56" s="10" t="s">
        <v>23</v>
      </c>
      <c r="M56" s="21">
        <v>42873</v>
      </c>
    </row>
    <row r="57" spans="1:13">
      <c r="A57" s="21" t="s">
        <v>409</v>
      </c>
      <c r="B57" s="21" t="s">
        <v>290</v>
      </c>
      <c r="C57" s="11">
        <v>2079294</v>
      </c>
      <c r="D57" s="11">
        <v>161803</v>
      </c>
      <c r="E57" s="11" t="s">
        <v>13</v>
      </c>
      <c r="F57" s="22">
        <f>30+30+30+30+30</f>
        <v>150</v>
      </c>
      <c r="G57" s="13">
        <v>0</v>
      </c>
      <c r="H57" s="22">
        <f t="shared" si="11"/>
        <v>150</v>
      </c>
      <c r="I57" s="11" t="s">
        <v>20</v>
      </c>
      <c r="J57" s="11">
        <v>2017</v>
      </c>
      <c r="K57" s="11" t="s">
        <v>24</v>
      </c>
      <c r="L57" s="10" t="s">
        <v>23</v>
      </c>
      <c r="M57" s="21">
        <v>42873</v>
      </c>
    </row>
    <row r="58" spans="1:13">
      <c r="A58" s="21" t="s">
        <v>409</v>
      </c>
      <c r="B58" s="21" t="s">
        <v>316</v>
      </c>
      <c r="C58" s="11">
        <v>2079294</v>
      </c>
      <c r="D58" s="11">
        <v>161803</v>
      </c>
      <c r="E58" s="11" t="s">
        <v>13</v>
      </c>
      <c r="F58" s="22">
        <v>477.96</v>
      </c>
      <c r="G58" s="13">
        <v>0</v>
      </c>
      <c r="H58" s="22">
        <f t="shared" si="11"/>
        <v>477.96</v>
      </c>
      <c r="I58" s="11" t="s">
        <v>20</v>
      </c>
      <c r="J58" s="11">
        <v>2017</v>
      </c>
      <c r="K58" s="11" t="s">
        <v>24</v>
      </c>
      <c r="L58" s="10" t="s">
        <v>23</v>
      </c>
      <c r="M58" s="21">
        <v>42873</v>
      </c>
    </row>
    <row r="59" spans="1:13">
      <c r="A59" s="21" t="s">
        <v>409</v>
      </c>
      <c r="B59" s="21" t="s">
        <v>318</v>
      </c>
      <c r="C59" s="11">
        <v>2079294</v>
      </c>
      <c r="D59" s="11">
        <v>161803</v>
      </c>
      <c r="E59" s="11" t="s">
        <v>13</v>
      </c>
      <c r="F59" s="22">
        <v>51.3</v>
      </c>
      <c r="G59" s="13">
        <v>0</v>
      </c>
      <c r="H59" s="22">
        <f t="shared" si="11"/>
        <v>51.3</v>
      </c>
      <c r="I59" s="11" t="s">
        <v>20</v>
      </c>
      <c r="J59" s="11">
        <v>2017</v>
      </c>
      <c r="K59" s="11" t="s">
        <v>24</v>
      </c>
      <c r="L59" s="10" t="s">
        <v>23</v>
      </c>
      <c r="M59" s="21">
        <v>42873</v>
      </c>
    </row>
    <row r="60" spans="1:13">
      <c r="A60" s="21" t="s">
        <v>409</v>
      </c>
      <c r="B60" s="21" t="s">
        <v>290</v>
      </c>
      <c r="C60" s="11">
        <v>2079294</v>
      </c>
      <c r="D60" s="11">
        <v>161803</v>
      </c>
      <c r="E60" s="11" t="s">
        <v>13</v>
      </c>
      <c r="F60" s="22">
        <v>17</v>
      </c>
      <c r="G60" s="13">
        <v>0</v>
      </c>
      <c r="H60" s="22">
        <f t="shared" si="11"/>
        <v>17</v>
      </c>
      <c r="I60" s="11" t="s">
        <v>20</v>
      </c>
      <c r="J60" s="11">
        <v>2017</v>
      </c>
      <c r="K60" s="11" t="s">
        <v>24</v>
      </c>
      <c r="L60" s="10" t="s">
        <v>23</v>
      </c>
      <c r="M60" s="21">
        <v>42873</v>
      </c>
    </row>
    <row r="61" spans="1:13">
      <c r="A61" s="21" t="s">
        <v>409</v>
      </c>
      <c r="B61" s="21" t="s">
        <v>319</v>
      </c>
      <c r="C61" s="11">
        <v>2079294</v>
      </c>
      <c r="D61" s="11">
        <v>161803</v>
      </c>
      <c r="E61" s="11" t="s">
        <v>13</v>
      </c>
      <c r="F61" s="22">
        <v>194</v>
      </c>
      <c r="G61" s="13">
        <v>0</v>
      </c>
      <c r="H61" s="22">
        <f t="shared" si="11"/>
        <v>194</v>
      </c>
      <c r="I61" s="11" t="s">
        <v>20</v>
      </c>
      <c r="J61" s="11">
        <v>2017</v>
      </c>
      <c r="K61" s="11" t="s">
        <v>24</v>
      </c>
      <c r="L61" s="10" t="s">
        <v>23</v>
      </c>
      <c r="M61" s="21">
        <v>42873</v>
      </c>
    </row>
    <row r="62" spans="1:13">
      <c r="A62" s="21" t="s">
        <v>409</v>
      </c>
      <c r="B62" s="21" t="s">
        <v>317</v>
      </c>
      <c r="C62" s="11">
        <v>2079294</v>
      </c>
      <c r="D62" s="11">
        <v>161803</v>
      </c>
      <c r="E62" s="11" t="s">
        <v>13</v>
      </c>
      <c r="F62" s="22">
        <v>11.64</v>
      </c>
      <c r="G62" s="13">
        <v>0</v>
      </c>
      <c r="H62" s="22">
        <f t="shared" si="11"/>
        <v>11.64</v>
      </c>
      <c r="I62" s="11" t="s">
        <v>20</v>
      </c>
      <c r="J62" s="11">
        <v>2017</v>
      </c>
      <c r="K62" s="11" t="s">
        <v>24</v>
      </c>
      <c r="L62" s="10" t="s">
        <v>23</v>
      </c>
      <c r="M62" s="21">
        <v>42873</v>
      </c>
    </row>
    <row r="63" spans="1:13">
      <c r="A63" s="21" t="s">
        <v>409</v>
      </c>
      <c r="B63" s="21" t="s">
        <v>317</v>
      </c>
      <c r="C63" s="11">
        <v>2079294</v>
      </c>
      <c r="D63" s="11">
        <v>161803</v>
      </c>
      <c r="E63" s="11" t="s">
        <v>13</v>
      </c>
      <c r="F63" s="22">
        <v>17.46</v>
      </c>
      <c r="G63" s="13">
        <v>0</v>
      </c>
      <c r="H63" s="22">
        <f t="shared" si="11"/>
        <v>17.46</v>
      </c>
      <c r="I63" s="11" t="s">
        <v>20</v>
      </c>
      <c r="J63" s="11">
        <v>2017</v>
      </c>
      <c r="K63" s="11" t="s">
        <v>24</v>
      </c>
      <c r="L63" s="10" t="s">
        <v>23</v>
      </c>
      <c r="M63" s="21">
        <v>42873</v>
      </c>
    </row>
    <row r="64" spans="1:13">
      <c r="A64" s="21" t="s">
        <v>409</v>
      </c>
      <c r="B64" s="21" t="s">
        <v>290</v>
      </c>
      <c r="C64" s="11">
        <v>2079294</v>
      </c>
      <c r="D64" s="11">
        <v>161803</v>
      </c>
      <c r="E64" s="11" t="s">
        <v>13</v>
      </c>
      <c r="F64" s="22">
        <v>15</v>
      </c>
      <c r="G64" s="13">
        <v>0</v>
      </c>
      <c r="H64" s="22">
        <f t="shared" si="11"/>
        <v>15</v>
      </c>
      <c r="I64" s="11" t="s">
        <v>20</v>
      </c>
      <c r="J64" s="11">
        <v>2017</v>
      </c>
      <c r="K64" s="11" t="s">
        <v>24</v>
      </c>
      <c r="L64" s="10" t="s">
        <v>23</v>
      </c>
      <c r="M64" s="21">
        <v>42873</v>
      </c>
    </row>
    <row r="65" spans="1:13">
      <c r="A65" s="21" t="s">
        <v>409</v>
      </c>
      <c r="B65" s="21" t="s">
        <v>316</v>
      </c>
      <c r="C65" s="11">
        <v>2079294</v>
      </c>
      <c r="D65" s="11">
        <v>161803</v>
      </c>
      <c r="E65" s="11" t="s">
        <v>13</v>
      </c>
      <c r="F65" s="22">
        <v>477.96</v>
      </c>
      <c r="G65" s="13">
        <v>0</v>
      </c>
      <c r="H65" s="22">
        <f t="shared" si="11"/>
        <v>477.96</v>
      </c>
      <c r="I65" s="11" t="s">
        <v>20</v>
      </c>
      <c r="J65" s="11">
        <v>2017</v>
      </c>
      <c r="K65" s="11" t="s">
        <v>24</v>
      </c>
      <c r="L65" s="10" t="s">
        <v>23</v>
      </c>
      <c r="M65" s="21">
        <v>42873</v>
      </c>
    </row>
    <row r="66" spans="1:13">
      <c r="A66" s="21" t="s">
        <v>409</v>
      </c>
      <c r="B66" s="21" t="s">
        <v>318</v>
      </c>
      <c r="C66" s="11">
        <v>2079294</v>
      </c>
      <c r="D66" s="11">
        <v>161803</v>
      </c>
      <c r="E66" s="11" t="s">
        <v>13</v>
      </c>
      <c r="F66" s="22">
        <v>102.59</v>
      </c>
      <c r="G66" s="13">
        <v>0</v>
      </c>
      <c r="H66" s="22">
        <f t="shared" si="11"/>
        <v>102.59</v>
      </c>
      <c r="I66" s="11" t="s">
        <v>20</v>
      </c>
      <c r="J66" s="11">
        <v>2017</v>
      </c>
      <c r="K66" s="11" t="s">
        <v>24</v>
      </c>
      <c r="L66" s="10" t="s">
        <v>23</v>
      </c>
      <c r="M66" s="21">
        <v>42873</v>
      </c>
    </row>
    <row r="67" spans="1:13">
      <c r="A67" s="21" t="s">
        <v>409</v>
      </c>
      <c r="B67" s="21" t="s">
        <v>290</v>
      </c>
      <c r="C67" s="11">
        <v>2079294</v>
      </c>
      <c r="D67" s="11">
        <v>161803</v>
      </c>
      <c r="E67" s="11" t="s">
        <v>13</v>
      </c>
      <c r="F67" s="22">
        <v>34</v>
      </c>
      <c r="G67" s="13">
        <v>0</v>
      </c>
      <c r="H67" s="22">
        <f t="shared" si="11"/>
        <v>34</v>
      </c>
      <c r="I67" s="11" t="s">
        <v>20</v>
      </c>
      <c r="J67" s="11">
        <v>2017</v>
      </c>
      <c r="K67" s="11" t="s">
        <v>24</v>
      </c>
      <c r="L67" s="10" t="s">
        <v>23</v>
      </c>
      <c r="M67" s="21">
        <v>42873</v>
      </c>
    </row>
    <row r="68" spans="1:13">
      <c r="A68" s="21" t="s">
        <v>409</v>
      </c>
      <c r="B68" s="21" t="s">
        <v>319</v>
      </c>
      <c r="C68" s="11">
        <v>2079294</v>
      </c>
      <c r="D68" s="11">
        <v>161803</v>
      </c>
      <c r="E68" s="11" t="s">
        <v>13</v>
      </c>
      <c r="F68" s="22">
        <v>229</v>
      </c>
      <c r="G68" s="13">
        <v>0</v>
      </c>
      <c r="H68" s="22">
        <f t="shared" si="11"/>
        <v>229</v>
      </c>
      <c r="I68" s="11" t="s">
        <v>20</v>
      </c>
      <c r="J68" s="11">
        <v>2017</v>
      </c>
      <c r="K68" s="11" t="s">
        <v>24</v>
      </c>
      <c r="L68" s="10" t="s">
        <v>23</v>
      </c>
      <c r="M68" s="21">
        <v>42873</v>
      </c>
    </row>
    <row r="69" spans="1:13">
      <c r="A69" s="21" t="s">
        <v>409</v>
      </c>
      <c r="B69" s="21" t="s">
        <v>317</v>
      </c>
      <c r="C69" s="11">
        <v>2079294</v>
      </c>
      <c r="D69" s="11">
        <v>161803</v>
      </c>
      <c r="E69" s="11" t="s">
        <v>13</v>
      </c>
      <c r="F69" s="22">
        <v>13.74</v>
      </c>
      <c r="G69" s="13">
        <v>0</v>
      </c>
      <c r="H69" s="22">
        <f t="shared" si="11"/>
        <v>13.74</v>
      </c>
      <c r="I69" s="11" t="s">
        <v>20</v>
      </c>
      <c r="J69" s="11">
        <v>2017</v>
      </c>
      <c r="K69" s="11" t="s">
        <v>24</v>
      </c>
      <c r="L69" s="10" t="s">
        <v>23</v>
      </c>
      <c r="M69" s="21">
        <v>42873</v>
      </c>
    </row>
    <row r="70" spans="1:13">
      <c r="A70" s="21" t="s">
        <v>409</v>
      </c>
      <c r="B70" s="21" t="s">
        <v>317</v>
      </c>
      <c r="C70" s="11">
        <v>2079294</v>
      </c>
      <c r="D70" s="11">
        <v>161803</v>
      </c>
      <c r="E70" s="11" t="s">
        <v>13</v>
      </c>
      <c r="F70" s="22">
        <v>20.61</v>
      </c>
      <c r="G70" s="13">
        <v>0</v>
      </c>
      <c r="H70" s="22">
        <f t="shared" si="11"/>
        <v>20.61</v>
      </c>
      <c r="I70" s="11" t="s">
        <v>20</v>
      </c>
      <c r="J70" s="11">
        <v>2017</v>
      </c>
      <c r="K70" s="11" t="s">
        <v>24</v>
      </c>
      <c r="L70" s="10" t="s">
        <v>23</v>
      </c>
      <c r="M70" s="21">
        <v>42873</v>
      </c>
    </row>
    <row r="71" spans="1:13">
      <c r="A71" s="21" t="s">
        <v>409</v>
      </c>
      <c r="B71" s="21" t="s">
        <v>290</v>
      </c>
      <c r="C71" s="11">
        <v>2079294</v>
      </c>
      <c r="D71" s="11">
        <v>161803</v>
      </c>
      <c r="E71" s="11" t="s">
        <v>13</v>
      </c>
      <c r="F71" s="22">
        <v>30</v>
      </c>
      <c r="G71" s="13">
        <v>-30</v>
      </c>
      <c r="H71" s="22">
        <f t="shared" si="11"/>
        <v>0</v>
      </c>
      <c r="I71" s="11" t="s">
        <v>20</v>
      </c>
      <c r="J71" s="11">
        <v>2017</v>
      </c>
      <c r="K71" s="11" t="s">
        <v>24</v>
      </c>
      <c r="L71" s="10" t="s">
        <v>23</v>
      </c>
      <c r="M71" s="21">
        <v>42873</v>
      </c>
    </row>
    <row r="72" spans="1:13">
      <c r="A72" s="21" t="s">
        <v>409</v>
      </c>
      <c r="B72" s="21" t="s">
        <v>316</v>
      </c>
      <c r="C72" s="11">
        <v>2079294</v>
      </c>
      <c r="D72" s="11">
        <v>161803</v>
      </c>
      <c r="E72" s="11" t="s">
        <v>13</v>
      </c>
      <c r="F72" s="22">
        <v>-16</v>
      </c>
      <c r="G72" s="13">
        <v>0</v>
      </c>
      <c r="H72" s="22">
        <f t="shared" si="11"/>
        <v>-16</v>
      </c>
      <c r="I72" s="11" t="s">
        <v>20</v>
      </c>
      <c r="J72" s="11">
        <v>2017</v>
      </c>
      <c r="K72" s="11" t="s">
        <v>24</v>
      </c>
      <c r="L72" s="10" t="s">
        <v>23</v>
      </c>
      <c r="M72" s="21">
        <v>42873</v>
      </c>
    </row>
    <row r="73" spans="1:13">
      <c r="A73" s="21"/>
      <c r="B73" s="21"/>
      <c r="E73" s="23" t="s">
        <v>383</v>
      </c>
      <c r="F73" s="108">
        <f>+SUM(F41:F72)</f>
        <v>3537.51</v>
      </c>
      <c r="G73" s="111">
        <f t="shared" ref="G73:H73" si="12">+SUM(G41:G72)</f>
        <v>-30</v>
      </c>
      <c r="H73" s="108">
        <f t="shared" si="12"/>
        <v>3507.51</v>
      </c>
      <c r="L73" s="10"/>
      <c r="M73" s="21"/>
    </row>
    <row r="74" spans="1:13">
      <c r="A74" s="21" t="s">
        <v>407</v>
      </c>
      <c r="B74" s="21"/>
      <c r="F74" s="108">
        <f>+F73+F39</f>
        <v>4035.9100000000003</v>
      </c>
      <c r="G74" s="111">
        <f t="shared" ref="G74:H74" si="13">+G73+G39</f>
        <v>-30</v>
      </c>
      <c r="H74" s="108">
        <f t="shared" si="13"/>
        <v>4005.9100000000003</v>
      </c>
      <c r="L74" s="10"/>
      <c r="M74" s="21"/>
    </row>
    <row r="75" spans="1:13">
      <c r="A75" s="21"/>
      <c r="B75" s="21"/>
      <c r="F75" s="22"/>
      <c r="H75" s="22"/>
      <c r="L75" s="10"/>
      <c r="M75" s="21"/>
    </row>
    <row r="76" spans="1:13" ht="13.5" thickBot="1">
      <c r="A76" s="11" t="s">
        <v>406</v>
      </c>
      <c r="F76" s="28">
        <f>+F74+F21+F15</f>
        <v>21030.230000000003</v>
      </c>
      <c r="G76" s="195">
        <f t="shared" ref="G76:H76" si="14">+G74+G21+G15</f>
        <v>-30</v>
      </c>
      <c r="H76" s="28">
        <f t="shared" si="14"/>
        <v>21000.230000000003</v>
      </c>
    </row>
    <row r="77" spans="1:13" ht="13.5" thickTop="1"/>
    <row r="79" spans="1:13" ht="13.5" thickBot="1"/>
    <row r="80" spans="1:13" ht="13.5" thickBot="1">
      <c r="A80" s="177" t="s">
        <v>415</v>
      </c>
      <c r="B80" s="178"/>
      <c r="C80" s="178"/>
      <c r="D80" s="179"/>
    </row>
    <row r="81" spans="1:4" ht="12" customHeight="1">
      <c r="A81" s="162"/>
      <c r="B81" s="170" t="s">
        <v>270</v>
      </c>
      <c r="C81" s="117"/>
      <c r="D81" s="171"/>
    </row>
    <row r="82" spans="1:4">
      <c r="A82" s="155"/>
      <c r="B82" s="172">
        <v>103</v>
      </c>
      <c r="C82" s="172">
        <v>211</v>
      </c>
      <c r="D82" s="171" t="s">
        <v>271</v>
      </c>
    </row>
    <row r="83" spans="1:4" ht="13.5" thickBot="1">
      <c r="A83" s="173" t="s">
        <v>276</v>
      </c>
      <c r="B83" s="130">
        <v>4000.9100000000003</v>
      </c>
      <c r="C83" s="130">
        <v>16999.32</v>
      </c>
      <c r="D83" s="193">
        <v>21000.23</v>
      </c>
    </row>
    <row r="84" spans="1:4" ht="13.5" thickTop="1">
      <c r="A84" s="173"/>
      <c r="B84" s="157"/>
      <c r="C84" s="157"/>
      <c r="D84" s="174"/>
    </row>
    <row r="85" spans="1:4">
      <c r="A85" s="173" t="s">
        <v>417</v>
      </c>
      <c r="B85" s="287" t="s">
        <v>416</v>
      </c>
      <c r="C85" s="287"/>
      <c r="D85" s="174"/>
    </row>
    <row r="86" spans="1:4">
      <c r="A86" s="173" t="s">
        <v>92</v>
      </c>
      <c r="B86" s="197" t="s">
        <v>272</v>
      </c>
      <c r="C86" s="197" t="s">
        <v>199</v>
      </c>
      <c r="D86" s="174" t="s">
        <v>271</v>
      </c>
    </row>
    <row r="87" spans="1:4">
      <c r="A87" s="173" t="s">
        <v>21</v>
      </c>
      <c r="B87" s="157">
        <v>331.46999999999997</v>
      </c>
      <c r="C87" s="157">
        <v>1351.79</v>
      </c>
      <c r="D87" s="174">
        <v>1683.26</v>
      </c>
    </row>
    <row r="88" spans="1:4">
      <c r="A88" s="173" t="s">
        <v>46</v>
      </c>
      <c r="B88" s="157">
        <v>14984.559999999998</v>
      </c>
      <c r="C88" s="157">
        <v>61509.27</v>
      </c>
      <c r="D88" s="174">
        <v>76493.829999999987</v>
      </c>
    </row>
    <row r="89" spans="1:4">
      <c r="A89" s="173" t="s">
        <v>14</v>
      </c>
      <c r="B89" s="157">
        <v>5206.3300000000017</v>
      </c>
      <c r="C89" s="157">
        <v>18243.450000000012</v>
      </c>
      <c r="D89" s="174">
        <v>23449.780000000013</v>
      </c>
    </row>
    <row r="90" spans="1:4">
      <c r="A90" s="173" t="s">
        <v>31</v>
      </c>
      <c r="B90" s="157">
        <v>11543.519999999999</v>
      </c>
      <c r="C90" s="157">
        <v>46469.889999999992</v>
      </c>
      <c r="D90" s="174">
        <v>58013.409999999989</v>
      </c>
    </row>
    <row r="91" spans="1:4">
      <c r="A91" s="173" t="s">
        <v>271</v>
      </c>
      <c r="B91" s="110">
        <v>32065.879999999997</v>
      </c>
      <c r="C91" s="110">
        <v>127574.39999999999</v>
      </c>
      <c r="D91" s="194">
        <v>159640.27999999997</v>
      </c>
    </row>
    <row r="92" spans="1:4">
      <c r="A92" s="173"/>
      <c r="B92" s="157"/>
      <c r="C92" s="157"/>
      <c r="D92" s="174"/>
    </row>
    <row r="93" spans="1:4">
      <c r="A93" s="173" t="s">
        <v>268</v>
      </c>
      <c r="B93" s="157">
        <v>5537.800000000002</v>
      </c>
      <c r="C93" s="157">
        <v>19595.240000000013</v>
      </c>
      <c r="D93" s="174">
        <v>25133.040000000015</v>
      </c>
    </row>
    <row r="94" spans="1:4">
      <c r="A94" s="175" t="s">
        <v>269</v>
      </c>
      <c r="B94" s="176">
        <v>26528.079999999994</v>
      </c>
      <c r="C94" s="176">
        <v>107979.15999999999</v>
      </c>
      <c r="D94" s="174">
        <v>134507.24</v>
      </c>
    </row>
    <row r="95" spans="1:4">
      <c r="A95" s="175"/>
      <c r="B95" s="111"/>
      <c r="C95" s="111"/>
      <c r="D95" s="194">
        <v>159640.28</v>
      </c>
    </row>
    <row r="96" spans="1:4">
      <c r="A96" s="175"/>
      <c r="B96" s="176"/>
      <c r="C96" s="176"/>
      <c r="D96" s="174"/>
    </row>
    <row r="97" spans="1:5">
      <c r="A97" s="175"/>
      <c r="B97" s="198" t="s">
        <v>272</v>
      </c>
      <c r="C97" s="198" t="s">
        <v>199</v>
      </c>
      <c r="D97" s="174"/>
    </row>
    <row r="98" spans="1:5">
      <c r="A98" s="173" t="s">
        <v>268</v>
      </c>
      <c r="B98" s="180">
        <f>+B93/D93</f>
        <v>0.22033944162743538</v>
      </c>
      <c r="C98" s="180">
        <f>+C93/D93</f>
        <v>0.77966055837256454</v>
      </c>
      <c r="D98" s="174"/>
    </row>
    <row r="99" spans="1:5">
      <c r="A99" s="175" t="s">
        <v>269</v>
      </c>
      <c r="B99" s="180">
        <f>+B94/D94</f>
        <v>0.19722417915942664</v>
      </c>
      <c r="C99" s="180">
        <f>+C94/D94</f>
        <v>0.80277582084057331</v>
      </c>
      <c r="D99" s="174"/>
    </row>
    <row r="100" spans="1:5">
      <c r="A100" s="175"/>
      <c r="B100" s="176"/>
      <c r="C100" s="176"/>
      <c r="D100" s="174"/>
      <c r="E100" s="181"/>
    </row>
    <row r="101" spans="1:5" ht="13.5" thickBot="1">
      <c r="A101" s="175" t="s">
        <v>275</v>
      </c>
      <c r="B101" s="195">
        <f>+B98*H76</f>
        <v>4627.1789522477184</v>
      </c>
      <c r="C101" s="195">
        <f>+C98*H76</f>
        <v>16373.051047752284</v>
      </c>
      <c r="D101" s="196">
        <f>+SUM(B101:C101)</f>
        <v>21000.230000000003</v>
      </c>
      <c r="E101" s="181"/>
    </row>
    <row r="102" spans="1:5" ht="13.5" thickTop="1">
      <c r="A102" s="175"/>
      <c r="B102" s="176"/>
      <c r="C102" s="176"/>
      <c r="D102" s="174"/>
      <c r="E102" s="181"/>
    </row>
    <row r="103" spans="1:5" ht="13.5" thickBot="1">
      <c r="A103" s="182"/>
      <c r="B103" s="183"/>
      <c r="C103" s="183"/>
      <c r="D103" s="184"/>
      <c r="E103" s="181"/>
    </row>
    <row r="104" spans="1:5">
      <c r="A104" s="181"/>
      <c r="B104" s="181"/>
      <c r="C104" s="181"/>
      <c r="D104" s="181"/>
      <c r="E104" s="181"/>
    </row>
  </sheetData>
  <sortState ref="A7:M60">
    <sortCondition ref="A7:A60"/>
    <sortCondition ref="K7:K60"/>
  </sortState>
  <mergeCells count="4">
    <mergeCell ref="A1:M1"/>
    <mergeCell ref="A2:M2"/>
    <mergeCell ref="A3:M3"/>
    <mergeCell ref="B85:C85"/>
  </mergeCells>
  <pageMargins left="0.7" right="0.7" top="0.75" bottom="0.75" header="0.3" footer="0.3"/>
  <pageSetup scale="51" fitToHeight="3" orientation="landscape" r:id="rId2"/>
  <rowBreaks count="1" manualBreakCount="1">
    <brk id="7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zoomScaleNormal="100" workbookViewId="0">
      <pane ySplit="6" topLeftCell="A39" activePane="bottomLeft" state="frozen"/>
      <selection activeCell="H39" sqref="H39"/>
      <selection pane="bottomLeft" activeCell="H39" sqref="H39"/>
    </sheetView>
  </sheetViews>
  <sheetFormatPr defaultColWidth="9.140625" defaultRowHeight="12.75"/>
  <cols>
    <col min="1" max="1" width="20.28515625" style="11" customWidth="1"/>
    <col min="2" max="2" width="18.28515625" style="11" bestFit="1" customWidth="1"/>
    <col min="3" max="3" width="14.28515625" style="11" customWidth="1"/>
    <col min="4" max="4" width="14" style="11" customWidth="1"/>
    <col min="5" max="5" width="30.28515625" style="11" bestFit="1" customWidth="1"/>
    <col min="6" max="6" width="11.85546875" style="11" bestFit="1" customWidth="1"/>
    <col min="7" max="7" width="11.140625" style="13" bestFit="1" customWidth="1"/>
    <col min="8" max="8" width="13.42578125" style="11" bestFit="1" customWidth="1"/>
    <col min="9" max="9" width="23" style="11" bestFit="1" customWidth="1"/>
    <col min="10" max="10" width="4.7109375" style="11" bestFit="1" customWidth="1"/>
    <col min="11" max="11" width="7.85546875" style="11" bestFit="1" customWidth="1"/>
    <col min="12" max="12" width="20.7109375" style="11" bestFit="1" customWidth="1"/>
    <col min="13" max="13" width="10.42578125" style="11" bestFit="1" customWidth="1"/>
    <col min="14" max="14" width="9.140625" style="11"/>
    <col min="15" max="15" width="16.85546875" style="11" bestFit="1" customWidth="1"/>
    <col min="16" max="16" width="15" style="11" bestFit="1" customWidth="1"/>
    <col min="17" max="18" width="10" style="11" bestFit="1" customWidth="1"/>
    <col min="19" max="19" width="10.28515625" style="11" bestFit="1" customWidth="1"/>
    <col min="20" max="20" width="22.42578125" style="11" bestFit="1" customWidth="1"/>
    <col min="21" max="16384" width="9.140625" style="11"/>
  </cols>
  <sheetData>
    <row r="1" spans="1:13" s="10" customFormat="1">
      <c r="A1" s="285" t="s">
        <v>309</v>
      </c>
      <c r="B1" s="285"/>
      <c r="C1" s="285"/>
      <c r="D1" s="285"/>
      <c r="E1" s="285"/>
      <c r="F1" s="285"/>
      <c r="G1" s="285"/>
      <c r="H1" s="285"/>
      <c r="I1" s="285"/>
      <c r="J1" s="285"/>
      <c r="K1" s="285"/>
      <c r="L1" s="285"/>
      <c r="M1" s="285"/>
    </row>
    <row r="2" spans="1:13" s="10" customFormat="1">
      <c r="A2" s="285" t="s">
        <v>310</v>
      </c>
      <c r="B2" s="285"/>
      <c r="C2" s="285"/>
      <c r="D2" s="285"/>
      <c r="E2" s="285"/>
      <c r="F2" s="285"/>
      <c r="G2" s="285"/>
      <c r="H2" s="285"/>
      <c r="I2" s="285"/>
      <c r="J2" s="285"/>
      <c r="K2" s="285"/>
      <c r="L2" s="285"/>
      <c r="M2" s="285"/>
    </row>
    <row r="3" spans="1:13" s="10" customFormat="1" ht="12" customHeight="1">
      <c r="A3" s="286" t="s">
        <v>334</v>
      </c>
      <c r="B3" s="286"/>
      <c r="C3" s="286"/>
      <c r="D3" s="286"/>
      <c r="E3" s="286"/>
      <c r="F3" s="286"/>
      <c r="G3" s="286"/>
      <c r="H3" s="286"/>
      <c r="I3" s="286"/>
      <c r="J3" s="286"/>
      <c r="K3" s="286"/>
      <c r="L3" s="286"/>
      <c r="M3" s="286"/>
    </row>
    <row r="5" spans="1:13">
      <c r="A5" s="21"/>
      <c r="B5" s="21"/>
      <c r="C5" s="33"/>
      <c r="F5" s="22"/>
      <c r="H5" s="22"/>
      <c r="M5" s="21"/>
    </row>
    <row r="6" spans="1:13" s="20" customFormat="1" ht="13.5" thickBot="1">
      <c r="A6" s="14" t="s">
        <v>1</v>
      </c>
      <c r="B6" s="14" t="s">
        <v>2</v>
      </c>
      <c r="C6" s="15" t="s">
        <v>0</v>
      </c>
      <c r="D6" s="15" t="s">
        <v>3</v>
      </c>
      <c r="E6" s="15" t="s">
        <v>4</v>
      </c>
      <c r="F6" s="16" t="s">
        <v>5</v>
      </c>
      <c r="G6" s="17" t="s">
        <v>6</v>
      </c>
      <c r="H6" s="18" t="s">
        <v>7</v>
      </c>
      <c r="I6" s="15" t="s">
        <v>9</v>
      </c>
      <c r="J6" s="15" t="s">
        <v>11</v>
      </c>
      <c r="K6" s="15" t="s">
        <v>12</v>
      </c>
      <c r="L6" s="15" t="s">
        <v>8</v>
      </c>
      <c r="M6" s="14" t="s">
        <v>35</v>
      </c>
    </row>
    <row r="7" spans="1:13" ht="13.5" thickTop="1">
      <c r="A7" s="21" t="s">
        <v>111</v>
      </c>
      <c r="B7" s="41" t="s">
        <v>311</v>
      </c>
      <c r="C7" s="38" t="s">
        <v>277</v>
      </c>
      <c r="D7" s="38" t="s">
        <v>120</v>
      </c>
      <c r="E7" s="38" t="s">
        <v>25</v>
      </c>
      <c r="F7" s="24">
        <v>5660.6</v>
      </c>
      <c r="G7" s="13">
        <v>0</v>
      </c>
      <c r="H7" s="13">
        <f>+F7+G7</f>
        <v>5660.6</v>
      </c>
      <c r="J7" s="23">
        <v>2018</v>
      </c>
      <c r="K7" s="39">
        <v>9</v>
      </c>
      <c r="L7" s="38" t="s">
        <v>278</v>
      </c>
      <c r="M7" s="40">
        <v>43230</v>
      </c>
    </row>
    <row r="8" spans="1:13">
      <c r="A8" s="21" t="s">
        <v>111</v>
      </c>
      <c r="B8" s="41" t="s">
        <v>311</v>
      </c>
      <c r="C8" s="38" t="s">
        <v>279</v>
      </c>
      <c r="D8" s="38" t="s">
        <v>120</v>
      </c>
      <c r="E8" s="38" t="s">
        <v>25</v>
      </c>
      <c r="F8" s="24">
        <v>17041</v>
      </c>
      <c r="G8" s="13">
        <v>0</v>
      </c>
      <c r="H8" s="13">
        <f>+F8+G8</f>
        <v>17041</v>
      </c>
      <c r="J8" s="23">
        <v>2018</v>
      </c>
      <c r="K8" s="39">
        <v>9</v>
      </c>
      <c r="L8" s="38" t="s">
        <v>280</v>
      </c>
      <c r="M8" s="40">
        <v>43263</v>
      </c>
    </row>
    <row r="9" spans="1:13">
      <c r="A9" s="21" t="s">
        <v>111</v>
      </c>
      <c r="B9" s="41" t="s">
        <v>311</v>
      </c>
      <c r="C9" s="38" t="s">
        <v>281</v>
      </c>
      <c r="D9" s="38" t="s">
        <v>120</v>
      </c>
      <c r="E9" s="38" t="s">
        <v>25</v>
      </c>
      <c r="F9" s="24">
        <v>175</v>
      </c>
      <c r="G9" s="13">
        <v>0</v>
      </c>
      <c r="H9" s="13">
        <f>+F9+G9</f>
        <v>175</v>
      </c>
      <c r="J9" s="23">
        <v>2018</v>
      </c>
      <c r="K9" s="39">
        <v>9</v>
      </c>
      <c r="L9" s="38" t="s">
        <v>282</v>
      </c>
      <c r="M9" s="40">
        <v>43320</v>
      </c>
    </row>
    <row r="10" spans="1:13">
      <c r="A10" s="21" t="s">
        <v>111</v>
      </c>
      <c r="B10" s="41" t="s">
        <v>311</v>
      </c>
      <c r="C10" s="38" t="s">
        <v>283</v>
      </c>
      <c r="D10" s="38" t="s">
        <v>120</v>
      </c>
      <c r="E10" s="38" t="s">
        <v>25</v>
      </c>
      <c r="F10" s="24">
        <v>313.5</v>
      </c>
      <c r="G10" s="13">
        <v>0</v>
      </c>
      <c r="H10" s="13">
        <f>+F10+G10</f>
        <v>313.5</v>
      </c>
      <c r="J10" s="23">
        <v>2018</v>
      </c>
      <c r="K10" s="39">
        <v>9</v>
      </c>
      <c r="L10" s="38" t="s">
        <v>284</v>
      </c>
      <c r="M10" s="40">
        <v>43354</v>
      </c>
    </row>
    <row r="11" spans="1:13">
      <c r="A11" s="21" t="s">
        <v>111</v>
      </c>
      <c r="B11" s="41" t="s">
        <v>311</v>
      </c>
      <c r="C11" s="38" t="s">
        <v>285</v>
      </c>
      <c r="D11" s="38" t="s">
        <v>120</v>
      </c>
      <c r="E11" s="38" t="s">
        <v>25</v>
      </c>
      <c r="F11" s="24">
        <v>743</v>
      </c>
      <c r="G11" s="13">
        <v>0</v>
      </c>
      <c r="H11" s="13">
        <f>+F11+G11</f>
        <v>743</v>
      </c>
      <c r="J11" s="23">
        <v>2018</v>
      </c>
      <c r="K11" s="39">
        <v>9</v>
      </c>
      <c r="L11" s="38" t="s">
        <v>286</v>
      </c>
      <c r="M11" s="40">
        <v>43344</v>
      </c>
    </row>
    <row r="12" spans="1:13">
      <c r="A12" s="21"/>
      <c r="B12" s="41"/>
      <c r="C12" s="38"/>
      <c r="D12" s="38"/>
      <c r="E12" s="10" t="s">
        <v>387</v>
      </c>
      <c r="F12" s="110">
        <f>+SUM(F7:F11)</f>
        <v>23933.1</v>
      </c>
      <c r="G12" s="110">
        <f t="shared" ref="G12:H12" si="0">+SUM(G7:G11)</f>
        <v>0</v>
      </c>
      <c r="H12" s="110">
        <f t="shared" si="0"/>
        <v>23933.1</v>
      </c>
      <c r="J12" s="23"/>
      <c r="K12" s="39"/>
      <c r="L12" s="38"/>
      <c r="M12" s="40"/>
    </row>
    <row r="13" spans="1:13">
      <c r="A13" s="21" t="s">
        <v>111</v>
      </c>
      <c r="B13" s="41" t="s">
        <v>311</v>
      </c>
      <c r="C13" s="236" t="s">
        <v>287</v>
      </c>
      <c r="D13" s="236" t="s">
        <v>120</v>
      </c>
      <c r="E13" s="236" t="s">
        <v>25</v>
      </c>
      <c r="F13" s="13">
        <v>358.75</v>
      </c>
      <c r="G13" s="13">
        <v>0</v>
      </c>
      <c r="H13" s="13">
        <f>+F13+G13</f>
        <v>358.75</v>
      </c>
      <c r="J13" s="11">
        <v>2018</v>
      </c>
      <c r="K13" s="10">
        <v>10</v>
      </c>
      <c r="L13" s="236" t="s">
        <v>32</v>
      </c>
      <c r="M13" s="21">
        <v>43377</v>
      </c>
    </row>
    <row r="14" spans="1:13">
      <c r="A14" s="21" t="s">
        <v>111</v>
      </c>
      <c r="B14" s="41" t="s">
        <v>311</v>
      </c>
      <c r="C14" s="236" t="s">
        <v>287</v>
      </c>
      <c r="D14" s="236" t="s">
        <v>120</v>
      </c>
      <c r="E14" s="236" t="s">
        <v>25</v>
      </c>
      <c r="F14" s="13">
        <v>29.6</v>
      </c>
      <c r="G14" s="13">
        <v>0</v>
      </c>
      <c r="H14" s="13">
        <f>+F14+G14</f>
        <v>29.6</v>
      </c>
      <c r="J14" s="11">
        <v>2018</v>
      </c>
      <c r="K14" s="10">
        <v>10</v>
      </c>
      <c r="L14" s="236" t="s">
        <v>32</v>
      </c>
      <c r="M14" s="21">
        <v>43377</v>
      </c>
    </row>
    <row r="15" spans="1:13">
      <c r="A15" s="21"/>
      <c r="B15" s="41"/>
      <c r="C15" s="236"/>
      <c r="D15" s="236"/>
      <c r="E15" s="10" t="s">
        <v>387</v>
      </c>
      <c r="F15" s="111">
        <f>+SUM(F13:F14)</f>
        <v>388.35</v>
      </c>
      <c r="G15" s="111">
        <f t="shared" ref="G15:H15" si="1">+SUM(G13:G14)</f>
        <v>0</v>
      </c>
      <c r="H15" s="111">
        <f t="shared" si="1"/>
        <v>388.35</v>
      </c>
      <c r="K15" s="10"/>
      <c r="L15" s="236"/>
      <c r="M15" s="21"/>
    </row>
    <row r="16" spans="1:13">
      <c r="A16" s="21"/>
      <c r="B16" s="41"/>
      <c r="C16" s="236"/>
      <c r="D16" s="236"/>
      <c r="E16" s="236" t="s">
        <v>384</v>
      </c>
      <c r="F16" s="111">
        <f>+F15+F12</f>
        <v>24321.449999999997</v>
      </c>
      <c r="G16" s="111">
        <f t="shared" ref="G16:H16" si="2">+G15+G12</f>
        <v>0</v>
      </c>
      <c r="H16" s="111">
        <f t="shared" si="2"/>
        <v>24321.449999999997</v>
      </c>
      <c r="K16" s="10"/>
      <c r="L16" s="236"/>
      <c r="M16" s="21"/>
    </row>
    <row r="17" spans="1:13">
      <c r="A17" s="21" t="s">
        <v>385</v>
      </c>
      <c r="B17" s="41"/>
      <c r="C17" s="236"/>
      <c r="D17" s="236"/>
      <c r="E17" s="236"/>
      <c r="F17" s="111">
        <f>+F16</f>
        <v>24321.449999999997</v>
      </c>
      <c r="G17" s="111">
        <f t="shared" ref="G17:H17" si="3">+G16</f>
        <v>0</v>
      </c>
      <c r="H17" s="111">
        <f t="shared" si="3"/>
        <v>24321.449999999997</v>
      </c>
      <c r="K17" s="10"/>
      <c r="L17" s="236"/>
      <c r="M17" s="21"/>
    </row>
    <row r="18" spans="1:13">
      <c r="A18" s="21"/>
      <c r="B18" s="41"/>
      <c r="C18" s="236"/>
      <c r="D18" s="236"/>
      <c r="E18" s="236"/>
      <c r="F18" s="13"/>
      <c r="H18" s="13"/>
      <c r="K18" s="10"/>
      <c r="L18" s="236"/>
      <c r="M18" s="21"/>
    </row>
    <row r="19" spans="1:13">
      <c r="A19" s="37" t="s">
        <v>382</v>
      </c>
      <c r="B19" s="37" t="s">
        <v>313</v>
      </c>
      <c r="C19" s="11">
        <v>2215275</v>
      </c>
      <c r="D19" s="11">
        <v>164567</v>
      </c>
      <c r="E19" s="11" t="s">
        <v>43</v>
      </c>
      <c r="F19" s="22">
        <v>247.1</v>
      </c>
      <c r="G19" s="13">
        <v>0</v>
      </c>
      <c r="H19" s="22">
        <f>+F19+G19</f>
        <v>247.1</v>
      </c>
      <c r="J19" s="11">
        <v>2018</v>
      </c>
      <c r="K19" s="11" t="s">
        <v>19</v>
      </c>
      <c r="L19" s="11" t="s">
        <v>44</v>
      </c>
      <c r="M19" s="21">
        <v>43199</v>
      </c>
    </row>
    <row r="20" spans="1:13">
      <c r="A20" s="37"/>
      <c r="B20" s="37"/>
      <c r="E20" s="10" t="s">
        <v>387</v>
      </c>
      <c r="F20" s="108">
        <f>+F19</f>
        <v>247.1</v>
      </c>
      <c r="G20" s="111">
        <f t="shared" ref="G20:H20" si="4">+G19</f>
        <v>0</v>
      </c>
      <c r="H20" s="108">
        <f t="shared" si="4"/>
        <v>247.1</v>
      </c>
      <c r="M20" s="21"/>
    </row>
    <row r="21" spans="1:13">
      <c r="A21" s="37" t="s">
        <v>382</v>
      </c>
      <c r="B21" s="37" t="s">
        <v>313</v>
      </c>
      <c r="C21" s="11">
        <v>2230324</v>
      </c>
      <c r="D21" s="11">
        <v>164567</v>
      </c>
      <c r="E21" s="11" t="s">
        <v>43</v>
      </c>
      <c r="F21" s="13">
        <v>49.42</v>
      </c>
      <c r="G21" s="13">
        <v>0</v>
      </c>
      <c r="H21" s="22">
        <f>+F21+G21</f>
        <v>49.42</v>
      </c>
      <c r="J21" s="11">
        <v>2018</v>
      </c>
      <c r="K21" s="11" t="s">
        <v>24</v>
      </c>
      <c r="L21" s="11" t="s">
        <v>50</v>
      </c>
      <c r="M21" s="21">
        <v>43220</v>
      </c>
    </row>
    <row r="22" spans="1:13">
      <c r="A22" s="37"/>
      <c r="B22" s="37"/>
      <c r="E22" s="10" t="s">
        <v>387</v>
      </c>
      <c r="F22" s="111">
        <f>+F21</f>
        <v>49.42</v>
      </c>
      <c r="G22" s="111">
        <f t="shared" ref="G22:H22" si="5">+G21</f>
        <v>0</v>
      </c>
      <c r="H22" s="111">
        <f t="shared" si="5"/>
        <v>49.42</v>
      </c>
      <c r="M22" s="21"/>
    </row>
    <row r="23" spans="1:13">
      <c r="A23" s="37" t="s">
        <v>382</v>
      </c>
      <c r="B23" s="37" t="s">
        <v>313</v>
      </c>
      <c r="C23" s="11">
        <v>2278581</v>
      </c>
      <c r="D23" s="11">
        <v>164567</v>
      </c>
      <c r="E23" s="11" t="s">
        <v>43</v>
      </c>
      <c r="F23" s="22">
        <v>25.57</v>
      </c>
      <c r="G23" s="13">
        <v>0</v>
      </c>
      <c r="H23" s="22">
        <f>+F23+G23</f>
        <v>25.57</v>
      </c>
      <c r="J23" s="11">
        <v>2018</v>
      </c>
      <c r="K23" s="11" t="s">
        <v>29</v>
      </c>
      <c r="L23" s="11" t="s">
        <v>57</v>
      </c>
      <c r="M23" s="21">
        <v>43336</v>
      </c>
    </row>
    <row r="24" spans="1:13">
      <c r="A24" s="37"/>
      <c r="B24" s="37"/>
      <c r="E24" s="10" t="s">
        <v>387</v>
      </c>
      <c r="F24" s="111">
        <f>+F23</f>
        <v>25.57</v>
      </c>
      <c r="G24" s="111">
        <f t="shared" ref="G24:H24" si="6">+G23</f>
        <v>0</v>
      </c>
      <c r="H24" s="111">
        <f t="shared" si="6"/>
        <v>25.57</v>
      </c>
      <c r="M24" s="21"/>
    </row>
    <row r="25" spans="1:13">
      <c r="A25" s="37"/>
      <c r="B25" s="37"/>
      <c r="E25" s="10" t="s">
        <v>388</v>
      </c>
      <c r="F25" s="111">
        <f>+F24+F22+F20</f>
        <v>322.09000000000003</v>
      </c>
      <c r="G25" s="111">
        <f t="shared" ref="G25:H25" si="7">+G24+G22+G20</f>
        <v>0</v>
      </c>
      <c r="H25" s="111">
        <f t="shared" si="7"/>
        <v>322.09000000000003</v>
      </c>
      <c r="M25" s="21"/>
    </row>
    <row r="26" spans="1:13">
      <c r="A26" s="37"/>
      <c r="B26" s="37"/>
      <c r="E26" s="10"/>
      <c r="F26" s="13"/>
      <c r="H26" s="22"/>
      <c r="M26" s="21"/>
    </row>
    <row r="27" spans="1:13">
      <c r="A27" s="37" t="s">
        <v>382</v>
      </c>
      <c r="B27" s="21" t="s">
        <v>314</v>
      </c>
      <c r="C27" s="11">
        <v>885914</v>
      </c>
      <c r="D27" s="11">
        <v>80046</v>
      </c>
      <c r="E27" s="11" t="s">
        <v>56</v>
      </c>
      <c r="F27" s="22">
        <v>50.16</v>
      </c>
      <c r="G27" s="13">
        <v>0</v>
      </c>
      <c r="H27" s="22">
        <f>+F27+G27</f>
        <v>50.16</v>
      </c>
      <c r="J27" s="11">
        <v>2018</v>
      </c>
      <c r="K27" s="11" t="s">
        <v>29</v>
      </c>
      <c r="L27" s="10">
        <v>201802</v>
      </c>
      <c r="M27" s="21">
        <v>43329</v>
      </c>
    </row>
    <row r="28" spans="1:13">
      <c r="E28" s="10" t="s">
        <v>387</v>
      </c>
      <c r="F28" s="108">
        <f>+F27</f>
        <v>50.16</v>
      </c>
      <c r="G28" s="111">
        <f t="shared" ref="G28:H29" si="8">+G27</f>
        <v>0</v>
      </c>
      <c r="H28" s="108">
        <f t="shared" si="8"/>
        <v>50.16</v>
      </c>
    </row>
    <row r="29" spans="1:13">
      <c r="A29" s="37"/>
      <c r="B29" s="37"/>
      <c r="E29" s="11" t="s">
        <v>389</v>
      </c>
      <c r="F29" s="108">
        <f>+F28</f>
        <v>50.16</v>
      </c>
      <c r="G29" s="111">
        <f t="shared" si="8"/>
        <v>0</v>
      </c>
      <c r="H29" s="108">
        <f t="shared" si="8"/>
        <v>50.16</v>
      </c>
      <c r="M29" s="21"/>
    </row>
    <row r="30" spans="1:13">
      <c r="A30" s="37" t="s">
        <v>368</v>
      </c>
      <c r="B30" s="37"/>
      <c r="F30" s="108">
        <f>+F29+F25</f>
        <v>372.25</v>
      </c>
      <c r="G30" s="111">
        <f t="shared" ref="G30:H30" si="9">+G29+G25</f>
        <v>0</v>
      </c>
      <c r="H30" s="108">
        <f t="shared" si="9"/>
        <v>372.25</v>
      </c>
      <c r="M30" s="21"/>
    </row>
    <row r="31" spans="1:13">
      <c r="A31" s="37"/>
      <c r="B31" s="37"/>
      <c r="F31" s="22"/>
      <c r="H31" s="22"/>
      <c r="M31" s="21"/>
    </row>
    <row r="32" spans="1:13">
      <c r="A32" s="37"/>
      <c r="B32" s="37"/>
      <c r="F32" s="22"/>
      <c r="H32" s="22"/>
      <c r="M32" s="21"/>
    </row>
    <row r="33" spans="1:13">
      <c r="A33" s="21" t="s">
        <v>409</v>
      </c>
      <c r="B33" s="21" t="s">
        <v>325</v>
      </c>
      <c r="C33" s="11">
        <v>854762</v>
      </c>
      <c r="D33" s="11">
        <v>161803</v>
      </c>
      <c r="E33" s="11" t="s">
        <v>13</v>
      </c>
      <c r="F33" s="22">
        <v>180.79</v>
      </c>
      <c r="G33" s="13">
        <v>0</v>
      </c>
      <c r="H33" s="22">
        <f t="shared" ref="H33:H38" si="10">+F33+G33</f>
        <v>180.79</v>
      </c>
      <c r="I33" s="11" t="s">
        <v>33</v>
      </c>
      <c r="J33" s="11">
        <v>2018</v>
      </c>
      <c r="K33" s="11" t="s">
        <v>17</v>
      </c>
      <c r="L33" s="11" t="s">
        <v>36</v>
      </c>
      <c r="M33" s="21">
        <v>43171</v>
      </c>
    </row>
    <row r="34" spans="1:13">
      <c r="A34" s="21" t="s">
        <v>409</v>
      </c>
      <c r="B34" s="21" t="s">
        <v>325</v>
      </c>
      <c r="C34" s="11">
        <v>854857</v>
      </c>
      <c r="D34" s="11">
        <v>161803</v>
      </c>
      <c r="E34" s="11" t="s">
        <v>13</v>
      </c>
      <c r="F34" s="22">
        <v>399.64</v>
      </c>
      <c r="G34" s="13">
        <v>0</v>
      </c>
      <c r="H34" s="22">
        <f t="shared" si="10"/>
        <v>399.64</v>
      </c>
      <c r="I34" s="11" t="s">
        <v>33</v>
      </c>
      <c r="J34" s="11">
        <v>2018</v>
      </c>
      <c r="K34" s="11" t="s">
        <v>17</v>
      </c>
      <c r="L34" s="11" t="s">
        <v>37</v>
      </c>
      <c r="M34" s="21">
        <v>43171</v>
      </c>
    </row>
    <row r="35" spans="1:13">
      <c r="A35" s="21" t="s">
        <v>409</v>
      </c>
      <c r="B35" s="21" t="s">
        <v>325</v>
      </c>
      <c r="C35" s="11">
        <v>856146</v>
      </c>
      <c r="D35" s="11">
        <v>161803</v>
      </c>
      <c r="E35" s="11" t="s">
        <v>13</v>
      </c>
      <c r="F35" s="22">
        <v>342.55</v>
      </c>
      <c r="G35" s="13">
        <v>0</v>
      </c>
      <c r="H35" s="22">
        <f t="shared" si="10"/>
        <v>342.55</v>
      </c>
      <c r="I35" s="11" t="s">
        <v>33</v>
      </c>
      <c r="J35" s="11">
        <v>2018</v>
      </c>
      <c r="K35" s="11" t="s">
        <v>17</v>
      </c>
      <c r="L35" s="11" t="s">
        <v>38</v>
      </c>
      <c r="M35" s="21">
        <v>43178</v>
      </c>
    </row>
    <row r="36" spans="1:13">
      <c r="A36" s="21" t="s">
        <v>409</v>
      </c>
      <c r="B36" s="21" t="s">
        <v>317</v>
      </c>
      <c r="C36" s="11">
        <v>858342</v>
      </c>
      <c r="D36" s="11">
        <v>161803</v>
      </c>
      <c r="E36" s="11" t="s">
        <v>13</v>
      </c>
      <c r="F36" s="22">
        <v>204.52</v>
      </c>
      <c r="G36" s="13">
        <v>0</v>
      </c>
      <c r="H36" s="22">
        <f t="shared" si="10"/>
        <v>204.52</v>
      </c>
      <c r="I36" s="11" t="s">
        <v>33</v>
      </c>
      <c r="J36" s="11">
        <v>2018</v>
      </c>
      <c r="K36" s="11" t="s">
        <v>17</v>
      </c>
      <c r="L36" s="11" t="s">
        <v>39</v>
      </c>
      <c r="M36" s="21">
        <v>43187</v>
      </c>
    </row>
    <row r="37" spans="1:13">
      <c r="A37" s="21" t="s">
        <v>409</v>
      </c>
      <c r="B37" s="21" t="s">
        <v>325</v>
      </c>
      <c r="C37" s="11">
        <v>858342</v>
      </c>
      <c r="D37" s="11">
        <v>161803</v>
      </c>
      <c r="E37" s="11" t="s">
        <v>13</v>
      </c>
      <c r="F37" s="22">
        <v>565</v>
      </c>
      <c r="G37" s="13">
        <v>0</v>
      </c>
      <c r="H37" s="22">
        <f t="shared" si="10"/>
        <v>565</v>
      </c>
      <c r="I37" s="11" t="s">
        <v>33</v>
      </c>
      <c r="J37" s="11">
        <v>2018</v>
      </c>
      <c r="K37" s="11" t="s">
        <v>17</v>
      </c>
      <c r="L37" s="11" t="s">
        <v>39</v>
      </c>
      <c r="M37" s="21">
        <v>43187</v>
      </c>
    </row>
    <row r="38" spans="1:13">
      <c r="A38" s="21" t="s">
        <v>409</v>
      </c>
      <c r="B38" s="21" t="s">
        <v>325</v>
      </c>
      <c r="C38" s="11">
        <v>858342</v>
      </c>
      <c r="D38" s="11">
        <v>161803</v>
      </c>
      <c r="E38" s="11" t="s">
        <v>13</v>
      </c>
      <c r="F38" s="22">
        <v>1914</v>
      </c>
      <c r="G38" s="13">
        <v>0</v>
      </c>
      <c r="H38" s="22">
        <f t="shared" si="10"/>
        <v>1914</v>
      </c>
      <c r="I38" s="11" t="s">
        <v>33</v>
      </c>
      <c r="J38" s="11">
        <v>2018</v>
      </c>
      <c r="K38" s="11" t="s">
        <v>17</v>
      </c>
      <c r="L38" s="11" t="s">
        <v>39</v>
      </c>
      <c r="M38" s="21">
        <v>43187</v>
      </c>
    </row>
    <row r="39" spans="1:13">
      <c r="A39" s="21"/>
      <c r="B39" s="21"/>
      <c r="E39" s="10" t="s">
        <v>387</v>
      </c>
      <c r="F39" s="108">
        <f>+SUM(F33:F38)</f>
        <v>3606.5</v>
      </c>
      <c r="G39" s="111">
        <f t="shared" ref="G39:H39" si="11">+SUM(G33:G38)</f>
        <v>0</v>
      </c>
      <c r="H39" s="108">
        <f t="shared" si="11"/>
        <v>3606.5</v>
      </c>
      <c r="M39" s="21"/>
    </row>
    <row r="40" spans="1:13">
      <c r="A40" s="21" t="s">
        <v>409</v>
      </c>
      <c r="B40" s="21" t="s">
        <v>320</v>
      </c>
      <c r="C40" s="11">
        <v>862052</v>
      </c>
      <c r="D40" s="11">
        <v>161803</v>
      </c>
      <c r="E40" s="11" t="s">
        <v>13</v>
      </c>
      <c r="F40" s="22">
        <v>57.23</v>
      </c>
      <c r="G40" s="13">
        <v>0</v>
      </c>
      <c r="H40" s="22">
        <f>+F40+G40</f>
        <v>57.23</v>
      </c>
      <c r="I40" s="11" t="s">
        <v>40</v>
      </c>
      <c r="J40" s="11">
        <v>2018</v>
      </c>
      <c r="K40" s="11" t="s">
        <v>19</v>
      </c>
      <c r="L40" s="11" t="s">
        <v>41</v>
      </c>
      <c r="M40" s="21">
        <v>43209</v>
      </c>
    </row>
    <row r="41" spans="1:13">
      <c r="A41" s="21" t="s">
        <v>409</v>
      </c>
      <c r="B41" s="21" t="s">
        <v>312</v>
      </c>
      <c r="C41" s="11">
        <v>862960</v>
      </c>
      <c r="D41" s="11">
        <v>161803</v>
      </c>
      <c r="E41" s="11" t="s">
        <v>13</v>
      </c>
      <c r="F41" s="22">
        <v>19</v>
      </c>
      <c r="G41" s="13">
        <v>0</v>
      </c>
      <c r="H41" s="22">
        <f>+F41+G41</f>
        <v>19</v>
      </c>
      <c r="I41" s="11" t="s">
        <v>33</v>
      </c>
      <c r="J41" s="11">
        <v>2018</v>
      </c>
      <c r="K41" s="11" t="s">
        <v>19</v>
      </c>
      <c r="L41" s="11" t="s">
        <v>42</v>
      </c>
      <c r="M41" s="21">
        <v>43215</v>
      </c>
    </row>
    <row r="42" spans="1:13">
      <c r="A42" s="21" t="s">
        <v>409</v>
      </c>
      <c r="B42" s="21" t="s">
        <v>312</v>
      </c>
      <c r="C42" s="11">
        <v>862960</v>
      </c>
      <c r="D42" s="11">
        <v>161803</v>
      </c>
      <c r="E42" s="11" t="s">
        <v>13</v>
      </c>
      <c r="F42" s="22">
        <v>12.72</v>
      </c>
      <c r="G42" s="13">
        <v>0</v>
      </c>
      <c r="H42" s="22">
        <f>+F42+G42</f>
        <v>12.72</v>
      </c>
      <c r="I42" s="11" t="s">
        <v>33</v>
      </c>
      <c r="J42" s="11">
        <v>2018</v>
      </c>
      <c r="K42" s="11" t="s">
        <v>19</v>
      </c>
      <c r="L42" s="11" t="s">
        <v>42</v>
      </c>
      <c r="M42" s="21">
        <v>43215</v>
      </c>
    </row>
    <row r="43" spans="1:13">
      <c r="A43" s="21"/>
      <c r="B43" s="21"/>
      <c r="E43" s="10" t="s">
        <v>387</v>
      </c>
      <c r="F43" s="108">
        <f>+SUM(F40:F42)</f>
        <v>88.949999999999989</v>
      </c>
      <c r="G43" s="111">
        <f t="shared" ref="G43:H43" si="12">+SUM(G40:G42)</f>
        <v>0</v>
      </c>
      <c r="H43" s="108">
        <f t="shared" si="12"/>
        <v>88.949999999999989</v>
      </c>
      <c r="M43" s="21"/>
    </row>
    <row r="44" spans="1:13">
      <c r="A44" s="21" t="s">
        <v>409</v>
      </c>
      <c r="B44" s="21" t="s">
        <v>320</v>
      </c>
      <c r="C44" s="11">
        <v>868015</v>
      </c>
      <c r="D44" s="11">
        <v>161803</v>
      </c>
      <c r="E44" s="11" t="s">
        <v>13</v>
      </c>
      <c r="F44" s="13">
        <v>61.91</v>
      </c>
      <c r="G44" s="13">
        <v>0</v>
      </c>
      <c r="H44" s="22">
        <f t="shared" ref="H44:H55" si="13">+F44+G44</f>
        <v>61.91</v>
      </c>
      <c r="I44" s="11" t="s">
        <v>40</v>
      </c>
      <c r="J44" s="11">
        <v>2018</v>
      </c>
      <c r="K44" s="11" t="s">
        <v>24</v>
      </c>
      <c r="L44" s="11" t="s">
        <v>45</v>
      </c>
      <c r="M44" s="21">
        <v>43242</v>
      </c>
    </row>
    <row r="45" spans="1:13">
      <c r="A45" s="21" t="s">
        <v>409</v>
      </c>
      <c r="B45" s="21" t="s">
        <v>320</v>
      </c>
      <c r="C45" s="11">
        <v>868015</v>
      </c>
      <c r="D45" s="11">
        <v>161803</v>
      </c>
      <c r="E45" s="11" t="s">
        <v>13</v>
      </c>
      <c r="F45" s="13">
        <v>57.9</v>
      </c>
      <c r="G45" s="13">
        <v>0</v>
      </c>
      <c r="H45" s="22">
        <f t="shared" si="13"/>
        <v>57.9</v>
      </c>
      <c r="I45" s="11" t="s">
        <v>40</v>
      </c>
      <c r="J45" s="11">
        <v>2018</v>
      </c>
      <c r="K45" s="11" t="s">
        <v>24</v>
      </c>
      <c r="L45" s="11" t="s">
        <v>45</v>
      </c>
      <c r="M45" s="21">
        <v>43242</v>
      </c>
    </row>
    <row r="46" spans="1:13">
      <c r="A46" s="21" t="s">
        <v>409</v>
      </c>
      <c r="B46" s="21" t="s">
        <v>321</v>
      </c>
      <c r="C46" s="11">
        <v>2227859</v>
      </c>
      <c r="D46" s="11">
        <v>161803</v>
      </c>
      <c r="E46" s="11" t="s">
        <v>13</v>
      </c>
      <c r="F46" s="13">
        <v>19</v>
      </c>
      <c r="G46" s="13">
        <v>0</v>
      </c>
      <c r="H46" s="22">
        <f t="shared" si="13"/>
        <v>19</v>
      </c>
      <c r="I46" s="11" t="s">
        <v>47</v>
      </c>
      <c r="J46" s="11">
        <v>2018</v>
      </c>
      <c r="K46" s="11" t="s">
        <v>24</v>
      </c>
      <c r="L46" s="11" t="s">
        <v>48</v>
      </c>
      <c r="M46" s="21">
        <v>43235</v>
      </c>
    </row>
    <row r="47" spans="1:13">
      <c r="A47" s="21" t="s">
        <v>409</v>
      </c>
      <c r="B47" s="21" t="s">
        <v>321</v>
      </c>
      <c r="C47" s="11">
        <v>2227859</v>
      </c>
      <c r="D47" s="11">
        <v>161803</v>
      </c>
      <c r="E47" s="11" t="s">
        <v>13</v>
      </c>
      <c r="F47" s="13">
        <v>4.6100000000000003</v>
      </c>
      <c r="G47" s="13">
        <v>0</v>
      </c>
      <c r="H47" s="22">
        <f t="shared" si="13"/>
        <v>4.6100000000000003</v>
      </c>
      <c r="I47" s="11" t="s">
        <v>47</v>
      </c>
      <c r="J47" s="11">
        <v>2018</v>
      </c>
      <c r="K47" s="11" t="s">
        <v>24</v>
      </c>
      <c r="L47" s="11" t="s">
        <v>48</v>
      </c>
      <c r="M47" s="21">
        <v>43235</v>
      </c>
    </row>
    <row r="48" spans="1:13">
      <c r="A48" s="21" t="s">
        <v>409</v>
      </c>
      <c r="B48" s="21" t="s">
        <v>321</v>
      </c>
      <c r="C48" s="11">
        <v>2227859</v>
      </c>
      <c r="D48" s="11">
        <v>161803</v>
      </c>
      <c r="E48" s="11" t="s">
        <v>13</v>
      </c>
      <c r="F48" s="13">
        <v>12.83</v>
      </c>
      <c r="G48" s="13">
        <v>0</v>
      </c>
      <c r="H48" s="22">
        <f t="shared" si="13"/>
        <v>12.83</v>
      </c>
      <c r="I48" s="11" t="s">
        <v>47</v>
      </c>
      <c r="J48" s="11">
        <v>2018</v>
      </c>
      <c r="K48" s="11" t="s">
        <v>24</v>
      </c>
      <c r="L48" s="11" t="s">
        <v>48</v>
      </c>
      <c r="M48" s="21">
        <v>43235</v>
      </c>
    </row>
    <row r="49" spans="1:13">
      <c r="A49" s="21" t="s">
        <v>409</v>
      </c>
      <c r="B49" s="21" t="s">
        <v>326</v>
      </c>
      <c r="C49" s="11">
        <v>2227859</v>
      </c>
      <c r="D49" s="11">
        <v>161803</v>
      </c>
      <c r="E49" s="11" t="s">
        <v>13</v>
      </c>
      <c r="F49" s="13">
        <v>37.08</v>
      </c>
      <c r="G49" s="13">
        <v>0</v>
      </c>
      <c r="H49" s="22">
        <f t="shared" si="13"/>
        <v>37.08</v>
      </c>
      <c r="I49" s="11" t="s">
        <v>47</v>
      </c>
      <c r="J49" s="11">
        <v>2018</v>
      </c>
      <c r="K49" s="11" t="s">
        <v>24</v>
      </c>
      <c r="L49" s="11" t="s">
        <v>48</v>
      </c>
      <c r="M49" s="21">
        <v>43235</v>
      </c>
    </row>
    <row r="50" spans="1:13">
      <c r="A50" s="21" t="s">
        <v>409</v>
      </c>
      <c r="B50" s="21" t="s">
        <v>324</v>
      </c>
      <c r="C50" s="11">
        <v>2227859</v>
      </c>
      <c r="D50" s="11">
        <v>161803</v>
      </c>
      <c r="E50" s="11" t="s">
        <v>13</v>
      </c>
      <c r="F50" s="13">
        <v>229</v>
      </c>
      <c r="G50" s="13">
        <v>0</v>
      </c>
      <c r="H50" s="22">
        <f t="shared" si="13"/>
        <v>229</v>
      </c>
      <c r="I50" s="11" t="s">
        <v>47</v>
      </c>
      <c r="J50" s="11">
        <v>2018</v>
      </c>
      <c r="K50" s="11" t="s">
        <v>24</v>
      </c>
      <c r="L50" s="11" t="s">
        <v>48</v>
      </c>
      <c r="M50" s="21">
        <v>43235</v>
      </c>
    </row>
    <row r="51" spans="1:13">
      <c r="A51" s="21" t="s">
        <v>409</v>
      </c>
      <c r="B51" s="21" t="s">
        <v>317</v>
      </c>
      <c r="C51" s="11">
        <v>2227859</v>
      </c>
      <c r="D51" s="11">
        <v>161803</v>
      </c>
      <c r="E51" s="11" t="s">
        <v>13</v>
      </c>
      <c r="F51" s="13">
        <v>13.74</v>
      </c>
      <c r="G51" s="13">
        <v>0</v>
      </c>
      <c r="H51" s="22">
        <f t="shared" si="13"/>
        <v>13.74</v>
      </c>
      <c r="I51" s="11" t="s">
        <v>47</v>
      </c>
      <c r="J51" s="11">
        <v>2018</v>
      </c>
      <c r="K51" s="11" t="s">
        <v>24</v>
      </c>
      <c r="L51" s="11" t="s">
        <v>48</v>
      </c>
      <c r="M51" s="21">
        <v>43235</v>
      </c>
    </row>
    <row r="52" spans="1:13">
      <c r="A52" s="21" t="s">
        <v>409</v>
      </c>
      <c r="B52" s="21" t="s">
        <v>317</v>
      </c>
      <c r="C52" s="11">
        <v>2227859</v>
      </c>
      <c r="D52" s="11">
        <v>161803</v>
      </c>
      <c r="E52" s="11" t="s">
        <v>13</v>
      </c>
      <c r="F52" s="13">
        <v>20.61</v>
      </c>
      <c r="G52" s="13">
        <v>0</v>
      </c>
      <c r="H52" s="22">
        <f t="shared" si="13"/>
        <v>20.61</v>
      </c>
      <c r="I52" s="11" t="s">
        <v>47</v>
      </c>
      <c r="J52" s="11">
        <v>2018</v>
      </c>
      <c r="K52" s="11" t="s">
        <v>24</v>
      </c>
      <c r="L52" s="11" t="s">
        <v>48</v>
      </c>
      <c r="M52" s="21">
        <v>43235</v>
      </c>
    </row>
    <row r="53" spans="1:13">
      <c r="A53" s="21" t="s">
        <v>409</v>
      </c>
      <c r="B53" s="21" t="s">
        <v>290</v>
      </c>
      <c r="C53" s="11">
        <v>2227859</v>
      </c>
      <c r="D53" s="11">
        <v>161803</v>
      </c>
      <c r="E53" s="11" t="s">
        <v>13</v>
      </c>
      <c r="F53" s="13">
        <v>24</v>
      </c>
      <c r="G53" s="13">
        <v>0</v>
      </c>
      <c r="H53" s="22">
        <f t="shared" si="13"/>
        <v>24</v>
      </c>
      <c r="I53" s="11" t="s">
        <v>47</v>
      </c>
      <c r="J53" s="11">
        <v>2018</v>
      </c>
      <c r="K53" s="11" t="s">
        <v>24</v>
      </c>
      <c r="L53" s="11" t="s">
        <v>48</v>
      </c>
      <c r="M53" s="21">
        <v>43235</v>
      </c>
    </row>
    <row r="54" spans="1:13">
      <c r="A54" s="21" t="s">
        <v>409</v>
      </c>
      <c r="B54" s="21" t="s">
        <v>326</v>
      </c>
      <c r="C54" s="11">
        <v>2227860</v>
      </c>
      <c r="D54" s="11">
        <v>254271</v>
      </c>
      <c r="E54" s="11" t="s">
        <v>47</v>
      </c>
      <c r="F54" s="13">
        <v>31.3</v>
      </c>
      <c r="G54" s="13">
        <v>0</v>
      </c>
      <c r="H54" s="22">
        <f t="shared" si="13"/>
        <v>31.3</v>
      </c>
      <c r="I54" s="11" t="s">
        <v>47</v>
      </c>
      <c r="J54" s="11">
        <v>2018</v>
      </c>
      <c r="K54" s="11" t="s">
        <v>24</v>
      </c>
      <c r="L54" s="11" t="s">
        <v>49</v>
      </c>
      <c r="M54" s="21">
        <v>43235</v>
      </c>
    </row>
    <row r="55" spans="1:13">
      <c r="A55" s="21" t="s">
        <v>409</v>
      </c>
      <c r="B55" s="21" t="s">
        <v>316</v>
      </c>
      <c r="C55" s="11">
        <v>2232793</v>
      </c>
      <c r="D55" s="11">
        <v>254271</v>
      </c>
      <c r="E55" s="11" t="s">
        <v>47</v>
      </c>
      <c r="F55" s="13">
        <v>574.66</v>
      </c>
      <c r="G55" s="13">
        <v>0</v>
      </c>
      <c r="H55" s="22">
        <f t="shared" si="13"/>
        <v>574.66</v>
      </c>
      <c r="I55" s="11" t="s">
        <v>47</v>
      </c>
      <c r="J55" s="11">
        <v>2018</v>
      </c>
      <c r="K55" s="11" t="s">
        <v>24</v>
      </c>
      <c r="L55" s="11" t="s">
        <v>51</v>
      </c>
      <c r="M55" s="21">
        <v>43238</v>
      </c>
    </row>
    <row r="56" spans="1:13">
      <c r="A56" s="21"/>
      <c r="B56" s="21"/>
      <c r="E56" s="10" t="s">
        <v>387</v>
      </c>
      <c r="F56" s="111">
        <f>+SUM(F44:F55)</f>
        <v>1086.6400000000001</v>
      </c>
      <c r="G56" s="111">
        <f t="shared" ref="G56:H56" si="14">+SUM(G44:G55)</f>
        <v>0</v>
      </c>
      <c r="H56" s="111">
        <f t="shared" si="14"/>
        <v>1086.6400000000001</v>
      </c>
      <c r="M56" s="21"/>
    </row>
    <row r="57" spans="1:13">
      <c r="A57" s="21" t="s">
        <v>409</v>
      </c>
      <c r="B57" s="21" t="s">
        <v>312</v>
      </c>
      <c r="C57" s="11">
        <v>872975</v>
      </c>
      <c r="D57" s="11">
        <v>161803</v>
      </c>
      <c r="E57" s="11" t="s">
        <v>13</v>
      </c>
      <c r="F57" s="22">
        <v>9868.1200000000008</v>
      </c>
      <c r="G57" s="13">
        <v>0</v>
      </c>
      <c r="H57" s="22">
        <f>+F57+G57</f>
        <v>9868.1200000000008</v>
      </c>
      <c r="I57" s="11" t="s">
        <v>33</v>
      </c>
      <c r="J57" s="11">
        <v>2018</v>
      </c>
      <c r="K57" s="11" t="s">
        <v>27</v>
      </c>
      <c r="L57" s="11" t="s">
        <v>52</v>
      </c>
      <c r="M57" s="21">
        <v>43265</v>
      </c>
    </row>
    <row r="58" spans="1:13">
      <c r="A58" s="21" t="s">
        <v>409</v>
      </c>
      <c r="B58" s="21" t="s">
        <v>323</v>
      </c>
      <c r="C58" s="11">
        <v>873463</v>
      </c>
      <c r="D58" s="11">
        <v>161803</v>
      </c>
      <c r="E58" s="11" t="s">
        <v>13</v>
      </c>
      <c r="F58" s="22">
        <v>11</v>
      </c>
      <c r="G58" s="13">
        <v>0</v>
      </c>
      <c r="H58" s="22">
        <f>+F58+G58</f>
        <v>11</v>
      </c>
      <c r="I58" s="11" t="s">
        <v>33</v>
      </c>
      <c r="J58" s="11">
        <v>2018</v>
      </c>
      <c r="K58" s="11" t="s">
        <v>27</v>
      </c>
      <c r="L58" s="11" t="s">
        <v>53</v>
      </c>
      <c r="M58" s="21">
        <v>43269</v>
      </c>
    </row>
    <row r="59" spans="1:13">
      <c r="A59" s="21" t="s">
        <v>409</v>
      </c>
      <c r="B59" s="21" t="s">
        <v>327</v>
      </c>
      <c r="C59" s="11">
        <v>875982</v>
      </c>
      <c r="D59" s="11">
        <v>161803</v>
      </c>
      <c r="E59" s="11" t="s">
        <v>13</v>
      </c>
      <c r="F59" s="22">
        <v>7410.04</v>
      </c>
      <c r="G59" s="13">
        <v>0</v>
      </c>
      <c r="H59" s="22">
        <f>+F59+G59</f>
        <v>7410.04</v>
      </c>
      <c r="I59" s="11" t="s">
        <v>33</v>
      </c>
      <c r="J59" s="11">
        <v>2018</v>
      </c>
      <c r="K59" s="11" t="s">
        <v>27</v>
      </c>
      <c r="L59" s="11" t="s">
        <v>54</v>
      </c>
      <c r="M59" s="21">
        <v>43278</v>
      </c>
    </row>
    <row r="60" spans="1:13">
      <c r="A60" s="21" t="s">
        <v>409</v>
      </c>
      <c r="B60" s="21" t="s">
        <v>327</v>
      </c>
      <c r="C60" s="11">
        <v>875982</v>
      </c>
      <c r="D60" s="11">
        <v>161803</v>
      </c>
      <c r="E60" s="11" t="s">
        <v>13</v>
      </c>
      <c r="F60" s="22">
        <v>923.05</v>
      </c>
      <c r="G60" s="13">
        <v>0</v>
      </c>
      <c r="H60" s="22">
        <f>+F60+G60</f>
        <v>923.05</v>
      </c>
      <c r="I60" s="11" t="s">
        <v>33</v>
      </c>
      <c r="J60" s="11">
        <v>2018</v>
      </c>
      <c r="K60" s="11" t="s">
        <v>27</v>
      </c>
      <c r="L60" s="11" t="s">
        <v>54</v>
      </c>
      <c r="M60" s="21">
        <v>43278</v>
      </c>
    </row>
    <row r="61" spans="1:13">
      <c r="A61" s="21" t="s">
        <v>409</v>
      </c>
      <c r="B61" s="21" t="s">
        <v>312</v>
      </c>
      <c r="C61" s="11">
        <v>876369</v>
      </c>
      <c r="D61" s="11">
        <v>161803</v>
      </c>
      <c r="E61" s="11" t="s">
        <v>13</v>
      </c>
      <c r="F61" s="22">
        <v>31.48</v>
      </c>
      <c r="G61" s="13">
        <v>0</v>
      </c>
      <c r="H61" s="22">
        <f>+F61+G61</f>
        <v>31.48</v>
      </c>
      <c r="I61" s="11" t="s">
        <v>33</v>
      </c>
      <c r="J61" s="11">
        <v>2018</v>
      </c>
      <c r="K61" s="11" t="s">
        <v>27</v>
      </c>
      <c r="L61" s="11" t="s">
        <v>55</v>
      </c>
      <c r="M61" s="21">
        <v>43280</v>
      </c>
    </row>
    <row r="62" spans="1:13">
      <c r="A62" s="21"/>
      <c r="B62" s="21"/>
      <c r="E62" s="10" t="s">
        <v>387</v>
      </c>
      <c r="F62" s="108">
        <f>+SUM(F57:F61)</f>
        <v>18243.689999999999</v>
      </c>
      <c r="G62" s="111">
        <f t="shared" ref="G62:H62" si="15">+SUM(G57:G61)</f>
        <v>0</v>
      </c>
      <c r="H62" s="108">
        <f t="shared" si="15"/>
        <v>18243.689999999999</v>
      </c>
      <c r="M62" s="21"/>
    </row>
    <row r="63" spans="1:13">
      <c r="A63" s="21" t="s">
        <v>409</v>
      </c>
      <c r="B63" s="21" t="s">
        <v>317</v>
      </c>
      <c r="C63" s="11">
        <v>895179</v>
      </c>
      <c r="D63" s="11">
        <v>161803</v>
      </c>
      <c r="E63" s="11" t="s">
        <v>13</v>
      </c>
      <c r="F63" s="22">
        <v>29.6</v>
      </c>
      <c r="G63" s="13">
        <v>0</v>
      </c>
      <c r="H63" s="22">
        <f>+F63+G63</f>
        <v>29.6</v>
      </c>
      <c r="I63" s="11" t="s">
        <v>33</v>
      </c>
      <c r="J63" s="11">
        <v>2018</v>
      </c>
      <c r="K63" s="11" t="s">
        <v>30</v>
      </c>
      <c r="L63" s="11" t="s">
        <v>34</v>
      </c>
      <c r="M63" s="21">
        <v>43377</v>
      </c>
    </row>
    <row r="64" spans="1:13">
      <c r="A64" s="21" t="s">
        <v>409</v>
      </c>
      <c r="B64" s="21" t="s">
        <v>327</v>
      </c>
      <c r="C64" s="11">
        <v>895179</v>
      </c>
      <c r="D64" s="11">
        <v>161803</v>
      </c>
      <c r="E64" s="11" t="s">
        <v>13</v>
      </c>
      <c r="F64" s="22">
        <v>358.75</v>
      </c>
      <c r="G64" s="13">
        <v>0</v>
      </c>
      <c r="H64" s="22">
        <f>+F64+G64</f>
        <v>358.75</v>
      </c>
      <c r="I64" s="11" t="s">
        <v>33</v>
      </c>
      <c r="J64" s="11">
        <v>2018</v>
      </c>
      <c r="K64" s="11" t="s">
        <v>30</v>
      </c>
      <c r="L64" s="11" t="s">
        <v>34</v>
      </c>
      <c r="M64" s="21">
        <v>43377</v>
      </c>
    </row>
    <row r="65" spans="1:13">
      <c r="A65" s="21"/>
      <c r="B65" s="21"/>
      <c r="E65" s="10" t="s">
        <v>387</v>
      </c>
      <c r="F65" s="108">
        <f>+SUM(F63:F64)</f>
        <v>388.35</v>
      </c>
      <c r="G65" s="111">
        <f t="shared" ref="G65:H65" si="16">+SUM(G63:G64)</f>
        <v>0</v>
      </c>
      <c r="H65" s="108">
        <f t="shared" si="16"/>
        <v>388.35</v>
      </c>
      <c r="M65" s="21"/>
    </row>
    <row r="66" spans="1:13">
      <c r="A66" s="21" t="s">
        <v>407</v>
      </c>
      <c r="B66" s="21"/>
      <c r="E66" s="10"/>
      <c r="F66" s="108">
        <f>+F65+F62+F56+F43+F39</f>
        <v>23414.129999999997</v>
      </c>
      <c r="G66" s="111">
        <f t="shared" ref="G66:H66" si="17">+G65+G62+G56+G43+G39</f>
        <v>0</v>
      </c>
      <c r="H66" s="108">
        <f t="shared" si="17"/>
        <v>23414.129999999997</v>
      </c>
      <c r="M66" s="21"/>
    </row>
    <row r="67" spans="1:13">
      <c r="A67" s="21"/>
      <c r="B67" s="21"/>
      <c r="F67" s="22"/>
      <c r="H67" s="22"/>
      <c r="M67" s="21"/>
    </row>
    <row r="68" spans="1:13" ht="13.5" thickBot="1">
      <c r="A68" s="11" t="s">
        <v>408</v>
      </c>
      <c r="F68" s="28">
        <f>+F66+F30+F17</f>
        <v>48107.829999999994</v>
      </c>
      <c r="G68" s="195">
        <f t="shared" ref="G68:H68" si="18">+G66+G30+G17</f>
        <v>0</v>
      </c>
      <c r="H68" s="28">
        <f t="shared" si="18"/>
        <v>48107.829999999994</v>
      </c>
    </row>
    <row r="69" spans="1:13" ht="13.5" thickTop="1">
      <c r="F69" s="25"/>
    </row>
    <row r="73" spans="1:13" ht="13.5" thickBot="1"/>
    <row r="74" spans="1:13" ht="13.5" thickBot="1">
      <c r="A74" s="237" t="s">
        <v>415</v>
      </c>
      <c r="B74" s="238"/>
      <c r="C74" s="238"/>
      <c r="D74" s="238"/>
      <c r="E74" s="239"/>
      <c r="F74" s="20"/>
    </row>
    <row r="75" spans="1:13">
      <c r="A75" s="155"/>
      <c r="B75" s="170" t="s">
        <v>270</v>
      </c>
      <c r="C75" s="117"/>
      <c r="D75" s="117"/>
      <c r="E75" s="171"/>
      <c r="F75" s="23"/>
    </row>
    <row r="76" spans="1:13">
      <c r="A76" s="155"/>
      <c r="B76" s="117">
        <v>103</v>
      </c>
      <c r="C76" s="117">
        <v>211</v>
      </c>
      <c r="D76" s="117" t="s">
        <v>199</v>
      </c>
      <c r="E76" s="171" t="s">
        <v>271</v>
      </c>
      <c r="F76" s="23"/>
    </row>
    <row r="77" spans="1:13">
      <c r="A77" s="155" t="s">
        <v>276</v>
      </c>
      <c r="B77" s="185">
        <v>966.82999999999993</v>
      </c>
      <c r="C77" s="185">
        <v>22819.55</v>
      </c>
      <c r="D77" s="185">
        <v>24321.449999999997</v>
      </c>
      <c r="E77" s="186">
        <v>48107.829999999994</v>
      </c>
      <c r="F77" s="23"/>
    </row>
    <row r="78" spans="1:13">
      <c r="A78" s="155"/>
      <c r="B78" s="117"/>
      <c r="C78" s="117"/>
      <c r="D78" s="117"/>
      <c r="E78" s="171"/>
      <c r="F78" s="23"/>
    </row>
    <row r="79" spans="1:13">
      <c r="A79" s="155"/>
      <c r="B79" s="117"/>
      <c r="C79" s="117"/>
      <c r="D79" s="181"/>
      <c r="E79" s="187"/>
    </row>
    <row r="80" spans="1:13">
      <c r="A80" s="173" t="s">
        <v>417</v>
      </c>
      <c r="B80" s="287" t="s">
        <v>416</v>
      </c>
      <c r="C80" s="287"/>
      <c r="D80" s="176"/>
      <c r="E80" s="187"/>
    </row>
    <row r="81" spans="1:5">
      <c r="A81" s="173" t="s">
        <v>92</v>
      </c>
      <c r="B81" s="197" t="s">
        <v>272</v>
      </c>
      <c r="C81" s="197" t="s">
        <v>199</v>
      </c>
      <c r="D81" s="176" t="s">
        <v>271</v>
      </c>
      <c r="E81" s="187"/>
    </row>
    <row r="82" spans="1:5">
      <c r="A82" s="173" t="s">
        <v>21</v>
      </c>
      <c r="B82" s="157">
        <v>331.46999999999997</v>
      </c>
      <c r="C82" s="157">
        <v>1351.79</v>
      </c>
      <c r="D82" s="176">
        <v>1683.26</v>
      </c>
      <c r="E82" s="187"/>
    </row>
    <row r="83" spans="1:5">
      <c r="A83" s="173" t="s">
        <v>46</v>
      </c>
      <c r="B83" s="157">
        <v>14984.559999999998</v>
      </c>
      <c r="C83" s="157">
        <v>61509.27</v>
      </c>
      <c r="D83" s="176">
        <v>76493.829999999987</v>
      </c>
      <c r="E83" s="187"/>
    </row>
    <row r="84" spans="1:5">
      <c r="A84" s="173" t="s">
        <v>14</v>
      </c>
      <c r="B84" s="157">
        <v>5206.3300000000017</v>
      </c>
      <c r="C84" s="157">
        <v>18243.450000000012</v>
      </c>
      <c r="D84" s="176">
        <v>23449.780000000013</v>
      </c>
      <c r="E84" s="174"/>
    </row>
    <row r="85" spans="1:5">
      <c r="A85" s="173" t="s">
        <v>31</v>
      </c>
      <c r="B85" s="157">
        <v>11543.519999999999</v>
      </c>
      <c r="C85" s="157">
        <v>46469.889999999992</v>
      </c>
      <c r="D85" s="176">
        <v>58013.409999999989</v>
      </c>
      <c r="E85" s="174"/>
    </row>
    <row r="86" spans="1:5">
      <c r="A86" s="173" t="s">
        <v>271</v>
      </c>
      <c r="B86" s="110">
        <v>32065.879999999997</v>
      </c>
      <c r="C86" s="110">
        <v>127574.39999999999</v>
      </c>
      <c r="D86" s="111">
        <v>159640.27999999997</v>
      </c>
      <c r="E86" s="174"/>
    </row>
    <row r="87" spans="1:5">
      <c r="A87" s="173"/>
      <c r="B87" s="157"/>
      <c r="C87" s="157"/>
      <c r="D87" s="176"/>
      <c r="E87" s="174"/>
    </row>
    <row r="88" spans="1:5">
      <c r="A88" s="173" t="s">
        <v>268</v>
      </c>
      <c r="B88" s="157">
        <v>5537.800000000002</v>
      </c>
      <c r="C88" s="157">
        <v>19595.240000000013</v>
      </c>
      <c r="D88" s="176">
        <v>25133.040000000015</v>
      </c>
      <c r="E88" s="174"/>
    </row>
    <row r="89" spans="1:5">
      <c r="A89" s="175" t="s">
        <v>269</v>
      </c>
      <c r="B89" s="176">
        <v>26528.079999999994</v>
      </c>
      <c r="C89" s="176">
        <v>107979.15999999999</v>
      </c>
      <c r="D89" s="176">
        <v>134507.24</v>
      </c>
      <c r="E89" s="174"/>
    </row>
    <row r="90" spans="1:5">
      <c r="A90" s="175"/>
      <c r="B90" s="111"/>
      <c r="C90" s="111"/>
      <c r="D90" s="111">
        <v>159640.28</v>
      </c>
      <c r="E90" s="174"/>
    </row>
    <row r="91" spans="1:5">
      <c r="A91" s="175"/>
      <c r="B91" s="176"/>
      <c r="C91" s="176"/>
      <c r="D91" s="176"/>
      <c r="E91" s="174"/>
    </row>
    <row r="92" spans="1:5">
      <c r="A92" s="175"/>
      <c r="B92" s="198" t="s">
        <v>272</v>
      </c>
      <c r="C92" s="198" t="s">
        <v>199</v>
      </c>
      <c r="D92" s="176"/>
      <c r="E92" s="174"/>
    </row>
    <row r="93" spans="1:5">
      <c r="A93" s="173" t="s">
        <v>268</v>
      </c>
      <c r="B93" s="180">
        <f>+B88/D88</f>
        <v>0.22033944162743538</v>
      </c>
      <c r="C93" s="180">
        <f>+C88/D88</f>
        <v>0.77966055837256454</v>
      </c>
      <c r="D93" s="176"/>
      <c r="E93" s="174"/>
    </row>
    <row r="94" spans="1:5">
      <c r="A94" s="175" t="s">
        <v>269</v>
      </c>
      <c r="B94" s="180">
        <f>+B89/D89</f>
        <v>0.19722417915942664</v>
      </c>
      <c r="C94" s="180">
        <f>+C89/D89</f>
        <v>0.80277582084057331</v>
      </c>
      <c r="D94" s="176"/>
      <c r="E94" s="187"/>
    </row>
    <row r="95" spans="1:5" ht="13.5" thickBot="1">
      <c r="A95" s="188" t="s">
        <v>275</v>
      </c>
      <c r="B95" s="195">
        <f>+B94*H68</f>
        <v>9488.0272828912384</v>
      </c>
      <c r="C95" s="195">
        <f>+C94*H68</f>
        <v>38619.802717108752</v>
      </c>
      <c r="D95" s="195">
        <f>+SUM(B95:C95)</f>
        <v>48107.829999999987</v>
      </c>
      <c r="E95" s="187"/>
    </row>
    <row r="96" spans="1:5" ht="14.25" thickTop="1" thickBot="1">
      <c r="A96" s="182"/>
      <c r="B96" s="183"/>
      <c r="C96" s="183"/>
      <c r="D96" s="183"/>
      <c r="E96" s="184"/>
    </row>
  </sheetData>
  <sortState ref="A7:M45">
    <sortCondition ref="A7:A45"/>
    <sortCondition ref="K7:K45"/>
  </sortState>
  <mergeCells count="4">
    <mergeCell ref="A1:M1"/>
    <mergeCell ref="A2:M2"/>
    <mergeCell ref="A3:M3"/>
    <mergeCell ref="B80:C80"/>
  </mergeCells>
  <pageMargins left="0.7" right="0.7" top="0.75" bottom="0.75" header="0.3" footer="0.3"/>
  <pageSetup scale="58" fitToHeight="10" orientation="landscape" r:id="rId2"/>
  <rowBreaks count="1" manualBreakCount="1">
    <brk id="7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4"/>
  <sheetViews>
    <sheetView topLeftCell="A79" zoomScaleNormal="100" workbookViewId="0">
      <selection activeCell="G103" sqref="G103"/>
    </sheetView>
  </sheetViews>
  <sheetFormatPr defaultColWidth="9.140625" defaultRowHeight="12.75"/>
  <cols>
    <col min="1" max="1" width="21.85546875" style="11" customWidth="1"/>
    <col min="2" max="2" width="18.28515625" style="11" bestFit="1" customWidth="1"/>
    <col min="3" max="3" width="12.28515625" style="11" bestFit="1" customWidth="1"/>
    <col min="4" max="4" width="11.28515625" style="11" bestFit="1" customWidth="1"/>
    <col min="5" max="5" width="34.7109375" style="199" bestFit="1" customWidth="1"/>
    <col min="6" max="6" width="11.7109375" style="43" bestFit="1" customWidth="1"/>
    <col min="7" max="7" width="15.7109375" style="43" bestFit="1" customWidth="1"/>
    <col min="8" max="8" width="13.5703125" style="43" bestFit="1" customWidth="1"/>
    <col min="9" max="9" width="23" style="11" bestFit="1" customWidth="1"/>
    <col min="10" max="10" width="9.28515625" style="11" bestFit="1" customWidth="1"/>
    <col min="11" max="11" width="10.7109375" style="11" bestFit="1" customWidth="1"/>
    <col min="12" max="12" width="13.28515625" style="10" bestFit="1" customWidth="1"/>
    <col min="13" max="13" width="15" style="11" bestFit="1" customWidth="1"/>
    <col min="14" max="16384" width="9.140625" style="11"/>
  </cols>
  <sheetData>
    <row r="1" spans="1:13" s="10" customFormat="1">
      <c r="A1" s="285" t="s">
        <v>309</v>
      </c>
      <c r="B1" s="285"/>
      <c r="C1" s="285"/>
      <c r="D1" s="285"/>
      <c r="E1" s="285"/>
      <c r="F1" s="285"/>
      <c r="G1" s="285"/>
      <c r="H1" s="285"/>
      <c r="I1" s="285"/>
      <c r="J1" s="285"/>
      <c r="K1" s="285"/>
      <c r="L1" s="285"/>
    </row>
    <row r="2" spans="1:13" s="10" customFormat="1">
      <c r="A2" s="285" t="s">
        <v>310</v>
      </c>
      <c r="B2" s="285"/>
      <c r="C2" s="285"/>
      <c r="D2" s="285"/>
      <c r="E2" s="285"/>
      <c r="F2" s="285"/>
      <c r="G2" s="285"/>
      <c r="H2" s="285"/>
      <c r="I2" s="285"/>
      <c r="J2" s="285"/>
      <c r="K2" s="285"/>
      <c r="L2" s="285"/>
    </row>
    <row r="3" spans="1:13" s="10" customFormat="1" ht="12" customHeight="1">
      <c r="A3" s="286" t="s">
        <v>335</v>
      </c>
      <c r="B3" s="286"/>
      <c r="C3" s="286"/>
      <c r="D3" s="286"/>
      <c r="E3" s="286"/>
      <c r="F3" s="286"/>
      <c r="G3" s="286"/>
      <c r="H3" s="286"/>
      <c r="I3" s="286"/>
      <c r="J3" s="286"/>
      <c r="K3" s="286"/>
      <c r="L3" s="286"/>
    </row>
    <row r="5" spans="1:13">
      <c r="A5" s="21"/>
      <c r="B5" s="21"/>
      <c r="C5" s="33"/>
      <c r="I5" s="21"/>
      <c r="M5" s="21"/>
    </row>
    <row r="6" spans="1:13" s="20" customFormat="1" ht="13.5" thickBot="1">
      <c r="A6" s="15" t="s">
        <v>1</v>
      </c>
      <c r="B6" s="15" t="s">
        <v>2</v>
      </c>
      <c r="C6" s="15" t="s">
        <v>0</v>
      </c>
      <c r="D6" s="15" t="s">
        <v>3</v>
      </c>
      <c r="E6" s="200" t="s">
        <v>4</v>
      </c>
      <c r="F6" s="17" t="s">
        <v>5</v>
      </c>
      <c r="G6" s="17" t="s">
        <v>6</v>
      </c>
      <c r="H6" s="17" t="s">
        <v>7</v>
      </c>
      <c r="I6" s="14" t="s">
        <v>89</v>
      </c>
      <c r="J6" s="15" t="s">
        <v>11</v>
      </c>
      <c r="K6" s="15" t="s">
        <v>12</v>
      </c>
      <c r="L6" s="15" t="s">
        <v>8</v>
      </c>
      <c r="M6" s="14" t="s">
        <v>35</v>
      </c>
    </row>
    <row r="7" spans="1:13" s="10" customFormat="1" ht="13.5" thickTop="1">
      <c r="A7" s="34" t="s">
        <v>328</v>
      </c>
      <c r="B7" s="34" t="s">
        <v>329</v>
      </c>
      <c r="C7" s="10">
        <v>282134</v>
      </c>
      <c r="D7" s="10">
        <v>26132</v>
      </c>
      <c r="E7" s="12" t="s">
        <v>59</v>
      </c>
      <c r="F7" s="43">
        <v>2400</v>
      </c>
      <c r="G7" s="43">
        <v>0</v>
      </c>
      <c r="H7" s="43">
        <v>2400</v>
      </c>
      <c r="I7" s="34"/>
      <c r="J7" s="10">
        <v>2017</v>
      </c>
      <c r="K7" s="10" t="s">
        <v>60</v>
      </c>
      <c r="L7" s="10">
        <v>4013</v>
      </c>
      <c r="M7" s="34">
        <v>43008</v>
      </c>
    </row>
    <row r="8" spans="1:13" s="10" customFormat="1">
      <c r="A8" s="34"/>
      <c r="B8" s="34"/>
      <c r="E8" s="201" t="s">
        <v>387</v>
      </c>
      <c r="F8" s="112">
        <f>+F7</f>
        <v>2400</v>
      </c>
      <c r="G8" s="112">
        <f t="shared" ref="G8:H10" si="0">+G7</f>
        <v>0</v>
      </c>
      <c r="H8" s="112">
        <f t="shared" si="0"/>
        <v>2400</v>
      </c>
      <c r="I8" s="34"/>
      <c r="M8" s="34"/>
    </row>
    <row r="9" spans="1:13" s="10" customFormat="1">
      <c r="A9" s="34"/>
      <c r="B9" s="34"/>
      <c r="E9" s="12" t="s">
        <v>391</v>
      </c>
      <c r="F9" s="112">
        <f>+F8</f>
        <v>2400</v>
      </c>
      <c r="G9" s="112">
        <f t="shared" si="0"/>
        <v>0</v>
      </c>
      <c r="H9" s="112">
        <f t="shared" si="0"/>
        <v>2400</v>
      </c>
      <c r="I9" s="34"/>
      <c r="M9" s="34"/>
    </row>
    <row r="10" spans="1:13" s="10" customFormat="1">
      <c r="A10" s="34" t="s">
        <v>392</v>
      </c>
      <c r="B10" s="34"/>
      <c r="E10" s="12"/>
      <c r="F10" s="112">
        <f>+F9</f>
        <v>2400</v>
      </c>
      <c r="G10" s="112">
        <f t="shared" si="0"/>
        <v>0</v>
      </c>
      <c r="H10" s="112">
        <f t="shared" si="0"/>
        <v>2400</v>
      </c>
      <c r="I10" s="34"/>
      <c r="M10" s="34"/>
    </row>
    <row r="11" spans="1:13" s="10" customFormat="1">
      <c r="A11" s="34"/>
      <c r="B11" s="34"/>
      <c r="E11" s="12"/>
      <c r="F11" s="43"/>
      <c r="G11" s="43"/>
      <c r="H11" s="43"/>
      <c r="I11" s="34"/>
      <c r="M11" s="34"/>
    </row>
    <row r="12" spans="1:13" s="10" customFormat="1">
      <c r="A12" s="34"/>
      <c r="B12" s="34"/>
      <c r="E12" s="12"/>
      <c r="F12" s="43"/>
      <c r="G12" s="43"/>
      <c r="H12" s="43"/>
      <c r="I12" s="34"/>
      <c r="M12" s="34"/>
    </row>
    <row r="13" spans="1:13" s="10" customFormat="1">
      <c r="A13" s="34" t="s">
        <v>98</v>
      </c>
      <c r="B13" s="34" t="s">
        <v>98</v>
      </c>
      <c r="C13" s="10">
        <v>844337</v>
      </c>
      <c r="D13" s="10">
        <v>256019</v>
      </c>
      <c r="E13" s="12" t="s">
        <v>62</v>
      </c>
      <c r="F13" s="43">
        <v>26299.81</v>
      </c>
      <c r="G13" s="43">
        <v>0</v>
      </c>
      <c r="H13" s="43">
        <f>+F13+G13</f>
        <v>26299.81</v>
      </c>
      <c r="I13" s="34"/>
      <c r="J13" s="10">
        <v>2018</v>
      </c>
      <c r="K13" s="10" t="s">
        <v>63</v>
      </c>
      <c r="L13" s="10">
        <v>27422</v>
      </c>
      <c r="M13" s="34">
        <v>43111</v>
      </c>
    </row>
    <row r="14" spans="1:13" s="10" customFormat="1">
      <c r="A14" s="34"/>
      <c r="B14" s="34"/>
      <c r="E14" s="201" t="s">
        <v>387</v>
      </c>
      <c r="F14" s="112">
        <f>+F13</f>
        <v>26299.81</v>
      </c>
      <c r="G14" s="112">
        <f t="shared" ref="G14:H14" si="1">+G13</f>
        <v>0</v>
      </c>
      <c r="H14" s="112">
        <f t="shared" si="1"/>
        <v>26299.81</v>
      </c>
      <c r="I14" s="34"/>
      <c r="M14" s="34"/>
    </row>
    <row r="15" spans="1:13" s="10" customFormat="1">
      <c r="A15" s="34" t="s">
        <v>98</v>
      </c>
      <c r="B15" s="34" t="s">
        <v>98</v>
      </c>
      <c r="C15" s="10">
        <v>850306</v>
      </c>
      <c r="D15" s="10">
        <v>256019</v>
      </c>
      <c r="E15" s="12" t="s">
        <v>62</v>
      </c>
      <c r="F15" s="43">
        <v>37698.17</v>
      </c>
      <c r="G15" s="43">
        <v>0</v>
      </c>
      <c r="H15" s="43">
        <f>+F15+G15</f>
        <v>37698.17</v>
      </c>
      <c r="J15" s="10">
        <v>2018</v>
      </c>
      <c r="K15" s="10" t="s">
        <v>58</v>
      </c>
      <c r="L15" s="10">
        <v>27636</v>
      </c>
      <c r="M15" s="35">
        <v>43143</v>
      </c>
    </row>
    <row r="16" spans="1:13" s="10" customFormat="1">
      <c r="A16" s="34"/>
      <c r="B16" s="34"/>
      <c r="E16" s="201" t="s">
        <v>387</v>
      </c>
      <c r="F16" s="112">
        <f>+F15</f>
        <v>37698.17</v>
      </c>
      <c r="G16" s="112">
        <f t="shared" ref="G16:H16" si="2">+G15</f>
        <v>0</v>
      </c>
      <c r="H16" s="112">
        <f t="shared" si="2"/>
        <v>37698.17</v>
      </c>
      <c r="M16" s="35"/>
    </row>
    <row r="17" spans="1:13" s="10" customFormat="1">
      <c r="A17" s="34" t="s">
        <v>98</v>
      </c>
      <c r="B17" s="34" t="s">
        <v>98</v>
      </c>
      <c r="C17" s="10">
        <v>856698</v>
      </c>
      <c r="D17" s="10">
        <v>256019</v>
      </c>
      <c r="E17" s="12" t="s">
        <v>62</v>
      </c>
      <c r="F17" s="43">
        <v>25392.28</v>
      </c>
      <c r="G17" s="43">
        <v>0</v>
      </c>
      <c r="H17" s="43">
        <f>+F17+G17</f>
        <v>25392.28</v>
      </c>
      <c r="I17" s="34"/>
      <c r="J17" s="10">
        <v>2018</v>
      </c>
      <c r="K17" s="10" t="s">
        <v>17</v>
      </c>
      <c r="L17" s="10">
        <v>27881</v>
      </c>
      <c r="M17" s="34">
        <v>43173</v>
      </c>
    </row>
    <row r="18" spans="1:13" s="10" customFormat="1">
      <c r="A18" s="34"/>
      <c r="B18" s="34"/>
      <c r="E18" s="201" t="s">
        <v>387</v>
      </c>
      <c r="F18" s="112">
        <f>+F17</f>
        <v>25392.28</v>
      </c>
      <c r="G18" s="112">
        <f t="shared" ref="G18:H18" si="3">+G17</f>
        <v>0</v>
      </c>
      <c r="H18" s="112">
        <f t="shared" si="3"/>
        <v>25392.28</v>
      </c>
      <c r="I18" s="34"/>
      <c r="M18" s="34"/>
    </row>
    <row r="19" spans="1:13" s="10" customFormat="1">
      <c r="A19" s="34" t="s">
        <v>98</v>
      </c>
      <c r="B19" s="34" t="s">
        <v>98</v>
      </c>
      <c r="C19" s="10">
        <v>860826</v>
      </c>
      <c r="D19" s="10">
        <v>256019</v>
      </c>
      <c r="E19" s="12" t="s">
        <v>62</v>
      </c>
      <c r="F19" s="43">
        <v>3039.73</v>
      </c>
      <c r="G19" s="43">
        <v>0</v>
      </c>
      <c r="H19" s="43">
        <f>+F19+G19</f>
        <v>3039.73</v>
      </c>
      <c r="I19" s="34"/>
      <c r="J19" s="10">
        <v>2018</v>
      </c>
      <c r="K19" s="10" t="s">
        <v>19</v>
      </c>
      <c r="L19" s="10">
        <v>28025</v>
      </c>
      <c r="M19" s="34">
        <v>43196</v>
      </c>
    </row>
    <row r="20" spans="1:13" s="10" customFormat="1">
      <c r="A20" s="34"/>
      <c r="B20" s="34"/>
      <c r="E20" s="201" t="s">
        <v>387</v>
      </c>
      <c r="F20" s="112">
        <f>+F19</f>
        <v>3039.73</v>
      </c>
      <c r="G20" s="112">
        <f t="shared" ref="G20:H20" si="4">+G19</f>
        <v>0</v>
      </c>
      <c r="H20" s="112">
        <f t="shared" si="4"/>
        <v>3039.73</v>
      </c>
      <c r="I20" s="34"/>
      <c r="M20" s="34"/>
    </row>
    <row r="21" spans="1:13" s="10" customFormat="1">
      <c r="A21" s="34" t="s">
        <v>98</v>
      </c>
      <c r="B21" s="34" t="s">
        <v>98</v>
      </c>
      <c r="C21" s="10">
        <v>866372</v>
      </c>
      <c r="D21" s="10">
        <v>256019</v>
      </c>
      <c r="E21" s="12" t="s">
        <v>62</v>
      </c>
      <c r="F21" s="43">
        <v>9147.5499999999993</v>
      </c>
      <c r="G21" s="43">
        <v>0</v>
      </c>
      <c r="H21" s="43">
        <f>+F21+G21</f>
        <v>9147.5499999999993</v>
      </c>
      <c r="I21" s="34"/>
      <c r="J21" s="10">
        <v>2018</v>
      </c>
      <c r="K21" s="10" t="s">
        <v>24</v>
      </c>
      <c r="L21" s="10">
        <v>28280</v>
      </c>
      <c r="M21" s="34">
        <v>43230</v>
      </c>
    </row>
    <row r="22" spans="1:13" s="10" customFormat="1">
      <c r="A22" s="34"/>
      <c r="B22" s="34"/>
      <c r="E22" s="201" t="s">
        <v>387</v>
      </c>
      <c r="F22" s="112">
        <f>+F21</f>
        <v>9147.5499999999993</v>
      </c>
      <c r="G22" s="112">
        <f t="shared" ref="G22:H22" si="5">+G21</f>
        <v>0</v>
      </c>
      <c r="H22" s="112">
        <f t="shared" si="5"/>
        <v>9147.5499999999993</v>
      </c>
      <c r="I22" s="34"/>
      <c r="M22" s="34"/>
    </row>
    <row r="23" spans="1:13" s="10" customFormat="1">
      <c r="A23" s="34" t="s">
        <v>98</v>
      </c>
      <c r="B23" s="34" t="s">
        <v>98</v>
      </c>
      <c r="C23" s="10">
        <v>872909</v>
      </c>
      <c r="D23" s="10">
        <v>256019</v>
      </c>
      <c r="E23" s="12" t="s">
        <v>62</v>
      </c>
      <c r="F23" s="43">
        <v>2592.5500000000002</v>
      </c>
      <c r="G23" s="43">
        <v>0</v>
      </c>
      <c r="H23" s="43">
        <f>+F23+G23</f>
        <v>2592.5500000000002</v>
      </c>
      <c r="I23" s="34"/>
      <c r="J23" s="10">
        <v>2018</v>
      </c>
      <c r="K23" s="10" t="s">
        <v>27</v>
      </c>
      <c r="L23" s="10">
        <v>28516</v>
      </c>
      <c r="M23" s="34">
        <v>43263</v>
      </c>
    </row>
    <row r="24" spans="1:13" s="10" customFormat="1">
      <c r="A24" s="34"/>
      <c r="B24" s="34"/>
      <c r="E24" s="201" t="s">
        <v>387</v>
      </c>
      <c r="F24" s="112">
        <f>+F23</f>
        <v>2592.5500000000002</v>
      </c>
      <c r="G24" s="112">
        <f t="shared" ref="G24:H24" si="6">+G23</f>
        <v>0</v>
      </c>
      <c r="H24" s="112">
        <f t="shared" si="6"/>
        <v>2592.5500000000002</v>
      </c>
      <c r="I24" s="34"/>
      <c r="M24" s="34"/>
    </row>
    <row r="25" spans="1:13" s="10" customFormat="1">
      <c r="A25" s="34" t="s">
        <v>98</v>
      </c>
      <c r="B25" s="34" t="s">
        <v>98</v>
      </c>
      <c r="C25" s="10">
        <v>878991</v>
      </c>
      <c r="D25" s="10">
        <v>256019</v>
      </c>
      <c r="E25" s="12" t="s">
        <v>62</v>
      </c>
      <c r="F25" s="43">
        <v>30811.33</v>
      </c>
      <c r="G25" s="43">
        <v>0</v>
      </c>
      <c r="H25" s="43">
        <f>+F25+G25</f>
        <v>30811.33</v>
      </c>
      <c r="I25" s="34"/>
      <c r="J25" s="10">
        <v>2018</v>
      </c>
      <c r="K25" s="10" t="s">
        <v>65</v>
      </c>
      <c r="L25" s="10">
        <v>28752</v>
      </c>
      <c r="M25" s="34">
        <v>43291</v>
      </c>
    </row>
    <row r="26" spans="1:13" s="10" customFormat="1">
      <c r="A26" s="34" t="s">
        <v>98</v>
      </c>
      <c r="B26" s="34" t="s">
        <v>98</v>
      </c>
      <c r="C26" s="10">
        <v>878992</v>
      </c>
      <c r="D26" s="10">
        <v>256019</v>
      </c>
      <c r="E26" s="12" t="s">
        <v>62</v>
      </c>
      <c r="F26" s="43">
        <v>225.15</v>
      </c>
      <c r="G26" s="43">
        <v>0</v>
      </c>
      <c r="H26" s="43">
        <f>+F26+G26</f>
        <v>225.15</v>
      </c>
      <c r="I26" s="34"/>
      <c r="J26" s="10">
        <v>2018</v>
      </c>
      <c r="K26" s="10" t="s">
        <v>65</v>
      </c>
      <c r="L26" s="10">
        <v>28753</v>
      </c>
      <c r="M26" s="34">
        <v>43291</v>
      </c>
    </row>
    <row r="27" spans="1:13" s="10" customFormat="1">
      <c r="A27" s="34"/>
      <c r="B27" s="34"/>
      <c r="E27" s="201" t="s">
        <v>387</v>
      </c>
      <c r="F27" s="112">
        <f>+F26+F25</f>
        <v>31036.480000000003</v>
      </c>
      <c r="G27" s="112">
        <f t="shared" ref="G27:H27" si="7">+G26+G25</f>
        <v>0</v>
      </c>
      <c r="H27" s="112">
        <f t="shared" si="7"/>
        <v>31036.480000000003</v>
      </c>
      <c r="I27" s="34"/>
      <c r="M27" s="34"/>
    </row>
    <row r="28" spans="1:13" s="10" customFormat="1">
      <c r="A28" s="34" t="s">
        <v>98</v>
      </c>
      <c r="B28" s="34" t="s">
        <v>98</v>
      </c>
      <c r="C28" s="10">
        <v>884858</v>
      </c>
      <c r="D28" s="10">
        <v>256019</v>
      </c>
      <c r="E28" s="12" t="s">
        <v>62</v>
      </c>
      <c r="F28" s="43">
        <v>36165.129999999997</v>
      </c>
      <c r="G28" s="43">
        <v>0</v>
      </c>
      <c r="H28" s="43">
        <f>+F28+G28</f>
        <v>36165.129999999997</v>
      </c>
      <c r="J28" s="10">
        <v>2018</v>
      </c>
      <c r="K28" s="10" t="s">
        <v>29</v>
      </c>
      <c r="L28" s="10">
        <v>29038</v>
      </c>
      <c r="M28" s="34">
        <v>43321</v>
      </c>
    </row>
    <row r="29" spans="1:13" s="10" customFormat="1">
      <c r="A29" s="34"/>
      <c r="B29" s="34"/>
      <c r="E29" s="201" t="s">
        <v>387</v>
      </c>
      <c r="F29" s="112">
        <f>+F28</f>
        <v>36165.129999999997</v>
      </c>
      <c r="G29" s="112">
        <f t="shared" ref="G29:H29" si="8">+G28</f>
        <v>0</v>
      </c>
      <c r="H29" s="112">
        <f t="shared" si="8"/>
        <v>36165.129999999997</v>
      </c>
      <c r="M29" s="34"/>
    </row>
    <row r="30" spans="1:13" s="10" customFormat="1">
      <c r="A30" s="34" t="s">
        <v>98</v>
      </c>
      <c r="B30" s="34" t="s">
        <v>98</v>
      </c>
      <c r="C30" s="10">
        <v>891475</v>
      </c>
      <c r="D30" s="10">
        <v>256019</v>
      </c>
      <c r="E30" s="12" t="s">
        <v>62</v>
      </c>
      <c r="F30" s="43">
        <v>38537.33</v>
      </c>
      <c r="G30" s="43">
        <v>0</v>
      </c>
      <c r="H30" s="43">
        <f>+F30+G30</f>
        <v>38537.33</v>
      </c>
      <c r="J30" s="10">
        <v>2018</v>
      </c>
      <c r="K30" s="10" t="s">
        <v>66</v>
      </c>
      <c r="L30" s="10">
        <v>29329</v>
      </c>
      <c r="M30" s="34">
        <v>43356</v>
      </c>
    </row>
    <row r="31" spans="1:13" s="10" customFormat="1">
      <c r="A31" s="34"/>
      <c r="B31" s="34"/>
      <c r="E31" s="201" t="s">
        <v>387</v>
      </c>
      <c r="F31" s="112">
        <f>+F30</f>
        <v>38537.33</v>
      </c>
      <c r="G31" s="112">
        <f t="shared" ref="G31:H31" si="9">+G30</f>
        <v>0</v>
      </c>
      <c r="H31" s="112">
        <f t="shared" si="9"/>
        <v>38537.33</v>
      </c>
      <c r="M31" s="34"/>
    </row>
    <row r="32" spans="1:13" s="10" customFormat="1">
      <c r="A32" s="34" t="s">
        <v>98</v>
      </c>
      <c r="B32" s="34" t="s">
        <v>98</v>
      </c>
      <c r="C32" s="10">
        <v>896878</v>
      </c>
      <c r="D32" s="10">
        <v>256019</v>
      </c>
      <c r="E32" s="12" t="s">
        <v>62</v>
      </c>
      <c r="F32" s="43">
        <v>3511.21</v>
      </c>
      <c r="G32" s="43">
        <v>0</v>
      </c>
      <c r="H32" s="43">
        <f>+F32+G32</f>
        <v>3511.21</v>
      </c>
      <c r="J32" s="10">
        <v>2018</v>
      </c>
      <c r="K32" s="10" t="s">
        <v>30</v>
      </c>
      <c r="L32" s="10">
        <v>29525</v>
      </c>
      <c r="M32" s="34">
        <v>43384</v>
      </c>
    </row>
    <row r="33" spans="1:13" s="10" customFormat="1">
      <c r="A33" s="34"/>
      <c r="B33" s="34"/>
      <c r="E33" s="201" t="s">
        <v>387</v>
      </c>
      <c r="F33" s="112">
        <f>+F32</f>
        <v>3511.21</v>
      </c>
      <c r="G33" s="112">
        <f t="shared" ref="G33:H33" si="10">+G32</f>
        <v>0</v>
      </c>
      <c r="H33" s="112">
        <f t="shared" si="10"/>
        <v>3511.21</v>
      </c>
      <c r="M33" s="34"/>
    </row>
    <row r="34" spans="1:13" s="10" customFormat="1">
      <c r="A34" s="34" t="s">
        <v>98</v>
      </c>
      <c r="B34" s="34" t="s">
        <v>98</v>
      </c>
      <c r="C34" s="10">
        <v>907606</v>
      </c>
      <c r="D34" s="10">
        <v>256019</v>
      </c>
      <c r="E34" s="12" t="s">
        <v>62</v>
      </c>
      <c r="F34" s="43">
        <v>31734.05</v>
      </c>
      <c r="G34" s="43">
        <v>0</v>
      </c>
      <c r="H34" s="43">
        <f>+F34+G34</f>
        <v>31734.05</v>
      </c>
      <c r="J34" s="10">
        <v>2018</v>
      </c>
      <c r="K34" s="10" t="s">
        <v>83</v>
      </c>
      <c r="L34" s="10">
        <v>29524</v>
      </c>
      <c r="M34" s="34">
        <v>43384</v>
      </c>
    </row>
    <row r="35" spans="1:13" s="10" customFormat="1">
      <c r="A35" s="34" t="s">
        <v>98</v>
      </c>
      <c r="B35" s="34" t="s">
        <v>98</v>
      </c>
      <c r="C35" s="10">
        <v>908014</v>
      </c>
      <c r="D35" s="10">
        <v>256019</v>
      </c>
      <c r="E35" s="12" t="s">
        <v>62</v>
      </c>
      <c r="F35" s="43">
        <v>18588.84</v>
      </c>
      <c r="G35" s="43">
        <v>0</v>
      </c>
      <c r="H35" s="43">
        <f>+F35+G35</f>
        <v>18588.84</v>
      </c>
      <c r="J35" s="10">
        <v>2018</v>
      </c>
      <c r="K35" s="10" t="s">
        <v>83</v>
      </c>
      <c r="L35" s="10">
        <v>29754</v>
      </c>
      <c r="M35" s="34">
        <v>43416</v>
      </c>
    </row>
    <row r="36" spans="1:13" s="10" customFormat="1">
      <c r="A36" s="34" t="s">
        <v>98</v>
      </c>
      <c r="B36" s="34" t="s">
        <v>98</v>
      </c>
      <c r="C36" s="10">
        <v>908364</v>
      </c>
      <c r="D36" s="10">
        <v>256019</v>
      </c>
      <c r="E36" s="12" t="s">
        <v>62</v>
      </c>
      <c r="F36" s="43">
        <v>17068.73</v>
      </c>
      <c r="G36" s="43">
        <v>0</v>
      </c>
      <c r="H36" s="43">
        <f>+F36+G36</f>
        <v>17068.73</v>
      </c>
      <c r="J36" s="10">
        <v>2018</v>
      </c>
      <c r="K36" s="10" t="s">
        <v>83</v>
      </c>
      <c r="L36" s="10">
        <v>29753</v>
      </c>
      <c r="M36" s="34">
        <v>43416</v>
      </c>
    </row>
    <row r="37" spans="1:13" s="10" customFormat="1">
      <c r="A37" s="34" t="s">
        <v>98</v>
      </c>
      <c r="B37" s="34" t="s">
        <v>98</v>
      </c>
      <c r="C37" s="10">
        <v>910274</v>
      </c>
      <c r="D37" s="10">
        <v>256019</v>
      </c>
      <c r="E37" s="12" t="s">
        <v>62</v>
      </c>
      <c r="F37" s="43">
        <v>16101.54</v>
      </c>
      <c r="G37" s="43">
        <v>0</v>
      </c>
      <c r="H37" s="43">
        <f>+F37+G37</f>
        <v>16101.54</v>
      </c>
      <c r="J37" s="10">
        <v>2018</v>
      </c>
      <c r="K37" s="10" t="s">
        <v>83</v>
      </c>
      <c r="L37" s="10">
        <v>29978</v>
      </c>
      <c r="M37" s="34">
        <v>43440</v>
      </c>
    </row>
    <row r="38" spans="1:13" s="10" customFormat="1">
      <c r="A38" s="34" t="s">
        <v>98</v>
      </c>
      <c r="B38" s="34" t="s">
        <v>98</v>
      </c>
      <c r="C38" s="10">
        <v>911224</v>
      </c>
      <c r="D38" s="10">
        <v>256019</v>
      </c>
      <c r="E38" s="12" t="s">
        <v>62</v>
      </c>
      <c r="F38" s="43">
        <v>10251.91</v>
      </c>
      <c r="G38" s="43">
        <v>0</v>
      </c>
      <c r="H38" s="43">
        <f>+F38+G38</f>
        <v>10251.91</v>
      </c>
      <c r="J38" s="10">
        <v>2018</v>
      </c>
      <c r="K38" s="10" t="s">
        <v>83</v>
      </c>
      <c r="L38" s="10">
        <v>29977</v>
      </c>
      <c r="M38" s="34">
        <v>43440</v>
      </c>
    </row>
    <row r="39" spans="1:13" s="10" customFormat="1">
      <c r="A39" s="34"/>
      <c r="B39" s="34"/>
      <c r="E39" s="201" t="s">
        <v>387</v>
      </c>
      <c r="F39" s="112">
        <f>+SUM(F34:F38)</f>
        <v>93745.07</v>
      </c>
      <c r="G39" s="112">
        <f>+SUM(G34:G38)</f>
        <v>0</v>
      </c>
      <c r="H39" s="112">
        <f>+SUM(H34:H38)</f>
        <v>93745.07</v>
      </c>
      <c r="M39" s="34"/>
    </row>
    <row r="40" spans="1:13" s="10" customFormat="1">
      <c r="A40" s="34" t="s">
        <v>98</v>
      </c>
      <c r="B40" s="34" t="s">
        <v>98</v>
      </c>
      <c r="C40" s="39">
        <v>916059</v>
      </c>
      <c r="D40" s="10">
        <v>256019</v>
      </c>
      <c r="E40" s="12" t="s">
        <v>62</v>
      </c>
      <c r="F40" s="252">
        <v>726.79</v>
      </c>
      <c r="G40" s="252">
        <v>0</v>
      </c>
      <c r="H40" s="252">
        <v>726.79</v>
      </c>
      <c r="J40" s="10">
        <v>2019</v>
      </c>
      <c r="K40" s="23" t="s">
        <v>63</v>
      </c>
      <c r="L40" s="39">
        <v>30257</v>
      </c>
      <c r="M40" s="35">
        <v>43476</v>
      </c>
    </row>
    <row r="41" spans="1:13" s="10" customFormat="1">
      <c r="A41" s="34" t="s">
        <v>98</v>
      </c>
      <c r="B41" s="34" t="s">
        <v>98</v>
      </c>
      <c r="C41" s="39">
        <v>916060</v>
      </c>
      <c r="D41" s="10">
        <v>256019</v>
      </c>
      <c r="E41" s="12" t="s">
        <v>62</v>
      </c>
      <c r="F41" s="252">
        <v>28173.42</v>
      </c>
      <c r="G41" s="252">
        <v>0</v>
      </c>
      <c r="H41" s="252">
        <v>28173.42</v>
      </c>
      <c r="J41" s="10">
        <v>2019</v>
      </c>
      <c r="K41" s="23" t="s">
        <v>63</v>
      </c>
      <c r="L41" s="39">
        <v>30258</v>
      </c>
      <c r="M41" s="35">
        <v>43476</v>
      </c>
    </row>
    <row r="42" spans="1:13" s="10" customFormat="1">
      <c r="A42" s="34"/>
      <c r="B42" s="34"/>
      <c r="E42" s="201" t="s">
        <v>387</v>
      </c>
      <c r="F42" s="112">
        <f>+SUM(F40:F41)</f>
        <v>28900.21</v>
      </c>
      <c r="G42" s="112">
        <f t="shared" ref="G42:H42" si="11">+SUM(G40:G41)</f>
        <v>0</v>
      </c>
      <c r="H42" s="112">
        <f t="shared" si="11"/>
        <v>28900.21</v>
      </c>
      <c r="M42" s="34"/>
    </row>
    <row r="43" spans="1:13" s="10" customFormat="1">
      <c r="A43" s="34" t="s">
        <v>98</v>
      </c>
      <c r="B43" s="34" t="s">
        <v>98</v>
      </c>
      <c r="C43" s="23">
        <v>921399</v>
      </c>
      <c r="D43" s="10">
        <v>256019</v>
      </c>
      <c r="E43" s="12" t="s">
        <v>62</v>
      </c>
      <c r="F43" s="252">
        <v>30168</v>
      </c>
      <c r="G43" s="252">
        <v>0</v>
      </c>
      <c r="H43" s="252">
        <f>+F43+G43</f>
        <v>30168</v>
      </c>
      <c r="J43" s="10">
        <v>2019</v>
      </c>
      <c r="K43" s="23" t="s">
        <v>58</v>
      </c>
      <c r="L43" s="39">
        <v>30507</v>
      </c>
      <c r="M43" s="35">
        <v>43508</v>
      </c>
    </row>
    <row r="44" spans="1:13" s="10" customFormat="1">
      <c r="A44" s="34" t="s">
        <v>98</v>
      </c>
      <c r="B44" s="34" t="s">
        <v>98</v>
      </c>
      <c r="C44" s="23">
        <v>921995</v>
      </c>
      <c r="D44" s="10">
        <v>256019</v>
      </c>
      <c r="E44" s="12" t="s">
        <v>62</v>
      </c>
      <c r="F44" s="252">
        <v>164</v>
      </c>
      <c r="G44" s="252">
        <v>0</v>
      </c>
      <c r="H44" s="252">
        <f t="shared" ref="H44" si="12">+F44+G44</f>
        <v>164</v>
      </c>
      <c r="J44" s="10">
        <v>2019</v>
      </c>
      <c r="K44" s="23" t="s">
        <v>58</v>
      </c>
      <c r="L44" s="39">
        <v>30506</v>
      </c>
      <c r="M44" s="35">
        <v>43508</v>
      </c>
    </row>
    <row r="45" spans="1:13" s="10" customFormat="1">
      <c r="A45" s="34"/>
      <c r="B45" s="34"/>
      <c r="E45" s="201" t="s">
        <v>387</v>
      </c>
      <c r="F45" s="112">
        <f>+F44+F43</f>
        <v>30332</v>
      </c>
      <c r="G45" s="112">
        <f t="shared" ref="G45:H45" si="13">+G44+G43</f>
        <v>0</v>
      </c>
      <c r="H45" s="112">
        <f t="shared" si="13"/>
        <v>30332</v>
      </c>
      <c r="M45" s="34"/>
    </row>
    <row r="46" spans="1:13" s="10" customFormat="1">
      <c r="A46" s="34"/>
      <c r="B46" s="34"/>
      <c r="E46" s="12" t="s">
        <v>393</v>
      </c>
      <c r="F46" s="251">
        <f>+F39+F33+F31+F29+F27+F24+F22+F20+F18+F16+F14+F42+F45</f>
        <v>366397.52</v>
      </c>
      <c r="G46" s="251">
        <f t="shared" ref="G46:H46" si="14">+G39+G33+G31+G29+G27+G24+G22+G20+G18+G16+G14+G42+G45</f>
        <v>0</v>
      </c>
      <c r="H46" s="251">
        <f t="shared" si="14"/>
        <v>366397.52</v>
      </c>
      <c r="M46" s="34"/>
    </row>
    <row r="47" spans="1:13" s="10" customFormat="1">
      <c r="A47" s="34" t="s">
        <v>361</v>
      </c>
      <c r="B47" s="34"/>
      <c r="E47" s="12"/>
      <c r="F47" s="112">
        <f>+F46</f>
        <v>366397.52</v>
      </c>
      <c r="G47" s="112">
        <f t="shared" ref="G47:H47" si="15">+G46</f>
        <v>0</v>
      </c>
      <c r="H47" s="112">
        <f t="shared" si="15"/>
        <v>366397.52</v>
      </c>
      <c r="M47" s="34"/>
    </row>
    <row r="48" spans="1:13" s="10" customFormat="1">
      <c r="A48" s="34"/>
      <c r="B48" s="34"/>
      <c r="E48" s="12"/>
      <c r="F48" s="43"/>
      <c r="G48" s="43"/>
      <c r="H48" s="43"/>
      <c r="M48" s="34"/>
    </row>
    <row r="49" spans="1:13" s="10" customFormat="1">
      <c r="A49" s="34"/>
      <c r="B49" s="34"/>
      <c r="E49" s="12"/>
      <c r="F49" s="43"/>
      <c r="G49" s="43"/>
      <c r="H49" s="43"/>
      <c r="M49" s="34"/>
    </row>
    <row r="50" spans="1:13" s="10" customFormat="1">
      <c r="A50" s="34" t="s">
        <v>382</v>
      </c>
      <c r="B50" s="37" t="s">
        <v>313</v>
      </c>
      <c r="C50" s="10">
        <v>2272641</v>
      </c>
      <c r="D50" s="10">
        <v>164567</v>
      </c>
      <c r="E50" s="12" t="s">
        <v>43</v>
      </c>
      <c r="F50" s="43">
        <v>178.99</v>
      </c>
      <c r="G50" s="43">
        <v>0</v>
      </c>
      <c r="H50" s="43">
        <f t="shared" ref="H50:H55" si="16">+F50+G50</f>
        <v>178.99</v>
      </c>
      <c r="J50" s="10">
        <v>2018</v>
      </c>
      <c r="K50" s="10" t="s">
        <v>66</v>
      </c>
      <c r="L50" s="10" t="s">
        <v>68</v>
      </c>
      <c r="M50" s="34">
        <v>43325</v>
      </c>
    </row>
    <row r="51" spans="1:13" s="10" customFormat="1">
      <c r="A51" s="34" t="s">
        <v>382</v>
      </c>
      <c r="B51" s="37" t="s">
        <v>313</v>
      </c>
      <c r="C51" s="10">
        <v>2276015</v>
      </c>
      <c r="D51" s="10">
        <v>164567</v>
      </c>
      <c r="E51" s="12" t="s">
        <v>43</v>
      </c>
      <c r="F51" s="43">
        <v>178.99</v>
      </c>
      <c r="G51" s="43">
        <v>0</v>
      </c>
      <c r="H51" s="43">
        <f t="shared" si="16"/>
        <v>178.99</v>
      </c>
      <c r="J51" s="10">
        <v>2018</v>
      </c>
      <c r="K51" s="10" t="s">
        <v>66</v>
      </c>
      <c r="L51" s="10" t="s">
        <v>69</v>
      </c>
      <c r="M51" s="34">
        <v>43332</v>
      </c>
    </row>
    <row r="52" spans="1:13" s="10" customFormat="1">
      <c r="A52" s="34" t="s">
        <v>382</v>
      </c>
      <c r="B52" s="37" t="s">
        <v>313</v>
      </c>
      <c r="C52" s="10">
        <v>2278581</v>
      </c>
      <c r="D52" s="10">
        <v>164567</v>
      </c>
      <c r="E52" s="12" t="s">
        <v>43</v>
      </c>
      <c r="F52" s="43">
        <v>166.2</v>
      </c>
      <c r="G52" s="43">
        <v>0</v>
      </c>
      <c r="H52" s="43">
        <f t="shared" si="16"/>
        <v>166.2</v>
      </c>
      <c r="J52" s="10">
        <v>2018</v>
      </c>
      <c r="K52" s="10" t="s">
        <v>66</v>
      </c>
      <c r="L52" s="10" t="s">
        <v>57</v>
      </c>
      <c r="M52" s="34">
        <v>43336</v>
      </c>
    </row>
    <row r="53" spans="1:13" s="10" customFormat="1">
      <c r="A53" s="34" t="s">
        <v>382</v>
      </c>
      <c r="B53" s="37" t="s">
        <v>313</v>
      </c>
      <c r="C53" s="10">
        <v>2284017</v>
      </c>
      <c r="D53" s="10">
        <v>164567</v>
      </c>
      <c r="E53" s="12" t="s">
        <v>43</v>
      </c>
      <c r="F53" s="43">
        <v>25.57</v>
      </c>
      <c r="G53" s="43">
        <v>0</v>
      </c>
      <c r="H53" s="43">
        <f t="shared" si="16"/>
        <v>25.57</v>
      </c>
      <c r="J53" s="10">
        <v>2018</v>
      </c>
      <c r="K53" s="10" t="s">
        <v>66</v>
      </c>
      <c r="L53" s="10" t="s">
        <v>76</v>
      </c>
      <c r="M53" s="34">
        <v>43346</v>
      </c>
    </row>
    <row r="54" spans="1:13" s="10" customFormat="1">
      <c r="A54" s="34" t="s">
        <v>382</v>
      </c>
      <c r="B54" s="37" t="s">
        <v>313</v>
      </c>
      <c r="C54" s="10">
        <v>2285060</v>
      </c>
      <c r="D54" s="10">
        <v>164567</v>
      </c>
      <c r="E54" s="12" t="s">
        <v>43</v>
      </c>
      <c r="F54" s="43">
        <v>204.56</v>
      </c>
      <c r="G54" s="43">
        <v>0</v>
      </c>
      <c r="H54" s="43">
        <f t="shared" si="16"/>
        <v>204.56</v>
      </c>
      <c r="J54" s="36">
        <v>2018</v>
      </c>
      <c r="K54" s="36" t="s">
        <v>66</v>
      </c>
      <c r="L54" s="10" t="s">
        <v>77</v>
      </c>
      <c r="M54" s="34">
        <v>43353</v>
      </c>
    </row>
    <row r="55" spans="1:13" s="10" customFormat="1">
      <c r="A55" s="34" t="s">
        <v>382</v>
      </c>
      <c r="B55" s="37" t="s">
        <v>313</v>
      </c>
      <c r="C55" s="10">
        <v>2288522</v>
      </c>
      <c r="D55" s="10">
        <v>164567</v>
      </c>
      <c r="E55" s="12" t="s">
        <v>43</v>
      </c>
      <c r="F55" s="43">
        <v>217.35</v>
      </c>
      <c r="G55" s="43">
        <v>0</v>
      </c>
      <c r="H55" s="43">
        <f t="shared" si="16"/>
        <v>217.35</v>
      </c>
      <c r="J55" s="36">
        <v>2018</v>
      </c>
      <c r="K55" s="36" t="s">
        <v>66</v>
      </c>
      <c r="L55" s="10" t="s">
        <v>78</v>
      </c>
      <c r="M55" s="34">
        <v>43360</v>
      </c>
    </row>
    <row r="56" spans="1:13" s="10" customFormat="1">
      <c r="A56" s="34"/>
      <c r="B56" s="37"/>
      <c r="E56" s="201" t="s">
        <v>387</v>
      </c>
      <c r="F56" s="112">
        <f>+SUM(F50:F55)</f>
        <v>971.6600000000002</v>
      </c>
      <c r="G56" s="112">
        <f t="shared" ref="G56:H56" si="17">+SUM(G50:G55)</f>
        <v>0</v>
      </c>
      <c r="H56" s="112">
        <f t="shared" si="17"/>
        <v>971.6600000000002</v>
      </c>
      <c r="J56" s="36"/>
      <c r="K56" s="36"/>
      <c r="M56" s="34"/>
    </row>
    <row r="57" spans="1:13" s="10" customFormat="1">
      <c r="A57" s="34" t="s">
        <v>382</v>
      </c>
      <c r="B57" s="37" t="s">
        <v>313</v>
      </c>
      <c r="C57" s="10">
        <v>2295298</v>
      </c>
      <c r="D57" s="10">
        <v>164567</v>
      </c>
      <c r="E57" s="12" t="s">
        <v>43</v>
      </c>
      <c r="F57" s="43">
        <v>25.57</v>
      </c>
      <c r="G57" s="43">
        <v>0</v>
      </c>
      <c r="H57" s="43">
        <f>+F57+G57</f>
        <v>25.57</v>
      </c>
      <c r="J57" s="10">
        <v>2018</v>
      </c>
      <c r="K57" s="10" t="s">
        <v>83</v>
      </c>
      <c r="L57" s="10" t="s">
        <v>86</v>
      </c>
      <c r="M57" s="34">
        <v>43371</v>
      </c>
    </row>
    <row r="58" spans="1:13" s="10" customFormat="1">
      <c r="A58" s="34"/>
      <c r="B58" s="37"/>
      <c r="E58" s="201" t="s">
        <v>387</v>
      </c>
      <c r="F58" s="112">
        <f>+F57</f>
        <v>25.57</v>
      </c>
      <c r="G58" s="112">
        <f t="shared" ref="G58:H58" si="18">+G57</f>
        <v>0</v>
      </c>
      <c r="H58" s="112">
        <f t="shared" si="18"/>
        <v>25.57</v>
      </c>
      <c r="M58" s="34"/>
    </row>
    <row r="59" spans="1:13" s="10" customFormat="1">
      <c r="A59" s="34"/>
      <c r="B59" s="37"/>
      <c r="E59" s="201" t="s">
        <v>388</v>
      </c>
      <c r="F59" s="112">
        <f>+F58+F56</f>
        <v>997.23000000000025</v>
      </c>
      <c r="G59" s="112">
        <f t="shared" ref="G59:H59" si="19">+G58+G56</f>
        <v>0</v>
      </c>
      <c r="H59" s="112">
        <f t="shared" si="19"/>
        <v>997.23000000000025</v>
      </c>
      <c r="M59" s="34"/>
    </row>
    <row r="60" spans="1:13" s="10" customFormat="1">
      <c r="A60" s="34"/>
      <c r="B60" s="37"/>
      <c r="E60" s="12"/>
      <c r="F60" s="43"/>
      <c r="G60" s="43"/>
      <c r="H60" s="43"/>
      <c r="M60" s="34"/>
    </row>
    <row r="61" spans="1:13" s="10" customFormat="1">
      <c r="A61" s="34" t="s">
        <v>382</v>
      </c>
      <c r="B61" s="34" t="s">
        <v>390</v>
      </c>
      <c r="C61" s="10">
        <v>890441</v>
      </c>
      <c r="D61" s="10">
        <v>108885</v>
      </c>
      <c r="E61" s="12" t="s">
        <v>70</v>
      </c>
      <c r="F61" s="43">
        <v>22968.9</v>
      </c>
      <c r="G61" s="43">
        <v>0</v>
      </c>
      <c r="H61" s="43">
        <f>+F61+G61</f>
        <v>22968.9</v>
      </c>
      <c r="J61" s="10">
        <v>2018</v>
      </c>
      <c r="K61" s="10" t="s">
        <v>66</v>
      </c>
      <c r="L61" s="10">
        <v>14491</v>
      </c>
      <c r="M61" s="34">
        <v>43342</v>
      </c>
    </row>
    <row r="62" spans="1:13" s="10" customFormat="1">
      <c r="A62" s="34" t="s">
        <v>382</v>
      </c>
      <c r="B62" s="34" t="s">
        <v>390</v>
      </c>
      <c r="C62" s="10">
        <v>890441</v>
      </c>
      <c r="D62" s="10">
        <v>108885</v>
      </c>
      <c r="E62" s="12" t="s">
        <v>70</v>
      </c>
      <c r="F62" s="43">
        <v>1894.93</v>
      </c>
      <c r="G62" s="43">
        <v>0</v>
      </c>
      <c r="H62" s="43">
        <f>+F62+G62</f>
        <v>1894.93</v>
      </c>
      <c r="J62" s="10">
        <v>2018</v>
      </c>
      <c r="K62" s="10" t="s">
        <v>66</v>
      </c>
      <c r="L62" s="10">
        <v>14491</v>
      </c>
      <c r="M62" s="34">
        <v>43342</v>
      </c>
    </row>
    <row r="63" spans="1:13" s="10" customFormat="1">
      <c r="A63" s="34"/>
      <c r="B63" s="34"/>
      <c r="E63" s="201" t="s">
        <v>387</v>
      </c>
      <c r="F63" s="112">
        <f>+F62+F61</f>
        <v>24863.83</v>
      </c>
      <c r="G63" s="112">
        <f t="shared" ref="G63:H63" si="20">+G62+G61</f>
        <v>0</v>
      </c>
      <c r="H63" s="112">
        <f t="shared" si="20"/>
        <v>24863.83</v>
      </c>
      <c r="M63" s="34"/>
    </row>
    <row r="64" spans="1:13" s="10" customFormat="1">
      <c r="A64" s="34"/>
      <c r="B64" s="34"/>
      <c r="E64" s="201" t="s">
        <v>394</v>
      </c>
      <c r="F64" s="112">
        <f>+F63</f>
        <v>24863.83</v>
      </c>
      <c r="G64" s="112">
        <f t="shared" ref="G64:H64" si="21">+G63</f>
        <v>0</v>
      </c>
      <c r="H64" s="112">
        <f t="shared" si="21"/>
        <v>24863.83</v>
      </c>
      <c r="M64" s="34"/>
    </row>
    <row r="65" spans="1:13" s="10" customFormat="1">
      <c r="A65" s="34"/>
      <c r="B65" s="34"/>
      <c r="E65" s="201"/>
      <c r="F65" s="43"/>
      <c r="G65" s="43"/>
      <c r="H65" s="43"/>
      <c r="M65" s="34"/>
    </row>
    <row r="66" spans="1:13" s="10" customFormat="1">
      <c r="A66" s="34" t="s">
        <v>382</v>
      </c>
      <c r="B66" s="34" t="s">
        <v>315</v>
      </c>
      <c r="C66" s="10">
        <v>885914</v>
      </c>
      <c r="D66" s="10">
        <v>80046</v>
      </c>
      <c r="E66" s="12" t="s">
        <v>56</v>
      </c>
      <c r="F66" s="43">
        <v>181.37</v>
      </c>
      <c r="G66" s="43">
        <v>0</v>
      </c>
      <c r="H66" s="43">
        <f>+F66+G66</f>
        <v>181.37</v>
      </c>
      <c r="J66" s="10">
        <v>2018</v>
      </c>
      <c r="K66" s="10" t="s">
        <v>66</v>
      </c>
      <c r="L66" s="10">
        <v>201802</v>
      </c>
      <c r="M66" s="34">
        <v>43329</v>
      </c>
    </row>
    <row r="67" spans="1:13" s="10" customFormat="1">
      <c r="A67" s="34"/>
      <c r="B67" s="37"/>
      <c r="E67" s="201" t="s">
        <v>387</v>
      </c>
      <c r="F67" s="112">
        <f>+F66</f>
        <v>181.37</v>
      </c>
      <c r="G67" s="112">
        <f t="shared" ref="G67:H67" si="22">+G66</f>
        <v>0</v>
      </c>
      <c r="H67" s="112">
        <f t="shared" si="22"/>
        <v>181.37</v>
      </c>
      <c r="M67" s="34"/>
    </row>
    <row r="68" spans="1:13" s="10" customFormat="1">
      <c r="A68" s="34" t="s">
        <v>382</v>
      </c>
      <c r="B68" s="34" t="s">
        <v>315</v>
      </c>
      <c r="C68" s="39">
        <v>921653</v>
      </c>
      <c r="D68" s="10">
        <v>80046</v>
      </c>
      <c r="E68" s="12" t="s">
        <v>56</v>
      </c>
      <c r="F68" s="252">
        <v>341.34</v>
      </c>
      <c r="G68" s="112">
        <v>0</v>
      </c>
      <c r="H68" s="112">
        <f>+F68+G68</f>
        <v>341.34</v>
      </c>
      <c r="J68" s="10">
        <v>2019</v>
      </c>
      <c r="K68" s="23" t="s">
        <v>58</v>
      </c>
      <c r="L68" s="39">
        <v>201901</v>
      </c>
      <c r="M68" s="35">
        <v>43514</v>
      </c>
    </row>
    <row r="69" spans="1:13" s="10" customFormat="1">
      <c r="A69" s="34"/>
      <c r="B69" s="34"/>
      <c r="E69" s="201" t="s">
        <v>387</v>
      </c>
      <c r="F69" s="112">
        <f>+F68</f>
        <v>341.34</v>
      </c>
      <c r="G69" s="112">
        <f t="shared" ref="G69:H69" si="23">+G68</f>
        <v>0</v>
      </c>
      <c r="H69" s="112">
        <f t="shared" si="23"/>
        <v>341.34</v>
      </c>
      <c r="M69" s="34"/>
    </row>
    <row r="70" spans="1:13" s="10" customFormat="1">
      <c r="A70" s="34" t="s">
        <v>382</v>
      </c>
      <c r="B70" s="34" t="s">
        <v>315</v>
      </c>
      <c r="E70" s="12" t="s">
        <v>389</v>
      </c>
      <c r="F70" s="112">
        <f>+F67+F69</f>
        <v>522.71</v>
      </c>
      <c r="G70" s="112">
        <f t="shared" ref="G70:H70" si="24">+G67+G69</f>
        <v>0</v>
      </c>
      <c r="H70" s="112">
        <f t="shared" si="24"/>
        <v>522.71</v>
      </c>
      <c r="M70" s="34"/>
    </row>
    <row r="71" spans="1:13" s="10" customFormat="1">
      <c r="A71" s="34" t="s">
        <v>368</v>
      </c>
      <c r="B71" s="37"/>
      <c r="E71" s="12"/>
      <c r="F71" s="112">
        <f>+F70+F64+F59</f>
        <v>26383.77</v>
      </c>
      <c r="G71" s="112">
        <f t="shared" ref="G71:H71" si="25">+G70+G64+G59</f>
        <v>0</v>
      </c>
      <c r="H71" s="112">
        <f t="shared" si="25"/>
        <v>26383.77</v>
      </c>
      <c r="M71" s="34"/>
    </row>
    <row r="72" spans="1:13" s="10" customFormat="1">
      <c r="A72" s="34"/>
      <c r="B72" s="37"/>
      <c r="E72" s="12"/>
      <c r="F72" s="43"/>
      <c r="G72" s="43"/>
      <c r="H72" s="43"/>
      <c r="M72" s="34"/>
    </row>
    <row r="73" spans="1:13" s="10" customFormat="1">
      <c r="A73" s="34"/>
      <c r="B73" s="37"/>
      <c r="E73" s="12"/>
      <c r="F73" s="43"/>
      <c r="G73" s="43"/>
      <c r="H73" s="43"/>
      <c r="M73" s="34"/>
    </row>
    <row r="74" spans="1:13" s="10" customFormat="1">
      <c r="A74" s="34"/>
      <c r="B74" s="37"/>
      <c r="E74" s="12"/>
      <c r="F74" s="43"/>
      <c r="G74" s="43"/>
      <c r="H74" s="43"/>
      <c r="M74" s="34"/>
    </row>
    <row r="75" spans="1:13" s="10" customFormat="1">
      <c r="A75" s="34" t="s">
        <v>409</v>
      </c>
      <c r="B75" s="34" t="s">
        <v>290</v>
      </c>
      <c r="C75" s="10">
        <v>2188846</v>
      </c>
      <c r="D75" s="10">
        <v>161803</v>
      </c>
      <c r="E75" s="12" t="s">
        <v>13</v>
      </c>
      <c r="F75" s="43">
        <v>12</v>
      </c>
      <c r="G75" s="43">
        <v>0</v>
      </c>
      <c r="H75" s="43">
        <f t="shared" ref="H75" si="26">+F75+G75</f>
        <v>12</v>
      </c>
      <c r="I75" s="10" t="s">
        <v>15</v>
      </c>
      <c r="J75" s="10">
        <v>2018</v>
      </c>
      <c r="K75" s="10" t="s">
        <v>58</v>
      </c>
      <c r="L75" s="10" t="s">
        <v>64</v>
      </c>
      <c r="M75" s="35">
        <v>43144</v>
      </c>
    </row>
    <row r="76" spans="1:13" s="10" customFormat="1">
      <c r="A76" s="34"/>
      <c r="B76" s="37"/>
      <c r="E76" s="201" t="s">
        <v>387</v>
      </c>
      <c r="F76" s="258">
        <f>+F75</f>
        <v>12</v>
      </c>
      <c r="G76" s="258">
        <f t="shared" ref="G76:H76" si="27">+G75</f>
        <v>0</v>
      </c>
      <c r="H76" s="258">
        <f t="shared" si="27"/>
        <v>12</v>
      </c>
      <c r="M76" s="34"/>
    </row>
    <row r="77" spans="1:13" s="10" customFormat="1">
      <c r="A77" s="34" t="s">
        <v>409</v>
      </c>
      <c r="B77" s="34" t="s">
        <v>322</v>
      </c>
      <c r="C77" s="10">
        <v>893482</v>
      </c>
      <c r="D77" s="10">
        <v>18796</v>
      </c>
      <c r="E77" s="12" t="s">
        <v>72</v>
      </c>
      <c r="F77" s="43">
        <v>279.04000000000002</v>
      </c>
      <c r="G77" s="43">
        <v>0</v>
      </c>
      <c r="H77" s="43">
        <f>+F77+G77</f>
        <v>279.04000000000002</v>
      </c>
      <c r="I77" s="10" t="s">
        <v>72</v>
      </c>
      <c r="J77" s="10">
        <v>2018</v>
      </c>
      <c r="K77" s="10" t="s">
        <v>66</v>
      </c>
      <c r="L77" s="10" t="s">
        <v>73</v>
      </c>
      <c r="M77" s="34">
        <v>43369</v>
      </c>
    </row>
    <row r="78" spans="1:13" s="10" customFormat="1">
      <c r="A78" s="34" t="s">
        <v>409</v>
      </c>
      <c r="B78" s="34" t="s">
        <v>312</v>
      </c>
      <c r="C78" s="10">
        <v>887776</v>
      </c>
      <c r="D78" s="10">
        <v>161803</v>
      </c>
      <c r="E78" s="202" t="s">
        <v>13</v>
      </c>
      <c r="F78" s="192">
        <v>12.72</v>
      </c>
      <c r="G78" s="192">
        <v>0</v>
      </c>
      <c r="H78" s="192">
        <v>12.72</v>
      </c>
      <c r="I78" s="10" t="s">
        <v>33</v>
      </c>
      <c r="J78" s="10">
        <v>2018</v>
      </c>
      <c r="K78" s="10" t="s">
        <v>66</v>
      </c>
      <c r="L78" s="34" t="s">
        <v>67</v>
      </c>
      <c r="M78" s="10">
        <v>43340</v>
      </c>
    </row>
    <row r="79" spans="1:13" s="10" customFormat="1">
      <c r="A79" s="34" t="s">
        <v>409</v>
      </c>
      <c r="B79" s="34" t="s">
        <v>327</v>
      </c>
      <c r="C79" s="10">
        <v>891270</v>
      </c>
      <c r="D79" s="10">
        <v>161803</v>
      </c>
      <c r="E79" s="202" t="s">
        <v>13</v>
      </c>
      <c r="F79" s="192">
        <v>2308.9699999999998</v>
      </c>
      <c r="G79" s="192">
        <v>0</v>
      </c>
      <c r="H79" s="192">
        <v>2308.9699999999998</v>
      </c>
      <c r="I79" s="10" t="s">
        <v>33</v>
      </c>
      <c r="J79" s="10">
        <v>2018</v>
      </c>
      <c r="K79" s="10" t="s">
        <v>66</v>
      </c>
      <c r="L79" s="34" t="s">
        <v>71</v>
      </c>
      <c r="M79" s="10">
        <v>43356</v>
      </c>
    </row>
    <row r="80" spans="1:13" s="10" customFormat="1">
      <c r="A80" s="34" t="s">
        <v>409</v>
      </c>
      <c r="B80" s="34" t="s">
        <v>312</v>
      </c>
      <c r="C80" s="10">
        <v>893807</v>
      </c>
      <c r="D80" s="10">
        <v>161803</v>
      </c>
      <c r="E80" s="12" t="s">
        <v>13</v>
      </c>
      <c r="F80" s="192">
        <v>6</v>
      </c>
      <c r="G80" s="192">
        <v>0</v>
      </c>
      <c r="H80" s="192">
        <f t="shared" ref="H80:H87" si="28">+F80+G80</f>
        <v>6</v>
      </c>
      <c r="I80" s="10" t="s">
        <v>33</v>
      </c>
      <c r="J80" s="10">
        <v>2018</v>
      </c>
      <c r="K80" s="10" t="s">
        <v>66</v>
      </c>
      <c r="L80" s="10" t="s">
        <v>74</v>
      </c>
      <c r="M80" s="34">
        <v>43370</v>
      </c>
    </row>
    <row r="81" spans="1:13" s="10" customFormat="1">
      <c r="A81" s="34" t="s">
        <v>409</v>
      </c>
      <c r="B81" s="34" t="s">
        <v>327</v>
      </c>
      <c r="C81" s="10">
        <v>893807</v>
      </c>
      <c r="D81" s="10">
        <v>161803</v>
      </c>
      <c r="E81" s="12" t="s">
        <v>13</v>
      </c>
      <c r="F81" s="192">
        <v>256.55</v>
      </c>
      <c r="G81" s="192">
        <v>0</v>
      </c>
      <c r="H81" s="192">
        <f t="shared" si="28"/>
        <v>256.55</v>
      </c>
      <c r="I81" s="10" t="s">
        <v>33</v>
      </c>
      <c r="J81" s="36">
        <v>2018</v>
      </c>
      <c r="K81" s="36" t="s">
        <v>66</v>
      </c>
      <c r="L81" s="10" t="s">
        <v>74</v>
      </c>
      <c r="M81" s="34">
        <v>43370</v>
      </c>
    </row>
    <row r="82" spans="1:13" s="10" customFormat="1">
      <c r="A82" s="34" t="s">
        <v>409</v>
      </c>
      <c r="B82" s="34" t="s">
        <v>312</v>
      </c>
      <c r="C82" s="10">
        <v>893808</v>
      </c>
      <c r="D82" s="10">
        <v>161803</v>
      </c>
      <c r="E82" s="12" t="s">
        <v>13</v>
      </c>
      <c r="F82" s="43">
        <v>15.07</v>
      </c>
      <c r="G82" s="43">
        <v>0</v>
      </c>
      <c r="H82" s="43">
        <f t="shared" si="28"/>
        <v>15.07</v>
      </c>
      <c r="I82" s="10" t="s">
        <v>33</v>
      </c>
      <c r="J82" s="10">
        <v>2018</v>
      </c>
      <c r="K82" s="10" t="s">
        <v>66</v>
      </c>
      <c r="L82" s="10" t="s">
        <v>75</v>
      </c>
      <c r="M82" s="34">
        <v>43370</v>
      </c>
    </row>
    <row r="83" spans="1:13" s="10" customFormat="1">
      <c r="A83" s="34" t="s">
        <v>409</v>
      </c>
      <c r="B83" s="37" t="s">
        <v>321</v>
      </c>
      <c r="C83" s="36">
        <v>2290189</v>
      </c>
      <c r="D83" s="36">
        <v>161803</v>
      </c>
      <c r="E83" s="201" t="s">
        <v>13</v>
      </c>
      <c r="F83" s="44">
        <v>5.3</v>
      </c>
      <c r="G83" s="43">
        <v>0</v>
      </c>
      <c r="H83" s="43">
        <f t="shared" si="28"/>
        <v>5.3</v>
      </c>
      <c r="I83" s="36" t="s">
        <v>79</v>
      </c>
      <c r="J83" s="36">
        <v>2018</v>
      </c>
      <c r="K83" s="36" t="s">
        <v>66</v>
      </c>
      <c r="L83" s="36" t="s">
        <v>80</v>
      </c>
      <c r="M83" s="37">
        <v>43367</v>
      </c>
    </row>
    <row r="84" spans="1:13" s="10" customFormat="1">
      <c r="A84" s="34" t="s">
        <v>409</v>
      </c>
      <c r="B84" s="37" t="s">
        <v>321</v>
      </c>
      <c r="C84" s="36">
        <v>2290189</v>
      </c>
      <c r="D84" s="36">
        <v>161803</v>
      </c>
      <c r="E84" s="201" t="s">
        <v>13</v>
      </c>
      <c r="F84" s="44">
        <v>3.24</v>
      </c>
      <c r="G84" s="43">
        <v>0</v>
      </c>
      <c r="H84" s="43">
        <f t="shared" si="28"/>
        <v>3.24</v>
      </c>
      <c r="I84" s="36" t="s">
        <v>79</v>
      </c>
      <c r="J84" s="36">
        <v>2018</v>
      </c>
      <c r="K84" s="36" t="s">
        <v>66</v>
      </c>
      <c r="L84" s="36" t="s">
        <v>80</v>
      </c>
      <c r="M84" s="37">
        <v>43367</v>
      </c>
    </row>
    <row r="85" spans="1:13" s="10" customFormat="1">
      <c r="A85" s="34" t="s">
        <v>409</v>
      </c>
      <c r="B85" s="37" t="s">
        <v>321</v>
      </c>
      <c r="C85" s="36">
        <v>2290188</v>
      </c>
      <c r="D85" s="36">
        <v>91417</v>
      </c>
      <c r="E85" s="201" t="s">
        <v>79</v>
      </c>
      <c r="F85" s="44">
        <v>19.309999999999999</v>
      </c>
      <c r="G85" s="43">
        <v>0</v>
      </c>
      <c r="H85" s="43">
        <f t="shared" si="28"/>
        <v>19.309999999999999</v>
      </c>
      <c r="I85" s="36" t="s">
        <v>79</v>
      </c>
      <c r="J85" s="10">
        <v>2018</v>
      </c>
      <c r="K85" s="10" t="s">
        <v>66</v>
      </c>
      <c r="L85" s="36" t="s">
        <v>80</v>
      </c>
      <c r="M85" s="37">
        <v>43367</v>
      </c>
    </row>
    <row r="86" spans="1:13" s="10" customFormat="1">
      <c r="A86" s="34" t="s">
        <v>409</v>
      </c>
      <c r="B86" s="34" t="s">
        <v>322</v>
      </c>
      <c r="C86" s="10">
        <v>2290188</v>
      </c>
      <c r="D86" s="10">
        <v>91417</v>
      </c>
      <c r="E86" s="12" t="s">
        <v>79</v>
      </c>
      <c r="F86" s="43">
        <v>16.350000000000001</v>
      </c>
      <c r="G86" s="43">
        <v>0</v>
      </c>
      <c r="H86" s="43">
        <f t="shared" si="28"/>
        <v>16.350000000000001</v>
      </c>
      <c r="I86" s="10" t="s">
        <v>79</v>
      </c>
      <c r="J86" s="10">
        <v>2018</v>
      </c>
      <c r="K86" s="10" t="s">
        <v>66</v>
      </c>
      <c r="L86" s="10" t="s">
        <v>80</v>
      </c>
      <c r="M86" s="34">
        <v>43367</v>
      </c>
    </row>
    <row r="87" spans="1:13" s="10" customFormat="1">
      <c r="A87" s="34" t="s">
        <v>409</v>
      </c>
      <c r="B87" s="34" t="s">
        <v>331</v>
      </c>
      <c r="C87" s="10">
        <v>2290188</v>
      </c>
      <c r="D87" s="10">
        <v>91417</v>
      </c>
      <c r="E87" s="12" t="s">
        <v>79</v>
      </c>
      <c r="F87" s="43">
        <v>28.19</v>
      </c>
      <c r="G87" s="43">
        <v>0</v>
      </c>
      <c r="H87" s="43">
        <f t="shared" si="28"/>
        <v>28.19</v>
      </c>
      <c r="I87" s="10" t="s">
        <v>79</v>
      </c>
      <c r="J87" s="10">
        <v>2018</v>
      </c>
      <c r="K87" s="10" t="s">
        <v>66</v>
      </c>
      <c r="L87" s="10" t="s">
        <v>80</v>
      </c>
      <c r="M87" s="34">
        <v>43367</v>
      </c>
    </row>
    <row r="88" spans="1:13" s="10" customFormat="1">
      <c r="A88" s="34"/>
      <c r="B88" s="34"/>
      <c r="E88" s="201" t="s">
        <v>387</v>
      </c>
      <c r="F88" s="112">
        <f>+SUM(F77:F87)</f>
        <v>2950.7400000000002</v>
      </c>
      <c r="G88" s="112">
        <f t="shared" ref="G88:H88" si="29">+SUM(G77:G87)</f>
        <v>0</v>
      </c>
      <c r="H88" s="112">
        <f t="shared" si="29"/>
        <v>2950.7400000000002</v>
      </c>
      <c r="M88" s="34"/>
    </row>
    <row r="89" spans="1:13" s="10" customFormat="1">
      <c r="A89" s="34" t="s">
        <v>409</v>
      </c>
      <c r="B89" s="34" t="s">
        <v>330</v>
      </c>
      <c r="C89" s="10">
        <v>898740</v>
      </c>
      <c r="D89" s="10">
        <v>161803</v>
      </c>
      <c r="E89" s="12" t="s">
        <v>13</v>
      </c>
      <c r="F89" s="43">
        <v>260</v>
      </c>
      <c r="G89" s="43">
        <v>0</v>
      </c>
      <c r="H89" s="43">
        <f>+F89+G89</f>
        <v>260</v>
      </c>
      <c r="I89" s="10" t="s">
        <v>33</v>
      </c>
      <c r="J89" s="10">
        <v>2018</v>
      </c>
      <c r="K89" s="10" t="s">
        <v>30</v>
      </c>
      <c r="L89" s="10" t="s">
        <v>81</v>
      </c>
      <c r="M89" s="34">
        <v>43395</v>
      </c>
    </row>
    <row r="90" spans="1:13" s="10" customFormat="1">
      <c r="A90" s="34" t="s">
        <v>409</v>
      </c>
      <c r="B90" s="34" t="s">
        <v>317</v>
      </c>
      <c r="C90" s="10">
        <v>898740</v>
      </c>
      <c r="D90" s="10">
        <v>161803</v>
      </c>
      <c r="E90" s="12" t="s">
        <v>13</v>
      </c>
      <c r="F90" s="43">
        <v>21.45</v>
      </c>
      <c r="G90" s="43">
        <v>0</v>
      </c>
      <c r="H90" s="43">
        <f>+F90+G90</f>
        <v>21.45</v>
      </c>
      <c r="I90" s="10" t="s">
        <v>33</v>
      </c>
      <c r="J90" s="10">
        <v>2018</v>
      </c>
      <c r="K90" s="10" t="s">
        <v>30</v>
      </c>
      <c r="L90" s="10" t="s">
        <v>81</v>
      </c>
      <c r="M90" s="34">
        <v>43395</v>
      </c>
    </row>
    <row r="91" spans="1:13" s="10" customFormat="1">
      <c r="A91" s="34" t="s">
        <v>409</v>
      </c>
      <c r="B91" s="34" t="s">
        <v>316</v>
      </c>
      <c r="C91" s="10">
        <v>2290189</v>
      </c>
      <c r="D91" s="10">
        <v>161803</v>
      </c>
      <c r="E91" s="12" t="s">
        <v>13</v>
      </c>
      <c r="F91" s="43">
        <v>536.46</v>
      </c>
      <c r="G91" s="43">
        <v>0</v>
      </c>
      <c r="H91" s="43">
        <f>+F91+G91</f>
        <v>536.46</v>
      </c>
      <c r="I91" s="10" t="s">
        <v>79</v>
      </c>
      <c r="J91" s="10">
        <v>2018</v>
      </c>
      <c r="K91" s="10" t="s">
        <v>30</v>
      </c>
      <c r="L91" s="10" t="s">
        <v>80</v>
      </c>
      <c r="M91" s="34">
        <v>43367</v>
      </c>
    </row>
    <row r="92" spans="1:13" s="10" customFormat="1">
      <c r="A92" s="34" t="s">
        <v>409</v>
      </c>
      <c r="B92" s="34" t="s">
        <v>331</v>
      </c>
      <c r="C92" s="10">
        <v>2290189</v>
      </c>
      <c r="D92" s="10">
        <v>161803</v>
      </c>
      <c r="E92" s="12" t="s">
        <v>13</v>
      </c>
      <c r="F92" s="43">
        <v>40.68</v>
      </c>
      <c r="G92" s="43">
        <v>0</v>
      </c>
      <c r="H92" s="43">
        <f>+F92+G92</f>
        <v>40.68</v>
      </c>
      <c r="I92" s="10" t="s">
        <v>79</v>
      </c>
      <c r="J92" s="10">
        <v>2018</v>
      </c>
      <c r="K92" s="10" t="s">
        <v>30</v>
      </c>
      <c r="L92" s="10" t="s">
        <v>80</v>
      </c>
      <c r="M92" s="34">
        <v>43367</v>
      </c>
    </row>
    <row r="93" spans="1:13" s="10" customFormat="1">
      <c r="A93" s="34" t="s">
        <v>409</v>
      </c>
      <c r="B93" s="34" t="s">
        <v>290</v>
      </c>
      <c r="C93" s="10">
        <v>2290189</v>
      </c>
      <c r="D93" s="10">
        <v>161803</v>
      </c>
      <c r="E93" s="12" t="s">
        <v>13</v>
      </c>
      <c r="F93" s="43">
        <v>12</v>
      </c>
      <c r="G93" s="43">
        <v>0</v>
      </c>
      <c r="H93" s="43">
        <f>+F93+G93</f>
        <v>12</v>
      </c>
      <c r="I93" s="10" t="s">
        <v>79</v>
      </c>
      <c r="J93" s="10">
        <v>2018</v>
      </c>
      <c r="K93" s="10" t="s">
        <v>30</v>
      </c>
      <c r="L93" s="10" t="s">
        <v>80</v>
      </c>
      <c r="M93" s="34">
        <v>43367</v>
      </c>
    </row>
    <row r="94" spans="1:13" s="10" customFormat="1">
      <c r="A94" s="34"/>
      <c r="B94" s="34"/>
      <c r="E94" s="201" t="s">
        <v>387</v>
      </c>
      <c r="F94" s="112">
        <f>+SUM(F89:F93)</f>
        <v>870.59</v>
      </c>
      <c r="G94" s="112">
        <f t="shared" ref="G94:H94" si="30">+SUM(G89:G93)</f>
        <v>0</v>
      </c>
      <c r="H94" s="112">
        <f t="shared" si="30"/>
        <v>870.59</v>
      </c>
      <c r="M94" s="34"/>
    </row>
    <row r="95" spans="1:13" s="10" customFormat="1">
      <c r="A95" s="34" t="s">
        <v>409</v>
      </c>
      <c r="B95" s="34" t="s">
        <v>312</v>
      </c>
      <c r="C95" s="10">
        <v>898743</v>
      </c>
      <c r="D95" s="10">
        <v>161803</v>
      </c>
      <c r="E95" s="12" t="s">
        <v>13</v>
      </c>
      <c r="F95" s="43">
        <v>6.48</v>
      </c>
      <c r="G95" s="43">
        <v>0</v>
      </c>
      <c r="H95" s="43">
        <f>+F95+G95</f>
        <v>6.48</v>
      </c>
      <c r="I95" s="10" t="s">
        <v>33</v>
      </c>
      <c r="J95" s="10">
        <v>2018</v>
      </c>
      <c r="K95" s="10" t="s">
        <v>83</v>
      </c>
      <c r="L95" s="10" t="s">
        <v>82</v>
      </c>
      <c r="M95" s="34">
        <v>43395</v>
      </c>
    </row>
    <row r="96" spans="1:13" s="10" customFormat="1">
      <c r="A96" s="34" t="s">
        <v>409</v>
      </c>
      <c r="B96" s="34" t="s">
        <v>312</v>
      </c>
      <c r="C96" s="10">
        <v>898820</v>
      </c>
      <c r="D96" s="10">
        <v>161803</v>
      </c>
      <c r="E96" s="12" t="s">
        <v>13</v>
      </c>
      <c r="F96" s="43">
        <v>53</v>
      </c>
      <c r="G96" s="43">
        <v>0</v>
      </c>
      <c r="H96" s="43">
        <f>+F96+G96</f>
        <v>53</v>
      </c>
      <c r="I96" s="10" t="s">
        <v>33</v>
      </c>
      <c r="J96" s="10">
        <v>2018</v>
      </c>
      <c r="K96" s="10" t="s">
        <v>83</v>
      </c>
      <c r="L96" s="10" t="s">
        <v>84</v>
      </c>
      <c r="M96" s="34">
        <v>43395</v>
      </c>
    </row>
    <row r="97" spans="1:13" s="10" customFormat="1">
      <c r="A97" s="34" t="s">
        <v>409</v>
      </c>
      <c r="B97" s="34" t="s">
        <v>312</v>
      </c>
      <c r="C97" s="10">
        <v>899599</v>
      </c>
      <c r="D97" s="10">
        <v>161803</v>
      </c>
      <c r="E97" s="12" t="s">
        <v>13</v>
      </c>
      <c r="F97" s="43">
        <v>30</v>
      </c>
      <c r="G97" s="43">
        <v>0</v>
      </c>
      <c r="H97" s="43">
        <f>+F97+G97</f>
        <v>30</v>
      </c>
      <c r="I97" s="10" t="s">
        <v>33</v>
      </c>
      <c r="J97" s="10">
        <v>2018</v>
      </c>
      <c r="K97" s="10" t="s">
        <v>83</v>
      </c>
      <c r="L97" s="10" t="s">
        <v>85</v>
      </c>
      <c r="M97" s="34">
        <v>43398</v>
      </c>
    </row>
    <row r="98" spans="1:13" s="10" customFormat="1">
      <c r="A98" s="34" t="s">
        <v>409</v>
      </c>
      <c r="B98" s="34" t="s">
        <v>290</v>
      </c>
      <c r="C98" s="10">
        <v>2300846</v>
      </c>
      <c r="D98" s="10">
        <v>161803</v>
      </c>
      <c r="E98" s="12" t="s">
        <v>13</v>
      </c>
      <c r="F98" s="43">
        <v>60</v>
      </c>
      <c r="G98" s="43">
        <v>0</v>
      </c>
      <c r="H98" s="43">
        <f>+F98+G98</f>
        <v>60</v>
      </c>
      <c r="I98" s="10" t="s">
        <v>15</v>
      </c>
      <c r="J98" s="10">
        <v>2018</v>
      </c>
      <c r="K98" s="10" t="s">
        <v>83</v>
      </c>
      <c r="L98" s="10" t="s">
        <v>87</v>
      </c>
      <c r="M98" s="34">
        <v>43385</v>
      </c>
    </row>
    <row r="99" spans="1:13" s="10" customFormat="1">
      <c r="A99" s="34" t="s">
        <v>409</v>
      </c>
      <c r="B99" s="34" t="s">
        <v>290</v>
      </c>
      <c r="C99" s="10">
        <v>2327626</v>
      </c>
      <c r="D99" s="10">
        <v>161803</v>
      </c>
      <c r="E99" s="12" t="s">
        <v>13</v>
      </c>
      <c r="F99" s="43">
        <v>12</v>
      </c>
      <c r="G99" s="43">
        <v>0</v>
      </c>
      <c r="H99" s="43">
        <f>+F99+G99</f>
        <v>12</v>
      </c>
      <c r="I99" s="10" t="s">
        <v>15</v>
      </c>
      <c r="J99" s="10">
        <v>2018</v>
      </c>
      <c r="K99" s="10" t="s">
        <v>83</v>
      </c>
      <c r="L99" s="10" t="s">
        <v>88</v>
      </c>
      <c r="M99" s="34">
        <v>43439</v>
      </c>
    </row>
    <row r="100" spans="1:13" s="10" customFormat="1">
      <c r="A100" s="34"/>
      <c r="B100" s="34"/>
      <c r="E100" s="201" t="s">
        <v>387</v>
      </c>
      <c r="F100" s="112">
        <f>+SUM(F95:F99)</f>
        <v>161.48000000000002</v>
      </c>
      <c r="G100" s="112">
        <f t="shared" ref="G100:H100" si="31">+SUM(G95:G99)</f>
        <v>0</v>
      </c>
      <c r="H100" s="112">
        <f t="shared" si="31"/>
        <v>161.48000000000002</v>
      </c>
      <c r="M100" s="34"/>
    </row>
    <row r="101" spans="1:13" s="10" customFormat="1">
      <c r="A101" s="34" t="s">
        <v>407</v>
      </c>
      <c r="B101" s="34"/>
      <c r="E101" s="12"/>
      <c r="F101" s="112">
        <f>+F100+F94+F88+F76</f>
        <v>3994.8100000000004</v>
      </c>
      <c r="G101" s="112">
        <f t="shared" ref="G101:H101" si="32">+G100+G94+G88+G76</f>
        <v>0</v>
      </c>
      <c r="H101" s="112">
        <f t="shared" si="32"/>
        <v>3994.8100000000004</v>
      </c>
      <c r="M101" s="34"/>
    </row>
    <row r="102" spans="1:13" s="10" customFormat="1">
      <c r="A102" s="34"/>
      <c r="B102" s="34"/>
      <c r="E102" s="12"/>
      <c r="F102" s="43"/>
      <c r="G102" s="43"/>
      <c r="H102" s="43"/>
      <c r="M102" s="34"/>
    </row>
    <row r="103" spans="1:13" ht="13.5" thickBot="1">
      <c r="A103" s="11" t="s">
        <v>414</v>
      </c>
      <c r="F103" s="45">
        <f>+F101+F71+F47+F10</f>
        <v>399176.10000000003</v>
      </c>
      <c r="G103" s="45">
        <f>+G101+G71+G47+G10</f>
        <v>0</v>
      </c>
      <c r="H103" s="45">
        <f>+H101+H71+H47+H10</f>
        <v>399176.10000000003</v>
      </c>
    </row>
    <row r="104" spans="1:13" ht="13.5" thickTop="1"/>
  </sheetData>
  <sortState ref="A69:M79">
    <sortCondition ref="I69:I79"/>
  </sortState>
  <mergeCells count="3">
    <mergeCell ref="A1:L1"/>
    <mergeCell ref="A2:L2"/>
    <mergeCell ref="A3:L3"/>
  </mergeCells>
  <pageMargins left="0.7" right="0.7" top="0.75" bottom="0.75" header="0.3" footer="0.3"/>
  <pageSetup scale="58" fitToHeight="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78"/>
  <sheetViews>
    <sheetView zoomScale="60" zoomScaleNormal="60" workbookViewId="0">
      <pane ySplit="7" topLeftCell="A159" activePane="bottomLeft" state="frozen"/>
      <selection activeCell="H39" sqref="H39"/>
      <selection pane="bottomLeft" activeCell="H173" sqref="H173"/>
    </sheetView>
  </sheetViews>
  <sheetFormatPr defaultColWidth="19.28515625" defaultRowHeight="12.75"/>
  <cols>
    <col min="1" max="4" width="19.28515625" style="23"/>
    <col min="5" max="5" width="27.140625" style="23" bestFit="1" customWidth="1"/>
    <col min="6" max="6" width="19.28515625" style="13"/>
    <col min="7" max="7" width="19.28515625" style="143"/>
    <col min="8" max="9" width="19.28515625" style="24"/>
    <col min="10" max="10" width="10" style="24" bestFit="1" customWidth="1"/>
    <col min="11" max="16384" width="19.28515625" style="23"/>
  </cols>
  <sheetData>
    <row r="1" spans="1:34">
      <c r="A1" s="285" t="s">
        <v>309</v>
      </c>
      <c r="B1" s="285"/>
      <c r="C1" s="285"/>
      <c r="D1" s="285"/>
      <c r="E1" s="285"/>
      <c r="F1" s="285"/>
      <c r="G1" s="285"/>
      <c r="H1" s="285"/>
      <c r="I1" s="285"/>
      <c r="J1" s="285"/>
      <c r="K1" s="285"/>
      <c r="L1" s="285"/>
      <c r="M1" s="285"/>
    </row>
    <row r="2" spans="1:34">
      <c r="A2" s="285" t="s">
        <v>310</v>
      </c>
      <c r="B2" s="285"/>
      <c r="C2" s="285"/>
      <c r="D2" s="285"/>
      <c r="E2" s="285"/>
      <c r="F2" s="285"/>
      <c r="G2" s="285"/>
      <c r="H2" s="285"/>
      <c r="I2" s="285"/>
      <c r="J2" s="285"/>
      <c r="K2" s="285"/>
      <c r="L2" s="285"/>
      <c r="M2" s="285"/>
    </row>
    <row r="3" spans="1:34">
      <c r="A3" s="286" t="s">
        <v>434</v>
      </c>
      <c r="B3" s="286"/>
      <c r="C3" s="286"/>
      <c r="D3" s="286"/>
      <c r="E3" s="286"/>
      <c r="F3" s="286"/>
      <c r="G3" s="286"/>
      <c r="H3" s="286"/>
      <c r="I3" s="286"/>
      <c r="J3" s="286"/>
      <c r="K3" s="286"/>
      <c r="L3" s="286"/>
      <c r="M3" s="286"/>
    </row>
    <row r="6" spans="1:34">
      <c r="C6" s="150"/>
    </row>
    <row r="7" spans="1:34" s="148" customFormat="1" ht="34.5" customHeight="1" thickBot="1">
      <c r="A7" s="244" t="s">
        <v>1</v>
      </c>
      <c r="B7" s="244" t="s">
        <v>91</v>
      </c>
      <c r="C7" s="244" t="s">
        <v>0</v>
      </c>
      <c r="D7" s="244" t="s">
        <v>3</v>
      </c>
      <c r="E7" s="244" t="s">
        <v>4</v>
      </c>
      <c r="F7" s="245" t="s">
        <v>5</v>
      </c>
      <c r="G7" s="246" t="s">
        <v>6</v>
      </c>
      <c r="H7" s="245" t="s">
        <v>273</v>
      </c>
      <c r="I7" s="245" t="s">
        <v>420</v>
      </c>
      <c r="J7" s="245" t="s">
        <v>419</v>
      </c>
      <c r="K7" s="259" t="s">
        <v>93</v>
      </c>
      <c r="L7" s="244" t="s">
        <v>11</v>
      </c>
      <c r="M7" s="244" t="s">
        <v>12</v>
      </c>
      <c r="N7" s="244" t="s">
        <v>8</v>
      </c>
      <c r="O7" s="244" t="s">
        <v>35</v>
      </c>
    </row>
    <row r="8" spans="1:34" s="117" customFormat="1" ht="13.5" thickTop="1">
      <c r="A8" s="204" t="s">
        <v>111</v>
      </c>
      <c r="B8" s="204" t="s">
        <v>111</v>
      </c>
      <c r="C8" s="209" t="s">
        <v>123</v>
      </c>
      <c r="D8" s="209" t="s">
        <v>120</v>
      </c>
      <c r="E8" s="209" t="s">
        <v>25</v>
      </c>
      <c r="F8" s="231">
        <v>172</v>
      </c>
      <c r="G8" s="141">
        <v>0</v>
      </c>
      <c r="H8" s="157">
        <f t="shared" ref="H8:H13" si="0">+F8+G8</f>
        <v>172</v>
      </c>
      <c r="I8" s="157">
        <f t="shared" ref="I8:I13" si="1">+H8</f>
        <v>172</v>
      </c>
      <c r="J8" s="227">
        <f t="shared" ref="J8:J13" si="2">+I8/H8</f>
        <v>1</v>
      </c>
      <c r="L8" s="209">
        <v>2008</v>
      </c>
      <c r="M8" s="209">
        <v>4</v>
      </c>
      <c r="N8" s="209" t="s">
        <v>124</v>
      </c>
      <c r="O8" s="210">
        <v>39545</v>
      </c>
    </row>
    <row r="9" spans="1:34" s="117" customFormat="1">
      <c r="A9" s="204" t="s">
        <v>111</v>
      </c>
      <c r="B9" s="204" t="s">
        <v>111</v>
      </c>
      <c r="C9" s="209" t="s">
        <v>125</v>
      </c>
      <c r="D9" s="209" t="s">
        <v>120</v>
      </c>
      <c r="E9" s="209" t="s">
        <v>25</v>
      </c>
      <c r="F9" s="231">
        <v>710.5</v>
      </c>
      <c r="G9" s="141">
        <v>0</v>
      </c>
      <c r="H9" s="157">
        <f t="shared" si="0"/>
        <v>710.5</v>
      </c>
      <c r="I9" s="157">
        <f t="shared" si="1"/>
        <v>710.5</v>
      </c>
      <c r="J9" s="227">
        <f t="shared" si="2"/>
        <v>1</v>
      </c>
      <c r="L9" s="209">
        <v>2008</v>
      </c>
      <c r="M9" s="209">
        <v>4</v>
      </c>
      <c r="N9" s="209" t="s">
        <v>119</v>
      </c>
      <c r="O9" s="210">
        <v>39545</v>
      </c>
    </row>
    <row r="10" spans="1:34" s="181" customFormat="1">
      <c r="A10" s="204" t="s">
        <v>111</v>
      </c>
      <c r="B10" s="204" t="s">
        <v>111</v>
      </c>
      <c r="C10" s="209" t="s">
        <v>126</v>
      </c>
      <c r="D10" s="209" t="s">
        <v>120</v>
      </c>
      <c r="E10" s="209" t="s">
        <v>25</v>
      </c>
      <c r="F10" s="231">
        <v>4283.46</v>
      </c>
      <c r="G10" s="141">
        <v>0</v>
      </c>
      <c r="H10" s="157">
        <f t="shared" si="0"/>
        <v>4283.46</v>
      </c>
      <c r="I10" s="157">
        <f t="shared" si="1"/>
        <v>4283.46</v>
      </c>
      <c r="J10" s="227">
        <f t="shared" si="2"/>
        <v>1</v>
      </c>
      <c r="L10" s="209">
        <v>2008</v>
      </c>
      <c r="M10" s="209">
        <v>4</v>
      </c>
      <c r="N10" s="209" t="s">
        <v>119</v>
      </c>
      <c r="O10" s="210">
        <v>39545</v>
      </c>
      <c r="P10" s="117"/>
      <c r="Q10" s="117"/>
      <c r="R10" s="117"/>
      <c r="S10" s="117"/>
      <c r="T10" s="117"/>
      <c r="U10" s="117"/>
      <c r="V10" s="117"/>
      <c r="W10" s="117"/>
      <c r="X10" s="117"/>
      <c r="Y10" s="117"/>
      <c r="Z10" s="117"/>
      <c r="AA10" s="117"/>
      <c r="AB10" s="117"/>
      <c r="AC10" s="117"/>
      <c r="AD10" s="117"/>
      <c r="AE10" s="117"/>
      <c r="AF10" s="117"/>
      <c r="AG10" s="117"/>
      <c r="AH10" s="117"/>
    </row>
    <row r="11" spans="1:34" s="117" customFormat="1">
      <c r="A11" s="204" t="s">
        <v>111</v>
      </c>
      <c r="B11" s="204" t="s">
        <v>111</v>
      </c>
      <c r="C11" s="209" t="s">
        <v>127</v>
      </c>
      <c r="D11" s="209" t="s">
        <v>120</v>
      </c>
      <c r="E11" s="209" t="s">
        <v>25</v>
      </c>
      <c r="F11" s="231">
        <v>203</v>
      </c>
      <c r="G11" s="141">
        <v>0</v>
      </c>
      <c r="H11" s="157">
        <f t="shared" si="0"/>
        <v>203</v>
      </c>
      <c r="I11" s="157">
        <f t="shared" si="1"/>
        <v>203</v>
      </c>
      <c r="J11" s="227">
        <f t="shared" si="2"/>
        <v>1</v>
      </c>
      <c r="L11" s="209">
        <v>2008</v>
      </c>
      <c r="M11" s="209">
        <v>4</v>
      </c>
      <c r="N11" s="209" t="s">
        <v>119</v>
      </c>
      <c r="O11" s="210">
        <v>39504</v>
      </c>
    </row>
    <row r="12" spans="1:34">
      <c r="A12" s="204" t="s">
        <v>111</v>
      </c>
      <c r="B12" s="204" t="s">
        <v>111</v>
      </c>
      <c r="C12" s="209" t="s">
        <v>118</v>
      </c>
      <c r="D12" s="209" t="s">
        <v>120</v>
      </c>
      <c r="E12" s="209" t="s">
        <v>25</v>
      </c>
      <c r="F12" s="231">
        <v>29331.96</v>
      </c>
      <c r="G12" s="141">
        <v>0</v>
      </c>
      <c r="H12" s="157">
        <f t="shared" si="0"/>
        <v>29331.96</v>
      </c>
      <c r="I12" s="157">
        <f t="shared" si="1"/>
        <v>29331.96</v>
      </c>
      <c r="J12" s="227">
        <f t="shared" si="2"/>
        <v>1</v>
      </c>
      <c r="L12" s="209">
        <v>2008</v>
      </c>
      <c r="M12" s="209">
        <v>4</v>
      </c>
      <c r="N12" s="209" t="s">
        <v>119</v>
      </c>
      <c r="O12" s="210">
        <v>39521</v>
      </c>
      <c r="P12" s="117"/>
      <c r="Q12" s="117"/>
      <c r="R12" s="117"/>
      <c r="S12" s="117"/>
      <c r="T12" s="117"/>
      <c r="U12" s="117"/>
      <c r="V12" s="117"/>
      <c r="W12" s="117"/>
      <c r="X12" s="117"/>
      <c r="Y12" s="117"/>
      <c r="Z12" s="117"/>
      <c r="AA12" s="117"/>
      <c r="AB12" s="117"/>
      <c r="AC12" s="117"/>
      <c r="AD12" s="117"/>
      <c r="AE12" s="117"/>
      <c r="AF12" s="117"/>
      <c r="AG12" s="117"/>
      <c r="AH12" s="117"/>
    </row>
    <row r="13" spans="1:34" s="117" customFormat="1">
      <c r="A13" s="204" t="s">
        <v>111</v>
      </c>
      <c r="B13" s="204" t="s">
        <v>111</v>
      </c>
      <c r="C13" s="209" t="s">
        <v>121</v>
      </c>
      <c r="D13" s="209" t="s">
        <v>120</v>
      </c>
      <c r="E13" s="209" t="s">
        <v>25</v>
      </c>
      <c r="F13" s="231">
        <v>23391.38</v>
      </c>
      <c r="G13" s="141">
        <v>0</v>
      </c>
      <c r="H13" s="157">
        <f t="shared" si="0"/>
        <v>23391.38</v>
      </c>
      <c r="I13" s="157">
        <f t="shared" si="1"/>
        <v>23391.38</v>
      </c>
      <c r="J13" s="227">
        <f t="shared" si="2"/>
        <v>1</v>
      </c>
      <c r="L13" s="209">
        <v>2008</v>
      </c>
      <c r="M13" s="209">
        <v>4</v>
      </c>
      <c r="N13" s="209" t="s">
        <v>122</v>
      </c>
      <c r="O13" s="210">
        <v>39545</v>
      </c>
    </row>
    <row r="14" spans="1:34" s="117" customFormat="1">
      <c r="A14" s="204"/>
      <c r="B14" s="204"/>
      <c r="C14" s="209"/>
      <c r="D14" s="209"/>
      <c r="E14" s="209" t="s">
        <v>387</v>
      </c>
      <c r="F14" s="241">
        <f>+SUM(F8:F13)</f>
        <v>58092.3</v>
      </c>
      <c r="G14" s="140">
        <f t="shared" ref="G14:I14" si="3">+SUM(G8:G13)</f>
        <v>0</v>
      </c>
      <c r="H14" s="128">
        <f t="shared" si="3"/>
        <v>58092.3</v>
      </c>
      <c r="I14" s="128">
        <f t="shared" si="3"/>
        <v>58092.3</v>
      </c>
      <c r="J14" s="227"/>
      <c r="L14" s="209"/>
      <c r="M14" s="209"/>
      <c r="N14" s="209"/>
      <c r="O14" s="210"/>
    </row>
    <row r="15" spans="1:34" s="117" customFormat="1">
      <c r="A15" s="204" t="s">
        <v>111</v>
      </c>
      <c r="B15" s="204" t="s">
        <v>111</v>
      </c>
      <c r="C15" s="209" t="s">
        <v>146</v>
      </c>
      <c r="D15" s="209" t="s">
        <v>120</v>
      </c>
      <c r="E15" s="209" t="s">
        <v>25</v>
      </c>
      <c r="F15" s="231">
        <v>7111</v>
      </c>
      <c r="G15" s="141">
        <v>0</v>
      </c>
      <c r="H15" s="157">
        <f>+F15+G15</f>
        <v>7111</v>
      </c>
      <c r="I15" s="157">
        <f>+H15</f>
        <v>7111</v>
      </c>
      <c r="J15" s="227">
        <f>+I15/H15</f>
        <v>1</v>
      </c>
      <c r="L15" s="209">
        <v>2008</v>
      </c>
      <c r="M15" s="209">
        <v>5</v>
      </c>
      <c r="N15" s="209" t="s">
        <v>147</v>
      </c>
      <c r="O15" s="210">
        <v>39580</v>
      </c>
    </row>
    <row r="16" spans="1:34" s="117" customFormat="1">
      <c r="A16" s="204"/>
      <c r="B16" s="204"/>
      <c r="C16" s="209"/>
      <c r="D16" s="209"/>
      <c r="E16" s="209" t="s">
        <v>387</v>
      </c>
      <c r="F16" s="241">
        <f>+F15</f>
        <v>7111</v>
      </c>
      <c r="G16" s="140">
        <f t="shared" ref="G16:I16" si="4">+G15</f>
        <v>0</v>
      </c>
      <c r="H16" s="128">
        <f t="shared" si="4"/>
        <v>7111</v>
      </c>
      <c r="I16" s="128">
        <f t="shared" si="4"/>
        <v>7111</v>
      </c>
      <c r="J16" s="227"/>
      <c r="L16" s="209"/>
      <c r="M16" s="209"/>
      <c r="N16" s="209"/>
      <c r="O16" s="210"/>
    </row>
    <row r="17" spans="1:15" s="117" customFormat="1">
      <c r="A17" s="204" t="s">
        <v>111</v>
      </c>
      <c r="B17" s="204" t="s">
        <v>111</v>
      </c>
      <c r="C17" s="209" t="s">
        <v>144</v>
      </c>
      <c r="D17" s="209" t="s">
        <v>120</v>
      </c>
      <c r="E17" s="209" t="s">
        <v>25</v>
      </c>
      <c r="F17" s="231">
        <v>7535.9</v>
      </c>
      <c r="G17" s="141">
        <v>0</v>
      </c>
      <c r="H17" s="157">
        <f>+F17+G17</f>
        <v>7535.9</v>
      </c>
      <c r="I17" s="157">
        <f>+H17</f>
        <v>7535.9</v>
      </c>
      <c r="J17" s="227">
        <f>+I17/H17</f>
        <v>1</v>
      </c>
      <c r="L17" s="209">
        <v>2008</v>
      </c>
      <c r="M17" s="209">
        <v>6</v>
      </c>
      <c r="N17" s="209" t="s">
        <v>145</v>
      </c>
      <c r="O17" s="210">
        <v>39610</v>
      </c>
    </row>
    <row r="18" spans="1:15" s="117" customFormat="1">
      <c r="A18" s="204"/>
      <c r="B18" s="204"/>
      <c r="C18" s="209"/>
      <c r="D18" s="209"/>
      <c r="E18" s="209" t="s">
        <v>387</v>
      </c>
      <c r="F18" s="241">
        <f>+F17</f>
        <v>7535.9</v>
      </c>
      <c r="G18" s="140">
        <f t="shared" ref="G18:I18" si="5">+G17</f>
        <v>0</v>
      </c>
      <c r="H18" s="128">
        <f t="shared" si="5"/>
        <v>7535.9</v>
      </c>
      <c r="I18" s="128">
        <f t="shared" si="5"/>
        <v>7535.9</v>
      </c>
      <c r="J18" s="227"/>
      <c r="L18" s="209"/>
      <c r="M18" s="209"/>
      <c r="N18" s="209"/>
      <c r="O18" s="210"/>
    </row>
    <row r="19" spans="1:15" s="117" customFormat="1">
      <c r="A19" s="204" t="s">
        <v>111</v>
      </c>
      <c r="B19" s="204" t="s">
        <v>111</v>
      </c>
      <c r="C19" s="203" t="s">
        <v>148</v>
      </c>
      <c r="D19" s="203" t="s">
        <v>120</v>
      </c>
      <c r="E19" s="203" t="s">
        <v>25</v>
      </c>
      <c r="F19" s="221">
        <v>2266.6</v>
      </c>
      <c r="G19" s="141">
        <v>0</v>
      </c>
      <c r="H19" s="157">
        <f>+F19+G19</f>
        <v>2266.6</v>
      </c>
      <c r="I19" s="157">
        <f>+H19</f>
        <v>2266.6</v>
      </c>
      <c r="J19" s="227">
        <f>+I19/H19</f>
        <v>1</v>
      </c>
      <c r="L19" s="204">
        <v>2008</v>
      </c>
      <c r="M19" s="204">
        <v>8</v>
      </c>
      <c r="N19" s="203" t="s">
        <v>149</v>
      </c>
      <c r="O19" s="205">
        <v>39626</v>
      </c>
    </row>
    <row r="20" spans="1:15" s="117" customFormat="1">
      <c r="A20" s="204" t="s">
        <v>111</v>
      </c>
      <c r="B20" s="204" t="s">
        <v>111</v>
      </c>
      <c r="C20" s="203" t="s">
        <v>150</v>
      </c>
      <c r="D20" s="203" t="s">
        <v>120</v>
      </c>
      <c r="E20" s="203" t="s">
        <v>25</v>
      </c>
      <c r="F20" s="221">
        <v>23391.38</v>
      </c>
      <c r="G20" s="141">
        <v>0</v>
      </c>
      <c r="H20" s="157">
        <f>+F20+G20</f>
        <v>23391.38</v>
      </c>
      <c r="I20" s="157">
        <f>+H20</f>
        <v>23391.38</v>
      </c>
      <c r="J20" s="227">
        <f>+I20/H20</f>
        <v>1</v>
      </c>
      <c r="L20" s="204">
        <v>2008</v>
      </c>
      <c r="M20" s="204">
        <v>8</v>
      </c>
      <c r="N20" s="203" t="s">
        <v>151</v>
      </c>
      <c r="O20" s="205">
        <v>39545</v>
      </c>
    </row>
    <row r="21" spans="1:15" s="117" customFormat="1">
      <c r="A21" s="204"/>
      <c r="B21" s="204"/>
      <c r="C21" s="203"/>
      <c r="D21" s="203"/>
      <c r="E21" s="209" t="s">
        <v>387</v>
      </c>
      <c r="F21" s="240">
        <f>+F20+F19</f>
        <v>25657.98</v>
      </c>
      <c r="G21" s="140">
        <f t="shared" ref="G21:I21" si="6">+G20+G19</f>
        <v>0</v>
      </c>
      <c r="H21" s="129">
        <f t="shared" si="6"/>
        <v>25657.98</v>
      </c>
      <c r="I21" s="129">
        <f t="shared" si="6"/>
        <v>25657.98</v>
      </c>
      <c r="J21" s="227"/>
      <c r="L21" s="204"/>
      <c r="M21" s="204"/>
      <c r="N21" s="203"/>
      <c r="O21" s="205"/>
    </row>
    <row r="22" spans="1:15" s="117" customFormat="1">
      <c r="A22" s="203" t="s">
        <v>111</v>
      </c>
      <c r="B22" s="203" t="s">
        <v>111</v>
      </c>
      <c r="C22" s="203" t="s">
        <v>156</v>
      </c>
      <c r="D22" s="203" t="s">
        <v>120</v>
      </c>
      <c r="E22" s="203" t="s">
        <v>25</v>
      </c>
      <c r="F22" s="221">
        <v>1371.85</v>
      </c>
      <c r="G22" s="141">
        <v>0</v>
      </c>
      <c r="H22" s="157">
        <f>+F22+G22</f>
        <v>1371.85</v>
      </c>
      <c r="I22" s="157">
        <f>+H22</f>
        <v>1371.85</v>
      </c>
      <c r="J22" s="227">
        <f>+I22/H22</f>
        <v>1</v>
      </c>
      <c r="L22" s="204">
        <v>2008</v>
      </c>
      <c r="M22" s="204">
        <v>9</v>
      </c>
      <c r="N22" s="203" t="s">
        <v>157</v>
      </c>
      <c r="O22" s="205">
        <v>39675</v>
      </c>
    </row>
    <row r="23" spans="1:15" s="117" customFormat="1">
      <c r="A23" s="203"/>
      <c r="B23" s="203"/>
      <c r="C23" s="203"/>
      <c r="D23" s="203"/>
      <c r="E23" s="209" t="s">
        <v>387</v>
      </c>
      <c r="F23" s="240">
        <f>+F22</f>
        <v>1371.85</v>
      </c>
      <c r="G23" s="140">
        <f t="shared" ref="G23:I23" si="7">+G22</f>
        <v>0</v>
      </c>
      <c r="H23" s="129">
        <f t="shared" si="7"/>
        <v>1371.85</v>
      </c>
      <c r="I23" s="129">
        <f t="shared" si="7"/>
        <v>1371.85</v>
      </c>
      <c r="J23" s="227"/>
      <c r="L23" s="204"/>
      <c r="M23" s="204"/>
      <c r="N23" s="203"/>
      <c r="O23" s="205"/>
    </row>
    <row r="24" spans="1:15" s="117" customFormat="1">
      <c r="A24" s="203" t="s">
        <v>111</v>
      </c>
      <c r="B24" s="203" t="s">
        <v>111</v>
      </c>
      <c r="C24" s="203" t="s">
        <v>162</v>
      </c>
      <c r="D24" s="203" t="s">
        <v>120</v>
      </c>
      <c r="E24" s="203" t="s">
        <v>25</v>
      </c>
      <c r="F24" s="221">
        <v>8434.58</v>
      </c>
      <c r="G24" s="141">
        <v>0</v>
      </c>
      <c r="H24" s="157">
        <f>+F24+G24</f>
        <v>8434.58</v>
      </c>
      <c r="I24" s="157">
        <f>+H24</f>
        <v>8434.58</v>
      </c>
      <c r="J24" s="227">
        <f>+I24/H24</f>
        <v>1</v>
      </c>
      <c r="L24" s="204">
        <v>2008</v>
      </c>
      <c r="M24" s="204">
        <v>10</v>
      </c>
      <c r="N24" s="203" t="s">
        <v>119</v>
      </c>
      <c r="O24" s="205">
        <v>39713</v>
      </c>
    </row>
    <row r="25" spans="1:15" s="117" customFormat="1">
      <c r="A25" s="203"/>
      <c r="B25" s="203"/>
      <c r="C25" s="203"/>
      <c r="D25" s="203"/>
      <c r="E25" s="209" t="s">
        <v>387</v>
      </c>
      <c r="F25" s="240">
        <f>+F24</f>
        <v>8434.58</v>
      </c>
      <c r="G25" s="140">
        <f t="shared" ref="G25:I25" si="8">+G24</f>
        <v>0</v>
      </c>
      <c r="H25" s="129">
        <f t="shared" si="8"/>
        <v>8434.58</v>
      </c>
      <c r="I25" s="129">
        <f t="shared" si="8"/>
        <v>8434.58</v>
      </c>
      <c r="J25" s="227"/>
      <c r="L25" s="204"/>
      <c r="M25" s="204"/>
      <c r="N25" s="203"/>
      <c r="O25" s="205"/>
    </row>
    <row r="26" spans="1:15" s="117" customFormat="1">
      <c r="A26" s="211" t="s">
        <v>111</v>
      </c>
      <c r="B26" s="211" t="s">
        <v>111</v>
      </c>
      <c r="C26" s="211" t="s">
        <v>173</v>
      </c>
      <c r="D26" s="211" t="s">
        <v>120</v>
      </c>
      <c r="E26" s="211" t="s">
        <v>25</v>
      </c>
      <c r="F26" s="221">
        <v>789.79</v>
      </c>
      <c r="G26" s="141">
        <v>0</v>
      </c>
      <c r="H26" s="157">
        <f>+F26+G26</f>
        <v>789.79</v>
      </c>
      <c r="I26" s="157">
        <f>+H26</f>
        <v>789.79</v>
      </c>
      <c r="J26" s="227">
        <f>+I26/H26</f>
        <v>1</v>
      </c>
      <c r="L26" s="212">
        <v>2008</v>
      </c>
      <c r="M26" s="212">
        <v>12</v>
      </c>
      <c r="N26" s="211" t="s">
        <v>119</v>
      </c>
      <c r="O26" s="213">
        <v>39773</v>
      </c>
    </row>
    <row r="27" spans="1:15" s="117" customFormat="1">
      <c r="A27" s="211"/>
      <c r="B27" s="211"/>
      <c r="C27" s="211"/>
      <c r="D27" s="211"/>
      <c r="E27" s="209" t="s">
        <v>387</v>
      </c>
      <c r="F27" s="240">
        <f>+F26</f>
        <v>789.79</v>
      </c>
      <c r="G27" s="140">
        <f t="shared" ref="G27:I27" si="9">+G26</f>
        <v>0</v>
      </c>
      <c r="H27" s="129">
        <f t="shared" si="9"/>
        <v>789.79</v>
      </c>
      <c r="I27" s="129">
        <f t="shared" si="9"/>
        <v>789.79</v>
      </c>
      <c r="J27" s="227"/>
      <c r="L27" s="212"/>
      <c r="M27" s="212"/>
      <c r="N27" s="211"/>
      <c r="O27" s="213"/>
    </row>
    <row r="28" spans="1:15" s="117" customFormat="1">
      <c r="A28" s="206" t="s">
        <v>111</v>
      </c>
      <c r="B28" s="206" t="s">
        <v>111</v>
      </c>
      <c r="C28" s="206" t="s">
        <v>180</v>
      </c>
      <c r="D28" s="206" t="s">
        <v>120</v>
      </c>
      <c r="E28" s="206" t="s">
        <v>25</v>
      </c>
      <c r="F28" s="221">
        <v>25394.37</v>
      </c>
      <c r="G28" s="141">
        <v>0</v>
      </c>
      <c r="H28" s="157">
        <f>+F28+G28</f>
        <v>25394.37</v>
      </c>
      <c r="I28" s="157">
        <f>+H28</f>
        <v>25394.37</v>
      </c>
      <c r="J28" s="227">
        <f>+I28/H28</f>
        <v>1</v>
      </c>
      <c r="L28" s="207">
        <v>2009</v>
      </c>
      <c r="M28" s="207">
        <v>1</v>
      </c>
      <c r="N28" s="206" t="s">
        <v>181</v>
      </c>
      <c r="O28" s="208">
        <v>39822</v>
      </c>
    </row>
    <row r="29" spans="1:15" s="117" customFormat="1">
      <c r="A29" s="206" t="s">
        <v>111</v>
      </c>
      <c r="B29" s="206" t="s">
        <v>111</v>
      </c>
      <c r="C29" s="206" t="s">
        <v>182</v>
      </c>
      <c r="D29" s="206" t="s">
        <v>120</v>
      </c>
      <c r="E29" s="206" t="s">
        <v>25</v>
      </c>
      <c r="F29" s="221">
        <v>24209.3</v>
      </c>
      <c r="G29" s="141">
        <v>0</v>
      </c>
      <c r="H29" s="157">
        <f>+F29+G29</f>
        <v>24209.3</v>
      </c>
      <c r="I29" s="157">
        <f>+H29</f>
        <v>24209.3</v>
      </c>
      <c r="J29" s="227">
        <f>+I29/H29</f>
        <v>1</v>
      </c>
      <c r="L29" s="207">
        <v>2009</v>
      </c>
      <c r="M29" s="207">
        <v>1</v>
      </c>
      <c r="N29" s="206" t="s">
        <v>183</v>
      </c>
      <c r="O29" s="208">
        <v>39794</v>
      </c>
    </row>
    <row r="30" spans="1:15" s="117" customFormat="1">
      <c r="A30" s="206"/>
      <c r="B30" s="206"/>
      <c r="C30" s="206"/>
      <c r="D30" s="206"/>
      <c r="E30" s="209" t="s">
        <v>387</v>
      </c>
      <c r="F30" s="240">
        <f>+F29+F28</f>
        <v>49603.67</v>
      </c>
      <c r="G30" s="140">
        <f t="shared" ref="G30:I30" si="10">+G29+G28</f>
        <v>0</v>
      </c>
      <c r="H30" s="129">
        <f t="shared" si="10"/>
        <v>49603.67</v>
      </c>
      <c r="I30" s="129">
        <f t="shared" si="10"/>
        <v>49603.67</v>
      </c>
      <c r="J30" s="227"/>
      <c r="L30" s="207"/>
      <c r="M30" s="207"/>
      <c r="N30" s="206"/>
      <c r="O30" s="208"/>
    </row>
    <row r="31" spans="1:15" s="117" customFormat="1">
      <c r="A31" s="206" t="s">
        <v>111</v>
      </c>
      <c r="B31" s="206" t="s">
        <v>111</v>
      </c>
      <c r="C31" s="206" t="s">
        <v>188</v>
      </c>
      <c r="D31" s="206" t="s">
        <v>120</v>
      </c>
      <c r="E31" s="206" t="s">
        <v>25</v>
      </c>
      <c r="F31" s="221">
        <v>16687.22</v>
      </c>
      <c r="G31" s="141">
        <v>0</v>
      </c>
      <c r="H31" s="157">
        <f>+F31+G31</f>
        <v>16687.22</v>
      </c>
      <c r="I31" s="157">
        <f>+H31</f>
        <v>16687.22</v>
      </c>
      <c r="J31" s="227">
        <f>+I31/H31</f>
        <v>1</v>
      </c>
      <c r="L31" s="207">
        <v>2009</v>
      </c>
      <c r="M31" s="207">
        <v>3</v>
      </c>
      <c r="N31" s="206" t="s">
        <v>119</v>
      </c>
      <c r="O31" s="208">
        <v>39840</v>
      </c>
    </row>
    <row r="32" spans="1:15" s="117" customFormat="1">
      <c r="A32" s="206"/>
      <c r="B32" s="206"/>
      <c r="C32" s="206"/>
      <c r="D32" s="206"/>
      <c r="E32" s="209" t="s">
        <v>387</v>
      </c>
      <c r="F32" s="240">
        <f>+F31</f>
        <v>16687.22</v>
      </c>
      <c r="G32" s="140">
        <f t="shared" ref="G32:I32" si="11">+G31</f>
        <v>0</v>
      </c>
      <c r="H32" s="129">
        <f t="shared" si="11"/>
        <v>16687.22</v>
      </c>
      <c r="I32" s="129">
        <f t="shared" si="11"/>
        <v>16687.22</v>
      </c>
      <c r="J32" s="227"/>
      <c r="L32" s="207"/>
      <c r="M32" s="207"/>
      <c r="N32" s="206"/>
      <c r="O32" s="208"/>
    </row>
    <row r="33" spans="1:34" s="117" customFormat="1">
      <c r="A33" s="206" t="s">
        <v>111</v>
      </c>
      <c r="B33" s="206" t="s">
        <v>111</v>
      </c>
      <c r="C33" s="206" t="s">
        <v>191</v>
      </c>
      <c r="D33" s="206" t="s">
        <v>120</v>
      </c>
      <c r="E33" s="206" t="s">
        <v>25</v>
      </c>
      <c r="F33" s="221">
        <v>2127.9</v>
      </c>
      <c r="G33" s="141">
        <v>0</v>
      </c>
      <c r="H33" s="157">
        <f>+F33+G33</f>
        <v>2127.9</v>
      </c>
      <c r="I33" s="157">
        <f>+H33</f>
        <v>2127.9</v>
      </c>
      <c r="J33" s="227">
        <f>+I33/H33</f>
        <v>1</v>
      </c>
      <c r="L33" s="207">
        <v>2009</v>
      </c>
      <c r="M33" s="207">
        <v>4</v>
      </c>
      <c r="N33" s="206" t="s">
        <v>192</v>
      </c>
      <c r="O33" s="208">
        <v>39884</v>
      </c>
    </row>
    <row r="34" spans="1:34" s="117" customFormat="1">
      <c r="A34" s="206" t="s">
        <v>111</v>
      </c>
      <c r="B34" s="206" t="s">
        <v>111</v>
      </c>
      <c r="C34" s="206" t="s">
        <v>193</v>
      </c>
      <c r="D34" s="206" t="s">
        <v>120</v>
      </c>
      <c r="E34" s="206" t="s">
        <v>25</v>
      </c>
      <c r="F34" s="221">
        <v>1067.25</v>
      </c>
      <c r="G34" s="141">
        <v>0</v>
      </c>
      <c r="H34" s="157">
        <f>+F34+G34</f>
        <v>1067.25</v>
      </c>
      <c r="I34" s="157">
        <f>+H34</f>
        <v>1067.25</v>
      </c>
      <c r="J34" s="227">
        <f>+I34/H34</f>
        <v>1</v>
      </c>
      <c r="L34" s="207">
        <v>2009</v>
      </c>
      <c r="M34" s="207">
        <v>4</v>
      </c>
      <c r="N34" s="206" t="s">
        <v>119</v>
      </c>
      <c r="O34" s="208">
        <v>39869</v>
      </c>
    </row>
    <row r="35" spans="1:34" s="117" customFormat="1">
      <c r="A35" s="206"/>
      <c r="B35" s="206"/>
      <c r="C35" s="206"/>
      <c r="D35" s="206"/>
      <c r="E35" s="209" t="s">
        <v>387</v>
      </c>
      <c r="F35" s="240">
        <f>+F34+F33</f>
        <v>3195.15</v>
      </c>
      <c r="G35" s="140">
        <f t="shared" ref="G35:I35" si="12">+G34+G33</f>
        <v>0</v>
      </c>
      <c r="H35" s="129">
        <f t="shared" si="12"/>
        <v>3195.15</v>
      </c>
      <c r="I35" s="129">
        <f t="shared" si="12"/>
        <v>3195.15</v>
      </c>
      <c r="J35" s="227"/>
      <c r="L35" s="207"/>
      <c r="M35" s="207"/>
      <c r="N35" s="206"/>
      <c r="O35" s="208"/>
    </row>
    <row r="36" spans="1:34" s="117" customFormat="1">
      <c r="A36" s="203" t="s">
        <v>111</v>
      </c>
      <c r="B36" s="203" t="s">
        <v>111</v>
      </c>
      <c r="C36" s="203" t="s">
        <v>258</v>
      </c>
      <c r="D36" s="203" t="s">
        <v>120</v>
      </c>
      <c r="E36" s="203" t="s">
        <v>25</v>
      </c>
      <c r="F36" s="221">
        <v>703.5</v>
      </c>
      <c r="G36" s="141">
        <v>0</v>
      </c>
      <c r="H36" s="157">
        <f t="shared" ref="H36:H41" si="13">+F36+G36</f>
        <v>703.5</v>
      </c>
      <c r="I36" s="157">
        <f t="shared" ref="I36:I41" si="14">+H36</f>
        <v>703.5</v>
      </c>
      <c r="J36" s="227">
        <f t="shared" ref="J36:J41" si="15">+I36/H36</f>
        <v>1</v>
      </c>
      <c r="L36" s="204">
        <v>2009</v>
      </c>
      <c r="M36" s="204">
        <v>5</v>
      </c>
      <c r="N36" s="203" t="s">
        <v>259</v>
      </c>
      <c r="O36" s="205">
        <v>39798</v>
      </c>
    </row>
    <row r="37" spans="1:34" s="117" customFormat="1">
      <c r="A37" s="203" t="s">
        <v>111</v>
      </c>
      <c r="B37" s="203" t="s">
        <v>111</v>
      </c>
      <c r="C37" s="203" t="s">
        <v>260</v>
      </c>
      <c r="D37" s="203" t="s">
        <v>120</v>
      </c>
      <c r="E37" s="203" t="s">
        <v>25</v>
      </c>
      <c r="F37" s="221">
        <v>1962.96</v>
      </c>
      <c r="G37" s="141">
        <v>0</v>
      </c>
      <c r="H37" s="157">
        <f t="shared" si="13"/>
        <v>1962.96</v>
      </c>
      <c r="I37" s="157">
        <f t="shared" si="14"/>
        <v>1962.96</v>
      </c>
      <c r="J37" s="227">
        <f t="shared" si="15"/>
        <v>1</v>
      </c>
      <c r="L37" s="204">
        <v>2009</v>
      </c>
      <c r="M37" s="204">
        <v>5</v>
      </c>
      <c r="N37" s="203" t="s">
        <v>259</v>
      </c>
      <c r="O37" s="205">
        <v>39610</v>
      </c>
    </row>
    <row r="38" spans="1:34" s="117" customFormat="1">
      <c r="A38" s="203" t="s">
        <v>111</v>
      </c>
      <c r="B38" s="203" t="s">
        <v>111</v>
      </c>
      <c r="C38" s="203" t="s">
        <v>261</v>
      </c>
      <c r="D38" s="203" t="s">
        <v>120</v>
      </c>
      <c r="E38" s="203" t="s">
        <v>25</v>
      </c>
      <c r="F38" s="221">
        <v>1526.81</v>
      </c>
      <c r="G38" s="141">
        <v>0</v>
      </c>
      <c r="H38" s="157">
        <f t="shared" si="13"/>
        <v>1526.81</v>
      </c>
      <c r="I38" s="157">
        <f t="shared" si="14"/>
        <v>1526.81</v>
      </c>
      <c r="J38" s="227">
        <f t="shared" si="15"/>
        <v>1</v>
      </c>
      <c r="L38" s="204">
        <v>2009</v>
      </c>
      <c r="M38" s="204">
        <v>5</v>
      </c>
      <c r="N38" s="203" t="s">
        <v>259</v>
      </c>
      <c r="O38" s="205">
        <v>39580</v>
      </c>
    </row>
    <row r="39" spans="1:34" s="117" customFormat="1">
      <c r="A39" s="203" t="s">
        <v>111</v>
      </c>
      <c r="B39" s="203" t="s">
        <v>111</v>
      </c>
      <c r="C39" s="203" t="s">
        <v>262</v>
      </c>
      <c r="D39" s="203" t="s">
        <v>120</v>
      </c>
      <c r="E39" s="203" t="s">
        <v>25</v>
      </c>
      <c r="F39" s="221">
        <v>478.5</v>
      </c>
      <c r="G39" s="141">
        <v>0</v>
      </c>
      <c r="H39" s="157">
        <f t="shared" si="13"/>
        <v>478.5</v>
      </c>
      <c r="I39" s="157">
        <f t="shared" si="14"/>
        <v>478.5</v>
      </c>
      <c r="J39" s="227">
        <f t="shared" si="15"/>
        <v>1</v>
      </c>
      <c r="L39" s="204">
        <v>2009</v>
      </c>
      <c r="M39" s="204">
        <v>5</v>
      </c>
      <c r="N39" s="203" t="s">
        <v>259</v>
      </c>
      <c r="O39" s="205">
        <v>39840</v>
      </c>
    </row>
    <row r="40" spans="1:34" s="117" customFormat="1">
      <c r="A40" s="207" t="s">
        <v>111</v>
      </c>
      <c r="B40" s="207" t="s">
        <v>111</v>
      </c>
      <c r="C40" s="206" t="s">
        <v>196</v>
      </c>
      <c r="D40" s="206" t="s">
        <v>120</v>
      </c>
      <c r="E40" s="206" t="s">
        <v>25</v>
      </c>
      <c r="F40" s="221">
        <v>4103.1499999999996</v>
      </c>
      <c r="G40" s="141">
        <v>0</v>
      </c>
      <c r="H40" s="157">
        <f t="shared" si="13"/>
        <v>4103.1499999999996</v>
      </c>
      <c r="I40" s="157">
        <f t="shared" si="14"/>
        <v>4103.1499999999996</v>
      </c>
      <c r="J40" s="227">
        <f t="shared" si="15"/>
        <v>1</v>
      </c>
      <c r="L40" s="207">
        <v>2009</v>
      </c>
      <c r="M40" s="207">
        <v>5</v>
      </c>
      <c r="N40" s="206" t="s">
        <v>119</v>
      </c>
      <c r="O40" s="208">
        <v>39932</v>
      </c>
    </row>
    <row r="41" spans="1:34">
      <c r="A41" s="206" t="s">
        <v>111</v>
      </c>
      <c r="B41" s="206" t="s">
        <v>111</v>
      </c>
      <c r="C41" s="206" t="s">
        <v>197</v>
      </c>
      <c r="D41" s="206" t="s">
        <v>120</v>
      </c>
      <c r="E41" s="206" t="s">
        <v>25</v>
      </c>
      <c r="F41" s="221">
        <v>9784.65</v>
      </c>
      <c r="G41" s="141">
        <v>0</v>
      </c>
      <c r="H41" s="157">
        <f t="shared" si="13"/>
        <v>9784.65</v>
      </c>
      <c r="I41" s="157">
        <f t="shared" si="14"/>
        <v>9784.65</v>
      </c>
      <c r="J41" s="227">
        <f t="shared" si="15"/>
        <v>1</v>
      </c>
      <c r="L41" s="207">
        <v>2009</v>
      </c>
      <c r="M41" s="207">
        <v>5</v>
      </c>
      <c r="N41" s="206" t="s">
        <v>198</v>
      </c>
      <c r="O41" s="208">
        <v>39918</v>
      </c>
      <c r="P41" s="117"/>
      <c r="Q41" s="117"/>
      <c r="R41" s="117"/>
      <c r="S41" s="117"/>
      <c r="T41" s="117"/>
      <c r="U41" s="117"/>
      <c r="V41" s="117"/>
      <c r="W41" s="117"/>
      <c r="X41" s="117"/>
      <c r="Y41" s="117"/>
      <c r="Z41" s="117"/>
      <c r="AA41" s="117"/>
      <c r="AB41" s="117"/>
      <c r="AC41" s="117"/>
      <c r="AD41" s="117"/>
      <c r="AE41" s="117"/>
      <c r="AF41" s="117"/>
      <c r="AG41" s="117"/>
      <c r="AH41" s="117"/>
    </row>
    <row r="42" spans="1:34">
      <c r="A42" s="206"/>
      <c r="B42" s="206"/>
      <c r="C42" s="206"/>
      <c r="D42" s="206"/>
      <c r="E42" s="209" t="s">
        <v>387</v>
      </c>
      <c r="F42" s="240">
        <f>+SUM(F36:F41)</f>
        <v>18559.57</v>
      </c>
      <c r="G42" s="140">
        <f t="shared" ref="G42:I42" si="16">+SUM(G36:G41)</f>
        <v>0</v>
      </c>
      <c r="H42" s="129">
        <f t="shared" si="16"/>
        <v>18559.57</v>
      </c>
      <c r="I42" s="129">
        <f t="shared" si="16"/>
        <v>18559.57</v>
      </c>
      <c r="J42" s="227"/>
      <c r="L42" s="207"/>
      <c r="M42" s="207"/>
      <c r="N42" s="206"/>
      <c r="O42" s="208"/>
      <c r="P42" s="117"/>
      <c r="Q42" s="117"/>
      <c r="R42" s="117"/>
      <c r="S42" s="117"/>
      <c r="T42" s="117"/>
      <c r="U42" s="117"/>
      <c r="V42" s="117"/>
      <c r="W42" s="117"/>
      <c r="X42" s="117"/>
      <c r="Y42" s="117"/>
      <c r="Z42" s="117"/>
      <c r="AA42" s="117"/>
      <c r="AB42" s="117"/>
      <c r="AC42" s="117"/>
      <c r="AD42" s="117"/>
      <c r="AE42" s="117"/>
      <c r="AF42" s="117"/>
      <c r="AG42" s="117"/>
      <c r="AH42" s="117"/>
    </row>
    <row r="43" spans="1:34">
      <c r="A43" s="214" t="s">
        <v>111</v>
      </c>
      <c r="B43" s="214" t="s">
        <v>111</v>
      </c>
      <c r="C43" s="214" t="s">
        <v>208</v>
      </c>
      <c r="D43" s="214" t="s">
        <v>120</v>
      </c>
      <c r="E43" s="214" t="s">
        <v>25</v>
      </c>
      <c r="F43" s="221">
        <v>1067.97</v>
      </c>
      <c r="G43" s="141">
        <v>0</v>
      </c>
      <c r="H43" s="157">
        <f>+F43+G43</f>
        <v>1067.97</v>
      </c>
      <c r="I43" s="157">
        <f>+H43</f>
        <v>1067.97</v>
      </c>
      <c r="J43" s="227">
        <f>+I43/H43</f>
        <v>1</v>
      </c>
      <c r="L43" s="215">
        <v>2009</v>
      </c>
      <c r="M43" s="215">
        <v>7</v>
      </c>
      <c r="N43" s="214" t="s">
        <v>119</v>
      </c>
      <c r="O43" s="216">
        <v>39988</v>
      </c>
      <c r="P43" s="117"/>
      <c r="Q43" s="117"/>
      <c r="R43" s="117"/>
      <c r="S43" s="117"/>
      <c r="T43" s="117"/>
      <c r="U43" s="117"/>
      <c r="V43" s="117"/>
      <c r="W43" s="117"/>
      <c r="X43" s="117"/>
      <c r="Y43" s="117"/>
      <c r="Z43" s="117"/>
      <c r="AA43" s="117"/>
      <c r="AB43" s="117"/>
      <c r="AC43" s="117"/>
      <c r="AD43" s="117"/>
      <c r="AE43" s="117"/>
      <c r="AF43" s="117"/>
      <c r="AG43" s="117"/>
      <c r="AH43" s="117"/>
    </row>
    <row r="44" spans="1:34">
      <c r="A44" s="214"/>
      <c r="B44" s="214"/>
      <c r="C44" s="214"/>
      <c r="D44" s="214"/>
      <c r="E44" s="209" t="s">
        <v>387</v>
      </c>
      <c r="F44" s="240">
        <f>+F43</f>
        <v>1067.97</v>
      </c>
      <c r="G44" s="140">
        <f t="shared" ref="G44:I44" si="17">+G43</f>
        <v>0</v>
      </c>
      <c r="H44" s="129">
        <f t="shared" si="17"/>
        <v>1067.97</v>
      </c>
      <c r="I44" s="129">
        <f t="shared" si="17"/>
        <v>1067.97</v>
      </c>
      <c r="J44" s="227"/>
      <c r="L44" s="215"/>
      <c r="M44" s="215"/>
      <c r="N44" s="214"/>
      <c r="O44" s="216"/>
      <c r="P44" s="117"/>
      <c r="Q44" s="117"/>
      <c r="R44" s="117"/>
      <c r="S44" s="117"/>
      <c r="T44" s="117"/>
      <c r="U44" s="117"/>
      <c r="V44" s="117"/>
      <c r="W44" s="117"/>
      <c r="X44" s="117"/>
      <c r="Y44" s="117"/>
      <c r="Z44" s="117"/>
      <c r="AA44" s="117"/>
      <c r="AB44" s="117"/>
      <c r="AC44" s="117"/>
      <c r="AD44" s="117"/>
      <c r="AE44" s="117"/>
      <c r="AF44" s="117"/>
      <c r="AG44" s="117"/>
      <c r="AH44" s="117"/>
    </row>
    <row r="45" spans="1:34" s="117" customFormat="1">
      <c r="A45" s="214" t="s">
        <v>111</v>
      </c>
      <c r="B45" s="214" t="s">
        <v>111</v>
      </c>
      <c r="C45" s="214" t="s">
        <v>209</v>
      </c>
      <c r="D45" s="214" t="s">
        <v>120</v>
      </c>
      <c r="E45" s="214" t="s">
        <v>25</v>
      </c>
      <c r="F45" s="221">
        <v>12332.86</v>
      </c>
      <c r="G45" s="141">
        <v>0</v>
      </c>
      <c r="H45" s="157">
        <f>+F45+G45</f>
        <v>12332.86</v>
      </c>
      <c r="I45" s="157">
        <f>+H45</f>
        <v>12332.86</v>
      </c>
      <c r="J45" s="227">
        <f>+I45/H45</f>
        <v>1</v>
      </c>
      <c r="L45" s="215">
        <v>2009</v>
      </c>
      <c r="M45" s="215">
        <v>8</v>
      </c>
      <c r="N45" s="214" t="s">
        <v>119</v>
      </c>
      <c r="O45" s="216">
        <v>40008</v>
      </c>
    </row>
    <row r="46" spans="1:34" s="117" customFormat="1">
      <c r="A46" s="214"/>
      <c r="B46" s="214"/>
      <c r="C46" s="214"/>
      <c r="D46" s="214"/>
      <c r="E46" s="209" t="s">
        <v>387</v>
      </c>
      <c r="F46" s="240">
        <f>+F45</f>
        <v>12332.86</v>
      </c>
      <c r="G46" s="140">
        <f t="shared" ref="G46:I46" si="18">+G45</f>
        <v>0</v>
      </c>
      <c r="H46" s="129">
        <f t="shared" si="18"/>
        <v>12332.86</v>
      </c>
      <c r="I46" s="129">
        <f t="shared" si="18"/>
        <v>12332.86</v>
      </c>
      <c r="J46" s="227"/>
      <c r="L46" s="215"/>
      <c r="M46" s="215"/>
      <c r="N46" s="214"/>
      <c r="O46" s="216"/>
    </row>
    <row r="47" spans="1:34" s="117" customFormat="1">
      <c r="A47" s="214" t="s">
        <v>111</v>
      </c>
      <c r="B47" s="214" t="s">
        <v>111</v>
      </c>
      <c r="C47" s="214" t="s">
        <v>214</v>
      </c>
      <c r="D47" s="214" t="s">
        <v>120</v>
      </c>
      <c r="E47" s="214" t="s">
        <v>25</v>
      </c>
      <c r="F47" s="221">
        <v>1281.93</v>
      </c>
      <c r="G47" s="141">
        <v>0</v>
      </c>
      <c r="H47" s="157">
        <f>+F47+G47</f>
        <v>1281.93</v>
      </c>
      <c r="I47" s="157">
        <f>+H47</f>
        <v>1281.93</v>
      </c>
      <c r="J47" s="227">
        <f>+I47/H47</f>
        <v>1</v>
      </c>
      <c r="L47" s="215">
        <v>2009</v>
      </c>
      <c r="M47" s="215">
        <v>9</v>
      </c>
      <c r="N47" s="214" t="s">
        <v>119</v>
      </c>
      <c r="O47" s="216">
        <v>40046</v>
      </c>
    </row>
    <row r="48" spans="1:34" s="117" customFormat="1">
      <c r="A48" s="214" t="s">
        <v>111</v>
      </c>
      <c r="B48" s="214" t="s">
        <v>111</v>
      </c>
      <c r="C48" s="214" t="s">
        <v>215</v>
      </c>
      <c r="D48" s="214" t="s">
        <v>120</v>
      </c>
      <c r="E48" s="214" t="s">
        <v>25</v>
      </c>
      <c r="F48" s="221">
        <v>8062.22</v>
      </c>
      <c r="G48" s="141">
        <v>0</v>
      </c>
      <c r="H48" s="157">
        <f>+F48+G48</f>
        <v>8062.22</v>
      </c>
      <c r="I48" s="157">
        <f>+H48</f>
        <v>8062.22</v>
      </c>
      <c r="J48" s="227">
        <f>+I48/H48</f>
        <v>1</v>
      </c>
      <c r="L48" s="215">
        <v>2009</v>
      </c>
      <c r="M48" s="215">
        <v>9</v>
      </c>
      <c r="N48" s="214" t="s">
        <v>119</v>
      </c>
      <c r="O48" s="216">
        <v>40035</v>
      </c>
    </row>
    <row r="49" spans="1:34" s="117" customFormat="1">
      <c r="A49" s="214"/>
      <c r="B49" s="214"/>
      <c r="C49" s="214"/>
      <c r="D49" s="214"/>
      <c r="E49" s="209" t="s">
        <v>387</v>
      </c>
      <c r="F49" s="240">
        <f>+F48+F47</f>
        <v>9344.15</v>
      </c>
      <c r="G49" s="140">
        <f t="shared" ref="G49:I49" si="19">+G48+G47</f>
        <v>0</v>
      </c>
      <c r="H49" s="129">
        <f t="shared" si="19"/>
        <v>9344.15</v>
      </c>
      <c r="I49" s="129">
        <f t="shared" si="19"/>
        <v>9344.15</v>
      </c>
      <c r="J49" s="227"/>
      <c r="L49" s="215"/>
      <c r="M49" s="215"/>
      <c r="N49" s="214"/>
      <c r="O49" s="216"/>
    </row>
    <row r="50" spans="1:34" s="117" customFormat="1">
      <c r="A50" s="214" t="s">
        <v>111</v>
      </c>
      <c r="B50" s="214" t="s">
        <v>111</v>
      </c>
      <c r="C50" s="214" t="s">
        <v>216</v>
      </c>
      <c r="D50" s="214" t="s">
        <v>120</v>
      </c>
      <c r="E50" s="214" t="s">
        <v>25</v>
      </c>
      <c r="F50" s="221">
        <v>507.5</v>
      </c>
      <c r="G50" s="141">
        <v>0</v>
      </c>
      <c r="H50" s="157">
        <f>+F50+G50</f>
        <v>507.5</v>
      </c>
      <c r="I50" s="157">
        <f>+H50</f>
        <v>507.5</v>
      </c>
      <c r="J50" s="227">
        <f>+I50/H50</f>
        <v>1</v>
      </c>
      <c r="L50" s="215">
        <v>2009</v>
      </c>
      <c r="M50" s="215">
        <v>10</v>
      </c>
      <c r="N50" s="214" t="s">
        <v>119</v>
      </c>
      <c r="O50" s="216">
        <v>40099</v>
      </c>
    </row>
    <row r="51" spans="1:34">
      <c r="A51" s="214" t="s">
        <v>111</v>
      </c>
      <c r="B51" s="214" t="s">
        <v>111</v>
      </c>
      <c r="C51" s="214" t="s">
        <v>217</v>
      </c>
      <c r="D51" s="214" t="s">
        <v>120</v>
      </c>
      <c r="E51" s="214" t="s">
        <v>25</v>
      </c>
      <c r="F51" s="221">
        <v>7568.89</v>
      </c>
      <c r="G51" s="141">
        <v>0</v>
      </c>
      <c r="H51" s="157">
        <f>+F51+G51</f>
        <v>7568.89</v>
      </c>
      <c r="I51" s="157">
        <f>+H51</f>
        <v>7568.89</v>
      </c>
      <c r="J51" s="227">
        <f>+I51/H51</f>
        <v>1</v>
      </c>
      <c r="L51" s="215">
        <v>2009</v>
      </c>
      <c r="M51" s="215">
        <v>10</v>
      </c>
      <c r="N51" s="214" t="s">
        <v>119</v>
      </c>
      <c r="O51" s="216">
        <v>40094</v>
      </c>
      <c r="P51" s="117"/>
      <c r="Q51" s="117"/>
      <c r="R51" s="117"/>
      <c r="S51" s="117"/>
      <c r="T51" s="117"/>
      <c r="U51" s="117"/>
      <c r="V51" s="117"/>
      <c r="W51" s="117"/>
      <c r="X51" s="117"/>
      <c r="Y51" s="117"/>
      <c r="Z51" s="117"/>
      <c r="AA51" s="117"/>
      <c r="AB51" s="117"/>
      <c r="AC51" s="117"/>
      <c r="AD51" s="117"/>
      <c r="AE51" s="117"/>
      <c r="AF51" s="117"/>
      <c r="AG51" s="117"/>
      <c r="AH51" s="117"/>
    </row>
    <row r="52" spans="1:34">
      <c r="A52" s="214"/>
      <c r="B52" s="214"/>
      <c r="C52" s="214"/>
      <c r="D52" s="214"/>
      <c r="E52" s="209" t="s">
        <v>387</v>
      </c>
      <c r="F52" s="240">
        <f>+F51+F50</f>
        <v>8076.39</v>
      </c>
      <c r="G52" s="140">
        <f t="shared" ref="G52:I52" si="20">+G51+G50</f>
        <v>0</v>
      </c>
      <c r="H52" s="129">
        <f t="shared" si="20"/>
        <v>8076.39</v>
      </c>
      <c r="I52" s="129">
        <f t="shared" si="20"/>
        <v>8076.39</v>
      </c>
      <c r="J52" s="227"/>
      <c r="L52" s="215"/>
      <c r="M52" s="215"/>
      <c r="N52" s="214"/>
      <c r="O52" s="216"/>
      <c r="P52" s="117"/>
      <c r="Q52" s="117"/>
      <c r="R52" s="117"/>
      <c r="S52" s="117"/>
      <c r="T52" s="117"/>
      <c r="U52" s="117"/>
      <c r="V52" s="117"/>
      <c r="W52" s="117"/>
      <c r="X52" s="117"/>
      <c r="Y52" s="117"/>
      <c r="Z52" s="117"/>
      <c r="AA52" s="117"/>
      <c r="AB52" s="117"/>
      <c r="AC52" s="117"/>
      <c r="AD52" s="117"/>
      <c r="AE52" s="117"/>
      <c r="AF52" s="117"/>
      <c r="AG52" s="117"/>
      <c r="AH52" s="117"/>
    </row>
    <row r="53" spans="1:34" s="117" customFormat="1">
      <c r="A53" s="214" t="s">
        <v>111</v>
      </c>
      <c r="B53" s="214" t="s">
        <v>111</v>
      </c>
      <c r="C53" s="214" t="s">
        <v>218</v>
      </c>
      <c r="D53" s="214" t="s">
        <v>120</v>
      </c>
      <c r="E53" s="214" t="s">
        <v>25</v>
      </c>
      <c r="F53" s="221">
        <v>322.29000000000002</v>
      </c>
      <c r="G53" s="141">
        <v>0</v>
      </c>
      <c r="H53" s="157">
        <f>+F53+G53</f>
        <v>322.29000000000002</v>
      </c>
      <c r="I53" s="157">
        <f>+H53</f>
        <v>322.29000000000002</v>
      </c>
      <c r="J53" s="227">
        <f>+I53/H53</f>
        <v>1</v>
      </c>
      <c r="L53" s="215">
        <v>2009</v>
      </c>
      <c r="M53" s="215">
        <v>11</v>
      </c>
      <c r="N53" s="214" t="s">
        <v>219</v>
      </c>
      <c r="O53" s="216">
        <v>40120</v>
      </c>
    </row>
    <row r="54" spans="1:34" s="117" customFormat="1">
      <c r="A54" s="214"/>
      <c r="B54" s="214"/>
      <c r="C54" s="214"/>
      <c r="D54" s="214"/>
      <c r="E54" s="209" t="s">
        <v>387</v>
      </c>
      <c r="F54" s="240">
        <f>+F53</f>
        <v>322.29000000000002</v>
      </c>
      <c r="G54" s="140">
        <f t="shared" ref="G54:I54" si="21">+G53</f>
        <v>0</v>
      </c>
      <c r="H54" s="129">
        <f t="shared" si="21"/>
        <v>322.29000000000002</v>
      </c>
      <c r="I54" s="129">
        <f t="shared" si="21"/>
        <v>322.29000000000002</v>
      </c>
      <c r="J54" s="227"/>
      <c r="L54" s="215"/>
      <c r="M54" s="215"/>
      <c r="N54" s="214"/>
      <c r="O54" s="216"/>
    </row>
    <row r="55" spans="1:34" s="117" customFormat="1">
      <c r="A55" s="214" t="s">
        <v>111</v>
      </c>
      <c r="B55" s="214" t="s">
        <v>111</v>
      </c>
      <c r="C55" s="214" t="s">
        <v>224</v>
      </c>
      <c r="D55" s="214" t="s">
        <v>120</v>
      </c>
      <c r="E55" s="214" t="s">
        <v>25</v>
      </c>
      <c r="F55" s="221">
        <v>450.95</v>
      </c>
      <c r="G55" s="141">
        <v>0</v>
      </c>
      <c r="H55" s="157">
        <f>+F55+G55</f>
        <v>450.95</v>
      </c>
      <c r="I55" s="157">
        <f>+H55</f>
        <v>450.95</v>
      </c>
      <c r="J55" s="227">
        <f>+I55/H55</f>
        <v>1</v>
      </c>
      <c r="L55" s="215">
        <v>2010</v>
      </c>
      <c r="M55" s="215">
        <v>4</v>
      </c>
      <c r="N55" s="214" t="s">
        <v>225</v>
      </c>
      <c r="O55" s="216">
        <v>40256</v>
      </c>
    </row>
    <row r="56" spans="1:34">
      <c r="A56" s="214" t="s">
        <v>111</v>
      </c>
      <c r="B56" s="214" t="s">
        <v>111</v>
      </c>
      <c r="C56" s="214" t="s">
        <v>226</v>
      </c>
      <c r="D56" s="214" t="s">
        <v>120</v>
      </c>
      <c r="E56" s="214" t="s">
        <v>25</v>
      </c>
      <c r="F56" s="221">
        <v>326.5</v>
      </c>
      <c r="G56" s="141">
        <v>0</v>
      </c>
      <c r="H56" s="157">
        <f>+F56+G56</f>
        <v>326.5</v>
      </c>
      <c r="I56" s="157">
        <f>+H56</f>
        <v>326.5</v>
      </c>
      <c r="J56" s="227">
        <f>+I56/H56</f>
        <v>1</v>
      </c>
      <c r="L56" s="215">
        <v>2010</v>
      </c>
      <c r="M56" s="215">
        <v>4</v>
      </c>
      <c r="N56" s="214" t="s">
        <v>227</v>
      </c>
      <c r="O56" s="216">
        <v>40274</v>
      </c>
      <c r="P56" s="117"/>
      <c r="Q56" s="117"/>
      <c r="R56" s="117"/>
      <c r="S56" s="117"/>
      <c r="T56" s="117"/>
      <c r="U56" s="117"/>
      <c r="V56" s="117"/>
      <c r="W56" s="117"/>
      <c r="X56" s="117"/>
      <c r="Y56" s="117"/>
      <c r="Z56" s="117"/>
      <c r="AA56" s="117"/>
      <c r="AB56" s="117"/>
      <c r="AC56" s="117"/>
      <c r="AD56" s="117"/>
      <c r="AE56" s="117"/>
      <c r="AF56" s="117"/>
      <c r="AG56" s="117"/>
      <c r="AH56" s="117"/>
    </row>
    <row r="57" spans="1:34">
      <c r="A57" s="214"/>
      <c r="B57" s="214"/>
      <c r="C57" s="214"/>
      <c r="D57" s="214"/>
      <c r="E57" s="209" t="s">
        <v>387</v>
      </c>
      <c r="F57" s="240">
        <f>+F56+F55</f>
        <v>777.45</v>
      </c>
      <c r="G57" s="140">
        <f t="shared" ref="G57:I57" si="22">+G56+G55</f>
        <v>0</v>
      </c>
      <c r="H57" s="129">
        <f t="shared" si="22"/>
        <v>777.45</v>
      </c>
      <c r="I57" s="129">
        <f t="shared" si="22"/>
        <v>777.45</v>
      </c>
      <c r="J57" s="227"/>
      <c r="L57" s="215"/>
      <c r="M57" s="215"/>
      <c r="N57" s="214"/>
      <c r="O57" s="216"/>
      <c r="P57" s="117"/>
      <c r="Q57" s="117"/>
      <c r="R57" s="117"/>
      <c r="S57" s="117"/>
      <c r="T57" s="117"/>
      <c r="U57" s="117"/>
      <c r="V57" s="117"/>
      <c r="W57" s="117"/>
      <c r="X57" s="117"/>
      <c r="Y57" s="117"/>
      <c r="Z57" s="117"/>
      <c r="AA57" s="117"/>
      <c r="AB57" s="117"/>
      <c r="AC57" s="117"/>
      <c r="AD57" s="117"/>
      <c r="AE57" s="117"/>
      <c r="AF57" s="117"/>
      <c r="AG57" s="117"/>
      <c r="AH57" s="117"/>
    </row>
    <row r="58" spans="1:34" s="117" customFormat="1">
      <c r="A58" s="214" t="s">
        <v>111</v>
      </c>
      <c r="B58" s="214" t="s">
        <v>111</v>
      </c>
      <c r="C58" s="214" t="s">
        <v>232</v>
      </c>
      <c r="D58" s="214" t="s">
        <v>120</v>
      </c>
      <c r="E58" s="214" t="s">
        <v>25</v>
      </c>
      <c r="F58" s="221">
        <v>112.15</v>
      </c>
      <c r="G58" s="141">
        <v>0</v>
      </c>
      <c r="H58" s="157">
        <f>+F58+G58</f>
        <v>112.15</v>
      </c>
      <c r="I58" s="157">
        <f>+H58</f>
        <v>112.15</v>
      </c>
      <c r="J58" s="227">
        <f>+I58/H58</f>
        <v>1</v>
      </c>
      <c r="L58" s="215">
        <v>2010</v>
      </c>
      <c r="M58" s="215">
        <v>5</v>
      </c>
      <c r="N58" s="214" t="s">
        <v>233</v>
      </c>
      <c r="O58" s="216">
        <v>40290</v>
      </c>
    </row>
    <row r="59" spans="1:34" s="117" customFormat="1">
      <c r="A59" s="214"/>
      <c r="B59" s="214"/>
      <c r="C59" s="214"/>
      <c r="D59" s="214"/>
      <c r="E59" s="209" t="s">
        <v>387</v>
      </c>
      <c r="F59" s="240">
        <f>+F58</f>
        <v>112.15</v>
      </c>
      <c r="G59" s="140">
        <f t="shared" ref="G59:I59" si="23">+G58</f>
        <v>0</v>
      </c>
      <c r="H59" s="129">
        <f t="shared" si="23"/>
        <v>112.15</v>
      </c>
      <c r="I59" s="129">
        <f t="shared" si="23"/>
        <v>112.15</v>
      </c>
      <c r="J59" s="227"/>
      <c r="L59" s="215"/>
      <c r="M59" s="215"/>
      <c r="N59" s="214"/>
      <c r="O59" s="216"/>
    </row>
    <row r="60" spans="1:34" s="117" customFormat="1">
      <c r="A60" s="203" t="s">
        <v>111</v>
      </c>
      <c r="B60" s="203" t="s">
        <v>111</v>
      </c>
      <c r="C60" s="203" t="s">
        <v>238</v>
      </c>
      <c r="D60" s="203" t="s">
        <v>120</v>
      </c>
      <c r="E60" s="203" t="s">
        <v>25</v>
      </c>
      <c r="F60" s="221">
        <v>5895.93</v>
      </c>
      <c r="G60" s="141">
        <v>0</v>
      </c>
      <c r="H60" s="157">
        <f>+F60+G60</f>
        <v>5895.93</v>
      </c>
      <c r="I60" s="157">
        <f>+H60</f>
        <v>5895.93</v>
      </c>
      <c r="J60" s="227">
        <f>+I60/H60</f>
        <v>1</v>
      </c>
      <c r="L60" s="204">
        <v>2010</v>
      </c>
      <c r="M60" s="204">
        <v>7</v>
      </c>
      <c r="N60" s="203" t="s">
        <v>239</v>
      </c>
      <c r="O60" s="205">
        <v>40337</v>
      </c>
    </row>
    <row r="61" spans="1:34" s="117" customFormat="1">
      <c r="A61" s="204"/>
      <c r="B61" s="204"/>
      <c r="C61" s="209"/>
      <c r="D61" s="209"/>
      <c r="E61" s="209" t="s">
        <v>387</v>
      </c>
      <c r="F61" s="241">
        <f>+F60</f>
        <v>5895.93</v>
      </c>
      <c r="G61" s="140">
        <f t="shared" ref="G61:I61" si="24">+G60</f>
        <v>0</v>
      </c>
      <c r="H61" s="128">
        <f t="shared" si="24"/>
        <v>5895.93</v>
      </c>
      <c r="I61" s="128">
        <f t="shared" si="24"/>
        <v>5895.93</v>
      </c>
      <c r="J61" s="227"/>
      <c r="L61" s="209"/>
      <c r="M61" s="209"/>
      <c r="N61" s="209"/>
      <c r="O61" s="210"/>
    </row>
    <row r="62" spans="1:34" s="117" customFormat="1">
      <c r="A62" s="204"/>
      <c r="B62" s="204"/>
      <c r="C62" s="209"/>
      <c r="D62" s="209"/>
      <c r="E62" s="209" t="s">
        <v>384</v>
      </c>
      <c r="F62" s="241">
        <f>+F61+F59+F57+F54+F52+F49+F46+F44+F42+F35+F32+F30+F27+F25+F23+F21+F18+F16+F14</f>
        <v>234968.2</v>
      </c>
      <c r="G62" s="128">
        <f t="shared" ref="G62:I62" si="25">+G61+G59+G57+G54+G52+G49+G46+G44+G42+G35+G32+G30+G27+G25+G23+G21+G18+G16+G14</f>
        <v>0</v>
      </c>
      <c r="H62" s="128">
        <f t="shared" si="25"/>
        <v>234968.2</v>
      </c>
      <c r="I62" s="128">
        <f t="shared" si="25"/>
        <v>234968.2</v>
      </c>
      <c r="J62" s="227"/>
      <c r="L62" s="209"/>
      <c r="M62" s="209"/>
      <c r="N62" s="209"/>
      <c r="O62" s="210"/>
    </row>
    <row r="63" spans="1:34" s="117" customFormat="1">
      <c r="A63" s="204" t="s">
        <v>385</v>
      </c>
      <c r="B63" s="204"/>
      <c r="C63" s="209"/>
      <c r="D63" s="209"/>
      <c r="E63" s="209"/>
      <c r="F63" s="241">
        <f>+F62</f>
        <v>234968.2</v>
      </c>
      <c r="G63" s="140">
        <f t="shared" ref="G63:I63" si="26">+G62</f>
        <v>0</v>
      </c>
      <c r="H63" s="128">
        <f t="shared" si="26"/>
        <v>234968.2</v>
      </c>
      <c r="I63" s="128">
        <f t="shared" si="26"/>
        <v>234968.2</v>
      </c>
      <c r="J63" s="227"/>
      <c r="L63" s="209"/>
      <c r="M63" s="209"/>
      <c r="N63" s="209"/>
      <c r="O63" s="210"/>
    </row>
    <row r="64" spans="1:34" s="117" customFormat="1">
      <c r="B64" s="204"/>
      <c r="C64" s="209"/>
      <c r="D64" s="209"/>
      <c r="E64" s="209"/>
      <c r="F64" s="231"/>
      <c r="G64" s="141"/>
      <c r="H64" s="157"/>
      <c r="I64" s="157"/>
      <c r="J64" s="227"/>
      <c r="L64" s="209"/>
      <c r="M64" s="209"/>
      <c r="N64" s="209"/>
      <c r="O64" s="210"/>
    </row>
    <row r="65" spans="1:15" s="117" customFormat="1">
      <c r="A65" s="204"/>
      <c r="B65" s="204"/>
      <c r="C65" s="209"/>
      <c r="D65" s="209"/>
      <c r="E65" s="209"/>
      <c r="F65" s="231"/>
      <c r="G65" s="141"/>
      <c r="H65" s="157"/>
      <c r="I65" s="157"/>
      <c r="J65" s="227"/>
      <c r="L65" s="209"/>
      <c r="M65" s="209"/>
      <c r="N65" s="209"/>
      <c r="O65" s="210"/>
    </row>
    <row r="66" spans="1:15" s="117" customFormat="1">
      <c r="A66" s="117" t="s">
        <v>98</v>
      </c>
      <c r="B66" s="117" t="s">
        <v>98</v>
      </c>
      <c r="C66" s="234" t="s">
        <v>265</v>
      </c>
      <c r="D66" s="234" t="s">
        <v>130</v>
      </c>
      <c r="E66" s="234" t="s">
        <v>131</v>
      </c>
      <c r="F66" s="176">
        <v>41033.269999999997</v>
      </c>
      <c r="G66" s="141">
        <v>0</v>
      </c>
      <c r="H66" s="157">
        <f>+F66+G66</f>
        <v>41033.269999999997</v>
      </c>
      <c r="I66" s="157">
        <f>+H66</f>
        <v>41033.269999999997</v>
      </c>
      <c r="J66" s="227">
        <f>+I66/H66</f>
        <v>1</v>
      </c>
      <c r="L66" s="117">
        <v>2008</v>
      </c>
      <c r="M66" s="117">
        <v>2</v>
      </c>
      <c r="N66" s="234" t="s">
        <v>267</v>
      </c>
      <c r="O66" s="235">
        <v>39490</v>
      </c>
    </row>
    <row r="67" spans="1:15" s="117" customFormat="1">
      <c r="A67" s="214"/>
      <c r="B67" s="214"/>
      <c r="C67" s="214"/>
      <c r="D67" s="214"/>
      <c r="E67" s="209" t="s">
        <v>387</v>
      </c>
      <c r="F67" s="240">
        <f>+F66</f>
        <v>41033.269999999997</v>
      </c>
      <c r="G67" s="140">
        <f>+G66</f>
        <v>0</v>
      </c>
      <c r="H67" s="129">
        <f>+H66</f>
        <v>41033.269999999997</v>
      </c>
      <c r="I67" s="129">
        <f>+I66</f>
        <v>41033.269999999997</v>
      </c>
      <c r="J67" s="227"/>
      <c r="L67" s="215"/>
      <c r="M67" s="215"/>
      <c r="N67" s="214"/>
      <c r="O67" s="216"/>
    </row>
    <row r="68" spans="1:15" s="117" customFormat="1">
      <c r="A68" s="204" t="s">
        <v>98</v>
      </c>
      <c r="B68" s="204" t="s">
        <v>98</v>
      </c>
      <c r="C68" s="209" t="s">
        <v>134</v>
      </c>
      <c r="D68" s="209" t="s">
        <v>130</v>
      </c>
      <c r="E68" s="209" t="s">
        <v>131</v>
      </c>
      <c r="F68" s="231">
        <v>1154.3599999999999</v>
      </c>
      <c r="G68" s="141">
        <v>0</v>
      </c>
      <c r="H68" s="157">
        <f>+F68+G68</f>
        <v>1154.3599999999999</v>
      </c>
      <c r="I68" s="157">
        <f>+H68</f>
        <v>1154.3599999999999</v>
      </c>
      <c r="J68" s="227">
        <f>+I68/H68</f>
        <v>1</v>
      </c>
      <c r="L68" s="209">
        <v>2008</v>
      </c>
      <c r="M68" s="209">
        <v>3</v>
      </c>
      <c r="N68" s="209" t="s">
        <v>135</v>
      </c>
      <c r="O68" s="210">
        <v>39511</v>
      </c>
    </row>
    <row r="69" spans="1:15" s="117" customFormat="1">
      <c r="A69" s="204"/>
      <c r="B69" s="204"/>
      <c r="C69" s="209"/>
      <c r="D69" s="209"/>
      <c r="E69" s="209" t="s">
        <v>387</v>
      </c>
      <c r="F69" s="241">
        <f>+F68</f>
        <v>1154.3599999999999</v>
      </c>
      <c r="G69" s="140">
        <f>+G68</f>
        <v>0</v>
      </c>
      <c r="H69" s="128">
        <f>+H68</f>
        <v>1154.3599999999999</v>
      </c>
      <c r="I69" s="128">
        <f>+I68</f>
        <v>1154.3599999999999</v>
      </c>
      <c r="J69" s="227"/>
      <c r="L69" s="209"/>
      <c r="M69" s="209"/>
      <c r="N69" s="209"/>
      <c r="O69" s="210"/>
    </row>
    <row r="70" spans="1:15" s="117" customFormat="1">
      <c r="A70" s="204" t="s">
        <v>98</v>
      </c>
      <c r="B70" s="204" t="s">
        <v>98</v>
      </c>
      <c r="C70" s="209" t="s">
        <v>128</v>
      </c>
      <c r="D70" s="209" t="s">
        <v>130</v>
      </c>
      <c r="E70" s="209" t="s">
        <v>131</v>
      </c>
      <c r="F70" s="231">
        <v>2855.68</v>
      </c>
      <c r="G70" s="141">
        <v>0</v>
      </c>
      <c r="H70" s="157">
        <f>+F70+G70</f>
        <v>2855.68</v>
      </c>
      <c r="I70" s="157">
        <f>+H70</f>
        <v>2855.68</v>
      </c>
      <c r="J70" s="227">
        <f>+I70/H70</f>
        <v>1</v>
      </c>
      <c r="L70" s="209">
        <v>2008</v>
      </c>
      <c r="M70" s="209">
        <v>4</v>
      </c>
      <c r="N70" s="209" t="s">
        <v>129</v>
      </c>
      <c r="O70" s="210">
        <v>39541</v>
      </c>
    </row>
    <row r="71" spans="1:15" s="117" customFormat="1">
      <c r="A71" s="204"/>
      <c r="B71" s="204"/>
      <c r="C71" s="209"/>
      <c r="D71" s="209"/>
      <c r="E71" s="209" t="s">
        <v>387</v>
      </c>
      <c r="F71" s="241">
        <f>+F70</f>
        <v>2855.68</v>
      </c>
      <c r="G71" s="140">
        <f>+G70</f>
        <v>0</v>
      </c>
      <c r="H71" s="128">
        <f>+H70</f>
        <v>2855.68</v>
      </c>
      <c r="I71" s="128">
        <f>+I70</f>
        <v>2855.68</v>
      </c>
      <c r="J71" s="227"/>
      <c r="L71" s="209"/>
      <c r="M71" s="209"/>
      <c r="N71" s="209"/>
      <c r="O71" s="210"/>
    </row>
    <row r="72" spans="1:15" s="117" customFormat="1">
      <c r="A72" s="204" t="s">
        <v>98</v>
      </c>
      <c r="B72" s="204" t="s">
        <v>98</v>
      </c>
      <c r="C72" s="209" t="s">
        <v>140</v>
      </c>
      <c r="D72" s="209" t="s">
        <v>130</v>
      </c>
      <c r="E72" s="209" t="s">
        <v>131</v>
      </c>
      <c r="F72" s="231">
        <v>3147.32</v>
      </c>
      <c r="G72" s="141">
        <v>0</v>
      </c>
      <c r="H72" s="157">
        <f>+F72+G72</f>
        <v>3147.32</v>
      </c>
      <c r="I72" s="157">
        <f>+H72</f>
        <v>3147.32</v>
      </c>
      <c r="J72" s="227">
        <f>+I72/H72</f>
        <v>1</v>
      </c>
      <c r="L72" s="209">
        <v>2008</v>
      </c>
      <c r="M72" s="209">
        <v>6</v>
      </c>
      <c r="N72" s="209" t="s">
        <v>141</v>
      </c>
      <c r="O72" s="210">
        <v>39611</v>
      </c>
    </row>
    <row r="73" spans="1:15" s="117" customFormat="1">
      <c r="A73" s="204"/>
      <c r="B73" s="204"/>
      <c r="C73" s="209"/>
      <c r="D73" s="209"/>
      <c r="E73" s="209" t="s">
        <v>387</v>
      </c>
      <c r="F73" s="241">
        <f>+F72</f>
        <v>3147.32</v>
      </c>
      <c r="G73" s="140">
        <f>+G72</f>
        <v>0</v>
      </c>
      <c r="H73" s="128">
        <f>+H72</f>
        <v>3147.32</v>
      </c>
      <c r="I73" s="128">
        <f>+I72</f>
        <v>3147.32</v>
      </c>
      <c r="J73" s="227"/>
      <c r="L73" s="209"/>
      <c r="M73" s="209"/>
      <c r="N73" s="209"/>
      <c r="O73" s="210"/>
    </row>
    <row r="74" spans="1:15" s="117" customFormat="1">
      <c r="A74" s="204" t="s">
        <v>98</v>
      </c>
      <c r="B74" s="204" t="s">
        <v>98</v>
      </c>
      <c r="C74" s="203" t="s">
        <v>154</v>
      </c>
      <c r="D74" s="203" t="s">
        <v>130</v>
      </c>
      <c r="E74" s="203" t="s">
        <v>131</v>
      </c>
      <c r="F74" s="221">
        <v>23065.439999999999</v>
      </c>
      <c r="G74" s="141">
        <v>0</v>
      </c>
      <c r="H74" s="157">
        <f>+F74+G74</f>
        <v>23065.439999999999</v>
      </c>
      <c r="I74" s="157">
        <f>+H74</f>
        <v>23065.439999999999</v>
      </c>
      <c r="J74" s="227">
        <f>+I74/H74</f>
        <v>1</v>
      </c>
      <c r="L74" s="204">
        <v>2008</v>
      </c>
      <c r="M74" s="204">
        <v>8</v>
      </c>
      <c r="N74" s="203" t="s">
        <v>155</v>
      </c>
      <c r="O74" s="205">
        <v>39675</v>
      </c>
    </row>
    <row r="75" spans="1:15" s="117" customFormat="1">
      <c r="A75" s="204"/>
      <c r="B75" s="204"/>
      <c r="C75" s="203"/>
      <c r="D75" s="203"/>
      <c r="E75" s="209" t="s">
        <v>387</v>
      </c>
      <c r="F75" s="240">
        <f>+F74</f>
        <v>23065.439999999999</v>
      </c>
      <c r="G75" s="140">
        <f>+G74</f>
        <v>0</v>
      </c>
      <c r="H75" s="129">
        <f>+H74</f>
        <v>23065.439999999999</v>
      </c>
      <c r="I75" s="129">
        <f>+I74</f>
        <v>23065.439999999999</v>
      </c>
      <c r="J75" s="227"/>
      <c r="L75" s="204"/>
      <c r="M75" s="204"/>
      <c r="N75" s="203"/>
      <c r="O75" s="205"/>
    </row>
    <row r="76" spans="1:15" s="117" customFormat="1">
      <c r="A76" s="203" t="s">
        <v>98</v>
      </c>
      <c r="B76" s="203" t="s">
        <v>98</v>
      </c>
      <c r="C76" s="203" t="s">
        <v>160</v>
      </c>
      <c r="D76" s="203" t="s">
        <v>130</v>
      </c>
      <c r="E76" s="203" t="s">
        <v>131</v>
      </c>
      <c r="F76" s="221">
        <v>5593.48</v>
      </c>
      <c r="G76" s="141">
        <v>0</v>
      </c>
      <c r="H76" s="157">
        <f>+F76+G76</f>
        <v>5593.48</v>
      </c>
      <c r="I76" s="157">
        <f>+H76</f>
        <v>5593.48</v>
      </c>
      <c r="J76" s="227">
        <f>+I76/H76</f>
        <v>1</v>
      </c>
      <c r="L76" s="204">
        <v>2008</v>
      </c>
      <c r="M76" s="204">
        <v>9</v>
      </c>
      <c r="N76" s="203" t="s">
        <v>161</v>
      </c>
      <c r="O76" s="205">
        <v>39709</v>
      </c>
    </row>
    <row r="77" spans="1:15" s="117" customFormat="1">
      <c r="A77" s="203"/>
      <c r="B77" s="203"/>
      <c r="C77" s="203"/>
      <c r="D77" s="203"/>
      <c r="E77" s="209" t="s">
        <v>387</v>
      </c>
      <c r="F77" s="240">
        <f>+F76</f>
        <v>5593.48</v>
      </c>
      <c r="G77" s="140">
        <f>+G76</f>
        <v>0</v>
      </c>
      <c r="H77" s="129">
        <f>+H76</f>
        <v>5593.48</v>
      </c>
      <c r="I77" s="129">
        <f>+I76</f>
        <v>5593.48</v>
      </c>
      <c r="J77" s="227"/>
      <c r="L77" s="204"/>
      <c r="M77" s="204"/>
      <c r="N77" s="203"/>
      <c r="O77" s="205"/>
    </row>
    <row r="78" spans="1:15" s="117" customFormat="1">
      <c r="A78" s="203" t="s">
        <v>98</v>
      </c>
      <c r="B78" s="203" t="s">
        <v>98</v>
      </c>
      <c r="C78" s="203" t="s">
        <v>165</v>
      </c>
      <c r="D78" s="203" t="s">
        <v>130</v>
      </c>
      <c r="E78" s="203" t="s">
        <v>131</v>
      </c>
      <c r="F78" s="221">
        <v>22074.14</v>
      </c>
      <c r="G78" s="141">
        <v>0</v>
      </c>
      <c r="H78" s="157">
        <f>+F78+G78</f>
        <v>22074.14</v>
      </c>
      <c r="I78" s="157">
        <f>+H78</f>
        <v>22074.14</v>
      </c>
      <c r="J78" s="227">
        <f>+I78/H78</f>
        <v>1</v>
      </c>
      <c r="L78" s="204">
        <v>2008</v>
      </c>
      <c r="M78" s="204">
        <v>10</v>
      </c>
      <c r="N78" s="203" t="s">
        <v>166</v>
      </c>
      <c r="O78" s="205">
        <v>39734</v>
      </c>
    </row>
    <row r="79" spans="1:15" s="117" customFormat="1">
      <c r="A79" s="203"/>
      <c r="B79" s="203"/>
      <c r="C79" s="203"/>
      <c r="D79" s="203"/>
      <c r="E79" s="209" t="s">
        <v>387</v>
      </c>
      <c r="F79" s="240">
        <f>+F78</f>
        <v>22074.14</v>
      </c>
      <c r="G79" s="140">
        <f>+G78</f>
        <v>0</v>
      </c>
      <c r="H79" s="129">
        <f>+H78</f>
        <v>22074.14</v>
      </c>
      <c r="I79" s="129">
        <f>+I78</f>
        <v>22074.14</v>
      </c>
      <c r="J79" s="227"/>
      <c r="L79" s="204"/>
      <c r="M79" s="204"/>
      <c r="N79" s="203"/>
      <c r="O79" s="205"/>
    </row>
    <row r="80" spans="1:15" s="117" customFormat="1">
      <c r="A80" s="203" t="s">
        <v>98</v>
      </c>
      <c r="B80" s="203" t="s">
        <v>98</v>
      </c>
      <c r="C80" s="203" t="s">
        <v>169</v>
      </c>
      <c r="D80" s="203" t="s">
        <v>130</v>
      </c>
      <c r="E80" s="203" t="s">
        <v>131</v>
      </c>
      <c r="F80" s="221">
        <v>13257.4</v>
      </c>
      <c r="G80" s="141">
        <v>0</v>
      </c>
      <c r="H80" s="157">
        <f>+F80+G80</f>
        <v>13257.4</v>
      </c>
      <c r="I80" s="157">
        <f>+H80</f>
        <v>13257.4</v>
      </c>
      <c r="J80" s="227">
        <f>+I80/H80</f>
        <v>1</v>
      </c>
      <c r="L80" s="204">
        <v>2008</v>
      </c>
      <c r="M80" s="204">
        <v>11</v>
      </c>
      <c r="N80" s="203" t="s">
        <v>170</v>
      </c>
      <c r="O80" s="205">
        <v>39757</v>
      </c>
    </row>
    <row r="81" spans="1:15" s="117" customFormat="1">
      <c r="A81" s="203"/>
      <c r="B81" s="203"/>
      <c r="C81" s="203"/>
      <c r="D81" s="203"/>
      <c r="E81" s="209" t="s">
        <v>387</v>
      </c>
      <c r="F81" s="240">
        <f>+F80</f>
        <v>13257.4</v>
      </c>
      <c r="G81" s="140">
        <f>+G80</f>
        <v>0</v>
      </c>
      <c r="H81" s="129">
        <f>+H80</f>
        <v>13257.4</v>
      </c>
      <c r="I81" s="129">
        <f>+I80</f>
        <v>13257.4</v>
      </c>
      <c r="J81" s="227"/>
      <c r="L81" s="204"/>
      <c r="M81" s="204"/>
      <c r="N81" s="203"/>
      <c r="O81" s="205"/>
    </row>
    <row r="82" spans="1:15" s="117" customFormat="1">
      <c r="A82" s="211" t="s">
        <v>98</v>
      </c>
      <c r="B82" s="211" t="s">
        <v>98</v>
      </c>
      <c r="C82" s="211" t="s">
        <v>174</v>
      </c>
      <c r="D82" s="211" t="s">
        <v>130</v>
      </c>
      <c r="E82" s="211" t="s">
        <v>131</v>
      </c>
      <c r="F82" s="221">
        <v>4699.5</v>
      </c>
      <c r="G82" s="141">
        <v>0</v>
      </c>
      <c r="H82" s="157">
        <f>+F82+G82</f>
        <v>4699.5</v>
      </c>
      <c r="I82" s="157">
        <f>+H82</f>
        <v>4699.5</v>
      </c>
      <c r="J82" s="227">
        <f>+I82/H82</f>
        <v>1</v>
      </c>
      <c r="L82" s="212">
        <v>2008</v>
      </c>
      <c r="M82" s="212">
        <v>12</v>
      </c>
      <c r="N82" s="211" t="s">
        <v>175</v>
      </c>
      <c r="O82" s="213">
        <v>39813</v>
      </c>
    </row>
    <row r="83" spans="1:15" s="117" customFormat="1">
      <c r="A83" s="217" t="s">
        <v>98</v>
      </c>
      <c r="B83" s="217" t="s">
        <v>98</v>
      </c>
      <c r="C83" s="211" t="s">
        <v>176</v>
      </c>
      <c r="D83" s="211" t="s">
        <v>130</v>
      </c>
      <c r="E83" s="211" t="s">
        <v>131</v>
      </c>
      <c r="F83" s="221">
        <v>13031.14</v>
      </c>
      <c r="G83" s="141">
        <v>0</v>
      </c>
      <c r="H83" s="157">
        <f>+F83+G83</f>
        <v>13031.14</v>
      </c>
      <c r="I83" s="157">
        <f>+H83</f>
        <v>13031.14</v>
      </c>
      <c r="J83" s="227">
        <f>+I83/H83</f>
        <v>1</v>
      </c>
      <c r="L83" s="212">
        <v>2008</v>
      </c>
      <c r="M83" s="212">
        <v>12</v>
      </c>
      <c r="N83" s="211" t="s">
        <v>177</v>
      </c>
      <c r="O83" s="213">
        <v>39784</v>
      </c>
    </row>
    <row r="84" spans="1:15" s="117" customFormat="1">
      <c r="A84" s="217"/>
      <c r="B84" s="217"/>
      <c r="C84" s="211"/>
      <c r="D84" s="211"/>
      <c r="E84" s="209" t="s">
        <v>387</v>
      </c>
      <c r="F84" s="240">
        <f>+F83+F82</f>
        <v>17730.64</v>
      </c>
      <c r="G84" s="140">
        <f>+G83+G82</f>
        <v>0</v>
      </c>
      <c r="H84" s="129">
        <f>+H83+H82</f>
        <v>17730.64</v>
      </c>
      <c r="I84" s="129">
        <f>+I83+I82</f>
        <v>17730.64</v>
      </c>
      <c r="J84" s="227"/>
      <c r="L84" s="212"/>
      <c r="M84" s="212"/>
      <c r="N84" s="211"/>
      <c r="O84" s="213"/>
    </row>
    <row r="85" spans="1:15" s="117" customFormat="1">
      <c r="A85" s="218" t="s">
        <v>98</v>
      </c>
      <c r="B85" s="218" t="s">
        <v>98</v>
      </c>
      <c r="C85" s="206" t="s">
        <v>194</v>
      </c>
      <c r="D85" s="206" t="s">
        <v>130</v>
      </c>
      <c r="E85" s="206" t="s">
        <v>131</v>
      </c>
      <c r="F85" s="221">
        <v>513.79999999999995</v>
      </c>
      <c r="G85" s="141">
        <v>0</v>
      </c>
      <c r="H85" s="157">
        <f>+F85+G85</f>
        <v>513.79999999999995</v>
      </c>
      <c r="I85" s="157">
        <f>+H85</f>
        <v>513.79999999999995</v>
      </c>
      <c r="J85" s="227">
        <f>+I85/H85</f>
        <v>1</v>
      </c>
      <c r="L85" s="207">
        <v>2009</v>
      </c>
      <c r="M85" s="207">
        <v>4</v>
      </c>
      <c r="N85" s="206" t="s">
        <v>195</v>
      </c>
      <c r="O85" s="208">
        <v>39912</v>
      </c>
    </row>
    <row r="86" spans="1:15" s="117" customFormat="1">
      <c r="A86" s="218"/>
      <c r="B86" s="218"/>
      <c r="C86" s="206"/>
      <c r="D86" s="206"/>
      <c r="E86" s="209" t="s">
        <v>387</v>
      </c>
      <c r="F86" s="240">
        <f>+F85</f>
        <v>513.79999999999995</v>
      </c>
      <c r="G86" s="140">
        <f>+G85</f>
        <v>0</v>
      </c>
      <c r="H86" s="129">
        <f>+H85</f>
        <v>513.79999999999995</v>
      </c>
      <c r="I86" s="129">
        <f>+I85</f>
        <v>513.79999999999995</v>
      </c>
      <c r="J86" s="227"/>
      <c r="L86" s="207"/>
      <c r="M86" s="207"/>
      <c r="N86" s="206"/>
      <c r="O86" s="208"/>
    </row>
    <row r="87" spans="1:15" s="117" customFormat="1">
      <c r="A87" s="206" t="s">
        <v>98</v>
      </c>
      <c r="B87" s="206" t="s">
        <v>98</v>
      </c>
      <c r="C87" s="206" t="s">
        <v>202</v>
      </c>
      <c r="D87" s="206" t="s">
        <v>130</v>
      </c>
      <c r="E87" s="206" t="s">
        <v>131</v>
      </c>
      <c r="F87" s="221">
        <v>655.74</v>
      </c>
      <c r="G87" s="141">
        <v>0</v>
      </c>
      <c r="H87" s="157">
        <f>+F87+G87</f>
        <v>655.74</v>
      </c>
      <c r="I87" s="157">
        <f>+H87</f>
        <v>655.74</v>
      </c>
      <c r="J87" s="227">
        <f>+I87/H87</f>
        <v>1</v>
      </c>
      <c r="L87" s="207">
        <v>2009</v>
      </c>
      <c r="M87" s="207">
        <v>5</v>
      </c>
      <c r="N87" s="206" t="s">
        <v>203</v>
      </c>
      <c r="O87" s="219">
        <v>39854</v>
      </c>
    </row>
    <row r="88" spans="1:15" s="117" customFormat="1">
      <c r="A88" s="206"/>
      <c r="B88" s="206"/>
      <c r="C88" s="206"/>
      <c r="D88" s="206"/>
      <c r="E88" s="209" t="s">
        <v>387</v>
      </c>
      <c r="F88" s="240">
        <f>+F87</f>
        <v>655.74</v>
      </c>
      <c r="G88" s="140">
        <f>+G87</f>
        <v>0</v>
      </c>
      <c r="H88" s="129">
        <f>+H87</f>
        <v>655.74</v>
      </c>
      <c r="I88" s="129">
        <f>+I87</f>
        <v>655.74</v>
      </c>
      <c r="J88" s="227"/>
      <c r="L88" s="207"/>
      <c r="M88" s="207"/>
      <c r="N88" s="206"/>
      <c r="O88" s="219"/>
    </row>
    <row r="89" spans="1:15" s="117" customFormat="1">
      <c r="A89" s="214" t="s">
        <v>98</v>
      </c>
      <c r="B89" s="214" t="s">
        <v>98</v>
      </c>
      <c r="C89" s="214" t="s">
        <v>212</v>
      </c>
      <c r="D89" s="214" t="s">
        <v>130</v>
      </c>
      <c r="E89" s="214" t="s">
        <v>131</v>
      </c>
      <c r="F89" s="221">
        <v>8699.75</v>
      </c>
      <c r="G89" s="141">
        <v>0</v>
      </c>
      <c r="H89" s="157">
        <f>+F89+G89</f>
        <v>8699.75</v>
      </c>
      <c r="I89" s="157">
        <f>+H89</f>
        <v>8699.75</v>
      </c>
      <c r="J89" s="227">
        <f>+I89/H89</f>
        <v>1</v>
      </c>
      <c r="L89" s="215">
        <v>2009</v>
      </c>
      <c r="M89" s="215">
        <v>8</v>
      </c>
      <c r="N89" s="214" t="s">
        <v>213</v>
      </c>
      <c r="O89" s="216">
        <v>40035</v>
      </c>
    </row>
    <row r="90" spans="1:15" s="117" customFormat="1">
      <c r="A90" s="214"/>
      <c r="B90" s="214"/>
      <c r="C90" s="214"/>
      <c r="D90" s="214"/>
      <c r="E90" s="209" t="s">
        <v>387</v>
      </c>
      <c r="F90" s="240">
        <f>+F89</f>
        <v>8699.75</v>
      </c>
      <c r="G90" s="140">
        <f>+G89</f>
        <v>0</v>
      </c>
      <c r="H90" s="129">
        <f>+H89</f>
        <v>8699.75</v>
      </c>
      <c r="I90" s="129">
        <f>+I89</f>
        <v>8699.75</v>
      </c>
      <c r="J90" s="227"/>
      <c r="L90" s="215"/>
      <c r="M90" s="215"/>
      <c r="N90" s="214"/>
      <c r="O90" s="216"/>
    </row>
    <row r="91" spans="1:15" s="117" customFormat="1">
      <c r="A91" s="214" t="s">
        <v>98</v>
      </c>
      <c r="B91" s="214" t="s">
        <v>98</v>
      </c>
      <c r="C91" s="214" t="s">
        <v>228</v>
      </c>
      <c r="D91" s="214" t="s">
        <v>130</v>
      </c>
      <c r="E91" s="214" t="s">
        <v>131</v>
      </c>
      <c r="F91" s="221">
        <v>969</v>
      </c>
      <c r="G91" s="141">
        <v>0</v>
      </c>
      <c r="H91" s="157">
        <f>+F91+G91</f>
        <v>969</v>
      </c>
      <c r="I91" s="157">
        <f>+H91</f>
        <v>969</v>
      </c>
      <c r="J91" s="227">
        <f>+I91/H91</f>
        <v>1</v>
      </c>
      <c r="L91" s="215">
        <v>2010</v>
      </c>
      <c r="M91" s="215">
        <v>4</v>
      </c>
      <c r="N91" s="214" t="s">
        <v>229</v>
      </c>
      <c r="O91" s="216">
        <v>40273</v>
      </c>
    </row>
    <row r="92" spans="1:15" s="117" customFormat="1">
      <c r="A92" s="214"/>
      <c r="B92" s="214"/>
      <c r="C92" s="214"/>
      <c r="D92" s="214"/>
      <c r="E92" s="209" t="s">
        <v>387</v>
      </c>
      <c r="F92" s="240">
        <f>+F91</f>
        <v>969</v>
      </c>
      <c r="G92" s="140">
        <f>+G91</f>
        <v>0</v>
      </c>
      <c r="H92" s="129">
        <f>+H91</f>
        <v>969</v>
      </c>
      <c r="I92" s="129">
        <f>+I91</f>
        <v>969</v>
      </c>
      <c r="J92" s="227"/>
      <c r="L92" s="215"/>
      <c r="M92" s="215"/>
      <c r="N92" s="214"/>
      <c r="O92" s="216"/>
    </row>
    <row r="93" spans="1:15" s="117" customFormat="1">
      <c r="A93" s="220" t="s">
        <v>98</v>
      </c>
      <c r="B93" s="220" t="s">
        <v>98</v>
      </c>
      <c r="C93" s="220" t="s">
        <v>234</v>
      </c>
      <c r="D93" s="220" t="s">
        <v>130</v>
      </c>
      <c r="E93" s="220" t="s">
        <v>131</v>
      </c>
      <c r="F93" s="221">
        <v>1938</v>
      </c>
      <c r="G93" s="141">
        <v>0</v>
      </c>
      <c r="H93" s="157">
        <f>+F93+G93</f>
        <v>1938</v>
      </c>
      <c r="I93" s="157">
        <f>+H93</f>
        <v>1938</v>
      </c>
      <c r="J93" s="227">
        <f>+I93/H93</f>
        <v>1</v>
      </c>
      <c r="L93" s="222">
        <v>2010</v>
      </c>
      <c r="M93" s="222">
        <v>5</v>
      </c>
      <c r="N93" s="220" t="s">
        <v>235</v>
      </c>
      <c r="O93" s="223">
        <v>40304</v>
      </c>
    </row>
    <row r="94" spans="1:15" s="117" customFormat="1">
      <c r="A94" s="220"/>
      <c r="B94" s="220"/>
      <c r="C94" s="220"/>
      <c r="D94" s="220"/>
      <c r="E94" s="209" t="s">
        <v>387</v>
      </c>
      <c r="F94" s="240">
        <f>+F93</f>
        <v>1938</v>
      </c>
      <c r="G94" s="242">
        <f>+G93</f>
        <v>0</v>
      </c>
      <c r="H94" s="240">
        <f>+H93</f>
        <v>1938</v>
      </c>
      <c r="I94" s="240">
        <f>+I93</f>
        <v>1938</v>
      </c>
      <c r="J94" s="227"/>
      <c r="L94" s="222"/>
      <c r="M94" s="222"/>
      <c r="N94" s="220"/>
      <c r="O94" s="223"/>
    </row>
    <row r="95" spans="1:15" s="117" customFormat="1">
      <c r="A95" s="220" t="s">
        <v>98</v>
      </c>
      <c r="B95" s="220" t="s">
        <v>98</v>
      </c>
      <c r="C95" s="224" t="s">
        <v>242</v>
      </c>
      <c r="D95" s="224" t="s">
        <v>130</v>
      </c>
      <c r="E95" s="224" t="s">
        <v>131</v>
      </c>
      <c r="F95" s="221">
        <v>741</v>
      </c>
      <c r="G95" s="141">
        <v>0</v>
      </c>
      <c r="H95" s="157">
        <f>+F95+G95</f>
        <v>741</v>
      </c>
      <c r="I95" s="157">
        <f>+H95</f>
        <v>741</v>
      </c>
      <c r="J95" s="227">
        <f>+I95/H95</f>
        <v>1</v>
      </c>
      <c r="L95" s="225">
        <v>2010</v>
      </c>
      <c r="M95" s="225">
        <v>10</v>
      </c>
      <c r="N95" s="224" t="s">
        <v>243</v>
      </c>
      <c r="O95" s="226">
        <v>40457</v>
      </c>
    </row>
    <row r="96" spans="1:15" s="117" customFormat="1">
      <c r="A96" s="220"/>
      <c r="B96" s="220"/>
      <c r="C96" s="224"/>
      <c r="D96" s="224"/>
      <c r="E96" s="209" t="s">
        <v>387</v>
      </c>
      <c r="F96" s="240">
        <f>+F95</f>
        <v>741</v>
      </c>
      <c r="G96" s="140">
        <f>+G95</f>
        <v>0</v>
      </c>
      <c r="H96" s="129">
        <f>+H95</f>
        <v>741</v>
      </c>
      <c r="I96" s="129">
        <f>+I95</f>
        <v>741</v>
      </c>
      <c r="J96" s="227"/>
      <c r="L96" s="225"/>
      <c r="M96" s="225"/>
      <c r="N96" s="224"/>
      <c r="O96" s="226"/>
    </row>
    <row r="97" spans="1:15" s="117" customFormat="1">
      <c r="A97" s="220" t="s">
        <v>98</v>
      </c>
      <c r="B97" s="220" t="s">
        <v>98</v>
      </c>
      <c r="C97" s="203" t="s">
        <v>246</v>
      </c>
      <c r="D97" s="203" t="s">
        <v>130</v>
      </c>
      <c r="E97" s="203" t="s">
        <v>131</v>
      </c>
      <c r="F97" s="221">
        <v>285</v>
      </c>
      <c r="G97" s="141">
        <v>0</v>
      </c>
      <c r="H97" s="157">
        <f>+F97+G97</f>
        <v>285</v>
      </c>
      <c r="I97" s="157">
        <f>+H97</f>
        <v>285</v>
      </c>
      <c r="J97" s="227">
        <f>+I97/H97</f>
        <v>1</v>
      </c>
      <c r="L97" s="204">
        <v>2010</v>
      </c>
      <c r="M97" s="204">
        <v>11</v>
      </c>
      <c r="N97" s="203" t="s">
        <v>247</v>
      </c>
      <c r="O97" s="205">
        <v>40490</v>
      </c>
    </row>
    <row r="98" spans="1:15" s="117" customFormat="1">
      <c r="A98" s="220"/>
      <c r="B98" s="220"/>
      <c r="C98" s="203"/>
      <c r="D98" s="203"/>
      <c r="E98" s="209" t="s">
        <v>387</v>
      </c>
      <c r="F98" s="240">
        <f>+F97</f>
        <v>285</v>
      </c>
      <c r="G98" s="140">
        <f>+G97</f>
        <v>0</v>
      </c>
      <c r="H98" s="129">
        <f>+H97</f>
        <v>285</v>
      </c>
      <c r="I98" s="129">
        <f>+I97</f>
        <v>285</v>
      </c>
      <c r="J98" s="227"/>
      <c r="L98" s="204"/>
      <c r="M98" s="204"/>
      <c r="N98" s="203"/>
      <c r="O98" s="205"/>
    </row>
    <row r="99" spans="1:15" s="117" customFormat="1">
      <c r="A99" s="220" t="s">
        <v>98</v>
      </c>
      <c r="B99" s="220" t="s">
        <v>98</v>
      </c>
      <c r="C99" s="203" t="s">
        <v>252</v>
      </c>
      <c r="D99" s="203" t="s">
        <v>130</v>
      </c>
      <c r="E99" s="203" t="s">
        <v>131</v>
      </c>
      <c r="F99" s="221">
        <v>3627.06</v>
      </c>
      <c r="G99" s="141">
        <v>0</v>
      </c>
      <c r="H99" s="157">
        <f>+F99+G99</f>
        <v>3627.06</v>
      </c>
      <c r="I99" s="157">
        <f>+H99</f>
        <v>3627.06</v>
      </c>
      <c r="J99" s="227">
        <f>+I99/H99</f>
        <v>1</v>
      </c>
      <c r="L99" s="204">
        <v>2010</v>
      </c>
      <c r="M99" s="204">
        <v>12</v>
      </c>
      <c r="N99" s="203" t="s">
        <v>253</v>
      </c>
      <c r="O99" s="205">
        <v>40519</v>
      </c>
    </row>
    <row r="100" spans="1:15" s="117" customFormat="1">
      <c r="A100" s="220"/>
      <c r="B100" s="220"/>
      <c r="C100" s="203"/>
      <c r="D100" s="203"/>
      <c r="E100" s="209" t="s">
        <v>387</v>
      </c>
      <c r="F100" s="240">
        <f>+F99</f>
        <v>3627.06</v>
      </c>
      <c r="G100" s="140">
        <f>+G99</f>
        <v>0</v>
      </c>
      <c r="H100" s="129">
        <f>+H99</f>
        <v>3627.06</v>
      </c>
      <c r="I100" s="129">
        <f>+I99</f>
        <v>3627.06</v>
      </c>
      <c r="J100" s="227"/>
      <c r="L100" s="204"/>
      <c r="M100" s="204"/>
      <c r="N100" s="203"/>
      <c r="O100" s="205"/>
    </row>
    <row r="101" spans="1:15">
      <c r="E101" s="203" t="s">
        <v>421</v>
      </c>
      <c r="F101" s="111">
        <f>+F100+F98+F96+F94+F92+F90+F88+F86+F84+F81+F79+F77+F75+F73+F71+F69+F67</f>
        <v>147341.07999999999</v>
      </c>
      <c r="G101" s="110">
        <f>+G100+G98+G96+G94+G92+G90+G88+G86+G84+G81+G79+G77+G75+G73+G71+G69+G67</f>
        <v>0</v>
      </c>
      <c r="H101" s="110">
        <f>+H100+H98+H96+H94+H92+H90+H88+H86+H84+H81+H79+H77+H75+H73+H71+H69+H67</f>
        <v>147341.07999999999</v>
      </c>
      <c r="I101" s="110">
        <f>+I100+I98+I96+I94+I92+I90+I88+I86+I84+I81+I79+I77+I75+I73+I71+I69+I67</f>
        <v>147341.07999999999</v>
      </c>
    </row>
    <row r="102" spans="1:15" s="117" customFormat="1">
      <c r="C102" s="234"/>
      <c r="D102" s="234"/>
      <c r="E102" s="234"/>
      <c r="F102" s="176"/>
      <c r="G102" s="141"/>
      <c r="H102" s="157"/>
      <c r="I102" s="157"/>
      <c r="J102" s="227"/>
      <c r="N102" s="234"/>
      <c r="O102" s="235"/>
    </row>
    <row r="103" spans="1:15" s="117" customFormat="1">
      <c r="A103" s="204" t="s">
        <v>98</v>
      </c>
      <c r="B103" s="204" t="s">
        <v>98</v>
      </c>
      <c r="C103" s="209" t="s">
        <v>263</v>
      </c>
      <c r="D103" s="209" t="s">
        <v>97</v>
      </c>
      <c r="E103" s="209" t="s">
        <v>96</v>
      </c>
      <c r="F103" s="231">
        <v>9782.09</v>
      </c>
      <c r="G103" s="141">
        <v>0</v>
      </c>
      <c r="H103" s="157">
        <f>+F103+G103</f>
        <v>9782.09</v>
      </c>
      <c r="I103" s="157">
        <f>+H103</f>
        <v>9782.09</v>
      </c>
      <c r="J103" s="227">
        <f>+I103/H103</f>
        <v>1</v>
      </c>
      <c r="L103" s="209">
        <v>2008</v>
      </c>
      <c r="M103" s="209">
        <v>2</v>
      </c>
      <c r="N103" s="209" t="s">
        <v>264</v>
      </c>
      <c r="O103" s="210">
        <v>39500</v>
      </c>
    </row>
    <row r="104" spans="1:15" s="117" customFormat="1">
      <c r="A104" s="230" t="s">
        <v>98</v>
      </c>
      <c r="B104" s="230" t="s">
        <v>98</v>
      </c>
      <c r="C104" s="127" t="s">
        <v>99</v>
      </c>
      <c r="D104" s="127" t="s">
        <v>97</v>
      </c>
      <c r="E104" s="127" t="s">
        <v>96</v>
      </c>
      <c r="F104" s="231">
        <v>294.5</v>
      </c>
      <c r="G104" s="243">
        <v>0</v>
      </c>
      <c r="H104" s="176">
        <f>+F104+G104</f>
        <v>294.5</v>
      </c>
      <c r="I104" s="176">
        <v>228.47</v>
      </c>
      <c r="J104" s="180">
        <f>+I104/H104</f>
        <v>0.77578947368421047</v>
      </c>
      <c r="L104" s="127">
        <v>2008</v>
      </c>
      <c r="M104" s="127">
        <v>2</v>
      </c>
      <c r="N104" s="127" t="s">
        <v>100</v>
      </c>
      <c r="O104" s="232">
        <v>39500</v>
      </c>
    </row>
    <row r="105" spans="1:15" s="117" customFormat="1">
      <c r="A105" s="230"/>
      <c r="B105" s="230"/>
      <c r="C105" s="127"/>
      <c r="D105" s="127"/>
      <c r="E105" s="209" t="s">
        <v>387</v>
      </c>
      <c r="F105" s="240">
        <f>+F104+F103</f>
        <v>10076.59</v>
      </c>
      <c r="G105" s="129">
        <f>+G104+G103</f>
        <v>0</v>
      </c>
      <c r="H105" s="129">
        <f>+H104+H103</f>
        <v>10076.59</v>
      </c>
      <c r="I105" s="129">
        <f>+I104+I103</f>
        <v>10010.56</v>
      </c>
      <c r="J105" s="180"/>
      <c r="L105" s="127"/>
      <c r="M105" s="127"/>
      <c r="N105" s="127"/>
      <c r="O105" s="232"/>
    </row>
    <row r="106" spans="1:15" s="117" customFormat="1">
      <c r="A106" s="204" t="s">
        <v>61</v>
      </c>
      <c r="B106" s="204" t="s">
        <v>61</v>
      </c>
      <c r="C106" s="209" t="s">
        <v>136</v>
      </c>
      <c r="D106" s="209" t="s">
        <v>97</v>
      </c>
      <c r="E106" s="209" t="s">
        <v>96</v>
      </c>
      <c r="F106" s="231">
        <v>208.5</v>
      </c>
      <c r="G106" s="141">
        <v>0</v>
      </c>
      <c r="H106" s="157">
        <f>+F106+G106</f>
        <v>208.5</v>
      </c>
      <c r="I106" s="157">
        <f>+H106</f>
        <v>208.5</v>
      </c>
      <c r="J106" s="227">
        <f>+I106/H106</f>
        <v>1</v>
      </c>
      <c r="L106" s="209">
        <v>2008</v>
      </c>
      <c r="M106" s="209">
        <v>3</v>
      </c>
      <c r="N106" s="209" t="s">
        <v>137</v>
      </c>
      <c r="O106" s="210">
        <v>39524</v>
      </c>
    </row>
    <row r="107" spans="1:15" s="117" customFormat="1">
      <c r="A107" s="230" t="s">
        <v>98</v>
      </c>
      <c r="B107" s="230" t="s">
        <v>98</v>
      </c>
      <c r="C107" s="127" t="s">
        <v>94</v>
      </c>
      <c r="D107" s="127" t="s">
        <v>97</v>
      </c>
      <c r="E107" s="127" t="s">
        <v>96</v>
      </c>
      <c r="F107" s="231">
        <v>18</v>
      </c>
      <c r="G107" s="243">
        <v>0</v>
      </c>
      <c r="H107" s="176">
        <f>+F107+G107</f>
        <v>18</v>
      </c>
      <c r="I107" s="176">
        <v>13.93</v>
      </c>
      <c r="J107" s="180">
        <f>+I107/H107</f>
        <v>0.77388888888888885</v>
      </c>
      <c r="L107" s="127">
        <v>2008</v>
      </c>
      <c r="M107" s="127">
        <v>3</v>
      </c>
      <c r="N107" s="127" t="s">
        <v>95</v>
      </c>
      <c r="O107" s="232">
        <v>39524</v>
      </c>
    </row>
    <row r="108" spans="1:15" s="117" customFormat="1">
      <c r="A108" s="230"/>
      <c r="B108" s="230"/>
      <c r="C108" s="127"/>
      <c r="D108" s="127"/>
      <c r="E108" s="209" t="s">
        <v>387</v>
      </c>
      <c r="F108" s="240">
        <f>+F107+F106</f>
        <v>226.5</v>
      </c>
      <c r="G108" s="129">
        <f>+G107+G106</f>
        <v>0</v>
      </c>
      <c r="H108" s="129">
        <f>+H107+H106</f>
        <v>226.5</v>
      </c>
      <c r="I108" s="129">
        <f>+I107+I106</f>
        <v>222.43</v>
      </c>
      <c r="J108" s="180"/>
      <c r="L108" s="127"/>
      <c r="M108" s="127"/>
      <c r="N108" s="127"/>
      <c r="O108" s="232"/>
    </row>
    <row r="109" spans="1:15" s="117" customFormat="1">
      <c r="A109" s="204" t="s">
        <v>98</v>
      </c>
      <c r="B109" s="204" t="s">
        <v>98</v>
      </c>
      <c r="C109" s="209" t="s">
        <v>132</v>
      </c>
      <c r="D109" s="209" t="s">
        <v>97</v>
      </c>
      <c r="E109" s="209" t="s">
        <v>96</v>
      </c>
      <c r="F109" s="231">
        <v>1321.79</v>
      </c>
      <c r="G109" s="141">
        <v>0</v>
      </c>
      <c r="H109" s="157">
        <f>+F109+G109</f>
        <v>1321.79</v>
      </c>
      <c r="I109" s="157">
        <f>+H109</f>
        <v>1321.79</v>
      </c>
      <c r="J109" s="227">
        <f>+I109/H109</f>
        <v>1</v>
      </c>
      <c r="L109" s="209">
        <v>2008</v>
      </c>
      <c r="M109" s="209">
        <v>4</v>
      </c>
      <c r="N109" s="209" t="s">
        <v>133</v>
      </c>
      <c r="O109" s="210">
        <v>39552</v>
      </c>
    </row>
    <row r="110" spans="1:15" s="117" customFormat="1">
      <c r="A110" s="230" t="s">
        <v>98</v>
      </c>
      <c r="B110" s="230" t="s">
        <v>98</v>
      </c>
      <c r="C110" s="127" t="s">
        <v>101</v>
      </c>
      <c r="D110" s="127" t="s">
        <v>97</v>
      </c>
      <c r="E110" s="127" t="s">
        <v>96</v>
      </c>
      <c r="F110" s="231">
        <v>4943.29</v>
      </c>
      <c r="G110" s="243">
        <v>0</v>
      </c>
      <c r="H110" s="176">
        <f>+F110+G110</f>
        <v>4943.29</v>
      </c>
      <c r="I110" s="176">
        <v>3831.92</v>
      </c>
      <c r="J110" s="180">
        <f>+I110/H110</f>
        <v>0.77517604672192009</v>
      </c>
      <c r="L110" s="127">
        <v>2008</v>
      </c>
      <c r="M110" s="127">
        <v>4</v>
      </c>
      <c r="N110" s="127" t="s">
        <v>102</v>
      </c>
      <c r="O110" s="232">
        <v>39552</v>
      </c>
    </row>
    <row r="111" spans="1:15" s="117" customFormat="1">
      <c r="A111" s="230"/>
      <c r="B111" s="230"/>
      <c r="C111" s="127"/>
      <c r="D111" s="127"/>
      <c r="E111" s="209" t="s">
        <v>387</v>
      </c>
      <c r="F111" s="240">
        <f>+F110+F109</f>
        <v>6265.08</v>
      </c>
      <c r="G111" s="129">
        <f>+G110+G109</f>
        <v>0</v>
      </c>
      <c r="H111" s="129">
        <f>+H110+H109</f>
        <v>6265.08</v>
      </c>
      <c r="I111" s="129">
        <f>+I110+I109</f>
        <v>5153.71</v>
      </c>
      <c r="J111" s="180"/>
      <c r="L111" s="127"/>
      <c r="M111" s="127"/>
      <c r="N111" s="127"/>
      <c r="O111" s="232"/>
    </row>
    <row r="112" spans="1:15" s="117" customFormat="1">
      <c r="A112" s="204" t="s">
        <v>98</v>
      </c>
      <c r="B112" s="204" t="s">
        <v>98</v>
      </c>
      <c r="C112" s="209" t="s">
        <v>138</v>
      </c>
      <c r="D112" s="209" t="s">
        <v>97</v>
      </c>
      <c r="E112" s="209" t="s">
        <v>96</v>
      </c>
      <c r="F112" s="231">
        <v>449.98</v>
      </c>
      <c r="G112" s="141">
        <v>0</v>
      </c>
      <c r="H112" s="157">
        <f>+F112+G112</f>
        <v>449.98</v>
      </c>
      <c r="I112" s="157">
        <f>+H112</f>
        <v>449.98</v>
      </c>
      <c r="J112" s="227">
        <f>+I112/H112</f>
        <v>1</v>
      </c>
      <c r="L112" s="209">
        <v>2008</v>
      </c>
      <c r="M112" s="209">
        <v>5</v>
      </c>
      <c r="N112" s="209" t="s">
        <v>139</v>
      </c>
      <c r="O112" s="210">
        <v>39591</v>
      </c>
    </row>
    <row r="113" spans="1:34" s="117" customFormat="1">
      <c r="A113" s="230" t="s">
        <v>98</v>
      </c>
      <c r="B113" s="230" t="s">
        <v>98</v>
      </c>
      <c r="C113" s="127" t="s">
        <v>103</v>
      </c>
      <c r="D113" s="127" t="s">
        <v>97</v>
      </c>
      <c r="E113" s="127" t="s">
        <v>96</v>
      </c>
      <c r="F113" s="231">
        <v>1991.33</v>
      </c>
      <c r="G113" s="243">
        <v>0</v>
      </c>
      <c r="H113" s="176">
        <f>+F113+G113</f>
        <v>1991.33</v>
      </c>
      <c r="I113" s="176">
        <v>1543.63</v>
      </c>
      <c r="J113" s="180">
        <f>+I113/H113</f>
        <v>0.77517538529525498</v>
      </c>
      <c r="L113" s="127">
        <v>2008</v>
      </c>
      <c r="M113" s="127">
        <v>5</v>
      </c>
      <c r="N113" s="127" t="s">
        <v>104</v>
      </c>
      <c r="O113" s="232">
        <v>39591</v>
      </c>
    </row>
    <row r="114" spans="1:34" s="117" customFormat="1">
      <c r="A114" s="230"/>
      <c r="B114" s="230"/>
      <c r="C114" s="127"/>
      <c r="D114" s="127"/>
      <c r="E114" s="209" t="s">
        <v>387</v>
      </c>
      <c r="F114" s="240">
        <f>+F113+F112</f>
        <v>2441.31</v>
      </c>
      <c r="G114" s="129">
        <f>+G113+G112</f>
        <v>0</v>
      </c>
      <c r="H114" s="129">
        <f>+H113+H112</f>
        <v>2441.31</v>
      </c>
      <c r="I114" s="129">
        <f>+I113+I112</f>
        <v>1993.6100000000001</v>
      </c>
      <c r="J114" s="180"/>
      <c r="L114" s="127"/>
      <c r="M114" s="127"/>
      <c r="N114" s="127"/>
      <c r="O114" s="232"/>
    </row>
    <row r="115" spans="1:34" s="117" customFormat="1">
      <c r="A115" s="204" t="s">
        <v>98</v>
      </c>
      <c r="B115" s="204" t="s">
        <v>98</v>
      </c>
      <c r="C115" s="209" t="s">
        <v>142</v>
      </c>
      <c r="D115" s="209" t="s">
        <v>97</v>
      </c>
      <c r="E115" s="209" t="s">
        <v>96</v>
      </c>
      <c r="F115" s="231">
        <v>804.76</v>
      </c>
      <c r="G115" s="141">
        <v>0</v>
      </c>
      <c r="H115" s="157">
        <f>+F115+G115</f>
        <v>804.76</v>
      </c>
      <c r="I115" s="157">
        <f>+H115</f>
        <v>804.76</v>
      </c>
      <c r="J115" s="227">
        <f>+I115/H115</f>
        <v>1</v>
      </c>
      <c r="L115" s="209">
        <v>2008</v>
      </c>
      <c r="M115" s="209">
        <v>6</v>
      </c>
      <c r="N115" s="209" t="s">
        <v>143</v>
      </c>
      <c r="O115" s="210">
        <v>39622</v>
      </c>
      <c r="P115" s="181"/>
      <c r="Q115" s="181"/>
      <c r="R115" s="181"/>
      <c r="S115" s="181"/>
      <c r="T115" s="181"/>
      <c r="U115" s="181"/>
      <c r="V115" s="181"/>
      <c r="W115" s="181"/>
      <c r="X115" s="181"/>
      <c r="Y115" s="181"/>
      <c r="Z115" s="181"/>
      <c r="AA115" s="181"/>
      <c r="AB115" s="181"/>
      <c r="AC115" s="181"/>
      <c r="AD115" s="181"/>
      <c r="AE115" s="181"/>
      <c r="AF115" s="181"/>
      <c r="AG115" s="181"/>
      <c r="AH115" s="181"/>
    </row>
    <row r="116" spans="1:34" s="117" customFormat="1">
      <c r="A116" s="230" t="s">
        <v>98</v>
      </c>
      <c r="B116" s="230" t="s">
        <v>98</v>
      </c>
      <c r="C116" s="127" t="s">
        <v>105</v>
      </c>
      <c r="D116" s="127" t="s">
        <v>97</v>
      </c>
      <c r="E116" s="127" t="s">
        <v>96</v>
      </c>
      <c r="F116" s="231">
        <v>873</v>
      </c>
      <c r="G116" s="243">
        <v>0</v>
      </c>
      <c r="H116" s="176">
        <f>+F116+G116</f>
        <v>873</v>
      </c>
      <c r="I116" s="176">
        <v>674.96</v>
      </c>
      <c r="J116" s="180">
        <f>+I116/H116</f>
        <v>0.77315005727376862</v>
      </c>
      <c r="L116" s="127">
        <v>2008</v>
      </c>
      <c r="M116" s="127">
        <v>6</v>
      </c>
      <c r="N116" s="127" t="s">
        <v>106</v>
      </c>
      <c r="O116" s="232">
        <v>39622</v>
      </c>
    </row>
    <row r="117" spans="1:34" s="117" customFormat="1">
      <c r="A117" s="230"/>
      <c r="B117" s="230"/>
      <c r="C117" s="127"/>
      <c r="D117" s="127"/>
      <c r="E117" s="209" t="s">
        <v>387</v>
      </c>
      <c r="F117" s="240">
        <f>+F116+F115</f>
        <v>1677.76</v>
      </c>
      <c r="G117" s="129">
        <f>+G116+G115</f>
        <v>0</v>
      </c>
      <c r="H117" s="129">
        <f>+H116+H115</f>
        <v>1677.76</v>
      </c>
      <c r="I117" s="129">
        <f>+I116+I115</f>
        <v>1479.72</v>
      </c>
      <c r="J117" s="180"/>
      <c r="L117" s="127"/>
      <c r="M117" s="127"/>
      <c r="N117" s="127"/>
      <c r="O117" s="232"/>
    </row>
    <row r="118" spans="1:34" s="117" customFormat="1">
      <c r="A118" s="204" t="s">
        <v>98</v>
      </c>
      <c r="B118" s="204" t="s">
        <v>98</v>
      </c>
      <c r="C118" s="203" t="s">
        <v>152</v>
      </c>
      <c r="D118" s="203" t="s">
        <v>97</v>
      </c>
      <c r="E118" s="203" t="s">
        <v>96</v>
      </c>
      <c r="F118" s="221">
        <v>873.4</v>
      </c>
      <c r="G118" s="141">
        <v>0</v>
      </c>
      <c r="H118" s="157">
        <f>+F118+G118</f>
        <v>873.4</v>
      </c>
      <c r="I118" s="157">
        <f>+H118</f>
        <v>873.4</v>
      </c>
      <c r="J118" s="227">
        <f>+I118/H118</f>
        <v>1</v>
      </c>
      <c r="L118" s="204">
        <v>2008</v>
      </c>
      <c r="M118" s="204">
        <v>8</v>
      </c>
      <c r="N118" s="203" t="s">
        <v>153</v>
      </c>
      <c r="O118" s="205">
        <v>39680</v>
      </c>
    </row>
    <row r="119" spans="1:34" s="117" customFormat="1">
      <c r="A119" s="204"/>
      <c r="B119" s="204"/>
      <c r="C119" s="203"/>
      <c r="D119" s="203"/>
      <c r="E119" s="209" t="s">
        <v>387</v>
      </c>
      <c r="F119" s="240">
        <f>+F118</f>
        <v>873.4</v>
      </c>
      <c r="G119" s="129">
        <f>+G118</f>
        <v>0</v>
      </c>
      <c r="H119" s="129">
        <f>+H118</f>
        <v>873.4</v>
      </c>
      <c r="I119" s="129">
        <f>+I118</f>
        <v>873.4</v>
      </c>
      <c r="J119" s="227"/>
      <c r="L119" s="204"/>
      <c r="M119" s="204"/>
      <c r="N119" s="203"/>
      <c r="O119" s="205"/>
    </row>
    <row r="120" spans="1:34" s="117" customFormat="1">
      <c r="A120" s="203" t="s">
        <v>98</v>
      </c>
      <c r="B120" s="203" t="s">
        <v>98</v>
      </c>
      <c r="C120" s="203" t="s">
        <v>158</v>
      </c>
      <c r="D120" s="203" t="s">
        <v>97</v>
      </c>
      <c r="E120" s="203" t="s">
        <v>96</v>
      </c>
      <c r="F120" s="221">
        <v>1073.28</v>
      </c>
      <c r="G120" s="141">
        <v>0</v>
      </c>
      <c r="H120" s="157">
        <f>+F120+G120</f>
        <v>1073.28</v>
      </c>
      <c r="I120" s="157">
        <f>+H120</f>
        <v>1073.28</v>
      </c>
      <c r="J120" s="227">
        <f>+I120/H120</f>
        <v>1</v>
      </c>
      <c r="L120" s="204">
        <v>2008</v>
      </c>
      <c r="M120" s="204">
        <v>9</v>
      </c>
      <c r="N120" s="203" t="s">
        <v>159</v>
      </c>
      <c r="O120" s="205">
        <v>39707</v>
      </c>
    </row>
    <row r="121" spans="1:34" s="117" customFormat="1">
      <c r="A121" s="203"/>
      <c r="B121" s="203"/>
      <c r="C121" s="203"/>
      <c r="D121" s="203"/>
      <c r="E121" s="209" t="s">
        <v>387</v>
      </c>
      <c r="F121" s="240">
        <f>+F120</f>
        <v>1073.28</v>
      </c>
      <c r="G121" s="129">
        <f>+G120</f>
        <v>0</v>
      </c>
      <c r="H121" s="129">
        <f>+H120</f>
        <v>1073.28</v>
      </c>
      <c r="I121" s="129">
        <f>+I120</f>
        <v>1073.28</v>
      </c>
      <c r="J121" s="227"/>
      <c r="L121" s="204"/>
      <c r="M121" s="204"/>
      <c r="N121" s="203"/>
      <c r="O121" s="205"/>
    </row>
    <row r="122" spans="1:34" s="117" customFormat="1">
      <c r="A122" s="203" t="s">
        <v>98</v>
      </c>
      <c r="B122" s="203" t="s">
        <v>98</v>
      </c>
      <c r="C122" s="203" t="s">
        <v>163</v>
      </c>
      <c r="D122" s="203" t="s">
        <v>97</v>
      </c>
      <c r="E122" s="203" t="s">
        <v>96</v>
      </c>
      <c r="F122" s="221">
        <v>8131.5</v>
      </c>
      <c r="G122" s="141">
        <v>0</v>
      </c>
      <c r="H122" s="157">
        <f>+F122+G122</f>
        <v>8131.5</v>
      </c>
      <c r="I122" s="157">
        <f>+H122</f>
        <v>8131.5</v>
      </c>
      <c r="J122" s="227">
        <f>+I122/H122</f>
        <v>1</v>
      </c>
      <c r="L122" s="204">
        <v>2008</v>
      </c>
      <c r="M122" s="204">
        <v>10</v>
      </c>
      <c r="N122" s="203" t="s">
        <v>164</v>
      </c>
      <c r="O122" s="205">
        <v>39738</v>
      </c>
    </row>
    <row r="123" spans="1:34" s="117" customFormat="1">
      <c r="A123" s="203"/>
      <c r="B123" s="203"/>
      <c r="C123" s="203"/>
      <c r="D123" s="203"/>
      <c r="E123" s="209" t="s">
        <v>387</v>
      </c>
      <c r="F123" s="240">
        <f>+F122</f>
        <v>8131.5</v>
      </c>
      <c r="G123" s="129">
        <f>+G122</f>
        <v>0</v>
      </c>
      <c r="H123" s="129">
        <f>+H122</f>
        <v>8131.5</v>
      </c>
      <c r="I123" s="129">
        <f>+I122</f>
        <v>8131.5</v>
      </c>
      <c r="J123" s="227"/>
      <c r="L123" s="204"/>
      <c r="M123" s="204"/>
      <c r="N123" s="203"/>
      <c r="O123" s="205"/>
    </row>
    <row r="124" spans="1:34" s="117" customFormat="1">
      <c r="A124" s="203" t="s">
        <v>98</v>
      </c>
      <c r="B124" s="203" t="s">
        <v>98</v>
      </c>
      <c r="C124" s="203" t="s">
        <v>167</v>
      </c>
      <c r="D124" s="203" t="s">
        <v>97</v>
      </c>
      <c r="E124" s="203" t="s">
        <v>96</v>
      </c>
      <c r="F124" s="221">
        <v>1624.5</v>
      </c>
      <c r="G124" s="141">
        <v>0</v>
      </c>
      <c r="H124" s="157">
        <f>+F124+G124</f>
        <v>1624.5</v>
      </c>
      <c r="I124" s="157">
        <f>+H124</f>
        <v>1624.5</v>
      </c>
      <c r="J124" s="227">
        <f>+I124/H124</f>
        <v>1</v>
      </c>
      <c r="L124" s="204">
        <v>2008</v>
      </c>
      <c r="M124" s="204">
        <v>11</v>
      </c>
      <c r="N124" s="203" t="s">
        <v>168</v>
      </c>
      <c r="O124" s="205">
        <v>39770</v>
      </c>
    </row>
    <row r="125" spans="1:34" s="117" customFormat="1">
      <c r="A125" s="203"/>
      <c r="B125" s="203"/>
      <c r="C125" s="203"/>
      <c r="D125" s="203"/>
      <c r="E125" s="209" t="s">
        <v>387</v>
      </c>
      <c r="F125" s="240">
        <f>+F124</f>
        <v>1624.5</v>
      </c>
      <c r="G125" s="129">
        <f>+G124</f>
        <v>0</v>
      </c>
      <c r="H125" s="129">
        <f>+H124</f>
        <v>1624.5</v>
      </c>
      <c r="I125" s="129">
        <f>+I124</f>
        <v>1624.5</v>
      </c>
      <c r="J125" s="227"/>
      <c r="L125" s="204"/>
      <c r="M125" s="204"/>
      <c r="N125" s="203"/>
      <c r="O125" s="205"/>
    </row>
    <row r="126" spans="1:34" s="117" customFormat="1">
      <c r="A126" s="211" t="s">
        <v>98</v>
      </c>
      <c r="B126" s="211" t="s">
        <v>98</v>
      </c>
      <c r="C126" s="211" t="s">
        <v>171</v>
      </c>
      <c r="D126" s="211" t="s">
        <v>97</v>
      </c>
      <c r="E126" s="211" t="s">
        <v>96</v>
      </c>
      <c r="F126" s="221">
        <v>712.5</v>
      </c>
      <c r="G126" s="141">
        <v>0</v>
      </c>
      <c r="H126" s="157">
        <f>+F126+G126</f>
        <v>712.5</v>
      </c>
      <c r="I126" s="157">
        <f>+H126</f>
        <v>712.5</v>
      </c>
      <c r="J126" s="227">
        <f>+I126/H126</f>
        <v>1</v>
      </c>
      <c r="L126" s="212">
        <v>2008</v>
      </c>
      <c r="M126" s="212">
        <v>12</v>
      </c>
      <c r="N126" s="211" t="s">
        <v>172</v>
      </c>
      <c r="O126" s="213">
        <v>39800</v>
      </c>
    </row>
    <row r="127" spans="1:34" s="117" customFormat="1">
      <c r="A127" s="211"/>
      <c r="B127" s="211"/>
      <c r="C127" s="211"/>
      <c r="D127" s="211"/>
      <c r="E127" s="209" t="s">
        <v>387</v>
      </c>
      <c r="F127" s="240">
        <f>+F126</f>
        <v>712.5</v>
      </c>
      <c r="G127" s="129">
        <f>+G126</f>
        <v>0</v>
      </c>
      <c r="H127" s="129">
        <f>+H126</f>
        <v>712.5</v>
      </c>
      <c r="I127" s="129">
        <f>+I126</f>
        <v>712.5</v>
      </c>
      <c r="J127" s="227"/>
      <c r="L127" s="212"/>
      <c r="M127" s="212"/>
      <c r="N127" s="211"/>
      <c r="O127" s="213"/>
    </row>
    <row r="128" spans="1:34" s="117" customFormat="1">
      <c r="A128" s="206" t="s">
        <v>98</v>
      </c>
      <c r="B128" s="206" t="s">
        <v>98</v>
      </c>
      <c r="C128" s="206" t="s">
        <v>178</v>
      </c>
      <c r="D128" s="206" t="s">
        <v>97</v>
      </c>
      <c r="E128" s="206" t="s">
        <v>96</v>
      </c>
      <c r="F128" s="221">
        <v>5954.66</v>
      </c>
      <c r="G128" s="141">
        <v>0</v>
      </c>
      <c r="H128" s="157">
        <f>+F128+G128</f>
        <v>5954.66</v>
      </c>
      <c r="I128" s="157">
        <f>+H128</f>
        <v>5954.66</v>
      </c>
      <c r="J128" s="227">
        <f>+I128/H128</f>
        <v>1</v>
      </c>
      <c r="L128" s="207">
        <v>2009</v>
      </c>
      <c r="M128" s="207">
        <v>1</v>
      </c>
      <c r="N128" s="206" t="s">
        <v>179</v>
      </c>
      <c r="O128" s="208">
        <v>39828</v>
      </c>
    </row>
    <row r="129" spans="1:15" s="117" customFormat="1">
      <c r="A129" s="206"/>
      <c r="B129" s="206"/>
      <c r="C129" s="206"/>
      <c r="D129" s="206"/>
      <c r="E129" s="209" t="s">
        <v>387</v>
      </c>
      <c r="F129" s="240">
        <f>+F128</f>
        <v>5954.66</v>
      </c>
      <c r="G129" s="129">
        <f>+G128</f>
        <v>0</v>
      </c>
      <c r="H129" s="129">
        <f>+H128</f>
        <v>5954.66</v>
      </c>
      <c r="I129" s="129">
        <f>+I128</f>
        <v>5954.66</v>
      </c>
      <c r="J129" s="227"/>
      <c r="L129" s="207"/>
      <c r="M129" s="207"/>
      <c r="N129" s="206"/>
      <c r="O129" s="208"/>
    </row>
    <row r="130" spans="1:15" s="117" customFormat="1">
      <c r="A130" s="206" t="s">
        <v>98</v>
      </c>
      <c r="B130" s="206" t="s">
        <v>98</v>
      </c>
      <c r="C130" s="206" t="s">
        <v>184</v>
      </c>
      <c r="D130" s="206" t="s">
        <v>97</v>
      </c>
      <c r="E130" s="206" t="s">
        <v>96</v>
      </c>
      <c r="F130" s="221">
        <v>456</v>
      </c>
      <c r="G130" s="141">
        <v>0</v>
      </c>
      <c r="H130" s="157">
        <f>+F130+G130</f>
        <v>456</v>
      </c>
      <c r="I130" s="157">
        <f>+H130</f>
        <v>456</v>
      </c>
      <c r="J130" s="227">
        <f>+I130/H130</f>
        <v>1</v>
      </c>
      <c r="L130" s="207">
        <v>2009</v>
      </c>
      <c r="M130" s="207">
        <v>2</v>
      </c>
      <c r="N130" s="206" t="s">
        <v>185</v>
      </c>
      <c r="O130" s="208">
        <v>39856</v>
      </c>
    </row>
    <row r="131" spans="1:15" s="117" customFormat="1">
      <c r="A131" s="206"/>
      <c r="B131" s="206"/>
      <c r="C131" s="206"/>
      <c r="D131" s="206"/>
      <c r="E131" s="209" t="s">
        <v>387</v>
      </c>
      <c r="F131" s="240">
        <f>+F130</f>
        <v>456</v>
      </c>
      <c r="G131" s="129">
        <f>+G130</f>
        <v>0</v>
      </c>
      <c r="H131" s="129">
        <f>+H130</f>
        <v>456</v>
      </c>
      <c r="I131" s="129">
        <f>+I130</f>
        <v>456</v>
      </c>
      <c r="J131" s="227"/>
      <c r="L131" s="207"/>
      <c r="M131" s="207"/>
      <c r="N131" s="206"/>
      <c r="O131" s="208"/>
    </row>
    <row r="132" spans="1:15" s="117" customFormat="1">
      <c r="A132" s="206" t="s">
        <v>98</v>
      </c>
      <c r="B132" s="206" t="s">
        <v>98</v>
      </c>
      <c r="C132" s="206" t="s">
        <v>186</v>
      </c>
      <c r="D132" s="206" t="s">
        <v>97</v>
      </c>
      <c r="E132" s="206" t="s">
        <v>96</v>
      </c>
      <c r="F132" s="221">
        <v>18</v>
      </c>
      <c r="G132" s="141">
        <v>0</v>
      </c>
      <c r="H132" s="157">
        <f>+F132+G132</f>
        <v>18</v>
      </c>
      <c r="I132" s="157">
        <f>+H132</f>
        <v>18</v>
      </c>
      <c r="J132" s="227">
        <f>+I132/H132</f>
        <v>1</v>
      </c>
      <c r="L132" s="207">
        <v>2009</v>
      </c>
      <c r="M132" s="207">
        <v>3</v>
      </c>
      <c r="N132" s="206" t="s">
        <v>187</v>
      </c>
      <c r="O132" s="208">
        <v>39890</v>
      </c>
    </row>
    <row r="133" spans="1:15" s="117" customFormat="1">
      <c r="A133" s="206" t="s">
        <v>98</v>
      </c>
      <c r="B133" s="206" t="s">
        <v>98</v>
      </c>
      <c r="C133" s="206" t="s">
        <v>186</v>
      </c>
      <c r="D133" s="206" t="s">
        <v>97</v>
      </c>
      <c r="E133" s="206" t="s">
        <v>96</v>
      </c>
      <c r="F133" s="221">
        <v>18</v>
      </c>
      <c r="G133" s="141">
        <v>0</v>
      </c>
      <c r="H133" s="157">
        <f>+F133+G133</f>
        <v>18</v>
      </c>
      <c r="I133" s="157">
        <f>+H133</f>
        <v>18</v>
      </c>
      <c r="J133" s="180">
        <f>+I133/H133</f>
        <v>1</v>
      </c>
      <c r="L133" s="207">
        <v>2009</v>
      </c>
      <c r="M133" s="207">
        <v>3</v>
      </c>
      <c r="N133" s="206" t="s">
        <v>187</v>
      </c>
      <c r="O133" s="208">
        <v>39890</v>
      </c>
    </row>
    <row r="134" spans="1:15" s="117" customFormat="1">
      <c r="A134" s="206"/>
      <c r="B134" s="206"/>
      <c r="C134" s="206"/>
      <c r="D134" s="206"/>
      <c r="E134" s="209" t="s">
        <v>387</v>
      </c>
      <c r="F134" s="240">
        <f>+F133+F132</f>
        <v>36</v>
      </c>
      <c r="G134" s="129">
        <f>+G133+G132</f>
        <v>0</v>
      </c>
      <c r="H134" s="129">
        <f>+H133+H132</f>
        <v>36</v>
      </c>
      <c r="I134" s="129">
        <f>+I133+I132</f>
        <v>36</v>
      </c>
      <c r="J134" s="180"/>
      <c r="L134" s="207"/>
      <c r="M134" s="207"/>
      <c r="N134" s="206"/>
      <c r="O134" s="208"/>
    </row>
    <row r="135" spans="1:15" s="117" customFormat="1">
      <c r="A135" s="206" t="s">
        <v>98</v>
      </c>
      <c r="B135" s="206" t="s">
        <v>98</v>
      </c>
      <c r="C135" s="206" t="s">
        <v>189</v>
      </c>
      <c r="D135" s="206" t="s">
        <v>97</v>
      </c>
      <c r="E135" s="206" t="s">
        <v>96</v>
      </c>
      <c r="F135" s="221">
        <v>1072.5</v>
      </c>
      <c r="G135" s="141">
        <v>0</v>
      </c>
      <c r="H135" s="157">
        <f>+F135+G135</f>
        <v>1072.5</v>
      </c>
      <c r="I135" s="157">
        <f>+H135</f>
        <v>1072.5</v>
      </c>
      <c r="J135" s="227">
        <f>+I135/H135</f>
        <v>1</v>
      </c>
      <c r="L135" s="207">
        <v>2009</v>
      </c>
      <c r="M135" s="207">
        <v>4</v>
      </c>
      <c r="N135" s="206" t="s">
        <v>190</v>
      </c>
      <c r="O135" s="208">
        <v>39920</v>
      </c>
    </row>
    <row r="136" spans="1:15" s="117" customFormat="1">
      <c r="A136" s="206"/>
      <c r="B136" s="206"/>
      <c r="C136" s="206"/>
      <c r="D136" s="206"/>
      <c r="E136" s="209" t="s">
        <v>387</v>
      </c>
      <c r="F136" s="240">
        <f>+F135</f>
        <v>1072.5</v>
      </c>
      <c r="G136" s="129">
        <f>+G135</f>
        <v>0</v>
      </c>
      <c r="H136" s="129">
        <f>+H135</f>
        <v>1072.5</v>
      </c>
      <c r="I136" s="129">
        <f>+I135</f>
        <v>1072.5</v>
      </c>
      <c r="J136" s="227"/>
      <c r="L136" s="207"/>
      <c r="M136" s="207"/>
      <c r="N136" s="206"/>
      <c r="O136" s="208"/>
    </row>
    <row r="137" spans="1:15" s="117" customFormat="1">
      <c r="A137" s="206" t="s">
        <v>98</v>
      </c>
      <c r="B137" s="206" t="s">
        <v>98</v>
      </c>
      <c r="C137" s="206" t="s">
        <v>200</v>
      </c>
      <c r="D137" s="206" t="s">
        <v>97</v>
      </c>
      <c r="E137" s="206" t="s">
        <v>96</v>
      </c>
      <c r="F137" s="221">
        <v>171</v>
      </c>
      <c r="G137" s="141">
        <v>0</v>
      </c>
      <c r="H137" s="157">
        <f>+F137+G137</f>
        <v>171</v>
      </c>
      <c r="I137" s="157">
        <f>+H137</f>
        <v>171</v>
      </c>
      <c r="J137" s="227">
        <f>+I137/H137</f>
        <v>1</v>
      </c>
      <c r="L137" s="207">
        <v>2009</v>
      </c>
      <c r="M137" s="207">
        <v>5</v>
      </c>
      <c r="N137" s="206" t="s">
        <v>201</v>
      </c>
      <c r="O137" s="219">
        <v>39946</v>
      </c>
    </row>
    <row r="138" spans="1:15" s="117" customFormat="1">
      <c r="A138" s="206"/>
      <c r="B138" s="206"/>
      <c r="C138" s="206"/>
      <c r="D138" s="206"/>
      <c r="E138" s="209" t="s">
        <v>387</v>
      </c>
      <c r="F138" s="240">
        <f>+F137</f>
        <v>171</v>
      </c>
      <c r="G138" s="129">
        <f>+G137</f>
        <v>0</v>
      </c>
      <c r="H138" s="129">
        <f>+H137</f>
        <v>171</v>
      </c>
      <c r="I138" s="129">
        <f>+I137</f>
        <v>171</v>
      </c>
      <c r="J138" s="227"/>
      <c r="L138" s="207"/>
      <c r="M138" s="207"/>
      <c r="N138" s="206"/>
      <c r="O138" s="219"/>
    </row>
    <row r="139" spans="1:15" s="117" customFormat="1">
      <c r="A139" s="220" t="s">
        <v>98</v>
      </c>
      <c r="B139" s="220" t="s">
        <v>98</v>
      </c>
      <c r="C139" s="220" t="s">
        <v>204</v>
      </c>
      <c r="D139" s="220" t="s">
        <v>97</v>
      </c>
      <c r="E139" s="220" t="s">
        <v>96</v>
      </c>
      <c r="F139" s="221">
        <v>57</v>
      </c>
      <c r="G139" s="141">
        <v>0</v>
      </c>
      <c r="H139" s="157">
        <f>+F139+G139</f>
        <v>57</v>
      </c>
      <c r="I139" s="157">
        <f>+H139</f>
        <v>57</v>
      </c>
      <c r="J139" s="227">
        <f>+I139/H139</f>
        <v>1</v>
      </c>
      <c r="L139" s="222">
        <v>2009</v>
      </c>
      <c r="M139" s="222">
        <v>6</v>
      </c>
      <c r="N139" s="220" t="s">
        <v>205</v>
      </c>
      <c r="O139" s="223">
        <v>39980</v>
      </c>
    </row>
    <row r="140" spans="1:15" s="117" customFormat="1">
      <c r="A140" s="220"/>
      <c r="B140" s="220"/>
      <c r="C140" s="220"/>
      <c r="D140" s="220"/>
      <c r="E140" s="209" t="s">
        <v>387</v>
      </c>
      <c r="F140" s="240">
        <f>+F139</f>
        <v>57</v>
      </c>
      <c r="G140" s="129">
        <f>+G139</f>
        <v>0</v>
      </c>
      <c r="H140" s="129">
        <f>+H139</f>
        <v>57</v>
      </c>
      <c r="I140" s="129">
        <f>+I139</f>
        <v>57</v>
      </c>
      <c r="J140" s="227"/>
      <c r="L140" s="222"/>
      <c r="M140" s="222"/>
      <c r="N140" s="220"/>
      <c r="O140" s="223"/>
    </row>
    <row r="141" spans="1:15" s="117" customFormat="1">
      <c r="A141" s="214" t="s">
        <v>98</v>
      </c>
      <c r="B141" s="214" t="s">
        <v>98</v>
      </c>
      <c r="C141" s="214" t="s">
        <v>206</v>
      </c>
      <c r="D141" s="214" t="s">
        <v>97</v>
      </c>
      <c r="E141" s="214" t="s">
        <v>96</v>
      </c>
      <c r="F141" s="221">
        <v>798</v>
      </c>
      <c r="G141" s="141">
        <v>0</v>
      </c>
      <c r="H141" s="157">
        <f>+F141+G141</f>
        <v>798</v>
      </c>
      <c r="I141" s="157">
        <f>+H141</f>
        <v>798</v>
      </c>
      <c r="J141" s="227">
        <f>+I141/H141</f>
        <v>1</v>
      </c>
      <c r="L141" s="215">
        <v>2009</v>
      </c>
      <c r="M141" s="215">
        <v>7</v>
      </c>
      <c r="N141" s="214" t="s">
        <v>207</v>
      </c>
      <c r="O141" s="216">
        <v>40016</v>
      </c>
    </row>
    <row r="142" spans="1:15" s="117" customFormat="1">
      <c r="A142" s="214"/>
      <c r="B142" s="214"/>
      <c r="C142" s="214"/>
      <c r="D142" s="214"/>
      <c r="E142" s="209" t="s">
        <v>387</v>
      </c>
      <c r="F142" s="240">
        <f>+F141</f>
        <v>798</v>
      </c>
      <c r="G142" s="129">
        <f>+G141</f>
        <v>0</v>
      </c>
      <c r="H142" s="129">
        <f>+H141</f>
        <v>798</v>
      </c>
      <c r="I142" s="129">
        <f>+I141</f>
        <v>798</v>
      </c>
      <c r="J142" s="227"/>
      <c r="L142" s="215"/>
      <c r="M142" s="215"/>
      <c r="N142" s="214"/>
      <c r="O142" s="216"/>
    </row>
    <row r="143" spans="1:15" s="117" customFormat="1">
      <c r="A143" s="214" t="s">
        <v>98</v>
      </c>
      <c r="B143" s="214" t="s">
        <v>98</v>
      </c>
      <c r="C143" s="214" t="s">
        <v>210</v>
      </c>
      <c r="D143" s="214" t="s">
        <v>97</v>
      </c>
      <c r="E143" s="214" t="s">
        <v>96</v>
      </c>
      <c r="F143" s="221">
        <v>10734.5</v>
      </c>
      <c r="G143" s="141">
        <v>0</v>
      </c>
      <c r="H143" s="157">
        <f>+F143+G143</f>
        <v>10734.5</v>
      </c>
      <c r="I143" s="157">
        <f>+H143</f>
        <v>10734.5</v>
      </c>
      <c r="J143" s="227">
        <f>+I143/H143</f>
        <v>1</v>
      </c>
      <c r="L143" s="215">
        <v>2009</v>
      </c>
      <c r="M143" s="215">
        <v>8</v>
      </c>
      <c r="N143" s="214" t="s">
        <v>211</v>
      </c>
      <c r="O143" s="216">
        <v>40038</v>
      </c>
    </row>
    <row r="144" spans="1:15" s="117" customFormat="1">
      <c r="A144" s="214"/>
      <c r="B144" s="214"/>
      <c r="C144" s="214"/>
      <c r="D144" s="214"/>
      <c r="E144" s="209" t="s">
        <v>387</v>
      </c>
      <c r="F144" s="240">
        <f>+F143</f>
        <v>10734.5</v>
      </c>
      <c r="G144" s="129">
        <f>+G143</f>
        <v>0</v>
      </c>
      <c r="H144" s="129">
        <f>+H143</f>
        <v>10734.5</v>
      </c>
      <c r="I144" s="129">
        <f>+I143</f>
        <v>10734.5</v>
      </c>
      <c r="J144" s="227"/>
      <c r="L144" s="215"/>
      <c r="M144" s="215"/>
      <c r="N144" s="214"/>
      <c r="O144" s="216"/>
    </row>
    <row r="145" spans="1:15" s="117" customFormat="1">
      <c r="A145" s="214" t="s">
        <v>98</v>
      </c>
      <c r="B145" s="214" t="s">
        <v>98</v>
      </c>
      <c r="C145" s="214" t="s">
        <v>220</v>
      </c>
      <c r="D145" s="214" t="s">
        <v>97</v>
      </c>
      <c r="E145" s="214" t="s">
        <v>96</v>
      </c>
      <c r="F145" s="221">
        <v>142.58000000000001</v>
      </c>
      <c r="G145" s="141">
        <v>0</v>
      </c>
      <c r="H145" s="157">
        <f>+F145+G145</f>
        <v>142.58000000000001</v>
      </c>
      <c r="I145" s="157">
        <f>+H145</f>
        <v>142.58000000000001</v>
      </c>
      <c r="J145" s="227">
        <f>+I145/H145</f>
        <v>1</v>
      </c>
      <c r="L145" s="215">
        <v>2009</v>
      </c>
      <c r="M145" s="215">
        <v>9</v>
      </c>
      <c r="N145" s="214" t="s">
        <v>221</v>
      </c>
      <c r="O145" s="216">
        <v>40077</v>
      </c>
    </row>
    <row r="146" spans="1:15" s="117" customFormat="1">
      <c r="A146" s="214"/>
      <c r="B146" s="214"/>
      <c r="C146" s="214"/>
      <c r="D146" s="214"/>
      <c r="E146" s="209" t="s">
        <v>387</v>
      </c>
      <c r="F146" s="240">
        <f>+F145</f>
        <v>142.58000000000001</v>
      </c>
      <c r="G146" s="129">
        <f>+G145</f>
        <v>0</v>
      </c>
      <c r="H146" s="129">
        <f>+H145</f>
        <v>142.58000000000001</v>
      </c>
      <c r="I146" s="129">
        <f>+I145</f>
        <v>142.58000000000001</v>
      </c>
      <c r="J146" s="227"/>
      <c r="L146" s="215"/>
      <c r="M146" s="215"/>
      <c r="N146" s="214"/>
      <c r="O146" s="216"/>
    </row>
    <row r="147" spans="1:15" s="117" customFormat="1">
      <c r="A147" s="214" t="s">
        <v>98</v>
      </c>
      <c r="B147" s="214" t="s">
        <v>98</v>
      </c>
      <c r="C147" s="214" t="s">
        <v>222</v>
      </c>
      <c r="D147" s="214" t="s">
        <v>97</v>
      </c>
      <c r="E147" s="214" t="s">
        <v>96</v>
      </c>
      <c r="F147" s="221">
        <v>198</v>
      </c>
      <c r="G147" s="141">
        <v>0</v>
      </c>
      <c r="H147" s="157">
        <f>+F147+G147</f>
        <v>198</v>
      </c>
      <c r="I147" s="157">
        <f>+H147</f>
        <v>198</v>
      </c>
      <c r="J147" s="227">
        <f>+I147/H147</f>
        <v>1</v>
      </c>
      <c r="L147" s="215">
        <v>2010</v>
      </c>
      <c r="M147" s="215">
        <v>2</v>
      </c>
      <c r="N147" s="214" t="s">
        <v>223</v>
      </c>
      <c r="O147" s="216">
        <v>40224</v>
      </c>
    </row>
    <row r="148" spans="1:15" s="117" customFormat="1">
      <c r="A148" s="214"/>
      <c r="B148" s="214"/>
      <c r="C148" s="214"/>
      <c r="D148" s="214"/>
      <c r="E148" s="209" t="s">
        <v>387</v>
      </c>
      <c r="F148" s="240">
        <f>+F147</f>
        <v>198</v>
      </c>
      <c r="G148" s="129">
        <f>+G147</f>
        <v>0</v>
      </c>
      <c r="H148" s="129">
        <f>+H147</f>
        <v>198</v>
      </c>
      <c r="I148" s="129">
        <f>+I147</f>
        <v>198</v>
      </c>
      <c r="J148" s="227"/>
      <c r="L148" s="215"/>
      <c r="M148" s="215"/>
      <c r="N148" s="214"/>
      <c r="O148" s="216"/>
    </row>
    <row r="149" spans="1:15" s="117" customFormat="1">
      <c r="A149" s="220" t="s">
        <v>98</v>
      </c>
      <c r="B149" s="220" t="s">
        <v>98</v>
      </c>
      <c r="C149" s="214" t="s">
        <v>230</v>
      </c>
      <c r="D149" s="214" t="s">
        <v>97</v>
      </c>
      <c r="E149" s="214" t="s">
        <v>96</v>
      </c>
      <c r="F149" s="221">
        <v>3309</v>
      </c>
      <c r="G149" s="141">
        <v>0</v>
      </c>
      <c r="H149" s="157">
        <f>+F149+G149</f>
        <v>3309</v>
      </c>
      <c r="I149" s="157">
        <f>+H149</f>
        <v>3309</v>
      </c>
      <c r="J149" s="227">
        <f>+I149/H149</f>
        <v>1</v>
      </c>
      <c r="L149" s="215">
        <v>2010</v>
      </c>
      <c r="M149" s="215">
        <v>4</v>
      </c>
      <c r="N149" s="214" t="s">
        <v>231</v>
      </c>
      <c r="O149" s="216">
        <v>40283</v>
      </c>
    </row>
    <row r="150" spans="1:15" s="117" customFormat="1">
      <c r="A150" s="220"/>
      <c r="B150" s="220"/>
      <c r="C150" s="214"/>
      <c r="D150" s="214"/>
      <c r="E150" s="209" t="s">
        <v>387</v>
      </c>
      <c r="F150" s="240">
        <f>+F149</f>
        <v>3309</v>
      </c>
      <c r="G150" s="129">
        <f>+G149</f>
        <v>0</v>
      </c>
      <c r="H150" s="129">
        <f>+H149</f>
        <v>3309</v>
      </c>
      <c r="I150" s="129">
        <f>+I149</f>
        <v>3309</v>
      </c>
      <c r="J150" s="227"/>
      <c r="L150" s="215"/>
      <c r="M150" s="215"/>
      <c r="N150" s="214"/>
      <c r="O150" s="216"/>
    </row>
    <row r="151" spans="1:15" s="117" customFormat="1">
      <c r="A151" s="220" t="s">
        <v>98</v>
      </c>
      <c r="B151" s="220" t="s">
        <v>98</v>
      </c>
      <c r="C151" s="220" t="s">
        <v>236</v>
      </c>
      <c r="D151" s="220" t="s">
        <v>97</v>
      </c>
      <c r="E151" s="220" t="s">
        <v>96</v>
      </c>
      <c r="F151" s="221">
        <v>7899</v>
      </c>
      <c r="G151" s="141">
        <v>0</v>
      </c>
      <c r="H151" s="157">
        <f>+F151+G151</f>
        <v>7899</v>
      </c>
      <c r="I151" s="157">
        <f>+H151</f>
        <v>7899</v>
      </c>
      <c r="J151" s="227">
        <f>+I151/H151</f>
        <v>1</v>
      </c>
      <c r="L151" s="222">
        <v>2010</v>
      </c>
      <c r="M151" s="222">
        <v>5</v>
      </c>
      <c r="N151" s="220" t="s">
        <v>237</v>
      </c>
      <c r="O151" s="223">
        <v>40308</v>
      </c>
    </row>
    <row r="152" spans="1:15" s="117" customFormat="1">
      <c r="A152" s="220"/>
      <c r="B152" s="220"/>
      <c r="C152" s="220"/>
      <c r="D152" s="220"/>
      <c r="E152" s="209" t="s">
        <v>387</v>
      </c>
      <c r="F152" s="240">
        <f>+F151</f>
        <v>7899</v>
      </c>
      <c r="G152" s="129">
        <f>+G151</f>
        <v>0</v>
      </c>
      <c r="H152" s="129">
        <f>+H151</f>
        <v>7899</v>
      </c>
      <c r="I152" s="129">
        <f>+I151</f>
        <v>7899</v>
      </c>
      <c r="J152" s="227"/>
      <c r="L152" s="222"/>
      <c r="M152" s="222"/>
      <c r="N152" s="220"/>
      <c r="O152" s="223"/>
    </row>
    <row r="153" spans="1:15" s="181" customFormat="1">
      <c r="A153" s="203" t="s">
        <v>98</v>
      </c>
      <c r="B153" s="203" t="s">
        <v>98</v>
      </c>
      <c r="C153" s="203" t="s">
        <v>240</v>
      </c>
      <c r="D153" s="203" t="s">
        <v>97</v>
      </c>
      <c r="E153" s="203" t="s">
        <v>96</v>
      </c>
      <c r="F153" s="221">
        <v>231</v>
      </c>
      <c r="G153" s="141">
        <v>0</v>
      </c>
      <c r="H153" s="157">
        <f>+F153+G153</f>
        <v>231</v>
      </c>
      <c r="I153" s="157">
        <f>+H153</f>
        <v>231</v>
      </c>
      <c r="J153" s="227">
        <f>+I153/H153</f>
        <v>1</v>
      </c>
      <c r="L153" s="204">
        <v>2010</v>
      </c>
      <c r="M153" s="204">
        <v>7</v>
      </c>
      <c r="N153" s="203" t="s">
        <v>241</v>
      </c>
      <c r="O153" s="205">
        <v>40372</v>
      </c>
    </row>
    <row r="154" spans="1:15" s="181" customFormat="1">
      <c r="A154" s="203"/>
      <c r="B154" s="203"/>
      <c r="C154" s="203"/>
      <c r="D154" s="203"/>
      <c r="E154" s="209" t="s">
        <v>387</v>
      </c>
      <c r="F154" s="240">
        <f>+F153</f>
        <v>231</v>
      </c>
      <c r="G154" s="129">
        <f>+G153</f>
        <v>0</v>
      </c>
      <c r="H154" s="129">
        <f>+H153</f>
        <v>231</v>
      </c>
      <c r="I154" s="129">
        <f>+I153</f>
        <v>231</v>
      </c>
      <c r="J154" s="227"/>
      <c r="L154" s="204"/>
      <c r="M154" s="204"/>
      <c r="N154" s="203"/>
      <c r="O154" s="205"/>
    </row>
    <row r="155" spans="1:15" s="181" customFormat="1">
      <c r="A155" s="203" t="s">
        <v>98</v>
      </c>
      <c r="B155" s="203" t="s">
        <v>98</v>
      </c>
      <c r="C155" s="224" t="s">
        <v>244</v>
      </c>
      <c r="D155" s="224" t="s">
        <v>97</v>
      </c>
      <c r="E155" s="224" t="s">
        <v>96</v>
      </c>
      <c r="F155" s="221">
        <v>109.5</v>
      </c>
      <c r="G155" s="141">
        <v>0</v>
      </c>
      <c r="H155" s="157">
        <f>+F155+G155</f>
        <v>109.5</v>
      </c>
      <c r="I155" s="157">
        <f>+H155</f>
        <v>109.5</v>
      </c>
      <c r="J155" s="227">
        <f>+I155/H155</f>
        <v>1</v>
      </c>
      <c r="L155" s="225">
        <v>2010</v>
      </c>
      <c r="M155" s="225">
        <v>10</v>
      </c>
      <c r="N155" s="224" t="s">
        <v>245</v>
      </c>
      <c r="O155" s="226">
        <v>40463</v>
      </c>
    </row>
    <row r="156" spans="1:15" s="181" customFormat="1">
      <c r="A156" s="203"/>
      <c r="B156" s="203"/>
      <c r="C156" s="224"/>
      <c r="D156" s="224"/>
      <c r="E156" s="209" t="s">
        <v>387</v>
      </c>
      <c r="F156" s="240">
        <f>+F155</f>
        <v>109.5</v>
      </c>
      <c r="G156" s="129">
        <f>+G155</f>
        <v>0</v>
      </c>
      <c r="H156" s="129">
        <f>+H155</f>
        <v>109.5</v>
      </c>
      <c r="I156" s="129">
        <f>+I155</f>
        <v>109.5</v>
      </c>
      <c r="J156" s="227"/>
      <c r="L156" s="225"/>
      <c r="M156" s="225"/>
      <c r="N156" s="224"/>
      <c r="O156" s="226"/>
    </row>
    <row r="157" spans="1:15" s="181" customFormat="1">
      <c r="A157" s="203" t="s">
        <v>98</v>
      </c>
      <c r="B157" s="203" t="s">
        <v>98</v>
      </c>
      <c r="C157" s="203" t="s">
        <v>248</v>
      </c>
      <c r="D157" s="203" t="s">
        <v>97</v>
      </c>
      <c r="E157" s="203" t="s">
        <v>96</v>
      </c>
      <c r="F157" s="221">
        <v>396</v>
      </c>
      <c r="G157" s="141">
        <v>0</v>
      </c>
      <c r="H157" s="157">
        <f>+F157+G157</f>
        <v>396</v>
      </c>
      <c r="I157" s="157">
        <f>+H157</f>
        <v>396</v>
      </c>
      <c r="J157" s="227">
        <f>+I157/H157</f>
        <v>1</v>
      </c>
      <c r="L157" s="204">
        <v>2010</v>
      </c>
      <c r="M157" s="204">
        <v>11</v>
      </c>
      <c r="N157" s="203" t="s">
        <v>249</v>
      </c>
      <c r="O157" s="205">
        <v>40492</v>
      </c>
    </row>
    <row r="158" spans="1:15" s="181" customFormat="1">
      <c r="A158" s="203"/>
      <c r="B158" s="203"/>
      <c r="C158" s="203"/>
      <c r="D158" s="203"/>
      <c r="E158" s="209" t="s">
        <v>387</v>
      </c>
      <c r="F158" s="240">
        <f>+F157</f>
        <v>396</v>
      </c>
      <c r="G158" s="129">
        <f>+G157</f>
        <v>0</v>
      </c>
      <c r="H158" s="129">
        <f>+H157</f>
        <v>396</v>
      </c>
      <c r="I158" s="129">
        <f>+I157</f>
        <v>396</v>
      </c>
      <c r="J158" s="227"/>
      <c r="L158" s="204"/>
      <c r="M158" s="204"/>
      <c r="N158" s="203"/>
      <c r="O158" s="205"/>
    </row>
    <row r="159" spans="1:15" s="181" customFormat="1">
      <c r="A159" s="203" t="s">
        <v>98</v>
      </c>
      <c r="B159" s="203" t="s">
        <v>98</v>
      </c>
      <c r="C159" s="203" t="s">
        <v>250</v>
      </c>
      <c r="D159" s="203" t="s">
        <v>97</v>
      </c>
      <c r="E159" s="203" t="s">
        <v>96</v>
      </c>
      <c r="F159" s="221">
        <v>1436.83</v>
      </c>
      <c r="G159" s="141">
        <v>0</v>
      </c>
      <c r="H159" s="157">
        <f>+F159+G159</f>
        <v>1436.83</v>
      </c>
      <c r="I159" s="157">
        <f>+H159</f>
        <v>1436.83</v>
      </c>
      <c r="J159" s="227">
        <f>+I159/H159</f>
        <v>1</v>
      </c>
      <c r="L159" s="204">
        <v>2010</v>
      </c>
      <c r="M159" s="204">
        <v>12</v>
      </c>
      <c r="N159" s="203" t="s">
        <v>251</v>
      </c>
      <c r="O159" s="205">
        <v>40521</v>
      </c>
    </row>
    <row r="160" spans="1:15" s="181" customFormat="1">
      <c r="A160" s="203"/>
      <c r="B160" s="203"/>
      <c r="C160" s="203"/>
      <c r="D160" s="203"/>
      <c r="E160" s="209" t="s">
        <v>387</v>
      </c>
      <c r="F160" s="240">
        <f>+F159</f>
        <v>1436.83</v>
      </c>
      <c r="G160" s="129">
        <f>+G159</f>
        <v>0</v>
      </c>
      <c r="H160" s="129">
        <f>+H159</f>
        <v>1436.83</v>
      </c>
      <c r="I160" s="129">
        <f>+I159</f>
        <v>1436.83</v>
      </c>
      <c r="J160" s="227"/>
      <c r="L160" s="204"/>
      <c r="M160" s="204"/>
      <c r="N160" s="203"/>
      <c r="O160" s="205"/>
    </row>
    <row r="161" spans="1:34" s="181" customFormat="1">
      <c r="A161" s="203" t="s">
        <v>98</v>
      </c>
      <c r="B161" s="203" t="s">
        <v>98</v>
      </c>
      <c r="C161" s="214" t="s">
        <v>256</v>
      </c>
      <c r="D161" s="214" t="s">
        <v>97</v>
      </c>
      <c r="E161" s="214" t="s">
        <v>96</v>
      </c>
      <c r="F161" s="221">
        <v>66</v>
      </c>
      <c r="G161" s="141">
        <v>0</v>
      </c>
      <c r="H161" s="157">
        <f>+F161+G161</f>
        <v>66</v>
      </c>
      <c r="I161" s="157">
        <f>+H161</f>
        <v>66</v>
      </c>
      <c r="J161" s="227">
        <f>+I161/H161</f>
        <v>1</v>
      </c>
      <c r="L161" s="215">
        <v>2011</v>
      </c>
      <c r="M161" s="215">
        <v>1</v>
      </c>
      <c r="N161" s="214" t="s">
        <v>257</v>
      </c>
      <c r="O161" s="216">
        <v>40555</v>
      </c>
    </row>
    <row r="162" spans="1:34" s="181" customFormat="1">
      <c r="A162" s="203"/>
      <c r="B162" s="203"/>
      <c r="C162" s="214"/>
      <c r="D162" s="214"/>
      <c r="E162" s="209" t="s">
        <v>387</v>
      </c>
      <c r="F162" s="240">
        <f>+F161</f>
        <v>66</v>
      </c>
      <c r="G162" s="129">
        <f>+G161</f>
        <v>0</v>
      </c>
      <c r="H162" s="129">
        <f>+H161</f>
        <v>66</v>
      </c>
      <c r="I162" s="129">
        <f>+I161</f>
        <v>66</v>
      </c>
      <c r="J162" s="227"/>
      <c r="L162" s="215"/>
      <c r="M162" s="215"/>
      <c r="N162" s="214"/>
      <c r="O162" s="216"/>
    </row>
    <row r="163" spans="1:34" s="117" customFormat="1">
      <c r="A163" s="203" t="s">
        <v>98</v>
      </c>
      <c r="B163" s="203" t="s">
        <v>98</v>
      </c>
      <c r="C163" s="214" t="s">
        <v>254</v>
      </c>
      <c r="D163" s="214" t="s">
        <v>97</v>
      </c>
      <c r="E163" s="214" t="s">
        <v>96</v>
      </c>
      <c r="F163" s="221">
        <v>66</v>
      </c>
      <c r="G163" s="141">
        <v>0</v>
      </c>
      <c r="H163" s="228">
        <f>+F163+G163</f>
        <v>66</v>
      </c>
      <c r="I163" s="228">
        <f>+H163</f>
        <v>66</v>
      </c>
      <c r="J163" s="227">
        <f>+I163/H163</f>
        <v>1</v>
      </c>
      <c r="L163" s="215">
        <v>2011</v>
      </c>
      <c r="M163" s="215">
        <v>2</v>
      </c>
      <c r="N163" s="214" t="s">
        <v>255</v>
      </c>
      <c r="O163" s="216">
        <v>40582</v>
      </c>
    </row>
    <row r="164" spans="1:34" s="181" customFormat="1" ht="21" customHeight="1">
      <c r="A164" s="11"/>
      <c r="B164" s="11"/>
      <c r="C164" s="11"/>
      <c r="D164" s="11"/>
      <c r="E164" s="209" t="s">
        <v>387</v>
      </c>
      <c r="F164" s="240">
        <f>+F163</f>
        <v>66</v>
      </c>
      <c r="G164" s="129">
        <f>+G163</f>
        <v>0</v>
      </c>
      <c r="H164" s="129">
        <f>+H163</f>
        <v>66</v>
      </c>
      <c r="I164" s="129">
        <f>+I163</f>
        <v>66</v>
      </c>
      <c r="J164" s="229"/>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row>
    <row r="165" spans="1:34" s="181" customFormat="1">
      <c r="A165" s="11"/>
      <c r="B165" s="11"/>
      <c r="C165" s="11"/>
      <c r="D165" s="11"/>
      <c r="E165" s="214" t="s">
        <v>405</v>
      </c>
      <c r="F165" s="111">
        <f>+F164+F162+F160+F158+F156+F154+F152+F150+F148+F146+F144+F142+F140+F138+F136+F134+F131+F129+F127+F125+F123+F121+F119+F117+F114+F111+F108+F105</f>
        <v>66235.990000000005</v>
      </c>
      <c r="G165" s="111">
        <f t="shared" ref="G165:I165" si="27">+G164+G162+G160+G158+G156+G154+G152+G150+G148+G146+G144+G142+G140+G138+G136+G134+G131+G129+G127+G125+G123+G121+G119+G117+G114+G111+G108+G105</f>
        <v>0</v>
      </c>
      <c r="H165" s="111">
        <f t="shared" si="27"/>
        <v>66235.990000000005</v>
      </c>
      <c r="I165" s="111">
        <f t="shared" si="27"/>
        <v>64408.78</v>
      </c>
      <c r="J165" s="229"/>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row>
    <row r="166" spans="1:34" s="181" customFormat="1">
      <c r="A166" s="11" t="s">
        <v>361</v>
      </c>
      <c r="B166" s="11"/>
      <c r="C166" s="11"/>
      <c r="D166" s="11"/>
      <c r="E166" s="11"/>
      <c r="F166" s="111">
        <f>+F165+F101</f>
        <v>213577.07</v>
      </c>
      <c r="G166" s="111">
        <f t="shared" ref="G166:I166" si="28">+G165+G101</f>
        <v>0</v>
      </c>
      <c r="H166" s="111">
        <f t="shared" si="28"/>
        <v>213577.07</v>
      </c>
      <c r="I166" s="111">
        <f t="shared" si="28"/>
        <v>211749.86</v>
      </c>
      <c r="J166" s="229"/>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spans="1:34" s="181" customFormat="1">
      <c r="B167" s="11"/>
      <c r="C167" s="11"/>
      <c r="D167" s="11"/>
      <c r="E167" s="11"/>
      <c r="F167" s="176"/>
      <c r="G167" s="176"/>
      <c r="H167" s="176"/>
      <c r="I167" s="176"/>
      <c r="J167" s="229"/>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row>
    <row r="168" spans="1:34" s="181" customFormat="1">
      <c r="A168" s="23" t="s">
        <v>430</v>
      </c>
      <c r="B168" s="11"/>
      <c r="C168" s="11"/>
      <c r="D168" s="11"/>
      <c r="E168" s="11"/>
      <c r="F168" s="13">
        <f>+F166+F63</f>
        <v>448545.27</v>
      </c>
      <c r="G168" s="13">
        <f t="shared" ref="G168:I168" si="29">+G166+G63</f>
        <v>0</v>
      </c>
      <c r="H168" s="13">
        <f t="shared" si="29"/>
        <v>448545.27</v>
      </c>
      <c r="I168" s="13">
        <f t="shared" si="29"/>
        <v>446718.06</v>
      </c>
      <c r="J168" s="229"/>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row>
    <row r="169" spans="1:34" s="181" customFormat="1">
      <c r="A169" s="11" t="s">
        <v>426</v>
      </c>
      <c r="B169" s="11"/>
      <c r="C169" s="11"/>
      <c r="D169" s="11"/>
      <c r="E169" s="11"/>
      <c r="F169" s="176">
        <f>+-302051.13*C175</f>
        <v>-158875.17581909717</v>
      </c>
      <c r="G169" s="176">
        <f>+-302051.13*D175</f>
        <v>0</v>
      </c>
      <c r="H169" s="176">
        <v>-158875.17581909717</v>
      </c>
      <c r="I169" s="176">
        <v>-158875.17581909717</v>
      </c>
      <c r="J169" s="229"/>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row>
    <row r="170" spans="1:34" s="181" customFormat="1">
      <c r="A170" s="11" t="s">
        <v>427</v>
      </c>
      <c r="B170" s="11"/>
      <c r="C170" s="11"/>
      <c r="D170" s="11"/>
      <c r="E170" s="11"/>
      <c r="F170" s="176">
        <f>-302051.13*C176</f>
        <v>-143175.95418090283</v>
      </c>
      <c r="G170" s="176"/>
      <c r="H170" s="176">
        <v>-143175.95418090283</v>
      </c>
      <c r="I170" s="176">
        <v>-143175.95418090283</v>
      </c>
      <c r="J170" s="229"/>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row>
    <row r="171" spans="1:34" s="117" customFormat="1" ht="13.5" thickBot="1">
      <c r="A171" s="23" t="s">
        <v>429</v>
      </c>
      <c r="B171" s="23"/>
      <c r="C171" s="23"/>
      <c r="D171" s="23"/>
      <c r="E171" s="23"/>
      <c r="F171" s="195">
        <f>+SUM(F168:F170)</f>
        <v>146494.13999999998</v>
      </c>
      <c r="G171" s="195">
        <f t="shared" ref="G171:I171" si="30">+SUM(G168:G170)</f>
        <v>0</v>
      </c>
      <c r="H171" s="195">
        <f t="shared" si="30"/>
        <v>146494.13999999998</v>
      </c>
      <c r="I171" s="195">
        <f t="shared" si="30"/>
        <v>144666.93000000002</v>
      </c>
      <c r="J171" s="23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row>
    <row r="172" spans="1:34" ht="13.5" thickTop="1"/>
    <row r="174" spans="1:34">
      <c r="A174" s="13" t="s">
        <v>425</v>
      </c>
      <c r="B174" s="24"/>
      <c r="C174" s="24"/>
    </row>
    <row r="175" spans="1:34">
      <c r="A175" s="23" t="s">
        <v>111</v>
      </c>
      <c r="B175" s="24">
        <f>+I63</f>
        <v>234968.2</v>
      </c>
      <c r="C175" s="249">
        <f>+B175/I168</f>
        <v>0.52598768896874237</v>
      </c>
    </row>
    <row r="176" spans="1:34">
      <c r="A176" s="23" t="s">
        <v>98</v>
      </c>
      <c r="B176" s="24">
        <f>+I166</f>
        <v>211749.86</v>
      </c>
      <c r="C176" s="249">
        <f>+B176/I168</f>
        <v>0.47401231103125757</v>
      </c>
    </row>
    <row r="177" spans="1:3" ht="13.5" thickBot="1">
      <c r="A177" s="24" t="s">
        <v>428</v>
      </c>
      <c r="B177" s="130">
        <f>+SUM(B175:B176)</f>
        <v>446718.06</v>
      </c>
      <c r="C177" s="249">
        <f>+SUM(C175:C176)</f>
        <v>1</v>
      </c>
    </row>
    <row r="178" spans="1:3" ht="13.5" thickTop="1">
      <c r="A178" s="24"/>
      <c r="B178" s="24"/>
      <c r="C178" s="24"/>
    </row>
  </sheetData>
  <sortState ref="A66:O164">
    <sortCondition ref="E66:E117"/>
    <sortCondition ref="L66:L117"/>
    <sortCondition ref="M66:M117"/>
  </sortState>
  <mergeCells count="3">
    <mergeCell ref="A1:M1"/>
    <mergeCell ref="A2:M2"/>
    <mergeCell ref="A3:M3"/>
  </mergeCells>
  <pageMargins left="0.7" right="0.7" top="0.75" bottom="0.75" header="0.3" footer="0.3"/>
  <pageSetup scale="41" fitToHeight="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7"/>
  <sheetViews>
    <sheetView topLeftCell="A7" workbookViewId="0">
      <selection activeCell="I17" sqref="I17"/>
    </sheetView>
  </sheetViews>
  <sheetFormatPr defaultColWidth="19.85546875" defaultRowHeight="12.75"/>
  <cols>
    <col min="1" max="1" width="19.85546875" style="23"/>
    <col min="2" max="2" width="8.140625" style="23" customWidth="1"/>
    <col min="3" max="3" width="10" style="23" customWidth="1"/>
    <col min="4" max="4" width="12.5703125" style="23" customWidth="1"/>
    <col min="5" max="5" width="32.5703125" style="23" customWidth="1"/>
    <col min="6" max="6" width="19.85546875" style="137"/>
    <col min="7" max="7" width="14.7109375" style="137" customWidth="1"/>
    <col min="8" max="8" width="19.85546875" style="137"/>
    <col min="9" max="9" width="19.85546875" style="143"/>
    <col min="10" max="10" width="8.5703125" style="23" bestFit="1" customWidth="1"/>
    <col min="11" max="11" width="13.28515625" style="23" bestFit="1" customWidth="1"/>
    <col min="12" max="12" width="4.7109375" style="23" bestFit="1" customWidth="1"/>
    <col min="13" max="13" width="6.140625" style="23" bestFit="1" customWidth="1"/>
    <col min="14" max="14" width="9.5703125" style="23" bestFit="1" customWidth="1"/>
    <col min="15" max="15" width="10.42578125" style="23" bestFit="1" customWidth="1"/>
    <col min="16" max="16384" width="19.85546875" style="23"/>
  </cols>
  <sheetData>
    <row r="1" spans="1:15">
      <c r="A1" s="285" t="s">
        <v>309</v>
      </c>
      <c r="B1" s="285"/>
      <c r="C1" s="285"/>
      <c r="D1" s="285"/>
      <c r="E1" s="285"/>
      <c r="F1" s="285"/>
      <c r="G1" s="285"/>
      <c r="H1" s="285"/>
      <c r="I1" s="285"/>
      <c r="J1" s="285"/>
      <c r="K1" s="285"/>
      <c r="L1" s="285"/>
      <c r="M1" s="285"/>
      <c r="N1" s="285"/>
      <c r="O1" s="285"/>
    </row>
    <row r="2" spans="1:15">
      <c r="A2" s="285" t="s">
        <v>310</v>
      </c>
      <c r="B2" s="285"/>
      <c r="C2" s="285"/>
      <c r="D2" s="285"/>
      <c r="E2" s="285"/>
      <c r="F2" s="285"/>
      <c r="G2" s="285"/>
      <c r="H2" s="285"/>
      <c r="I2" s="285"/>
      <c r="J2" s="285"/>
      <c r="K2" s="285"/>
      <c r="L2" s="285"/>
      <c r="M2" s="285"/>
      <c r="N2" s="285"/>
      <c r="O2" s="285"/>
    </row>
    <row r="3" spans="1:15" ht="15" customHeight="1">
      <c r="A3" s="286" t="s">
        <v>435</v>
      </c>
      <c r="B3" s="286"/>
      <c r="C3" s="286"/>
      <c r="D3" s="286"/>
      <c r="E3" s="286"/>
      <c r="F3" s="286"/>
      <c r="G3" s="286"/>
      <c r="H3" s="286"/>
      <c r="I3" s="286"/>
      <c r="J3" s="286"/>
      <c r="K3" s="286"/>
      <c r="L3" s="286"/>
      <c r="M3" s="286"/>
      <c r="N3" s="286"/>
      <c r="O3" s="286"/>
    </row>
    <row r="8" spans="1:15" s="148" customFormat="1" ht="30.75" customHeight="1" thickBot="1">
      <c r="A8" s="146" t="s">
        <v>1</v>
      </c>
      <c r="B8" s="146" t="s">
        <v>91</v>
      </c>
      <c r="C8" s="146" t="s">
        <v>0</v>
      </c>
      <c r="D8" s="146" t="s">
        <v>3</v>
      </c>
      <c r="E8" s="146" t="s">
        <v>4</v>
      </c>
      <c r="F8" s="147" t="s">
        <v>5</v>
      </c>
      <c r="G8" s="149" t="s">
        <v>6</v>
      </c>
      <c r="H8" s="147" t="s">
        <v>273</v>
      </c>
      <c r="I8" s="115" t="s">
        <v>418</v>
      </c>
      <c r="J8" s="147" t="s">
        <v>410</v>
      </c>
      <c r="K8" s="146" t="s">
        <v>93</v>
      </c>
      <c r="L8" s="146" t="s">
        <v>11</v>
      </c>
      <c r="M8" s="146" t="s">
        <v>12</v>
      </c>
      <c r="N8" s="146" t="s">
        <v>8</v>
      </c>
      <c r="O8" s="146" t="s">
        <v>35</v>
      </c>
    </row>
    <row r="9" spans="1:15" s="117" customFormat="1" ht="13.5" thickTop="1">
      <c r="A9" s="116" t="s">
        <v>111</v>
      </c>
      <c r="B9" s="116" t="s">
        <v>111</v>
      </c>
      <c r="C9" s="118" t="s">
        <v>112</v>
      </c>
      <c r="D9" s="118" t="s">
        <v>110</v>
      </c>
      <c r="E9" s="118" t="s">
        <v>109</v>
      </c>
      <c r="F9" s="131">
        <v>273.5</v>
      </c>
      <c r="G9" s="141">
        <v>0</v>
      </c>
      <c r="H9" s="133">
        <f>+F9+G9</f>
        <v>273.5</v>
      </c>
      <c r="I9" s="141">
        <f>+H9</f>
        <v>273.5</v>
      </c>
      <c r="J9" s="119">
        <f>+I9/H9</f>
        <v>1</v>
      </c>
      <c r="L9" s="118">
        <v>2008</v>
      </c>
      <c r="M9" s="118">
        <v>6</v>
      </c>
      <c r="N9" s="118" t="s">
        <v>113</v>
      </c>
      <c r="O9" s="120">
        <v>39575</v>
      </c>
    </row>
    <row r="10" spans="1:15" s="117" customFormat="1">
      <c r="A10" s="116" t="s">
        <v>111</v>
      </c>
      <c r="B10" s="116" t="s">
        <v>111</v>
      </c>
      <c r="C10" s="118" t="s">
        <v>114</v>
      </c>
      <c r="D10" s="118" t="s">
        <v>110</v>
      </c>
      <c r="E10" s="118" t="s">
        <v>109</v>
      </c>
      <c r="F10" s="131">
        <v>633.64</v>
      </c>
      <c r="G10" s="141">
        <v>0</v>
      </c>
      <c r="H10" s="133">
        <f>+F10+G10</f>
        <v>633.64</v>
      </c>
      <c r="I10" s="141">
        <f t="shared" ref="I10:I13" si="0">+H10</f>
        <v>633.64</v>
      </c>
      <c r="J10" s="119">
        <f t="shared" ref="J10:J27" si="1">+I10/H10</f>
        <v>1</v>
      </c>
      <c r="L10" s="118">
        <v>2008</v>
      </c>
      <c r="M10" s="118">
        <v>6</v>
      </c>
      <c r="N10" s="118" t="s">
        <v>115</v>
      </c>
      <c r="O10" s="120">
        <v>39617</v>
      </c>
    </row>
    <row r="11" spans="1:15" s="117" customFormat="1">
      <c r="A11" s="116"/>
      <c r="B11" s="116"/>
      <c r="C11" s="118"/>
      <c r="D11" s="118"/>
      <c r="E11" s="10" t="s">
        <v>387</v>
      </c>
      <c r="F11" s="132">
        <f>+F10+F9</f>
        <v>907.14</v>
      </c>
      <c r="G11" s="140">
        <f t="shared" ref="G11:I11" si="2">+G10+G9</f>
        <v>0</v>
      </c>
      <c r="H11" s="134">
        <f t="shared" si="2"/>
        <v>907.14</v>
      </c>
      <c r="I11" s="134">
        <f t="shared" si="2"/>
        <v>907.14</v>
      </c>
      <c r="J11" s="119"/>
      <c r="L11" s="118"/>
      <c r="M11" s="118"/>
      <c r="N11" s="118"/>
      <c r="O11" s="120"/>
    </row>
    <row r="12" spans="1:15" s="117" customFormat="1">
      <c r="A12" s="121" t="s">
        <v>111</v>
      </c>
      <c r="B12" s="121" t="s">
        <v>111</v>
      </c>
      <c r="C12" s="121" t="s">
        <v>107</v>
      </c>
      <c r="D12" s="121" t="s">
        <v>110</v>
      </c>
      <c r="E12" s="121" t="s">
        <v>109</v>
      </c>
      <c r="F12" s="133">
        <v>29</v>
      </c>
      <c r="G12" s="141">
        <v>0</v>
      </c>
      <c r="H12" s="133">
        <f>+F12+G12</f>
        <v>29</v>
      </c>
      <c r="I12" s="133">
        <f>+G12+H12</f>
        <v>29</v>
      </c>
      <c r="J12" s="119">
        <f t="shared" si="1"/>
        <v>1</v>
      </c>
      <c r="L12" s="116">
        <v>2008</v>
      </c>
      <c r="M12" s="116">
        <v>8</v>
      </c>
      <c r="N12" s="121" t="s">
        <v>108</v>
      </c>
      <c r="O12" s="122">
        <v>39626</v>
      </c>
    </row>
    <row r="13" spans="1:15" s="117" customFormat="1">
      <c r="A13" s="121"/>
      <c r="B13" s="121"/>
      <c r="C13" s="121"/>
      <c r="D13" s="121"/>
      <c r="E13" s="10" t="s">
        <v>387</v>
      </c>
      <c r="F13" s="134">
        <f>+F12</f>
        <v>29</v>
      </c>
      <c r="G13" s="140">
        <f t="shared" ref="G13:H13" si="3">+G12</f>
        <v>0</v>
      </c>
      <c r="H13" s="134">
        <f t="shared" si="3"/>
        <v>29</v>
      </c>
      <c r="I13" s="141">
        <f t="shared" si="0"/>
        <v>29</v>
      </c>
      <c r="J13" s="119"/>
      <c r="L13" s="116"/>
      <c r="M13" s="116"/>
      <c r="N13" s="121"/>
      <c r="O13" s="122"/>
    </row>
    <row r="14" spans="1:15" s="117" customFormat="1">
      <c r="A14" s="123" t="s">
        <v>111</v>
      </c>
      <c r="B14" s="123" t="s">
        <v>111</v>
      </c>
      <c r="C14" s="123" t="s">
        <v>116</v>
      </c>
      <c r="D14" s="123" t="s">
        <v>110</v>
      </c>
      <c r="E14" s="123" t="s">
        <v>109</v>
      </c>
      <c r="F14" s="133">
        <v>158.5</v>
      </c>
      <c r="G14" s="141">
        <v>0</v>
      </c>
      <c r="H14" s="133">
        <f>+F14+G14</f>
        <v>158.5</v>
      </c>
      <c r="I14" s="133">
        <f>+G14+H14</f>
        <v>158.5</v>
      </c>
      <c r="J14" s="119">
        <f t="shared" si="1"/>
        <v>1</v>
      </c>
      <c r="L14" s="124">
        <v>2008</v>
      </c>
      <c r="M14" s="124">
        <v>12</v>
      </c>
      <c r="N14" s="123" t="s">
        <v>117</v>
      </c>
      <c r="O14" s="125">
        <v>39778</v>
      </c>
    </row>
    <row r="15" spans="1:15" s="117" customFormat="1">
      <c r="A15" s="123"/>
      <c r="B15" s="123"/>
      <c r="C15" s="123"/>
      <c r="D15" s="123"/>
      <c r="E15" s="10" t="s">
        <v>387</v>
      </c>
      <c r="F15" s="134">
        <f>+F14</f>
        <v>158.5</v>
      </c>
      <c r="G15" s="140">
        <f t="shared" ref="G15:I15" si="4">+G14</f>
        <v>0</v>
      </c>
      <c r="H15" s="134">
        <f t="shared" si="4"/>
        <v>158.5</v>
      </c>
      <c r="I15" s="134">
        <f t="shared" si="4"/>
        <v>158.5</v>
      </c>
      <c r="J15" s="119"/>
      <c r="L15" s="124"/>
      <c r="M15" s="124"/>
      <c r="N15" s="123"/>
      <c r="O15" s="125"/>
    </row>
    <row r="16" spans="1:15" s="117" customFormat="1">
      <c r="A16" s="123"/>
      <c r="B16" s="123"/>
      <c r="C16" s="123"/>
      <c r="D16" s="123"/>
      <c r="E16" s="123" t="s">
        <v>404</v>
      </c>
      <c r="F16" s="134">
        <f>+F15+F13+F11</f>
        <v>1094.6399999999999</v>
      </c>
      <c r="G16" s="140">
        <f t="shared" ref="G16:I16" si="5">+G15+G13+G11</f>
        <v>0</v>
      </c>
      <c r="H16" s="134">
        <f t="shared" si="5"/>
        <v>1094.6399999999999</v>
      </c>
      <c r="I16" s="134">
        <f t="shared" si="5"/>
        <v>1094.6399999999999</v>
      </c>
      <c r="J16" s="119"/>
      <c r="L16" s="124"/>
      <c r="M16" s="124"/>
      <c r="N16" s="123"/>
      <c r="O16" s="125"/>
    </row>
    <row r="17" spans="1:15" s="117" customFormat="1">
      <c r="A17" s="123" t="s">
        <v>385</v>
      </c>
      <c r="B17" s="123"/>
      <c r="C17" s="123"/>
      <c r="D17" s="123"/>
      <c r="E17" s="123"/>
      <c r="F17" s="134">
        <f>+F16</f>
        <v>1094.6399999999999</v>
      </c>
      <c r="G17" s="140">
        <f t="shared" ref="G17:I17" si="6">+G16</f>
        <v>0</v>
      </c>
      <c r="H17" s="134">
        <f t="shared" si="6"/>
        <v>1094.6399999999999</v>
      </c>
      <c r="I17" s="134">
        <f t="shared" si="6"/>
        <v>1094.6399999999999</v>
      </c>
      <c r="J17" s="119"/>
      <c r="L17" s="124"/>
      <c r="M17" s="124"/>
      <c r="N17" s="123"/>
      <c r="O17" s="125"/>
    </row>
    <row r="18" spans="1:15" s="117" customFormat="1">
      <c r="A18" s="123"/>
      <c r="B18" s="123"/>
      <c r="C18" s="123"/>
      <c r="D18" s="123"/>
      <c r="E18" s="123"/>
      <c r="F18" s="133"/>
      <c r="G18" s="141"/>
      <c r="H18" s="133"/>
      <c r="I18" s="141"/>
      <c r="J18" s="119"/>
      <c r="L18" s="124"/>
      <c r="M18" s="124"/>
      <c r="N18" s="123"/>
      <c r="O18" s="125"/>
    </row>
    <row r="19" spans="1:15" s="117" customFormat="1">
      <c r="A19" s="116" t="s">
        <v>98</v>
      </c>
      <c r="B19" s="116" t="s">
        <v>98</v>
      </c>
      <c r="C19" s="118" t="s">
        <v>99</v>
      </c>
      <c r="D19" s="118" t="s">
        <v>97</v>
      </c>
      <c r="E19" s="118" t="s">
        <v>96</v>
      </c>
      <c r="F19" s="131">
        <v>294.5</v>
      </c>
      <c r="G19" s="141">
        <v>0</v>
      </c>
      <c r="H19" s="133">
        <f>+F19+G19</f>
        <v>294.5</v>
      </c>
      <c r="I19" s="141">
        <v>66.05</v>
      </c>
      <c r="J19" s="119">
        <f t="shared" si="1"/>
        <v>0.22427843803056027</v>
      </c>
      <c r="K19" s="118"/>
      <c r="L19" s="118">
        <v>2008</v>
      </c>
      <c r="M19" s="118">
        <v>2</v>
      </c>
      <c r="N19" s="118" t="s">
        <v>100</v>
      </c>
      <c r="O19" s="120">
        <v>39500</v>
      </c>
    </row>
    <row r="20" spans="1:15" s="117" customFormat="1">
      <c r="A20" s="116"/>
      <c r="B20" s="116"/>
      <c r="C20" s="118"/>
      <c r="D20" s="118"/>
      <c r="E20" s="10" t="s">
        <v>387</v>
      </c>
      <c r="F20" s="132">
        <f>+F19</f>
        <v>294.5</v>
      </c>
      <c r="G20" s="140">
        <f t="shared" ref="G20" si="7">+G19</f>
        <v>0</v>
      </c>
      <c r="H20" s="134">
        <f>+H19</f>
        <v>294.5</v>
      </c>
      <c r="I20" s="140">
        <f>+I19</f>
        <v>66.05</v>
      </c>
      <c r="J20" s="119"/>
      <c r="K20" s="118"/>
      <c r="L20" s="118"/>
      <c r="M20" s="118"/>
      <c r="N20" s="118"/>
      <c r="O20" s="120"/>
    </row>
    <row r="21" spans="1:15" s="117" customFormat="1">
      <c r="A21" s="116" t="s">
        <v>98</v>
      </c>
      <c r="B21" s="116" t="s">
        <v>98</v>
      </c>
      <c r="C21" s="118" t="s">
        <v>94</v>
      </c>
      <c r="D21" s="118" t="s">
        <v>97</v>
      </c>
      <c r="E21" s="118" t="s">
        <v>96</v>
      </c>
      <c r="F21" s="131">
        <v>18</v>
      </c>
      <c r="G21" s="141">
        <v>0</v>
      </c>
      <c r="H21" s="133">
        <f t="shared" ref="H21:H27" si="8">+F21+G21</f>
        <v>18</v>
      </c>
      <c r="I21" s="141">
        <v>4.04</v>
      </c>
      <c r="J21" s="119">
        <f t="shared" si="1"/>
        <v>0.22444444444444445</v>
      </c>
      <c r="K21" s="118"/>
      <c r="L21" s="118">
        <v>2008</v>
      </c>
      <c r="M21" s="118">
        <v>3</v>
      </c>
      <c r="N21" s="118" t="s">
        <v>95</v>
      </c>
      <c r="O21" s="120">
        <v>39524</v>
      </c>
    </row>
    <row r="22" spans="1:15" s="117" customFormat="1">
      <c r="A22" s="116"/>
      <c r="B22" s="116"/>
      <c r="C22" s="118"/>
      <c r="D22" s="118"/>
      <c r="E22" s="10" t="s">
        <v>387</v>
      </c>
      <c r="F22" s="132">
        <f>+F21</f>
        <v>18</v>
      </c>
      <c r="G22" s="140">
        <f t="shared" ref="G22:H22" si="9">+G21</f>
        <v>0</v>
      </c>
      <c r="H22" s="134">
        <f t="shared" si="9"/>
        <v>18</v>
      </c>
      <c r="I22" s="140">
        <f>+I21</f>
        <v>4.04</v>
      </c>
      <c r="J22" s="119"/>
      <c r="K22" s="118"/>
      <c r="L22" s="118"/>
      <c r="M22" s="118"/>
      <c r="N22" s="118"/>
      <c r="O22" s="120"/>
    </row>
    <row r="23" spans="1:15" s="117" customFormat="1">
      <c r="A23" s="116" t="s">
        <v>98</v>
      </c>
      <c r="B23" s="116" t="s">
        <v>98</v>
      </c>
      <c r="C23" s="118" t="s">
        <v>101</v>
      </c>
      <c r="D23" s="118" t="s">
        <v>97</v>
      </c>
      <c r="E23" s="118" t="s">
        <v>96</v>
      </c>
      <c r="F23" s="131">
        <v>4943.29</v>
      </c>
      <c r="G23" s="141">
        <v>0</v>
      </c>
      <c r="H23" s="133">
        <f t="shared" si="8"/>
        <v>4943.29</v>
      </c>
      <c r="I23" s="141">
        <v>1111.3699999999999</v>
      </c>
      <c r="J23" s="119">
        <f t="shared" si="1"/>
        <v>0.22482395327807997</v>
      </c>
      <c r="L23" s="118">
        <v>2008</v>
      </c>
      <c r="M23" s="118">
        <v>4</v>
      </c>
      <c r="N23" s="118" t="s">
        <v>102</v>
      </c>
      <c r="O23" s="120">
        <v>39552</v>
      </c>
    </row>
    <row r="24" spans="1:15" s="117" customFormat="1">
      <c r="A24" s="116"/>
      <c r="B24" s="116"/>
      <c r="C24" s="118"/>
      <c r="D24" s="118"/>
      <c r="E24" s="10" t="s">
        <v>387</v>
      </c>
      <c r="F24" s="132">
        <f>+F23</f>
        <v>4943.29</v>
      </c>
      <c r="G24" s="140">
        <f t="shared" ref="G24:H24" si="10">+G23</f>
        <v>0</v>
      </c>
      <c r="H24" s="134">
        <f t="shared" si="10"/>
        <v>4943.29</v>
      </c>
      <c r="I24" s="140">
        <f>+I23</f>
        <v>1111.3699999999999</v>
      </c>
      <c r="J24" s="119"/>
      <c r="L24" s="118"/>
      <c r="M24" s="118"/>
      <c r="N24" s="118"/>
      <c r="O24" s="120"/>
    </row>
    <row r="25" spans="1:15" s="117" customFormat="1">
      <c r="A25" s="116" t="s">
        <v>98</v>
      </c>
      <c r="B25" s="116" t="s">
        <v>98</v>
      </c>
      <c r="C25" s="118" t="s">
        <v>103</v>
      </c>
      <c r="D25" s="118" t="s">
        <v>97</v>
      </c>
      <c r="E25" s="118" t="s">
        <v>96</v>
      </c>
      <c r="F25" s="131">
        <v>1991.33</v>
      </c>
      <c r="G25" s="141">
        <v>0</v>
      </c>
      <c r="H25" s="133">
        <f t="shared" si="8"/>
        <v>1991.33</v>
      </c>
      <c r="I25" s="141">
        <v>447.7</v>
      </c>
      <c r="J25" s="119">
        <f t="shared" si="1"/>
        <v>0.22482461470474507</v>
      </c>
      <c r="L25" s="118">
        <v>2008</v>
      </c>
      <c r="M25" s="118">
        <v>5</v>
      </c>
      <c r="N25" s="118" t="s">
        <v>104</v>
      </c>
      <c r="O25" s="120">
        <v>39591</v>
      </c>
    </row>
    <row r="26" spans="1:15" s="117" customFormat="1">
      <c r="A26" s="116"/>
      <c r="B26" s="116"/>
      <c r="C26" s="118"/>
      <c r="D26" s="118"/>
      <c r="E26" s="10" t="s">
        <v>387</v>
      </c>
      <c r="F26" s="132">
        <f>+F25</f>
        <v>1991.33</v>
      </c>
      <c r="G26" s="140">
        <f t="shared" ref="G26:H26" si="11">+G25</f>
        <v>0</v>
      </c>
      <c r="H26" s="134">
        <f t="shared" si="11"/>
        <v>1991.33</v>
      </c>
      <c r="I26" s="140">
        <f>+I25</f>
        <v>447.7</v>
      </c>
      <c r="J26" s="119"/>
      <c r="L26" s="118"/>
      <c r="M26" s="118"/>
      <c r="N26" s="118"/>
      <c r="O26" s="120"/>
    </row>
    <row r="27" spans="1:15" s="117" customFormat="1">
      <c r="A27" s="116" t="s">
        <v>98</v>
      </c>
      <c r="B27" s="116" t="s">
        <v>98</v>
      </c>
      <c r="C27" s="118" t="s">
        <v>105</v>
      </c>
      <c r="D27" s="118" t="s">
        <v>97</v>
      </c>
      <c r="E27" s="118" t="s">
        <v>96</v>
      </c>
      <c r="F27" s="131">
        <v>873</v>
      </c>
      <c r="G27" s="141">
        <v>0</v>
      </c>
      <c r="H27" s="133">
        <f t="shared" si="8"/>
        <v>873</v>
      </c>
      <c r="I27" s="141">
        <v>198.04</v>
      </c>
      <c r="J27" s="119">
        <f t="shared" si="1"/>
        <v>0.22684994272623138</v>
      </c>
      <c r="L27" s="118">
        <v>2008</v>
      </c>
      <c r="M27" s="118">
        <v>6</v>
      </c>
      <c r="N27" s="118" t="s">
        <v>106</v>
      </c>
      <c r="O27" s="120">
        <v>39622</v>
      </c>
    </row>
    <row r="28" spans="1:15">
      <c r="E28" s="10" t="s">
        <v>387</v>
      </c>
      <c r="F28" s="135">
        <f>+F27</f>
        <v>873</v>
      </c>
      <c r="G28" s="144">
        <f t="shared" ref="G28:H28" si="12">+G27</f>
        <v>0</v>
      </c>
      <c r="H28" s="135">
        <f t="shared" si="12"/>
        <v>873</v>
      </c>
      <c r="I28" s="144">
        <f>+I27</f>
        <v>198.04</v>
      </c>
      <c r="J28" s="126"/>
    </row>
    <row r="29" spans="1:15">
      <c r="E29" s="127" t="s">
        <v>405</v>
      </c>
      <c r="F29" s="135">
        <f>+F28+F26+F24+F22+F20</f>
        <v>8120.12</v>
      </c>
      <c r="G29" s="144">
        <f t="shared" ref="G29:I29" si="13">+G28+G26+G24+G22+G20</f>
        <v>0</v>
      </c>
      <c r="H29" s="135">
        <f t="shared" si="13"/>
        <v>8120.12</v>
      </c>
      <c r="I29" s="135">
        <f t="shared" si="13"/>
        <v>1827.1999999999998</v>
      </c>
      <c r="J29" s="126"/>
    </row>
    <row r="30" spans="1:15">
      <c r="A30" s="23" t="s">
        <v>361</v>
      </c>
      <c r="F30" s="135">
        <f>+F29</f>
        <v>8120.12</v>
      </c>
      <c r="G30" s="144">
        <f t="shared" ref="G30:I30" si="14">+G29</f>
        <v>0</v>
      </c>
      <c r="H30" s="135">
        <f t="shared" si="14"/>
        <v>8120.12</v>
      </c>
      <c r="I30" s="135">
        <f t="shared" si="14"/>
        <v>1827.1999999999998</v>
      </c>
      <c r="J30" s="126"/>
    </row>
    <row r="31" spans="1:15">
      <c r="G31" s="143"/>
      <c r="H31" s="136"/>
      <c r="I31" s="145"/>
      <c r="J31" s="126"/>
    </row>
    <row r="32" spans="1:15" ht="13.5" thickBot="1">
      <c r="A32" s="23" t="s">
        <v>412</v>
      </c>
      <c r="F32" s="139">
        <f>+F30+F17</f>
        <v>9214.76</v>
      </c>
      <c r="G32" s="169">
        <f t="shared" ref="G32:I32" si="15">+G30+G17</f>
        <v>0</v>
      </c>
      <c r="H32" s="139">
        <f t="shared" si="15"/>
        <v>9214.76</v>
      </c>
      <c r="I32" s="139">
        <f t="shared" si="15"/>
        <v>2921.8399999999997</v>
      </c>
      <c r="J32" s="126"/>
    </row>
    <row r="33" spans="7:10" ht="13.5" thickTop="1">
      <c r="G33" s="143"/>
      <c r="H33" s="138"/>
      <c r="I33" s="142"/>
      <c r="J33" s="126"/>
    </row>
    <row r="34" spans="7:10">
      <c r="H34" s="138"/>
      <c r="I34" s="142"/>
      <c r="J34" s="126"/>
    </row>
    <row r="35" spans="7:10">
      <c r="H35" s="138"/>
      <c r="I35" s="142"/>
      <c r="J35" s="126"/>
    </row>
    <row r="36" spans="7:10">
      <c r="H36" s="138"/>
      <c r="I36" s="142"/>
      <c r="J36" s="126"/>
    </row>
    <row r="37" spans="7:10">
      <c r="H37" s="138"/>
      <c r="I37" s="142"/>
      <c r="J37" s="126"/>
    </row>
  </sheetData>
  <mergeCells count="3">
    <mergeCell ref="A1:O1"/>
    <mergeCell ref="A2:O2"/>
    <mergeCell ref="A3:O3"/>
  </mergeCells>
  <pageMargins left="0.7" right="0.7" top="0.75" bottom="0.75" header="0.3" footer="0.3"/>
  <pageSetup scale="5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e9c0b8d7-bdb4-4fd3-b62a-f50327aaefce" origin="autoSelectedSuggestion">
  <element uid="50c31824-0780-4910-87d1-eaaffd182d42" value=""/>
  <element uid="c64218ab-b8d1-40b6-a478-cb8be1e10ecc" value=""/>
</sisl>
</file>

<file path=customXml/itemProps1.xml><?xml version="1.0" encoding="utf-8"?>
<ds:datastoreItem xmlns:ds="http://schemas.openxmlformats.org/officeDocument/2006/customXml" ds:itemID="{D571D4BD-2C61-4638-94B4-A74621EEAFC5}">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FED3B45-8E84-45D8-9AA6-4EAD18C2E7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928B443F-E860-4BFD-B324-0B8C2FD558C0}">
  <ds:schemaRefs>
    <ds:schemaRef ds:uri="http://schemas.microsoft.com/sharepoint/v3/contenttype/forms"/>
  </ds:schemaRefs>
</ds:datastoreItem>
</file>

<file path=customXml/itemProps4.xml><?xml version="1.0" encoding="utf-8"?>
<ds:datastoreItem xmlns:ds="http://schemas.openxmlformats.org/officeDocument/2006/customXml" ds:itemID="{90EEA86C-58B1-46CF-AC37-EB7CA9C6D36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 Exh Rate Case Exp</vt:lpstr>
      <vt:lpstr>Exh Rate Case Exp 2</vt:lpstr>
      <vt:lpstr>Docket 40261</vt:lpstr>
      <vt:lpstr>2017 DCRF 47015</vt:lpstr>
      <vt:lpstr>2018 DCRF 48222 </vt:lpstr>
      <vt:lpstr>Docket 48577 </vt:lpstr>
      <vt:lpstr>Trailing Charges Central</vt:lpstr>
      <vt:lpstr>Trailing Charges North</vt:lpstr>
      <vt:lpstr>' Exh Rate Case Exp'!Print_Area</vt:lpstr>
      <vt:lpstr>'2017 DCRF 47015'!Print_Area</vt:lpstr>
      <vt:lpstr>'2018 DCRF 48222 '!Print_Area</vt:lpstr>
      <vt:lpstr>'Docket 40261'!Print_Area</vt:lpstr>
      <vt:lpstr>'Exh Rate Case Exp 2'!Print_Area</vt:lpstr>
      <vt:lpstr>'Trailing Charges Central'!Print_Area</vt:lpstr>
      <vt:lpstr>' Exh Rate Case Exp'!Print_Titles</vt:lpstr>
      <vt:lpstr>'Docket 48577 '!Print_Titles</vt:lpstr>
      <vt:lpstr>'Exh Rate Case Exp 2'!Print_Titles</vt:lpstr>
      <vt:lpstr>'Trailing Charges Central'!Print_Titles</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s273817</dc:creator>
  <cp:keywords>AEP Internal</cp:keywords>
  <cp:lastModifiedBy>s136841</cp:lastModifiedBy>
  <cp:lastPrinted>2019-04-24T23:51:40Z</cp:lastPrinted>
  <dcterms:created xsi:type="dcterms:W3CDTF">2019-01-16T20:14:37Z</dcterms:created>
  <dcterms:modified xsi:type="dcterms:W3CDTF">2019-04-26T12:38:19Z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5b1f16b2-c95f-4d10-8f9a-a84f17d1423f</vt:lpwstr>
  </property>
  <property fmtid="{D5CDD505-2E9C-101B-9397-08002B2CF9AE}" pid="3" name="bjSaver">
    <vt:lpwstr>94mR8Z9EeEHbSIkFSw5cxsHhvZoqo4FW</vt:lpwstr>
  </property>
  <property fmtid="{D5CDD505-2E9C-101B-9397-08002B2CF9AE}" pid="4" name="bjDocumentSecurityLabel">
    <vt:lpwstr>AEP Internal</vt:lpwstr>
  </property>
  <property fmtid="{D5CDD505-2E9C-101B-9397-08002B2CF9AE}" pid="5" name="ContentTypeId">
    <vt:lpwstr>0x01010068D7645638A6BA4A903C04B5C9F7EDEE</vt:lpwstr>
  </property>
  <property fmtid="{D5CDD505-2E9C-101B-9397-08002B2CF9AE}" pid="6"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7" name="bjDocumentLabelXML-0">
    <vt:lpwstr>ww.boldonjames.com/2008/01/sie/internal/label"&gt;&lt;element uid="50c31824-0780-4910-87d1-eaaffd182d42" value="" /&gt;&lt;element uid="c64218ab-b8d1-40b6-a478-cb8be1e10ecc" value="" /&gt;&lt;/sisl&gt;</vt:lpwstr>
  </property>
  <property fmtid="{D5CDD505-2E9C-101B-9397-08002B2CF9AE}" pid="8" name="Visual Markings Removed">
    <vt:lpwstr>No</vt:lpwstr>
  </property>
</Properties>
</file>