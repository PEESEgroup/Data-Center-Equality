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SCHEDULES\For Filing\Combined\"/>
    </mc:Choice>
  </mc:AlternateContent>
  <bookViews>
    <workbookView xWindow="0" yWindow="0" windowWidth="28800" windowHeight="12000"/>
  </bookViews>
  <sheets>
    <sheet name="Billing Units" sheetId="1" r:id="rId1"/>
    <sheet name="Rate Summary" sheetId="10" r:id="rId2"/>
    <sheet name="Revenue Summary" sheetId="11" r:id="rId3"/>
    <sheet name="AEPTX RS" sheetId="2" r:id="rId4"/>
    <sheet name="AEPTX Sec LT 10" sheetId="3" r:id="rId5"/>
    <sheet name="AEPTX Sec GT 10" sheetId="5" r:id="rId6"/>
    <sheet name="AEPTX Primary " sheetId="6" r:id="rId7"/>
    <sheet name="AEPTX Trans" sheetId="8" r:id="rId8"/>
    <sheet name="AEPTX Lighting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1" l="1"/>
  <c r="K19" i="11"/>
  <c r="J19" i="11"/>
  <c r="I19" i="11"/>
  <c r="H19" i="11"/>
  <c r="G19" i="11"/>
  <c r="F19" i="11"/>
  <c r="E19" i="11"/>
  <c r="K18" i="11"/>
  <c r="J18" i="11"/>
  <c r="I18" i="11"/>
  <c r="H18" i="11"/>
  <c r="L18" i="11" s="1"/>
  <c r="G18" i="11"/>
  <c r="F18" i="11"/>
  <c r="E18" i="11"/>
  <c r="K17" i="11"/>
  <c r="J17" i="11"/>
  <c r="I17" i="11"/>
  <c r="H17" i="11"/>
  <c r="L17" i="11" s="1"/>
  <c r="G17" i="11"/>
  <c r="F17" i="11"/>
  <c r="E17" i="11"/>
  <c r="K16" i="11"/>
  <c r="K21" i="11" s="1"/>
  <c r="J16" i="11"/>
  <c r="J21" i="11" s="1"/>
  <c r="I16" i="11"/>
  <c r="I21" i="11" s="1"/>
  <c r="H16" i="11"/>
  <c r="H21" i="11" s="1"/>
  <c r="G16" i="11"/>
  <c r="G21" i="11" s="1"/>
  <c r="F16" i="11"/>
  <c r="F21" i="11" s="1"/>
  <c r="E16" i="11"/>
  <c r="E21" i="11" s="1"/>
  <c r="L16" i="11" l="1"/>
  <c r="L21" i="11" s="1"/>
  <c r="D34" i="8" l="1"/>
  <c r="J20" i="8"/>
  <c r="D37" i="6"/>
  <c r="J23" i="6"/>
  <c r="J22" i="6"/>
  <c r="D38" i="5"/>
  <c r="J24" i="5"/>
  <c r="J23" i="5"/>
  <c r="G20" i="3"/>
  <c r="D34" i="3" s="1"/>
  <c r="G19" i="2"/>
  <c r="D33" i="2" s="1"/>
  <c r="D33" i="9" l="1"/>
  <c r="J35" i="9" l="1"/>
  <c r="D64" i="10" l="1"/>
  <c r="D61" i="10"/>
  <c r="D58" i="10"/>
  <c r="D55" i="10"/>
  <c r="D52" i="10"/>
  <c r="D49" i="10"/>
  <c r="D46" i="10"/>
  <c r="D43" i="10"/>
  <c r="E23" i="1" l="1"/>
  <c r="G23" i="1" l="1"/>
  <c r="D23" i="1"/>
  <c r="J21" i="1"/>
  <c r="H21" i="1"/>
  <c r="G21" i="1"/>
  <c r="D21" i="1"/>
  <c r="J18" i="1"/>
  <c r="H18" i="1"/>
  <c r="G18" i="1"/>
  <c r="D18" i="1"/>
  <c r="J17" i="1"/>
  <c r="D15" i="6" s="1"/>
  <c r="K23" i="6" s="1"/>
  <c r="H41" i="6" s="1"/>
  <c r="J41" i="6" s="1"/>
  <c r="H17" i="1"/>
  <c r="G17" i="1"/>
  <c r="D17" i="1"/>
  <c r="J14" i="1"/>
  <c r="I14" i="1"/>
  <c r="H14" i="1"/>
  <c r="G14" i="1"/>
  <c r="D14" i="1"/>
  <c r="J13" i="1"/>
  <c r="I13" i="1"/>
  <c r="H13" i="1"/>
  <c r="G13" i="1"/>
  <c r="D13" i="1"/>
  <c r="G11" i="1"/>
  <c r="F11" i="1"/>
  <c r="D11" i="1"/>
  <c r="G9" i="1"/>
  <c r="D9" i="1"/>
  <c r="D56" i="10"/>
  <c r="D16" i="5" l="1"/>
  <c r="K24" i="5" s="1"/>
  <c r="H42" i="5" s="1"/>
  <c r="J42" i="5" s="1"/>
  <c r="D14" i="6"/>
  <c r="K22" i="6" s="1"/>
  <c r="H40" i="6" s="1"/>
  <c r="J40" i="6" s="1"/>
  <c r="D14" i="8"/>
  <c r="K20" i="8" s="1"/>
  <c r="H36" i="8" s="1"/>
  <c r="J36" i="8" s="1"/>
  <c r="D15" i="5"/>
  <c r="K23" i="5" s="1"/>
  <c r="H41" i="5" s="1"/>
  <c r="J41" i="5" s="1"/>
  <c r="D63" i="10"/>
  <c r="D60" i="10"/>
  <c r="D57" i="10"/>
  <c r="D54" i="10"/>
  <c r="D51" i="10"/>
  <c r="D48" i="10"/>
  <c r="D45" i="10"/>
  <c r="D42" i="10"/>
  <c r="D53" i="10" l="1"/>
  <c r="D47" i="10"/>
  <c r="D59" i="10"/>
  <c r="D50" i="10"/>
  <c r="E12" i="9"/>
  <c r="E13" i="3" l="1"/>
  <c r="E12" i="3"/>
  <c r="H24" i="6" l="1"/>
  <c r="J9" i="1" l="1"/>
  <c r="D12" i="9" l="1"/>
  <c r="D38" i="9"/>
  <c r="J28" i="9"/>
  <c r="E24" i="9"/>
  <c r="K19" i="9"/>
  <c r="K28" i="9" s="1"/>
  <c r="D39" i="8"/>
  <c r="E25" i="8"/>
  <c r="D42" i="6"/>
  <c r="E28" i="6"/>
  <c r="K21" i="6"/>
  <c r="D45" i="5"/>
  <c r="E29" i="5"/>
  <c r="K22" i="5"/>
  <c r="D39" i="3"/>
  <c r="J29" i="3"/>
  <c r="E25" i="3"/>
  <c r="K20" i="3"/>
  <c r="K29" i="3" s="1"/>
  <c r="D38" i="2"/>
  <c r="J28" i="2"/>
  <c r="E24" i="2"/>
  <c r="K19" i="2"/>
  <c r="K28" i="2" s="1"/>
  <c r="E11" i="3"/>
  <c r="D13" i="8"/>
  <c r="D12" i="8"/>
  <c r="E21" i="1"/>
  <c r="F21" i="1" s="1"/>
  <c r="E18" i="1"/>
  <c r="F18" i="1" s="1"/>
  <c r="J19" i="1"/>
  <c r="H19" i="1"/>
  <c r="D13" i="6" s="1"/>
  <c r="G19" i="1"/>
  <c r="D12" i="6" s="1"/>
  <c r="E17" i="1"/>
  <c r="E14" i="1"/>
  <c r="F14" i="1" s="1"/>
  <c r="J15" i="1"/>
  <c r="H15" i="1"/>
  <c r="D13" i="5" s="1"/>
  <c r="E13" i="1"/>
  <c r="H11" i="1"/>
  <c r="D13" i="3" s="1"/>
  <c r="H20" i="3" s="1"/>
  <c r="H37" i="3" s="1"/>
  <c r="E11" i="1"/>
  <c r="E11" i="9" s="1"/>
  <c r="E9" i="1"/>
  <c r="D11" i="2" s="1"/>
  <c r="J37" i="3" l="1"/>
  <c r="H42" i="3"/>
  <c r="J42" i="3" s="1"/>
  <c r="D11" i="9"/>
  <c r="D11" i="8"/>
  <c r="D12" i="3"/>
  <c r="D11" i="3"/>
  <c r="J11" i="1"/>
  <c r="G15" i="1"/>
  <c r="D19" i="1"/>
  <c r="D12" i="2"/>
  <c r="H19" i="2" s="1"/>
  <c r="H35" i="2" s="1"/>
  <c r="J35" i="2" s="1"/>
  <c r="F9" i="1"/>
  <c r="E19" i="1"/>
  <c r="D11" i="6" s="1"/>
  <c r="F13" i="1"/>
  <c r="F15" i="1" s="1"/>
  <c r="D11" i="5" s="1"/>
  <c r="E15" i="1"/>
  <c r="H9" i="1"/>
  <c r="D15" i="1"/>
  <c r="F17" i="1"/>
  <c r="F19" i="1" s="1"/>
  <c r="H23" i="1"/>
  <c r="J23" i="1"/>
  <c r="D41" i="10" l="1"/>
  <c r="D25" i="1"/>
  <c r="G25" i="1"/>
  <c r="D12" i="5"/>
  <c r="E25" i="1"/>
  <c r="I15" i="1"/>
  <c r="D14" i="5" s="1"/>
  <c r="F25" i="1"/>
  <c r="H21" i="8" l="1"/>
  <c r="G29" i="8"/>
  <c r="G32" i="6"/>
  <c r="G33" i="5"/>
  <c r="H25" i="5"/>
  <c r="D62" i="10" l="1"/>
  <c r="D44" i="10"/>
  <c r="H32" i="6"/>
  <c r="H29" i="8"/>
  <c r="H33" i="5"/>
  <c r="D36" i="9" l="1"/>
  <c r="E22" i="9" l="1"/>
  <c r="D26" i="6" l="1"/>
  <c r="D40" i="6" s="1"/>
  <c r="D27" i="2"/>
  <c r="D41" i="2" s="1"/>
  <c r="D31" i="6"/>
  <c r="D22" i="2"/>
  <c r="D36" i="2" s="1"/>
  <c r="D27" i="5"/>
  <c r="D43" i="5" s="1"/>
  <c r="D41" i="9"/>
  <c r="D23" i="3"/>
  <c r="E23" i="3" s="1"/>
  <c r="D15" i="10" s="1"/>
  <c r="G20" i="2"/>
  <c r="J24" i="6"/>
  <c r="D32" i="5"/>
  <c r="D48" i="5" s="1"/>
  <c r="D28" i="8"/>
  <c r="E28" i="8" s="1"/>
  <c r="D29" i="10" s="1"/>
  <c r="J25" i="5"/>
  <c r="K25" i="5" s="1"/>
  <c r="D28" i="3"/>
  <c r="D23" i="8"/>
  <c r="D37" i="8" s="1"/>
  <c r="J21" i="8"/>
  <c r="J29" i="8" s="1"/>
  <c r="D37" i="3" l="1"/>
  <c r="E23" i="8"/>
  <c r="D30" i="10" s="1"/>
  <c r="E32" i="5"/>
  <c r="D20" i="10" s="1"/>
  <c r="E27" i="5"/>
  <c r="D18" i="10" s="1"/>
  <c r="E22" i="2"/>
  <c r="D12" i="10" s="1"/>
  <c r="E26" i="6"/>
  <c r="D27" i="10" s="1"/>
  <c r="G28" i="2"/>
  <c r="H20" i="2"/>
  <c r="H36" i="2" s="1"/>
  <c r="D38" i="6"/>
  <c r="K24" i="6"/>
  <c r="E27" i="9"/>
  <c r="E28" i="9" s="1"/>
  <c r="H34" i="9" s="1"/>
  <c r="D28" i="9"/>
  <c r="H36" i="3"/>
  <c r="J36" i="3" s="1"/>
  <c r="D29" i="3"/>
  <c r="D42" i="3"/>
  <c r="J33" i="5"/>
  <c r="D39" i="5"/>
  <c r="D49" i="5" s="1"/>
  <c r="D28" i="2"/>
  <c r="E27" i="2"/>
  <c r="D11" i="10" s="1"/>
  <c r="D33" i="5"/>
  <c r="J32" i="6"/>
  <c r="E31" i="6"/>
  <c r="D32" i="6"/>
  <c r="D17" i="10"/>
  <c r="E28" i="3"/>
  <c r="D34" i="2"/>
  <c r="D42" i="2" s="1"/>
  <c r="D45" i="6"/>
  <c r="E29" i="8"/>
  <c r="H35" i="8" s="1"/>
  <c r="J35" i="8" s="1"/>
  <c r="D29" i="8"/>
  <c r="K21" i="8"/>
  <c r="D31" i="10" s="1"/>
  <c r="D35" i="8"/>
  <c r="D42" i="8"/>
  <c r="D24" i="10" l="1"/>
  <c r="D43" i="8"/>
  <c r="E33" i="5"/>
  <c r="H39" i="5" s="1"/>
  <c r="J39" i="5" s="1"/>
  <c r="D21" i="10"/>
  <c r="D46" i="6"/>
  <c r="D32" i="10"/>
  <c r="D14" i="10"/>
  <c r="H35" i="3"/>
  <c r="E29" i="3"/>
  <c r="D23" i="10"/>
  <c r="E32" i="6"/>
  <c r="H38" i="6" s="1"/>
  <c r="J38" i="6" s="1"/>
  <c r="D26" i="10"/>
  <c r="D28" i="10"/>
  <c r="D25" i="10"/>
  <c r="K32" i="6"/>
  <c r="H42" i="6"/>
  <c r="J42" i="6" s="1"/>
  <c r="D19" i="10"/>
  <c r="H43" i="5"/>
  <c r="J43" i="5" s="1"/>
  <c r="D22" i="10"/>
  <c r="E28" i="2"/>
  <c r="H34" i="2" s="1"/>
  <c r="J34" i="2" s="1"/>
  <c r="D13" i="10"/>
  <c r="H28" i="2"/>
  <c r="J36" i="2" s="1"/>
  <c r="K29" i="8"/>
  <c r="H37" i="8"/>
  <c r="J37" i="8" s="1"/>
  <c r="J38" i="8" s="1"/>
  <c r="J23" i="11" s="1"/>
  <c r="J24" i="11" s="1"/>
  <c r="J35" i="3" l="1"/>
  <c r="H41" i="3"/>
  <c r="J41" i="3" s="1"/>
  <c r="J44" i="5"/>
  <c r="H23" i="11" s="1"/>
  <c r="H24" i="11" s="1"/>
  <c r="J37" i="2"/>
  <c r="F23" i="11" s="1"/>
  <c r="J43" i="6"/>
  <c r="I23" i="11" s="1"/>
  <c r="I24" i="11" s="1"/>
  <c r="F24" i="11" l="1"/>
  <c r="G21" i="3"/>
  <c r="D33" i="10"/>
  <c r="D35" i="3" l="1"/>
  <c r="D43" i="3" s="1"/>
  <c r="G29" i="3"/>
  <c r="H21" i="3"/>
  <c r="H38" i="3" s="1"/>
  <c r="J38" i="3" l="1"/>
  <c r="H43" i="3"/>
  <c r="J43" i="3" s="1"/>
  <c r="J44" i="3" s="1"/>
  <c r="G28" i="9"/>
  <c r="D34" i="9"/>
  <c r="D42" i="9" s="1"/>
  <c r="H29" i="3"/>
  <c r="J39" i="3" s="1"/>
  <c r="G23" i="11" s="1"/>
  <c r="D16" i="10"/>
  <c r="G24" i="11" l="1"/>
  <c r="J46" i="3"/>
  <c r="D34" i="10"/>
  <c r="H28" i="9"/>
  <c r="H37" i="9" s="1"/>
  <c r="J38" i="9" s="1"/>
  <c r="K23" i="11" s="1"/>
  <c r="K24" i="11" s="1"/>
  <c r="L23" i="11" l="1"/>
  <c r="E23" i="11" l="1"/>
  <c r="L24" i="11"/>
  <c r="E24" i="11" s="1"/>
</calcChain>
</file>

<file path=xl/comments1.xml><?xml version="1.0" encoding="utf-8"?>
<comments xmlns="http://schemas.openxmlformats.org/spreadsheetml/2006/main">
  <authors>
    <author>dtsoa12</author>
  </authors>
  <commentList>
    <comment ref="F11" authorId="0" shapeId="0">
      <text>
        <r>
          <rPr>
            <b/>
            <sz val="8"/>
            <color indexed="81"/>
            <rFont val="Tahoma"/>
            <family val="2"/>
          </rPr>
          <t>excludes 26,316 annual unmetered customers</t>
        </r>
      </text>
    </comment>
  </commentList>
</comments>
</file>

<file path=xl/sharedStrings.xml><?xml version="1.0" encoding="utf-8"?>
<sst xmlns="http://schemas.openxmlformats.org/spreadsheetml/2006/main" count="600" uniqueCount="166">
  <si>
    <t>TEST YEAR DATA BY RATE CLASS</t>
  </si>
  <si>
    <t>FOR TEST YEAR ENDED DECEMBER 30, 2018</t>
  </si>
  <si>
    <t>Year-end</t>
  </si>
  <si>
    <t>Annual</t>
  </si>
  <si>
    <t>Adjusted</t>
  </si>
  <si>
    <t>Distribution</t>
  </si>
  <si>
    <t>Transmission</t>
  </si>
  <si>
    <t>LINE</t>
  </si>
  <si>
    <t>DESCRIPTION</t>
  </si>
  <si>
    <t>VOLT</t>
  </si>
  <si>
    <t>Customer</t>
  </si>
  <si>
    <t>Applications</t>
  </si>
  <si>
    <t>kWh</t>
  </si>
  <si>
    <t>Billing Determinant</t>
  </si>
  <si>
    <t>Cust Charge</t>
  </si>
  <si>
    <t>Meter Charge</t>
  </si>
  <si>
    <t>1</t>
  </si>
  <si>
    <t>RESIDENTIAL SERVICE</t>
  </si>
  <si>
    <t>SEC</t>
  </si>
  <si>
    <r>
      <t xml:space="preserve">SECONDARY </t>
    </r>
    <r>
      <rPr>
        <u/>
        <sz val="8"/>
        <rFont val="Arial"/>
        <family val="2"/>
      </rPr>
      <t>&lt;</t>
    </r>
    <r>
      <rPr>
        <sz val="8"/>
        <rFont val="Arial"/>
        <family val="2"/>
      </rPr>
      <t xml:space="preserve"> 10 kW</t>
    </r>
  </si>
  <si>
    <t>SECONDARY &gt; 10 kW NCP</t>
  </si>
  <si>
    <t>SECONDARY &gt; 10 kW 4CP</t>
  </si>
  <si>
    <t>TOTAL SECONDARY &gt; 10 kW</t>
  </si>
  <si>
    <t>PRIMARY NCP</t>
  </si>
  <si>
    <t>PRI</t>
  </si>
  <si>
    <t>PRIMARY 4CP</t>
  </si>
  <si>
    <t>TOTAL PRIMARY</t>
  </si>
  <si>
    <t>TRANSMISSION IDR</t>
  </si>
  <si>
    <t>TRA</t>
  </si>
  <si>
    <t>LIGHTING*</t>
  </si>
  <si>
    <t>TOTAL RETAIL</t>
  </si>
  <si>
    <t>*Year end fixture counts</t>
  </si>
  <si>
    <t>PROOF OF REVENUE STATEMENT</t>
  </si>
  <si>
    <t>FOR THE TEST YEAR ENDING DECEMBER 31, 2018</t>
  </si>
  <si>
    <t>ESTIMATED</t>
  </si>
  <si>
    <t xml:space="preserve">BILLING </t>
  </si>
  <si>
    <t>CLASS BILLING STATISTICS</t>
  </si>
  <si>
    <t>UNITS</t>
  </si>
  <si>
    <t>Number of Annual Bills</t>
  </si>
  <si>
    <t>Annual kWh</t>
  </si>
  <si>
    <t>Annual Billing kW</t>
  </si>
  <si>
    <t>CALCULATION OF UNIT CHARGES USING FORECASTED BILLING UNITS</t>
  </si>
  <si>
    <t>POINT OF DELIVERY</t>
  </si>
  <si>
    <t>FACILITIES CHARGE</t>
  </si>
  <si>
    <t>(POD) CHARGE</t>
  </si>
  <si>
    <t>(PER KWH)</t>
  </si>
  <si>
    <t>(PER KW)</t>
  </si>
  <si>
    <t>FUNCTION</t>
  </si>
  <si>
    <t>$</t>
  </si>
  <si>
    <t>$/Bill/Month</t>
  </si>
  <si>
    <t>$/kWh</t>
  </si>
  <si>
    <t>$/kW</t>
  </si>
  <si>
    <t>1.  Transmission (TRAN)</t>
  </si>
  <si>
    <t>2.  Distribution (DIST)</t>
  </si>
  <si>
    <t>3.  Transmission &amp; Distribution Utility</t>
  </si>
  <si>
    <t xml:space="preserve">      Metering System Services (MET)</t>
  </si>
  <si>
    <t>4.  Transmission &amp; Distribution Utility</t>
  </si>
  <si>
    <t xml:space="preserve">      Billing System Services (TD-BILL)</t>
  </si>
  <si>
    <t>5.  Additional Billing Services (A-BILL)</t>
  </si>
  <si>
    <t>6.  Transmission &amp; Distribution Utility</t>
  </si>
  <si>
    <t xml:space="preserve">      Customer Service (TDCS)</t>
  </si>
  <si>
    <t xml:space="preserve">                         TOTAL</t>
  </si>
  <si>
    <t>PROPOSED CHARGES</t>
  </si>
  <si>
    <t>SUMMARY</t>
  </si>
  <si>
    <t>UNIT</t>
  </si>
  <si>
    <t>TOTAL</t>
  </si>
  <si>
    <t>CHARGE</t>
  </si>
  <si>
    <t>REVENUE</t>
  </si>
  <si>
    <t>POD CHARGE</t>
  </si>
  <si>
    <t>*</t>
  </si>
  <si>
    <t xml:space="preserve">  TOTAL</t>
  </si>
  <si>
    <t xml:space="preserve"> *Unit Charge is per kWh</t>
  </si>
  <si>
    <t>Number of Annual Bills - Meters</t>
  </si>
  <si>
    <t>POD CHARGE CUST</t>
  </si>
  <si>
    <t>POD CHARGE METER</t>
  </si>
  <si>
    <t>FACILITIES CHARGE - DIST</t>
  </si>
  <si>
    <t xml:space="preserve"> *Unit Charge is per kW</t>
  </si>
  <si>
    <t xml:space="preserve">Annual Billing kW </t>
  </si>
  <si>
    <t>No Ratchet</t>
  </si>
  <si>
    <t>LIGHTING FIXTURES</t>
  </si>
  <si>
    <t xml:space="preserve">AEP TEXAS </t>
  </si>
  <si>
    <t xml:space="preserve">AEP Texas </t>
  </si>
  <si>
    <t>RESIDENTIAL SERVICE - AEPTX</t>
  </si>
  <si>
    <t>SECONDARY &lt;= 10 KW - AEPTX</t>
  </si>
  <si>
    <t>TRANSMISSION NCP - AEPTX</t>
  </si>
  <si>
    <t>LIGHTING SERVICE - AEPTX</t>
  </si>
  <si>
    <t>Annual Billing kW 80% Ratchet</t>
  </si>
  <si>
    <t>Annual Billing kW No Ratchet</t>
  </si>
  <si>
    <t>LIGHTING UNITS</t>
  </si>
  <si>
    <t>SEC &lt; 10 kW UNITS</t>
  </si>
  <si>
    <t>Public Utility Commission of Texas</t>
  </si>
  <si>
    <t>Test Year Ended December 31, 2018</t>
  </si>
  <si>
    <t>CLASS</t>
  </si>
  <si>
    <t>RATE CHARGES</t>
  </si>
  <si>
    <t>CHARGES</t>
  </si>
  <si>
    <t>RATES</t>
  </si>
  <si>
    <t>RESIDENTIAL</t>
  </si>
  <si>
    <t>CUSTOMER CHARGE</t>
  </si>
  <si>
    <t>per customer</t>
  </si>
  <si>
    <t>METERING CHARGE</t>
  </si>
  <si>
    <t>DISTRIBUTION SERVICE CHARGE</t>
  </si>
  <si>
    <t>per kWh</t>
  </si>
  <si>
    <t xml:space="preserve">SECONDARY =&lt;10 kW </t>
  </si>
  <si>
    <t>SECONDARY &gt;10kW</t>
  </si>
  <si>
    <t>4CP</t>
  </si>
  <si>
    <t>per kW</t>
  </si>
  <si>
    <t>NCP</t>
  </si>
  <si>
    <t>PRIMARY</t>
  </si>
  <si>
    <t>TRANSMISSION</t>
  </si>
  <si>
    <t>LIGHTING</t>
  </si>
  <si>
    <t>FIXTURES REVENUES</t>
  </si>
  <si>
    <t>Other Non-ByPassable Charges:</t>
  </si>
  <si>
    <t>Transmission Cost Recovery Factor</t>
  </si>
  <si>
    <t>Nuclear Decommissioning Charge*</t>
  </si>
  <si>
    <t>Income Tax Refund Rider</t>
  </si>
  <si>
    <t>% Base Rev</t>
  </si>
  <si>
    <t>per 4CP kW</t>
  </si>
  <si>
    <t>per NCP kW</t>
  </si>
  <si>
    <t>Rate Design Workpaper - AEP TEXAS</t>
  </si>
  <si>
    <t>*billed over one month Central Division only</t>
  </si>
  <si>
    <t>FACILITIES CHARGE TRANS</t>
  </si>
  <si>
    <t>FACILITIES CHARGE DIST</t>
  </si>
  <si>
    <t>FACILITIES CHARGE TRAN</t>
  </si>
  <si>
    <t>4CP Billing kW</t>
  </si>
  <si>
    <t>NCP Billing kW</t>
  </si>
  <si>
    <t xml:space="preserve">1.  Transmission (TRAN) </t>
  </si>
  <si>
    <t>FACILITIES CHARGE - TRANS</t>
  </si>
  <si>
    <t>FACILITIES CHARGE - TRANS NCP</t>
  </si>
  <si>
    <t>FACILITIES CHARGE - TRANS 4CP</t>
  </si>
  <si>
    <t>4CP CUSTOMERS</t>
  </si>
  <si>
    <t>NCP CUSTOMERS</t>
  </si>
  <si>
    <t>PRIMARY  - AEPTX</t>
  </si>
  <si>
    <t>SECONDARY &gt; 10 KW  - AEPTX</t>
  </si>
  <si>
    <t>POD CHARGE CUST - LIGHT</t>
  </si>
  <si>
    <t>FACILITIES CHARGE TRAN - LIGHT</t>
  </si>
  <si>
    <t>FACILITIES CHARGE DIST - LIGHT</t>
  </si>
  <si>
    <t xml:space="preserve">  TOTAL SECONDARY &lt;= 10 kW</t>
  </si>
  <si>
    <t xml:space="preserve">  TOTAL LIGHTING DISTRIBUTION</t>
  </si>
  <si>
    <t>TOTAL SECONDARY &lt;= 10 kW &amp; LIGHTING</t>
  </si>
  <si>
    <t>SEE SEC&lt;=10 kW</t>
  </si>
  <si>
    <t>PUBLIC UTILITY COMMISSION OF TEXAS</t>
  </si>
  <si>
    <t>AEP TEXAS INC</t>
  </si>
  <si>
    <t>IV-J-1 REVENUE SUMMARY</t>
  </si>
  <si>
    <t>TEST YEAR ENDING 12/31/2018</t>
  </si>
  <si>
    <t>Docket - TBD</t>
  </si>
  <si>
    <t>Test Year</t>
  </si>
  <si>
    <t>Description</t>
  </si>
  <si>
    <t>Revenue</t>
  </si>
  <si>
    <t>Residential</t>
  </si>
  <si>
    <t>Secondary</t>
  </si>
  <si>
    <t>Primary</t>
  </si>
  <si>
    <t>Lighting</t>
  </si>
  <si>
    <t>Total</t>
  </si>
  <si>
    <t>Line</t>
  </si>
  <si>
    <t>Requirement</t>
  </si>
  <si>
    <t>=&lt; 10 kW</t>
  </si>
  <si>
    <t>&gt; 10 kW</t>
  </si>
  <si>
    <t>TX Retail</t>
  </si>
  <si>
    <t>No.</t>
  </si>
  <si>
    <t>Transmission (TRAN)</t>
  </si>
  <si>
    <t>Distribution (DIST)</t>
  </si>
  <si>
    <t>Metering (MET)</t>
  </si>
  <si>
    <t>Customer - Billing (TBIL) - T&amp;D Customer Service (TDCS)</t>
  </si>
  <si>
    <t>DIST + TRAN + MET + TBILL + TDCS</t>
  </si>
  <si>
    <t>PROOF OF REVENUE SCHEDULE IV-J-7</t>
  </si>
  <si>
    <t>RATE DESIGN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</si>
</sst>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00"/>
    <numFmt numFmtId="167" formatCode="#,##0.0000_);\(#,##0.0000\)"/>
    <numFmt numFmtId="168" formatCode="_(&quot;$&quot;* #,##0_);_(&quot;$&quot;* \(#,##0\);_(&quot;$&quot;* &quot;-&quot;??_);_(@_)"/>
    <numFmt numFmtId="169" formatCode="_(&quot;$&quot;* #,##0.000000_);_(&quot;$&quot;* \(#,##0.000000\);_(&quot;$&quot;* &quot;-&quot;??_);_(@_)"/>
    <numFmt numFmtId="170" formatCode="_(&quot;$&quot;* #,##0.0000_);_(&quot;$&quot;* \(#,##0.0000\);_(&quot;$&quot;* &quot;-&quot;??_);_(@_)"/>
    <numFmt numFmtId="171" formatCode="0.0000"/>
    <numFmt numFmtId="172" formatCode="_(* #,##0.00_);_(* \(#,##0.00\);_(* &quot;-&quot;_);_(@_)"/>
    <numFmt numFmtId="173" formatCode="_(&quot;$&quot;* #,##0.00000_);_(&quot;$&quot;* \(#,##0.00000\);_(&quot;$&quot;* &quot;-&quot;??_);_(@_)"/>
    <numFmt numFmtId="174" formatCode="_(&quot;$&quot;* #,##0.000_);_(&quot;$&quot;* \(#,##0.000\);_(&quot;$&quot;* &quot;-&quot;??_);_(@_)"/>
    <numFmt numFmtId="175" formatCode="_(&quot;$&quot;* #,##0.00000000_);_(&quot;$&quot;* \(#,##0.00000000\);_(&quot;$&quot;* &quot;-&quot;??_);_(@_)"/>
    <numFmt numFmtId="176" formatCode="&quot;$&quot;#,##0"/>
    <numFmt numFmtId="177" formatCode="0.00000%"/>
    <numFmt numFmtId="178" formatCode="0.000"/>
    <numFmt numFmtId="179" formatCode="_(* #,##0.000_);_(* \(#,##0.000\);_(* &quot;-&quot;_);_(@_)"/>
    <numFmt numFmtId="180" formatCode="_(* #,##0.000000_);_(* \(#,##0.000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u/>
      <sz val="8"/>
      <name val="Arial"/>
      <family val="2"/>
    </font>
    <font>
      <b/>
      <sz val="8"/>
      <color indexed="81"/>
      <name val="Tahoma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2" fillId="0" borderId="0"/>
  </cellStyleXfs>
  <cellXfs count="242">
    <xf numFmtId="0" fontId="0" fillId="0" borderId="0" xfId="0"/>
    <xf numFmtId="0" fontId="3" fillId="0" borderId="0" xfId="2" applyFont="1" applyAlignment="1"/>
    <xf numFmtId="0" fontId="3" fillId="0" borderId="0" xfId="2" applyFont="1" applyAlignment="1">
      <alignment horizontal="center"/>
    </xf>
    <xf numFmtId="0" fontId="4" fillId="0" borderId="0" xfId="2" applyFont="1" applyAlignment="1"/>
    <xf numFmtId="0" fontId="5" fillId="0" borderId="0" xfId="2" applyFont="1" applyAlignment="1"/>
    <xf numFmtId="0" fontId="5" fillId="0" borderId="0" xfId="2" applyFont="1" applyAlignment="1">
      <alignment horizontal="center"/>
    </xf>
    <xf numFmtId="0" fontId="4" fillId="0" borderId="0" xfId="2" applyFont="1" applyAlignment="1">
      <alignment horizontal="centerContinuous"/>
    </xf>
    <xf numFmtId="0" fontId="4" fillId="0" borderId="0" xfId="2" applyFont="1" applyAlignment="1">
      <alignment horizontal="right"/>
    </xf>
    <xf numFmtId="164" fontId="4" fillId="0" borderId="0" xfId="3" applyNumberFormat="1" applyFont="1" applyAlignment="1"/>
    <xf numFmtId="164" fontId="5" fillId="0" borderId="0" xfId="3" applyNumberFormat="1" applyFont="1" applyAlignment="1">
      <alignment horizontal="center"/>
    </xf>
    <xf numFmtId="0" fontId="5" fillId="0" borderId="0" xfId="2" applyFont="1" applyAlignment="1">
      <alignment horizontal="left"/>
    </xf>
    <xf numFmtId="164" fontId="3" fillId="0" borderId="0" xfId="3" applyNumberFormat="1" applyFont="1" applyAlignment="1">
      <alignment horizontal="center"/>
    </xf>
    <xf numFmtId="0" fontId="2" fillId="0" borderId="0" xfId="2" applyAlignment="1"/>
    <xf numFmtId="164" fontId="3" fillId="0" borderId="0" xfId="3" applyNumberFormat="1" applyFont="1" applyAlignment="1"/>
    <xf numFmtId="43" fontId="3" fillId="0" borderId="0" xfId="2" applyNumberFormat="1" applyFont="1" applyAlignment="1">
      <alignment horizontal="right"/>
    </xf>
    <xf numFmtId="0" fontId="6" fillId="0" borderId="0" xfId="2" quotePrefix="1" applyFont="1" applyAlignment="1">
      <alignment horizontal="center"/>
    </xf>
    <xf numFmtId="0" fontId="6" fillId="0" borderId="0" xfId="2" applyFont="1" applyAlignment="1"/>
    <xf numFmtId="0" fontId="6" fillId="0" borderId="0" xfId="2" applyFont="1" applyAlignment="1">
      <alignment horizontal="center"/>
    </xf>
    <xf numFmtId="164" fontId="6" fillId="0" borderId="0" xfId="3" applyNumberFormat="1" applyFont="1" applyAlignment="1"/>
    <xf numFmtId="0" fontId="6" fillId="0" borderId="0" xfId="2" applyFont="1" applyBorder="1" applyAlignment="1"/>
    <xf numFmtId="37" fontId="7" fillId="0" borderId="0" xfId="3" applyNumberFormat="1" applyFont="1" applyAlignment="1"/>
    <xf numFmtId="9" fontId="6" fillId="0" borderId="0" xfId="4" applyFont="1" applyAlignment="1"/>
    <xf numFmtId="0" fontId="6" fillId="0" borderId="0" xfId="2" applyFont="1" applyBorder="1" applyAlignment="1">
      <alignment horizontal="center"/>
    </xf>
    <xf numFmtId="43" fontId="6" fillId="0" borderId="0" xfId="2" applyNumberFormat="1" applyFont="1" applyBorder="1" applyAlignment="1"/>
    <xf numFmtId="164" fontId="6" fillId="0" borderId="1" xfId="3" applyNumberFormat="1" applyFont="1" applyBorder="1" applyAlignment="1"/>
    <xf numFmtId="0" fontId="4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9" fontId="4" fillId="0" borderId="0" xfId="4" applyFont="1" applyAlignment="1"/>
    <xf numFmtId="0" fontId="2" fillId="0" borderId="0" xfId="2" applyBorder="1" applyAlignment="1"/>
    <xf numFmtId="164" fontId="6" fillId="0" borderId="0" xfId="3" applyNumberFormat="1" applyFont="1" applyFill="1" applyAlignment="1"/>
    <xf numFmtId="164" fontId="2" fillId="0" borderId="0" xfId="3" applyNumberFormat="1" applyFont="1" applyBorder="1" applyAlignment="1"/>
    <xf numFmtId="43" fontId="2" fillId="0" borderId="0" xfId="2" applyNumberFormat="1" applyBorder="1" applyAlignment="1"/>
    <xf numFmtId="0" fontId="5" fillId="0" borderId="0" xfId="2" applyFont="1" applyBorder="1" applyAlignment="1">
      <alignment horizontal="left"/>
    </xf>
    <xf numFmtId="0" fontId="5" fillId="0" borderId="0" xfId="2" applyFont="1" applyBorder="1" applyAlignment="1">
      <alignment horizontal="center"/>
    </xf>
    <xf numFmtId="37" fontId="4" fillId="0" borderId="2" xfId="3" applyNumberFormat="1" applyFont="1" applyBorder="1" applyAlignment="1"/>
    <xf numFmtId="37" fontId="4" fillId="0" borderId="0" xfId="3" applyNumberFormat="1" applyFont="1" applyAlignment="1"/>
    <xf numFmtId="37" fontId="2" fillId="0" borderId="0" xfId="2" applyNumberFormat="1" applyAlignment="1"/>
    <xf numFmtId="0" fontId="6" fillId="0" borderId="0" xfId="2" applyFont="1" applyAlignment="1">
      <alignment horizontal="right"/>
    </xf>
    <xf numFmtId="164" fontId="2" fillId="0" borderId="0" xfId="2" applyNumberFormat="1" applyAlignment="1"/>
    <xf numFmtId="10" fontId="6" fillId="0" borderId="0" xfId="4" applyNumberFormat="1" applyFont="1" applyAlignment="1"/>
    <xf numFmtId="43" fontId="6" fillId="0" borderId="0" xfId="1" applyFont="1" applyAlignment="1"/>
    <xf numFmtId="43" fontId="2" fillId="0" borderId="0" xfId="2" applyNumberFormat="1" applyAlignment="1"/>
    <xf numFmtId="164" fontId="6" fillId="0" borderId="0" xfId="3" applyNumberFormat="1" applyFont="1" applyAlignment="1">
      <alignment horizontal="right"/>
    </xf>
    <xf numFmtId="164" fontId="6" fillId="0" borderId="0" xfId="2" applyNumberFormat="1" applyFont="1" applyAlignment="1"/>
    <xf numFmtId="37" fontId="4" fillId="0" borderId="0" xfId="2" applyNumberFormat="1" applyFont="1" applyAlignment="1"/>
    <xf numFmtId="37" fontId="4" fillId="0" borderId="0" xfId="2" applyNumberFormat="1" applyFont="1" applyAlignment="1">
      <alignment horizontal="right"/>
    </xf>
    <xf numFmtId="39" fontId="4" fillId="0" borderId="0" xfId="2" applyNumberFormat="1" applyFont="1" applyAlignment="1"/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0" fontId="2" fillId="0" borderId="0" xfId="0" applyFont="1" applyFill="1"/>
    <xf numFmtId="0" fontId="0" fillId="0" borderId="0" xfId="0" applyFill="1"/>
    <xf numFmtId="165" fontId="2" fillId="0" borderId="0" xfId="4" applyNumberFormat="1" applyFont="1" applyFill="1"/>
    <xf numFmtId="0" fontId="2" fillId="0" borderId="0" xfId="0" applyFont="1" applyFill="1" applyAlignment="1">
      <alignment horizontal="center"/>
    </xf>
    <xf numFmtId="43" fontId="2" fillId="0" borderId="0" xfId="3" applyFont="1" applyFill="1"/>
    <xf numFmtId="0" fontId="2" fillId="0" borderId="3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37" fontId="2" fillId="0" borderId="0" xfId="0" applyNumberFormat="1" applyFont="1" applyFill="1" applyAlignment="1" applyProtection="1">
      <alignment horizontal="right"/>
    </xf>
    <xf numFmtId="1" fontId="2" fillId="0" borderId="0" xfId="0" applyNumberFormat="1" applyFont="1" applyFill="1"/>
    <xf numFmtId="37" fontId="2" fillId="0" borderId="0" xfId="0" applyNumberFormat="1" applyFont="1" applyFill="1" applyProtection="1"/>
    <xf numFmtId="0" fontId="2" fillId="0" borderId="4" xfId="0" applyFont="1" applyFill="1" applyBorder="1" applyAlignment="1">
      <alignment horizontal="centerContinuous"/>
    </xf>
    <xf numFmtId="0" fontId="2" fillId="0" borderId="2" xfId="0" applyFont="1" applyFill="1" applyBorder="1" applyAlignment="1">
      <alignment horizontal="centerContinuous"/>
    </xf>
    <xf numFmtId="0" fontId="2" fillId="0" borderId="5" xfId="0" applyFont="1" applyFill="1" applyBorder="1" applyAlignment="1">
      <alignment horizontal="centerContinuous"/>
    </xf>
    <xf numFmtId="0" fontId="2" fillId="0" borderId="6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2" fillId="0" borderId="0" xfId="0" quotePrefix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Continuous"/>
    </xf>
    <xf numFmtId="0" fontId="2" fillId="0" borderId="9" xfId="0" applyFont="1" applyFill="1" applyBorder="1" applyAlignment="1">
      <alignment horizontal="centerContinuous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41" fontId="2" fillId="0" borderId="10" xfId="0" applyNumberFormat="1" applyFont="1" applyFill="1" applyBorder="1" applyAlignment="1">
      <alignment horizontal="center"/>
    </xf>
    <xf numFmtId="41" fontId="2" fillId="0" borderId="11" xfId="0" applyNumberFormat="1" applyFont="1" applyFill="1" applyBorder="1" applyAlignment="1" applyProtection="1">
      <alignment horizontal="right"/>
    </xf>
    <xf numFmtId="41" fontId="2" fillId="0" borderId="12" xfId="0" applyNumberFormat="1" applyFont="1" applyFill="1" applyBorder="1" applyAlignment="1">
      <alignment horizontal="center"/>
    </xf>
    <xf numFmtId="4" fontId="2" fillId="0" borderId="9" xfId="0" applyNumberFormat="1" applyFont="1" applyFill="1" applyBorder="1" applyAlignment="1" applyProtection="1">
      <alignment horizontal="right"/>
    </xf>
    <xf numFmtId="164" fontId="2" fillId="0" borderId="10" xfId="3" quotePrefix="1" applyNumberFormat="1" applyFont="1" applyFill="1" applyBorder="1" applyAlignment="1">
      <alignment horizontal="center"/>
    </xf>
    <xf numFmtId="166" fontId="2" fillId="0" borderId="11" xfId="0" applyNumberFormat="1" applyFont="1" applyFill="1" applyBorder="1" applyAlignment="1" applyProtection="1">
      <alignment horizontal="right"/>
    </xf>
    <xf numFmtId="0" fontId="2" fillId="0" borderId="12" xfId="0" applyFont="1" applyFill="1" applyBorder="1" applyAlignment="1">
      <alignment horizontal="center"/>
    </xf>
    <xf numFmtId="167" fontId="2" fillId="0" borderId="13" xfId="0" applyNumberFormat="1" applyFont="1" applyFill="1" applyBorder="1" applyAlignment="1" applyProtection="1">
      <alignment horizontal="right"/>
    </xf>
    <xf numFmtId="164" fontId="2" fillId="0" borderId="12" xfId="3" applyNumberFormat="1" applyFont="1" applyFill="1" applyBorder="1" applyAlignment="1">
      <alignment horizontal="center"/>
    </xf>
    <xf numFmtId="41" fontId="2" fillId="0" borderId="13" xfId="0" applyNumberFormat="1" applyFont="1" applyFill="1" applyBorder="1" applyAlignment="1" applyProtection="1">
      <alignment horizontal="right"/>
    </xf>
    <xf numFmtId="164" fontId="2" fillId="0" borderId="14" xfId="3" applyNumberFormat="1" applyFont="1" applyFill="1" applyBorder="1"/>
    <xf numFmtId="41" fontId="2" fillId="0" borderId="14" xfId="0" applyNumberFormat="1" applyFont="1" applyFill="1" applyBorder="1" applyAlignment="1">
      <alignment horizontal="center"/>
    </xf>
    <xf numFmtId="41" fontId="2" fillId="0" borderId="9" xfId="0" applyNumberFormat="1" applyFont="1" applyFill="1" applyBorder="1" applyAlignment="1" applyProtection="1">
      <alignment horizontal="right"/>
    </xf>
    <xf numFmtId="4" fontId="2" fillId="0" borderId="13" xfId="0" applyNumberFormat="1" applyFont="1" applyFill="1" applyBorder="1" applyAlignment="1" applyProtection="1">
      <alignment horizontal="right"/>
    </xf>
    <xf numFmtId="0" fontId="2" fillId="0" borderId="0" xfId="0" applyFont="1" applyFill="1" applyBorder="1"/>
    <xf numFmtId="41" fontId="2" fillId="0" borderId="12" xfId="0" applyNumberFormat="1" applyFont="1" applyFill="1" applyBorder="1" applyAlignment="1" applyProtection="1">
      <alignment horizontal="right"/>
    </xf>
    <xf numFmtId="41" fontId="2" fillId="0" borderId="14" xfId="0" applyNumberFormat="1" applyFont="1" applyFill="1" applyBorder="1" applyAlignment="1" applyProtection="1">
      <alignment horizontal="right"/>
    </xf>
    <xf numFmtId="41" fontId="2" fillId="0" borderId="10" xfId="3" applyNumberFormat="1" applyFont="1" applyFill="1" applyBorder="1" applyAlignment="1">
      <alignment horizontal="center"/>
    </xf>
    <xf numFmtId="2" fontId="2" fillId="0" borderId="9" xfId="0" applyNumberFormat="1" applyFont="1" applyFill="1" applyBorder="1" applyAlignment="1" applyProtection="1">
      <alignment horizontal="right"/>
    </xf>
    <xf numFmtId="0" fontId="12" fillId="0" borderId="0" xfId="0" applyFont="1" applyFill="1"/>
    <xf numFmtId="2" fontId="2" fillId="0" borderId="14" xfId="0" applyNumberFormat="1" applyFont="1" applyFill="1" applyBorder="1" applyAlignment="1" applyProtection="1">
      <alignment horizontal="right"/>
    </xf>
    <xf numFmtId="0" fontId="2" fillId="0" borderId="15" xfId="0" applyFont="1" applyFill="1" applyBorder="1"/>
    <xf numFmtId="166" fontId="2" fillId="0" borderId="14" xfId="0" applyNumberFormat="1" applyFont="1" applyFill="1" applyBorder="1" applyAlignment="1" applyProtection="1">
      <alignment horizontal="right"/>
    </xf>
    <xf numFmtId="167" fontId="2" fillId="0" borderId="15" xfId="0" applyNumberFormat="1" applyFont="1" applyFill="1" applyBorder="1" applyProtection="1"/>
    <xf numFmtId="0" fontId="10" fillId="0" borderId="16" xfId="0" applyFont="1" applyFill="1" applyBorder="1" applyAlignment="1">
      <alignment horizontal="centerContinuous"/>
    </xf>
    <xf numFmtId="0" fontId="13" fillId="0" borderId="17" xfId="0" applyFont="1" applyFill="1" applyBorder="1" applyAlignment="1">
      <alignment horizontal="centerContinuous"/>
    </xf>
    <xf numFmtId="0" fontId="13" fillId="0" borderId="18" xfId="0" applyFont="1" applyFill="1" applyBorder="1" applyAlignment="1">
      <alignment horizontal="centerContinuous"/>
    </xf>
    <xf numFmtId="0" fontId="2" fillId="0" borderId="14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41" fontId="2" fillId="0" borderId="10" xfId="0" quotePrefix="1" applyNumberFormat="1" applyFont="1" applyFill="1" applyBorder="1" applyAlignment="1">
      <alignment horizontal="center"/>
    </xf>
    <xf numFmtId="0" fontId="2" fillId="0" borderId="19" xfId="0" applyFont="1" applyFill="1" applyBorder="1"/>
    <xf numFmtId="0" fontId="2" fillId="0" borderId="20" xfId="0" applyFont="1" applyFill="1" applyBorder="1"/>
    <xf numFmtId="164" fontId="2" fillId="0" borderId="10" xfId="3" applyNumberFormat="1" applyFont="1" applyFill="1" applyBorder="1"/>
    <xf numFmtId="0" fontId="2" fillId="0" borderId="19" xfId="0" applyFont="1" applyFill="1" applyBorder="1" applyAlignment="1">
      <alignment horizontal="left"/>
    </xf>
    <xf numFmtId="44" fontId="2" fillId="0" borderId="0" xfId="5" applyNumberFormat="1" applyFont="1" applyFill="1" applyBorder="1"/>
    <xf numFmtId="168" fontId="2" fillId="0" borderId="20" xfId="5" applyNumberFormat="1" applyFont="1" applyFill="1" applyBorder="1"/>
    <xf numFmtId="164" fontId="2" fillId="0" borderId="12" xfId="3" applyNumberFormat="1" applyFont="1" applyFill="1" applyBorder="1"/>
    <xf numFmtId="169" fontId="2" fillId="0" borderId="0" xfId="5" applyNumberFormat="1" applyFont="1" applyFill="1" applyBorder="1"/>
    <xf numFmtId="164" fontId="2" fillId="0" borderId="21" xfId="3" applyNumberFormat="1" applyFont="1" applyFill="1" applyBorder="1"/>
    <xf numFmtId="168" fontId="2" fillId="0" borderId="22" xfId="5" applyNumberFormat="1" applyFont="1" applyFill="1" applyBorder="1"/>
    <xf numFmtId="164" fontId="2" fillId="0" borderId="0" xfId="0" applyNumberFormat="1" applyFont="1" applyFill="1"/>
    <xf numFmtId="164" fontId="2" fillId="0" borderId="20" xfId="0" applyNumberFormat="1" applyFont="1" applyFill="1" applyBorder="1"/>
    <xf numFmtId="0" fontId="2" fillId="0" borderId="19" xfId="0" quotePrefix="1" applyFont="1" applyFill="1" applyBorder="1" applyAlignment="1">
      <alignment horizontal="left"/>
    </xf>
    <xf numFmtId="0" fontId="2" fillId="0" borderId="23" xfId="0" applyFont="1" applyFill="1" applyBorder="1"/>
    <xf numFmtId="0" fontId="2" fillId="0" borderId="24" xfId="0" applyFont="1" applyFill="1" applyBorder="1"/>
    <xf numFmtId="0" fontId="2" fillId="0" borderId="25" xfId="0" applyFont="1" applyFill="1" applyBorder="1"/>
    <xf numFmtId="164" fontId="6" fillId="0" borderId="1" xfId="3" applyNumberFormat="1" applyFont="1" applyFill="1" applyBorder="1" applyAlignment="1"/>
    <xf numFmtId="170" fontId="2" fillId="0" borderId="0" xfId="5" applyNumberFormat="1" applyFont="1" applyFill="1" applyBorder="1"/>
    <xf numFmtId="171" fontId="2" fillId="0" borderId="11" xfId="0" applyNumberFormat="1" applyFont="1" applyFill="1" applyBorder="1" applyAlignment="1" applyProtection="1">
      <alignment horizontal="right"/>
    </xf>
    <xf numFmtId="172" fontId="2" fillId="0" borderId="11" xfId="0" applyNumberFormat="1" applyFont="1" applyFill="1" applyBorder="1" applyAlignment="1" applyProtection="1">
      <alignment horizontal="right"/>
    </xf>
    <xf numFmtId="2" fontId="2" fillId="0" borderId="11" xfId="0" applyNumberFormat="1" applyFont="1" applyFill="1" applyBorder="1" applyAlignment="1" applyProtection="1">
      <alignment horizontal="right"/>
    </xf>
    <xf numFmtId="0" fontId="14" fillId="0" borderId="0" xfId="0" applyFont="1"/>
    <xf numFmtId="0" fontId="15" fillId="0" borderId="0" xfId="0" applyFont="1"/>
    <xf numFmtId="0" fontId="15" fillId="0" borderId="0" xfId="0" applyFont="1" applyFill="1" applyBorder="1"/>
    <xf numFmtId="0" fontId="14" fillId="0" borderId="0" xfId="0" quotePrefix="1" applyFont="1" applyAlignment="1">
      <alignment horizontal="left"/>
    </xf>
    <xf numFmtId="0" fontId="15" fillId="2" borderId="26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2" borderId="2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5" fillId="2" borderId="32" xfId="0" applyFont="1" applyFill="1" applyBorder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5" fillId="0" borderId="30" xfId="0" applyFont="1" applyFill="1" applyBorder="1"/>
    <xf numFmtId="0" fontId="15" fillId="0" borderId="32" xfId="0" quotePrefix="1" applyFont="1" applyFill="1" applyBorder="1" applyAlignment="1">
      <alignment horizontal="left"/>
    </xf>
    <xf numFmtId="44" fontId="15" fillId="0" borderId="31" xfId="0" quotePrefix="1" applyNumberFormat="1" applyFont="1" applyFill="1" applyBorder="1" applyAlignment="1">
      <alignment horizontal="left"/>
    </xf>
    <xf numFmtId="44" fontId="15" fillId="0" borderId="28" xfId="0" applyNumberFormat="1" applyFont="1" applyFill="1" applyBorder="1" applyAlignment="1">
      <alignment horizontal="left"/>
    </xf>
    <xf numFmtId="44" fontId="15" fillId="0" borderId="30" xfId="0" quotePrefix="1" applyNumberFormat="1" applyFont="1" applyFill="1" applyBorder="1" applyAlignment="1">
      <alignment horizontal="left"/>
    </xf>
    <xf numFmtId="44" fontId="15" fillId="0" borderId="33" xfId="0" applyNumberFormat="1" applyFont="1" applyFill="1" applyBorder="1" applyAlignment="1">
      <alignment horizontal="left"/>
    </xf>
    <xf numFmtId="0" fontId="15" fillId="0" borderId="35" xfId="0" applyFont="1" applyFill="1" applyBorder="1"/>
    <xf numFmtId="0" fontId="15" fillId="0" borderId="34" xfId="0" quotePrefix="1" applyFont="1" applyFill="1" applyBorder="1" applyAlignment="1">
      <alignment horizontal="left"/>
    </xf>
    <xf numFmtId="169" fontId="15" fillId="0" borderId="35" xfId="0" quotePrefix="1" applyNumberFormat="1" applyFont="1" applyFill="1" applyBorder="1" applyAlignment="1">
      <alignment horizontal="left"/>
    </xf>
    <xf numFmtId="173" fontId="15" fillId="0" borderId="36" xfId="0" applyNumberFormat="1" applyFont="1" applyFill="1" applyBorder="1" applyAlignment="1">
      <alignment horizontal="left"/>
    </xf>
    <xf numFmtId="0" fontId="15" fillId="0" borderId="30" xfId="0" quotePrefix="1" applyFont="1" applyFill="1" applyBorder="1" applyAlignment="1">
      <alignment horizontal="left"/>
    </xf>
    <xf numFmtId="174" fontId="15" fillId="0" borderId="35" xfId="0" quotePrefix="1" applyNumberFormat="1" applyFont="1" applyFill="1" applyBorder="1" applyAlignment="1">
      <alignment horizontal="left"/>
    </xf>
    <xf numFmtId="175" fontId="15" fillId="0" borderId="33" xfId="0" applyNumberFormat="1" applyFont="1" applyFill="1" applyBorder="1" applyAlignment="1">
      <alignment horizontal="left"/>
    </xf>
    <xf numFmtId="0" fontId="15" fillId="0" borderId="31" xfId="0" quotePrefix="1" applyFont="1" applyFill="1" applyBorder="1" applyAlignment="1">
      <alignment horizontal="left"/>
    </xf>
    <xf numFmtId="0" fontId="15" fillId="0" borderId="29" xfId="0" quotePrefix="1" applyFont="1" applyFill="1" applyBorder="1" applyAlignment="1">
      <alignment horizontal="left"/>
    </xf>
    <xf numFmtId="175" fontId="15" fillId="0" borderId="36" xfId="0" applyNumberFormat="1" applyFont="1" applyFill="1" applyBorder="1" applyAlignment="1">
      <alignment horizontal="left"/>
    </xf>
    <xf numFmtId="0" fontId="15" fillId="0" borderId="31" xfId="0" applyFont="1" applyFill="1" applyBorder="1"/>
    <xf numFmtId="0" fontId="15" fillId="0" borderId="30" xfId="0" applyFont="1" applyFill="1" applyBorder="1" applyAlignment="1">
      <alignment horizontal="left"/>
    </xf>
    <xf numFmtId="168" fontId="15" fillId="0" borderId="30" xfId="0" quotePrefix="1" applyNumberFormat="1" applyFont="1" applyFill="1" applyBorder="1" applyAlignment="1">
      <alignment horizontal="left"/>
    </xf>
    <xf numFmtId="0" fontId="15" fillId="0" borderId="0" xfId="0" quotePrefix="1" applyFont="1"/>
    <xf numFmtId="0" fontId="15" fillId="0" borderId="0" xfId="7" applyFont="1" applyBorder="1" applyAlignment="1">
      <alignment horizontal="center"/>
    </xf>
    <xf numFmtId="39" fontId="15" fillId="0" borderId="0" xfId="7" applyNumberFormat="1" applyFont="1" applyBorder="1" applyProtection="1"/>
    <xf numFmtId="0" fontId="15" fillId="0" borderId="0" xfId="7" applyFont="1" applyBorder="1"/>
    <xf numFmtId="167" fontId="15" fillId="0" borderId="0" xfId="7" applyNumberFormat="1" applyFont="1" applyBorder="1" applyProtection="1"/>
    <xf numFmtId="176" fontId="15" fillId="0" borderId="0" xfId="7" applyNumberFormat="1" applyFont="1" applyBorder="1"/>
    <xf numFmtId="0" fontId="15" fillId="0" borderId="0" xfId="7" applyFont="1"/>
    <xf numFmtId="177" fontId="15" fillId="0" borderId="0" xfId="7" applyNumberFormat="1" applyFont="1"/>
    <xf numFmtId="0" fontId="15" fillId="2" borderId="26" xfId="7" applyFont="1" applyFill="1" applyBorder="1" applyAlignment="1">
      <alignment horizontal="center"/>
    </xf>
    <xf numFmtId="0" fontId="15" fillId="2" borderId="29" xfId="0" applyFont="1" applyFill="1" applyBorder="1"/>
    <xf numFmtId="0" fontId="15" fillId="2" borderId="32" xfId="7" applyFont="1" applyFill="1" applyBorder="1" applyAlignment="1">
      <alignment horizontal="center"/>
    </xf>
    <xf numFmtId="0" fontId="15" fillId="2" borderId="34" xfId="0" applyFont="1" applyFill="1" applyBorder="1"/>
    <xf numFmtId="0" fontId="15" fillId="0" borderId="29" xfId="0" applyFont="1" applyFill="1" applyBorder="1" applyAlignment="1">
      <alignment horizontal="left"/>
    </xf>
    <xf numFmtId="169" fontId="15" fillId="0" borderId="31" xfId="0" quotePrefix="1" applyNumberFormat="1" applyFont="1" applyFill="1" applyBorder="1" applyAlignment="1">
      <alignment horizontal="left"/>
    </xf>
    <xf numFmtId="0" fontId="15" fillId="0" borderId="32" xfId="0" applyFont="1" applyFill="1" applyBorder="1" applyAlignment="1">
      <alignment horizontal="left"/>
    </xf>
    <xf numFmtId="169" fontId="15" fillId="0" borderId="30" xfId="0" quotePrefix="1" applyNumberFormat="1" applyFont="1" applyFill="1" applyBorder="1" applyAlignment="1">
      <alignment horizontal="left"/>
    </xf>
    <xf numFmtId="0" fontId="15" fillId="0" borderId="34" xfId="0" applyFont="1" applyFill="1" applyBorder="1" applyAlignment="1">
      <alignment horizontal="left"/>
    </xf>
    <xf numFmtId="10" fontId="15" fillId="0" borderId="35" xfId="6" quotePrefix="1" applyNumberFormat="1" applyFont="1" applyFill="1" applyBorder="1" applyAlignment="1"/>
    <xf numFmtId="44" fontId="15" fillId="0" borderId="35" xfId="0" quotePrefix="1" applyNumberFormat="1" applyFont="1" applyFill="1" applyBorder="1" applyAlignment="1">
      <alignment horizontal="left"/>
    </xf>
    <xf numFmtId="174" fontId="15" fillId="0" borderId="31" xfId="0" quotePrefix="1" applyNumberFormat="1" applyFont="1" applyFill="1" applyBorder="1" applyAlignment="1">
      <alignment horizontal="left"/>
    </xf>
    <xf numFmtId="38" fontId="2" fillId="0" borderId="0" xfId="0" applyNumberFormat="1" applyFont="1" applyFill="1"/>
    <xf numFmtId="168" fontId="2" fillId="0" borderId="0" xfId="0" applyNumberFormat="1" applyFont="1" applyFill="1"/>
    <xf numFmtId="178" fontId="2" fillId="0" borderId="11" xfId="0" applyNumberFormat="1" applyFont="1" applyFill="1" applyBorder="1" applyAlignment="1" applyProtection="1">
      <alignment horizontal="right"/>
    </xf>
    <xf numFmtId="179" fontId="2" fillId="0" borderId="11" xfId="0" applyNumberFormat="1" applyFont="1" applyFill="1" applyBorder="1" applyAlignment="1" applyProtection="1">
      <alignment horizontal="right"/>
    </xf>
    <xf numFmtId="174" fontId="2" fillId="0" borderId="0" xfId="5" applyNumberFormat="1" applyFont="1" applyFill="1" applyBorder="1"/>
    <xf numFmtId="0" fontId="2" fillId="0" borderId="0" xfId="0" applyFont="1" applyFill="1" applyAlignment="1">
      <alignment horizontal="right"/>
    </xf>
    <xf numFmtId="41" fontId="2" fillId="0" borderId="39" xfId="0" applyNumberFormat="1" applyFont="1" applyFill="1" applyBorder="1" applyAlignment="1" applyProtection="1">
      <alignment horizontal="right"/>
    </xf>
    <xf numFmtId="41" fontId="2" fillId="0" borderId="40" xfId="0" applyNumberFormat="1" applyFont="1" applyFill="1" applyBorder="1" applyAlignment="1" applyProtection="1">
      <alignment horizontal="right"/>
    </xf>
    <xf numFmtId="39" fontId="2" fillId="0" borderId="0" xfId="0" applyNumberFormat="1" applyFont="1" applyFill="1" applyAlignment="1" applyProtection="1">
      <alignment horizontal="right"/>
    </xf>
    <xf numFmtId="44" fontId="2" fillId="0" borderId="0" xfId="0" applyNumberFormat="1" applyFont="1" applyFill="1" applyBorder="1"/>
    <xf numFmtId="0" fontId="16" fillId="0" borderId="0" xfId="8" applyFont="1" applyFill="1" applyBorder="1"/>
    <xf numFmtId="0" fontId="16" fillId="0" borderId="0" xfId="8" applyFont="1" applyFill="1" applyBorder="1" applyAlignment="1">
      <alignment horizontal="center"/>
    </xf>
    <xf numFmtId="0" fontId="17" fillId="0" borderId="0" xfId="0" applyFont="1"/>
    <xf numFmtId="0" fontId="18" fillId="0" borderId="29" xfId="8" applyFont="1" applyFill="1" applyBorder="1" applyAlignment="1">
      <alignment horizontal="left"/>
    </xf>
    <xf numFmtId="0" fontId="16" fillId="0" borderId="0" xfId="8" quotePrefix="1" applyFont="1" applyFill="1" applyBorder="1"/>
    <xf numFmtId="0" fontId="18" fillId="0" borderId="32" xfId="8" applyFont="1" applyFill="1" applyBorder="1"/>
    <xf numFmtId="0" fontId="18" fillId="0" borderId="32" xfId="8" applyFont="1" applyFill="1" applyBorder="1" applyAlignment="1">
      <alignment horizontal="left"/>
    </xf>
    <xf numFmtId="0" fontId="18" fillId="0" borderId="34" xfId="8" applyFont="1" applyFill="1" applyBorder="1" applyAlignment="1">
      <alignment horizontal="left"/>
    </xf>
    <xf numFmtId="0" fontId="16" fillId="0" borderId="0" xfId="8" quotePrefix="1" applyFont="1" applyFill="1" applyBorder="1" applyAlignment="1">
      <alignment horizontal="center"/>
    </xf>
    <xf numFmtId="0" fontId="16" fillId="0" borderId="29" xfId="8" applyFont="1" applyFill="1" applyBorder="1"/>
    <xf numFmtId="0" fontId="16" fillId="0" borderId="29" xfId="8" applyFont="1" applyFill="1" applyBorder="1" applyAlignment="1">
      <alignment horizontal="center"/>
    </xf>
    <xf numFmtId="0" fontId="16" fillId="0" borderId="32" xfId="8" applyFont="1" applyFill="1" applyBorder="1" applyAlignment="1">
      <alignment horizontal="center"/>
    </xf>
    <xf numFmtId="0" fontId="16" fillId="0" borderId="32" xfId="8" quotePrefix="1" applyFont="1" applyFill="1" applyBorder="1" applyAlignment="1">
      <alignment horizontal="center"/>
    </xf>
    <xf numFmtId="0" fontId="16" fillId="0" borderId="34" xfId="8" applyFont="1" applyFill="1" applyBorder="1" applyAlignment="1">
      <alignment horizontal="center"/>
    </xf>
    <xf numFmtId="0" fontId="16" fillId="0" borderId="34" xfId="8" quotePrefix="1" applyFont="1" applyFill="1" applyBorder="1" applyAlignment="1">
      <alignment horizontal="center"/>
    </xf>
    <xf numFmtId="0" fontId="16" fillId="0" borderId="27" xfId="8" applyFont="1" applyFill="1" applyBorder="1"/>
    <xf numFmtId="0" fontId="16" fillId="0" borderId="27" xfId="8" quotePrefix="1" applyFont="1" applyFill="1" applyBorder="1" applyAlignment="1">
      <alignment horizontal="center"/>
    </xf>
    <xf numFmtId="0" fontId="16" fillId="0" borderId="27" xfId="8" applyFont="1" applyFill="1" applyBorder="1" applyAlignment="1">
      <alignment horizontal="center"/>
    </xf>
    <xf numFmtId="168" fontId="16" fillId="0" borderId="0" xfId="1" applyNumberFormat="1" applyFont="1" applyFill="1" applyBorder="1"/>
    <xf numFmtId="164" fontId="16" fillId="0" borderId="0" xfId="1" applyNumberFormat="1" applyFont="1" applyFill="1" applyBorder="1"/>
    <xf numFmtId="164" fontId="16" fillId="0" borderId="0" xfId="1" applyNumberFormat="1" applyFont="1" applyFill="1" applyBorder="1" applyAlignment="1">
      <alignment horizontal="center"/>
    </xf>
    <xf numFmtId="164" fontId="16" fillId="0" borderId="0" xfId="1" applyNumberFormat="1" applyFont="1" applyFill="1" applyBorder="1" applyAlignment="1">
      <alignment horizontal="right"/>
    </xf>
    <xf numFmtId="0" fontId="16" fillId="0" borderId="0" xfId="8" applyFont="1" applyFill="1" applyBorder="1" applyAlignment="1">
      <alignment horizontal="left"/>
    </xf>
    <xf numFmtId="164" fontId="16" fillId="0" borderId="0" xfId="3" applyNumberFormat="1" applyFont="1" applyFill="1" applyBorder="1"/>
    <xf numFmtId="166" fontId="16" fillId="0" borderId="0" xfId="8" applyNumberFormat="1" applyFont="1" applyFill="1" applyBorder="1" applyAlignment="1">
      <alignment horizontal="center"/>
    </xf>
    <xf numFmtId="37" fontId="16" fillId="0" borderId="0" xfId="8" applyNumberFormat="1" applyFont="1" applyFill="1" applyBorder="1" applyAlignment="1">
      <alignment horizontal="right"/>
    </xf>
    <xf numFmtId="164" fontId="16" fillId="0" borderId="0" xfId="3" applyNumberFormat="1" applyFont="1" applyFill="1" applyBorder="1" applyAlignment="1">
      <alignment horizontal="center"/>
    </xf>
    <xf numFmtId="0" fontId="18" fillId="0" borderId="26" xfId="8" applyFont="1" applyFill="1" applyBorder="1" applyAlignment="1">
      <alignment horizontal="center"/>
    </xf>
    <xf numFmtId="168" fontId="18" fillId="0" borderId="37" xfId="3" applyNumberFormat="1" applyFont="1" applyFill="1" applyBorder="1"/>
    <xf numFmtId="164" fontId="18" fillId="0" borderId="38" xfId="3" applyNumberFormat="1" applyFont="1" applyFill="1" applyBorder="1"/>
    <xf numFmtId="0" fontId="17" fillId="0" borderId="0" xfId="0" applyFont="1" applyAlignment="1">
      <alignment horizontal="center"/>
    </xf>
    <xf numFmtId="164" fontId="17" fillId="0" borderId="0" xfId="1" applyNumberFormat="1" applyFont="1"/>
    <xf numFmtId="176" fontId="17" fillId="0" borderId="0" xfId="0" applyNumberFormat="1" applyFont="1"/>
    <xf numFmtId="0" fontId="19" fillId="0" borderId="0" xfId="8" applyFont="1" applyFill="1" applyBorder="1" applyAlignment="1">
      <alignment horizontal="left"/>
    </xf>
    <xf numFmtId="43" fontId="17" fillId="0" borderId="0" xfId="0" applyNumberFormat="1" applyFont="1"/>
    <xf numFmtId="180" fontId="17" fillId="0" borderId="0" xfId="1" applyNumberFormat="1" applyFont="1"/>
    <xf numFmtId="37" fontId="17" fillId="0" borderId="0" xfId="0" applyNumberFormat="1" applyFont="1"/>
    <xf numFmtId="43" fontId="17" fillId="0" borderId="0" xfId="1" applyFont="1"/>
    <xf numFmtId="0" fontId="15" fillId="2" borderId="35" xfId="7" applyFont="1" applyFill="1" applyBorder="1" applyAlignment="1">
      <alignment horizontal="center"/>
    </xf>
    <xf numFmtId="0" fontId="15" fillId="2" borderId="36" xfId="7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15" fillId="2" borderId="28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5" fillId="2" borderId="33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5" fillId="2" borderId="36" xfId="0" applyFont="1" applyFill="1" applyBorder="1" applyAlignment="1">
      <alignment horizontal="center"/>
    </xf>
    <xf numFmtId="0" fontId="15" fillId="2" borderId="26" xfId="7" applyFont="1" applyFill="1" applyBorder="1" applyAlignment="1">
      <alignment horizontal="center"/>
    </xf>
    <xf numFmtId="0" fontId="15" fillId="2" borderId="37" xfId="7" applyFont="1" applyFill="1" applyBorder="1" applyAlignment="1">
      <alignment horizontal="center"/>
    </xf>
    <xf numFmtId="0" fontId="15" fillId="2" borderId="38" xfId="7" applyFont="1" applyFill="1" applyBorder="1" applyAlignment="1">
      <alignment horizontal="center"/>
    </xf>
    <xf numFmtId="0" fontId="15" fillId="2" borderId="31" xfId="7" applyFont="1" applyFill="1" applyBorder="1" applyAlignment="1">
      <alignment horizontal="center"/>
    </xf>
    <xf numFmtId="0" fontId="15" fillId="2" borderId="28" xfId="7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</cellXfs>
  <cellStyles count="9">
    <cellStyle name="Comma" xfId="1" builtinId="3"/>
    <cellStyle name="Comma 2" xfId="3"/>
    <cellStyle name="Currency 2 2" xfId="5"/>
    <cellStyle name="Normal" xfId="0" builtinId="0"/>
    <cellStyle name="Normal 2" xfId="8"/>
    <cellStyle name="Normal_Exhibit JMS-HR-3 Proof of Revenue" xfId="7"/>
    <cellStyle name="Normal_Proof of Revenue TCC" xfId="2"/>
    <cellStyle name="Percent" xfId="6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CC\Schedules\WP%20IV-J-7%20Proof%20of%20Revenue%20Statement%20Central%20Divis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NC\Schedules\WP%20IV-J-7%20Proof%20of%20Revenue%20Statement%20North%20Divis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V-J-7%20AEPTX%20Transmission%20TCR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AEP%20TX%20Filings\Central%20NDC\NDC%20Filing%20Exhibits%20Final%20201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ITR%20Alloc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AEPTX%20Transmission%20TCRF%20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COS\Sch%20II-I-1%20AEP%20Texas%20COS%20STUDY%2012_2018%20File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Lighting%20Facilities%20Workpap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V-J-7%20Lighting%20Proof%20of%20Reven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Central RS"/>
      <sheetName val="Central Sec LT 10"/>
      <sheetName val="Central Sec 4CP"/>
      <sheetName val="Central Sec NCP"/>
      <sheetName val="Central Pri 4CP"/>
      <sheetName val="Central Pri NCP"/>
      <sheetName val="Central Trans"/>
      <sheetName val="Central Lighting"/>
    </sheetNames>
    <sheetDataSet>
      <sheetData sheetId="0">
        <row r="9">
          <cell r="D9">
            <v>725305</v>
          </cell>
          <cell r="G9">
            <v>10123921366.933681</v>
          </cell>
        </row>
        <row r="11">
          <cell r="D11">
            <v>63062</v>
          </cell>
          <cell r="F11">
            <v>730428</v>
          </cell>
          <cell r="G11">
            <v>437930616.34718335</v>
          </cell>
        </row>
        <row r="13">
          <cell r="D13">
            <v>58727</v>
          </cell>
          <cell r="G13">
            <v>6622801226.6619568</v>
          </cell>
          <cell r="H13">
            <v>27329124.176761985</v>
          </cell>
          <cell r="I13">
            <v>23842702.895000011</v>
          </cell>
          <cell r="J13">
            <v>23834663.973250702</v>
          </cell>
        </row>
        <row r="14">
          <cell r="D14">
            <v>321</v>
          </cell>
          <cell r="G14">
            <v>754606169.33458507</v>
          </cell>
          <cell r="H14">
            <v>2181804.0846346002</v>
          </cell>
          <cell r="I14">
            <v>2013279.5669999998</v>
          </cell>
          <cell r="J14">
            <v>1483657.1019502641</v>
          </cell>
        </row>
        <row r="17">
          <cell r="D17">
            <v>206</v>
          </cell>
          <cell r="G17">
            <v>179275465.86586615</v>
          </cell>
          <cell r="H17">
            <v>549991.11101806397</v>
          </cell>
          <cell r="J17">
            <v>467957.50039238262</v>
          </cell>
        </row>
        <row r="18">
          <cell r="D18">
            <v>346</v>
          </cell>
          <cell r="G18">
            <v>2422592700.8857927</v>
          </cell>
          <cell r="H18">
            <v>6160113.8075683936</v>
          </cell>
          <cell r="J18">
            <v>4355162.5998815829</v>
          </cell>
        </row>
        <row r="21">
          <cell r="D21">
            <v>60</v>
          </cell>
          <cell r="G21">
            <v>5549671461.8939543</v>
          </cell>
          <cell r="H21">
            <v>16134685.975145448</v>
          </cell>
          <cell r="J21">
            <v>6327149.8870359799</v>
          </cell>
        </row>
        <row r="23">
          <cell r="D23">
            <v>173817</v>
          </cell>
          <cell r="G23">
            <v>222504553.85898465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North RS"/>
      <sheetName val="North Sec LT 10"/>
      <sheetName val="North Sec 4CP"/>
      <sheetName val="North Sec NCP"/>
      <sheetName val="North Pri 4CP"/>
      <sheetName val="North Pri NCP"/>
      <sheetName val="North Trans"/>
      <sheetName val="North Lighting"/>
    </sheetNames>
    <sheetDataSet>
      <sheetData sheetId="0">
        <row r="9">
          <cell r="D9">
            <v>151248</v>
          </cell>
          <cell r="G9">
            <v>1873260215.4558413</v>
          </cell>
        </row>
        <row r="11">
          <cell r="D11">
            <v>26096</v>
          </cell>
          <cell r="F11">
            <v>307248</v>
          </cell>
          <cell r="G11">
            <v>141372767.85164386</v>
          </cell>
        </row>
        <row r="13">
          <cell r="D13">
            <v>13865</v>
          </cell>
          <cell r="G13">
            <v>1447568524.4705305</v>
          </cell>
          <cell r="H13">
            <v>6446781.5966399666</v>
          </cell>
          <cell r="I13">
            <v>5479009.2984427828</v>
          </cell>
          <cell r="J13">
            <v>5472427.5262860982</v>
          </cell>
        </row>
        <row r="14">
          <cell r="D14">
            <v>157</v>
          </cell>
          <cell r="G14">
            <v>421294538.41969424</v>
          </cell>
          <cell r="H14">
            <v>1176555.8973604378</v>
          </cell>
          <cell r="I14">
            <v>1028476.108735011</v>
          </cell>
          <cell r="J14">
            <v>707776.93046700291</v>
          </cell>
        </row>
        <row r="17">
          <cell r="D17">
            <v>368</v>
          </cell>
          <cell r="G17">
            <v>126776103.42687479</v>
          </cell>
          <cell r="H17">
            <v>408880.18344157358</v>
          </cell>
          <cell r="J17">
            <v>338521.87116203929</v>
          </cell>
        </row>
        <row r="18">
          <cell r="D18">
            <v>125</v>
          </cell>
          <cell r="G18">
            <v>1661102417.3588257</v>
          </cell>
          <cell r="H18">
            <v>3342638.2307660673</v>
          </cell>
          <cell r="J18">
            <v>2369237.8368537384</v>
          </cell>
        </row>
        <row r="21">
          <cell r="D21">
            <v>25</v>
          </cell>
          <cell r="G21">
            <v>195325446.60408431</v>
          </cell>
          <cell r="H21">
            <v>694891.86436100118</v>
          </cell>
          <cell r="J21">
            <v>244034.35350283771</v>
          </cell>
        </row>
        <row r="23">
          <cell r="D23">
            <v>46415</v>
          </cell>
          <cell r="G23">
            <v>39721491.579555027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PTX ERCOT Matrix 2018"/>
      <sheetName val="Central TCRF"/>
      <sheetName val="North TCRF"/>
    </sheetNames>
    <sheetDataSet>
      <sheetData sheetId="0">
        <row r="9">
          <cell r="E9">
            <v>155238632.99699557</v>
          </cell>
          <cell r="I9">
            <v>1.294E-2</v>
          </cell>
        </row>
        <row r="10">
          <cell r="E10">
            <v>6396087.8686562618</v>
          </cell>
          <cell r="I10">
            <v>7.6010000000000001E-3</v>
          </cell>
        </row>
        <row r="11">
          <cell r="E11">
            <v>10009840.670870321</v>
          </cell>
          <cell r="I11">
            <v>4.5679999999999996</v>
          </cell>
        </row>
        <row r="12">
          <cell r="E12">
            <v>90904363.058380216</v>
          </cell>
          <cell r="I12">
            <v>3.1019999999999999</v>
          </cell>
        </row>
        <row r="13">
          <cell r="E13">
            <v>31711960.220803816</v>
          </cell>
          <cell r="I13">
            <v>4.7160000000000002</v>
          </cell>
        </row>
        <row r="14">
          <cell r="E14">
            <v>2523794.913358639</v>
          </cell>
          <cell r="I14">
            <v>3.1280000000000001</v>
          </cell>
        </row>
        <row r="15">
          <cell r="E15">
            <v>30604049.270935219</v>
          </cell>
          <cell r="I15">
            <v>4.657</v>
          </cell>
        </row>
        <row r="16">
          <cell r="I16">
            <v>7.6010000000000001E-3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 JLJ-1"/>
      <sheetName val="EXHIBIT JLJ-2"/>
      <sheetName val="EXHIBIT JLJ-3"/>
      <sheetName val="EXHIBIT JLJ-4"/>
      <sheetName val="EXHIBIT JLJ-5"/>
      <sheetName val="wp1"/>
    </sheetNames>
    <sheetDataSet>
      <sheetData sheetId="0"/>
      <sheetData sheetId="1"/>
      <sheetData sheetId="2"/>
      <sheetData sheetId="3">
        <row r="11">
          <cell r="D11">
            <v>30699.1</v>
          </cell>
          <cell r="F11">
            <v>2.8E-5</v>
          </cell>
        </row>
        <row r="15">
          <cell r="F15">
            <v>3.4999999999999997E-5</v>
          </cell>
        </row>
        <row r="19">
          <cell r="F19">
            <v>7.8790000000000006E-3</v>
          </cell>
        </row>
        <row r="23">
          <cell r="F23">
            <v>1.1525000000000001E-2</v>
          </cell>
        </row>
        <row r="25">
          <cell r="F25">
            <v>4.7200000000000002E-3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P TX"/>
      <sheetName val="Central"/>
      <sheetName val="North"/>
    </sheetNames>
    <sheetDataSet>
      <sheetData sheetId="0">
        <row r="22">
          <cell r="D22">
            <v>20741598.222450942</v>
          </cell>
        </row>
        <row r="23">
          <cell r="E23">
            <v>3.3500000000000002E-2</v>
          </cell>
          <cell r="F23">
            <v>3.3500000000000002E-2</v>
          </cell>
          <cell r="G23">
            <v>3.3500000000000002E-2</v>
          </cell>
          <cell r="H23">
            <v>3.3500000000000002E-2</v>
          </cell>
          <cell r="I23">
            <v>3.3500000000000002E-2</v>
          </cell>
          <cell r="J23">
            <v>3.3500000000000002E-2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 TCRF"/>
      <sheetName val="North TCRF"/>
      <sheetName val="AEPTX ERCOT Matrix 2018"/>
    </sheetNames>
    <sheetDataSet>
      <sheetData sheetId="0"/>
      <sheetData sheetId="1"/>
      <sheetData sheetId="2">
        <row r="9">
          <cell r="E9">
            <v>155238632.99699557</v>
          </cell>
        </row>
        <row r="10">
          <cell r="E10">
            <v>6396087.8686562618</v>
          </cell>
        </row>
        <row r="11">
          <cell r="E11">
            <v>10009840.670870321</v>
          </cell>
        </row>
        <row r="12">
          <cell r="E12">
            <v>90904363.058380216</v>
          </cell>
        </row>
        <row r="13">
          <cell r="E13">
            <v>31711960.220803816</v>
          </cell>
        </row>
        <row r="14">
          <cell r="E14">
            <v>2523794.913358639</v>
          </cell>
        </row>
        <row r="15">
          <cell r="E15">
            <v>30604049.270935219</v>
          </cell>
        </row>
        <row r="16">
          <cell r="E16">
            <v>0</v>
          </cell>
        </row>
        <row r="24">
          <cell r="C24">
            <v>327388729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COMPANY 10-02"/>
      <sheetName val="Total Retail by Class"/>
      <sheetName val="Generation"/>
      <sheetName val="II-I-1"/>
      <sheetName val="II-I-2"/>
      <sheetName val="II-I-2.c"/>
      <sheetName val="II-I-2.f"/>
      <sheetName val="II-I TOTAL COMPANY"/>
      <sheetName val="Retail Summary Proposed"/>
      <sheetName val="Juris Alloc Split"/>
      <sheetName val="Transmission"/>
      <sheetName val="Distribution"/>
      <sheetName val="Meter"/>
      <sheetName val="TDCustSvc"/>
      <sheetName val="ComEngySvc"/>
      <sheetName val="Other"/>
      <sheetName val="Sch II-I-1 AEP Texas COS STUDY "/>
    </sheetNames>
    <sheetDataSet>
      <sheetData sheetId="0"/>
      <sheetData sheetId="1"/>
      <sheetData sheetId="2"/>
      <sheetData sheetId="3">
        <row r="15">
          <cell r="D15">
            <v>530037302.3614347</v>
          </cell>
          <cell r="E15">
            <v>277250469.29045224</v>
          </cell>
          <cell r="F15">
            <v>13165914.661174802</v>
          </cell>
          <cell r="G15">
            <v>172447518.64182019</v>
          </cell>
          <cell r="H15">
            <v>38671232.418644793</v>
          </cell>
          <cell r="I15">
            <v>4196817.7520137504</v>
          </cell>
          <cell r="J15">
            <v>24305348.775266699</v>
          </cell>
        </row>
        <row r="16">
          <cell r="D16">
            <v>69836702.442219093</v>
          </cell>
          <cell r="E16">
            <v>46309180.275673166</v>
          </cell>
          <cell r="F16">
            <v>6100793.093945032</v>
          </cell>
          <cell r="G16">
            <v>14365528.622946717</v>
          </cell>
          <cell r="H16">
            <v>2041695.2715644371</v>
          </cell>
          <cell r="I16">
            <v>1019505.1780897417</v>
          </cell>
          <cell r="J16">
            <v>0</v>
          </cell>
        </row>
        <row r="17">
          <cell r="D17">
            <v>19281511.520981599</v>
          </cell>
          <cell r="E17">
            <v>16211653.637192376</v>
          </cell>
          <cell r="F17">
            <v>1651296.786871291</v>
          </cell>
          <cell r="G17">
            <v>1353924.8706182996</v>
          </cell>
          <cell r="H17">
            <v>20249.740118764199</v>
          </cell>
          <cell r="I17">
            <v>1775.3967892897176</v>
          </cell>
          <cell r="J17">
            <v>42611.089391575151</v>
          </cell>
        </row>
      </sheetData>
      <sheetData sheetId="4"/>
      <sheetData sheetId="5"/>
      <sheetData sheetId="6"/>
      <sheetData sheetId="7"/>
      <sheetData sheetId="8">
        <row r="57">
          <cell r="G57">
            <v>254006153.96418467</v>
          </cell>
          <cell r="H57">
            <v>12171360.260239268</v>
          </cell>
          <cell r="I57">
            <v>154440966.42298913</v>
          </cell>
          <cell r="L57">
            <v>33613694.323389255</v>
          </cell>
          <cell r="O57">
            <v>27296.958749065718</v>
          </cell>
          <cell r="P57">
            <v>23763639.609821081</v>
          </cell>
        </row>
        <row r="62">
          <cell r="G62">
            <v>46309180.275673166</v>
          </cell>
          <cell r="H62">
            <v>6100793.093945032</v>
          </cell>
          <cell r="I62">
            <v>14365528.622946717</v>
          </cell>
          <cell r="L62">
            <v>2041695.2715644371</v>
          </cell>
          <cell r="O62">
            <v>1019505.1780897417</v>
          </cell>
          <cell r="P62">
            <v>0</v>
          </cell>
        </row>
        <row r="67">
          <cell r="G67">
            <v>16211653.637192376</v>
          </cell>
          <cell r="H67">
            <v>1651296.786871291</v>
          </cell>
          <cell r="I67">
            <v>1353924.8706182996</v>
          </cell>
          <cell r="L67">
            <v>20249.740118764199</v>
          </cell>
          <cell r="O67">
            <v>1775.3967892897176</v>
          </cell>
          <cell r="P67">
            <v>42611.089391575151</v>
          </cell>
        </row>
        <row r="72">
          <cell r="G72">
            <v>23244315.326267581</v>
          </cell>
          <cell r="H72">
            <v>994554.40093553497</v>
          </cell>
          <cell r="I72">
            <v>18006552.218831044</v>
          </cell>
          <cell r="L72">
            <v>5057538.0952555388</v>
          </cell>
          <cell r="O72">
            <v>4169520.7932646847</v>
          </cell>
          <cell r="P72">
            <v>541709.1654456167</v>
          </cell>
        </row>
      </sheetData>
      <sheetData sheetId="9"/>
      <sheetData sheetId="10"/>
      <sheetData sheetId="11">
        <row r="28">
          <cell r="H28">
            <v>2856462392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"/>
      <sheetName val="North"/>
      <sheetName val="AEPTX"/>
      <sheetName val="Lighting Facilities Central"/>
      <sheetName val="Lighting Facilities North"/>
    </sheetNames>
    <sheetDataSet>
      <sheetData sheetId="0">
        <row r="33">
          <cell r="D33">
            <v>15552436.988701303</v>
          </cell>
        </row>
      </sheetData>
      <sheetData sheetId="1">
        <row r="33">
          <cell r="D33">
            <v>1523122.2367438779</v>
          </cell>
        </row>
      </sheetData>
      <sheetData sheetId="2">
        <row r="33">
          <cell r="D33">
            <v>17091200.337686829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L"/>
      <sheetName val="Non-Roadway"/>
    </sheetNames>
    <sheetDataSet>
      <sheetData sheetId="0">
        <row r="65">
          <cell r="Y65">
            <v>-13.090000005438924</v>
          </cell>
        </row>
      </sheetData>
      <sheetData sheetId="1">
        <row r="46">
          <cell r="Y46">
            <v>-2084.8099999986589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Z46"/>
  <sheetViews>
    <sheetView tabSelected="1" workbookViewId="0">
      <selection activeCell="C32" sqref="C32"/>
    </sheetView>
  </sheetViews>
  <sheetFormatPr defaultColWidth="6.81640625" defaultRowHeight="10" x14ac:dyDescent="0.2"/>
  <cols>
    <col min="1" max="1" width="3.81640625" style="3" bestFit="1" customWidth="1"/>
    <col min="2" max="2" width="25.26953125" style="3" customWidth="1"/>
    <col min="3" max="3" width="6.81640625" style="3" bestFit="1" customWidth="1"/>
    <col min="4" max="4" width="10.26953125" style="3" bestFit="1" customWidth="1"/>
    <col min="5" max="5" width="10.7265625" style="7" customWidth="1"/>
    <col min="6" max="6" width="11.26953125" style="7" customWidth="1"/>
    <col min="7" max="7" width="12.81640625" style="8" bestFit="1" customWidth="1"/>
    <col min="8" max="8" width="15.81640625" style="3" bestFit="1" customWidth="1"/>
    <col min="9" max="9" width="15.81640625" style="3" customWidth="1"/>
    <col min="10" max="10" width="15.81640625" style="3" bestFit="1" customWidth="1"/>
    <col min="11" max="11" width="3.26953125" style="3" customWidth="1"/>
    <col min="12" max="12" width="11.453125" style="3" customWidth="1"/>
    <col min="13" max="13" width="11.26953125" style="3" bestFit="1" customWidth="1"/>
    <col min="14" max="257" width="6.81640625" style="3"/>
    <col min="258" max="258" width="3.81640625" style="3" bestFit="1" customWidth="1"/>
    <col min="259" max="259" width="21.26953125" style="3" customWidth="1"/>
    <col min="260" max="260" width="6.81640625" style="3" bestFit="1" customWidth="1"/>
    <col min="261" max="261" width="10.26953125" style="3" bestFit="1" customWidth="1"/>
    <col min="262" max="262" width="10.7265625" style="3" customWidth="1"/>
    <col min="263" max="263" width="11.26953125" style="3" customWidth="1"/>
    <col min="264" max="264" width="12.81640625" style="3" bestFit="1" customWidth="1"/>
    <col min="265" max="266" width="15.81640625" style="3" bestFit="1" customWidth="1"/>
    <col min="267" max="267" width="3.26953125" style="3" customWidth="1"/>
    <col min="268" max="268" width="11.453125" style="3" customWidth="1"/>
    <col min="269" max="269" width="11.26953125" style="3" bestFit="1" customWidth="1"/>
    <col min="270" max="513" width="6.81640625" style="3"/>
    <col min="514" max="514" width="3.81640625" style="3" bestFit="1" customWidth="1"/>
    <col min="515" max="515" width="21.26953125" style="3" customWidth="1"/>
    <col min="516" max="516" width="6.81640625" style="3" bestFit="1" customWidth="1"/>
    <col min="517" max="517" width="10.26953125" style="3" bestFit="1" customWidth="1"/>
    <col min="518" max="518" width="10.7265625" style="3" customWidth="1"/>
    <col min="519" max="519" width="11.26953125" style="3" customWidth="1"/>
    <col min="520" max="520" width="12.81640625" style="3" bestFit="1" customWidth="1"/>
    <col min="521" max="522" width="15.81640625" style="3" bestFit="1" customWidth="1"/>
    <col min="523" max="523" width="3.26953125" style="3" customWidth="1"/>
    <col min="524" max="524" width="11.453125" style="3" customWidth="1"/>
    <col min="525" max="525" width="11.26953125" style="3" bestFit="1" customWidth="1"/>
    <col min="526" max="769" width="6.81640625" style="3"/>
    <col min="770" max="770" width="3.81640625" style="3" bestFit="1" customWidth="1"/>
    <col min="771" max="771" width="21.26953125" style="3" customWidth="1"/>
    <col min="772" max="772" width="6.81640625" style="3" bestFit="1" customWidth="1"/>
    <col min="773" max="773" width="10.26953125" style="3" bestFit="1" customWidth="1"/>
    <col min="774" max="774" width="10.7265625" style="3" customWidth="1"/>
    <col min="775" max="775" width="11.26953125" style="3" customWidth="1"/>
    <col min="776" max="776" width="12.81640625" style="3" bestFit="1" customWidth="1"/>
    <col min="777" max="778" width="15.81640625" style="3" bestFit="1" customWidth="1"/>
    <col min="779" max="779" width="3.26953125" style="3" customWidth="1"/>
    <col min="780" max="780" width="11.453125" style="3" customWidth="1"/>
    <col min="781" max="781" width="11.26953125" style="3" bestFit="1" customWidth="1"/>
    <col min="782" max="1025" width="6.81640625" style="3"/>
    <col min="1026" max="1026" width="3.81640625" style="3" bestFit="1" customWidth="1"/>
    <col min="1027" max="1027" width="21.26953125" style="3" customWidth="1"/>
    <col min="1028" max="1028" width="6.81640625" style="3" bestFit="1" customWidth="1"/>
    <col min="1029" max="1029" width="10.26953125" style="3" bestFit="1" customWidth="1"/>
    <col min="1030" max="1030" width="10.7265625" style="3" customWidth="1"/>
    <col min="1031" max="1031" width="11.26953125" style="3" customWidth="1"/>
    <col min="1032" max="1032" width="12.81640625" style="3" bestFit="1" customWidth="1"/>
    <col min="1033" max="1034" width="15.81640625" style="3" bestFit="1" customWidth="1"/>
    <col min="1035" max="1035" width="3.26953125" style="3" customWidth="1"/>
    <col min="1036" max="1036" width="11.453125" style="3" customWidth="1"/>
    <col min="1037" max="1037" width="11.26953125" style="3" bestFit="1" customWidth="1"/>
    <col min="1038" max="1281" width="6.81640625" style="3"/>
    <col min="1282" max="1282" width="3.81640625" style="3" bestFit="1" customWidth="1"/>
    <col min="1283" max="1283" width="21.26953125" style="3" customWidth="1"/>
    <col min="1284" max="1284" width="6.81640625" style="3" bestFit="1" customWidth="1"/>
    <col min="1285" max="1285" width="10.26953125" style="3" bestFit="1" customWidth="1"/>
    <col min="1286" max="1286" width="10.7265625" style="3" customWidth="1"/>
    <col min="1287" max="1287" width="11.26953125" style="3" customWidth="1"/>
    <col min="1288" max="1288" width="12.81640625" style="3" bestFit="1" customWidth="1"/>
    <col min="1289" max="1290" width="15.81640625" style="3" bestFit="1" customWidth="1"/>
    <col min="1291" max="1291" width="3.26953125" style="3" customWidth="1"/>
    <col min="1292" max="1292" width="11.453125" style="3" customWidth="1"/>
    <col min="1293" max="1293" width="11.26953125" style="3" bestFit="1" customWidth="1"/>
    <col min="1294" max="1537" width="6.81640625" style="3"/>
    <col min="1538" max="1538" width="3.81640625" style="3" bestFit="1" customWidth="1"/>
    <col min="1539" max="1539" width="21.26953125" style="3" customWidth="1"/>
    <col min="1540" max="1540" width="6.81640625" style="3" bestFit="1" customWidth="1"/>
    <col min="1541" max="1541" width="10.26953125" style="3" bestFit="1" customWidth="1"/>
    <col min="1542" max="1542" width="10.7265625" style="3" customWidth="1"/>
    <col min="1543" max="1543" width="11.26953125" style="3" customWidth="1"/>
    <col min="1544" max="1544" width="12.81640625" style="3" bestFit="1" customWidth="1"/>
    <col min="1545" max="1546" width="15.81640625" style="3" bestFit="1" customWidth="1"/>
    <col min="1547" max="1547" width="3.26953125" style="3" customWidth="1"/>
    <col min="1548" max="1548" width="11.453125" style="3" customWidth="1"/>
    <col min="1549" max="1549" width="11.26953125" style="3" bestFit="1" customWidth="1"/>
    <col min="1550" max="1793" width="6.81640625" style="3"/>
    <col min="1794" max="1794" width="3.81640625" style="3" bestFit="1" customWidth="1"/>
    <col min="1795" max="1795" width="21.26953125" style="3" customWidth="1"/>
    <col min="1796" max="1796" width="6.81640625" style="3" bestFit="1" customWidth="1"/>
    <col min="1797" max="1797" width="10.26953125" style="3" bestFit="1" customWidth="1"/>
    <col min="1798" max="1798" width="10.7265625" style="3" customWidth="1"/>
    <col min="1799" max="1799" width="11.26953125" style="3" customWidth="1"/>
    <col min="1800" max="1800" width="12.81640625" style="3" bestFit="1" customWidth="1"/>
    <col min="1801" max="1802" width="15.81640625" style="3" bestFit="1" customWidth="1"/>
    <col min="1803" max="1803" width="3.26953125" style="3" customWidth="1"/>
    <col min="1804" max="1804" width="11.453125" style="3" customWidth="1"/>
    <col min="1805" max="1805" width="11.26953125" style="3" bestFit="1" customWidth="1"/>
    <col min="1806" max="2049" width="6.81640625" style="3"/>
    <col min="2050" max="2050" width="3.81640625" style="3" bestFit="1" customWidth="1"/>
    <col min="2051" max="2051" width="21.26953125" style="3" customWidth="1"/>
    <col min="2052" max="2052" width="6.81640625" style="3" bestFit="1" customWidth="1"/>
    <col min="2053" max="2053" width="10.26953125" style="3" bestFit="1" customWidth="1"/>
    <col min="2054" max="2054" width="10.7265625" style="3" customWidth="1"/>
    <col min="2055" max="2055" width="11.26953125" style="3" customWidth="1"/>
    <col min="2056" max="2056" width="12.81640625" style="3" bestFit="1" customWidth="1"/>
    <col min="2057" max="2058" width="15.81640625" style="3" bestFit="1" customWidth="1"/>
    <col min="2059" max="2059" width="3.26953125" style="3" customWidth="1"/>
    <col min="2060" max="2060" width="11.453125" style="3" customWidth="1"/>
    <col min="2061" max="2061" width="11.26953125" style="3" bestFit="1" customWidth="1"/>
    <col min="2062" max="2305" width="6.81640625" style="3"/>
    <col min="2306" max="2306" width="3.81640625" style="3" bestFit="1" customWidth="1"/>
    <col min="2307" max="2307" width="21.26953125" style="3" customWidth="1"/>
    <col min="2308" max="2308" width="6.81640625" style="3" bestFit="1" customWidth="1"/>
    <col min="2309" max="2309" width="10.26953125" style="3" bestFit="1" customWidth="1"/>
    <col min="2310" max="2310" width="10.7265625" style="3" customWidth="1"/>
    <col min="2311" max="2311" width="11.26953125" style="3" customWidth="1"/>
    <col min="2312" max="2312" width="12.81640625" style="3" bestFit="1" customWidth="1"/>
    <col min="2313" max="2314" width="15.81640625" style="3" bestFit="1" customWidth="1"/>
    <col min="2315" max="2315" width="3.26953125" style="3" customWidth="1"/>
    <col min="2316" max="2316" width="11.453125" style="3" customWidth="1"/>
    <col min="2317" max="2317" width="11.26953125" style="3" bestFit="1" customWidth="1"/>
    <col min="2318" max="2561" width="6.81640625" style="3"/>
    <col min="2562" max="2562" width="3.81640625" style="3" bestFit="1" customWidth="1"/>
    <col min="2563" max="2563" width="21.26953125" style="3" customWidth="1"/>
    <col min="2564" max="2564" width="6.81640625" style="3" bestFit="1" customWidth="1"/>
    <col min="2565" max="2565" width="10.26953125" style="3" bestFit="1" customWidth="1"/>
    <col min="2566" max="2566" width="10.7265625" style="3" customWidth="1"/>
    <col min="2567" max="2567" width="11.26953125" style="3" customWidth="1"/>
    <col min="2568" max="2568" width="12.81640625" style="3" bestFit="1" customWidth="1"/>
    <col min="2569" max="2570" width="15.81640625" style="3" bestFit="1" customWidth="1"/>
    <col min="2571" max="2571" width="3.26953125" style="3" customWidth="1"/>
    <col min="2572" max="2572" width="11.453125" style="3" customWidth="1"/>
    <col min="2573" max="2573" width="11.26953125" style="3" bestFit="1" customWidth="1"/>
    <col min="2574" max="2817" width="6.81640625" style="3"/>
    <col min="2818" max="2818" width="3.81640625" style="3" bestFit="1" customWidth="1"/>
    <col min="2819" max="2819" width="21.26953125" style="3" customWidth="1"/>
    <col min="2820" max="2820" width="6.81640625" style="3" bestFit="1" customWidth="1"/>
    <col min="2821" max="2821" width="10.26953125" style="3" bestFit="1" customWidth="1"/>
    <col min="2822" max="2822" width="10.7265625" style="3" customWidth="1"/>
    <col min="2823" max="2823" width="11.26953125" style="3" customWidth="1"/>
    <col min="2824" max="2824" width="12.81640625" style="3" bestFit="1" customWidth="1"/>
    <col min="2825" max="2826" width="15.81640625" style="3" bestFit="1" customWidth="1"/>
    <col min="2827" max="2827" width="3.26953125" style="3" customWidth="1"/>
    <col min="2828" max="2828" width="11.453125" style="3" customWidth="1"/>
    <col min="2829" max="2829" width="11.26953125" style="3" bestFit="1" customWidth="1"/>
    <col min="2830" max="3073" width="6.81640625" style="3"/>
    <col min="3074" max="3074" width="3.81640625" style="3" bestFit="1" customWidth="1"/>
    <col min="3075" max="3075" width="21.26953125" style="3" customWidth="1"/>
    <col min="3076" max="3076" width="6.81640625" style="3" bestFit="1" customWidth="1"/>
    <col min="3077" max="3077" width="10.26953125" style="3" bestFit="1" customWidth="1"/>
    <col min="3078" max="3078" width="10.7265625" style="3" customWidth="1"/>
    <col min="3079" max="3079" width="11.26953125" style="3" customWidth="1"/>
    <col min="3080" max="3080" width="12.81640625" style="3" bestFit="1" customWidth="1"/>
    <col min="3081" max="3082" width="15.81640625" style="3" bestFit="1" customWidth="1"/>
    <col min="3083" max="3083" width="3.26953125" style="3" customWidth="1"/>
    <col min="3084" max="3084" width="11.453125" style="3" customWidth="1"/>
    <col min="3085" max="3085" width="11.26953125" style="3" bestFit="1" customWidth="1"/>
    <col min="3086" max="3329" width="6.81640625" style="3"/>
    <col min="3330" max="3330" width="3.81640625" style="3" bestFit="1" customWidth="1"/>
    <col min="3331" max="3331" width="21.26953125" style="3" customWidth="1"/>
    <col min="3332" max="3332" width="6.81640625" style="3" bestFit="1" customWidth="1"/>
    <col min="3333" max="3333" width="10.26953125" style="3" bestFit="1" customWidth="1"/>
    <col min="3334" max="3334" width="10.7265625" style="3" customWidth="1"/>
    <col min="3335" max="3335" width="11.26953125" style="3" customWidth="1"/>
    <col min="3336" max="3336" width="12.81640625" style="3" bestFit="1" customWidth="1"/>
    <col min="3337" max="3338" width="15.81640625" style="3" bestFit="1" customWidth="1"/>
    <col min="3339" max="3339" width="3.26953125" style="3" customWidth="1"/>
    <col min="3340" max="3340" width="11.453125" style="3" customWidth="1"/>
    <col min="3341" max="3341" width="11.26953125" style="3" bestFit="1" customWidth="1"/>
    <col min="3342" max="3585" width="6.81640625" style="3"/>
    <col min="3586" max="3586" width="3.81640625" style="3" bestFit="1" customWidth="1"/>
    <col min="3587" max="3587" width="21.26953125" style="3" customWidth="1"/>
    <col min="3588" max="3588" width="6.81640625" style="3" bestFit="1" customWidth="1"/>
    <col min="3589" max="3589" width="10.26953125" style="3" bestFit="1" customWidth="1"/>
    <col min="3590" max="3590" width="10.7265625" style="3" customWidth="1"/>
    <col min="3591" max="3591" width="11.26953125" style="3" customWidth="1"/>
    <col min="3592" max="3592" width="12.81640625" style="3" bestFit="1" customWidth="1"/>
    <col min="3593" max="3594" width="15.81640625" style="3" bestFit="1" customWidth="1"/>
    <col min="3595" max="3595" width="3.26953125" style="3" customWidth="1"/>
    <col min="3596" max="3596" width="11.453125" style="3" customWidth="1"/>
    <col min="3597" max="3597" width="11.26953125" style="3" bestFit="1" customWidth="1"/>
    <col min="3598" max="3841" width="6.81640625" style="3"/>
    <col min="3842" max="3842" width="3.81640625" style="3" bestFit="1" customWidth="1"/>
    <col min="3843" max="3843" width="21.26953125" style="3" customWidth="1"/>
    <col min="3844" max="3844" width="6.81640625" style="3" bestFit="1" customWidth="1"/>
    <col min="3845" max="3845" width="10.26953125" style="3" bestFit="1" customWidth="1"/>
    <col min="3846" max="3846" width="10.7265625" style="3" customWidth="1"/>
    <col min="3847" max="3847" width="11.26953125" style="3" customWidth="1"/>
    <col min="3848" max="3848" width="12.81640625" style="3" bestFit="1" customWidth="1"/>
    <col min="3849" max="3850" width="15.81640625" style="3" bestFit="1" customWidth="1"/>
    <col min="3851" max="3851" width="3.26953125" style="3" customWidth="1"/>
    <col min="3852" max="3852" width="11.453125" style="3" customWidth="1"/>
    <col min="3853" max="3853" width="11.26953125" style="3" bestFit="1" customWidth="1"/>
    <col min="3854" max="4097" width="6.81640625" style="3"/>
    <col min="4098" max="4098" width="3.81640625" style="3" bestFit="1" customWidth="1"/>
    <col min="4099" max="4099" width="21.26953125" style="3" customWidth="1"/>
    <col min="4100" max="4100" width="6.81640625" style="3" bestFit="1" customWidth="1"/>
    <col min="4101" max="4101" width="10.26953125" style="3" bestFit="1" customWidth="1"/>
    <col min="4102" max="4102" width="10.7265625" style="3" customWidth="1"/>
    <col min="4103" max="4103" width="11.26953125" style="3" customWidth="1"/>
    <col min="4104" max="4104" width="12.81640625" style="3" bestFit="1" customWidth="1"/>
    <col min="4105" max="4106" width="15.81640625" style="3" bestFit="1" customWidth="1"/>
    <col min="4107" max="4107" width="3.26953125" style="3" customWidth="1"/>
    <col min="4108" max="4108" width="11.453125" style="3" customWidth="1"/>
    <col min="4109" max="4109" width="11.26953125" style="3" bestFit="1" customWidth="1"/>
    <col min="4110" max="4353" width="6.81640625" style="3"/>
    <col min="4354" max="4354" width="3.81640625" style="3" bestFit="1" customWidth="1"/>
    <col min="4355" max="4355" width="21.26953125" style="3" customWidth="1"/>
    <col min="4356" max="4356" width="6.81640625" style="3" bestFit="1" customWidth="1"/>
    <col min="4357" max="4357" width="10.26953125" style="3" bestFit="1" customWidth="1"/>
    <col min="4358" max="4358" width="10.7265625" style="3" customWidth="1"/>
    <col min="4359" max="4359" width="11.26953125" style="3" customWidth="1"/>
    <col min="4360" max="4360" width="12.81640625" style="3" bestFit="1" customWidth="1"/>
    <col min="4361" max="4362" width="15.81640625" style="3" bestFit="1" customWidth="1"/>
    <col min="4363" max="4363" width="3.26953125" style="3" customWidth="1"/>
    <col min="4364" max="4364" width="11.453125" style="3" customWidth="1"/>
    <col min="4365" max="4365" width="11.26953125" style="3" bestFit="1" customWidth="1"/>
    <col min="4366" max="4609" width="6.81640625" style="3"/>
    <col min="4610" max="4610" width="3.81640625" style="3" bestFit="1" customWidth="1"/>
    <col min="4611" max="4611" width="21.26953125" style="3" customWidth="1"/>
    <col min="4612" max="4612" width="6.81640625" style="3" bestFit="1" customWidth="1"/>
    <col min="4613" max="4613" width="10.26953125" style="3" bestFit="1" customWidth="1"/>
    <col min="4614" max="4614" width="10.7265625" style="3" customWidth="1"/>
    <col min="4615" max="4615" width="11.26953125" style="3" customWidth="1"/>
    <col min="4616" max="4616" width="12.81640625" style="3" bestFit="1" customWidth="1"/>
    <col min="4617" max="4618" width="15.81640625" style="3" bestFit="1" customWidth="1"/>
    <col min="4619" max="4619" width="3.26953125" style="3" customWidth="1"/>
    <col min="4620" max="4620" width="11.453125" style="3" customWidth="1"/>
    <col min="4621" max="4621" width="11.26953125" style="3" bestFit="1" customWidth="1"/>
    <col min="4622" max="4865" width="6.81640625" style="3"/>
    <col min="4866" max="4866" width="3.81640625" style="3" bestFit="1" customWidth="1"/>
    <col min="4867" max="4867" width="21.26953125" style="3" customWidth="1"/>
    <col min="4868" max="4868" width="6.81640625" style="3" bestFit="1" customWidth="1"/>
    <col min="4869" max="4869" width="10.26953125" style="3" bestFit="1" customWidth="1"/>
    <col min="4870" max="4870" width="10.7265625" style="3" customWidth="1"/>
    <col min="4871" max="4871" width="11.26953125" style="3" customWidth="1"/>
    <col min="4872" max="4872" width="12.81640625" style="3" bestFit="1" customWidth="1"/>
    <col min="4873" max="4874" width="15.81640625" style="3" bestFit="1" customWidth="1"/>
    <col min="4875" max="4875" width="3.26953125" style="3" customWidth="1"/>
    <col min="4876" max="4876" width="11.453125" style="3" customWidth="1"/>
    <col min="4877" max="4877" width="11.26953125" style="3" bestFit="1" customWidth="1"/>
    <col min="4878" max="5121" width="6.81640625" style="3"/>
    <col min="5122" max="5122" width="3.81640625" style="3" bestFit="1" customWidth="1"/>
    <col min="5123" max="5123" width="21.26953125" style="3" customWidth="1"/>
    <col min="5124" max="5124" width="6.81640625" style="3" bestFit="1" customWidth="1"/>
    <col min="5125" max="5125" width="10.26953125" style="3" bestFit="1" customWidth="1"/>
    <col min="5126" max="5126" width="10.7265625" style="3" customWidth="1"/>
    <col min="5127" max="5127" width="11.26953125" style="3" customWidth="1"/>
    <col min="5128" max="5128" width="12.81640625" style="3" bestFit="1" customWidth="1"/>
    <col min="5129" max="5130" width="15.81640625" style="3" bestFit="1" customWidth="1"/>
    <col min="5131" max="5131" width="3.26953125" style="3" customWidth="1"/>
    <col min="5132" max="5132" width="11.453125" style="3" customWidth="1"/>
    <col min="5133" max="5133" width="11.26953125" style="3" bestFit="1" customWidth="1"/>
    <col min="5134" max="5377" width="6.81640625" style="3"/>
    <col min="5378" max="5378" width="3.81640625" style="3" bestFit="1" customWidth="1"/>
    <col min="5379" max="5379" width="21.26953125" style="3" customWidth="1"/>
    <col min="5380" max="5380" width="6.81640625" style="3" bestFit="1" customWidth="1"/>
    <col min="5381" max="5381" width="10.26953125" style="3" bestFit="1" customWidth="1"/>
    <col min="5382" max="5382" width="10.7265625" style="3" customWidth="1"/>
    <col min="5383" max="5383" width="11.26953125" style="3" customWidth="1"/>
    <col min="5384" max="5384" width="12.81640625" style="3" bestFit="1" customWidth="1"/>
    <col min="5385" max="5386" width="15.81640625" style="3" bestFit="1" customWidth="1"/>
    <col min="5387" max="5387" width="3.26953125" style="3" customWidth="1"/>
    <col min="5388" max="5388" width="11.453125" style="3" customWidth="1"/>
    <col min="5389" max="5389" width="11.26953125" style="3" bestFit="1" customWidth="1"/>
    <col min="5390" max="5633" width="6.81640625" style="3"/>
    <col min="5634" max="5634" width="3.81640625" style="3" bestFit="1" customWidth="1"/>
    <col min="5635" max="5635" width="21.26953125" style="3" customWidth="1"/>
    <col min="5636" max="5636" width="6.81640625" style="3" bestFit="1" customWidth="1"/>
    <col min="5637" max="5637" width="10.26953125" style="3" bestFit="1" customWidth="1"/>
    <col min="5638" max="5638" width="10.7265625" style="3" customWidth="1"/>
    <col min="5639" max="5639" width="11.26953125" style="3" customWidth="1"/>
    <col min="5640" max="5640" width="12.81640625" style="3" bestFit="1" customWidth="1"/>
    <col min="5641" max="5642" width="15.81640625" style="3" bestFit="1" customWidth="1"/>
    <col min="5643" max="5643" width="3.26953125" style="3" customWidth="1"/>
    <col min="5644" max="5644" width="11.453125" style="3" customWidth="1"/>
    <col min="5645" max="5645" width="11.26953125" style="3" bestFit="1" customWidth="1"/>
    <col min="5646" max="5889" width="6.81640625" style="3"/>
    <col min="5890" max="5890" width="3.81640625" style="3" bestFit="1" customWidth="1"/>
    <col min="5891" max="5891" width="21.26953125" style="3" customWidth="1"/>
    <col min="5892" max="5892" width="6.81640625" style="3" bestFit="1" customWidth="1"/>
    <col min="5893" max="5893" width="10.26953125" style="3" bestFit="1" customWidth="1"/>
    <col min="5894" max="5894" width="10.7265625" style="3" customWidth="1"/>
    <col min="5895" max="5895" width="11.26953125" style="3" customWidth="1"/>
    <col min="5896" max="5896" width="12.81640625" style="3" bestFit="1" customWidth="1"/>
    <col min="5897" max="5898" width="15.81640625" style="3" bestFit="1" customWidth="1"/>
    <col min="5899" max="5899" width="3.26953125" style="3" customWidth="1"/>
    <col min="5900" max="5900" width="11.453125" style="3" customWidth="1"/>
    <col min="5901" max="5901" width="11.26953125" style="3" bestFit="1" customWidth="1"/>
    <col min="5902" max="6145" width="6.81640625" style="3"/>
    <col min="6146" max="6146" width="3.81640625" style="3" bestFit="1" customWidth="1"/>
    <col min="6147" max="6147" width="21.26953125" style="3" customWidth="1"/>
    <col min="6148" max="6148" width="6.81640625" style="3" bestFit="1" customWidth="1"/>
    <col min="6149" max="6149" width="10.26953125" style="3" bestFit="1" customWidth="1"/>
    <col min="6150" max="6150" width="10.7265625" style="3" customWidth="1"/>
    <col min="6151" max="6151" width="11.26953125" style="3" customWidth="1"/>
    <col min="6152" max="6152" width="12.81640625" style="3" bestFit="1" customWidth="1"/>
    <col min="6153" max="6154" width="15.81640625" style="3" bestFit="1" customWidth="1"/>
    <col min="6155" max="6155" width="3.26953125" style="3" customWidth="1"/>
    <col min="6156" max="6156" width="11.453125" style="3" customWidth="1"/>
    <col min="6157" max="6157" width="11.26953125" style="3" bestFit="1" customWidth="1"/>
    <col min="6158" max="6401" width="6.81640625" style="3"/>
    <col min="6402" max="6402" width="3.81640625" style="3" bestFit="1" customWidth="1"/>
    <col min="6403" max="6403" width="21.26953125" style="3" customWidth="1"/>
    <col min="6404" max="6404" width="6.81640625" style="3" bestFit="1" customWidth="1"/>
    <col min="6405" max="6405" width="10.26953125" style="3" bestFit="1" customWidth="1"/>
    <col min="6406" max="6406" width="10.7265625" style="3" customWidth="1"/>
    <col min="6407" max="6407" width="11.26953125" style="3" customWidth="1"/>
    <col min="6408" max="6408" width="12.81640625" style="3" bestFit="1" customWidth="1"/>
    <col min="6409" max="6410" width="15.81640625" style="3" bestFit="1" customWidth="1"/>
    <col min="6411" max="6411" width="3.26953125" style="3" customWidth="1"/>
    <col min="6412" max="6412" width="11.453125" style="3" customWidth="1"/>
    <col min="6413" max="6413" width="11.26953125" style="3" bestFit="1" customWidth="1"/>
    <col min="6414" max="6657" width="6.81640625" style="3"/>
    <col min="6658" max="6658" width="3.81640625" style="3" bestFit="1" customWidth="1"/>
    <col min="6659" max="6659" width="21.26953125" style="3" customWidth="1"/>
    <col min="6660" max="6660" width="6.81640625" style="3" bestFit="1" customWidth="1"/>
    <col min="6661" max="6661" width="10.26953125" style="3" bestFit="1" customWidth="1"/>
    <col min="6662" max="6662" width="10.7265625" style="3" customWidth="1"/>
    <col min="6663" max="6663" width="11.26953125" style="3" customWidth="1"/>
    <col min="6664" max="6664" width="12.81640625" style="3" bestFit="1" customWidth="1"/>
    <col min="6665" max="6666" width="15.81640625" style="3" bestFit="1" customWidth="1"/>
    <col min="6667" max="6667" width="3.26953125" style="3" customWidth="1"/>
    <col min="6668" max="6668" width="11.453125" style="3" customWidth="1"/>
    <col min="6669" max="6669" width="11.26953125" style="3" bestFit="1" customWidth="1"/>
    <col min="6670" max="6913" width="6.81640625" style="3"/>
    <col min="6914" max="6914" width="3.81640625" style="3" bestFit="1" customWidth="1"/>
    <col min="6915" max="6915" width="21.26953125" style="3" customWidth="1"/>
    <col min="6916" max="6916" width="6.81640625" style="3" bestFit="1" customWidth="1"/>
    <col min="6917" max="6917" width="10.26953125" style="3" bestFit="1" customWidth="1"/>
    <col min="6918" max="6918" width="10.7265625" style="3" customWidth="1"/>
    <col min="6919" max="6919" width="11.26953125" style="3" customWidth="1"/>
    <col min="6920" max="6920" width="12.81640625" style="3" bestFit="1" customWidth="1"/>
    <col min="6921" max="6922" width="15.81640625" style="3" bestFit="1" customWidth="1"/>
    <col min="6923" max="6923" width="3.26953125" style="3" customWidth="1"/>
    <col min="6924" max="6924" width="11.453125" style="3" customWidth="1"/>
    <col min="6925" max="6925" width="11.26953125" style="3" bestFit="1" customWidth="1"/>
    <col min="6926" max="7169" width="6.81640625" style="3"/>
    <col min="7170" max="7170" width="3.81640625" style="3" bestFit="1" customWidth="1"/>
    <col min="7171" max="7171" width="21.26953125" style="3" customWidth="1"/>
    <col min="7172" max="7172" width="6.81640625" style="3" bestFit="1" customWidth="1"/>
    <col min="7173" max="7173" width="10.26953125" style="3" bestFit="1" customWidth="1"/>
    <col min="7174" max="7174" width="10.7265625" style="3" customWidth="1"/>
    <col min="7175" max="7175" width="11.26953125" style="3" customWidth="1"/>
    <col min="7176" max="7176" width="12.81640625" style="3" bestFit="1" customWidth="1"/>
    <col min="7177" max="7178" width="15.81640625" style="3" bestFit="1" customWidth="1"/>
    <col min="7179" max="7179" width="3.26953125" style="3" customWidth="1"/>
    <col min="7180" max="7180" width="11.453125" style="3" customWidth="1"/>
    <col min="7181" max="7181" width="11.26953125" style="3" bestFit="1" customWidth="1"/>
    <col min="7182" max="7425" width="6.81640625" style="3"/>
    <col min="7426" max="7426" width="3.81640625" style="3" bestFit="1" customWidth="1"/>
    <col min="7427" max="7427" width="21.26953125" style="3" customWidth="1"/>
    <col min="7428" max="7428" width="6.81640625" style="3" bestFit="1" customWidth="1"/>
    <col min="7429" max="7429" width="10.26953125" style="3" bestFit="1" customWidth="1"/>
    <col min="7430" max="7430" width="10.7265625" style="3" customWidth="1"/>
    <col min="7431" max="7431" width="11.26953125" style="3" customWidth="1"/>
    <col min="7432" max="7432" width="12.81640625" style="3" bestFit="1" customWidth="1"/>
    <col min="7433" max="7434" width="15.81640625" style="3" bestFit="1" customWidth="1"/>
    <col min="7435" max="7435" width="3.26953125" style="3" customWidth="1"/>
    <col min="7436" max="7436" width="11.453125" style="3" customWidth="1"/>
    <col min="7437" max="7437" width="11.26953125" style="3" bestFit="1" customWidth="1"/>
    <col min="7438" max="7681" width="6.81640625" style="3"/>
    <col min="7682" max="7682" width="3.81640625" style="3" bestFit="1" customWidth="1"/>
    <col min="7683" max="7683" width="21.26953125" style="3" customWidth="1"/>
    <col min="7684" max="7684" width="6.81640625" style="3" bestFit="1" customWidth="1"/>
    <col min="7685" max="7685" width="10.26953125" style="3" bestFit="1" customWidth="1"/>
    <col min="7686" max="7686" width="10.7265625" style="3" customWidth="1"/>
    <col min="7687" max="7687" width="11.26953125" style="3" customWidth="1"/>
    <col min="7688" max="7688" width="12.81640625" style="3" bestFit="1" customWidth="1"/>
    <col min="7689" max="7690" width="15.81640625" style="3" bestFit="1" customWidth="1"/>
    <col min="7691" max="7691" width="3.26953125" style="3" customWidth="1"/>
    <col min="7692" max="7692" width="11.453125" style="3" customWidth="1"/>
    <col min="7693" max="7693" width="11.26953125" style="3" bestFit="1" customWidth="1"/>
    <col min="7694" max="7937" width="6.81640625" style="3"/>
    <col min="7938" max="7938" width="3.81640625" style="3" bestFit="1" customWidth="1"/>
    <col min="7939" max="7939" width="21.26953125" style="3" customWidth="1"/>
    <col min="7940" max="7940" width="6.81640625" style="3" bestFit="1" customWidth="1"/>
    <col min="7941" max="7941" width="10.26953125" style="3" bestFit="1" customWidth="1"/>
    <col min="7942" max="7942" width="10.7265625" style="3" customWidth="1"/>
    <col min="7943" max="7943" width="11.26953125" style="3" customWidth="1"/>
    <col min="7944" max="7944" width="12.81640625" style="3" bestFit="1" customWidth="1"/>
    <col min="7945" max="7946" width="15.81640625" style="3" bestFit="1" customWidth="1"/>
    <col min="7947" max="7947" width="3.26953125" style="3" customWidth="1"/>
    <col min="7948" max="7948" width="11.453125" style="3" customWidth="1"/>
    <col min="7949" max="7949" width="11.26953125" style="3" bestFit="1" customWidth="1"/>
    <col min="7950" max="8193" width="6.81640625" style="3"/>
    <col min="8194" max="8194" width="3.81640625" style="3" bestFit="1" customWidth="1"/>
    <col min="8195" max="8195" width="21.26953125" style="3" customWidth="1"/>
    <col min="8196" max="8196" width="6.81640625" style="3" bestFit="1" customWidth="1"/>
    <col min="8197" max="8197" width="10.26953125" style="3" bestFit="1" customWidth="1"/>
    <col min="8198" max="8198" width="10.7265625" style="3" customWidth="1"/>
    <col min="8199" max="8199" width="11.26953125" style="3" customWidth="1"/>
    <col min="8200" max="8200" width="12.81640625" style="3" bestFit="1" customWidth="1"/>
    <col min="8201" max="8202" width="15.81640625" style="3" bestFit="1" customWidth="1"/>
    <col min="8203" max="8203" width="3.26953125" style="3" customWidth="1"/>
    <col min="8204" max="8204" width="11.453125" style="3" customWidth="1"/>
    <col min="8205" max="8205" width="11.26953125" style="3" bestFit="1" customWidth="1"/>
    <col min="8206" max="8449" width="6.81640625" style="3"/>
    <col min="8450" max="8450" width="3.81640625" style="3" bestFit="1" customWidth="1"/>
    <col min="8451" max="8451" width="21.26953125" style="3" customWidth="1"/>
    <col min="8452" max="8452" width="6.81640625" style="3" bestFit="1" customWidth="1"/>
    <col min="8453" max="8453" width="10.26953125" style="3" bestFit="1" customWidth="1"/>
    <col min="8454" max="8454" width="10.7265625" style="3" customWidth="1"/>
    <col min="8455" max="8455" width="11.26953125" style="3" customWidth="1"/>
    <col min="8456" max="8456" width="12.81640625" style="3" bestFit="1" customWidth="1"/>
    <col min="8457" max="8458" width="15.81640625" style="3" bestFit="1" customWidth="1"/>
    <col min="8459" max="8459" width="3.26953125" style="3" customWidth="1"/>
    <col min="8460" max="8460" width="11.453125" style="3" customWidth="1"/>
    <col min="8461" max="8461" width="11.26953125" style="3" bestFit="1" customWidth="1"/>
    <col min="8462" max="8705" width="6.81640625" style="3"/>
    <col min="8706" max="8706" width="3.81640625" style="3" bestFit="1" customWidth="1"/>
    <col min="8707" max="8707" width="21.26953125" style="3" customWidth="1"/>
    <col min="8708" max="8708" width="6.81640625" style="3" bestFit="1" customWidth="1"/>
    <col min="8709" max="8709" width="10.26953125" style="3" bestFit="1" customWidth="1"/>
    <col min="8710" max="8710" width="10.7265625" style="3" customWidth="1"/>
    <col min="8711" max="8711" width="11.26953125" style="3" customWidth="1"/>
    <col min="8712" max="8712" width="12.81640625" style="3" bestFit="1" customWidth="1"/>
    <col min="8713" max="8714" width="15.81640625" style="3" bestFit="1" customWidth="1"/>
    <col min="8715" max="8715" width="3.26953125" style="3" customWidth="1"/>
    <col min="8716" max="8716" width="11.453125" style="3" customWidth="1"/>
    <col min="8717" max="8717" width="11.26953125" style="3" bestFit="1" customWidth="1"/>
    <col min="8718" max="8961" width="6.81640625" style="3"/>
    <col min="8962" max="8962" width="3.81640625" style="3" bestFit="1" customWidth="1"/>
    <col min="8963" max="8963" width="21.26953125" style="3" customWidth="1"/>
    <col min="8964" max="8964" width="6.81640625" style="3" bestFit="1" customWidth="1"/>
    <col min="8965" max="8965" width="10.26953125" style="3" bestFit="1" customWidth="1"/>
    <col min="8966" max="8966" width="10.7265625" style="3" customWidth="1"/>
    <col min="8967" max="8967" width="11.26953125" style="3" customWidth="1"/>
    <col min="8968" max="8968" width="12.81640625" style="3" bestFit="1" customWidth="1"/>
    <col min="8969" max="8970" width="15.81640625" style="3" bestFit="1" customWidth="1"/>
    <col min="8971" max="8971" width="3.26953125" style="3" customWidth="1"/>
    <col min="8972" max="8972" width="11.453125" style="3" customWidth="1"/>
    <col min="8973" max="8973" width="11.26953125" style="3" bestFit="1" customWidth="1"/>
    <col min="8974" max="9217" width="6.81640625" style="3"/>
    <col min="9218" max="9218" width="3.81640625" style="3" bestFit="1" customWidth="1"/>
    <col min="9219" max="9219" width="21.26953125" style="3" customWidth="1"/>
    <col min="9220" max="9220" width="6.81640625" style="3" bestFit="1" customWidth="1"/>
    <col min="9221" max="9221" width="10.26953125" style="3" bestFit="1" customWidth="1"/>
    <col min="9222" max="9222" width="10.7265625" style="3" customWidth="1"/>
    <col min="9223" max="9223" width="11.26953125" style="3" customWidth="1"/>
    <col min="9224" max="9224" width="12.81640625" style="3" bestFit="1" customWidth="1"/>
    <col min="9225" max="9226" width="15.81640625" style="3" bestFit="1" customWidth="1"/>
    <col min="9227" max="9227" width="3.26953125" style="3" customWidth="1"/>
    <col min="9228" max="9228" width="11.453125" style="3" customWidth="1"/>
    <col min="9229" max="9229" width="11.26953125" style="3" bestFit="1" customWidth="1"/>
    <col min="9230" max="9473" width="6.81640625" style="3"/>
    <col min="9474" max="9474" width="3.81640625" style="3" bestFit="1" customWidth="1"/>
    <col min="9475" max="9475" width="21.26953125" style="3" customWidth="1"/>
    <col min="9476" max="9476" width="6.81640625" style="3" bestFit="1" customWidth="1"/>
    <col min="9477" max="9477" width="10.26953125" style="3" bestFit="1" customWidth="1"/>
    <col min="9478" max="9478" width="10.7265625" style="3" customWidth="1"/>
    <col min="9479" max="9479" width="11.26953125" style="3" customWidth="1"/>
    <col min="9480" max="9480" width="12.81640625" style="3" bestFit="1" customWidth="1"/>
    <col min="9481" max="9482" width="15.81640625" style="3" bestFit="1" customWidth="1"/>
    <col min="9483" max="9483" width="3.26953125" style="3" customWidth="1"/>
    <col min="9484" max="9484" width="11.453125" style="3" customWidth="1"/>
    <col min="9485" max="9485" width="11.26953125" style="3" bestFit="1" customWidth="1"/>
    <col min="9486" max="9729" width="6.81640625" style="3"/>
    <col min="9730" max="9730" width="3.81640625" style="3" bestFit="1" customWidth="1"/>
    <col min="9731" max="9731" width="21.26953125" style="3" customWidth="1"/>
    <col min="9732" max="9732" width="6.81640625" style="3" bestFit="1" customWidth="1"/>
    <col min="9733" max="9733" width="10.26953125" style="3" bestFit="1" customWidth="1"/>
    <col min="9734" max="9734" width="10.7265625" style="3" customWidth="1"/>
    <col min="9735" max="9735" width="11.26953125" style="3" customWidth="1"/>
    <col min="9736" max="9736" width="12.81640625" style="3" bestFit="1" customWidth="1"/>
    <col min="9737" max="9738" width="15.81640625" style="3" bestFit="1" customWidth="1"/>
    <col min="9739" max="9739" width="3.26953125" style="3" customWidth="1"/>
    <col min="9740" max="9740" width="11.453125" style="3" customWidth="1"/>
    <col min="9741" max="9741" width="11.26953125" style="3" bestFit="1" customWidth="1"/>
    <col min="9742" max="9985" width="6.81640625" style="3"/>
    <col min="9986" max="9986" width="3.81640625" style="3" bestFit="1" customWidth="1"/>
    <col min="9987" max="9987" width="21.26953125" style="3" customWidth="1"/>
    <col min="9988" max="9988" width="6.81640625" style="3" bestFit="1" customWidth="1"/>
    <col min="9989" max="9989" width="10.26953125" style="3" bestFit="1" customWidth="1"/>
    <col min="9990" max="9990" width="10.7265625" style="3" customWidth="1"/>
    <col min="9991" max="9991" width="11.26953125" style="3" customWidth="1"/>
    <col min="9992" max="9992" width="12.81640625" style="3" bestFit="1" customWidth="1"/>
    <col min="9993" max="9994" width="15.81640625" style="3" bestFit="1" customWidth="1"/>
    <col min="9995" max="9995" width="3.26953125" style="3" customWidth="1"/>
    <col min="9996" max="9996" width="11.453125" style="3" customWidth="1"/>
    <col min="9997" max="9997" width="11.26953125" style="3" bestFit="1" customWidth="1"/>
    <col min="9998" max="10241" width="6.81640625" style="3"/>
    <col min="10242" max="10242" width="3.81640625" style="3" bestFit="1" customWidth="1"/>
    <col min="10243" max="10243" width="21.26953125" style="3" customWidth="1"/>
    <col min="10244" max="10244" width="6.81640625" style="3" bestFit="1" customWidth="1"/>
    <col min="10245" max="10245" width="10.26953125" style="3" bestFit="1" customWidth="1"/>
    <col min="10246" max="10246" width="10.7265625" style="3" customWidth="1"/>
    <col min="10247" max="10247" width="11.26953125" style="3" customWidth="1"/>
    <col min="10248" max="10248" width="12.81640625" style="3" bestFit="1" customWidth="1"/>
    <col min="10249" max="10250" width="15.81640625" style="3" bestFit="1" customWidth="1"/>
    <col min="10251" max="10251" width="3.26953125" style="3" customWidth="1"/>
    <col min="10252" max="10252" width="11.453125" style="3" customWidth="1"/>
    <col min="10253" max="10253" width="11.26953125" style="3" bestFit="1" customWidth="1"/>
    <col min="10254" max="10497" width="6.81640625" style="3"/>
    <col min="10498" max="10498" width="3.81640625" style="3" bestFit="1" customWidth="1"/>
    <col min="10499" max="10499" width="21.26953125" style="3" customWidth="1"/>
    <col min="10500" max="10500" width="6.81640625" style="3" bestFit="1" customWidth="1"/>
    <col min="10501" max="10501" width="10.26953125" style="3" bestFit="1" customWidth="1"/>
    <col min="10502" max="10502" width="10.7265625" style="3" customWidth="1"/>
    <col min="10503" max="10503" width="11.26953125" style="3" customWidth="1"/>
    <col min="10504" max="10504" width="12.81640625" style="3" bestFit="1" customWidth="1"/>
    <col min="10505" max="10506" width="15.81640625" style="3" bestFit="1" customWidth="1"/>
    <col min="10507" max="10507" width="3.26953125" style="3" customWidth="1"/>
    <col min="10508" max="10508" width="11.453125" style="3" customWidth="1"/>
    <col min="10509" max="10509" width="11.26953125" style="3" bestFit="1" customWidth="1"/>
    <col min="10510" max="10753" width="6.81640625" style="3"/>
    <col min="10754" max="10754" width="3.81640625" style="3" bestFit="1" customWidth="1"/>
    <col min="10755" max="10755" width="21.26953125" style="3" customWidth="1"/>
    <col min="10756" max="10756" width="6.81640625" style="3" bestFit="1" customWidth="1"/>
    <col min="10757" max="10757" width="10.26953125" style="3" bestFit="1" customWidth="1"/>
    <col min="10758" max="10758" width="10.7265625" style="3" customWidth="1"/>
    <col min="10759" max="10759" width="11.26953125" style="3" customWidth="1"/>
    <col min="10760" max="10760" width="12.81640625" style="3" bestFit="1" customWidth="1"/>
    <col min="10761" max="10762" width="15.81640625" style="3" bestFit="1" customWidth="1"/>
    <col min="10763" max="10763" width="3.26953125" style="3" customWidth="1"/>
    <col min="10764" max="10764" width="11.453125" style="3" customWidth="1"/>
    <col min="10765" max="10765" width="11.26953125" style="3" bestFit="1" customWidth="1"/>
    <col min="10766" max="11009" width="6.81640625" style="3"/>
    <col min="11010" max="11010" width="3.81640625" style="3" bestFit="1" customWidth="1"/>
    <col min="11011" max="11011" width="21.26953125" style="3" customWidth="1"/>
    <col min="11012" max="11012" width="6.81640625" style="3" bestFit="1" customWidth="1"/>
    <col min="11013" max="11013" width="10.26953125" style="3" bestFit="1" customWidth="1"/>
    <col min="11014" max="11014" width="10.7265625" style="3" customWidth="1"/>
    <col min="11015" max="11015" width="11.26953125" style="3" customWidth="1"/>
    <col min="11016" max="11016" width="12.81640625" style="3" bestFit="1" customWidth="1"/>
    <col min="11017" max="11018" width="15.81640625" style="3" bestFit="1" customWidth="1"/>
    <col min="11019" max="11019" width="3.26953125" style="3" customWidth="1"/>
    <col min="11020" max="11020" width="11.453125" style="3" customWidth="1"/>
    <col min="11021" max="11021" width="11.26953125" style="3" bestFit="1" customWidth="1"/>
    <col min="11022" max="11265" width="6.81640625" style="3"/>
    <col min="11266" max="11266" width="3.81640625" style="3" bestFit="1" customWidth="1"/>
    <col min="11267" max="11267" width="21.26953125" style="3" customWidth="1"/>
    <col min="11268" max="11268" width="6.81640625" style="3" bestFit="1" customWidth="1"/>
    <col min="11269" max="11269" width="10.26953125" style="3" bestFit="1" customWidth="1"/>
    <col min="11270" max="11270" width="10.7265625" style="3" customWidth="1"/>
    <col min="11271" max="11271" width="11.26953125" style="3" customWidth="1"/>
    <col min="11272" max="11272" width="12.81640625" style="3" bestFit="1" customWidth="1"/>
    <col min="11273" max="11274" width="15.81640625" style="3" bestFit="1" customWidth="1"/>
    <col min="11275" max="11275" width="3.26953125" style="3" customWidth="1"/>
    <col min="11276" max="11276" width="11.453125" style="3" customWidth="1"/>
    <col min="11277" max="11277" width="11.26953125" style="3" bestFit="1" customWidth="1"/>
    <col min="11278" max="11521" width="6.81640625" style="3"/>
    <col min="11522" max="11522" width="3.81640625" style="3" bestFit="1" customWidth="1"/>
    <col min="11523" max="11523" width="21.26953125" style="3" customWidth="1"/>
    <col min="11524" max="11524" width="6.81640625" style="3" bestFit="1" customWidth="1"/>
    <col min="11525" max="11525" width="10.26953125" style="3" bestFit="1" customWidth="1"/>
    <col min="11526" max="11526" width="10.7265625" style="3" customWidth="1"/>
    <col min="11527" max="11527" width="11.26953125" style="3" customWidth="1"/>
    <col min="11528" max="11528" width="12.81640625" style="3" bestFit="1" customWidth="1"/>
    <col min="11529" max="11530" width="15.81640625" style="3" bestFit="1" customWidth="1"/>
    <col min="11531" max="11531" width="3.26953125" style="3" customWidth="1"/>
    <col min="11532" max="11532" width="11.453125" style="3" customWidth="1"/>
    <col min="11533" max="11533" width="11.26953125" style="3" bestFit="1" customWidth="1"/>
    <col min="11534" max="11777" width="6.81640625" style="3"/>
    <col min="11778" max="11778" width="3.81640625" style="3" bestFit="1" customWidth="1"/>
    <col min="11779" max="11779" width="21.26953125" style="3" customWidth="1"/>
    <col min="11780" max="11780" width="6.81640625" style="3" bestFit="1" customWidth="1"/>
    <col min="11781" max="11781" width="10.26953125" style="3" bestFit="1" customWidth="1"/>
    <col min="11782" max="11782" width="10.7265625" style="3" customWidth="1"/>
    <col min="11783" max="11783" width="11.26953125" style="3" customWidth="1"/>
    <col min="11784" max="11784" width="12.81640625" style="3" bestFit="1" customWidth="1"/>
    <col min="11785" max="11786" width="15.81640625" style="3" bestFit="1" customWidth="1"/>
    <col min="11787" max="11787" width="3.26953125" style="3" customWidth="1"/>
    <col min="11788" max="11788" width="11.453125" style="3" customWidth="1"/>
    <col min="11789" max="11789" width="11.26953125" style="3" bestFit="1" customWidth="1"/>
    <col min="11790" max="12033" width="6.81640625" style="3"/>
    <col min="12034" max="12034" width="3.81640625" style="3" bestFit="1" customWidth="1"/>
    <col min="12035" max="12035" width="21.26953125" style="3" customWidth="1"/>
    <col min="12036" max="12036" width="6.81640625" style="3" bestFit="1" customWidth="1"/>
    <col min="12037" max="12037" width="10.26953125" style="3" bestFit="1" customWidth="1"/>
    <col min="12038" max="12038" width="10.7265625" style="3" customWidth="1"/>
    <col min="12039" max="12039" width="11.26953125" style="3" customWidth="1"/>
    <col min="12040" max="12040" width="12.81640625" style="3" bestFit="1" customWidth="1"/>
    <col min="12041" max="12042" width="15.81640625" style="3" bestFit="1" customWidth="1"/>
    <col min="12043" max="12043" width="3.26953125" style="3" customWidth="1"/>
    <col min="12044" max="12044" width="11.453125" style="3" customWidth="1"/>
    <col min="12045" max="12045" width="11.26953125" style="3" bestFit="1" customWidth="1"/>
    <col min="12046" max="12289" width="6.81640625" style="3"/>
    <col min="12290" max="12290" width="3.81640625" style="3" bestFit="1" customWidth="1"/>
    <col min="12291" max="12291" width="21.26953125" style="3" customWidth="1"/>
    <col min="12292" max="12292" width="6.81640625" style="3" bestFit="1" customWidth="1"/>
    <col min="12293" max="12293" width="10.26953125" style="3" bestFit="1" customWidth="1"/>
    <col min="12294" max="12294" width="10.7265625" style="3" customWidth="1"/>
    <col min="12295" max="12295" width="11.26953125" style="3" customWidth="1"/>
    <col min="12296" max="12296" width="12.81640625" style="3" bestFit="1" customWidth="1"/>
    <col min="12297" max="12298" width="15.81640625" style="3" bestFit="1" customWidth="1"/>
    <col min="12299" max="12299" width="3.26953125" style="3" customWidth="1"/>
    <col min="12300" max="12300" width="11.453125" style="3" customWidth="1"/>
    <col min="12301" max="12301" width="11.26953125" style="3" bestFit="1" customWidth="1"/>
    <col min="12302" max="12545" width="6.81640625" style="3"/>
    <col min="12546" max="12546" width="3.81640625" style="3" bestFit="1" customWidth="1"/>
    <col min="12547" max="12547" width="21.26953125" style="3" customWidth="1"/>
    <col min="12548" max="12548" width="6.81640625" style="3" bestFit="1" customWidth="1"/>
    <col min="12549" max="12549" width="10.26953125" style="3" bestFit="1" customWidth="1"/>
    <col min="12550" max="12550" width="10.7265625" style="3" customWidth="1"/>
    <col min="12551" max="12551" width="11.26953125" style="3" customWidth="1"/>
    <col min="12552" max="12552" width="12.81640625" style="3" bestFit="1" customWidth="1"/>
    <col min="12553" max="12554" width="15.81640625" style="3" bestFit="1" customWidth="1"/>
    <col min="12555" max="12555" width="3.26953125" style="3" customWidth="1"/>
    <col min="12556" max="12556" width="11.453125" style="3" customWidth="1"/>
    <col min="12557" max="12557" width="11.26953125" style="3" bestFit="1" customWidth="1"/>
    <col min="12558" max="12801" width="6.81640625" style="3"/>
    <col min="12802" max="12802" width="3.81640625" style="3" bestFit="1" customWidth="1"/>
    <col min="12803" max="12803" width="21.26953125" style="3" customWidth="1"/>
    <col min="12804" max="12804" width="6.81640625" style="3" bestFit="1" customWidth="1"/>
    <col min="12805" max="12805" width="10.26953125" style="3" bestFit="1" customWidth="1"/>
    <col min="12806" max="12806" width="10.7265625" style="3" customWidth="1"/>
    <col min="12807" max="12807" width="11.26953125" style="3" customWidth="1"/>
    <col min="12808" max="12808" width="12.81640625" style="3" bestFit="1" customWidth="1"/>
    <col min="12809" max="12810" width="15.81640625" style="3" bestFit="1" customWidth="1"/>
    <col min="12811" max="12811" width="3.26953125" style="3" customWidth="1"/>
    <col min="12812" max="12812" width="11.453125" style="3" customWidth="1"/>
    <col min="12813" max="12813" width="11.26953125" style="3" bestFit="1" customWidth="1"/>
    <col min="12814" max="13057" width="6.81640625" style="3"/>
    <col min="13058" max="13058" width="3.81640625" style="3" bestFit="1" customWidth="1"/>
    <col min="13059" max="13059" width="21.26953125" style="3" customWidth="1"/>
    <col min="13060" max="13060" width="6.81640625" style="3" bestFit="1" customWidth="1"/>
    <col min="13061" max="13061" width="10.26953125" style="3" bestFit="1" customWidth="1"/>
    <col min="13062" max="13062" width="10.7265625" style="3" customWidth="1"/>
    <col min="13063" max="13063" width="11.26953125" style="3" customWidth="1"/>
    <col min="13064" max="13064" width="12.81640625" style="3" bestFit="1" customWidth="1"/>
    <col min="13065" max="13066" width="15.81640625" style="3" bestFit="1" customWidth="1"/>
    <col min="13067" max="13067" width="3.26953125" style="3" customWidth="1"/>
    <col min="13068" max="13068" width="11.453125" style="3" customWidth="1"/>
    <col min="13069" max="13069" width="11.26953125" style="3" bestFit="1" customWidth="1"/>
    <col min="13070" max="13313" width="6.81640625" style="3"/>
    <col min="13314" max="13314" width="3.81640625" style="3" bestFit="1" customWidth="1"/>
    <col min="13315" max="13315" width="21.26953125" style="3" customWidth="1"/>
    <col min="13316" max="13316" width="6.81640625" style="3" bestFit="1" customWidth="1"/>
    <col min="13317" max="13317" width="10.26953125" style="3" bestFit="1" customWidth="1"/>
    <col min="13318" max="13318" width="10.7265625" style="3" customWidth="1"/>
    <col min="13319" max="13319" width="11.26953125" style="3" customWidth="1"/>
    <col min="13320" max="13320" width="12.81640625" style="3" bestFit="1" customWidth="1"/>
    <col min="13321" max="13322" width="15.81640625" style="3" bestFit="1" customWidth="1"/>
    <col min="13323" max="13323" width="3.26953125" style="3" customWidth="1"/>
    <col min="13324" max="13324" width="11.453125" style="3" customWidth="1"/>
    <col min="13325" max="13325" width="11.26953125" style="3" bestFit="1" customWidth="1"/>
    <col min="13326" max="13569" width="6.81640625" style="3"/>
    <col min="13570" max="13570" width="3.81640625" style="3" bestFit="1" customWidth="1"/>
    <col min="13571" max="13571" width="21.26953125" style="3" customWidth="1"/>
    <col min="13572" max="13572" width="6.81640625" style="3" bestFit="1" customWidth="1"/>
    <col min="13573" max="13573" width="10.26953125" style="3" bestFit="1" customWidth="1"/>
    <col min="13574" max="13574" width="10.7265625" style="3" customWidth="1"/>
    <col min="13575" max="13575" width="11.26953125" style="3" customWidth="1"/>
    <col min="13576" max="13576" width="12.81640625" style="3" bestFit="1" customWidth="1"/>
    <col min="13577" max="13578" width="15.81640625" style="3" bestFit="1" customWidth="1"/>
    <col min="13579" max="13579" width="3.26953125" style="3" customWidth="1"/>
    <col min="13580" max="13580" width="11.453125" style="3" customWidth="1"/>
    <col min="13581" max="13581" width="11.26953125" style="3" bestFit="1" customWidth="1"/>
    <col min="13582" max="13825" width="6.81640625" style="3"/>
    <col min="13826" max="13826" width="3.81640625" style="3" bestFit="1" customWidth="1"/>
    <col min="13827" max="13827" width="21.26953125" style="3" customWidth="1"/>
    <col min="13828" max="13828" width="6.81640625" style="3" bestFit="1" customWidth="1"/>
    <col min="13829" max="13829" width="10.26953125" style="3" bestFit="1" customWidth="1"/>
    <col min="13830" max="13830" width="10.7265625" style="3" customWidth="1"/>
    <col min="13831" max="13831" width="11.26953125" style="3" customWidth="1"/>
    <col min="13832" max="13832" width="12.81640625" style="3" bestFit="1" customWidth="1"/>
    <col min="13833" max="13834" width="15.81640625" style="3" bestFit="1" customWidth="1"/>
    <col min="13835" max="13835" width="3.26953125" style="3" customWidth="1"/>
    <col min="13836" max="13836" width="11.453125" style="3" customWidth="1"/>
    <col min="13837" max="13837" width="11.26953125" style="3" bestFit="1" customWidth="1"/>
    <col min="13838" max="14081" width="6.81640625" style="3"/>
    <col min="14082" max="14082" width="3.81640625" style="3" bestFit="1" customWidth="1"/>
    <col min="14083" max="14083" width="21.26953125" style="3" customWidth="1"/>
    <col min="14084" max="14084" width="6.81640625" style="3" bestFit="1" customWidth="1"/>
    <col min="14085" max="14085" width="10.26953125" style="3" bestFit="1" customWidth="1"/>
    <col min="14086" max="14086" width="10.7265625" style="3" customWidth="1"/>
    <col min="14087" max="14087" width="11.26953125" style="3" customWidth="1"/>
    <col min="14088" max="14088" width="12.81640625" style="3" bestFit="1" customWidth="1"/>
    <col min="14089" max="14090" width="15.81640625" style="3" bestFit="1" customWidth="1"/>
    <col min="14091" max="14091" width="3.26953125" style="3" customWidth="1"/>
    <col min="14092" max="14092" width="11.453125" style="3" customWidth="1"/>
    <col min="14093" max="14093" width="11.26953125" style="3" bestFit="1" customWidth="1"/>
    <col min="14094" max="14337" width="6.81640625" style="3"/>
    <col min="14338" max="14338" width="3.81640625" style="3" bestFit="1" customWidth="1"/>
    <col min="14339" max="14339" width="21.26953125" style="3" customWidth="1"/>
    <col min="14340" max="14340" width="6.81640625" style="3" bestFit="1" customWidth="1"/>
    <col min="14341" max="14341" width="10.26953125" style="3" bestFit="1" customWidth="1"/>
    <col min="14342" max="14342" width="10.7265625" style="3" customWidth="1"/>
    <col min="14343" max="14343" width="11.26953125" style="3" customWidth="1"/>
    <col min="14344" max="14344" width="12.81640625" style="3" bestFit="1" customWidth="1"/>
    <col min="14345" max="14346" width="15.81640625" style="3" bestFit="1" customWidth="1"/>
    <col min="14347" max="14347" width="3.26953125" style="3" customWidth="1"/>
    <col min="14348" max="14348" width="11.453125" style="3" customWidth="1"/>
    <col min="14349" max="14349" width="11.26953125" style="3" bestFit="1" customWidth="1"/>
    <col min="14350" max="14593" width="6.81640625" style="3"/>
    <col min="14594" max="14594" width="3.81640625" style="3" bestFit="1" customWidth="1"/>
    <col min="14595" max="14595" width="21.26953125" style="3" customWidth="1"/>
    <col min="14596" max="14596" width="6.81640625" style="3" bestFit="1" customWidth="1"/>
    <col min="14597" max="14597" width="10.26953125" style="3" bestFit="1" customWidth="1"/>
    <col min="14598" max="14598" width="10.7265625" style="3" customWidth="1"/>
    <col min="14599" max="14599" width="11.26953125" style="3" customWidth="1"/>
    <col min="14600" max="14600" width="12.81640625" style="3" bestFit="1" customWidth="1"/>
    <col min="14601" max="14602" width="15.81640625" style="3" bestFit="1" customWidth="1"/>
    <col min="14603" max="14603" width="3.26953125" style="3" customWidth="1"/>
    <col min="14604" max="14604" width="11.453125" style="3" customWidth="1"/>
    <col min="14605" max="14605" width="11.26953125" style="3" bestFit="1" customWidth="1"/>
    <col min="14606" max="14849" width="6.81640625" style="3"/>
    <col min="14850" max="14850" width="3.81640625" style="3" bestFit="1" customWidth="1"/>
    <col min="14851" max="14851" width="21.26953125" style="3" customWidth="1"/>
    <col min="14852" max="14852" width="6.81640625" style="3" bestFit="1" customWidth="1"/>
    <col min="14853" max="14853" width="10.26953125" style="3" bestFit="1" customWidth="1"/>
    <col min="14854" max="14854" width="10.7265625" style="3" customWidth="1"/>
    <col min="14855" max="14855" width="11.26953125" style="3" customWidth="1"/>
    <col min="14856" max="14856" width="12.81640625" style="3" bestFit="1" customWidth="1"/>
    <col min="14857" max="14858" width="15.81640625" style="3" bestFit="1" customWidth="1"/>
    <col min="14859" max="14859" width="3.26953125" style="3" customWidth="1"/>
    <col min="14860" max="14860" width="11.453125" style="3" customWidth="1"/>
    <col min="14861" max="14861" width="11.26953125" style="3" bestFit="1" customWidth="1"/>
    <col min="14862" max="15105" width="6.81640625" style="3"/>
    <col min="15106" max="15106" width="3.81640625" style="3" bestFit="1" customWidth="1"/>
    <col min="15107" max="15107" width="21.26953125" style="3" customWidth="1"/>
    <col min="15108" max="15108" width="6.81640625" style="3" bestFit="1" customWidth="1"/>
    <col min="15109" max="15109" width="10.26953125" style="3" bestFit="1" customWidth="1"/>
    <col min="15110" max="15110" width="10.7265625" style="3" customWidth="1"/>
    <col min="15111" max="15111" width="11.26953125" style="3" customWidth="1"/>
    <col min="15112" max="15112" width="12.81640625" style="3" bestFit="1" customWidth="1"/>
    <col min="15113" max="15114" width="15.81640625" style="3" bestFit="1" customWidth="1"/>
    <col min="15115" max="15115" width="3.26953125" style="3" customWidth="1"/>
    <col min="15116" max="15116" width="11.453125" style="3" customWidth="1"/>
    <col min="15117" max="15117" width="11.26953125" style="3" bestFit="1" customWidth="1"/>
    <col min="15118" max="15361" width="6.81640625" style="3"/>
    <col min="15362" max="15362" width="3.81640625" style="3" bestFit="1" customWidth="1"/>
    <col min="15363" max="15363" width="21.26953125" style="3" customWidth="1"/>
    <col min="15364" max="15364" width="6.81640625" style="3" bestFit="1" customWidth="1"/>
    <col min="15365" max="15365" width="10.26953125" style="3" bestFit="1" customWidth="1"/>
    <col min="15366" max="15366" width="10.7265625" style="3" customWidth="1"/>
    <col min="15367" max="15367" width="11.26953125" style="3" customWidth="1"/>
    <col min="15368" max="15368" width="12.81640625" style="3" bestFit="1" customWidth="1"/>
    <col min="15369" max="15370" width="15.81640625" style="3" bestFit="1" customWidth="1"/>
    <col min="15371" max="15371" width="3.26953125" style="3" customWidth="1"/>
    <col min="15372" max="15372" width="11.453125" style="3" customWidth="1"/>
    <col min="15373" max="15373" width="11.26953125" style="3" bestFit="1" customWidth="1"/>
    <col min="15374" max="15617" width="6.81640625" style="3"/>
    <col min="15618" max="15618" width="3.81640625" style="3" bestFit="1" customWidth="1"/>
    <col min="15619" max="15619" width="21.26953125" style="3" customWidth="1"/>
    <col min="15620" max="15620" width="6.81640625" style="3" bestFit="1" customWidth="1"/>
    <col min="15621" max="15621" width="10.26953125" style="3" bestFit="1" customWidth="1"/>
    <col min="15622" max="15622" width="10.7265625" style="3" customWidth="1"/>
    <col min="15623" max="15623" width="11.26953125" style="3" customWidth="1"/>
    <col min="15624" max="15624" width="12.81640625" style="3" bestFit="1" customWidth="1"/>
    <col min="15625" max="15626" width="15.81640625" style="3" bestFit="1" customWidth="1"/>
    <col min="15627" max="15627" width="3.26953125" style="3" customWidth="1"/>
    <col min="15628" max="15628" width="11.453125" style="3" customWidth="1"/>
    <col min="15629" max="15629" width="11.26953125" style="3" bestFit="1" customWidth="1"/>
    <col min="15630" max="15873" width="6.81640625" style="3"/>
    <col min="15874" max="15874" width="3.81640625" style="3" bestFit="1" customWidth="1"/>
    <col min="15875" max="15875" width="21.26953125" style="3" customWidth="1"/>
    <col min="15876" max="15876" width="6.81640625" style="3" bestFit="1" customWidth="1"/>
    <col min="15877" max="15877" width="10.26953125" style="3" bestFit="1" customWidth="1"/>
    <col min="15878" max="15878" width="10.7265625" style="3" customWidth="1"/>
    <col min="15879" max="15879" width="11.26953125" style="3" customWidth="1"/>
    <col min="15880" max="15880" width="12.81640625" style="3" bestFit="1" customWidth="1"/>
    <col min="15881" max="15882" width="15.81640625" style="3" bestFit="1" customWidth="1"/>
    <col min="15883" max="15883" width="3.26953125" style="3" customWidth="1"/>
    <col min="15884" max="15884" width="11.453125" style="3" customWidth="1"/>
    <col min="15885" max="15885" width="11.26953125" style="3" bestFit="1" customWidth="1"/>
    <col min="15886" max="16129" width="6.81640625" style="3"/>
    <col min="16130" max="16130" width="3.81640625" style="3" bestFit="1" customWidth="1"/>
    <col min="16131" max="16131" width="21.26953125" style="3" customWidth="1"/>
    <col min="16132" max="16132" width="6.81640625" style="3" bestFit="1" customWidth="1"/>
    <col min="16133" max="16133" width="10.26953125" style="3" bestFit="1" customWidth="1"/>
    <col min="16134" max="16134" width="10.7265625" style="3" customWidth="1"/>
    <col min="16135" max="16135" width="11.26953125" style="3" customWidth="1"/>
    <col min="16136" max="16136" width="12.81640625" style="3" bestFit="1" customWidth="1"/>
    <col min="16137" max="16138" width="15.81640625" style="3" bestFit="1" customWidth="1"/>
    <col min="16139" max="16139" width="3.26953125" style="3" customWidth="1"/>
    <col min="16140" max="16140" width="11.453125" style="3" customWidth="1"/>
    <col min="16141" max="16141" width="11.26953125" style="3" bestFit="1" customWidth="1"/>
    <col min="16142" max="16384" width="6.81640625" style="3"/>
  </cols>
  <sheetData>
    <row r="1" spans="1:130" s="1" customFormat="1" ht="10.5" x14ac:dyDescent="0.25">
      <c r="A1" s="1" t="s">
        <v>80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0" ht="10.5" x14ac:dyDescent="0.25">
      <c r="A2" s="1" t="s">
        <v>0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0" ht="10.5" x14ac:dyDescent="0.25">
      <c r="A3" s="4" t="s">
        <v>1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0" ht="10.5" x14ac:dyDescent="0.25">
      <c r="B4" s="6"/>
      <c r="C4" s="6"/>
      <c r="D4" s="6"/>
      <c r="H4" s="9"/>
      <c r="I4" s="9"/>
      <c r="J4" s="9"/>
      <c r="K4" s="9"/>
      <c r="L4" s="9"/>
      <c r="M4" s="9"/>
    </row>
    <row r="5" spans="1:130" ht="12.5" x14ac:dyDescent="0.25">
      <c r="B5" s="10" t="s">
        <v>81</v>
      </c>
      <c r="D5" s="11" t="s">
        <v>2</v>
      </c>
      <c r="E5" s="2" t="s">
        <v>3</v>
      </c>
      <c r="F5" s="2" t="s">
        <v>3</v>
      </c>
      <c r="G5" s="9" t="s">
        <v>4</v>
      </c>
      <c r="H5" s="9" t="s">
        <v>5</v>
      </c>
      <c r="I5" s="9" t="s">
        <v>5</v>
      </c>
      <c r="J5" s="9" t="s">
        <v>6</v>
      </c>
      <c r="K5" s="12"/>
      <c r="L5" s="12"/>
      <c r="M5" s="12"/>
      <c r="N5" s="12"/>
      <c r="O5" s="12"/>
    </row>
    <row r="6" spans="1:130" s="2" customFormat="1" ht="12.5" x14ac:dyDescent="0.25">
      <c r="A6" s="2" t="s">
        <v>7</v>
      </c>
      <c r="B6" s="2" t="s">
        <v>8</v>
      </c>
      <c r="C6" s="2" t="s">
        <v>9</v>
      </c>
      <c r="D6" s="11" t="s">
        <v>10</v>
      </c>
      <c r="E6" s="2" t="s">
        <v>11</v>
      </c>
      <c r="F6" s="2" t="s">
        <v>11</v>
      </c>
      <c r="G6" s="9" t="s">
        <v>12</v>
      </c>
      <c r="H6" s="9" t="s">
        <v>13</v>
      </c>
      <c r="I6" s="9" t="s">
        <v>13</v>
      </c>
      <c r="J6" s="9" t="s">
        <v>13</v>
      </c>
      <c r="K6" s="12"/>
      <c r="L6" s="12"/>
      <c r="M6" s="12"/>
      <c r="N6" s="12"/>
      <c r="O6" s="12"/>
    </row>
    <row r="7" spans="1:130" s="2" customFormat="1" ht="12.5" x14ac:dyDescent="0.25">
      <c r="D7" s="11" t="s">
        <v>11</v>
      </c>
      <c r="E7" s="2" t="s">
        <v>14</v>
      </c>
      <c r="F7" s="2" t="s">
        <v>15</v>
      </c>
      <c r="G7" s="9"/>
      <c r="H7" s="9"/>
      <c r="I7" s="9" t="s">
        <v>78</v>
      </c>
      <c r="J7" s="9"/>
      <c r="K7" s="12"/>
      <c r="L7" s="12"/>
      <c r="M7" s="12"/>
      <c r="N7" s="12"/>
      <c r="O7" s="12"/>
    </row>
    <row r="8" spans="1:130" s="2" customFormat="1" ht="12.5" x14ac:dyDescent="0.25">
      <c r="D8" s="13"/>
      <c r="E8" s="14"/>
      <c r="F8" s="14"/>
      <c r="G8" s="13"/>
      <c r="K8" s="12"/>
      <c r="L8" s="12"/>
      <c r="M8" s="12"/>
      <c r="N8" s="12"/>
      <c r="O8" s="12"/>
    </row>
    <row r="9" spans="1:130" s="16" customFormat="1" ht="12.5" x14ac:dyDescent="0.25">
      <c r="A9" s="15" t="s">
        <v>16</v>
      </c>
      <c r="B9" s="16" t="s">
        <v>17</v>
      </c>
      <c r="C9" s="17" t="s">
        <v>18</v>
      </c>
      <c r="D9" s="18">
        <f>'[1]Billing Units'!$D$9+'[2]Billing Units'!$D$9</f>
        <v>876553</v>
      </c>
      <c r="E9" s="18">
        <f>ROUND(D9*12,0)</f>
        <v>10518636</v>
      </c>
      <c r="F9" s="18">
        <f>E9</f>
        <v>10518636</v>
      </c>
      <c r="G9" s="18">
        <f>'[1]Billing Units'!$G$9+'[2]Billing Units'!$G$9</f>
        <v>11997181582.389523</v>
      </c>
      <c r="H9" s="18">
        <f>G9</f>
        <v>11997181582.389523</v>
      </c>
      <c r="I9" s="18"/>
      <c r="J9" s="18">
        <f>G9</f>
        <v>11997181582.389523</v>
      </c>
      <c r="K9" s="12"/>
      <c r="L9" s="12"/>
      <c r="M9" s="12"/>
      <c r="N9" s="12"/>
      <c r="O9" s="12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</row>
    <row r="10" spans="1:130" s="16" customFormat="1" ht="12.5" x14ac:dyDescent="0.25">
      <c r="C10" s="17"/>
      <c r="D10" s="20"/>
      <c r="E10" s="20"/>
      <c r="F10" s="20"/>
      <c r="G10" s="20"/>
      <c r="H10" s="20"/>
      <c r="I10" s="20"/>
      <c r="J10" s="20"/>
      <c r="K10" s="12"/>
      <c r="L10" s="12"/>
      <c r="M10" s="12"/>
      <c r="N10" s="12"/>
      <c r="O10" s="12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</row>
    <row r="11" spans="1:130" s="16" customFormat="1" ht="12.5" x14ac:dyDescent="0.25">
      <c r="A11" s="15">
        <v>2</v>
      </c>
      <c r="B11" s="16" t="s">
        <v>19</v>
      </c>
      <c r="C11" s="17" t="s">
        <v>18</v>
      </c>
      <c r="D11" s="18">
        <f>'[1]Billing Units'!$D$11+'[2]Billing Units'!$D$11</f>
        <v>89158</v>
      </c>
      <c r="E11" s="18">
        <f>ROUND(D11*12,0)</f>
        <v>1069896</v>
      </c>
      <c r="F11" s="18">
        <f>'[1]Billing Units'!$F$11+'[2]Billing Units'!$F$11</f>
        <v>1037676</v>
      </c>
      <c r="G11" s="18">
        <f>'[1]Billing Units'!$G$11+'[2]Billing Units'!$G$11</f>
        <v>579303384.19882727</v>
      </c>
      <c r="H11" s="18">
        <f>G11</f>
        <v>579303384.19882727</v>
      </c>
      <c r="I11" s="18"/>
      <c r="J11" s="18">
        <f>G11</f>
        <v>579303384.19882727</v>
      </c>
      <c r="K11" s="12"/>
      <c r="L11" s="19"/>
      <c r="M11" s="19"/>
      <c r="N11" s="12"/>
      <c r="O11" s="12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</row>
    <row r="12" spans="1:130" s="16" customFormat="1" ht="12.5" x14ac:dyDescent="0.25">
      <c r="A12" s="15"/>
      <c r="C12" s="17"/>
      <c r="D12" s="18"/>
      <c r="E12" s="18"/>
      <c r="F12" s="18"/>
      <c r="G12" s="21"/>
      <c r="H12" s="18"/>
      <c r="I12" s="18"/>
      <c r="J12" s="18"/>
      <c r="K12" s="12"/>
      <c r="L12" s="19"/>
      <c r="M12" s="19"/>
      <c r="N12" s="12"/>
      <c r="O12" s="12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</row>
    <row r="13" spans="1:130" s="16" customFormat="1" ht="12.5" x14ac:dyDescent="0.25">
      <c r="A13" s="15">
        <v>3</v>
      </c>
      <c r="B13" s="16" t="s">
        <v>20</v>
      </c>
      <c r="C13" s="22" t="s">
        <v>18</v>
      </c>
      <c r="D13" s="18">
        <f>'[1]Billing Units'!$D$13+'[2]Billing Units'!$D$13</f>
        <v>72592</v>
      </c>
      <c r="E13" s="18">
        <f>ROUND(D13*12,0)</f>
        <v>871104</v>
      </c>
      <c r="F13" s="18">
        <f>E13</f>
        <v>871104</v>
      </c>
      <c r="G13" s="18">
        <f>'[1]Billing Units'!$G$13+'[2]Billing Units'!$G$13</f>
        <v>8070369751.1324873</v>
      </c>
      <c r="H13" s="18">
        <f>'[1]Billing Units'!$H$13+'[2]Billing Units'!$H$13</f>
        <v>33775905.773401953</v>
      </c>
      <c r="I13" s="18">
        <f>'[1]Billing Units'!$I$13+'[2]Billing Units'!$I$13</f>
        <v>29321712.193442792</v>
      </c>
      <c r="J13" s="18">
        <f>'[1]Billing Units'!$J$13+'[2]Billing Units'!$J$13</f>
        <v>29307091.499536801</v>
      </c>
      <c r="K13" s="12"/>
      <c r="L13" s="23"/>
      <c r="M13" s="23"/>
      <c r="N13" s="12"/>
      <c r="O13" s="12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</row>
    <row r="14" spans="1:130" s="16" customFormat="1" ht="12.5" x14ac:dyDescent="0.25">
      <c r="A14" s="15">
        <v>4</v>
      </c>
      <c r="B14" s="16" t="s">
        <v>21</v>
      </c>
      <c r="C14" s="22" t="s">
        <v>18</v>
      </c>
      <c r="D14" s="24">
        <f>'[1]Billing Units'!$D$14+'[2]Billing Units'!$D$14</f>
        <v>478</v>
      </c>
      <c r="E14" s="24">
        <f>ROUND(D14*12,0)</f>
        <v>5736</v>
      </c>
      <c r="F14" s="24">
        <f>E14</f>
        <v>5736</v>
      </c>
      <c r="G14" s="24">
        <f>'[1]Billing Units'!$G$14+'[2]Billing Units'!$G$14</f>
        <v>1175900707.7542794</v>
      </c>
      <c r="H14" s="24">
        <f>'[1]Billing Units'!$H$14+'[2]Billing Units'!$H$14</f>
        <v>3358359.9819950378</v>
      </c>
      <c r="I14" s="24">
        <f>'[1]Billing Units'!$I$14+'[2]Billing Units'!$I$14</f>
        <v>3041755.6757350108</v>
      </c>
      <c r="J14" s="24">
        <f>'[1]Billing Units'!$J$14+'[2]Billing Units'!$J$14</f>
        <v>2191434.0324172671</v>
      </c>
      <c r="K14" s="12"/>
      <c r="L14" s="23"/>
      <c r="M14" s="23"/>
      <c r="N14" s="12"/>
      <c r="O14" s="12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</row>
    <row r="15" spans="1:130" s="16" customFormat="1" ht="12.5" x14ac:dyDescent="0.25">
      <c r="A15" s="15">
        <v>5</v>
      </c>
      <c r="B15" s="25" t="s">
        <v>22</v>
      </c>
      <c r="C15" s="17"/>
      <c r="D15" s="8">
        <f t="shared" ref="D15:J15" si="0">SUM(D13:D14)</f>
        <v>73070</v>
      </c>
      <c r="E15" s="8">
        <f t="shared" si="0"/>
        <v>876840</v>
      </c>
      <c r="F15" s="8">
        <f t="shared" si="0"/>
        <v>876840</v>
      </c>
      <c r="G15" s="8">
        <f t="shared" si="0"/>
        <v>9246270458.8867664</v>
      </c>
      <c r="H15" s="8">
        <f t="shared" si="0"/>
        <v>37134265.755396992</v>
      </c>
      <c r="I15" s="8">
        <f>I13+I14</f>
        <v>32363467.869177803</v>
      </c>
      <c r="J15" s="8">
        <f t="shared" si="0"/>
        <v>31498525.531954069</v>
      </c>
      <c r="K15" s="12"/>
      <c r="L15" s="23"/>
      <c r="M15" s="23"/>
      <c r="N15" s="12"/>
      <c r="O15" s="12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</row>
    <row r="16" spans="1:130" s="16" customFormat="1" ht="12.5" x14ac:dyDescent="0.25">
      <c r="B16" s="26"/>
      <c r="C16" s="17"/>
      <c r="D16" s="8"/>
      <c r="E16" s="8"/>
      <c r="F16" s="8"/>
      <c r="G16" s="27"/>
      <c r="H16" s="8"/>
      <c r="I16" s="8"/>
      <c r="J16" s="8"/>
      <c r="K16" s="12"/>
      <c r="L16" s="28"/>
      <c r="M16" s="28"/>
      <c r="N16" s="12"/>
      <c r="O16" s="1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</row>
    <row r="17" spans="1:130" s="16" customFormat="1" ht="12.5" x14ac:dyDescent="0.25">
      <c r="A17" s="15">
        <v>6</v>
      </c>
      <c r="B17" s="16" t="s">
        <v>23</v>
      </c>
      <c r="C17" s="22" t="s">
        <v>24</v>
      </c>
      <c r="D17" s="18">
        <f>'[1]Billing Units'!$D$17+'[2]Billing Units'!$D$17</f>
        <v>574</v>
      </c>
      <c r="E17" s="18">
        <f>ROUND(D17*12,0)</f>
        <v>6888</v>
      </c>
      <c r="F17" s="18">
        <f>E17</f>
        <v>6888</v>
      </c>
      <c r="G17" s="18">
        <f>'[1]Billing Units'!$G$17+'[2]Billing Units'!$G$17</f>
        <v>306051569.29274094</v>
      </c>
      <c r="H17" s="18">
        <f>'[1]Billing Units'!$H$17+'[2]Billing Units'!$H$17</f>
        <v>958871.29445963749</v>
      </c>
      <c r="I17" s="18"/>
      <c r="J17" s="18">
        <f>'[1]Billing Units'!$J$17+'[2]Billing Units'!$J$17</f>
        <v>806479.37155442196</v>
      </c>
      <c r="K17" s="12"/>
      <c r="L17" s="23"/>
      <c r="M17" s="23"/>
      <c r="N17" s="12"/>
      <c r="O17" s="12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</row>
    <row r="18" spans="1:130" s="16" customFormat="1" ht="12.5" x14ac:dyDescent="0.25">
      <c r="A18" s="15">
        <v>7</v>
      </c>
      <c r="B18" s="16" t="s">
        <v>25</v>
      </c>
      <c r="C18" s="22" t="s">
        <v>24</v>
      </c>
      <c r="D18" s="24">
        <f>'[1]Billing Units'!$D$18+'[2]Billing Units'!$D$18</f>
        <v>471</v>
      </c>
      <c r="E18" s="24">
        <f>ROUND(D18*12,0)</f>
        <v>5652</v>
      </c>
      <c r="F18" s="24">
        <f>E18</f>
        <v>5652</v>
      </c>
      <c r="G18" s="24">
        <f>'[1]Billing Units'!$G$18+'[2]Billing Units'!$G$18</f>
        <v>4083695118.2446184</v>
      </c>
      <c r="H18" s="24">
        <f>'[1]Billing Units'!$H$18+'[2]Billing Units'!$H$18</f>
        <v>9502752.0383344609</v>
      </c>
      <c r="I18" s="24"/>
      <c r="J18" s="122">
        <f>'[1]Billing Units'!$J$18+'[2]Billing Units'!$J$18</f>
        <v>6724400.4367353208</v>
      </c>
      <c r="K18" s="12"/>
      <c r="L18" s="23"/>
      <c r="M18" s="23"/>
      <c r="N18" s="12"/>
      <c r="O18" s="12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</row>
    <row r="19" spans="1:130" s="16" customFormat="1" ht="12.5" x14ac:dyDescent="0.25">
      <c r="A19" s="15">
        <v>8</v>
      </c>
      <c r="B19" s="16" t="s">
        <v>26</v>
      </c>
      <c r="C19" s="22"/>
      <c r="D19" s="18">
        <f t="shared" ref="D19:J19" si="1">SUM(D17:D18)</f>
        <v>1045</v>
      </c>
      <c r="E19" s="18">
        <f t="shared" si="1"/>
        <v>12540</v>
      </c>
      <c r="F19" s="18">
        <f t="shared" si="1"/>
        <v>12540</v>
      </c>
      <c r="G19" s="18">
        <f t="shared" si="1"/>
        <v>4389746687.5373592</v>
      </c>
      <c r="H19" s="18">
        <f t="shared" si="1"/>
        <v>10461623.332794098</v>
      </c>
      <c r="I19" s="18"/>
      <c r="J19" s="18">
        <f t="shared" si="1"/>
        <v>7530879.808289743</v>
      </c>
      <c r="K19" s="12"/>
      <c r="L19" s="23"/>
      <c r="M19" s="23"/>
      <c r="N19" s="12"/>
      <c r="O19" s="12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</row>
    <row r="20" spans="1:130" s="16" customFormat="1" ht="12.5" x14ac:dyDescent="0.25">
      <c r="A20" s="15"/>
      <c r="C20" s="22"/>
      <c r="D20" s="18"/>
      <c r="E20" s="21"/>
      <c r="F20" s="18"/>
      <c r="G20" s="18"/>
      <c r="H20" s="18"/>
      <c r="I20" s="18"/>
      <c r="J20" s="18"/>
      <c r="K20" s="12"/>
      <c r="L20" s="28"/>
      <c r="M20" s="28"/>
      <c r="N20" s="12"/>
      <c r="O20" s="12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</row>
    <row r="21" spans="1:130" s="16" customFormat="1" ht="12.5" x14ac:dyDescent="0.25">
      <c r="A21" s="15">
        <v>9</v>
      </c>
      <c r="B21" s="25" t="s">
        <v>27</v>
      </c>
      <c r="C21" s="22" t="s">
        <v>28</v>
      </c>
      <c r="D21" s="29">
        <f>'[1]Billing Units'!$D$21+'[2]Billing Units'!$D$21</f>
        <v>85</v>
      </c>
      <c r="E21" s="18">
        <f>ROUND(D21*12,0)</f>
        <v>1020</v>
      </c>
      <c r="F21" s="18">
        <f>E21</f>
        <v>1020</v>
      </c>
      <c r="G21" s="18">
        <f>'[1]Billing Units'!$G$21+'[2]Billing Units'!$G$21</f>
        <v>5744996908.4980383</v>
      </c>
      <c r="H21" s="18">
        <f>'[1]Billing Units'!$H$21+'[2]Billing Units'!$H$21</f>
        <v>16829577.839506447</v>
      </c>
      <c r="I21" s="18"/>
      <c r="J21" s="18">
        <f>'[1]Billing Units'!$J$21+'[2]Billing Units'!$J$21</f>
        <v>6571184.2405388178</v>
      </c>
      <c r="K21" s="12"/>
      <c r="L21" s="30"/>
      <c r="M21" s="28"/>
      <c r="N21" s="12"/>
      <c r="O21" s="12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</row>
    <row r="22" spans="1:130" s="16" customFormat="1" ht="12.5" x14ac:dyDescent="0.25">
      <c r="C22" s="17"/>
      <c r="D22" s="8"/>
      <c r="E22" s="8"/>
      <c r="F22" s="8"/>
      <c r="G22" s="8"/>
      <c r="H22" s="18"/>
      <c r="I22" s="18"/>
      <c r="J22" s="18"/>
      <c r="K22" s="12"/>
      <c r="L22" s="28"/>
      <c r="M22" s="28"/>
      <c r="N22" s="12"/>
      <c r="O22" s="12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</row>
    <row r="23" spans="1:130" s="16" customFormat="1" ht="12.5" x14ac:dyDescent="0.25">
      <c r="A23" s="15">
        <v>10</v>
      </c>
      <c r="B23" s="19" t="s">
        <v>29</v>
      </c>
      <c r="C23" s="22" t="s">
        <v>18</v>
      </c>
      <c r="D23" s="18">
        <f>'[1]Billing Units'!$D$23+'[2]Billing Units'!$D$23</f>
        <v>220232</v>
      </c>
      <c r="E23" s="29">
        <f>22476+5136</f>
        <v>27612</v>
      </c>
      <c r="F23" s="18">
        <v>0</v>
      </c>
      <c r="G23" s="18">
        <f>+'[2]Billing Units'!$G$23+'[1]Billing Units'!$G$23</f>
        <v>262226045.43853968</v>
      </c>
      <c r="H23" s="18">
        <f>G23</f>
        <v>262226045.43853968</v>
      </c>
      <c r="I23" s="18"/>
      <c r="J23" s="18">
        <f>G23</f>
        <v>262226045.43853968</v>
      </c>
      <c r="K23" s="12"/>
      <c r="L23" s="23"/>
      <c r="M23" s="28"/>
      <c r="N23" s="12"/>
      <c r="O23" s="12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</row>
    <row r="24" spans="1:130" s="16" customFormat="1" ht="12.5" x14ac:dyDescent="0.25">
      <c r="A24" s="15"/>
      <c r="C24" s="17"/>
      <c r="D24" s="8"/>
      <c r="E24" s="8"/>
      <c r="F24" s="8"/>
      <c r="G24" s="8"/>
      <c r="H24" s="8"/>
      <c r="I24" s="8"/>
      <c r="J24" s="8"/>
      <c r="K24" s="12"/>
      <c r="L24" s="31"/>
      <c r="M24" s="28"/>
      <c r="N24" s="12"/>
      <c r="O24" s="12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</row>
    <row r="25" spans="1:130" s="16" customFormat="1" ht="12.5" x14ac:dyDescent="0.25">
      <c r="A25" s="15">
        <v>11</v>
      </c>
      <c r="B25" s="32" t="s">
        <v>30</v>
      </c>
      <c r="C25" s="33"/>
      <c r="D25" s="34">
        <f>D9+D11+D15+D19+D21+D23</f>
        <v>1260143</v>
      </c>
      <c r="E25" s="34">
        <f>E9+E11+E15+E19+E21+E23</f>
        <v>12506544</v>
      </c>
      <c r="F25" s="34">
        <f>F9+F11+F15+F19+F21+F23</f>
        <v>12446712</v>
      </c>
      <c r="G25" s="34">
        <f>G23+G21+G19+G15+G11+G9</f>
        <v>32219725066.949051</v>
      </c>
      <c r="H25" s="12"/>
      <c r="I25" s="12"/>
      <c r="J25" s="12"/>
      <c r="K25" s="12"/>
      <c r="L25" s="23"/>
      <c r="M25" s="23"/>
      <c r="N25" s="12"/>
      <c r="O25" s="12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</row>
    <row r="26" spans="1:130" s="16" customFormat="1" ht="12.5" x14ac:dyDescent="0.25">
      <c r="B26" s="33"/>
      <c r="C26" s="33"/>
      <c r="D26" s="35"/>
      <c r="E26" s="35"/>
      <c r="F26" s="35"/>
      <c r="G26" s="35"/>
      <c r="H26" s="35"/>
      <c r="I26" s="35"/>
      <c r="J26" s="35"/>
      <c r="K26" s="12"/>
      <c r="L26" s="12"/>
      <c r="M26" s="12"/>
      <c r="N26" s="12"/>
      <c r="O26" s="12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</row>
    <row r="27" spans="1:130" s="16" customFormat="1" ht="12.5" x14ac:dyDescent="0.25">
      <c r="A27" s="12"/>
      <c r="B27" s="12" t="s">
        <v>31</v>
      </c>
      <c r="C27" s="12"/>
      <c r="D27" s="12"/>
      <c r="E27" s="38"/>
      <c r="F27" s="36"/>
      <c r="G27" s="37"/>
      <c r="H27" s="12"/>
      <c r="I27" s="12"/>
      <c r="J27" s="12"/>
      <c r="K27" s="12"/>
      <c r="L27" s="12"/>
      <c r="M27" s="12"/>
      <c r="N27" s="12"/>
      <c r="O27" s="12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</row>
    <row r="28" spans="1:130" s="16" customFormat="1" ht="12.5" x14ac:dyDescent="0.25">
      <c r="A28" s="12"/>
      <c r="C28" s="12"/>
      <c r="D28" s="38"/>
      <c r="E28" s="38"/>
      <c r="F28" s="21"/>
      <c r="G28" s="18"/>
      <c r="H28" s="39"/>
      <c r="I28" s="39"/>
      <c r="J28" s="12"/>
      <c r="K28" s="12"/>
      <c r="L28" s="12"/>
      <c r="M28" s="12"/>
      <c r="N28" s="12"/>
      <c r="O28" s="12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</row>
    <row r="29" spans="1:130" s="16" customFormat="1" ht="12.5" x14ac:dyDescent="0.25">
      <c r="A29" s="12"/>
      <c r="C29" s="12"/>
      <c r="D29" s="12"/>
      <c r="E29" s="12"/>
      <c r="F29" s="40"/>
      <c r="G29" s="18"/>
      <c r="H29" s="39"/>
      <c r="I29" s="39"/>
      <c r="J29" s="12"/>
      <c r="K29" s="12"/>
      <c r="L29" s="12"/>
      <c r="M29" s="12"/>
      <c r="N29" s="12"/>
      <c r="O29" s="12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</row>
    <row r="30" spans="1:130" s="16" customFormat="1" ht="12.5" x14ac:dyDescent="0.25">
      <c r="A30" s="12"/>
      <c r="C30" s="12"/>
      <c r="D30" s="38"/>
      <c r="E30" s="12"/>
      <c r="F30" s="40"/>
      <c r="G30" s="18"/>
      <c r="H30" s="39"/>
      <c r="I30" s="39"/>
      <c r="J30" s="12"/>
      <c r="K30" s="41"/>
      <c r="L30" s="12"/>
      <c r="M30" s="12"/>
      <c r="N30" s="12"/>
      <c r="O30" s="12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</row>
    <row r="31" spans="1:130" s="16" customFormat="1" ht="12.5" x14ac:dyDescent="0.25">
      <c r="A31" s="12"/>
      <c r="C31" s="12"/>
      <c r="D31" s="12"/>
      <c r="E31" s="12"/>
      <c r="H31" s="12"/>
      <c r="I31" s="12"/>
      <c r="J31" s="12"/>
      <c r="K31" s="12"/>
      <c r="L31" s="12"/>
      <c r="M31" s="12"/>
      <c r="N31" s="12"/>
      <c r="O31" s="12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</row>
    <row r="32" spans="1:130" s="16" customFormat="1" ht="12.5" x14ac:dyDescent="0.25">
      <c r="A32" s="12"/>
      <c r="B32" s="12"/>
      <c r="C32" s="12"/>
      <c r="D32" s="12"/>
      <c r="E32" s="12"/>
      <c r="F32" s="12"/>
      <c r="G32" s="42"/>
      <c r="H32" s="12"/>
      <c r="I32" s="12"/>
      <c r="J32" s="12"/>
      <c r="K32" s="12"/>
      <c r="L32" s="12"/>
      <c r="M32" s="12"/>
      <c r="N32" s="12"/>
      <c r="O32" s="12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</row>
    <row r="33" spans="1:15" ht="12.5" x14ac:dyDescent="0.25">
      <c r="A33" s="12"/>
      <c r="B33" s="12"/>
      <c r="C33" s="12"/>
      <c r="D33" s="12"/>
      <c r="E33" s="12"/>
      <c r="F33" s="21"/>
      <c r="G33" s="43"/>
      <c r="H33" s="12"/>
      <c r="I33" s="12"/>
      <c r="J33" s="12"/>
      <c r="K33" s="44"/>
      <c r="L33" s="44"/>
      <c r="M33" s="12"/>
      <c r="N33" s="12"/>
      <c r="O33" s="12"/>
    </row>
    <row r="34" spans="1:15" x14ac:dyDescent="0.2">
      <c r="E34" s="45"/>
      <c r="F34" s="21"/>
      <c r="G34" s="43"/>
      <c r="H34" s="44"/>
      <c r="I34" s="44"/>
      <c r="J34" s="44"/>
      <c r="K34" s="44"/>
      <c r="L34" s="44"/>
      <c r="M34" s="44"/>
    </row>
    <row r="35" spans="1:15" x14ac:dyDescent="0.2">
      <c r="E35" s="45"/>
      <c r="F35" s="21"/>
      <c r="G35" s="35"/>
      <c r="H35" s="44"/>
      <c r="I35" s="44"/>
      <c r="J35" s="44"/>
      <c r="K35" s="44"/>
      <c r="L35" s="44"/>
      <c r="M35" s="44"/>
    </row>
    <row r="36" spans="1:15" x14ac:dyDescent="0.2">
      <c r="E36" s="45"/>
      <c r="F36" s="45"/>
      <c r="G36" s="35"/>
      <c r="H36" s="46"/>
      <c r="I36" s="46"/>
      <c r="J36" s="44"/>
      <c r="K36" s="44"/>
      <c r="L36" s="44"/>
      <c r="M36" s="44"/>
    </row>
    <row r="37" spans="1:15" x14ac:dyDescent="0.2">
      <c r="E37" s="45"/>
      <c r="F37" s="45"/>
      <c r="G37" s="35"/>
      <c r="H37" s="44"/>
      <c r="I37" s="44"/>
      <c r="J37" s="44"/>
      <c r="K37" s="44"/>
      <c r="L37" s="44"/>
      <c r="M37" s="44"/>
    </row>
    <row r="38" spans="1:15" x14ac:dyDescent="0.2">
      <c r="E38" s="45"/>
      <c r="F38" s="45"/>
      <c r="G38" s="35"/>
      <c r="H38" s="44"/>
      <c r="I38" s="44"/>
      <c r="J38" s="44"/>
      <c r="K38" s="44"/>
      <c r="L38" s="44"/>
      <c r="M38" s="44"/>
    </row>
    <row r="39" spans="1:15" x14ac:dyDescent="0.2">
      <c r="E39" s="45"/>
      <c r="F39" s="45"/>
      <c r="G39" s="35"/>
      <c r="H39" s="44"/>
      <c r="I39" s="44"/>
      <c r="J39" s="44"/>
      <c r="K39" s="44"/>
      <c r="L39" s="44"/>
      <c r="M39" s="44"/>
    </row>
    <row r="40" spans="1:15" x14ac:dyDescent="0.2">
      <c r="E40" s="45"/>
      <c r="F40" s="45"/>
      <c r="G40" s="35"/>
      <c r="H40" s="44"/>
      <c r="I40" s="44"/>
      <c r="J40" s="44"/>
      <c r="K40" s="44"/>
      <c r="L40" s="44"/>
      <c r="M40" s="44"/>
    </row>
    <row r="41" spans="1:15" x14ac:dyDescent="0.2">
      <c r="E41" s="45"/>
      <c r="F41" s="45"/>
      <c r="G41" s="35"/>
      <c r="H41" s="44"/>
      <c r="I41" s="44"/>
      <c r="J41" s="44"/>
      <c r="K41" s="44"/>
      <c r="L41" s="44"/>
      <c r="M41" s="44"/>
    </row>
    <row r="42" spans="1:15" x14ac:dyDescent="0.2">
      <c r="E42" s="45"/>
      <c r="F42" s="45"/>
      <c r="G42" s="35"/>
      <c r="H42" s="44"/>
      <c r="I42" s="44"/>
      <c r="J42" s="44"/>
      <c r="K42" s="44"/>
      <c r="L42" s="44"/>
      <c r="M42" s="44"/>
    </row>
    <row r="43" spans="1:15" x14ac:dyDescent="0.2">
      <c r="E43" s="45"/>
      <c r="F43" s="45"/>
      <c r="G43" s="35"/>
      <c r="H43" s="44"/>
      <c r="I43" s="44"/>
      <c r="J43" s="44"/>
      <c r="K43" s="44"/>
      <c r="L43" s="44"/>
      <c r="M43" s="44"/>
    </row>
    <row r="44" spans="1:15" x14ac:dyDescent="0.2">
      <c r="E44" s="45"/>
      <c r="F44" s="45"/>
      <c r="G44" s="35"/>
      <c r="H44" s="44"/>
      <c r="I44" s="44"/>
      <c r="J44" s="44"/>
      <c r="K44" s="44"/>
      <c r="L44" s="44"/>
      <c r="M44" s="44"/>
    </row>
    <row r="45" spans="1:15" x14ac:dyDescent="0.2">
      <c r="E45" s="45"/>
      <c r="F45" s="45"/>
      <c r="G45" s="35"/>
      <c r="H45" s="44"/>
      <c r="I45" s="44"/>
      <c r="J45" s="44"/>
      <c r="K45" s="44"/>
      <c r="L45" s="44"/>
      <c r="M45" s="44"/>
    </row>
    <row r="46" spans="1:15" x14ac:dyDescent="0.2">
      <c r="E46" s="45"/>
      <c r="F46" s="45"/>
      <c r="G46" s="35"/>
      <c r="H46" s="44"/>
      <c r="I46" s="44"/>
      <c r="J46" s="44"/>
      <c r="K46" s="44"/>
      <c r="L46" s="44"/>
      <c r="M46" s="44"/>
    </row>
  </sheetData>
  <printOptions horizontalCentered="1"/>
  <pageMargins left="0.7" right="0.7" top="0.75" bottom="0.75" header="0.3" footer="0.3"/>
  <pageSetup scale="70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66"/>
  <sheetViews>
    <sheetView topLeftCell="A20" workbookViewId="0">
      <selection activeCell="G54" sqref="G54"/>
    </sheetView>
  </sheetViews>
  <sheetFormatPr defaultRowHeight="11.5" x14ac:dyDescent="0.25"/>
  <cols>
    <col min="1" max="1" width="2.1796875" style="128" customWidth="1"/>
    <col min="2" max="2" width="20.26953125" style="128" customWidth="1"/>
    <col min="3" max="3" width="34.26953125" style="128" customWidth="1"/>
    <col min="4" max="4" width="13.1796875" style="128" bestFit="1" customWidth="1"/>
    <col min="5" max="5" width="12.54296875" style="128" customWidth="1"/>
    <col min="6" max="6" width="12.453125" style="128" customWidth="1"/>
    <col min="7" max="256" width="9.1796875" style="128"/>
    <col min="257" max="257" width="2.1796875" style="128" customWidth="1"/>
    <col min="258" max="258" width="20.26953125" style="128" customWidth="1"/>
    <col min="259" max="259" width="34.26953125" style="128" customWidth="1"/>
    <col min="260" max="260" width="13.1796875" style="128" bestFit="1" customWidth="1"/>
    <col min="261" max="261" width="12.54296875" style="128" customWidth="1"/>
    <col min="262" max="262" width="12.453125" style="128" customWidth="1"/>
    <col min="263" max="512" width="9.1796875" style="128"/>
    <col min="513" max="513" width="2.1796875" style="128" customWidth="1"/>
    <col min="514" max="514" width="20.26953125" style="128" customWidth="1"/>
    <col min="515" max="515" width="34.26953125" style="128" customWidth="1"/>
    <col min="516" max="516" width="13.1796875" style="128" bestFit="1" customWidth="1"/>
    <col min="517" max="517" width="12.54296875" style="128" customWidth="1"/>
    <col min="518" max="518" width="12.453125" style="128" customWidth="1"/>
    <col min="519" max="768" width="9.1796875" style="128"/>
    <col min="769" max="769" width="2.1796875" style="128" customWidth="1"/>
    <col min="770" max="770" width="20.26953125" style="128" customWidth="1"/>
    <col min="771" max="771" width="34.26953125" style="128" customWidth="1"/>
    <col min="772" max="772" width="13.1796875" style="128" bestFit="1" customWidth="1"/>
    <col min="773" max="773" width="12.54296875" style="128" customWidth="1"/>
    <col min="774" max="774" width="12.453125" style="128" customWidth="1"/>
    <col min="775" max="1024" width="9.1796875" style="128"/>
    <col min="1025" max="1025" width="2.1796875" style="128" customWidth="1"/>
    <col min="1026" max="1026" width="20.26953125" style="128" customWidth="1"/>
    <col min="1027" max="1027" width="34.26953125" style="128" customWidth="1"/>
    <col min="1028" max="1028" width="13.1796875" style="128" bestFit="1" customWidth="1"/>
    <col min="1029" max="1029" width="12.54296875" style="128" customWidth="1"/>
    <col min="1030" max="1030" width="12.453125" style="128" customWidth="1"/>
    <col min="1031" max="1280" width="9.1796875" style="128"/>
    <col min="1281" max="1281" width="2.1796875" style="128" customWidth="1"/>
    <col min="1282" max="1282" width="20.26953125" style="128" customWidth="1"/>
    <col min="1283" max="1283" width="34.26953125" style="128" customWidth="1"/>
    <col min="1284" max="1284" width="13.1796875" style="128" bestFit="1" customWidth="1"/>
    <col min="1285" max="1285" width="12.54296875" style="128" customWidth="1"/>
    <col min="1286" max="1286" width="12.453125" style="128" customWidth="1"/>
    <col min="1287" max="1536" width="9.1796875" style="128"/>
    <col min="1537" max="1537" width="2.1796875" style="128" customWidth="1"/>
    <col min="1538" max="1538" width="20.26953125" style="128" customWidth="1"/>
    <col min="1539" max="1539" width="34.26953125" style="128" customWidth="1"/>
    <col min="1540" max="1540" width="13.1796875" style="128" bestFit="1" customWidth="1"/>
    <col min="1541" max="1541" width="12.54296875" style="128" customWidth="1"/>
    <col min="1542" max="1542" width="12.453125" style="128" customWidth="1"/>
    <col min="1543" max="1792" width="9.1796875" style="128"/>
    <col min="1793" max="1793" width="2.1796875" style="128" customWidth="1"/>
    <col min="1794" max="1794" width="20.26953125" style="128" customWidth="1"/>
    <col min="1795" max="1795" width="34.26953125" style="128" customWidth="1"/>
    <col min="1796" max="1796" width="13.1796875" style="128" bestFit="1" customWidth="1"/>
    <col min="1797" max="1797" width="12.54296875" style="128" customWidth="1"/>
    <col min="1798" max="1798" width="12.453125" style="128" customWidth="1"/>
    <col min="1799" max="2048" width="9.1796875" style="128"/>
    <col min="2049" max="2049" width="2.1796875" style="128" customWidth="1"/>
    <col min="2050" max="2050" width="20.26953125" style="128" customWidth="1"/>
    <col min="2051" max="2051" width="34.26953125" style="128" customWidth="1"/>
    <col min="2052" max="2052" width="13.1796875" style="128" bestFit="1" customWidth="1"/>
    <col min="2053" max="2053" width="12.54296875" style="128" customWidth="1"/>
    <col min="2054" max="2054" width="12.453125" style="128" customWidth="1"/>
    <col min="2055" max="2304" width="9.1796875" style="128"/>
    <col min="2305" max="2305" width="2.1796875" style="128" customWidth="1"/>
    <col min="2306" max="2306" width="20.26953125" style="128" customWidth="1"/>
    <col min="2307" max="2307" width="34.26953125" style="128" customWidth="1"/>
    <col min="2308" max="2308" width="13.1796875" style="128" bestFit="1" customWidth="1"/>
    <col min="2309" max="2309" width="12.54296875" style="128" customWidth="1"/>
    <col min="2310" max="2310" width="12.453125" style="128" customWidth="1"/>
    <col min="2311" max="2560" width="9.1796875" style="128"/>
    <col min="2561" max="2561" width="2.1796875" style="128" customWidth="1"/>
    <col min="2562" max="2562" width="20.26953125" style="128" customWidth="1"/>
    <col min="2563" max="2563" width="34.26953125" style="128" customWidth="1"/>
    <col min="2564" max="2564" width="13.1796875" style="128" bestFit="1" customWidth="1"/>
    <col min="2565" max="2565" width="12.54296875" style="128" customWidth="1"/>
    <col min="2566" max="2566" width="12.453125" style="128" customWidth="1"/>
    <col min="2567" max="2816" width="9.1796875" style="128"/>
    <col min="2817" max="2817" width="2.1796875" style="128" customWidth="1"/>
    <col min="2818" max="2818" width="20.26953125" style="128" customWidth="1"/>
    <col min="2819" max="2819" width="34.26953125" style="128" customWidth="1"/>
    <col min="2820" max="2820" width="13.1796875" style="128" bestFit="1" customWidth="1"/>
    <col min="2821" max="2821" width="12.54296875" style="128" customWidth="1"/>
    <col min="2822" max="2822" width="12.453125" style="128" customWidth="1"/>
    <col min="2823" max="3072" width="9.1796875" style="128"/>
    <col min="3073" max="3073" width="2.1796875" style="128" customWidth="1"/>
    <col min="3074" max="3074" width="20.26953125" style="128" customWidth="1"/>
    <col min="3075" max="3075" width="34.26953125" style="128" customWidth="1"/>
    <col min="3076" max="3076" width="13.1796875" style="128" bestFit="1" customWidth="1"/>
    <col min="3077" max="3077" width="12.54296875" style="128" customWidth="1"/>
    <col min="3078" max="3078" width="12.453125" style="128" customWidth="1"/>
    <col min="3079" max="3328" width="9.1796875" style="128"/>
    <col min="3329" max="3329" width="2.1796875" style="128" customWidth="1"/>
    <col min="3330" max="3330" width="20.26953125" style="128" customWidth="1"/>
    <col min="3331" max="3331" width="34.26953125" style="128" customWidth="1"/>
    <col min="3332" max="3332" width="13.1796875" style="128" bestFit="1" customWidth="1"/>
    <col min="3333" max="3333" width="12.54296875" style="128" customWidth="1"/>
    <col min="3334" max="3334" width="12.453125" style="128" customWidth="1"/>
    <col min="3335" max="3584" width="9.1796875" style="128"/>
    <col min="3585" max="3585" width="2.1796875" style="128" customWidth="1"/>
    <col min="3586" max="3586" width="20.26953125" style="128" customWidth="1"/>
    <col min="3587" max="3587" width="34.26953125" style="128" customWidth="1"/>
    <col min="3588" max="3588" width="13.1796875" style="128" bestFit="1" customWidth="1"/>
    <col min="3589" max="3589" width="12.54296875" style="128" customWidth="1"/>
    <col min="3590" max="3590" width="12.453125" style="128" customWidth="1"/>
    <col min="3591" max="3840" width="9.1796875" style="128"/>
    <col min="3841" max="3841" width="2.1796875" style="128" customWidth="1"/>
    <col min="3842" max="3842" width="20.26953125" style="128" customWidth="1"/>
    <col min="3843" max="3843" width="34.26953125" style="128" customWidth="1"/>
    <col min="3844" max="3844" width="13.1796875" style="128" bestFit="1" customWidth="1"/>
    <col min="3845" max="3845" width="12.54296875" style="128" customWidth="1"/>
    <col min="3846" max="3846" width="12.453125" style="128" customWidth="1"/>
    <col min="3847" max="4096" width="9.1796875" style="128"/>
    <col min="4097" max="4097" width="2.1796875" style="128" customWidth="1"/>
    <col min="4098" max="4098" width="20.26953125" style="128" customWidth="1"/>
    <col min="4099" max="4099" width="34.26953125" style="128" customWidth="1"/>
    <col min="4100" max="4100" width="13.1796875" style="128" bestFit="1" customWidth="1"/>
    <col min="4101" max="4101" width="12.54296875" style="128" customWidth="1"/>
    <col min="4102" max="4102" width="12.453125" style="128" customWidth="1"/>
    <col min="4103" max="4352" width="9.1796875" style="128"/>
    <col min="4353" max="4353" width="2.1796875" style="128" customWidth="1"/>
    <col min="4354" max="4354" width="20.26953125" style="128" customWidth="1"/>
    <col min="4355" max="4355" width="34.26953125" style="128" customWidth="1"/>
    <col min="4356" max="4356" width="13.1796875" style="128" bestFit="1" customWidth="1"/>
    <col min="4357" max="4357" width="12.54296875" style="128" customWidth="1"/>
    <col min="4358" max="4358" width="12.453125" style="128" customWidth="1"/>
    <col min="4359" max="4608" width="9.1796875" style="128"/>
    <col min="4609" max="4609" width="2.1796875" style="128" customWidth="1"/>
    <col min="4610" max="4610" width="20.26953125" style="128" customWidth="1"/>
    <col min="4611" max="4611" width="34.26953125" style="128" customWidth="1"/>
    <col min="4612" max="4612" width="13.1796875" style="128" bestFit="1" customWidth="1"/>
    <col min="4613" max="4613" width="12.54296875" style="128" customWidth="1"/>
    <col min="4614" max="4614" width="12.453125" style="128" customWidth="1"/>
    <col min="4615" max="4864" width="9.1796875" style="128"/>
    <col min="4865" max="4865" width="2.1796875" style="128" customWidth="1"/>
    <col min="4866" max="4866" width="20.26953125" style="128" customWidth="1"/>
    <col min="4867" max="4867" width="34.26953125" style="128" customWidth="1"/>
    <col min="4868" max="4868" width="13.1796875" style="128" bestFit="1" customWidth="1"/>
    <col min="4869" max="4869" width="12.54296875" style="128" customWidth="1"/>
    <col min="4870" max="4870" width="12.453125" style="128" customWidth="1"/>
    <col min="4871" max="5120" width="9.1796875" style="128"/>
    <col min="5121" max="5121" width="2.1796875" style="128" customWidth="1"/>
    <col min="5122" max="5122" width="20.26953125" style="128" customWidth="1"/>
    <col min="5123" max="5123" width="34.26953125" style="128" customWidth="1"/>
    <col min="5124" max="5124" width="13.1796875" style="128" bestFit="1" customWidth="1"/>
    <col min="5125" max="5125" width="12.54296875" style="128" customWidth="1"/>
    <col min="5126" max="5126" width="12.453125" style="128" customWidth="1"/>
    <col min="5127" max="5376" width="9.1796875" style="128"/>
    <col min="5377" max="5377" width="2.1796875" style="128" customWidth="1"/>
    <col min="5378" max="5378" width="20.26953125" style="128" customWidth="1"/>
    <col min="5379" max="5379" width="34.26953125" style="128" customWidth="1"/>
    <col min="5380" max="5380" width="13.1796875" style="128" bestFit="1" customWidth="1"/>
    <col min="5381" max="5381" width="12.54296875" style="128" customWidth="1"/>
    <col min="5382" max="5382" width="12.453125" style="128" customWidth="1"/>
    <col min="5383" max="5632" width="9.1796875" style="128"/>
    <col min="5633" max="5633" width="2.1796875" style="128" customWidth="1"/>
    <col min="5634" max="5634" width="20.26953125" style="128" customWidth="1"/>
    <col min="5635" max="5635" width="34.26953125" style="128" customWidth="1"/>
    <col min="5636" max="5636" width="13.1796875" style="128" bestFit="1" customWidth="1"/>
    <col min="5637" max="5637" width="12.54296875" style="128" customWidth="1"/>
    <col min="5638" max="5638" width="12.453125" style="128" customWidth="1"/>
    <col min="5639" max="5888" width="9.1796875" style="128"/>
    <col min="5889" max="5889" width="2.1796875" style="128" customWidth="1"/>
    <col min="5890" max="5890" width="20.26953125" style="128" customWidth="1"/>
    <col min="5891" max="5891" width="34.26953125" style="128" customWidth="1"/>
    <col min="5892" max="5892" width="13.1796875" style="128" bestFit="1" customWidth="1"/>
    <col min="5893" max="5893" width="12.54296875" style="128" customWidth="1"/>
    <col min="5894" max="5894" width="12.453125" style="128" customWidth="1"/>
    <col min="5895" max="6144" width="9.1796875" style="128"/>
    <col min="6145" max="6145" width="2.1796875" style="128" customWidth="1"/>
    <col min="6146" max="6146" width="20.26953125" style="128" customWidth="1"/>
    <col min="6147" max="6147" width="34.26953125" style="128" customWidth="1"/>
    <col min="6148" max="6148" width="13.1796875" style="128" bestFit="1" customWidth="1"/>
    <col min="6149" max="6149" width="12.54296875" style="128" customWidth="1"/>
    <col min="6150" max="6150" width="12.453125" style="128" customWidth="1"/>
    <col min="6151" max="6400" width="9.1796875" style="128"/>
    <col min="6401" max="6401" width="2.1796875" style="128" customWidth="1"/>
    <col min="6402" max="6402" width="20.26953125" style="128" customWidth="1"/>
    <col min="6403" max="6403" width="34.26953125" style="128" customWidth="1"/>
    <col min="6404" max="6404" width="13.1796875" style="128" bestFit="1" customWidth="1"/>
    <col min="6405" max="6405" width="12.54296875" style="128" customWidth="1"/>
    <col min="6406" max="6406" width="12.453125" style="128" customWidth="1"/>
    <col min="6407" max="6656" width="9.1796875" style="128"/>
    <col min="6657" max="6657" width="2.1796875" style="128" customWidth="1"/>
    <col min="6658" max="6658" width="20.26953125" style="128" customWidth="1"/>
    <col min="6659" max="6659" width="34.26953125" style="128" customWidth="1"/>
    <col min="6660" max="6660" width="13.1796875" style="128" bestFit="1" customWidth="1"/>
    <col min="6661" max="6661" width="12.54296875" style="128" customWidth="1"/>
    <col min="6662" max="6662" width="12.453125" style="128" customWidth="1"/>
    <col min="6663" max="6912" width="9.1796875" style="128"/>
    <col min="6913" max="6913" width="2.1796875" style="128" customWidth="1"/>
    <col min="6914" max="6914" width="20.26953125" style="128" customWidth="1"/>
    <col min="6915" max="6915" width="34.26953125" style="128" customWidth="1"/>
    <col min="6916" max="6916" width="13.1796875" style="128" bestFit="1" customWidth="1"/>
    <col min="6917" max="6917" width="12.54296875" style="128" customWidth="1"/>
    <col min="6918" max="6918" width="12.453125" style="128" customWidth="1"/>
    <col min="6919" max="7168" width="9.1796875" style="128"/>
    <col min="7169" max="7169" width="2.1796875" style="128" customWidth="1"/>
    <col min="7170" max="7170" width="20.26953125" style="128" customWidth="1"/>
    <col min="7171" max="7171" width="34.26953125" style="128" customWidth="1"/>
    <col min="7172" max="7172" width="13.1796875" style="128" bestFit="1" customWidth="1"/>
    <col min="7173" max="7173" width="12.54296875" style="128" customWidth="1"/>
    <col min="7174" max="7174" width="12.453125" style="128" customWidth="1"/>
    <col min="7175" max="7424" width="9.1796875" style="128"/>
    <col min="7425" max="7425" width="2.1796875" style="128" customWidth="1"/>
    <col min="7426" max="7426" width="20.26953125" style="128" customWidth="1"/>
    <col min="7427" max="7427" width="34.26953125" style="128" customWidth="1"/>
    <col min="7428" max="7428" width="13.1796875" style="128" bestFit="1" customWidth="1"/>
    <col min="7429" max="7429" width="12.54296875" style="128" customWidth="1"/>
    <col min="7430" max="7430" width="12.453125" style="128" customWidth="1"/>
    <col min="7431" max="7680" width="9.1796875" style="128"/>
    <col min="7681" max="7681" width="2.1796875" style="128" customWidth="1"/>
    <col min="7682" max="7682" width="20.26953125" style="128" customWidth="1"/>
    <col min="7683" max="7683" width="34.26953125" style="128" customWidth="1"/>
    <col min="7684" max="7684" width="13.1796875" style="128" bestFit="1" customWidth="1"/>
    <col min="7685" max="7685" width="12.54296875" style="128" customWidth="1"/>
    <col min="7686" max="7686" width="12.453125" style="128" customWidth="1"/>
    <col min="7687" max="7936" width="9.1796875" style="128"/>
    <col min="7937" max="7937" width="2.1796875" style="128" customWidth="1"/>
    <col min="7938" max="7938" width="20.26953125" style="128" customWidth="1"/>
    <col min="7939" max="7939" width="34.26953125" style="128" customWidth="1"/>
    <col min="7940" max="7940" width="13.1796875" style="128" bestFit="1" customWidth="1"/>
    <col min="7941" max="7941" width="12.54296875" style="128" customWidth="1"/>
    <col min="7942" max="7942" width="12.453125" style="128" customWidth="1"/>
    <col min="7943" max="8192" width="9.1796875" style="128"/>
    <col min="8193" max="8193" width="2.1796875" style="128" customWidth="1"/>
    <col min="8194" max="8194" width="20.26953125" style="128" customWidth="1"/>
    <col min="8195" max="8195" width="34.26953125" style="128" customWidth="1"/>
    <col min="8196" max="8196" width="13.1796875" style="128" bestFit="1" customWidth="1"/>
    <col min="8197" max="8197" width="12.54296875" style="128" customWidth="1"/>
    <col min="8198" max="8198" width="12.453125" style="128" customWidth="1"/>
    <col min="8199" max="8448" width="9.1796875" style="128"/>
    <col min="8449" max="8449" width="2.1796875" style="128" customWidth="1"/>
    <col min="8450" max="8450" width="20.26953125" style="128" customWidth="1"/>
    <col min="8451" max="8451" width="34.26953125" style="128" customWidth="1"/>
    <col min="8452" max="8452" width="13.1796875" style="128" bestFit="1" customWidth="1"/>
    <col min="8453" max="8453" width="12.54296875" style="128" customWidth="1"/>
    <col min="8454" max="8454" width="12.453125" style="128" customWidth="1"/>
    <col min="8455" max="8704" width="9.1796875" style="128"/>
    <col min="8705" max="8705" width="2.1796875" style="128" customWidth="1"/>
    <col min="8706" max="8706" width="20.26953125" style="128" customWidth="1"/>
    <col min="8707" max="8707" width="34.26953125" style="128" customWidth="1"/>
    <col min="8708" max="8708" width="13.1796875" style="128" bestFit="1" customWidth="1"/>
    <col min="8709" max="8709" width="12.54296875" style="128" customWidth="1"/>
    <col min="8710" max="8710" width="12.453125" style="128" customWidth="1"/>
    <col min="8711" max="8960" width="9.1796875" style="128"/>
    <col min="8961" max="8961" width="2.1796875" style="128" customWidth="1"/>
    <col min="8962" max="8962" width="20.26953125" style="128" customWidth="1"/>
    <col min="8963" max="8963" width="34.26953125" style="128" customWidth="1"/>
    <col min="8964" max="8964" width="13.1796875" style="128" bestFit="1" customWidth="1"/>
    <col min="8965" max="8965" width="12.54296875" style="128" customWidth="1"/>
    <col min="8966" max="8966" width="12.453125" style="128" customWidth="1"/>
    <col min="8967" max="9216" width="9.1796875" style="128"/>
    <col min="9217" max="9217" width="2.1796875" style="128" customWidth="1"/>
    <col min="9218" max="9218" width="20.26953125" style="128" customWidth="1"/>
    <col min="9219" max="9219" width="34.26953125" style="128" customWidth="1"/>
    <col min="9220" max="9220" width="13.1796875" style="128" bestFit="1" customWidth="1"/>
    <col min="9221" max="9221" width="12.54296875" style="128" customWidth="1"/>
    <col min="9222" max="9222" width="12.453125" style="128" customWidth="1"/>
    <col min="9223" max="9472" width="9.1796875" style="128"/>
    <col min="9473" max="9473" width="2.1796875" style="128" customWidth="1"/>
    <col min="9474" max="9474" width="20.26953125" style="128" customWidth="1"/>
    <col min="9475" max="9475" width="34.26953125" style="128" customWidth="1"/>
    <col min="9476" max="9476" width="13.1796875" style="128" bestFit="1" customWidth="1"/>
    <col min="9477" max="9477" width="12.54296875" style="128" customWidth="1"/>
    <col min="9478" max="9478" width="12.453125" style="128" customWidth="1"/>
    <col min="9479" max="9728" width="9.1796875" style="128"/>
    <col min="9729" max="9729" width="2.1796875" style="128" customWidth="1"/>
    <col min="9730" max="9730" width="20.26953125" style="128" customWidth="1"/>
    <col min="9731" max="9731" width="34.26953125" style="128" customWidth="1"/>
    <col min="9732" max="9732" width="13.1796875" style="128" bestFit="1" customWidth="1"/>
    <col min="9733" max="9733" width="12.54296875" style="128" customWidth="1"/>
    <col min="9734" max="9734" width="12.453125" style="128" customWidth="1"/>
    <col min="9735" max="9984" width="9.1796875" style="128"/>
    <col min="9985" max="9985" width="2.1796875" style="128" customWidth="1"/>
    <col min="9986" max="9986" width="20.26953125" style="128" customWidth="1"/>
    <col min="9987" max="9987" width="34.26953125" style="128" customWidth="1"/>
    <col min="9988" max="9988" width="13.1796875" style="128" bestFit="1" customWidth="1"/>
    <col min="9989" max="9989" width="12.54296875" style="128" customWidth="1"/>
    <col min="9990" max="9990" width="12.453125" style="128" customWidth="1"/>
    <col min="9991" max="10240" width="9.1796875" style="128"/>
    <col min="10241" max="10241" width="2.1796875" style="128" customWidth="1"/>
    <col min="10242" max="10242" width="20.26953125" style="128" customWidth="1"/>
    <col min="10243" max="10243" width="34.26953125" style="128" customWidth="1"/>
    <col min="10244" max="10244" width="13.1796875" style="128" bestFit="1" customWidth="1"/>
    <col min="10245" max="10245" width="12.54296875" style="128" customWidth="1"/>
    <col min="10246" max="10246" width="12.453125" style="128" customWidth="1"/>
    <col min="10247" max="10496" width="9.1796875" style="128"/>
    <col min="10497" max="10497" width="2.1796875" style="128" customWidth="1"/>
    <col min="10498" max="10498" width="20.26953125" style="128" customWidth="1"/>
    <col min="10499" max="10499" width="34.26953125" style="128" customWidth="1"/>
    <col min="10500" max="10500" width="13.1796875" style="128" bestFit="1" customWidth="1"/>
    <col min="10501" max="10501" width="12.54296875" style="128" customWidth="1"/>
    <col min="10502" max="10502" width="12.453125" style="128" customWidth="1"/>
    <col min="10503" max="10752" width="9.1796875" style="128"/>
    <col min="10753" max="10753" width="2.1796875" style="128" customWidth="1"/>
    <col min="10754" max="10754" width="20.26953125" style="128" customWidth="1"/>
    <col min="10755" max="10755" width="34.26953125" style="128" customWidth="1"/>
    <col min="10756" max="10756" width="13.1796875" style="128" bestFit="1" customWidth="1"/>
    <col min="10757" max="10757" width="12.54296875" style="128" customWidth="1"/>
    <col min="10758" max="10758" width="12.453125" style="128" customWidth="1"/>
    <col min="10759" max="11008" width="9.1796875" style="128"/>
    <col min="11009" max="11009" width="2.1796875" style="128" customWidth="1"/>
    <col min="11010" max="11010" width="20.26953125" style="128" customWidth="1"/>
    <col min="11011" max="11011" width="34.26953125" style="128" customWidth="1"/>
    <col min="11012" max="11012" width="13.1796875" style="128" bestFit="1" customWidth="1"/>
    <col min="11013" max="11013" width="12.54296875" style="128" customWidth="1"/>
    <col min="11014" max="11014" width="12.453125" style="128" customWidth="1"/>
    <col min="11015" max="11264" width="9.1796875" style="128"/>
    <col min="11265" max="11265" width="2.1796875" style="128" customWidth="1"/>
    <col min="11266" max="11266" width="20.26953125" style="128" customWidth="1"/>
    <col min="11267" max="11267" width="34.26953125" style="128" customWidth="1"/>
    <col min="11268" max="11268" width="13.1796875" style="128" bestFit="1" customWidth="1"/>
    <col min="11269" max="11269" width="12.54296875" style="128" customWidth="1"/>
    <col min="11270" max="11270" width="12.453125" style="128" customWidth="1"/>
    <col min="11271" max="11520" width="9.1796875" style="128"/>
    <col min="11521" max="11521" width="2.1796875" style="128" customWidth="1"/>
    <col min="11522" max="11522" width="20.26953125" style="128" customWidth="1"/>
    <col min="11523" max="11523" width="34.26953125" style="128" customWidth="1"/>
    <col min="11524" max="11524" width="13.1796875" style="128" bestFit="1" customWidth="1"/>
    <col min="11525" max="11525" width="12.54296875" style="128" customWidth="1"/>
    <col min="11526" max="11526" width="12.453125" style="128" customWidth="1"/>
    <col min="11527" max="11776" width="9.1796875" style="128"/>
    <col min="11777" max="11777" width="2.1796875" style="128" customWidth="1"/>
    <col min="11778" max="11778" width="20.26953125" style="128" customWidth="1"/>
    <col min="11779" max="11779" width="34.26953125" style="128" customWidth="1"/>
    <col min="11780" max="11780" width="13.1796875" style="128" bestFit="1" customWidth="1"/>
    <col min="11781" max="11781" width="12.54296875" style="128" customWidth="1"/>
    <col min="11782" max="11782" width="12.453125" style="128" customWidth="1"/>
    <col min="11783" max="12032" width="9.1796875" style="128"/>
    <col min="12033" max="12033" width="2.1796875" style="128" customWidth="1"/>
    <col min="12034" max="12034" width="20.26953125" style="128" customWidth="1"/>
    <col min="12035" max="12035" width="34.26953125" style="128" customWidth="1"/>
    <col min="12036" max="12036" width="13.1796875" style="128" bestFit="1" customWidth="1"/>
    <col min="12037" max="12037" width="12.54296875" style="128" customWidth="1"/>
    <col min="12038" max="12038" width="12.453125" style="128" customWidth="1"/>
    <col min="12039" max="12288" width="9.1796875" style="128"/>
    <col min="12289" max="12289" width="2.1796875" style="128" customWidth="1"/>
    <col min="12290" max="12290" width="20.26953125" style="128" customWidth="1"/>
    <col min="12291" max="12291" width="34.26953125" style="128" customWidth="1"/>
    <col min="12292" max="12292" width="13.1796875" style="128" bestFit="1" customWidth="1"/>
    <col min="12293" max="12293" width="12.54296875" style="128" customWidth="1"/>
    <col min="12294" max="12294" width="12.453125" style="128" customWidth="1"/>
    <col min="12295" max="12544" width="9.1796875" style="128"/>
    <col min="12545" max="12545" width="2.1796875" style="128" customWidth="1"/>
    <col min="12546" max="12546" width="20.26953125" style="128" customWidth="1"/>
    <col min="12547" max="12547" width="34.26953125" style="128" customWidth="1"/>
    <col min="12548" max="12548" width="13.1796875" style="128" bestFit="1" customWidth="1"/>
    <col min="12549" max="12549" width="12.54296875" style="128" customWidth="1"/>
    <col min="12550" max="12550" width="12.453125" style="128" customWidth="1"/>
    <col min="12551" max="12800" width="9.1796875" style="128"/>
    <col min="12801" max="12801" width="2.1796875" style="128" customWidth="1"/>
    <col min="12802" max="12802" width="20.26953125" style="128" customWidth="1"/>
    <col min="12803" max="12803" width="34.26953125" style="128" customWidth="1"/>
    <col min="12804" max="12804" width="13.1796875" style="128" bestFit="1" customWidth="1"/>
    <col min="12805" max="12805" width="12.54296875" style="128" customWidth="1"/>
    <col min="12806" max="12806" width="12.453125" style="128" customWidth="1"/>
    <col min="12807" max="13056" width="9.1796875" style="128"/>
    <col min="13057" max="13057" width="2.1796875" style="128" customWidth="1"/>
    <col min="13058" max="13058" width="20.26953125" style="128" customWidth="1"/>
    <col min="13059" max="13059" width="34.26953125" style="128" customWidth="1"/>
    <col min="13060" max="13060" width="13.1796875" style="128" bestFit="1" customWidth="1"/>
    <col min="13061" max="13061" width="12.54296875" style="128" customWidth="1"/>
    <col min="13062" max="13062" width="12.453125" style="128" customWidth="1"/>
    <col min="13063" max="13312" width="9.1796875" style="128"/>
    <col min="13313" max="13313" width="2.1796875" style="128" customWidth="1"/>
    <col min="13314" max="13314" width="20.26953125" style="128" customWidth="1"/>
    <col min="13315" max="13315" width="34.26953125" style="128" customWidth="1"/>
    <col min="13316" max="13316" width="13.1796875" style="128" bestFit="1" customWidth="1"/>
    <col min="13317" max="13317" width="12.54296875" style="128" customWidth="1"/>
    <col min="13318" max="13318" width="12.453125" style="128" customWidth="1"/>
    <col min="13319" max="13568" width="9.1796875" style="128"/>
    <col min="13569" max="13569" width="2.1796875" style="128" customWidth="1"/>
    <col min="13570" max="13570" width="20.26953125" style="128" customWidth="1"/>
    <col min="13571" max="13571" width="34.26953125" style="128" customWidth="1"/>
    <col min="13572" max="13572" width="13.1796875" style="128" bestFit="1" customWidth="1"/>
    <col min="13573" max="13573" width="12.54296875" style="128" customWidth="1"/>
    <col min="13574" max="13574" width="12.453125" style="128" customWidth="1"/>
    <col min="13575" max="13824" width="9.1796875" style="128"/>
    <col min="13825" max="13825" width="2.1796875" style="128" customWidth="1"/>
    <col min="13826" max="13826" width="20.26953125" style="128" customWidth="1"/>
    <col min="13827" max="13827" width="34.26953125" style="128" customWidth="1"/>
    <col min="13828" max="13828" width="13.1796875" style="128" bestFit="1" customWidth="1"/>
    <col min="13829" max="13829" width="12.54296875" style="128" customWidth="1"/>
    <col min="13830" max="13830" width="12.453125" style="128" customWidth="1"/>
    <col min="13831" max="14080" width="9.1796875" style="128"/>
    <col min="14081" max="14081" width="2.1796875" style="128" customWidth="1"/>
    <col min="14082" max="14082" width="20.26953125" style="128" customWidth="1"/>
    <col min="14083" max="14083" width="34.26953125" style="128" customWidth="1"/>
    <col min="14084" max="14084" width="13.1796875" style="128" bestFit="1" customWidth="1"/>
    <col min="14085" max="14085" width="12.54296875" style="128" customWidth="1"/>
    <col min="14086" max="14086" width="12.453125" style="128" customWidth="1"/>
    <col min="14087" max="14336" width="9.1796875" style="128"/>
    <col min="14337" max="14337" width="2.1796875" style="128" customWidth="1"/>
    <col min="14338" max="14338" width="20.26953125" style="128" customWidth="1"/>
    <col min="14339" max="14339" width="34.26953125" style="128" customWidth="1"/>
    <col min="14340" max="14340" width="13.1796875" style="128" bestFit="1" customWidth="1"/>
    <col min="14341" max="14341" width="12.54296875" style="128" customWidth="1"/>
    <col min="14342" max="14342" width="12.453125" style="128" customWidth="1"/>
    <col min="14343" max="14592" width="9.1796875" style="128"/>
    <col min="14593" max="14593" width="2.1796875" style="128" customWidth="1"/>
    <col min="14594" max="14594" width="20.26953125" style="128" customWidth="1"/>
    <col min="14595" max="14595" width="34.26953125" style="128" customWidth="1"/>
    <col min="14596" max="14596" width="13.1796875" style="128" bestFit="1" customWidth="1"/>
    <col min="14597" max="14597" width="12.54296875" style="128" customWidth="1"/>
    <col min="14598" max="14598" width="12.453125" style="128" customWidth="1"/>
    <col min="14599" max="14848" width="9.1796875" style="128"/>
    <col min="14849" max="14849" width="2.1796875" style="128" customWidth="1"/>
    <col min="14850" max="14850" width="20.26953125" style="128" customWidth="1"/>
    <col min="14851" max="14851" width="34.26953125" style="128" customWidth="1"/>
    <col min="14852" max="14852" width="13.1796875" style="128" bestFit="1" customWidth="1"/>
    <col min="14853" max="14853" width="12.54296875" style="128" customWidth="1"/>
    <col min="14854" max="14854" width="12.453125" style="128" customWidth="1"/>
    <col min="14855" max="15104" width="9.1796875" style="128"/>
    <col min="15105" max="15105" width="2.1796875" style="128" customWidth="1"/>
    <col min="15106" max="15106" width="20.26953125" style="128" customWidth="1"/>
    <col min="15107" max="15107" width="34.26953125" style="128" customWidth="1"/>
    <col min="15108" max="15108" width="13.1796875" style="128" bestFit="1" customWidth="1"/>
    <col min="15109" max="15109" width="12.54296875" style="128" customWidth="1"/>
    <col min="15110" max="15110" width="12.453125" style="128" customWidth="1"/>
    <col min="15111" max="15360" width="9.1796875" style="128"/>
    <col min="15361" max="15361" width="2.1796875" style="128" customWidth="1"/>
    <col min="15362" max="15362" width="20.26953125" style="128" customWidth="1"/>
    <col min="15363" max="15363" width="34.26953125" style="128" customWidth="1"/>
    <col min="15364" max="15364" width="13.1796875" style="128" bestFit="1" customWidth="1"/>
    <col min="15365" max="15365" width="12.54296875" style="128" customWidth="1"/>
    <col min="15366" max="15366" width="12.453125" style="128" customWidth="1"/>
    <col min="15367" max="15616" width="9.1796875" style="128"/>
    <col min="15617" max="15617" width="2.1796875" style="128" customWidth="1"/>
    <col min="15618" max="15618" width="20.26953125" style="128" customWidth="1"/>
    <col min="15619" max="15619" width="34.26953125" style="128" customWidth="1"/>
    <col min="15620" max="15620" width="13.1796875" style="128" bestFit="1" customWidth="1"/>
    <col min="15621" max="15621" width="12.54296875" style="128" customWidth="1"/>
    <col min="15622" max="15622" width="12.453125" style="128" customWidth="1"/>
    <col min="15623" max="15872" width="9.1796875" style="128"/>
    <col min="15873" max="15873" width="2.1796875" style="128" customWidth="1"/>
    <col min="15874" max="15874" width="20.26953125" style="128" customWidth="1"/>
    <col min="15875" max="15875" width="34.26953125" style="128" customWidth="1"/>
    <col min="15876" max="15876" width="13.1796875" style="128" bestFit="1" customWidth="1"/>
    <col min="15877" max="15877" width="12.54296875" style="128" customWidth="1"/>
    <col min="15878" max="15878" width="12.453125" style="128" customWidth="1"/>
    <col min="15879" max="16128" width="9.1796875" style="128"/>
    <col min="16129" max="16129" width="2.1796875" style="128" customWidth="1"/>
    <col min="16130" max="16130" width="20.26953125" style="128" customWidth="1"/>
    <col min="16131" max="16131" width="34.26953125" style="128" customWidth="1"/>
    <col min="16132" max="16132" width="13.1796875" style="128" bestFit="1" customWidth="1"/>
    <col min="16133" max="16133" width="12.54296875" style="128" customWidth="1"/>
    <col min="16134" max="16134" width="12.453125" style="128" customWidth="1"/>
    <col min="16135" max="16384" width="9.1796875" style="128"/>
  </cols>
  <sheetData>
    <row r="1" spans="2:5" x14ac:dyDescent="0.25">
      <c r="B1" s="127" t="s">
        <v>90</v>
      </c>
    </row>
    <row r="2" spans="2:5" x14ac:dyDescent="0.25">
      <c r="B2" s="127"/>
    </row>
    <row r="3" spans="2:5" x14ac:dyDescent="0.25">
      <c r="B3" s="127" t="s">
        <v>91</v>
      </c>
    </row>
    <row r="4" spans="2:5" x14ac:dyDescent="0.25">
      <c r="B4" s="127" t="s">
        <v>118</v>
      </c>
      <c r="E4" s="129"/>
    </row>
    <row r="5" spans="2:5" x14ac:dyDescent="0.25">
      <c r="B5" s="130"/>
      <c r="E5" s="129"/>
    </row>
    <row r="6" spans="2:5" ht="12" thickBot="1" x14ac:dyDescent="0.3">
      <c r="E6" s="129"/>
    </row>
    <row r="7" spans="2:5" s="132" customFormat="1" ht="15" customHeight="1" thickBot="1" x14ac:dyDescent="0.3">
      <c r="B7" s="131" t="s">
        <v>92</v>
      </c>
      <c r="C7" s="227" t="s">
        <v>93</v>
      </c>
      <c r="D7" s="228"/>
      <c r="E7" s="229"/>
    </row>
    <row r="8" spans="2:5" s="132" customFormat="1" x14ac:dyDescent="0.25">
      <c r="B8" s="133"/>
      <c r="C8" s="134"/>
      <c r="D8" s="230"/>
      <c r="E8" s="229"/>
    </row>
    <row r="9" spans="2:5" s="132" customFormat="1" x14ac:dyDescent="0.25">
      <c r="B9" s="135"/>
      <c r="C9" s="134" t="s">
        <v>94</v>
      </c>
      <c r="D9" s="231" t="s">
        <v>95</v>
      </c>
      <c r="E9" s="232"/>
    </row>
    <row r="10" spans="2:5" ht="12" thickBot="1" x14ac:dyDescent="0.3">
      <c r="B10" s="136"/>
      <c r="C10" s="137"/>
      <c r="D10" s="233"/>
      <c r="E10" s="234"/>
    </row>
    <row r="11" spans="2:5" x14ac:dyDescent="0.25">
      <c r="B11" s="138" t="s">
        <v>96</v>
      </c>
      <c r="C11" s="139" t="s">
        <v>97</v>
      </c>
      <c r="D11" s="140">
        <f>'AEPTX RS'!E27</f>
        <v>1.54</v>
      </c>
      <c r="E11" s="141" t="s">
        <v>98</v>
      </c>
    </row>
    <row r="12" spans="2:5" x14ac:dyDescent="0.25">
      <c r="B12" s="138"/>
      <c r="C12" s="139" t="s">
        <v>99</v>
      </c>
      <c r="D12" s="142">
        <f>'AEPTX RS'!E22</f>
        <v>4.4000000000000004</v>
      </c>
      <c r="E12" s="143" t="s">
        <v>98</v>
      </c>
    </row>
    <row r="13" spans="2:5" ht="12" thickBot="1" x14ac:dyDescent="0.3">
      <c r="B13" s="144"/>
      <c r="C13" s="145" t="s">
        <v>100</v>
      </c>
      <c r="D13" s="146">
        <f>'AEPTX RS'!H20</f>
        <v>2.3109999999999999E-2</v>
      </c>
      <c r="E13" s="147" t="s">
        <v>101</v>
      </c>
    </row>
    <row r="14" spans="2:5" x14ac:dyDescent="0.25">
      <c r="B14" s="148" t="s">
        <v>102</v>
      </c>
      <c r="C14" s="139" t="s">
        <v>97</v>
      </c>
      <c r="D14" s="142">
        <f>'AEPTX Sec LT 10'!E28</f>
        <v>1.54</v>
      </c>
      <c r="E14" s="141" t="s">
        <v>98</v>
      </c>
    </row>
    <row r="15" spans="2:5" x14ac:dyDescent="0.25">
      <c r="B15" s="138"/>
      <c r="C15" s="139" t="s">
        <v>99</v>
      </c>
      <c r="D15" s="142">
        <f>'AEPTX Sec LT 10'!E23</f>
        <v>5.88</v>
      </c>
      <c r="E15" s="143" t="s">
        <v>98</v>
      </c>
    </row>
    <row r="16" spans="2:5" ht="12" thickBot="1" x14ac:dyDescent="0.3">
      <c r="B16" s="144"/>
      <c r="C16" s="145" t="s">
        <v>100</v>
      </c>
      <c r="D16" s="146">
        <f>'AEPTX Sec LT 10'!H21</f>
        <v>2.4219999999999998E-2</v>
      </c>
      <c r="E16" s="147" t="s">
        <v>101</v>
      </c>
    </row>
    <row r="17" spans="2:5" x14ac:dyDescent="0.25">
      <c r="B17" s="148" t="s">
        <v>103</v>
      </c>
      <c r="C17" s="139" t="s">
        <v>97</v>
      </c>
      <c r="D17" s="142">
        <f>'AEPTX Sec GT 10'!E32</f>
        <v>1.54</v>
      </c>
      <c r="E17" s="141" t="s">
        <v>98</v>
      </c>
    </row>
    <row r="18" spans="2:5" x14ac:dyDescent="0.25">
      <c r="B18" s="138" t="s">
        <v>104</v>
      </c>
      <c r="C18" s="139" t="s">
        <v>99</v>
      </c>
      <c r="D18" s="142">
        <f>'AEPTX Sec GT 10'!E27</f>
        <v>16.38</v>
      </c>
      <c r="E18" s="143" t="s">
        <v>98</v>
      </c>
    </row>
    <row r="19" spans="2:5" ht="12" thickBot="1" x14ac:dyDescent="0.3">
      <c r="B19" s="144"/>
      <c r="C19" s="145" t="s">
        <v>100</v>
      </c>
      <c r="D19" s="175">
        <f>'AEPTX Sec GT 10'!K25</f>
        <v>5.33</v>
      </c>
      <c r="E19" s="150" t="s">
        <v>105</v>
      </c>
    </row>
    <row r="20" spans="2:5" x14ac:dyDescent="0.25">
      <c r="B20" s="151" t="s">
        <v>103</v>
      </c>
      <c r="C20" s="152" t="s">
        <v>97</v>
      </c>
      <c r="D20" s="140">
        <f>'AEPTX Sec GT 10'!E32</f>
        <v>1.54</v>
      </c>
      <c r="E20" s="141" t="s">
        <v>98</v>
      </c>
    </row>
    <row r="21" spans="2:5" x14ac:dyDescent="0.25">
      <c r="B21" s="138" t="s">
        <v>106</v>
      </c>
      <c r="C21" s="139" t="s">
        <v>99</v>
      </c>
      <c r="D21" s="142">
        <f>'AEPTX Sec GT 10'!E27</f>
        <v>16.38</v>
      </c>
      <c r="E21" s="143" t="s">
        <v>98</v>
      </c>
    </row>
    <row r="22" spans="2:5" ht="12" thickBot="1" x14ac:dyDescent="0.3">
      <c r="B22" s="144"/>
      <c r="C22" s="145" t="s">
        <v>100</v>
      </c>
      <c r="D22" s="175">
        <f>'AEPTX Sec GT 10'!K25</f>
        <v>5.33</v>
      </c>
      <c r="E22" s="153" t="s">
        <v>105</v>
      </c>
    </row>
    <row r="23" spans="2:5" x14ac:dyDescent="0.25">
      <c r="B23" s="154" t="s">
        <v>107</v>
      </c>
      <c r="C23" s="152" t="s">
        <v>97</v>
      </c>
      <c r="D23" s="140">
        <f>'AEPTX Primary '!E31</f>
        <v>1.61</v>
      </c>
      <c r="E23" s="141" t="s">
        <v>98</v>
      </c>
    </row>
    <row r="24" spans="2:5" x14ac:dyDescent="0.25">
      <c r="B24" s="155" t="s">
        <v>104</v>
      </c>
      <c r="C24" s="139" t="s">
        <v>99</v>
      </c>
      <c r="D24" s="142">
        <f>'AEPTX Primary '!E26</f>
        <v>162.81</v>
      </c>
      <c r="E24" s="143" t="s">
        <v>98</v>
      </c>
    </row>
    <row r="25" spans="2:5" ht="12" thickBot="1" x14ac:dyDescent="0.3">
      <c r="B25" s="144"/>
      <c r="C25" s="145" t="s">
        <v>100</v>
      </c>
      <c r="D25" s="149">
        <f>'AEPTX Primary '!K24</f>
        <v>3.6960000000000002</v>
      </c>
      <c r="E25" s="153" t="s">
        <v>105</v>
      </c>
    </row>
    <row r="26" spans="2:5" x14ac:dyDescent="0.25">
      <c r="B26" s="154" t="s">
        <v>107</v>
      </c>
      <c r="C26" s="152" t="s">
        <v>97</v>
      </c>
      <c r="D26" s="140">
        <f>'AEPTX Primary '!E31</f>
        <v>1.61</v>
      </c>
      <c r="E26" s="141" t="s">
        <v>98</v>
      </c>
    </row>
    <row r="27" spans="2:5" x14ac:dyDescent="0.25">
      <c r="B27" s="155" t="s">
        <v>106</v>
      </c>
      <c r="C27" s="139" t="s">
        <v>99</v>
      </c>
      <c r="D27" s="142">
        <f>'AEPTX Primary '!E26</f>
        <v>162.81</v>
      </c>
      <c r="E27" s="143" t="s">
        <v>98</v>
      </c>
    </row>
    <row r="28" spans="2:5" ht="12" thickBot="1" x14ac:dyDescent="0.3">
      <c r="B28" s="144"/>
      <c r="C28" s="145" t="s">
        <v>100</v>
      </c>
      <c r="D28" s="149">
        <f>'AEPTX Primary '!K24</f>
        <v>3.6960000000000002</v>
      </c>
      <c r="E28" s="153" t="s">
        <v>105</v>
      </c>
    </row>
    <row r="29" spans="2:5" x14ac:dyDescent="0.25">
      <c r="B29" s="138" t="s">
        <v>108</v>
      </c>
      <c r="C29" s="139" t="s">
        <v>97</v>
      </c>
      <c r="D29" s="142">
        <f>'AEPTX Trans'!E28</f>
        <v>1.74</v>
      </c>
      <c r="E29" s="141" t="s">
        <v>98</v>
      </c>
    </row>
    <row r="30" spans="2:5" x14ac:dyDescent="0.25">
      <c r="B30" s="138"/>
      <c r="C30" s="139" t="s">
        <v>99</v>
      </c>
      <c r="D30" s="142">
        <f>'AEPTX Trans'!E23</f>
        <v>999.51</v>
      </c>
      <c r="E30" s="143" t="s">
        <v>98</v>
      </c>
    </row>
    <row r="31" spans="2:5" ht="12" thickBot="1" x14ac:dyDescent="0.3">
      <c r="B31" s="144"/>
      <c r="C31" s="145" t="s">
        <v>100</v>
      </c>
      <c r="D31" s="149">
        <f>'AEPTX Trans'!K21</f>
        <v>0.24940000000000001</v>
      </c>
      <c r="E31" s="147" t="s">
        <v>105</v>
      </c>
    </row>
    <row r="32" spans="2:5" x14ac:dyDescent="0.25">
      <c r="B32" s="138" t="s">
        <v>109</v>
      </c>
      <c r="C32" s="139" t="s">
        <v>97</v>
      </c>
      <c r="D32" s="142">
        <f>'AEPTX Lighting'!E27</f>
        <v>0</v>
      </c>
      <c r="E32" s="141" t="s">
        <v>98</v>
      </c>
    </row>
    <row r="33" spans="2:11" x14ac:dyDescent="0.25">
      <c r="B33" s="138"/>
      <c r="C33" s="139" t="s">
        <v>110</v>
      </c>
      <c r="D33" s="156">
        <f>'AEPTX Lighting'!J35</f>
        <v>17089102.437686823</v>
      </c>
      <c r="E33" s="143"/>
    </row>
    <row r="34" spans="2:11" ht="12" thickBot="1" x14ac:dyDescent="0.3">
      <c r="B34" s="144"/>
      <c r="C34" s="145" t="s">
        <v>100</v>
      </c>
      <c r="D34" s="146">
        <f>'AEPTX Lighting'!H20</f>
        <v>0</v>
      </c>
      <c r="E34" s="147" t="s">
        <v>101</v>
      </c>
    </row>
    <row r="35" spans="2:11" x14ac:dyDescent="0.25">
      <c r="B35" s="157"/>
    </row>
    <row r="36" spans="2:11" x14ac:dyDescent="0.25">
      <c r="B36" s="129"/>
      <c r="C36" s="158"/>
      <c r="D36" s="158"/>
      <c r="E36" s="159"/>
      <c r="F36" s="160"/>
      <c r="G36" s="158"/>
      <c r="H36" s="161"/>
      <c r="I36" s="162"/>
      <c r="J36" s="160"/>
    </row>
    <row r="37" spans="2:11" ht="12" thickBot="1" x14ac:dyDescent="0.3">
      <c r="B37" s="130" t="s">
        <v>111</v>
      </c>
      <c r="C37" s="163"/>
      <c r="D37" s="164"/>
      <c r="E37" s="163"/>
      <c r="F37" s="163"/>
      <c r="G37" s="163"/>
      <c r="H37" s="163"/>
      <c r="I37" s="163"/>
      <c r="J37" s="163"/>
      <c r="K37" s="163"/>
    </row>
    <row r="38" spans="2:11" ht="12" thickBot="1" x14ac:dyDescent="0.3">
      <c r="B38" s="165" t="s">
        <v>92</v>
      </c>
      <c r="C38" s="235" t="s">
        <v>93</v>
      </c>
      <c r="D38" s="236"/>
      <c r="E38" s="237"/>
      <c r="F38" s="163"/>
      <c r="G38" s="163"/>
      <c r="H38" s="163"/>
      <c r="I38" s="163"/>
      <c r="J38" s="163"/>
      <c r="K38" s="163"/>
    </row>
    <row r="39" spans="2:11" x14ac:dyDescent="0.25">
      <c r="B39" s="166"/>
      <c r="C39" s="167" t="s">
        <v>94</v>
      </c>
      <c r="D39" s="238" t="s">
        <v>95</v>
      </c>
      <c r="E39" s="239"/>
      <c r="F39" s="163"/>
      <c r="G39" s="163"/>
      <c r="H39" s="163"/>
      <c r="I39" s="163"/>
      <c r="J39" s="163"/>
      <c r="K39" s="163"/>
    </row>
    <row r="40" spans="2:11" ht="12" thickBot="1" x14ac:dyDescent="0.3">
      <c r="B40" s="168"/>
      <c r="C40" s="168"/>
      <c r="D40" s="225"/>
      <c r="E40" s="226"/>
    </row>
    <row r="41" spans="2:11" x14ac:dyDescent="0.25">
      <c r="B41" s="154" t="s">
        <v>96</v>
      </c>
      <c r="C41" s="169" t="s">
        <v>112</v>
      </c>
      <c r="D41" s="170">
        <f>'[3]AEPTX ERCOT Matrix 2018'!$I$9</f>
        <v>1.294E-2</v>
      </c>
      <c r="E41" s="141" t="s">
        <v>101</v>
      </c>
    </row>
    <row r="42" spans="2:11" x14ac:dyDescent="0.25">
      <c r="B42" s="138"/>
      <c r="C42" s="171" t="s">
        <v>113</v>
      </c>
      <c r="D42" s="172">
        <f>'[4]EXHIBIT JLJ-4'!$F$11</f>
        <v>2.8E-5</v>
      </c>
      <c r="E42" s="150" t="s">
        <v>101</v>
      </c>
    </row>
    <row r="43" spans="2:11" ht="12" thickBot="1" x14ac:dyDescent="0.3">
      <c r="B43" s="144"/>
      <c r="C43" s="173" t="s">
        <v>114</v>
      </c>
      <c r="D43" s="174">
        <f>'[5]AEP TX'!$E$23</f>
        <v>3.3500000000000002E-2</v>
      </c>
      <c r="E43" s="153" t="s">
        <v>115</v>
      </c>
    </row>
    <row r="44" spans="2:11" x14ac:dyDescent="0.25">
      <c r="B44" s="151" t="s">
        <v>102</v>
      </c>
      <c r="C44" s="169" t="s">
        <v>112</v>
      </c>
      <c r="D44" s="170">
        <f>'[3]AEPTX ERCOT Matrix 2018'!$I$10</f>
        <v>7.6010000000000001E-3</v>
      </c>
      <c r="E44" s="141" t="s">
        <v>101</v>
      </c>
    </row>
    <row r="45" spans="2:11" x14ac:dyDescent="0.25">
      <c r="B45" s="138"/>
      <c r="C45" s="171" t="s">
        <v>113</v>
      </c>
      <c r="D45" s="172">
        <f>'[4]EXHIBIT JLJ-4'!$F$15</f>
        <v>3.4999999999999997E-5</v>
      </c>
      <c r="E45" s="150" t="s">
        <v>101</v>
      </c>
    </row>
    <row r="46" spans="2:11" ht="12" thickBot="1" x14ac:dyDescent="0.3">
      <c r="B46" s="144"/>
      <c r="C46" s="173" t="s">
        <v>114</v>
      </c>
      <c r="D46" s="174">
        <f>'[5]AEP TX'!$F$23</f>
        <v>3.3500000000000002E-2</v>
      </c>
      <c r="E46" s="153" t="s">
        <v>115</v>
      </c>
    </row>
    <row r="47" spans="2:11" x14ac:dyDescent="0.25">
      <c r="B47" s="151" t="s">
        <v>103</v>
      </c>
      <c r="C47" s="169" t="s">
        <v>112</v>
      </c>
      <c r="D47" s="176">
        <f>'[3]AEPTX ERCOT Matrix 2018'!$I$11</f>
        <v>4.5679999999999996</v>
      </c>
      <c r="E47" s="141" t="s">
        <v>116</v>
      </c>
    </row>
    <row r="48" spans="2:11" x14ac:dyDescent="0.25">
      <c r="B48" s="138" t="s">
        <v>104</v>
      </c>
      <c r="C48" s="171" t="s">
        <v>113</v>
      </c>
      <c r="D48" s="172">
        <f>'[4]EXHIBIT JLJ-4'!$F$19</f>
        <v>7.8790000000000006E-3</v>
      </c>
      <c r="E48" s="143" t="s">
        <v>105</v>
      </c>
    </row>
    <row r="49" spans="2:5" ht="12" thickBot="1" x14ac:dyDescent="0.3">
      <c r="B49" s="144"/>
      <c r="C49" s="173" t="s">
        <v>114</v>
      </c>
      <c r="D49" s="174">
        <f>'[5]AEP TX'!$G$23</f>
        <v>3.3500000000000002E-2</v>
      </c>
      <c r="E49" s="153" t="s">
        <v>115</v>
      </c>
    </row>
    <row r="50" spans="2:5" x14ac:dyDescent="0.25">
      <c r="B50" s="151" t="s">
        <v>103</v>
      </c>
      <c r="C50" s="169" t="s">
        <v>112</v>
      </c>
      <c r="D50" s="176">
        <f>'[3]AEPTX ERCOT Matrix 2018'!$I$12</f>
        <v>3.1019999999999999</v>
      </c>
      <c r="E50" s="141" t="s">
        <v>117</v>
      </c>
    </row>
    <row r="51" spans="2:5" x14ac:dyDescent="0.25">
      <c r="B51" s="138" t="s">
        <v>106</v>
      </c>
      <c r="C51" s="171" t="s">
        <v>113</v>
      </c>
      <c r="D51" s="172">
        <f>'[4]EXHIBIT JLJ-4'!$F$19</f>
        <v>7.8790000000000006E-3</v>
      </c>
      <c r="E51" s="143" t="s">
        <v>105</v>
      </c>
    </row>
    <row r="52" spans="2:5" ht="12" thickBot="1" x14ac:dyDescent="0.3">
      <c r="B52" s="144"/>
      <c r="C52" s="173" t="s">
        <v>114</v>
      </c>
      <c r="D52" s="174">
        <f>'[5]AEP TX'!$G$23</f>
        <v>3.3500000000000002E-2</v>
      </c>
      <c r="E52" s="153" t="s">
        <v>115</v>
      </c>
    </row>
    <row r="53" spans="2:5" x14ac:dyDescent="0.25">
      <c r="B53" s="154" t="s">
        <v>107</v>
      </c>
      <c r="C53" s="169" t="s">
        <v>112</v>
      </c>
      <c r="D53" s="176">
        <f>'[3]AEPTX ERCOT Matrix 2018'!$I$13</f>
        <v>4.7160000000000002</v>
      </c>
      <c r="E53" s="141" t="s">
        <v>116</v>
      </c>
    </row>
    <row r="54" spans="2:5" x14ac:dyDescent="0.25">
      <c r="B54" s="155" t="s">
        <v>104</v>
      </c>
      <c r="C54" s="171" t="s">
        <v>113</v>
      </c>
      <c r="D54" s="172">
        <f>'[4]EXHIBIT JLJ-4'!$F$23</f>
        <v>1.1525000000000001E-2</v>
      </c>
      <c r="E54" s="143" t="s">
        <v>105</v>
      </c>
    </row>
    <row r="55" spans="2:5" ht="12" thickBot="1" x14ac:dyDescent="0.3">
      <c r="B55" s="144"/>
      <c r="C55" s="173" t="s">
        <v>114</v>
      </c>
      <c r="D55" s="174">
        <f>'[5]AEP TX'!$H$23</f>
        <v>3.3500000000000002E-2</v>
      </c>
      <c r="E55" s="153" t="s">
        <v>115</v>
      </c>
    </row>
    <row r="56" spans="2:5" x14ac:dyDescent="0.25">
      <c r="B56" s="154" t="s">
        <v>107</v>
      </c>
      <c r="C56" s="169" t="s">
        <v>112</v>
      </c>
      <c r="D56" s="176">
        <f>'[3]AEPTX ERCOT Matrix 2018'!$I$14</f>
        <v>3.1280000000000001</v>
      </c>
      <c r="E56" s="141" t="s">
        <v>117</v>
      </c>
    </row>
    <row r="57" spans="2:5" x14ac:dyDescent="0.25">
      <c r="B57" s="155" t="s">
        <v>106</v>
      </c>
      <c r="C57" s="171" t="s">
        <v>113</v>
      </c>
      <c r="D57" s="172">
        <f>'[4]EXHIBIT JLJ-4'!$F$23</f>
        <v>1.1525000000000001E-2</v>
      </c>
      <c r="E57" s="143" t="s">
        <v>105</v>
      </c>
    </row>
    <row r="58" spans="2:5" ht="12" thickBot="1" x14ac:dyDescent="0.3">
      <c r="B58" s="144"/>
      <c r="C58" s="173" t="s">
        <v>114</v>
      </c>
      <c r="D58" s="174">
        <f>'[5]AEP TX'!$H$23</f>
        <v>3.3500000000000002E-2</v>
      </c>
      <c r="E58" s="153" t="s">
        <v>115</v>
      </c>
    </row>
    <row r="59" spans="2:5" x14ac:dyDescent="0.25">
      <c r="B59" s="154" t="s">
        <v>108</v>
      </c>
      <c r="C59" s="169" t="s">
        <v>112</v>
      </c>
      <c r="D59" s="176">
        <f>'[3]AEPTX ERCOT Matrix 2018'!$I$15</f>
        <v>4.657</v>
      </c>
      <c r="E59" s="141" t="s">
        <v>116</v>
      </c>
    </row>
    <row r="60" spans="2:5" x14ac:dyDescent="0.25">
      <c r="B60" s="138"/>
      <c r="C60" s="171" t="s">
        <v>113</v>
      </c>
      <c r="D60" s="172">
        <f>'[4]EXHIBIT JLJ-4'!$F$25</f>
        <v>4.7200000000000002E-3</v>
      </c>
      <c r="E60" s="143" t="s">
        <v>105</v>
      </c>
    </row>
    <row r="61" spans="2:5" ht="12" thickBot="1" x14ac:dyDescent="0.3">
      <c r="B61" s="144"/>
      <c r="C61" s="173" t="s">
        <v>114</v>
      </c>
      <c r="D61" s="174">
        <f>'[5]AEP TX'!$I$23</f>
        <v>3.3500000000000002E-2</v>
      </c>
      <c r="E61" s="153" t="s">
        <v>115</v>
      </c>
    </row>
    <row r="62" spans="2:5" x14ac:dyDescent="0.25">
      <c r="B62" s="154" t="s">
        <v>109</v>
      </c>
      <c r="C62" s="169" t="s">
        <v>112</v>
      </c>
      <c r="D62" s="170">
        <f>'[3]AEPTX ERCOT Matrix 2018'!$I$16</f>
        <v>7.6010000000000001E-3</v>
      </c>
      <c r="E62" s="141" t="s">
        <v>101</v>
      </c>
    </row>
    <row r="63" spans="2:5" x14ac:dyDescent="0.25">
      <c r="B63" s="138"/>
      <c r="C63" s="171" t="s">
        <v>113</v>
      </c>
      <c r="D63" s="172">
        <f>'[4]EXHIBIT JLJ-4'!$F$15</f>
        <v>3.4999999999999997E-5</v>
      </c>
      <c r="E63" s="143" t="s">
        <v>101</v>
      </c>
    </row>
    <row r="64" spans="2:5" ht="12" thickBot="1" x14ac:dyDescent="0.3">
      <c r="B64" s="144"/>
      <c r="C64" s="173" t="s">
        <v>114</v>
      </c>
      <c r="D64" s="174">
        <f>'[5]AEP TX'!$J$23</f>
        <v>3.3500000000000002E-2</v>
      </c>
      <c r="E64" s="153" t="s">
        <v>115</v>
      </c>
    </row>
    <row r="66" spans="2:2" x14ac:dyDescent="0.25">
      <c r="B66" s="128" t="s">
        <v>119</v>
      </c>
    </row>
  </sheetData>
  <mergeCells count="7">
    <mergeCell ref="D40:E40"/>
    <mergeCell ref="C7:E7"/>
    <mergeCell ref="D8:E8"/>
    <mergeCell ref="D9:E9"/>
    <mergeCell ref="D10:E10"/>
    <mergeCell ref="C38:E38"/>
    <mergeCell ref="D39:E39"/>
  </mergeCells>
  <printOptions horizontalCentered="1"/>
  <pageMargins left="0.7" right="0.7" top="0.75" bottom="0.75" header="0.3" footer="0.3"/>
  <pageSetup scale="88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45"/>
  <sheetViews>
    <sheetView topLeftCell="A8" workbookViewId="0">
      <selection activeCell="H29" sqref="H29"/>
    </sheetView>
  </sheetViews>
  <sheetFormatPr defaultColWidth="9.1796875" defaultRowHeight="15.5" x14ac:dyDescent="0.35"/>
  <cols>
    <col min="1" max="1" width="9.1796875" style="189"/>
    <col min="2" max="2" width="5.7265625" style="189" customWidth="1"/>
    <col min="3" max="3" width="5.1796875" style="189" bestFit="1" customWidth="1"/>
    <col min="4" max="4" width="62.1796875" style="189" customWidth="1"/>
    <col min="5" max="5" width="18.26953125" style="189" bestFit="1" customWidth="1"/>
    <col min="6" max="6" width="23.7265625" style="189" bestFit="1" customWidth="1"/>
    <col min="7" max="7" width="16.81640625" style="189" bestFit="1" customWidth="1"/>
    <col min="8" max="8" width="17.26953125" style="189" bestFit="1" customWidth="1"/>
    <col min="9" max="9" width="16.1796875" style="189" bestFit="1" customWidth="1"/>
    <col min="10" max="10" width="16.81640625" style="189" bestFit="1" customWidth="1"/>
    <col min="11" max="11" width="15.54296875" style="189" bestFit="1" customWidth="1"/>
    <col min="12" max="12" width="16.81640625" style="189" bestFit="1" customWidth="1"/>
    <col min="13" max="13" width="11.26953125" style="189" bestFit="1" customWidth="1"/>
    <col min="14" max="16384" width="9.1796875" style="189"/>
  </cols>
  <sheetData>
    <row r="3" spans="2:12" ht="16" thickBot="1" x14ac:dyDescent="0.4"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8"/>
    </row>
    <row r="4" spans="2:12" x14ac:dyDescent="0.35">
      <c r="B4" s="187"/>
      <c r="C4" s="187"/>
      <c r="D4" s="190" t="s">
        <v>140</v>
      </c>
      <c r="E4" s="187"/>
      <c r="F4" s="191"/>
      <c r="G4" s="187"/>
      <c r="H4" s="187"/>
      <c r="I4" s="187"/>
      <c r="J4" s="187"/>
      <c r="K4" s="187"/>
      <c r="L4" s="188"/>
    </row>
    <row r="5" spans="2:12" x14ac:dyDescent="0.35">
      <c r="B5" s="187"/>
      <c r="C5" s="187"/>
      <c r="D5" s="192" t="s">
        <v>141</v>
      </c>
      <c r="E5" s="187"/>
      <c r="F5" s="191"/>
      <c r="G5" s="187"/>
      <c r="H5" s="187"/>
      <c r="I5" s="187"/>
      <c r="J5" s="187"/>
      <c r="K5" s="187"/>
      <c r="L5" s="188"/>
    </row>
    <row r="6" spans="2:12" x14ac:dyDescent="0.35">
      <c r="B6" s="187"/>
      <c r="C6" s="187"/>
      <c r="D6" s="193" t="s">
        <v>142</v>
      </c>
      <c r="E6" s="187"/>
      <c r="F6" s="187"/>
      <c r="G6" s="187"/>
      <c r="H6" s="187"/>
      <c r="I6" s="187"/>
      <c r="J6" s="187"/>
      <c r="K6" s="187"/>
      <c r="L6" s="188"/>
    </row>
    <row r="7" spans="2:12" x14ac:dyDescent="0.35">
      <c r="B7" s="187"/>
      <c r="C7" s="187"/>
      <c r="D7" s="193" t="s">
        <v>143</v>
      </c>
      <c r="E7" s="187"/>
      <c r="F7" s="187"/>
      <c r="G7" s="187"/>
      <c r="H7" s="187"/>
      <c r="I7" s="187"/>
      <c r="J7" s="187"/>
      <c r="K7" s="187"/>
      <c r="L7" s="188"/>
    </row>
    <row r="8" spans="2:12" ht="16" thickBot="1" x14ac:dyDescent="0.4">
      <c r="B8" s="187"/>
      <c r="C8" s="187"/>
      <c r="D8" s="194" t="s">
        <v>144</v>
      </c>
      <c r="E8" s="187"/>
      <c r="F8" s="187"/>
      <c r="G8" s="187"/>
      <c r="H8" s="187"/>
      <c r="I8" s="187"/>
      <c r="J8" s="187"/>
      <c r="K8" s="187"/>
      <c r="L8" s="188"/>
    </row>
    <row r="9" spans="2:12" x14ac:dyDescent="0.35"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8"/>
    </row>
    <row r="10" spans="2:12" ht="16" thickBot="1" x14ac:dyDescent="0.4">
      <c r="B10" s="187"/>
      <c r="C10" s="187"/>
      <c r="D10" s="187"/>
      <c r="E10" s="195">
        <v>1</v>
      </c>
      <c r="F10" s="195">
        <v>2</v>
      </c>
      <c r="G10" s="195">
        <v>3</v>
      </c>
      <c r="H10" s="195">
        <v>4</v>
      </c>
      <c r="I10" s="195">
        <v>5</v>
      </c>
      <c r="J10" s="195">
        <v>6</v>
      </c>
      <c r="K10" s="195">
        <v>7</v>
      </c>
      <c r="L10" s="195">
        <v>8</v>
      </c>
    </row>
    <row r="11" spans="2:12" x14ac:dyDescent="0.35">
      <c r="B11" s="196"/>
      <c r="C11" s="196"/>
      <c r="D11" s="196"/>
      <c r="E11" s="197" t="s">
        <v>145</v>
      </c>
      <c r="F11" s="196"/>
      <c r="G11" s="196"/>
      <c r="H11" s="197"/>
      <c r="I11" s="197"/>
      <c r="J11" s="197"/>
      <c r="K11" s="196"/>
      <c r="L11" s="196"/>
    </row>
    <row r="12" spans="2:12" x14ac:dyDescent="0.35">
      <c r="B12" s="198"/>
      <c r="C12" s="198"/>
      <c r="D12" s="198" t="s">
        <v>146</v>
      </c>
      <c r="E12" s="199" t="s">
        <v>147</v>
      </c>
      <c r="F12" s="198" t="s">
        <v>148</v>
      </c>
      <c r="G12" s="198" t="s">
        <v>149</v>
      </c>
      <c r="H12" s="198" t="s">
        <v>149</v>
      </c>
      <c r="I12" s="198" t="s">
        <v>150</v>
      </c>
      <c r="J12" s="198" t="s">
        <v>6</v>
      </c>
      <c r="K12" s="198" t="s">
        <v>151</v>
      </c>
      <c r="L12" s="198" t="s">
        <v>152</v>
      </c>
    </row>
    <row r="13" spans="2:12" x14ac:dyDescent="0.35">
      <c r="B13" s="198" t="s">
        <v>153</v>
      </c>
      <c r="C13" s="198"/>
      <c r="D13" s="198"/>
      <c r="E13" s="199" t="s">
        <v>154</v>
      </c>
      <c r="F13" s="198"/>
      <c r="G13" s="199" t="s">
        <v>155</v>
      </c>
      <c r="H13" s="199" t="s">
        <v>156</v>
      </c>
      <c r="I13" s="198"/>
      <c r="J13" s="198"/>
      <c r="K13" s="198"/>
      <c r="L13" s="198" t="s">
        <v>157</v>
      </c>
    </row>
    <row r="14" spans="2:12" ht="16" thickBot="1" x14ac:dyDescent="0.4">
      <c r="B14" s="200" t="s">
        <v>158</v>
      </c>
      <c r="C14" s="200"/>
      <c r="D14" s="200"/>
      <c r="E14" s="201" t="s">
        <v>152</v>
      </c>
      <c r="F14" s="200"/>
      <c r="G14" s="200"/>
      <c r="H14" s="200"/>
      <c r="I14" s="200"/>
      <c r="J14" s="200"/>
      <c r="K14" s="200"/>
      <c r="L14" s="200"/>
    </row>
    <row r="15" spans="2:12" x14ac:dyDescent="0.35">
      <c r="B15" s="187"/>
      <c r="C15" s="187"/>
      <c r="D15" s="202"/>
      <c r="E15" s="203"/>
      <c r="F15" s="203"/>
      <c r="G15" s="203"/>
      <c r="H15" s="203"/>
      <c r="I15" s="203"/>
      <c r="J15" s="203"/>
      <c r="K15" s="203"/>
      <c r="L15" s="204"/>
    </row>
    <row r="16" spans="2:12" x14ac:dyDescent="0.35">
      <c r="B16" s="188">
        <v>1</v>
      </c>
      <c r="C16" s="188"/>
      <c r="D16" s="187" t="s">
        <v>159</v>
      </c>
      <c r="E16" s="205">
        <f>'[6]AEPTX ERCOT Matrix 2018'!$C$24</f>
        <v>327388729</v>
      </c>
      <c r="F16" s="206">
        <f>'[6]AEPTX ERCOT Matrix 2018'!$E$9</f>
        <v>155238632.99699557</v>
      </c>
      <c r="G16" s="206">
        <f>'[6]AEPTX ERCOT Matrix 2018'!$E$10</f>
        <v>6396087.8686562618</v>
      </c>
      <c r="H16" s="206">
        <f>'[6]AEPTX ERCOT Matrix 2018'!$E$11+'[6]AEPTX ERCOT Matrix 2018'!$E$12</f>
        <v>100914203.72925054</v>
      </c>
      <c r="I16" s="206">
        <f>'[6]AEPTX ERCOT Matrix 2018'!$E$13+'[6]AEPTX ERCOT Matrix 2018'!$E$14</f>
        <v>34235755.134162456</v>
      </c>
      <c r="J16" s="206">
        <f>'[6]AEPTX ERCOT Matrix 2018'!$E$15</f>
        <v>30604049.270935219</v>
      </c>
      <c r="K16" s="206">
        <f>'[6]AEPTX ERCOT Matrix 2018'!$E$16</f>
        <v>0</v>
      </c>
      <c r="L16" s="206">
        <f>SUM(F16:K16)</f>
        <v>327388729.00000006</v>
      </c>
    </row>
    <row r="17" spans="2:13" x14ac:dyDescent="0.35">
      <c r="B17" s="188">
        <v>2</v>
      </c>
      <c r="C17" s="188"/>
      <c r="D17" s="187" t="s">
        <v>160</v>
      </c>
      <c r="E17" s="206">
        <f>'[7]II-I-1'!$D$15</f>
        <v>530037302.3614347</v>
      </c>
      <c r="F17" s="206">
        <f>'[7]II-I-1'!$E$15</f>
        <v>277250469.29045224</v>
      </c>
      <c r="G17" s="206">
        <f>'[7]II-I-1'!$F$15</f>
        <v>13165914.661174802</v>
      </c>
      <c r="H17" s="206">
        <f>'[7]II-I-1'!$G$15</f>
        <v>172447518.64182019</v>
      </c>
      <c r="I17" s="206">
        <f>'[7]II-I-1'!$H$15</f>
        <v>38671232.418644793</v>
      </c>
      <c r="J17" s="206">
        <f>'[7]II-I-1'!$I$15</f>
        <v>4196817.7520137504</v>
      </c>
      <c r="K17" s="206">
        <f>'[7]II-I-1'!$J$15</f>
        <v>24305348.775266699</v>
      </c>
      <c r="L17" s="207">
        <f>SUM(F17:K17)</f>
        <v>530037301.53937244</v>
      </c>
    </row>
    <row r="18" spans="2:13" x14ac:dyDescent="0.35">
      <c r="B18" s="188">
        <v>3</v>
      </c>
      <c r="C18" s="188"/>
      <c r="D18" s="187" t="s">
        <v>161</v>
      </c>
      <c r="E18" s="206">
        <f>'[7]II-I-1'!$D$16</f>
        <v>69836702.442219093</v>
      </c>
      <c r="F18" s="206">
        <f>'[7]II-I-1'!$E$16</f>
        <v>46309180.275673166</v>
      </c>
      <c r="G18" s="206">
        <f>'[7]II-I-1'!$F$16</f>
        <v>6100793.093945032</v>
      </c>
      <c r="H18" s="206">
        <f>'[7]II-I-1'!$G$16</f>
        <v>14365528.622946717</v>
      </c>
      <c r="I18" s="206">
        <f>'[7]II-I-1'!$H$16</f>
        <v>2041695.2715644371</v>
      </c>
      <c r="J18" s="208">
        <f>'[7]II-I-1'!$I$16</f>
        <v>1019505.1780897417</v>
      </c>
      <c r="K18" s="206">
        <f>'[7]II-I-1'!$J$16</f>
        <v>0</v>
      </c>
      <c r="L18" s="207">
        <f>SUM(F18:K18)</f>
        <v>69836702.442219093</v>
      </c>
    </row>
    <row r="19" spans="2:13" x14ac:dyDescent="0.35">
      <c r="B19" s="188">
        <v>4</v>
      </c>
      <c r="C19" s="188"/>
      <c r="D19" s="209" t="s">
        <v>162</v>
      </c>
      <c r="E19" s="206">
        <f>'[7]II-I-1'!$D$17</f>
        <v>19281511.520981599</v>
      </c>
      <c r="F19" s="206">
        <f>'[7]II-I-1'!$E$17</f>
        <v>16211653.637192376</v>
      </c>
      <c r="G19" s="206">
        <f>'[7]II-I-1'!$F$17</f>
        <v>1651296.786871291</v>
      </c>
      <c r="H19" s="206">
        <f>'[7]II-I-1'!$G$17</f>
        <v>1353924.8706182996</v>
      </c>
      <c r="I19" s="206">
        <f>'[7]II-I-1'!$H$17</f>
        <v>20249.740118764199</v>
      </c>
      <c r="J19" s="208">
        <f>'[7]II-I-1'!$I$17</f>
        <v>1775.3967892897176</v>
      </c>
      <c r="K19" s="207">
        <f>'[7]II-I-1'!$J$17</f>
        <v>42611.089391575151</v>
      </c>
      <c r="L19" s="207">
        <f>SUM(F19:K19)</f>
        <v>19281511.520981595</v>
      </c>
    </row>
    <row r="20" spans="2:13" ht="16" thickBot="1" x14ac:dyDescent="0.4">
      <c r="B20" s="188">
        <v>5</v>
      </c>
      <c r="C20" s="188"/>
      <c r="D20" s="187"/>
      <c r="E20" s="210"/>
      <c r="F20" s="210"/>
      <c r="G20" s="210"/>
      <c r="H20" s="210"/>
      <c r="I20" s="211"/>
      <c r="J20" s="212"/>
      <c r="K20" s="213"/>
      <c r="L20" s="188"/>
    </row>
    <row r="21" spans="2:13" ht="16" thickBot="1" x14ac:dyDescent="0.4">
      <c r="B21" s="188">
        <v>6</v>
      </c>
      <c r="C21" s="188"/>
      <c r="D21" s="214" t="s">
        <v>163</v>
      </c>
      <c r="E21" s="215">
        <f t="shared" ref="E21:L21" si="0">SUM(E16:E19)</f>
        <v>946544245.32463539</v>
      </c>
      <c r="F21" s="215">
        <f t="shared" si="0"/>
        <v>495009936.20031333</v>
      </c>
      <c r="G21" s="215">
        <f t="shared" si="0"/>
        <v>27314092.410647385</v>
      </c>
      <c r="H21" s="215">
        <f t="shared" si="0"/>
        <v>289081175.86463577</v>
      </c>
      <c r="I21" s="215">
        <f t="shared" si="0"/>
        <v>74968932.564490438</v>
      </c>
      <c r="J21" s="215">
        <f t="shared" si="0"/>
        <v>35822147.597828001</v>
      </c>
      <c r="K21" s="215">
        <f t="shared" si="0"/>
        <v>24347959.864658274</v>
      </c>
      <c r="L21" s="216">
        <f t="shared" si="0"/>
        <v>946544244.50257313</v>
      </c>
    </row>
    <row r="22" spans="2:13" x14ac:dyDescent="0.35">
      <c r="B22" s="217">
        <v>7</v>
      </c>
      <c r="E22" s="206"/>
      <c r="F22" s="218"/>
      <c r="G22" s="218"/>
      <c r="H22" s="218"/>
      <c r="I22" s="218"/>
      <c r="J22" s="218"/>
      <c r="K22" s="218"/>
      <c r="L22" s="218"/>
      <c r="M22" s="219"/>
    </row>
    <row r="23" spans="2:13" x14ac:dyDescent="0.35">
      <c r="B23" s="217">
        <v>8</v>
      </c>
      <c r="D23" s="189" t="s">
        <v>164</v>
      </c>
      <c r="E23" s="219">
        <f>L23</f>
        <v>946555817.4376868</v>
      </c>
      <c r="F23" s="219">
        <f>'AEPTX RS'!J37</f>
        <v>494979094</v>
      </c>
      <c r="G23" s="219">
        <f>'AEPTX Sec LT 10'!J39</f>
        <v>26183188</v>
      </c>
      <c r="H23" s="219">
        <f>'AEPTX Sec GT 10'!J44</f>
        <v>289131326</v>
      </c>
      <c r="I23" s="219">
        <f>'AEPTX Primary '!J43</f>
        <v>74963742</v>
      </c>
      <c r="J23" s="219">
        <f>'AEPTX Trans'!J38</f>
        <v>35822548</v>
      </c>
      <c r="K23" s="219">
        <f>'AEPTX Lighting'!J38+'AEPTX Sec LT 10'!J44</f>
        <v>25475919.437686823</v>
      </c>
      <c r="L23" s="219">
        <f>SUM(F23:K23)</f>
        <v>946555817.4376868</v>
      </c>
    </row>
    <row r="24" spans="2:13" x14ac:dyDescent="0.35">
      <c r="B24" s="217">
        <v>9</v>
      </c>
      <c r="D24" s="189" t="s">
        <v>165</v>
      </c>
      <c r="E24" s="219">
        <f>L24</f>
        <v>11572.935113668442</v>
      </c>
      <c r="F24" s="219">
        <f t="shared" ref="F24:L24" si="1">F23-F21</f>
        <v>-30842.200313329697</v>
      </c>
      <c r="G24" s="219">
        <f t="shared" si="1"/>
        <v>-1130904.4106473848</v>
      </c>
      <c r="H24" s="219">
        <f t="shared" si="1"/>
        <v>50150.135364234447</v>
      </c>
      <c r="I24" s="219">
        <f t="shared" si="1"/>
        <v>-5190.5644904375076</v>
      </c>
      <c r="J24" s="219">
        <f t="shared" si="1"/>
        <v>400.40217199921608</v>
      </c>
      <c r="K24" s="219">
        <f t="shared" si="1"/>
        <v>1127959.5730285496</v>
      </c>
      <c r="L24" s="219">
        <f t="shared" si="1"/>
        <v>11572.935113668442</v>
      </c>
      <c r="M24" s="219"/>
    </row>
    <row r="25" spans="2:13" x14ac:dyDescent="0.35">
      <c r="B25" s="217"/>
      <c r="D25" s="220"/>
      <c r="E25" s="205"/>
      <c r="F25" s="206"/>
      <c r="G25" s="206"/>
      <c r="H25" s="206"/>
      <c r="I25" s="206"/>
      <c r="J25" s="206"/>
      <c r="K25" s="206"/>
      <c r="L25" s="206"/>
    </row>
    <row r="26" spans="2:13" x14ac:dyDescent="0.35">
      <c r="B26" s="217"/>
      <c r="D26" s="209"/>
      <c r="E26" s="206"/>
      <c r="F26" s="206"/>
      <c r="G26" s="206"/>
      <c r="H26" s="206"/>
      <c r="I26" s="206"/>
      <c r="J26" s="206"/>
      <c r="K26" s="206"/>
      <c r="L26" s="206"/>
    </row>
    <row r="27" spans="2:13" x14ac:dyDescent="0.35">
      <c r="B27" s="217"/>
      <c r="D27" s="209"/>
      <c r="E27" s="206"/>
      <c r="F27" s="221"/>
      <c r="G27" s="221"/>
      <c r="H27" s="221"/>
      <c r="I27" s="221"/>
      <c r="J27" s="221"/>
      <c r="K27" s="221"/>
      <c r="L27" s="221"/>
    </row>
    <row r="28" spans="2:13" x14ac:dyDescent="0.35">
      <c r="B28" s="217"/>
      <c r="D28" s="209"/>
      <c r="E28" s="206"/>
      <c r="F28" s="221"/>
      <c r="G28" s="221"/>
      <c r="H28" s="221"/>
      <c r="I28" s="221"/>
      <c r="J28" s="221"/>
      <c r="K28" s="221"/>
      <c r="L28" s="221"/>
    </row>
    <row r="29" spans="2:13" x14ac:dyDescent="0.35">
      <c r="B29" s="217"/>
      <c r="D29" s="209"/>
      <c r="E29" s="206"/>
      <c r="F29" s="221"/>
      <c r="G29" s="221"/>
      <c r="H29" s="221"/>
      <c r="I29" s="221"/>
      <c r="J29" s="221"/>
      <c r="K29" s="221"/>
      <c r="L29" s="221"/>
    </row>
    <row r="30" spans="2:13" x14ac:dyDescent="0.35">
      <c r="B30" s="217"/>
      <c r="D30" s="209"/>
      <c r="E30" s="206"/>
      <c r="F30" s="218"/>
      <c r="G30" s="218"/>
      <c r="H30" s="218"/>
      <c r="I30" s="218"/>
      <c r="J30" s="218"/>
      <c r="K30" s="218"/>
      <c r="L30" s="207"/>
    </row>
    <row r="31" spans="2:13" x14ac:dyDescent="0.35">
      <c r="B31" s="217"/>
      <c r="D31" s="209"/>
      <c r="E31" s="206"/>
      <c r="F31" s="206"/>
      <c r="G31" s="206"/>
      <c r="H31" s="206"/>
      <c r="I31" s="206"/>
      <c r="J31" s="206"/>
      <c r="K31" s="206"/>
      <c r="L31" s="206"/>
    </row>
    <row r="32" spans="2:13" x14ac:dyDescent="0.35">
      <c r="B32" s="217"/>
      <c r="D32" s="209"/>
      <c r="E32" s="206"/>
      <c r="F32" s="222"/>
      <c r="G32" s="222"/>
      <c r="H32" s="222"/>
      <c r="I32" s="222"/>
      <c r="J32" s="222"/>
      <c r="K32" s="218"/>
      <c r="L32" s="218"/>
    </row>
    <row r="33" spans="2:12" x14ac:dyDescent="0.35">
      <c r="B33" s="217"/>
      <c r="D33" s="209"/>
      <c r="E33" s="206"/>
      <c r="F33" s="222"/>
      <c r="G33" s="218"/>
      <c r="H33" s="218"/>
      <c r="I33" s="218"/>
      <c r="J33" s="218"/>
      <c r="K33" s="218"/>
      <c r="L33" s="218"/>
    </row>
    <row r="34" spans="2:12" x14ac:dyDescent="0.35">
      <c r="B34" s="217"/>
      <c r="D34" s="220"/>
      <c r="E34" s="206"/>
      <c r="F34" s="218"/>
      <c r="G34" s="218"/>
      <c r="H34" s="218"/>
      <c r="I34" s="218"/>
      <c r="J34" s="218"/>
      <c r="K34" s="218"/>
      <c r="L34" s="218"/>
    </row>
    <row r="35" spans="2:12" x14ac:dyDescent="0.35">
      <c r="B35" s="217"/>
      <c r="D35" s="209"/>
      <c r="E35" s="206"/>
      <c r="F35" s="206"/>
      <c r="G35" s="206"/>
      <c r="H35" s="206"/>
      <c r="I35" s="206"/>
      <c r="J35" s="206"/>
      <c r="K35" s="206"/>
      <c r="L35" s="206"/>
    </row>
    <row r="36" spans="2:12" x14ac:dyDescent="0.35">
      <c r="B36" s="217"/>
      <c r="D36" s="209"/>
      <c r="E36" s="206"/>
      <c r="F36" s="206"/>
      <c r="G36" s="206"/>
      <c r="H36" s="206"/>
      <c r="I36" s="206"/>
      <c r="J36" s="206"/>
      <c r="K36" s="206"/>
      <c r="L36" s="206"/>
    </row>
    <row r="37" spans="2:12" x14ac:dyDescent="0.35">
      <c r="B37" s="217"/>
      <c r="D37" s="209"/>
      <c r="E37" s="206"/>
      <c r="F37" s="206"/>
      <c r="G37" s="206"/>
      <c r="H37" s="206"/>
      <c r="I37" s="206"/>
      <c r="J37" s="206"/>
      <c r="K37" s="206"/>
      <c r="L37" s="206"/>
    </row>
    <row r="38" spans="2:12" x14ac:dyDescent="0.35">
      <c r="B38" s="217"/>
      <c r="D38" s="209"/>
      <c r="E38" s="223"/>
      <c r="F38" s="223"/>
      <c r="G38" s="223"/>
      <c r="H38" s="223"/>
      <c r="I38" s="223"/>
      <c r="J38" s="223"/>
      <c r="K38" s="223"/>
      <c r="L38" s="223"/>
    </row>
    <row r="39" spans="2:12" x14ac:dyDescent="0.35">
      <c r="B39" s="217"/>
      <c r="D39" s="209"/>
      <c r="E39" s="223"/>
      <c r="F39" s="223"/>
      <c r="G39" s="223"/>
      <c r="H39" s="223"/>
      <c r="I39" s="223"/>
      <c r="J39" s="223"/>
      <c r="K39" s="223"/>
      <c r="L39" s="223"/>
    </row>
    <row r="40" spans="2:12" x14ac:dyDescent="0.35">
      <c r="D40" s="209"/>
    </row>
    <row r="41" spans="2:12" x14ac:dyDescent="0.35">
      <c r="F41" s="224"/>
    </row>
    <row r="42" spans="2:12" x14ac:dyDescent="0.35">
      <c r="F42" s="224"/>
      <c r="G42" s="224"/>
      <c r="H42" s="224"/>
      <c r="J42" s="221"/>
    </row>
    <row r="43" spans="2:12" x14ac:dyDescent="0.35">
      <c r="F43" s="224"/>
      <c r="H43" s="221"/>
    </row>
    <row r="44" spans="2:12" x14ac:dyDescent="0.35">
      <c r="G44" s="224"/>
    </row>
    <row r="45" spans="2:12" x14ac:dyDescent="0.35">
      <c r="F45" s="221"/>
    </row>
  </sheetData>
  <printOptions horizontalCentered="1"/>
  <pageMargins left="0.7" right="0.7" top="0.75" bottom="0.75" header="0.3" footer="0.3"/>
  <pageSetup scale="40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91"/>
  <sheetViews>
    <sheetView topLeftCell="A19" workbookViewId="0">
      <selection activeCell="D44" sqref="D44"/>
    </sheetView>
  </sheetViews>
  <sheetFormatPr defaultColWidth="12.54296875" defaultRowHeight="14.5" x14ac:dyDescent="0.35"/>
  <cols>
    <col min="1" max="1" width="2.1796875" style="52" customWidth="1"/>
    <col min="2" max="2" width="32.26953125" style="52" bestFit="1" customWidth="1"/>
    <col min="3" max="3" width="2.26953125" style="52" customWidth="1"/>
    <col min="4" max="4" width="16.81640625" style="52" bestFit="1" customWidth="1"/>
    <col min="5" max="5" width="12.54296875" style="52"/>
    <col min="6" max="6" width="2.26953125" style="52" customWidth="1"/>
    <col min="7" max="7" width="26.26953125" style="52" bestFit="1" customWidth="1"/>
    <col min="8" max="8" width="12.7265625" style="52" bestFit="1" customWidth="1"/>
    <col min="9" max="9" width="2.26953125" style="52" customWidth="1"/>
    <col min="10" max="10" width="16.54296875" style="52" bestFit="1" customWidth="1"/>
    <col min="11" max="256" width="12.54296875" style="52"/>
    <col min="257" max="257" width="2.1796875" style="52" customWidth="1"/>
    <col min="258" max="258" width="32.26953125" style="52" bestFit="1" customWidth="1"/>
    <col min="259" max="259" width="2.26953125" style="52" customWidth="1"/>
    <col min="260" max="260" width="16.81640625" style="52" bestFit="1" customWidth="1"/>
    <col min="261" max="261" width="12.54296875" style="52"/>
    <col min="262" max="262" width="2.26953125" style="52" customWidth="1"/>
    <col min="263" max="263" width="19.7265625" style="52" customWidth="1"/>
    <col min="264" max="264" width="12.7265625" style="52" bestFit="1" customWidth="1"/>
    <col min="265" max="265" width="2.26953125" style="52" customWidth="1"/>
    <col min="266" max="266" width="16.54296875" style="52" bestFit="1" customWidth="1"/>
    <col min="267" max="512" width="12.54296875" style="52"/>
    <col min="513" max="513" width="2.1796875" style="52" customWidth="1"/>
    <col min="514" max="514" width="32.26953125" style="52" bestFit="1" customWidth="1"/>
    <col min="515" max="515" width="2.26953125" style="52" customWidth="1"/>
    <col min="516" max="516" width="16.81640625" style="52" bestFit="1" customWidth="1"/>
    <col min="517" max="517" width="12.54296875" style="52"/>
    <col min="518" max="518" width="2.26953125" style="52" customWidth="1"/>
    <col min="519" max="519" width="19.7265625" style="52" customWidth="1"/>
    <col min="520" max="520" width="12.7265625" style="52" bestFit="1" customWidth="1"/>
    <col min="521" max="521" width="2.26953125" style="52" customWidth="1"/>
    <col min="522" max="522" width="16.54296875" style="52" bestFit="1" customWidth="1"/>
    <col min="523" max="768" width="12.54296875" style="52"/>
    <col min="769" max="769" width="2.1796875" style="52" customWidth="1"/>
    <col min="770" max="770" width="32.26953125" style="52" bestFit="1" customWidth="1"/>
    <col min="771" max="771" width="2.26953125" style="52" customWidth="1"/>
    <col min="772" max="772" width="16.81640625" style="52" bestFit="1" customWidth="1"/>
    <col min="773" max="773" width="12.54296875" style="52"/>
    <col min="774" max="774" width="2.26953125" style="52" customWidth="1"/>
    <col min="775" max="775" width="19.7265625" style="52" customWidth="1"/>
    <col min="776" max="776" width="12.7265625" style="52" bestFit="1" customWidth="1"/>
    <col min="777" max="777" width="2.26953125" style="52" customWidth="1"/>
    <col min="778" max="778" width="16.54296875" style="52" bestFit="1" customWidth="1"/>
    <col min="779" max="1024" width="12.54296875" style="52"/>
    <col min="1025" max="1025" width="2.1796875" style="52" customWidth="1"/>
    <col min="1026" max="1026" width="32.26953125" style="52" bestFit="1" customWidth="1"/>
    <col min="1027" max="1027" width="2.26953125" style="52" customWidth="1"/>
    <col min="1028" max="1028" width="16.81640625" style="52" bestFit="1" customWidth="1"/>
    <col min="1029" max="1029" width="12.54296875" style="52"/>
    <col min="1030" max="1030" width="2.26953125" style="52" customWidth="1"/>
    <col min="1031" max="1031" width="19.7265625" style="52" customWidth="1"/>
    <col min="1032" max="1032" width="12.7265625" style="52" bestFit="1" customWidth="1"/>
    <col min="1033" max="1033" width="2.26953125" style="52" customWidth="1"/>
    <col min="1034" max="1034" width="16.54296875" style="52" bestFit="1" customWidth="1"/>
    <col min="1035" max="1280" width="12.54296875" style="52"/>
    <col min="1281" max="1281" width="2.1796875" style="52" customWidth="1"/>
    <col min="1282" max="1282" width="32.26953125" style="52" bestFit="1" customWidth="1"/>
    <col min="1283" max="1283" width="2.26953125" style="52" customWidth="1"/>
    <col min="1284" max="1284" width="16.81640625" style="52" bestFit="1" customWidth="1"/>
    <col min="1285" max="1285" width="12.54296875" style="52"/>
    <col min="1286" max="1286" width="2.26953125" style="52" customWidth="1"/>
    <col min="1287" max="1287" width="19.7265625" style="52" customWidth="1"/>
    <col min="1288" max="1288" width="12.7265625" style="52" bestFit="1" customWidth="1"/>
    <col min="1289" max="1289" width="2.26953125" style="52" customWidth="1"/>
    <col min="1290" max="1290" width="16.54296875" style="52" bestFit="1" customWidth="1"/>
    <col min="1291" max="1536" width="12.54296875" style="52"/>
    <col min="1537" max="1537" width="2.1796875" style="52" customWidth="1"/>
    <col min="1538" max="1538" width="32.26953125" style="52" bestFit="1" customWidth="1"/>
    <col min="1539" max="1539" width="2.26953125" style="52" customWidth="1"/>
    <col min="1540" max="1540" width="16.81640625" style="52" bestFit="1" customWidth="1"/>
    <col min="1541" max="1541" width="12.54296875" style="52"/>
    <col min="1542" max="1542" width="2.26953125" style="52" customWidth="1"/>
    <col min="1543" max="1543" width="19.7265625" style="52" customWidth="1"/>
    <col min="1544" max="1544" width="12.7265625" style="52" bestFit="1" customWidth="1"/>
    <col min="1545" max="1545" width="2.26953125" style="52" customWidth="1"/>
    <col min="1546" max="1546" width="16.54296875" style="52" bestFit="1" customWidth="1"/>
    <col min="1547" max="1792" width="12.54296875" style="52"/>
    <col min="1793" max="1793" width="2.1796875" style="52" customWidth="1"/>
    <col min="1794" max="1794" width="32.26953125" style="52" bestFit="1" customWidth="1"/>
    <col min="1795" max="1795" width="2.26953125" style="52" customWidth="1"/>
    <col min="1796" max="1796" width="16.81640625" style="52" bestFit="1" customWidth="1"/>
    <col min="1797" max="1797" width="12.54296875" style="52"/>
    <col min="1798" max="1798" width="2.26953125" style="52" customWidth="1"/>
    <col min="1799" max="1799" width="19.7265625" style="52" customWidth="1"/>
    <col min="1800" max="1800" width="12.7265625" style="52" bestFit="1" customWidth="1"/>
    <col min="1801" max="1801" width="2.26953125" style="52" customWidth="1"/>
    <col min="1802" max="1802" width="16.54296875" style="52" bestFit="1" customWidth="1"/>
    <col min="1803" max="2048" width="12.54296875" style="52"/>
    <col min="2049" max="2049" width="2.1796875" style="52" customWidth="1"/>
    <col min="2050" max="2050" width="32.26953125" style="52" bestFit="1" customWidth="1"/>
    <col min="2051" max="2051" width="2.26953125" style="52" customWidth="1"/>
    <col min="2052" max="2052" width="16.81640625" style="52" bestFit="1" customWidth="1"/>
    <col min="2053" max="2053" width="12.54296875" style="52"/>
    <col min="2054" max="2054" width="2.26953125" style="52" customWidth="1"/>
    <col min="2055" max="2055" width="19.7265625" style="52" customWidth="1"/>
    <col min="2056" max="2056" width="12.7265625" style="52" bestFit="1" customWidth="1"/>
    <col min="2057" max="2057" width="2.26953125" style="52" customWidth="1"/>
    <col min="2058" max="2058" width="16.54296875" style="52" bestFit="1" customWidth="1"/>
    <col min="2059" max="2304" width="12.54296875" style="52"/>
    <col min="2305" max="2305" width="2.1796875" style="52" customWidth="1"/>
    <col min="2306" max="2306" width="32.26953125" style="52" bestFit="1" customWidth="1"/>
    <col min="2307" max="2307" width="2.26953125" style="52" customWidth="1"/>
    <col min="2308" max="2308" width="16.81640625" style="52" bestFit="1" customWidth="1"/>
    <col min="2309" max="2309" width="12.54296875" style="52"/>
    <col min="2310" max="2310" width="2.26953125" style="52" customWidth="1"/>
    <col min="2311" max="2311" width="19.7265625" style="52" customWidth="1"/>
    <col min="2312" max="2312" width="12.7265625" style="52" bestFit="1" customWidth="1"/>
    <col min="2313" max="2313" width="2.26953125" style="52" customWidth="1"/>
    <col min="2314" max="2314" width="16.54296875" style="52" bestFit="1" customWidth="1"/>
    <col min="2315" max="2560" width="12.54296875" style="52"/>
    <col min="2561" max="2561" width="2.1796875" style="52" customWidth="1"/>
    <col min="2562" max="2562" width="32.26953125" style="52" bestFit="1" customWidth="1"/>
    <col min="2563" max="2563" width="2.26953125" style="52" customWidth="1"/>
    <col min="2564" max="2564" width="16.81640625" style="52" bestFit="1" customWidth="1"/>
    <col min="2565" max="2565" width="12.54296875" style="52"/>
    <col min="2566" max="2566" width="2.26953125" style="52" customWidth="1"/>
    <col min="2567" max="2567" width="19.7265625" style="52" customWidth="1"/>
    <col min="2568" max="2568" width="12.7265625" style="52" bestFit="1" customWidth="1"/>
    <col min="2569" max="2569" width="2.26953125" style="52" customWidth="1"/>
    <col min="2570" max="2570" width="16.54296875" style="52" bestFit="1" customWidth="1"/>
    <col min="2571" max="2816" width="12.54296875" style="52"/>
    <col min="2817" max="2817" width="2.1796875" style="52" customWidth="1"/>
    <col min="2818" max="2818" width="32.26953125" style="52" bestFit="1" customWidth="1"/>
    <col min="2819" max="2819" width="2.26953125" style="52" customWidth="1"/>
    <col min="2820" max="2820" width="16.81640625" style="52" bestFit="1" customWidth="1"/>
    <col min="2821" max="2821" width="12.54296875" style="52"/>
    <col min="2822" max="2822" width="2.26953125" style="52" customWidth="1"/>
    <col min="2823" max="2823" width="19.7265625" style="52" customWidth="1"/>
    <col min="2824" max="2824" width="12.7265625" style="52" bestFit="1" customWidth="1"/>
    <col min="2825" max="2825" width="2.26953125" style="52" customWidth="1"/>
    <col min="2826" max="2826" width="16.54296875" style="52" bestFit="1" customWidth="1"/>
    <col min="2827" max="3072" width="12.54296875" style="52"/>
    <col min="3073" max="3073" width="2.1796875" style="52" customWidth="1"/>
    <col min="3074" max="3074" width="32.26953125" style="52" bestFit="1" customWidth="1"/>
    <col min="3075" max="3075" width="2.26953125" style="52" customWidth="1"/>
    <col min="3076" max="3076" width="16.81640625" style="52" bestFit="1" customWidth="1"/>
    <col min="3077" max="3077" width="12.54296875" style="52"/>
    <col min="3078" max="3078" width="2.26953125" style="52" customWidth="1"/>
    <col min="3079" max="3079" width="19.7265625" style="52" customWidth="1"/>
    <col min="3080" max="3080" width="12.7265625" style="52" bestFit="1" customWidth="1"/>
    <col min="3081" max="3081" width="2.26953125" style="52" customWidth="1"/>
    <col min="3082" max="3082" width="16.54296875" style="52" bestFit="1" customWidth="1"/>
    <col min="3083" max="3328" width="12.54296875" style="52"/>
    <col min="3329" max="3329" width="2.1796875" style="52" customWidth="1"/>
    <col min="3330" max="3330" width="32.26953125" style="52" bestFit="1" customWidth="1"/>
    <col min="3331" max="3331" width="2.26953125" style="52" customWidth="1"/>
    <col min="3332" max="3332" width="16.81640625" style="52" bestFit="1" customWidth="1"/>
    <col min="3333" max="3333" width="12.54296875" style="52"/>
    <col min="3334" max="3334" width="2.26953125" style="52" customWidth="1"/>
    <col min="3335" max="3335" width="19.7265625" style="52" customWidth="1"/>
    <col min="3336" max="3336" width="12.7265625" style="52" bestFit="1" customWidth="1"/>
    <col min="3337" max="3337" width="2.26953125" style="52" customWidth="1"/>
    <col min="3338" max="3338" width="16.54296875" style="52" bestFit="1" customWidth="1"/>
    <col min="3339" max="3584" width="12.54296875" style="52"/>
    <col min="3585" max="3585" width="2.1796875" style="52" customWidth="1"/>
    <col min="3586" max="3586" width="32.26953125" style="52" bestFit="1" customWidth="1"/>
    <col min="3587" max="3587" width="2.26953125" style="52" customWidth="1"/>
    <col min="3588" max="3588" width="16.81640625" style="52" bestFit="1" customWidth="1"/>
    <col min="3589" max="3589" width="12.54296875" style="52"/>
    <col min="3590" max="3590" width="2.26953125" style="52" customWidth="1"/>
    <col min="3591" max="3591" width="19.7265625" style="52" customWidth="1"/>
    <col min="3592" max="3592" width="12.7265625" style="52" bestFit="1" customWidth="1"/>
    <col min="3593" max="3593" width="2.26953125" style="52" customWidth="1"/>
    <col min="3594" max="3594" width="16.54296875" style="52" bestFit="1" customWidth="1"/>
    <col min="3595" max="3840" width="12.54296875" style="52"/>
    <col min="3841" max="3841" width="2.1796875" style="52" customWidth="1"/>
    <col min="3842" max="3842" width="32.26953125" style="52" bestFit="1" customWidth="1"/>
    <col min="3843" max="3843" width="2.26953125" style="52" customWidth="1"/>
    <col min="3844" max="3844" width="16.81640625" style="52" bestFit="1" customWidth="1"/>
    <col min="3845" max="3845" width="12.54296875" style="52"/>
    <col min="3846" max="3846" width="2.26953125" style="52" customWidth="1"/>
    <col min="3847" max="3847" width="19.7265625" style="52" customWidth="1"/>
    <col min="3848" max="3848" width="12.7265625" style="52" bestFit="1" customWidth="1"/>
    <col min="3849" max="3849" width="2.26953125" style="52" customWidth="1"/>
    <col min="3850" max="3850" width="16.54296875" style="52" bestFit="1" customWidth="1"/>
    <col min="3851" max="4096" width="12.54296875" style="52"/>
    <col min="4097" max="4097" width="2.1796875" style="52" customWidth="1"/>
    <col min="4098" max="4098" width="32.26953125" style="52" bestFit="1" customWidth="1"/>
    <col min="4099" max="4099" width="2.26953125" style="52" customWidth="1"/>
    <col min="4100" max="4100" width="16.81640625" style="52" bestFit="1" customWidth="1"/>
    <col min="4101" max="4101" width="12.54296875" style="52"/>
    <col min="4102" max="4102" width="2.26953125" style="52" customWidth="1"/>
    <col min="4103" max="4103" width="19.7265625" style="52" customWidth="1"/>
    <col min="4104" max="4104" width="12.7265625" style="52" bestFit="1" customWidth="1"/>
    <col min="4105" max="4105" width="2.26953125" style="52" customWidth="1"/>
    <col min="4106" max="4106" width="16.54296875" style="52" bestFit="1" customWidth="1"/>
    <col min="4107" max="4352" width="12.54296875" style="52"/>
    <col min="4353" max="4353" width="2.1796875" style="52" customWidth="1"/>
    <col min="4354" max="4354" width="32.26953125" style="52" bestFit="1" customWidth="1"/>
    <col min="4355" max="4355" width="2.26953125" style="52" customWidth="1"/>
    <col min="4356" max="4356" width="16.81640625" style="52" bestFit="1" customWidth="1"/>
    <col min="4357" max="4357" width="12.54296875" style="52"/>
    <col min="4358" max="4358" width="2.26953125" style="52" customWidth="1"/>
    <col min="4359" max="4359" width="19.7265625" style="52" customWidth="1"/>
    <col min="4360" max="4360" width="12.7265625" style="52" bestFit="1" customWidth="1"/>
    <col min="4361" max="4361" width="2.26953125" style="52" customWidth="1"/>
    <col min="4362" max="4362" width="16.54296875" style="52" bestFit="1" customWidth="1"/>
    <col min="4363" max="4608" width="12.54296875" style="52"/>
    <col min="4609" max="4609" width="2.1796875" style="52" customWidth="1"/>
    <col min="4610" max="4610" width="32.26953125" style="52" bestFit="1" customWidth="1"/>
    <col min="4611" max="4611" width="2.26953125" style="52" customWidth="1"/>
    <col min="4612" max="4612" width="16.81640625" style="52" bestFit="1" customWidth="1"/>
    <col min="4613" max="4613" width="12.54296875" style="52"/>
    <col min="4614" max="4614" width="2.26953125" style="52" customWidth="1"/>
    <col min="4615" max="4615" width="19.7265625" style="52" customWidth="1"/>
    <col min="4616" max="4616" width="12.7265625" style="52" bestFit="1" customWidth="1"/>
    <col min="4617" max="4617" width="2.26953125" style="52" customWidth="1"/>
    <col min="4618" max="4618" width="16.54296875" style="52" bestFit="1" customWidth="1"/>
    <col min="4619" max="4864" width="12.54296875" style="52"/>
    <col min="4865" max="4865" width="2.1796875" style="52" customWidth="1"/>
    <col min="4866" max="4866" width="32.26953125" style="52" bestFit="1" customWidth="1"/>
    <col min="4867" max="4867" width="2.26953125" style="52" customWidth="1"/>
    <col min="4868" max="4868" width="16.81640625" style="52" bestFit="1" customWidth="1"/>
    <col min="4869" max="4869" width="12.54296875" style="52"/>
    <col min="4870" max="4870" width="2.26953125" style="52" customWidth="1"/>
    <col min="4871" max="4871" width="19.7265625" style="52" customWidth="1"/>
    <col min="4872" max="4872" width="12.7265625" style="52" bestFit="1" customWidth="1"/>
    <col min="4873" max="4873" width="2.26953125" style="52" customWidth="1"/>
    <col min="4874" max="4874" width="16.54296875" style="52" bestFit="1" customWidth="1"/>
    <col min="4875" max="5120" width="12.54296875" style="52"/>
    <col min="5121" max="5121" width="2.1796875" style="52" customWidth="1"/>
    <col min="5122" max="5122" width="32.26953125" style="52" bestFit="1" customWidth="1"/>
    <col min="5123" max="5123" width="2.26953125" style="52" customWidth="1"/>
    <col min="5124" max="5124" width="16.81640625" style="52" bestFit="1" customWidth="1"/>
    <col min="5125" max="5125" width="12.54296875" style="52"/>
    <col min="5126" max="5126" width="2.26953125" style="52" customWidth="1"/>
    <col min="5127" max="5127" width="19.7265625" style="52" customWidth="1"/>
    <col min="5128" max="5128" width="12.7265625" style="52" bestFit="1" customWidth="1"/>
    <col min="5129" max="5129" width="2.26953125" style="52" customWidth="1"/>
    <col min="5130" max="5130" width="16.54296875" style="52" bestFit="1" customWidth="1"/>
    <col min="5131" max="5376" width="12.54296875" style="52"/>
    <col min="5377" max="5377" width="2.1796875" style="52" customWidth="1"/>
    <col min="5378" max="5378" width="32.26953125" style="52" bestFit="1" customWidth="1"/>
    <col min="5379" max="5379" width="2.26953125" style="52" customWidth="1"/>
    <col min="5380" max="5380" width="16.81640625" style="52" bestFit="1" customWidth="1"/>
    <col min="5381" max="5381" width="12.54296875" style="52"/>
    <col min="5382" max="5382" width="2.26953125" style="52" customWidth="1"/>
    <col min="5383" max="5383" width="19.7265625" style="52" customWidth="1"/>
    <col min="5384" max="5384" width="12.7265625" style="52" bestFit="1" customWidth="1"/>
    <col min="5385" max="5385" width="2.26953125" style="52" customWidth="1"/>
    <col min="5386" max="5386" width="16.54296875" style="52" bestFit="1" customWidth="1"/>
    <col min="5387" max="5632" width="12.54296875" style="52"/>
    <col min="5633" max="5633" width="2.1796875" style="52" customWidth="1"/>
    <col min="5634" max="5634" width="32.26953125" style="52" bestFit="1" customWidth="1"/>
    <col min="5635" max="5635" width="2.26953125" style="52" customWidth="1"/>
    <col min="5636" max="5636" width="16.81640625" style="52" bestFit="1" customWidth="1"/>
    <col min="5637" max="5637" width="12.54296875" style="52"/>
    <col min="5638" max="5638" width="2.26953125" style="52" customWidth="1"/>
    <col min="5639" max="5639" width="19.7265625" style="52" customWidth="1"/>
    <col min="5640" max="5640" width="12.7265625" style="52" bestFit="1" customWidth="1"/>
    <col min="5641" max="5641" width="2.26953125" style="52" customWidth="1"/>
    <col min="5642" max="5642" width="16.54296875" style="52" bestFit="1" customWidth="1"/>
    <col min="5643" max="5888" width="12.54296875" style="52"/>
    <col min="5889" max="5889" width="2.1796875" style="52" customWidth="1"/>
    <col min="5890" max="5890" width="32.26953125" style="52" bestFit="1" customWidth="1"/>
    <col min="5891" max="5891" width="2.26953125" style="52" customWidth="1"/>
    <col min="5892" max="5892" width="16.81640625" style="52" bestFit="1" customWidth="1"/>
    <col min="5893" max="5893" width="12.54296875" style="52"/>
    <col min="5894" max="5894" width="2.26953125" style="52" customWidth="1"/>
    <col min="5895" max="5895" width="19.7265625" style="52" customWidth="1"/>
    <col min="5896" max="5896" width="12.7265625" style="52" bestFit="1" customWidth="1"/>
    <col min="5897" max="5897" width="2.26953125" style="52" customWidth="1"/>
    <col min="5898" max="5898" width="16.54296875" style="52" bestFit="1" customWidth="1"/>
    <col min="5899" max="6144" width="12.54296875" style="52"/>
    <col min="6145" max="6145" width="2.1796875" style="52" customWidth="1"/>
    <col min="6146" max="6146" width="32.26953125" style="52" bestFit="1" customWidth="1"/>
    <col min="6147" max="6147" width="2.26953125" style="52" customWidth="1"/>
    <col min="6148" max="6148" width="16.81640625" style="52" bestFit="1" customWidth="1"/>
    <col min="6149" max="6149" width="12.54296875" style="52"/>
    <col min="6150" max="6150" width="2.26953125" style="52" customWidth="1"/>
    <col min="6151" max="6151" width="19.7265625" style="52" customWidth="1"/>
    <col min="6152" max="6152" width="12.7265625" style="52" bestFit="1" customWidth="1"/>
    <col min="6153" max="6153" width="2.26953125" style="52" customWidth="1"/>
    <col min="6154" max="6154" width="16.54296875" style="52" bestFit="1" customWidth="1"/>
    <col min="6155" max="6400" width="12.54296875" style="52"/>
    <col min="6401" max="6401" width="2.1796875" style="52" customWidth="1"/>
    <col min="6402" max="6402" width="32.26953125" style="52" bestFit="1" customWidth="1"/>
    <col min="6403" max="6403" width="2.26953125" style="52" customWidth="1"/>
    <col min="6404" max="6404" width="16.81640625" style="52" bestFit="1" customWidth="1"/>
    <col min="6405" max="6405" width="12.54296875" style="52"/>
    <col min="6406" max="6406" width="2.26953125" style="52" customWidth="1"/>
    <col min="6407" max="6407" width="19.7265625" style="52" customWidth="1"/>
    <col min="6408" max="6408" width="12.7265625" style="52" bestFit="1" customWidth="1"/>
    <col min="6409" max="6409" width="2.26953125" style="52" customWidth="1"/>
    <col min="6410" max="6410" width="16.54296875" style="52" bestFit="1" customWidth="1"/>
    <col min="6411" max="6656" width="12.54296875" style="52"/>
    <col min="6657" max="6657" width="2.1796875" style="52" customWidth="1"/>
    <col min="6658" max="6658" width="32.26953125" style="52" bestFit="1" customWidth="1"/>
    <col min="6659" max="6659" width="2.26953125" style="52" customWidth="1"/>
    <col min="6660" max="6660" width="16.81640625" style="52" bestFit="1" customWidth="1"/>
    <col min="6661" max="6661" width="12.54296875" style="52"/>
    <col min="6662" max="6662" width="2.26953125" style="52" customWidth="1"/>
    <col min="6663" max="6663" width="19.7265625" style="52" customWidth="1"/>
    <col min="6664" max="6664" width="12.7265625" style="52" bestFit="1" customWidth="1"/>
    <col min="6665" max="6665" width="2.26953125" style="52" customWidth="1"/>
    <col min="6666" max="6666" width="16.54296875" style="52" bestFit="1" customWidth="1"/>
    <col min="6667" max="6912" width="12.54296875" style="52"/>
    <col min="6913" max="6913" width="2.1796875" style="52" customWidth="1"/>
    <col min="6914" max="6914" width="32.26953125" style="52" bestFit="1" customWidth="1"/>
    <col min="6915" max="6915" width="2.26953125" style="52" customWidth="1"/>
    <col min="6916" max="6916" width="16.81640625" style="52" bestFit="1" customWidth="1"/>
    <col min="6917" max="6917" width="12.54296875" style="52"/>
    <col min="6918" max="6918" width="2.26953125" style="52" customWidth="1"/>
    <col min="6919" max="6919" width="19.7265625" style="52" customWidth="1"/>
    <col min="6920" max="6920" width="12.7265625" style="52" bestFit="1" customWidth="1"/>
    <col min="6921" max="6921" width="2.26953125" style="52" customWidth="1"/>
    <col min="6922" max="6922" width="16.54296875" style="52" bestFit="1" customWidth="1"/>
    <col min="6923" max="7168" width="12.54296875" style="52"/>
    <col min="7169" max="7169" width="2.1796875" style="52" customWidth="1"/>
    <col min="7170" max="7170" width="32.26953125" style="52" bestFit="1" customWidth="1"/>
    <col min="7171" max="7171" width="2.26953125" style="52" customWidth="1"/>
    <col min="7172" max="7172" width="16.81640625" style="52" bestFit="1" customWidth="1"/>
    <col min="7173" max="7173" width="12.54296875" style="52"/>
    <col min="7174" max="7174" width="2.26953125" style="52" customWidth="1"/>
    <col min="7175" max="7175" width="19.7265625" style="52" customWidth="1"/>
    <col min="7176" max="7176" width="12.7265625" style="52" bestFit="1" customWidth="1"/>
    <col min="7177" max="7177" width="2.26953125" style="52" customWidth="1"/>
    <col min="7178" max="7178" width="16.54296875" style="52" bestFit="1" customWidth="1"/>
    <col min="7179" max="7424" width="12.54296875" style="52"/>
    <col min="7425" max="7425" width="2.1796875" style="52" customWidth="1"/>
    <col min="7426" max="7426" width="32.26953125" style="52" bestFit="1" customWidth="1"/>
    <col min="7427" max="7427" width="2.26953125" style="52" customWidth="1"/>
    <col min="7428" max="7428" width="16.81640625" style="52" bestFit="1" customWidth="1"/>
    <col min="7429" max="7429" width="12.54296875" style="52"/>
    <col min="7430" max="7430" width="2.26953125" style="52" customWidth="1"/>
    <col min="7431" max="7431" width="19.7265625" style="52" customWidth="1"/>
    <col min="7432" max="7432" width="12.7265625" style="52" bestFit="1" customWidth="1"/>
    <col min="7433" max="7433" width="2.26953125" style="52" customWidth="1"/>
    <col min="7434" max="7434" width="16.54296875" style="52" bestFit="1" customWidth="1"/>
    <col min="7435" max="7680" width="12.54296875" style="52"/>
    <col min="7681" max="7681" width="2.1796875" style="52" customWidth="1"/>
    <col min="7682" max="7682" width="32.26953125" style="52" bestFit="1" customWidth="1"/>
    <col min="7683" max="7683" width="2.26953125" style="52" customWidth="1"/>
    <col min="7684" max="7684" width="16.81640625" style="52" bestFit="1" customWidth="1"/>
    <col min="7685" max="7685" width="12.54296875" style="52"/>
    <col min="7686" max="7686" width="2.26953125" style="52" customWidth="1"/>
    <col min="7687" max="7687" width="19.7265625" style="52" customWidth="1"/>
    <col min="7688" max="7688" width="12.7265625" style="52" bestFit="1" customWidth="1"/>
    <col min="7689" max="7689" width="2.26953125" style="52" customWidth="1"/>
    <col min="7690" max="7690" width="16.54296875" style="52" bestFit="1" customWidth="1"/>
    <col min="7691" max="7936" width="12.54296875" style="52"/>
    <col min="7937" max="7937" width="2.1796875" style="52" customWidth="1"/>
    <col min="7938" max="7938" width="32.26953125" style="52" bestFit="1" customWidth="1"/>
    <col min="7939" max="7939" width="2.26953125" style="52" customWidth="1"/>
    <col min="7940" max="7940" width="16.81640625" style="52" bestFit="1" customWidth="1"/>
    <col min="7941" max="7941" width="12.54296875" style="52"/>
    <col min="7942" max="7942" width="2.26953125" style="52" customWidth="1"/>
    <col min="7943" max="7943" width="19.7265625" style="52" customWidth="1"/>
    <col min="7944" max="7944" width="12.7265625" style="52" bestFit="1" customWidth="1"/>
    <col min="7945" max="7945" width="2.26953125" style="52" customWidth="1"/>
    <col min="7946" max="7946" width="16.54296875" style="52" bestFit="1" customWidth="1"/>
    <col min="7947" max="8192" width="12.54296875" style="52"/>
    <col min="8193" max="8193" width="2.1796875" style="52" customWidth="1"/>
    <col min="8194" max="8194" width="32.26953125" style="52" bestFit="1" customWidth="1"/>
    <col min="8195" max="8195" width="2.26953125" style="52" customWidth="1"/>
    <col min="8196" max="8196" width="16.81640625" style="52" bestFit="1" customWidth="1"/>
    <col min="8197" max="8197" width="12.54296875" style="52"/>
    <col min="8198" max="8198" width="2.26953125" style="52" customWidth="1"/>
    <col min="8199" max="8199" width="19.7265625" style="52" customWidth="1"/>
    <col min="8200" max="8200" width="12.7265625" style="52" bestFit="1" customWidth="1"/>
    <col min="8201" max="8201" width="2.26953125" style="52" customWidth="1"/>
    <col min="8202" max="8202" width="16.54296875" style="52" bestFit="1" customWidth="1"/>
    <col min="8203" max="8448" width="12.54296875" style="52"/>
    <col min="8449" max="8449" width="2.1796875" style="52" customWidth="1"/>
    <col min="8450" max="8450" width="32.26953125" style="52" bestFit="1" customWidth="1"/>
    <col min="8451" max="8451" width="2.26953125" style="52" customWidth="1"/>
    <col min="8452" max="8452" width="16.81640625" style="52" bestFit="1" customWidth="1"/>
    <col min="8453" max="8453" width="12.54296875" style="52"/>
    <col min="8454" max="8454" width="2.26953125" style="52" customWidth="1"/>
    <col min="8455" max="8455" width="19.7265625" style="52" customWidth="1"/>
    <col min="8456" max="8456" width="12.7265625" style="52" bestFit="1" customWidth="1"/>
    <col min="8457" max="8457" width="2.26953125" style="52" customWidth="1"/>
    <col min="8458" max="8458" width="16.54296875" style="52" bestFit="1" customWidth="1"/>
    <col min="8459" max="8704" width="12.54296875" style="52"/>
    <col min="8705" max="8705" width="2.1796875" style="52" customWidth="1"/>
    <col min="8706" max="8706" width="32.26953125" style="52" bestFit="1" customWidth="1"/>
    <col min="8707" max="8707" width="2.26953125" style="52" customWidth="1"/>
    <col min="8708" max="8708" width="16.81640625" style="52" bestFit="1" customWidth="1"/>
    <col min="8709" max="8709" width="12.54296875" style="52"/>
    <col min="8710" max="8710" width="2.26953125" style="52" customWidth="1"/>
    <col min="8711" max="8711" width="19.7265625" style="52" customWidth="1"/>
    <col min="8712" max="8712" width="12.7265625" style="52" bestFit="1" customWidth="1"/>
    <col min="8713" max="8713" width="2.26953125" style="52" customWidth="1"/>
    <col min="8714" max="8714" width="16.54296875" style="52" bestFit="1" customWidth="1"/>
    <col min="8715" max="8960" width="12.54296875" style="52"/>
    <col min="8961" max="8961" width="2.1796875" style="52" customWidth="1"/>
    <col min="8962" max="8962" width="32.26953125" style="52" bestFit="1" customWidth="1"/>
    <col min="8963" max="8963" width="2.26953125" style="52" customWidth="1"/>
    <col min="8964" max="8964" width="16.81640625" style="52" bestFit="1" customWidth="1"/>
    <col min="8965" max="8965" width="12.54296875" style="52"/>
    <col min="8966" max="8966" width="2.26953125" style="52" customWidth="1"/>
    <col min="8967" max="8967" width="19.7265625" style="52" customWidth="1"/>
    <col min="8968" max="8968" width="12.7265625" style="52" bestFit="1" customWidth="1"/>
    <col min="8969" max="8969" width="2.26953125" style="52" customWidth="1"/>
    <col min="8970" max="8970" width="16.54296875" style="52" bestFit="1" customWidth="1"/>
    <col min="8971" max="9216" width="12.54296875" style="52"/>
    <col min="9217" max="9217" width="2.1796875" style="52" customWidth="1"/>
    <col min="9218" max="9218" width="32.26953125" style="52" bestFit="1" customWidth="1"/>
    <col min="9219" max="9219" width="2.26953125" style="52" customWidth="1"/>
    <col min="9220" max="9220" width="16.81640625" style="52" bestFit="1" customWidth="1"/>
    <col min="9221" max="9221" width="12.54296875" style="52"/>
    <col min="9222" max="9222" width="2.26953125" style="52" customWidth="1"/>
    <col min="9223" max="9223" width="19.7265625" style="52" customWidth="1"/>
    <col min="9224" max="9224" width="12.7265625" style="52" bestFit="1" customWidth="1"/>
    <col min="9225" max="9225" width="2.26953125" style="52" customWidth="1"/>
    <col min="9226" max="9226" width="16.54296875" style="52" bestFit="1" customWidth="1"/>
    <col min="9227" max="9472" width="12.54296875" style="52"/>
    <col min="9473" max="9473" width="2.1796875" style="52" customWidth="1"/>
    <col min="9474" max="9474" width="32.26953125" style="52" bestFit="1" customWidth="1"/>
    <col min="9475" max="9475" width="2.26953125" style="52" customWidth="1"/>
    <col min="9476" max="9476" width="16.81640625" style="52" bestFit="1" customWidth="1"/>
    <col min="9477" max="9477" width="12.54296875" style="52"/>
    <col min="9478" max="9478" width="2.26953125" style="52" customWidth="1"/>
    <col min="9479" max="9479" width="19.7265625" style="52" customWidth="1"/>
    <col min="9480" max="9480" width="12.7265625" style="52" bestFit="1" customWidth="1"/>
    <col min="9481" max="9481" width="2.26953125" style="52" customWidth="1"/>
    <col min="9482" max="9482" width="16.54296875" style="52" bestFit="1" customWidth="1"/>
    <col min="9483" max="9728" width="12.54296875" style="52"/>
    <col min="9729" max="9729" width="2.1796875" style="52" customWidth="1"/>
    <col min="9730" max="9730" width="32.26953125" style="52" bestFit="1" customWidth="1"/>
    <col min="9731" max="9731" width="2.26953125" style="52" customWidth="1"/>
    <col min="9732" max="9732" width="16.81640625" style="52" bestFit="1" customWidth="1"/>
    <col min="9733" max="9733" width="12.54296875" style="52"/>
    <col min="9734" max="9734" width="2.26953125" style="52" customWidth="1"/>
    <col min="9735" max="9735" width="19.7265625" style="52" customWidth="1"/>
    <col min="9736" max="9736" width="12.7265625" style="52" bestFit="1" customWidth="1"/>
    <col min="9737" max="9737" width="2.26953125" style="52" customWidth="1"/>
    <col min="9738" max="9738" width="16.54296875" style="52" bestFit="1" customWidth="1"/>
    <col min="9739" max="9984" width="12.54296875" style="52"/>
    <col min="9985" max="9985" width="2.1796875" style="52" customWidth="1"/>
    <col min="9986" max="9986" width="32.26953125" style="52" bestFit="1" customWidth="1"/>
    <col min="9987" max="9987" width="2.26953125" style="52" customWidth="1"/>
    <col min="9988" max="9988" width="16.81640625" style="52" bestFit="1" customWidth="1"/>
    <col min="9989" max="9989" width="12.54296875" style="52"/>
    <col min="9990" max="9990" width="2.26953125" style="52" customWidth="1"/>
    <col min="9991" max="9991" width="19.7265625" style="52" customWidth="1"/>
    <col min="9992" max="9992" width="12.7265625" style="52" bestFit="1" customWidth="1"/>
    <col min="9993" max="9993" width="2.26953125" style="52" customWidth="1"/>
    <col min="9994" max="9994" width="16.54296875" style="52" bestFit="1" customWidth="1"/>
    <col min="9995" max="10240" width="12.54296875" style="52"/>
    <col min="10241" max="10241" width="2.1796875" style="52" customWidth="1"/>
    <col min="10242" max="10242" width="32.26953125" style="52" bestFit="1" customWidth="1"/>
    <col min="10243" max="10243" width="2.26953125" style="52" customWidth="1"/>
    <col min="10244" max="10244" width="16.81640625" style="52" bestFit="1" customWidth="1"/>
    <col min="10245" max="10245" width="12.54296875" style="52"/>
    <col min="10246" max="10246" width="2.26953125" style="52" customWidth="1"/>
    <col min="10247" max="10247" width="19.7265625" style="52" customWidth="1"/>
    <col min="10248" max="10248" width="12.7265625" style="52" bestFit="1" customWidth="1"/>
    <col min="10249" max="10249" width="2.26953125" style="52" customWidth="1"/>
    <col min="10250" max="10250" width="16.54296875" style="52" bestFit="1" customWidth="1"/>
    <col min="10251" max="10496" width="12.54296875" style="52"/>
    <col min="10497" max="10497" width="2.1796875" style="52" customWidth="1"/>
    <col min="10498" max="10498" width="32.26953125" style="52" bestFit="1" customWidth="1"/>
    <col min="10499" max="10499" width="2.26953125" style="52" customWidth="1"/>
    <col min="10500" max="10500" width="16.81640625" style="52" bestFit="1" customWidth="1"/>
    <col min="10501" max="10501" width="12.54296875" style="52"/>
    <col min="10502" max="10502" width="2.26953125" style="52" customWidth="1"/>
    <col min="10503" max="10503" width="19.7265625" style="52" customWidth="1"/>
    <col min="10504" max="10504" width="12.7265625" style="52" bestFit="1" customWidth="1"/>
    <col min="10505" max="10505" width="2.26953125" style="52" customWidth="1"/>
    <col min="10506" max="10506" width="16.54296875" style="52" bestFit="1" customWidth="1"/>
    <col min="10507" max="10752" width="12.54296875" style="52"/>
    <col min="10753" max="10753" width="2.1796875" style="52" customWidth="1"/>
    <col min="10754" max="10754" width="32.26953125" style="52" bestFit="1" customWidth="1"/>
    <col min="10755" max="10755" width="2.26953125" style="52" customWidth="1"/>
    <col min="10756" max="10756" width="16.81640625" style="52" bestFit="1" customWidth="1"/>
    <col min="10757" max="10757" width="12.54296875" style="52"/>
    <col min="10758" max="10758" width="2.26953125" style="52" customWidth="1"/>
    <col min="10759" max="10759" width="19.7265625" style="52" customWidth="1"/>
    <col min="10760" max="10760" width="12.7265625" style="52" bestFit="1" customWidth="1"/>
    <col min="10761" max="10761" width="2.26953125" style="52" customWidth="1"/>
    <col min="10762" max="10762" width="16.54296875" style="52" bestFit="1" customWidth="1"/>
    <col min="10763" max="11008" width="12.54296875" style="52"/>
    <col min="11009" max="11009" width="2.1796875" style="52" customWidth="1"/>
    <col min="11010" max="11010" width="32.26953125" style="52" bestFit="1" customWidth="1"/>
    <col min="11011" max="11011" width="2.26953125" style="52" customWidth="1"/>
    <col min="11012" max="11012" width="16.81640625" style="52" bestFit="1" customWidth="1"/>
    <col min="11013" max="11013" width="12.54296875" style="52"/>
    <col min="11014" max="11014" width="2.26953125" style="52" customWidth="1"/>
    <col min="11015" max="11015" width="19.7265625" style="52" customWidth="1"/>
    <col min="11016" max="11016" width="12.7265625" style="52" bestFit="1" customWidth="1"/>
    <col min="11017" max="11017" width="2.26953125" style="52" customWidth="1"/>
    <col min="11018" max="11018" width="16.54296875" style="52" bestFit="1" customWidth="1"/>
    <col min="11019" max="11264" width="12.54296875" style="52"/>
    <col min="11265" max="11265" width="2.1796875" style="52" customWidth="1"/>
    <col min="11266" max="11266" width="32.26953125" style="52" bestFit="1" customWidth="1"/>
    <col min="11267" max="11267" width="2.26953125" style="52" customWidth="1"/>
    <col min="11268" max="11268" width="16.81640625" style="52" bestFit="1" customWidth="1"/>
    <col min="11269" max="11269" width="12.54296875" style="52"/>
    <col min="11270" max="11270" width="2.26953125" style="52" customWidth="1"/>
    <col min="11271" max="11271" width="19.7265625" style="52" customWidth="1"/>
    <col min="11272" max="11272" width="12.7265625" style="52" bestFit="1" customWidth="1"/>
    <col min="11273" max="11273" width="2.26953125" style="52" customWidth="1"/>
    <col min="11274" max="11274" width="16.54296875" style="52" bestFit="1" customWidth="1"/>
    <col min="11275" max="11520" width="12.54296875" style="52"/>
    <col min="11521" max="11521" width="2.1796875" style="52" customWidth="1"/>
    <col min="11522" max="11522" width="32.26953125" style="52" bestFit="1" customWidth="1"/>
    <col min="11523" max="11523" width="2.26953125" style="52" customWidth="1"/>
    <col min="11524" max="11524" width="16.81640625" style="52" bestFit="1" customWidth="1"/>
    <col min="11525" max="11525" width="12.54296875" style="52"/>
    <col min="11526" max="11526" width="2.26953125" style="52" customWidth="1"/>
    <col min="11527" max="11527" width="19.7265625" style="52" customWidth="1"/>
    <col min="11528" max="11528" width="12.7265625" style="52" bestFit="1" customWidth="1"/>
    <col min="11529" max="11529" width="2.26953125" style="52" customWidth="1"/>
    <col min="11530" max="11530" width="16.54296875" style="52" bestFit="1" customWidth="1"/>
    <col min="11531" max="11776" width="12.54296875" style="52"/>
    <col min="11777" max="11777" width="2.1796875" style="52" customWidth="1"/>
    <col min="11778" max="11778" width="32.26953125" style="52" bestFit="1" customWidth="1"/>
    <col min="11779" max="11779" width="2.26953125" style="52" customWidth="1"/>
    <col min="11780" max="11780" width="16.81640625" style="52" bestFit="1" customWidth="1"/>
    <col min="11781" max="11781" width="12.54296875" style="52"/>
    <col min="11782" max="11782" width="2.26953125" style="52" customWidth="1"/>
    <col min="11783" max="11783" width="19.7265625" style="52" customWidth="1"/>
    <col min="11784" max="11784" width="12.7265625" style="52" bestFit="1" customWidth="1"/>
    <col min="11785" max="11785" width="2.26953125" style="52" customWidth="1"/>
    <col min="11786" max="11786" width="16.54296875" style="52" bestFit="1" customWidth="1"/>
    <col min="11787" max="12032" width="12.54296875" style="52"/>
    <col min="12033" max="12033" width="2.1796875" style="52" customWidth="1"/>
    <col min="12034" max="12034" width="32.26953125" style="52" bestFit="1" customWidth="1"/>
    <col min="12035" max="12035" width="2.26953125" style="52" customWidth="1"/>
    <col min="12036" max="12036" width="16.81640625" style="52" bestFit="1" customWidth="1"/>
    <col min="12037" max="12037" width="12.54296875" style="52"/>
    <col min="12038" max="12038" width="2.26953125" style="52" customWidth="1"/>
    <col min="12039" max="12039" width="19.7265625" style="52" customWidth="1"/>
    <col min="12040" max="12040" width="12.7265625" style="52" bestFit="1" customWidth="1"/>
    <col min="12041" max="12041" width="2.26953125" style="52" customWidth="1"/>
    <col min="12042" max="12042" width="16.54296875" style="52" bestFit="1" customWidth="1"/>
    <col min="12043" max="12288" width="12.54296875" style="52"/>
    <col min="12289" max="12289" width="2.1796875" style="52" customWidth="1"/>
    <col min="12290" max="12290" width="32.26953125" style="52" bestFit="1" customWidth="1"/>
    <col min="12291" max="12291" width="2.26953125" style="52" customWidth="1"/>
    <col min="12292" max="12292" width="16.81640625" style="52" bestFit="1" customWidth="1"/>
    <col min="12293" max="12293" width="12.54296875" style="52"/>
    <col min="12294" max="12294" width="2.26953125" style="52" customWidth="1"/>
    <col min="12295" max="12295" width="19.7265625" style="52" customWidth="1"/>
    <col min="12296" max="12296" width="12.7265625" style="52" bestFit="1" customWidth="1"/>
    <col min="12297" max="12297" width="2.26953125" style="52" customWidth="1"/>
    <col min="12298" max="12298" width="16.54296875" style="52" bestFit="1" customWidth="1"/>
    <col min="12299" max="12544" width="12.54296875" style="52"/>
    <col min="12545" max="12545" width="2.1796875" style="52" customWidth="1"/>
    <col min="12546" max="12546" width="32.26953125" style="52" bestFit="1" customWidth="1"/>
    <col min="12547" max="12547" width="2.26953125" style="52" customWidth="1"/>
    <col min="12548" max="12548" width="16.81640625" style="52" bestFit="1" customWidth="1"/>
    <col min="12549" max="12549" width="12.54296875" style="52"/>
    <col min="12550" max="12550" width="2.26953125" style="52" customWidth="1"/>
    <col min="12551" max="12551" width="19.7265625" style="52" customWidth="1"/>
    <col min="12552" max="12552" width="12.7265625" style="52" bestFit="1" customWidth="1"/>
    <col min="12553" max="12553" width="2.26953125" style="52" customWidth="1"/>
    <col min="12554" max="12554" width="16.54296875" style="52" bestFit="1" customWidth="1"/>
    <col min="12555" max="12800" width="12.54296875" style="52"/>
    <col min="12801" max="12801" width="2.1796875" style="52" customWidth="1"/>
    <col min="12802" max="12802" width="32.26953125" style="52" bestFit="1" customWidth="1"/>
    <col min="12803" max="12803" width="2.26953125" style="52" customWidth="1"/>
    <col min="12804" max="12804" width="16.81640625" style="52" bestFit="1" customWidth="1"/>
    <col min="12805" max="12805" width="12.54296875" style="52"/>
    <col min="12806" max="12806" width="2.26953125" style="52" customWidth="1"/>
    <col min="12807" max="12807" width="19.7265625" style="52" customWidth="1"/>
    <col min="12808" max="12808" width="12.7265625" style="52" bestFit="1" customWidth="1"/>
    <col min="12809" max="12809" width="2.26953125" style="52" customWidth="1"/>
    <col min="12810" max="12810" width="16.54296875" style="52" bestFit="1" customWidth="1"/>
    <col min="12811" max="13056" width="12.54296875" style="52"/>
    <col min="13057" max="13057" width="2.1796875" style="52" customWidth="1"/>
    <col min="13058" max="13058" width="32.26953125" style="52" bestFit="1" customWidth="1"/>
    <col min="13059" max="13059" width="2.26953125" style="52" customWidth="1"/>
    <col min="13060" max="13060" width="16.81640625" style="52" bestFit="1" customWidth="1"/>
    <col min="13061" max="13061" width="12.54296875" style="52"/>
    <col min="13062" max="13062" width="2.26953125" style="52" customWidth="1"/>
    <col min="13063" max="13063" width="19.7265625" style="52" customWidth="1"/>
    <col min="13064" max="13064" width="12.7265625" style="52" bestFit="1" customWidth="1"/>
    <col min="13065" max="13065" width="2.26953125" style="52" customWidth="1"/>
    <col min="13066" max="13066" width="16.54296875" style="52" bestFit="1" customWidth="1"/>
    <col min="13067" max="13312" width="12.54296875" style="52"/>
    <col min="13313" max="13313" width="2.1796875" style="52" customWidth="1"/>
    <col min="13314" max="13314" width="32.26953125" style="52" bestFit="1" customWidth="1"/>
    <col min="13315" max="13315" width="2.26953125" style="52" customWidth="1"/>
    <col min="13316" max="13316" width="16.81640625" style="52" bestFit="1" customWidth="1"/>
    <col min="13317" max="13317" width="12.54296875" style="52"/>
    <col min="13318" max="13318" width="2.26953125" style="52" customWidth="1"/>
    <col min="13319" max="13319" width="19.7265625" style="52" customWidth="1"/>
    <col min="13320" max="13320" width="12.7265625" style="52" bestFit="1" customWidth="1"/>
    <col min="13321" max="13321" width="2.26953125" style="52" customWidth="1"/>
    <col min="13322" max="13322" width="16.54296875" style="52" bestFit="1" customWidth="1"/>
    <col min="13323" max="13568" width="12.54296875" style="52"/>
    <col min="13569" max="13569" width="2.1796875" style="52" customWidth="1"/>
    <col min="13570" max="13570" width="32.26953125" style="52" bestFit="1" customWidth="1"/>
    <col min="13571" max="13571" width="2.26953125" style="52" customWidth="1"/>
    <col min="13572" max="13572" width="16.81640625" style="52" bestFit="1" customWidth="1"/>
    <col min="13573" max="13573" width="12.54296875" style="52"/>
    <col min="13574" max="13574" width="2.26953125" style="52" customWidth="1"/>
    <col min="13575" max="13575" width="19.7265625" style="52" customWidth="1"/>
    <col min="13576" max="13576" width="12.7265625" style="52" bestFit="1" customWidth="1"/>
    <col min="13577" max="13577" width="2.26953125" style="52" customWidth="1"/>
    <col min="13578" max="13578" width="16.54296875" style="52" bestFit="1" customWidth="1"/>
    <col min="13579" max="13824" width="12.54296875" style="52"/>
    <col min="13825" max="13825" width="2.1796875" style="52" customWidth="1"/>
    <col min="13826" max="13826" width="32.26953125" style="52" bestFit="1" customWidth="1"/>
    <col min="13827" max="13827" width="2.26953125" style="52" customWidth="1"/>
    <col min="13828" max="13828" width="16.81640625" style="52" bestFit="1" customWidth="1"/>
    <col min="13829" max="13829" width="12.54296875" style="52"/>
    <col min="13830" max="13830" width="2.26953125" style="52" customWidth="1"/>
    <col min="13831" max="13831" width="19.7265625" style="52" customWidth="1"/>
    <col min="13832" max="13832" width="12.7265625" style="52" bestFit="1" customWidth="1"/>
    <col min="13833" max="13833" width="2.26953125" style="52" customWidth="1"/>
    <col min="13834" max="13834" width="16.54296875" style="52" bestFit="1" customWidth="1"/>
    <col min="13835" max="14080" width="12.54296875" style="52"/>
    <col min="14081" max="14081" width="2.1796875" style="52" customWidth="1"/>
    <col min="14082" max="14082" width="32.26953125" style="52" bestFit="1" customWidth="1"/>
    <col min="14083" max="14083" width="2.26953125" style="52" customWidth="1"/>
    <col min="14084" max="14084" width="16.81640625" style="52" bestFit="1" customWidth="1"/>
    <col min="14085" max="14085" width="12.54296875" style="52"/>
    <col min="14086" max="14086" width="2.26953125" style="52" customWidth="1"/>
    <col min="14087" max="14087" width="19.7265625" style="52" customWidth="1"/>
    <col min="14088" max="14088" width="12.7265625" style="52" bestFit="1" customWidth="1"/>
    <col min="14089" max="14089" width="2.26953125" style="52" customWidth="1"/>
    <col min="14090" max="14090" width="16.54296875" style="52" bestFit="1" customWidth="1"/>
    <col min="14091" max="14336" width="12.54296875" style="52"/>
    <col min="14337" max="14337" width="2.1796875" style="52" customWidth="1"/>
    <col min="14338" max="14338" width="32.26953125" style="52" bestFit="1" customWidth="1"/>
    <col min="14339" max="14339" width="2.26953125" style="52" customWidth="1"/>
    <col min="14340" max="14340" width="16.81640625" style="52" bestFit="1" customWidth="1"/>
    <col min="14341" max="14341" width="12.54296875" style="52"/>
    <col min="14342" max="14342" width="2.26953125" style="52" customWidth="1"/>
    <col min="14343" max="14343" width="19.7265625" style="52" customWidth="1"/>
    <col min="14344" max="14344" width="12.7265625" style="52" bestFit="1" customWidth="1"/>
    <col min="14345" max="14345" width="2.26953125" style="52" customWidth="1"/>
    <col min="14346" max="14346" width="16.54296875" style="52" bestFit="1" customWidth="1"/>
    <col min="14347" max="14592" width="12.54296875" style="52"/>
    <col min="14593" max="14593" width="2.1796875" style="52" customWidth="1"/>
    <col min="14594" max="14594" width="32.26953125" style="52" bestFit="1" customWidth="1"/>
    <col min="14595" max="14595" width="2.26953125" style="52" customWidth="1"/>
    <col min="14596" max="14596" width="16.81640625" style="52" bestFit="1" customWidth="1"/>
    <col min="14597" max="14597" width="12.54296875" style="52"/>
    <col min="14598" max="14598" width="2.26953125" style="52" customWidth="1"/>
    <col min="14599" max="14599" width="19.7265625" style="52" customWidth="1"/>
    <col min="14600" max="14600" width="12.7265625" style="52" bestFit="1" customWidth="1"/>
    <col min="14601" max="14601" width="2.26953125" style="52" customWidth="1"/>
    <col min="14602" max="14602" width="16.54296875" style="52" bestFit="1" customWidth="1"/>
    <col min="14603" max="14848" width="12.54296875" style="52"/>
    <col min="14849" max="14849" width="2.1796875" style="52" customWidth="1"/>
    <col min="14850" max="14850" width="32.26953125" style="52" bestFit="1" customWidth="1"/>
    <col min="14851" max="14851" width="2.26953125" style="52" customWidth="1"/>
    <col min="14852" max="14852" width="16.81640625" style="52" bestFit="1" customWidth="1"/>
    <col min="14853" max="14853" width="12.54296875" style="52"/>
    <col min="14854" max="14854" width="2.26953125" style="52" customWidth="1"/>
    <col min="14855" max="14855" width="19.7265625" style="52" customWidth="1"/>
    <col min="14856" max="14856" width="12.7265625" style="52" bestFit="1" customWidth="1"/>
    <col min="14857" max="14857" width="2.26953125" style="52" customWidth="1"/>
    <col min="14858" max="14858" width="16.54296875" style="52" bestFit="1" customWidth="1"/>
    <col min="14859" max="15104" width="12.54296875" style="52"/>
    <col min="15105" max="15105" width="2.1796875" style="52" customWidth="1"/>
    <col min="15106" max="15106" width="32.26953125" style="52" bestFit="1" customWidth="1"/>
    <col min="15107" max="15107" width="2.26953125" style="52" customWidth="1"/>
    <col min="15108" max="15108" width="16.81640625" style="52" bestFit="1" customWidth="1"/>
    <col min="15109" max="15109" width="12.54296875" style="52"/>
    <col min="15110" max="15110" width="2.26953125" style="52" customWidth="1"/>
    <col min="15111" max="15111" width="19.7265625" style="52" customWidth="1"/>
    <col min="15112" max="15112" width="12.7265625" style="52" bestFit="1" customWidth="1"/>
    <col min="15113" max="15113" width="2.26953125" style="52" customWidth="1"/>
    <col min="15114" max="15114" width="16.54296875" style="52" bestFit="1" customWidth="1"/>
    <col min="15115" max="15360" width="12.54296875" style="52"/>
    <col min="15361" max="15361" width="2.1796875" style="52" customWidth="1"/>
    <col min="15362" max="15362" width="32.26953125" style="52" bestFit="1" customWidth="1"/>
    <col min="15363" max="15363" width="2.26953125" style="52" customWidth="1"/>
    <col min="15364" max="15364" width="16.81640625" style="52" bestFit="1" customWidth="1"/>
    <col min="15365" max="15365" width="12.54296875" style="52"/>
    <col min="15366" max="15366" width="2.26953125" style="52" customWidth="1"/>
    <col min="15367" max="15367" width="19.7265625" style="52" customWidth="1"/>
    <col min="15368" max="15368" width="12.7265625" style="52" bestFit="1" customWidth="1"/>
    <col min="15369" max="15369" width="2.26953125" style="52" customWidth="1"/>
    <col min="15370" max="15370" width="16.54296875" style="52" bestFit="1" customWidth="1"/>
    <col min="15371" max="15616" width="12.54296875" style="52"/>
    <col min="15617" max="15617" width="2.1796875" style="52" customWidth="1"/>
    <col min="15618" max="15618" width="32.26953125" style="52" bestFit="1" customWidth="1"/>
    <col min="15619" max="15619" width="2.26953125" style="52" customWidth="1"/>
    <col min="15620" max="15620" width="16.81640625" style="52" bestFit="1" customWidth="1"/>
    <col min="15621" max="15621" width="12.54296875" style="52"/>
    <col min="15622" max="15622" width="2.26953125" style="52" customWidth="1"/>
    <col min="15623" max="15623" width="19.7265625" style="52" customWidth="1"/>
    <col min="15624" max="15624" width="12.7265625" style="52" bestFit="1" customWidth="1"/>
    <col min="15625" max="15625" width="2.26953125" style="52" customWidth="1"/>
    <col min="15626" max="15626" width="16.54296875" style="52" bestFit="1" customWidth="1"/>
    <col min="15627" max="15872" width="12.54296875" style="52"/>
    <col min="15873" max="15873" width="2.1796875" style="52" customWidth="1"/>
    <col min="15874" max="15874" width="32.26953125" style="52" bestFit="1" customWidth="1"/>
    <col min="15875" max="15875" width="2.26953125" style="52" customWidth="1"/>
    <col min="15876" max="15876" width="16.81640625" style="52" bestFit="1" customWidth="1"/>
    <col min="15877" max="15877" width="12.54296875" style="52"/>
    <col min="15878" max="15878" width="2.26953125" style="52" customWidth="1"/>
    <col min="15879" max="15879" width="19.7265625" style="52" customWidth="1"/>
    <col min="15880" max="15880" width="12.7265625" style="52" bestFit="1" customWidth="1"/>
    <col min="15881" max="15881" width="2.26953125" style="52" customWidth="1"/>
    <col min="15882" max="15882" width="16.54296875" style="52" bestFit="1" customWidth="1"/>
    <col min="15883" max="16128" width="12.54296875" style="52"/>
    <col min="16129" max="16129" width="2.1796875" style="52" customWidth="1"/>
    <col min="16130" max="16130" width="32.26953125" style="52" bestFit="1" customWidth="1"/>
    <col min="16131" max="16131" width="2.26953125" style="52" customWidth="1"/>
    <col min="16132" max="16132" width="16.81640625" style="52" bestFit="1" customWidth="1"/>
    <col min="16133" max="16133" width="12.54296875" style="52"/>
    <col min="16134" max="16134" width="2.26953125" style="52" customWidth="1"/>
    <col min="16135" max="16135" width="19.7265625" style="52" customWidth="1"/>
    <col min="16136" max="16136" width="12.7265625" style="52" bestFit="1" customWidth="1"/>
    <col min="16137" max="16137" width="2.26953125" style="52" customWidth="1"/>
    <col min="16138" max="16138" width="16.54296875" style="52" bestFit="1" customWidth="1"/>
    <col min="16139" max="16384" width="12.54296875" style="52"/>
  </cols>
  <sheetData>
    <row r="1" spans="2:54" s="48" customFormat="1" x14ac:dyDescent="0.35">
      <c r="B1" s="47" t="s">
        <v>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2:54" s="48" customFormat="1" x14ac:dyDescent="0.35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2:54" s="48" customForma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2:54" s="48" customFormat="1" ht="15.5" x14ac:dyDescent="0.35">
      <c r="B4" s="49" t="s">
        <v>82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2:54" ht="15.5" x14ac:dyDescent="0.35"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2:54" ht="15.5" x14ac:dyDescent="0.3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2:54" x14ac:dyDescent="0.3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2:54" x14ac:dyDescent="0.35">
      <c r="B8" s="53"/>
      <c r="C8" s="51"/>
      <c r="D8" s="54" t="s">
        <v>34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2:54" x14ac:dyDescent="0.35">
      <c r="B9" s="51"/>
      <c r="C9" s="51"/>
      <c r="D9" s="54" t="s">
        <v>35</v>
      </c>
      <c r="E9" s="51"/>
      <c r="F9" s="51"/>
      <c r="G9" s="55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2:54" x14ac:dyDescent="0.35">
      <c r="B10" s="56" t="s">
        <v>36</v>
      </c>
      <c r="C10" s="51"/>
      <c r="D10" s="57" t="s">
        <v>37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2:54" x14ac:dyDescent="0.35">
      <c r="B11" s="51" t="s">
        <v>38</v>
      </c>
      <c r="C11" s="51"/>
      <c r="D11" s="58">
        <f>'Billing Units'!E9</f>
        <v>10518636</v>
      </c>
      <c r="E11" s="59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2:54" x14ac:dyDescent="0.35">
      <c r="B12" s="51" t="s">
        <v>39</v>
      </c>
      <c r="C12" s="51"/>
      <c r="D12" s="58">
        <f>'Billing Units'!G9</f>
        <v>11997181582.389523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2:54" x14ac:dyDescent="0.35">
      <c r="B13" s="51" t="s">
        <v>40</v>
      </c>
      <c r="C13" s="51"/>
      <c r="D13" s="58">
        <v>0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2:54" x14ac:dyDescent="0.35">
      <c r="B14" s="51"/>
      <c r="C14" s="51"/>
      <c r="D14" s="60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2:54" x14ac:dyDescent="0.35">
      <c r="B15" s="51"/>
      <c r="C15" s="51"/>
      <c r="D15" s="61" t="s">
        <v>41</v>
      </c>
      <c r="E15" s="62"/>
      <c r="F15" s="62"/>
      <c r="G15" s="62"/>
      <c r="H15" s="62"/>
      <c r="I15" s="62"/>
      <c r="J15" s="62"/>
      <c r="K15" s="6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2:54" x14ac:dyDescent="0.35">
      <c r="B16" s="51"/>
      <c r="C16" s="51"/>
      <c r="D16" s="240" t="s">
        <v>42</v>
      </c>
      <c r="E16" s="241"/>
      <c r="G16" s="64" t="s">
        <v>43</v>
      </c>
      <c r="H16" s="65"/>
      <c r="J16" s="64" t="s">
        <v>43</v>
      </c>
      <c r="K16" s="65"/>
      <c r="L16" s="51"/>
      <c r="M16" s="51"/>
      <c r="N16" s="51"/>
      <c r="O16" s="66"/>
      <c r="P16" s="66"/>
      <c r="Q16" s="66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2:54" x14ac:dyDescent="0.35">
      <c r="B17" s="51"/>
      <c r="C17" s="51"/>
      <c r="D17" s="67" t="s">
        <v>44</v>
      </c>
      <c r="E17" s="68"/>
      <c r="F17" s="51"/>
      <c r="G17" s="67" t="s">
        <v>45</v>
      </c>
      <c r="H17" s="68"/>
      <c r="J17" s="67" t="s">
        <v>46</v>
      </c>
      <c r="K17" s="68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2:54" x14ac:dyDescent="0.35">
      <c r="B18" s="56" t="s">
        <v>47</v>
      </c>
      <c r="C18" s="51"/>
      <c r="D18" s="69" t="s">
        <v>48</v>
      </c>
      <c r="E18" s="70" t="s">
        <v>49</v>
      </c>
      <c r="F18" s="51"/>
      <c r="G18" s="69" t="s">
        <v>48</v>
      </c>
      <c r="H18" s="70" t="s">
        <v>50</v>
      </c>
      <c r="I18" s="51"/>
      <c r="J18" s="69" t="s">
        <v>48</v>
      </c>
      <c r="K18" s="70" t="s">
        <v>51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2:54" x14ac:dyDescent="0.35">
      <c r="B19" s="51" t="s">
        <v>52</v>
      </c>
      <c r="C19" s="51"/>
      <c r="D19" s="71">
        <v>0</v>
      </c>
      <c r="E19" s="72">
        <v>0</v>
      </c>
      <c r="F19" s="51"/>
      <c r="G19" s="71">
        <f>'[3]AEPTX ERCOT Matrix 2018'!$E$9</f>
        <v>155238632.99699557</v>
      </c>
      <c r="H19" s="76">
        <f>+ROUND(G19/D12,6)</f>
        <v>1.294E-2</v>
      </c>
      <c r="I19" s="51"/>
      <c r="J19" s="71">
        <v>0</v>
      </c>
      <c r="K19" s="72">
        <f>IF(J19=0,J19,ROUND(J19/G$13,4))</f>
        <v>0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2:54" x14ac:dyDescent="0.35">
      <c r="B20" s="51" t="s">
        <v>53</v>
      </c>
      <c r="C20" s="51"/>
      <c r="D20" s="73"/>
      <c r="E20" s="74"/>
      <c r="F20" s="51"/>
      <c r="G20" s="75">
        <f>'[7]Retail Summary Proposed'!$G$57+'[7]Retail Summary Proposed'!$G$72</f>
        <v>277250469.29045224</v>
      </c>
      <c r="H20" s="76">
        <f>IF(G20=0,G20,ROUND(G20/D$12,6))</f>
        <v>2.3109999999999999E-2</v>
      </c>
      <c r="I20" s="51"/>
      <c r="J20" s="71">
        <v>0</v>
      </c>
      <c r="K20" s="72">
        <v>0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2:54" x14ac:dyDescent="0.35">
      <c r="B21" s="51" t="s">
        <v>54</v>
      </c>
      <c r="C21" s="51"/>
      <c r="D21" s="77"/>
      <c r="E21" s="78"/>
      <c r="F21" s="51"/>
      <c r="G21" s="79"/>
      <c r="H21" s="78"/>
      <c r="I21" s="51"/>
      <c r="J21" s="73"/>
      <c r="K21" s="80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2:54" x14ac:dyDescent="0.35">
      <c r="B22" s="51" t="s">
        <v>55</v>
      </c>
      <c r="C22" s="51"/>
      <c r="D22" s="81">
        <f>'[7]Retail Summary Proposed'!$G$62</f>
        <v>46309180.275673166</v>
      </c>
      <c r="E22" s="74">
        <f>IF(D22=0,D22,ROUND(D22/D$11,2))</f>
        <v>4.4000000000000004</v>
      </c>
      <c r="F22" s="51"/>
      <c r="G22" s="82">
        <v>0</v>
      </c>
      <c r="H22" s="83">
        <v>0</v>
      </c>
      <c r="I22" s="51"/>
      <c r="J22" s="82">
        <v>0</v>
      </c>
      <c r="K22" s="83">
        <v>0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2:54" x14ac:dyDescent="0.35">
      <c r="B23" s="51" t="s">
        <v>56</v>
      </c>
      <c r="C23" s="51"/>
      <c r="D23" s="79"/>
      <c r="E23" s="84"/>
      <c r="F23" s="51"/>
      <c r="G23" s="73"/>
      <c r="H23" s="80"/>
      <c r="I23" s="85"/>
      <c r="J23" s="73"/>
      <c r="K23" s="86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2:54" x14ac:dyDescent="0.35">
      <c r="B24" s="51" t="s">
        <v>57</v>
      </c>
      <c r="C24" s="51"/>
      <c r="D24" s="81"/>
      <c r="E24" s="87">
        <f>IF(D24=0,D24,ROUND(D24/D$11,2))</f>
        <v>0</v>
      </c>
      <c r="F24" s="51"/>
      <c r="G24" s="82">
        <v>0</v>
      </c>
      <c r="H24" s="83">
        <v>0</v>
      </c>
      <c r="I24" s="51"/>
      <c r="J24" s="82"/>
      <c r="K24" s="83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2:54" x14ac:dyDescent="0.35">
      <c r="B25" s="51" t="s">
        <v>58</v>
      </c>
      <c r="C25" s="51"/>
      <c r="D25" s="88">
        <v>0</v>
      </c>
      <c r="E25" s="72">
        <v>0</v>
      </c>
      <c r="F25" s="51"/>
      <c r="G25" s="71">
        <v>0</v>
      </c>
      <c r="H25" s="72">
        <v>0</v>
      </c>
      <c r="I25" s="51"/>
      <c r="J25" s="71">
        <v>0</v>
      </c>
      <c r="K25" s="72">
        <v>0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2:54" x14ac:dyDescent="0.35">
      <c r="B26" s="51" t="s">
        <v>59</v>
      </c>
      <c r="C26" s="51"/>
      <c r="D26" s="79"/>
      <c r="E26" s="78"/>
      <c r="F26" s="51"/>
      <c r="G26" s="73"/>
      <c r="H26" s="80"/>
      <c r="I26" s="85"/>
      <c r="J26" s="73"/>
      <c r="K26" s="86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2:54" x14ac:dyDescent="0.35">
      <c r="B27" s="51" t="s">
        <v>60</v>
      </c>
      <c r="C27" s="51"/>
      <c r="D27" s="81">
        <f>'[7]Retail Summary Proposed'!$G$67</f>
        <v>16211653.637192376</v>
      </c>
      <c r="E27" s="89">
        <f>IF(D27=0,D27,ROUND(D27/D$11,2))</f>
        <v>1.54</v>
      </c>
      <c r="F27" s="51"/>
      <c r="G27" s="82">
        <v>0</v>
      </c>
      <c r="H27" s="83">
        <v>0</v>
      </c>
      <c r="I27" s="51"/>
      <c r="J27" s="82"/>
      <c r="K27" s="83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2:54" x14ac:dyDescent="0.35">
      <c r="B28" s="90" t="s">
        <v>61</v>
      </c>
      <c r="C28" s="51"/>
      <c r="D28" s="81">
        <f>IF(SUM(D19:D27)&lt;1,D19,SUM(D19:D27))</f>
        <v>62520833.912865542</v>
      </c>
      <c r="E28" s="91">
        <f>SUM(E19:E27)</f>
        <v>5.94</v>
      </c>
      <c r="F28" s="92"/>
      <c r="G28" s="81">
        <f>IF(SUM(G19:G27)&lt;1,G19,SUM(G19:G27))</f>
        <v>432489102.28744781</v>
      </c>
      <c r="H28" s="93">
        <f>SUM(H19:H27)</f>
        <v>3.6049999999999999E-2</v>
      </c>
      <c r="I28" s="94"/>
      <c r="J28" s="71">
        <f>IF(SUM(J19:J27)&lt;1,J19,SUM(J19:J27))</f>
        <v>0</v>
      </c>
      <c r="K28" s="72">
        <f>IF(SUM(K19:K27)&lt;1,K19,SUM(K19:K27))</f>
        <v>0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2:54" ht="15" thickBot="1" x14ac:dyDescent="0.4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2:54" ht="16" thickTop="1" x14ac:dyDescent="0.35">
      <c r="B30" s="51"/>
      <c r="C30" s="51"/>
      <c r="D30" s="77" t="s">
        <v>47</v>
      </c>
      <c r="E30" s="51"/>
      <c r="F30" s="51"/>
      <c r="G30" s="95" t="s">
        <v>62</v>
      </c>
      <c r="H30" s="96"/>
      <c r="I30" s="96"/>
      <c r="J30" s="97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2:54" x14ac:dyDescent="0.35">
      <c r="B31" s="51"/>
      <c r="C31" s="51"/>
      <c r="D31" s="98" t="s">
        <v>63</v>
      </c>
      <c r="E31" s="51"/>
      <c r="F31" s="51"/>
      <c r="G31" s="99"/>
      <c r="H31" s="100" t="s">
        <v>64</v>
      </c>
      <c r="I31" s="85"/>
      <c r="J31" s="101" t="s">
        <v>65</v>
      </c>
      <c r="K31" s="54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2:54" x14ac:dyDescent="0.35">
      <c r="B32" s="56" t="s">
        <v>47</v>
      </c>
      <c r="C32" s="51"/>
      <c r="D32" s="69" t="s">
        <v>48</v>
      </c>
      <c r="E32" s="51"/>
      <c r="F32" s="51"/>
      <c r="G32" s="102" t="s">
        <v>8</v>
      </c>
      <c r="H32" s="103" t="s">
        <v>66</v>
      </c>
      <c r="I32" s="85"/>
      <c r="J32" s="104" t="s">
        <v>67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2:54" x14ac:dyDescent="0.35">
      <c r="B33" s="51" t="s">
        <v>52</v>
      </c>
      <c r="C33" s="51"/>
      <c r="D33" s="105">
        <f>G19</f>
        <v>155238632.99699557</v>
      </c>
      <c r="E33" s="51"/>
      <c r="F33" s="51"/>
      <c r="G33" s="106"/>
      <c r="H33" s="85"/>
      <c r="I33" s="85"/>
      <c r="J33" s="107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2:54" x14ac:dyDescent="0.35">
      <c r="B34" s="51" t="s">
        <v>53</v>
      </c>
      <c r="C34" s="51"/>
      <c r="D34" s="108">
        <f>D20+G20+J20</f>
        <v>277250469.29045224</v>
      </c>
      <c r="E34" s="51"/>
      <c r="F34" s="51"/>
      <c r="G34" s="109" t="s">
        <v>68</v>
      </c>
      <c r="H34" s="110">
        <f>+E28</f>
        <v>5.94</v>
      </c>
      <c r="I34" s="85"/>
      <c r="J34" s="111">
        <f>ROUND(+H34*D11,0)</f>
        <v>62480698</v>
      </c>
      <c r="K34" s="178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2:54" x14ac:dyDescent="0.35">
      <c r="B35" s="51" t="s">
        <v>54</v>
      </c>
      <c r="C35" s="51"/>
      <c r="D35" s="112"/>
      <c r="E35" s="51"/>
      <c r="F35" s="51"/>
      <c r="G35" s="106" t="s">
        <v>120</v>
      </c>
      <c r="H35" s="113">
        <f>H19</f>
        <v>1.294E-2</v>
      </c>
      <c r="I35" s="85"/>
      <c r="J35" s="111">
        <f>ROUND(+H35*D12,0)</f>
        <v>155243530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2:54" x14ac:dyDescent="0.35">
      <c r="B36" s="51" t="s">
        <v>55</v>
      </c>
      <c r="C36" s="51"/>
      <c r="D36" s="81">
        <f>D22+G22+J22</f>
        <v>46309180.275673166</v>
      </c>
      <c r="E36" s="51"/>
      <c r="F36" s="51"/>
      <c r="G36" s="106" t="s">
        <v>121</v>
      </c>
      <c r="H36" s="113">
        <f>H20</f>
        <v>2.3109999999999999E-2</v>
      </c>
      <c r="I36" s="85" t="s">
        <v>69</v>
      </c>
      <c r="J36" s="114">
        <f>ROUND(+H36*D12,0)</f>
        <v>277254866</v>
      </c>
      <c r="K36" s="116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2:54" ht="15" thickBot="1" x14ac:dyDescent="0.4">
      <c r="B37" s="51" t="s">
        <v>56</v>
      </c>
      <c r="C37" s="51"/>
      <c r="D37" s="112"/>
      <c r="E37" s="51"/>
      <c r="F37" s="51"/>
      <c r="G37" s="106" t="s">
        <v>70</v>
      </c>
      <c r="H37" s="85"/>
      <c r="I37" s="85"/>
      <c r="J37" s="115">
        <f>SUM(J34:J36)</f>
        <v>494979094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2:54" ht="15" thickTop="1" x14ac:dyDescent="0.35">
      <c r="B38" s="51" t="s">
        <v>57</v>
      </c>
      <c r="C38" s="51"/>
      <c r="D38" s="81">
        <f>D24+G24+J24</f>
        <v>0</v>
      </c>
      <c r="E38" s="51"/>
      <c r="F38" s="51"/>
      <c r="G38" s="106"/>
      <c r="H38" s="85"/>
      <c r="I38" s="85"/>
      <c r="J38" s="117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2:54" x14ac:dyDescent="0.35">
      <c r="B39" s="51" t="s">
        <v>58</v>
      </c>
      <c r="C39" s="51"/>
      <c r="D39" s="88">
        <v>0</v>
      </c>
      <c r="E39" s="51"/>
      <c r="F39" s="51"/>
      <c r="G39" s="118" t="s">
        <v>71</v>
      </c>
      <c r="H39" s="85"/>
      <c r="I39" s="85"/>
      <c r="J39" s="107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2:54" ht="15" thickBot="1" x14ac:dyDescent="0.4">
      <c r="B40" s="51" t="s">
        <v>59</v>
      </c>
      <c r="C40" s="51"/>
      <c r="D40" s="112"/>
      <c r="E40" s="51"/>
      <c r="F40" s="51"/>
      <c r="G40" s="119"/>
      <c r="H40" s="120"/>
      <c r="I40" s="120"/>
      <c r="J40" s="12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2:54" ht="15" thickTop="1" x14ac:dyDescent="0.35">
      <c r="B41" s="51" t="s">
        <v>60</v>
      </c>
      <c r="C41" s="51"/>
      <c r="D41" s="81">
        <f>D27+G27+J27</f>
        <v>16211653.637192376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2:54" x14ac:dyDescent="0.35">
      <c r="B42" s="90" t="s">
        <v>61</v>
      </c>
      <c r="C42" s="51"/>
      <c r="D42" s="81">
        <f>SUM(D33:D41)</f>
        <v>495009936.20031333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2:54" x14ac:dyDescent="0.35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2:54" x14ac:dyDescent="0.35">
      <c r="B44" s="51"/>
      <c r="C44" s="51"/>
      <c r="D44" s="178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2:54" x14ac:dyDescent="0.35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2:54" x14ac:dyDescent="0.35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2:54" x14ac:dyDescent="0.35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2:54" x14ac:dyDescent="0.35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2:54" x14ac:dyDescent="0.3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2:54" x14ac:dyDescent="0.3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2:54" x14ac:dyDescent="0.3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2:54" x14ac:dyDescent="0.3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2:54" x14ac:dyDescent="0.3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2:54" x14ac:dyDescent="0.3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2:54" x14ac:dyDescent="0.3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2:54" x14ac:dyDescent="0.3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2:54" x14ac:dyDescent="0.3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2:54" x14ac:dyDescent="0.3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2:54" x14ac:dyDescent="0.3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2:54" x14ac:dyDescent="0.3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2:54" x14ac:dyDescent="0.3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2:54" x14ac:dyDescent="0.3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2:54" x14ac:dyDescent="0.3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3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2:54" x14ac:dyDescent="0.3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2:54" x14ac:dyDescent="0.3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2:54" x14ac:dyDescent="0.3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2:54" x14ac:dyDescent="0.3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2:54" x14ac:dyDescent="0.3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2:54" x14ac:dyDescent="0.3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2:54" x14ac:dyDescent="0.3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2:54" x14ac:dyDescent="0.3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</row>
    <row r="73" spans="2:54" x14ac:dyDescent="0.3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</row>
    <row r="74" spans="2:54" x14ac:dyDescent="0.3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</row>
    <row r="75" spans="2:54" x14ac:dyDescent="0.3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2:54" x14ac:dyDescent="0.3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</row>
    <row r="77" spans="2:54" x14ac:dyDescent="0.3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</row>
    <row r="78" spans="2:54" x14ac:dyDescent="0.3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</row>
    <row r="79" spans="2:54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</row>
    <row r="80" spans="2:54" x14ac:dyDescent="0.3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</row>
    <row r="81" spans="2:54" x14ac:dyDescent="0.3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</row>
    <row r="82" spans="2:54" x14ac:dyDescent="0.3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</row>
    <row r="83" spans="2:54" x14ac:dyDescent="0.3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</row>
    <row r="84" spans="2:54" x14ac:dyDescent="0.3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</row>
    <row r="85" spans="2:54" x14ac:dyDescent="0.3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</row>
    <row r="86" spans="2:54" x14ac:dyDescent="0.3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</row>
    <row r="87" spans="2:54" x14ac:dyDescent="0.3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</row>
    <row r="88" spans="2:54" x14ac:dyDescent="0.3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</row>
    <row r="89" spans="2:54" x14ac:dyDescent="0.3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</row>
    <row r="90" spans="2:54" x14ac:dyDescent="0.3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</row>
    <row r="91" spans="2:54" x14ac:dyDescent="0.35">
      <c r="G91" s="51"/>
      <c r="H91" s="51"/>
      <c r="I91" s="51"/>
      <c r="J91" s="51"/>
    </row>
  </sheetData>
  <mergeCells count="1">
    <mergeCell ref="D16:E16"/>
  </mergeCells>
  <printOptions horizontalCentered="1"/>
  <pageMargins left="0.7" right="0.7" top="0.75" bottom="0.75" header="0.3" footer="0.3"/>
  <pageSetup scale="65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99"/>
  <sheetViews>
    <sheetView topLeftCell="A19" workbookViewId="0">
      <selection activeCell="D45" sqref="D45"/>
    </sheetView>
  </sheetViews>
  <sheetFormatPr defaultColWidth="12.54296875" defaultRowHeight="14.5" x14ac:dyDescent="0.35"/>
  <cols>
    <col min="1" max="1" width="2.1796875" style="52" customWidth="1"/>
    <col min="2" max="2" width="32.26953125" style="52" bestFit="1" customWidth="1"/>
    <col min="3" max="3" width="2.26953125" style="52" customWidth="1"/>
    <col min="4" max="4" width="16.81640625" style="52" bestFit="1" customWidth="1"/>
    <col min="5" max="5" width="15.26953125" style="52" bestFit="1" customWidth="1"/>
    <col min="6" max="6" width="2.26953125" style="52" customWidth="1"/>
    <col min="7" max="7" width="34.54296875" style="52" customWidth="1"/>
    <col min="8" max="8" width="12.7265625" style="52" bestFit="1" customWidth="1"/>
    <col min="9" max="9" width="2.26953125" style="52" customWidth="1"/>
    <col min="10" max="10" width="16.54296875" style="52" bestFit="1" customWidth="1"/>
    <col min="11" max="256" width="12.54296875" style="52"/>
    <col min="257" max="257" width="2.1796875" style="52" customWidth="1"/>
    <col min="258" max="258" width="32.26953125" style="52" bestFit="1" customWidth="1"/>
    <col min="259" max="259" width="2.26953125" style="52" customWidth="1"/>
    <col min="260" max="260" width="16.81640625" style="52" bestFit="1" customWidth="1"/>
    <col min="261" max="261" width="12.54296875" style="52"/>
    <col min="262" max="262" width="2.26953125" style="52" customWidth="1"/>
    <col min="263" max="263" width="19.7265625" style="52" customWidth="1"/>
    <col min="264" max="264" width="12.7265625" style="52" bestFit="1" customWidth="1"/>
    <col min="265" max="265" width="2.26953125" style="52" customWidth="1"/>
    <col min="266" max="266" width="16.54296875" style="52" bestFit="1" customWidth="1"/>
    <col min="267" max="512" width="12.54296875" style="52"/>
    <col min="513" max="513" width="2.1796875" style="52" customWidth="1"/>
    <col min="514" max="514" width="32.26953125" style="52" bestFit="1" customWidth="1"/>
    <col min="515" max="515" width="2.26953125" style="52" customWidth="1"/>
    <col min="516" max="516" width="16.81640625" style="52" bestFit="1" customWidth="1"/>
    <col min="517" max="517" width="12.54296875" style="52"/>
    <col min="518" max="518" width="2.26953125" style="52" customWidth="1"/>
    <col min="519" max="519" width="19.7265625" style="52" customWidth="1"/>
    <col min="520" max="520" width="12.7265625" style="52" bestFit="1" customWidth="1"/>
    <col min="521" max="521" width="2.26953125" style="52" customWidth="1"/>
    <col min="522" max="522" width="16.54296875" style="52" bestFit="1" customWidth="1"/>
    <col min="523" max="768" width="12.54296875" style="52"/>
    <col min="769" max="769" width="2.1796875" style="52" customWidth="1"/>
    <col min="770" max="770" width="32.26953125" style="52" bestFit="1" customWidth="1"/>
    <col min="771" max="771" width="2.26953125" style="52" customWidth="1"/>
    <col min="772" max="772" width="16.81640625" style="52" bestFit="1" customWidth="1"/>
    <col min="773" max="773" width="12.54296875" style="52"/>
    <col min="774" max="774" width="2.26953125" style="52" customWidth="1"/>
    <col min="775" max="775" width="19.7265625" style="52" customWidth="1"/>
    <col min="776" max="776" width="12.7265625" style="52" bestFit="1" customWidth="1"/>
    <col min="777" max="777" width="2.26953125" style="52" customWidth="1"/>
    <col min="778" max="778" width="16.54296875" style="52" bestFit="1" customWidth="1"/>
    <col min="779" max="1024" width="12.54296875" style="52"/>
    <col min="1025" max="1025" width="2.1796875" style="52" customWidth="1"/>
    <col min="1026" max="1026" width="32.26953125" style="52" bestFit="1" customWidth="1"/>
    <col min="1027" max="1027" width="2.26953125" style="52" customWidth="1"/>
    <col min="1028" max="1028" width="16.81640625" style="52" bestFit="1" customWidth="1"/>
    <col min="1029" max="1029" width="12.54296875" style="52"/>
    <col min="1030" max="1030" width="2.26953125" style="52" customWidth="1"/>
    <col min="1031" max="1031" width="19.7265625" style="52" customWidth="1"/>
    <col min="1032" max="1032" width="12.7265625" style="52" bestFit="1" customWidth="1"/>
    <col min="1033" max="1033" width="2.26953125" style="52" customWidth="1"/>
    <col min="1034" max="1034" width="16.54296875" style="52" bestFit="1" customWidth="1"/>
    <col min="1035" max="1280" width="12.54296875" style="52"/>
    <col min="1281" max="1281" width="2.1796875" style="52" customWidth="1"/>
    <col min="1282" max="1282" width="32.26953125" style="52" bestFit="1" customWidth="1"/>
    <col min="1283" max="1283" width="2.26953125" style="52" customWidth="1"/>
    <col min="1284" max="1284" width="16.81640625" style="52" bestFit="1" customWidth="1"/>
    <col min="1285" max="1285" width="12.54296875" style="52"/>
    <col min="1286" max="1286" width="2.26953125" style="52" customWidth="1"/>
    <col min="1287" max="1287" width="19.7265625" style="52" customWidth="1"/>
    <col min="1288" max="1288" width="12.7265625" style="52" bestFit="1" customWidth="1"/>
    <col min="1289" max="1289" width="2.26953125" style="52" customWidth="1"/>
    <col min="1290" max="1290" width="16.54296875" style="52" bestFit="1" customWidth="1"/>
    <col min="1291" max="1536" width="12.54296875" style="52"/>
    <col min="1537" max="1537" width="2.1796875" style="52" customWidth="1"/>
    <col min="1538" max="1538" width="32.26953125" style="52" bestFit="1" customWidth="1"/>
    <col min="1539" max="1539" width="2.26953125" style="52" customWidth="1"/>
    <col min="1540" max="1540" width="16.81640625" style="52" bestFit="1" customWidth="1"/>
    <col min="1541" max="1541" width="12.54296875" style="52"/>
    <col min="1542" max="1542" width="2.26953125" style="52" customWidth="1"/>
    <col min="1543" max="1543" width="19.7265625" style="52" customWidth="1"/>
    <col min="1544" max="1544" width="12.7265625" style="52" bestFit="1" customWidth="1"/>
    <col min="1545" max="1545" width="2.26953125" style="52" customWidth="1"/>
    <col min="1546" max="1546" width="16.54296875" style="52" bestFit="1" customWidth="1"/>
    <col min="1547" max="1792" width="12.54296875" style="52"/>
    <col min="1793" max="1793" width="2.1796875" style="52" customWidth="1"/>
    <col min="1794" max="1794" width="32.26953125" style="52" bestFit="1" customWidth="1"/>
    <col min="1795" max="1795" width="2.26953125" style="52" customWidth="1"/>
    <col min="1796" max="1796" width="16.81640625" style="52" bestFit="1" customWidth="1"/>
    <col min="1797" max="1797" width="12.54296875" style="52"/>
    <col min="1798" max="1798" width="2.26953125" style="52" customWidth="1"/>
    <col min="1799" max="1799" width="19.7265625" style="52" customWidth="1"/>
    <col min="1800" max="1800" width="12.7265625" style="52" bestFit="1" customWidth="1"/>
    <col min="1801" max="1801" width="2.26953125" style="52" customWidth="1"/>
    <col min="1802" max="1802" width="16.54296875" style="52" bestFit="1" customWidth="1"/>
    <col min="1803" max="2048" width="12.54296875" style="52"/>
    <col min="2049" max="2049" width="2.1796875" style="52" customWidth="1"/>
    <col min="2050" max="2050" width="32.26953125" style="52" bestFit="1" customWidth="1"/>
    <col min="2051" max="2051" width="2.26953125" style="52" customWidth="1"/>
    <col min="2052" max="2052" width="16.81640625" style="52" bestFit="1" customWidth="1"/>
    <col min="2053" max="2053" width="12.54296875" style="52"/>
    <col min="2054" max="2054" width="2.26953125" style="52" customWidth="1"/>
    <col min="2055" max="2055" width="19.7265625" style="52" customWidth="1"/>
    <col min="2056" max="2056" width="12.7265625" style="52" bestFit="1" customWidth="1"/>
    <col min="2057" max="2057" width="2.26953125" style="52" customWidth="1"/>
    <col min="2058" max="2058" width="16.54296875" style="52" bestFit="1" customWidth="1"/>
    <col min="2059" max="2304" width="12.54296875" style="52"/>
    <col min="2305" max="2305" width="2.1796875" style="52" customWidth="1"/>
    <col min="2306" max="2306" width="32.26953125" style="52" bestFit="1" customWidth="1"/>
    <col min="2307" max="2307" width="2.26953125" style="52" customWidth="1"/>
    <col min="2308" max="2308" width="16.81640625" style="52" bestFit="1" customWidth="1"/>
    <col min="2309" max="2309" width="12.54296875" style="52"/>
    <col min="2310" max="2310" width="2.26953125" style="52" customWidth="1"/>
    <col min="2311" max="2311" width="19.7265625" style="52" customWidth="1"/>
    <col min="2312" max="2312" width="12.7265625" style="52" bestFit="1" customWidth="1"/>
    <col min="2313" max="2313" width="2.26953125" style="52" customWidth="1"/>
    <col min="2314" max="2314" width="16.54296875" style="52" bestFit="1" customWidth="1"/>
    <col min="2315" max="2560" width="12.54296875" style="52"/>
    <col min="2561" max="2561" width="2.1796875" style="52" customWidth="1"/>
    <col min="2562" max="2562" width="32.26953125" style="52" bestFit="1" customWidth="1"/>
    <col min="2563" max="2563" width="2.26953125" style="52" customWidth="1"/>
    <col min="2564" max="2564" width="16.81640625" style="52" bestFit="1" customWidth="1"/>
    <col min="2565" max="2565" width="12.54296875" style="52"/>
    <col min="2566" max="2566" width="2.26953125" style="52" customWidth="1"/>
    <col min="2567" max="2567" width="19.7265625" style="52" customWidth="1"/>
    <col min="2568" max="2568" width="12.7265625" style="52" bestFit="1" customWidth="1"/>
    <col min="2569" max="2569" width="2.26953125" style="52" customWidth="1"/>
    <col min="2570" max="2570" width="16.54296875" style="52" bestFit="1" customWidth="1"/>
    <col min="2571" max="2816" width="12.54296875" style="52"/>
    <col min="2817" max="2817" width="2.1796875" style="52" customWidth="1"/>
    <col min="2818" max="2818" width="32.26953125" style="52" bestFit="1" customWidth="1"/>
    <col min="2819" max="2819" width="2.26953125" style="52" customWidth="1"/>
    <col min="2820" max="2820" width="16.81640625" style="52" bestFit="1" customWidth="1"/>
    <col min="2821" max="2821" width="12.54296875" style="52"/>
    <col min="2822" max="2822" width="2.26953125" style="52" customWidth="1"/>
    <col min="2823" max="2823" width="19.7265625" style="52" customWidth="1"/>
    <col min="2824" max="2824" width="12.7265625" style="52" bestFit="1" customWidth="1"/>
    <col min="2825" max="2825" width="2.26953125" style="52" customWidth="1"/>
    <col min="2826" max="2826" width="16.54296875" style="52" bestFit="1" customWidth="1"/>
    <col min="2827" max="3072" width="12.54296875" style="52"/>
    <col min="3073" max="3073" width="2.1796875" style="52" customWidth="1"/>
    <col min="3074" max="3074" width="32.26953125" style="52" bestFit="1" customWidth="1"/>
    <col min="3075" max="3075" width="2.26953125" style="52" customWidth="1"/>
    <col min="3076" max="3076" width="16.81640625" style="52" bestFit="1" customWidth="1"/>
    <col min="3077" max="3077" width="12.54296875" style="52"/>
    <col min="3078" max="3078" width="2.26953125" style="52" customWidth="1"/>
    <col min="3079" max="3079" width="19.7265625" style="52" customWidth="1"/>
    <col min="3080" max="3080" width="12.7265625" style="52" bestFit="1" customWidth="1"/>
    <col min="3081" max="3081" width="2.26953125" style="52" customWidth="1"/>
    <col min="3082" max="3082" width="16.54296875" style="52" bestFit="1" customWidth="1"/>
    <col min="3083" max="3328" width="12.54296875" style="52"/>
    <col min="3329" max="3329" width="2.1796875" style="52" customWidth="1"/>
    <col min="3330" max="3330" width="32.26953125" style="52" bestFit="1" customWidth="1"/>
    <col min="3331" max="3331" width="2.26953125" style="52" customWidth="1"/>
    <col min="3332" max="3332" width="16.81640625" style="52" bestFit="1" customWidth="1"/>
    <col min="3333" max="3333" width="12.54296875" style="52"/>
    <col min="3334" max="3334" width="2.26953125" style="52" customWidth="1"/>
    <col min="3335" max="3335" width="19.7265625" style="52" customWidth="1"/>
    <col min="3336" max="3336" width="12.7265625" style="52" bestFit="1" customWidth="1"/>
    <col min="3337" max="3337" width="2.26953125" style="52" customWidth="1"/>
    <col min="3338" max="3338" width="16.54296875" style="52" bestFit="1" customWidth="1"/>
    <col min="3339" max="3584" width="12.54296875" style="52"/>
    <col min="3585" max="3585" width="2.1796875" style="52" customWidth="1"/>
    <col min="3586" max="3586" width="32.26953125" style="52" bestFit="1" customWidth="1"/>
    <col min="3587" max="3587" width="2.26953125" style="52" customWidth="1"/>
    <col min="3588" max="3588" width="16.81640625" style="52" bestFit="1" customWidth="1"/>
    <col min="3589" max="3589" width="12.54296875" style="52"/>
    <col min="3590" max="3590" width="2.26953125" style="52" customWidth="1"/>
    <col min="3591" max="3591" width="19.7265625" style="52" customWidth="1"/>
    <col min="3592" max="3592" width="12.7265625" style="52" bestFit="1" customWidth="1"/>
    <col min="3593" max="3593" width="2.26953125" style="52" customWidth="1"/>
    <col min="3594" max="3594" width="16.54296875" style="52" bestFit="1" customWidth="1"/>
    <col min="3595" max="3840" width="12.54296875" style="52"/>
    <col min="3841" max="3841" width="2.1796875" style="52" customWidth="1"/>
    <col min="3842" max="3842" width="32.26953125" style="52" bestFit="1" customWidth="1"/>
    <col min="3843" max="3843" width="2.26953125" style="52" customWidth="1"/>
    <col min="3844" max="3844" width="16.81640625" style="52" bestFit="1" customWidth="1"/>
    <col min="3845" max="3845" width="12.54296875" style="52"/>
    <col min="3846" max="3846" width="2.26953125" style="52" customWidth="1"/>
    <col min="3847" max="3847" width="19.7265625" style="52" customWidth="1"/>
    <col min="3848" max="3848" width="12.7265625" style="52" bestFit="1" customWidth="1"/>
    <col min="3849" max="3849" width="2.26953125" style="52" customWidth="1"/>
    <col min="3850" max="3850" width="16.54296875" style="52" bestFit="1" customWidth="1"/>
    <col min="3851" max="4096" width="12.54296875" style="52"/>
    <col min="4097" max="4097" width="2.1796875" style="52" customWidth="1"/>
    <col min="4098" max="4098" width="32.26953125" style="52" bestFit="1" customWidth="1"/>
    <col min="4099" max="4099" width="2.26953125" style="52" customWidth="1"/>
    <col min="4100" max="4100" width="16.81640625" style="52" bestFit="1" customWidth="1"/>
    <col min="4101" max="4101" width="12.54296875" style="52"/>
    <col min="4102" max="4102" width="2.26953125" style="52" customWidth="1"/>
    <col min="4103" max="4103" width="19.7265625" style="52" customWidth="1"/>
    <col min="4104" max="4104" width="12.7265625" style="52" bestFit="1" customWidth="1"/>
    <col min="4105" max="4105" width="2.26953125" style="52" customWidth="1"/>
    <col min="4106" max="4106" width="16.54296875" style="52" bestFit="1" customWidth="1"/>
    <col min="4107" max="4352" width="12.54296875" style="52"/>
    <col min="4353" max="4353" width="2.1796875" style="52" customWidth="1"/>
    <col min="4354" max="4354" width="32.26953125" style="52" bestFit="1" customWidth="1"/>
    <col min="4355" max="4355" width="2.26953125" style="52" customWidth="1"/>
    <col min="4356" max="4356" width="16.81640625" style="52" bestFit="1" customWidth="1"/>
    <col min="4357" max="4357" width="12.54296875" style="52"/>
    <col min="4358" max="4358" width="2.26953125" style="52" customWidth="1"/>
    <col min="4359" max="4359" width="19.7265625" style="52" customWidth="1"/>
    <col min="4360" max="4360" width="12.7265625" style="52" bestFit="1" customWidth="1"/>
    <col min="4361" max="4361" width="2.26953125" style="52" customWidth="1"/>
    <col min="4362" max="4362" width="16.54296875" style="52" bestFit="1" customWidth="1"/>
    <col min="4363" max="4608" width="12.54296875" style="52"/>
    <col min="4609" max="4609" width="2.1796875" style="52" customWidth="1"/>
    <col min="4610" max="4610" width="32.26953125" style="52" bestFit="1" customWidth="1"/>
    <col min="4611" max="4611" width="2.26953125" style="52" customWidth="1"/>
    <col min="4612" max="4612" width="16.81640625" style="52" bestFit="1" customWidth="1"/>
    <col min="4613" max="4613" width="12.54296875" style="52"/>
    <col min="4614" max="4614" width="2.26953125" style="52" customWidth="1"/>
    <col min="4615" max="4615" width="19.7265625" style="52" customWidth="1"/>
    <col min="4616" max="4616" width="12.7265625" style="52" bestFit="1" customWidth="1"/>
    <col min="4617" max="4617" width="2.26953125" style="52" customWidth="1"/>
    <col min="4618" max="4618" width="16.54296875" style="52" bestFit="1" customWidth="1"/>
    <col min="4619" max="4864" width="12.54296875" style="52"/>
    <col min="4865" max="4865" width="2.1796875" style="52" customWidth="1"/>
    <col min="4866" max="4866" width="32.26953125" style="52" bestFit="1" customWidth="1"/>
    <col min="4867" max="4867" width="2.26953125" style="52" customWidth="1"/>
    <col min="4868" max="4868" width="16.81640625" style="52" bestFit="1" customWidth="1"/>
    <col min="4869" max="4869" width="12.54296875" style="52"/>
    <col min="4870" max="4870" width="2.26953125" style="52" customWidth="1"/>
    <col min="4871" max="4871" width="19.7265625" style="52" customWidth="1"/>
    <col min="4872" max="4872" width="12.7265625" style="52" bestFit="1" customWidth="1"/>
    <col min="4873" max="4873" width="2.26953125" style="52" customWidth="1"/>
    <col min="4874" max="4874" width="16.54296875" style="52" bestFit="1" customWidth="1"/>
    <col min="4875" max="5120" width="12.54296875" style="52"/>
    <col min="5121" max="5121" width="2.1796875" style="52" customWidth="1"/>
    <col min="5122" max="5122" width="32.26953125" style="52" bestFit="1" customWidth="1"/>
    <col min="5123" max="5123" width="2.26953125" style="52" customWidth="1"/>
    <col min="5124" max="5124" width="16.81640625" style="52" bestFit="1" customWidth="1"/>
    <col min="5125" max="5125" width="12.54296875" style="52"/>
    <col min="5126" max="5126" width="2.26953125" style="52" customWidth="1"/>
    <col min="5127" max="5127" width="19.7265625" style="52" customWidth="1"/>
    <col min="5128" max="5128" width="12.7265625" style="52" bestFit="1" customWidth="1"/>
    <col min="5129" max="5129" width="2.26953125" style="52" customWidth="1"/>
    <col min="5130" max="5130" width="16.54296875" style="52" bestFit="1" customWidth="1"/>
    <col min="5131" max="5376" width="12.54296875" style="52"/>
    <col min="5377" max="5377" width="2.1796875" style="52" customWidth="1"/>
    <col min="5378" max="5378" width="32.26953125" style="52" bestFit="1" customWidth="1"/>
    <col min="5379" max="5379" width="2.26953125" style="52" customWidth="1"/>
    <col min="5380" max="5380" width="16.81640625" style="52" bestFit="1" customWidth="1"/>
    <col min="5381" max="5381" width="12.54296875" style="52"/>
    <col min="5382" max="5382" width="2.26953125" style="52" customWidth="1"/>
    <col min="5383" max="5383" width="19.7265625" style="52" customWidth="1"/>
    <col min="5384" max="5384" width="12.7265625" style="52" bestFit="1" customWidth="1"/>
    <col min="5385" max="5385" width="2.26953125" style="52" customWidth="1"/>
    <col min="5386" max="5386" width="16.54296875" style="52" bestFit="1" customWidth="1"/>
    <col min="5387" max="5632" width="12.54296875" style="52"/>
    <col min="5633" max="5633" width="2.1796875" style="52" customWidth="1"/>
    <col min="5634" max="5634" width="32.26953125" style="52" bestFit="1" customWidth="1"/>
    <col min="5635" max="5635" width="2.26953125" style="52" customWidth="1"/>
    <col min="5636" max="5636" width="16.81640625" style="52" bestFit="1" customWidth="1"/>
    <col min="5637" max="5637" width="12.54296875" style="52"/>
    <col min="5638" max="5638" width="2.26953125" style="52" customWidth="1"/>
    <col min="5639" max="5639" width="19.7265625" style="52" customWidth="1"/>
    <col min="5640" max="5640" width="12.7265625" style="52" bestFit="1" customWidth="1"/>
    <col min="5641" max="5641" width="2.26953125" style="52" customWidth="1"/>
    <col min="5642" max="5642" width="16.54296875" style="52" bestFit="1" customWidth="1"/>
    <col min="5643" max="5888" width="12.54296875" style="52"/>
    <col min="5889" max="5889" width="2.1796875" style="52" customWidth="1"/>
    <col min="5890" max="5890" width="32.26953125" style="52" bestFit="1" customWidth="1"/>
    <col min="5891" max="5891" width="2.26953125" style="52" customWidth="1"/>
    <col min="5892" max="5892" width="16.81640625" style="52" bestFit="1" customWidth="1"/>
    <col min="5893" max="5893" width="12.54296875" style="52"/>
    <col min="5894" max="5894" width="2.26953125" style="52" customWidth="1"/>
    <col min="5895" max="5895" width="19.7265625" style="52" customWidth="1"/>
    <col min="5896" max="5896" width="12.7265625" style="52" bestFit="1" customWidth="1"/>
    <col min="5897" max="5897" width="2.26953125" style="52" customWidth="1"/>
    <col min="5898" max="5898" width="16.54296875" style="52" bestFit="1" customWidth="1"/>
    <col min="5899" max="6144" width="12.54296875" style="52"/>
    <col min="6145" max="6145" width="2.1796875" style="52" customWidth="1"/>
    <col min="6146" max="6146" width="32.26953125" style="52" bestFit="1" customWidth="1"/>
    <col min="6147" max="6147" width="2.26953125" style="52" customWidth="1"/>
    <col min="6148" max="6148" width="16.81640625" style="52" bestFit="1" customWidth="1"/>
    <col min="6149" max="6149" width="12.54296875" style="52"/>
    <col min="6150" max="6150" width="2.26953125" style="52" customWidth="1"/>
    <col min="6151" max="6151" width="19.7265625" style="52" customWidth="1"/>
    <col min="6152" max="6152" width="12.7265625" style="52" bestFit="1" customWidth="1"/>
    <col min="6153" max="6153" width="2.26953125" style="52" customWidth="1"/>
    <col min="6154" max="6154" width="16.54296875" style="52" bestFit="1" customWidth="1"/>
    <col min="6155" max="6400" width="12.54296875" style="52"/>
    <col min="6401" max="6401" width="2.1796875" style="52" customWidth="1"/>
    <col min="6402" max="6402" width="32.26953125" style="52" bestFit="1" customWidth="1"/>
    <col min="6403" max="6403" width="2.26953125" style="52" customWidth="1"/>
    <col min="6404" max="6404" width="16.81640625" style="52" bestFit="1" customWidth="1"/>
    <col min="6405" max="6405" width="12.54296875" style="52"/>
    <col min="6406" max="6406" width="2.26953125" style="52" customWidth="1"/>
    <col min="6407" max="6407" width="19.7265625" style="52" customWidth="1"/>
    <col min="6408" max="6408" width="12.7265625" style="52" bestFit="1" customWidth="1"/>
    <col min="6409" max="6409" width="2.26953125" style="52" customWidth="1"/>
    <col min="6410" max="6410" width="16.54296875" style="52" bestFit="1" customWidth="1"/>
    <col min="6411" max="6656" width="12.54296875" style="52"/>
    <col min="6657" max="6657" width="2.1796875" style="52" customWidth="1"/>
    <col min="6658" max="6658" width="32.26953125" style="52" bestFit="1" customWidth="1"/>
    <col min="6659" max="6659" width="2.26953125" style="52" customWidth="1"/>
    <col min="6660" max="6660" width="16.81640625" style="52" bestFit="1" customWidth="1"/>
    <col min="6661" max="6661" width="12.54296875" style="52"/>
    <col min="6662" max="6662" width="2.26953125" style="52" customWidth="1"/>
    <col min="6663" max="6663" width="19.7265625" style="52" customWidth="1"/>
    <col min="6664" max="6664" width="12.7265625" style="52" bestFit="1" customWidth="1"/>
    <col min="6665" max="6665" width="2.26953125" style="52" customWidth="1"/>
    <col min="6666" max="6666" width="16.54296875" style="52" bestFit="1" customWidth="1"/>
    <col min="6667" max="6912" width="12.54296875" style="52"/>
    <col min="6913" max="6913" width="2.1796875" style="52" customWidth="1"/>
    <col min="6914" max="6914" width="32.26953125" style="52" bestFit="1" customWidth="1"/>
    <col min="6915" max="6915" width="2.26953125" style="52" customWidth="1"/>
    <col min="6916" max="6916" width="16.81640625" style="52" bestFit="1" customWidth="1"/>
    <col min="6917" max="6917" width="12.54296875" style="52"/>
    <col min="6918" max="6918" width="2.26953125" style="52" customWidth="1"/>
    <col min="6919" max="6919" width="19.7265625" style="52" customWidth="1"/>
    <col min="6920" max="6920" width="12.7265625" style="52" bestFit="1" customWidth="1"/>
    <col min="6921" max="6921" width="2.26953125" style="52" customWidth="1"/>
    <col min="6922" max="6922" width="16.54296875" style="52" bestFit="1" customWidth="1"/>
    <col min="6923" max="7168" width="12.54296875" style="52"/>
    <col min="7169" max="7169" width="2.1796875" style="52" customWidth="1"/>
    <col min="7170" max="7170" width="32.26953125" style="52" bestFit="1" customWidth="1"/>
    <col min="7171" max="7171" width="2.26953125" style="52" customWidth="1"/>
    <col min="7172" max="7172" width="16.81640625" style="52" bestFit="1" customWidth="1"/>
    <col min="7173" max="7173" width="12.54296875" style="52"/>
    <col min="7174" max="7174" width="2.26953125" style="52" customWidth="1"/>
    <col min="7175" max="7175" width="19.7265625" style="52" customWidth="1"/>
    <col min="7176" max="7176" width="12.7265625" style="52" bestFit="1" customWidth="1"/>
    <col min="7177" max="7177" width="2.26953125" style="52" customWidth="1"/>
    <col min="7178" max="7178" width="16.54296875" style="52" bestFit="1" customWidth="1"/>
    <col min="7179" max="7424" width="12.54296875" style="52"/>
    <col min="7425" max="7425" width="2.1796875" style="52" customWidth="1"/>
    <col min="7426" max="7426" width="32.26953125" style="52" bestFit="1" customWidth="1"/>
    <col min="7427" max="7427" width="2.26953125" style="52" customWidth="1"/>
    <col min="7428" max="7428" width="16.81640625" style="52" bestFit="1" customWidth="1"/>
    <col min="7429" max="7429" width="12.54296875" style="52"/>
    <col min="7430" max="7430" width="2.26953125" style="52" customWidth="1"/>
    <col min="7431" max="7431" width="19.7265625" style="52" customWidth="1"/>
    <col min="7432" max="7432" width="12.7265625" style="52" bestFit="1" customWidth="1"/>
    <col min="7433" max="7433" width="2.26953125" style="52" customWidth="1"/>
    <col min="7434" max="7434" width="16.54296875" style="52" bestFit="1" customWidth="1"/>
    <col min="7435" max="7680" width="12.54296875" style="52"/>
    <col min="7681" max="7681" width="2.1796875" style="52" customWidth="1"/>
    <col min="7682" max="7682" width="32.26953125" style="52" bestFit="1" customWidth="1"/>
    <col min="7683" max="7683" width="2.26953125" style="52" customWidth="1"/>
    <col min="7684" max="7684" width="16.81640625" style="52" bestFit="1" customWidth="1"/>
    <col min="7685" max="7685" width="12.54296875" style="52"/>
    <col min="7686" max="7686" width="2.26953125" style="52" customWidth="1"/>
    <col min="7687" max="7687" width="19.7265625" style="52" customWidth="1"/>
    <col min="7688" max="7688" width="12.7265625" style="52" bestFit="1" customWidth="1"/>
    <col min="7689" max="7689" width="2.26953125" style="52" customWidth="1"/>
    <col min="7690" max="7690" width="16.54296875" style="52" bestFit="1" customWidth="1"/>
    <col min="7691" max="7936" width="12.54296875" style="52"/>
    <col min="7937" max="7937" width="2.1796875" style="52" customWidth="1"/>
    <col min="7938" max="7938" width="32.26953125" style="52" bestFit="1" customWidth="1"/>
    <col min="7939" max="7939" width="2.26953125" style="52" customWidth="1"/>
    <col min="7940" max="7940" width="16.81640625" style="52" bestFit="1" customWidth="1"/>
    <col min="7941" max="7941" width="12.54296875" style="52"/>
    <col min="7942" max="7942" width="2.26953125" style="52" customWidth="1"/>
    <col min="7943" max="7943" width="19.7265625" style="52" customWidth="1"/>
    <col min="7944" max="7944" width="12.7265625" style="52" bestFit="1" customWidth="1"/>
    <col min="7945" max="7945" width="2.26953125" style="52" customWidth="1"/>
    <col min="7946" max="7946" width="16.54296875" style="52" bestFit="1" customWidth="1"/>
    <col min="7947" max="8192" width="12.54296875" style="52"/>
    <col min="8193" max="8193" width="2.1796875" style="52" customWidth="1"/>
    <col min="8194" max="8194" width="32.26953125" style="52" bestFit="1" customWidth="1"/>
    <col min="8195" max="8195" width="2.26953125" style="52" customWidth="1"/>
    <col min="8196" max="8196" width="16.81640625" style="52" bestFit="1" customWidth="1"/>
    <col min="8197" max="8197" width="12.54296875" style="52"/>
    <col min="8198" max="8198" width="2.26953125" style="52" customWidth="1"/>
    <col min="8199" max="8199" width="19.7265625" style="52" customWidth="1"/>
    <col min="8200" max="8200" width="12.7265625" style="52" bestFit="1" customWidth="1"/>
    <col min="8201" max="8201" width="2.26953125" style="52" customWidth="1"/>
    <col min="8202" max="8202" width="16.54296875" style="52" bestFit="1" customWidth="1"/>
    <col min="8203" max="8448" width="12.54296875" style="52"/>
    <col min="8449" max="8449" width="2.1796875" style="52" customWidth="1"/>
    <col min="8450" max="8450" width="32.26953125" style="52" bestFit="1" customWidth="1"/>
    <col min="8451" max="8451" width="2.26953125" style="52" customWidth="1"/>
    <col min="8452" max="8452" width="16.81640625" style="52" bestFit="1" customWidth="1"/>
    <col min="8453" max="8453" width="12.54296875" style="52"/>
    <col min="8454" max="8454" width="2.26953125" style="52" customWidth="1"/>
    <col min="8455" max="8455" width="19.7265625" style="52" customWidth="1"/>
    <col min="8456" max="8456" width="12.7265625" style="52" bestFit="1" customWidth="1"/>
    <col min="8457" max="8457" width="2.26953125" style="52" customWidth="1"/>
    <col min="8458" max="8458" width="16.54296875" style="52" bestFit="1" customWidth="1"/>
    <col min="8459" max="8704" width="12.54296875" style="52"/>
    <col min="8705" max="8705" width="2.1796875" style="52" customWidth="1"/>
    <col min="8706" max="8706" width="32.26953125" style="52" bestFit="1" customWidth="1"/>
    <col min="8707" max="8707" width="2.26953125" style="52" customWidth="1"/>
    <col min="8708" max="8708" width="16.81640625" style="52" bestFit="1" customWidth="1"/>
    <col min="8709" max="8709" width="12.54296875" style="52"/>
    <col min="8710" max="8710" width="2.26953125" style="52" customWidth="1"/>
    <col min="8711" max="8711" width="19.7265625" style="52" customWidth="1"/>
    <col min="8712" max="8712" width="12.7265625" style="52" bestFit="1" customWidth="1"/>
    <col min="8713" max="8713" width="2.26953125" style="52" customWidth="1"/>
    <col min="8714" max="8714" width="16.54296875" style="52" bestFit="1" customWidth="1"/>
    <col min="8715" max="8960" width="12.54296875" style="52"/>
    <col min="8961" max="8961" width="2.1796875" style="52" customWidth="1"/>
    <col min="8962" max="8962" width="32.26953125" style="52" bestFit="1" customWidth="1"/>
    <col min="8963" max="8963" width="2.26953125" style="52" customWidth="1"/>
    <col min="8964" max="8964" width="16.81640625" style="52" bestFit="1" customWidth="1"/>
    <col min="8965" max="8965" width="12.54296875" style="52"/>
    <col min="8966" max="8966" width="2.26953125" style="52" customWidth="1"/>
    <col min="8967" max="8967" width="19.7265625" style="52" customWidth="1"/>
    <col min="8968" max="8968" width="12.7265625" style="52" bestFit="1" customWidth="1"/>
    <col min="8969" max="8969" width="2.26953125" style="52" customWidth="1"/>
    <col min="8970" max="8970" width="16.54296875" style="52" bestFit="1" customWidth="1"/>
    <col min="8971" max="9216" width="12.54296875" style="52"/>
    <col min="9217" max="9217" width="2.1796875" style="52" customWidth="1"/>
    <col min="9218" max="9218" width="32.26953125" style="52" bestFit="1" customWidth="1"/>
    <col min="9219" max="9219" width="2.26953125" style="52" customWidth="1"/>
    <col min="9220" max="9220" width="16.81640625" style="52" bestFit="1" customWidth="1"/>
    <col min="9221" max="9221" width="12.54296875" style="52"/>
    <col min="9222" max="9222" width="2.26953125" style="52" customWidth="1"/>
    <col min="9223" max="9223" width="19.7265625" style="52" customWidth="1"/>
    <col min="9224" max="9224" width="12.7265625" style="52" bestFit="1" customWidth="1"/>
    <col min="9225" max="9225" width="2.26953125" style="52" customWidth="1"/>
    <col min="9226" max="9226" width="16.54296875" style="52" bestFit="1" customWidth="1"/>
    <col min="9227" max="9472" width="12.54296875" style="52"/>
    <col min="9473" max="9473" width="2.1796875" style="52" customWidth="1"/>
    <col min="9474" max="9474" width="32.26953125" style="52" bestFit="1" customWidth="1"/>
    <col min="9475" max="9475" width="2.26953125" style="52" customWidth="1"/>
    <col min="9476" max="9476" width="16.81640625" style="52" bestFit="1" customWidth="1"/>
    <col min="9477" max="9477" width="12.54296875" style="52"/>
    <col min="9478" max="9478" width="2.26953125" style="52" customWidth="1"/>
    <col min="9479" max="9479" width="19.7265625" style="52" customWidth="1"/>
    <col min="9480" max="9480" width="12.7265625" style="52" bestFit="1" customWidth="1"/>
    <col min="9481" max="9481" width="2.26953125" style="52" customWidth="1"/>
    <col min="9482" max="9482" width="16.54296875" style="52" bestFit="1" customWidth="1"/>
    <col min="9483" max="9728" width="12.54296875" style="52"/>
    <col min="9729" max="9729" width="2.1796875" style="52" customWidth="1"/>
    <col min="9730" max="9730" width="32.26953125" style="52" bestFit="1" customWidth="1"/>
    <col min="9731" max="9731" width="2.26953125" style="52" customWidth="1"/>
    <col min="9732" max="9732" width="16.81640625" style="52" bestFit="1" customWidth="1"/>
    <col min="9733" max="9733" width="12.54296875" style="52"/>
    <col min="9734" max="9734" width="2.26953125" style="52" customWidth="1"/>
    <col min="9735" max="9735" width="19.7265625" style="52" customWidth="1"/>
    <col min="9736" max="9736" width="12.7265625" style="52" bestFit="1" customWidth="1"/>
    <col min="9737" max="9737" width="2.26953125" style="52" customWidth="1"/>
    <col min="9738" max="9738" width="16.54296875" style="52" bestFit="1" customWidth="1"/>
    <col min="9739" max="9984" width="12.54296875" style="52"/>
    <col min="9985" max="9985" width="2.1796875" style="52" customWidth="1"/>
    <col min="9986" max="9986" width="32.26953125" style="52" bestFit="1" customWidth="1"/>
    <col min="9987" max="9987" width="2.26953125" style="52" customWidth="1"/>
    <col min="9988" max="9988" width="16.81640625" style="52" bestFit="1" customWidth="1"/>
    <col min="9989" max="9989" width="12.54296875" style="52"/>
    <col min="9990" max="9990" width="2.26953125" style="52" customWidth="1"/>
    <col min="9991" max="9991" width="19.7265625" style="52" customWidth="1"/>
    <col min="9992" max="9992" width="12.7265625" style="52" bestFit="1" customWidth="1"/>
    <col min="9993" max="9993" width="2.26953125" style="52" customWidth="1"/>
    <col min="9994" max="9994" width="16.54296875" style="52" bestFit="1" customWidth="1"/>
    <col min="9995" max="10240" width="12.54296875" style="52"/>
    <col min="10241" max="10241" width="2.1796875" style="52" customWidth="1"/>
    <col min="10242" max="10242" width="32.26953125" style="52" bestFit="1" customWidth="1"/>
    <col min="10243" max="10243" width="2.26953125" style="52" customWidth="1"/>
    <col min="10244" max="10244" width="16.81640625" style="52" bestFit="1" customWidth="1"/>
    <col min="10245" max="10245" width="12.54296875" style="52"/>
    <col min="10246" max="10246" width="2.26953125" style="52" customWidth="1"/>
    <col min="10247" max="10247" width="19.7265625" style="52" customWidth="1"/>
    <col min="10248" max="10248" width="12.7265625" style="52" bestFit="1" customWidth="1"/>
    <col min="10249" max="10249" width="2.26953125" style="52" customWidth="1"/>
    <col min="10250" max="10250" width="16.54296875" style="52" bestFit="1" customWidth="1"/>
    <col min="10251" max="10496" width="12.54296875" style="52"/>
    <col min="10497" max="10497" width="2.1796875" style="52" customWidth="1"/>
    <col min="10498" max="10498" width="32.26953125" style="52" bestFit="1" customWidth="1"/>
    <col min="10499" max="10499" width="2.26953125" style="52" customWidth="1"/>
    <col min="10500" max="10500" width="16.81640625" style="52" bestFit="1" customWidth="1"/>
    <col min="10501" max="10501" width="12.54296875" style="52"/>
    <col min="10502" max="10502" width="2.26953125" style="52" customWidth="1"/>
    <col min="10503" max="10503" width="19.7265625" style="52" customWidth="1"/>
    <col min="10504" max="10504" width="12.7265625" style="52" bestFit="1" customWidth="1"/>
    <col min="10505" max="10505" width="2.26953125" style="52" customWidth="1"/>
    <col min="10506" max="10506" width="16.54296875" style="52" bestFit="1" customWidth="1"/>
    <col min="10507" max="10752" width="12.54296875" style="52"/>
    <col min="10753" max="10753" width="2.1796875" style="52" customWidth="1"/>
    <col min="10754" max="10754" width="32.26953125" style="52" bestFit="1" customWidth="1"/>
    <col min="10755" max="10755" width="2.26953125" style="52" customWidth="1"/>
    <col min="10756" max="10756" width="16.81640625" style="52" bestFit="1" customWidth="1"/>
    <col min="10757" max="10757" width="12.54296875" style="52"/>
    <col min="10758" max="10758" width="2.26953125" style="52" customWidth="1"/>
    <col min="10759" max="10759" width="19.7265625" style="52" customWidth="1"/>
    <col min="10760" max="10760" width="12.7265625" style="52" bestFit="1" customWidth="1"/>
    <col min="10761" max="10761" width="2.26953125" style="52" customWidth="1"/>
    <col min="10762" max="10762" width="16.54296875" style="52" bestFit="1" customWidth="1"/>
    <col min="10763" max="11008" width="12.54296875" style="52"/>
    <col min="11009" max="11009" width="2.1796875" style="52" customWidth="1"/>
    <col min="11010" max="11010" width="32.26953125" style="52" bestFit="1" customWidth="1"/>
    <col min="11011" max="11011" width="2.26953125" style="52" customWidth="1"/>
    <col min="11012" max="11012" width="16.81640625" style="52" bestFit="1" customWidth="1"/>
    <col min="11013" max="11013" width="12.54296875" style="52"/>
    <col min="11014" max="11014" width="2.26953125" style="52" customWidth="1"/>
    <col min="11015" max="11015" width="19.7265625" style="52" customWidth="1"/>
    <col min="11016" max="11016" width="12.7265625" style="52" bestFit="1" customWidth="1"/>
    <col min="11017" max="11017" width="2.26953125" style="52" customWidth="1"/>
    <col min="11018" max="11018" width="16.54296875" style="52" bestFit="1" customWidth="1"/>
    <col min="11019" max="11264" width="12.54296875" style="52"/>
    <col min="11265" max="11265" width="2.1796875" style="52" customWidth="1"/>
    <col min="11266" max="11266" width="32.26953125" style="52" bestFit="1" customWidth="1"/>
    <col min="11267" max="11267" width="2.26953125" style="52" customWidth="1"/>
    <col min="11268" max="11268" width="16.81640625" style="52" bestFit="1" customWidth="1"/>
    <col min="11269" max="11269" width="12.54296875" style="52"/>
    <col min="11270" max="11270" width="2.26953125" style="52" customWidth="1"/>
    <col min="11271" max="11271" width="19.7265625" style="52" customWidth="1"/>
    <col min="11272" max="11272" width="12.7265625" style="52" bestFit="1" customWidth="1"/>
    <col min="11273" max="11273" width="2.26953125" style="52" customWidth="1"/>
    <col min="11274" max="11274" width="16.54296875" style="52" bestFit="1" customWidth="1"/>
    <col min="11275" max="11520" width="12.54296875" style="52"/>
    <col min="11521" max="11521" width="2.1796875" style="52" customWidth="1"/>
    <col min="11522" max="11522" width="32.26953125" style="52" bestFit="1" customWidth="1"/>
    <col min="11523" max="11523" width="2.26953125" style="52" customWidth="1"/>
    <col min="11524" max="11524" width="16.81640625" style="52" bestFit="1" customWidth="1"/>
    <col min="11525" max="11525" width="12.54296875" style="52"/>
    <col min="11526" max="11526" width="2.26953125" style="52" customWidth="1"/>
    <col min="11527" max="11527" width="19.7265625" style="52" customWidth="1"/>
    <col min="11528" max="11528" width="12.7265625" style="52" bestFit="1" customWidth="1"/>
    <col min="11529" max="11529" width="2.26953125" style="52" customWidth="1"/>
    <col min="11530" max="11530" width="16.54296875" style="52" bestFit="1" customWidth="1"/>
    <col min="11531" max="11776" width="12.54296875" style="52"/>
    <col min="11777" max="11777" width="2.1796875" style="52" customWidth="1"/>
    <col min="11778" max="11778" width="32.26953125" style="52" bestFit="1" customWidth="1"/>
    <col min="11779" max="11779" width="2.26953125" style="52" customWidth="1"/>
    <col min="11780" max="11780" width="16.81640625" style="52" bestFit="1" customWidth="1"/>
    <col min="11781" max="11781" width="12.54296875" style="52"/>
    <col min="11782" max="11782" width="2.26953125" style="52" customWidth="1"/>
    <col min="11783" max="11783" width="19.7265625" style="52" customWidth="1"/>
    <col min="11784" max="11784" width="12.7265625" style="52" bestFit="1" customWidth="1"/>
    <col min="11785" max="11785" width="2.26953125" style="52" customWidth="1"/>
    <col min="11786" max="11786" width="16.54296875" style="52" bestFit="1" customWidth="1"/>
    <col min="11787" max="12032" width="12.54296875" style="52"/>
    <col min="12033" max="12033" width="2.1796875" style="52" customWidth="1"/>
    <col min="12034" max="12034" width="32.26953125" style="52" bestFit="1" customWidth="1"/>
    <col min="12035" max="12035" width="2.26953125" style="52" customWidth="1"/>
    <col min="12036" max="12036" width="16.81640625" style="52" bestFit="1" customWidth="1"/>
    <col min="12037" max="12037" width="12.54296875" style="52"/>
    <col min="12038" max="12038" width="2.26953125" style="52" customWidth="1"/>
    <col min="12039" max="12039" width="19.7265625" style="52" customWidth="1"/>
    <col min="12040" max="12040" width="12.7265625" style="52" bestFit="1" customWidth="1"/>
    <col min="12041" max="12041" width="2.26953125" style="52" customWidth="1"/>
    <col min="12042" max="12042" width="16.54296875" style="52" bestFit="1" customWidth="1"/>
    <col min="12043" max="12288" width="12.54296875" style="52"/>
    <col min="12289" max="12289" width="2.1796875" style="52" customWidth="1"/>
    <col min="12290" max="12290" width="32.26953125" style="52" bestFit="1" customWidth="1"/>
    <col min="12291" max="12291" width="2.26953125" style="52" customWidth="1"/>
    <col min="12292" max="12292" width="16.81640625" style="52" bestFit="1" customWidth="1"/>
    <col min="12293" max="12293" width="12.54296875" style="52"/>
    <col min="12294" max="12294" width="2.26953125" style="52" customWidth="1"/>
    <col min="12295" max="12295" width="19.7265625" style="52" customWidth="1"/>
    <col min="12296" max="12296" width="12.7265625" style="52" bestFit="1" customWidth="1"/>
    <col min="12297" max="12297" width="2.26953125" style="52" customWidth="1"/>
    <col min="12298" max="12298" width="16.54296875" style="52" bestFit="1" customWidth="1"/>
    <col min="12299" max="12544" width="12.54296875" style="52"/>
    <col min="12545" max="12545" width="2.1796875" style="52" customWidth="1"/>
    <col min="12546" max="12546" width="32.26953125" style="52" bestFit="1" customWidth="1"/>
    <col min="12547" max="12547" width="2.26953125" style="52" customWidth="1"/>
    <col min="12548" max="12548" width="16.81640625" style="52" bestFit="1" customWidth="1"/>
    <col min="12549" max="12549" width="12.54296875" style="52"/>
    <col min="12550" max="12550" width="2.26953125" style="52" customWidth="1"/>
    <col min="12551" max="12551" width="19.7265625" style="52" customWidth="1"/>
    <col min="12552" max="12552" width="12.7265625" style="52" bestFit="1" customWidth="1"/>
    <col min="12553" max="12553" width="2.26953125" style="52" customWidth="1"/>
    <col min="12554" max="12554" width="16.54296875" style="52" bestFit="1" customWidth="1"/>
    <col min="12555" max="12800" width="12.54296875" style="52"/>
    <col min="12801" max="12801" width="2.1796875" style="52" customWidth="1"/>
    <col min="12802" max="12802" width="32.26953125" style="52" bestFit="1" customWidth="1"/>
    <col min="12803" max="12803" width="2.26953125" style="52" customWidth="1"/>
    <col min="12804" max="12804" width="16.81640625" style="52" bestFit="1" customWidth="1"/>
    <col min="12805" max="12805" width="12.54296875" style="52"/>
    <col min="12806" max="12806" width="2.26953125" style="52" customWidth="1"/>
    <col min="12807" max="12807" width="19.7265625" style="52" customWidth="1"/>
    <col min="12808" max="12808" width="12.7265625" style="52" bestFit="1" customWidth="1"/>
    <col min="12809" max="12809" width="2.26953125" style="52" customWidth="1"/>
    <col min="12810" max="12810" width="16.54296875" style="52" bestFit="1" customWidth="1"/>
    <col min="12811" max="13056" width="12.54296875" style="52"/>
    <col min="13057" max="13057" width="2.1796875" style="52" customWidth="1"/>
    <col min="13058" max="13058" width="32.26953125" style="52" bestFit="1" customWidth="1"/>
    <col min="13059" max="13059" width="2.26953125" style="52" customWidth="1"/>
    <col min="13060" max="13060" width="16.81640625" style="52" bestFit="1" customWidth="1"/>
    <col min="13061" max="13061" width="12.54296875" style="52"/>
    <col min="13062" max="13062" width="2.26953125" style="52" customWidth="1"/>
    <col min="13063" max="13063" width="19.7265625" style="52" customWidth="1"/>
    <col min="13064" max="13064" width="12.7265625" style="52" bestFit="1" customWidth="1"/>
    <col min="13065" max="13065" width="2.26953125" style="52" customWidth="1"/>
    <col min="13066" max="13066" width="16.54296875" style="52" bestFit="1" customWidth="1"/>
    <col min="13067" max="13312" width="12.54296875" style="52"/>
    <col min="13313" max="13313" width="2.1796875" style="52" customWidth="1"/>
    <col min="13314" max="13314" width="32.26953125" style="52" bestFit="1" customWidth="1"/>
    <col min="13315" max="13315" width="2.26953125" style="52" customWidth="1"/>
    <col min="13316" max="13316" width="16.81640625" style="52" bestFit="1" customWidth="1"/>
    <col min="13317" max="13317" width="12.54296875" style="52"/>
    <col min="13318" max="13318" width="2.26953125" style="52" customWidth="1"/>
    <col min="13319" max="13319" width="19.7265625" style="52" customWidth="1"/>
    <col min="13320" max="13320" width="12.7265625" style="52" bestFit="1" customWidth="1"/>
    <col min="13321" max="13321" width="2.26953125" style="52" customWidth="1"/>
    <col min="13322" max="13322" width="16.54296875" style="52" bestFit="1" customWidth="1"/>
    <col min="13323" max="13568" width="12.54296875" style="52"/>
    <col min="13569" max="13569" width="2.1796875" style="52" customWidth="1"/>
    <col min="13570" max="13570" width="32.26953125" style="52" bestFit="1" customWidth="1"/>
    <col min="13571" max="13571" width="2.26953125" style="52" customWidth="1"/>
    <col min="13572" max="13572" width="16.81640625" style="52" bestFit="1" customWidth="1"/>
    <col min="13573" max="13573" width="12.54296875" style="52"/>
    <col min="13574" max="13574" width="2.26953125" style="52" customWidth="1"/>
    <col min="13575" max="13575" width="19.7265625" style="52" customWidth="1"/>
    <col min="13576" max="13576" width="12.7265625" style="52" bestFit="1" customWidth="1"/>
    <col min="13577" max="13577" width="2.26953125" style="52" customWidth="1"/>
    <col min="13578" max="13578" width="16.54296875" style="52" bestFit="1" customWidth="1"/>
    <col min="13579" max="13824" width="12.54296875" style="52"/>
    <col min="13825" max="13825" width="2.1796875" style="52" customWidth="1"/>
    <col min="13826" max="13826" width="32.26953125" style="52" bestFit="1" customWidth="1"/>
    <col min="13827" max="13827" width="2.26953125" style="52" customWidth="1"/>
    <col min="13828" max="13828" width="16.81640625" style="52" bestFit="1" customWidth="1"/>
    <col min="13829" max="13829" width="12.54296875" style="52"/>
    <col min="13830" max="13830" width="2.26953125" style="52" customWidth="1"/>
    <col min="13831" max="13831" width="19.7265625" style="52" customWidth="1"/>
    <col min="13832" max="13832" width="12.7265625" style="52" bestFit="1" customWidth="1"/>
    <col min="13833" max="13833" width="2.26953125" style="52" customWidth="1"/>
    <col min="13834" max="13834" width="16.54296875" style="52" bestFit="1" customWidth="1"/>
    <col min="13835" max="14080" width="12.54296875" style="52"/>
    <col min="14081" max="14081" width="2.1796875" style="52" customWidth="1"/>
    <col min="14082" max="14082" width="32.26953125" style="52" bestFit="1" customWidth="1"/>
    <col min="14083" max="14083" width="2.26953125" style="52" customWidth="1"/>
    <col min="14084" max="14084" width="16.81640625" style="52" bestFit="1" customWidth="1"/>
    <col min="14085" max="14085" width="12.54296875" style="52"/>
    <col min="14086" max="14086" width="2.26953125" style="52" customWidth="1"/>
    <col min="14087" max="14087" width="19.7265625" style="52" customWidth="1"/>
    <col min="14088" max="14088" width="12.7265625" style="52" bestFit="1" customWidth="1"/>
    <col min="14089" max="14089" width="2.26953125" style="52" customWidth="1"/>
    <col min="14090" max="14090" width="16.54296875" style="52" bestFit="1" customWidth="1"/>
    <col min="14091" max="14336" width="12.54296875" style="52"/>
    <col min="14337" max="14337" width="2.1796875" style="52" customWidth="1"/>
    <col min="14338" max="14338" width="32.26953125" style="52" bestFit="1" customWidth="1"/>
    <col min="14339" max="14339" width="2.26953125" style="52" customWidth="1"/>
    <col min="14340" max="14340" width="16.81640625" style="52" bestFit="1" customWidth="1"/>
    <col min="14341" max="14341" width="12.54296875" style="52"/>
    <col min="14342" max="14342" width="2.26953125" style="52" customWidth="1"/>
    <col min="14343" max="14343" width="19.7265625" style="52" customWidth="1"/>
    <col min="14344" max="14344" width="12.7265625" style="52" bestFit="1" customWidth="1"/>
    <col min="14345" max="14345" width="2.26953125" style="52" customWidth="1"/>
    <col min="14346" max="14346" width="16.54296875" style="52" bestFit="1" customWidth="1"/>
    <col min="14347" max="14592" width="12.54296875" style="52"/>
    <col min="14593" max="14593" width="2.1796875" style="52" customWidth="1"/>
    <col min="14594" max="14594" width="32.26953125" style="52" bestFit="1" customWidth="1"/>
    <col min="14595" max="14595" width="2.26953125" style="52" customWidth="1"/>
    <col min="14596" max="14596" width="16.81640625" style="52" bestFit="1" customWidth="1"/>
    <col min="14597" max="14597" width="12.54296875" style="52"/>
    <col min="14598" max="14598" width="2.26953125" style="52" customWidth="1"/>
    <col min="14599" max="14599" width="19.7265625" style="52" customWidth="1"/>
    <col min="14600" max="14600" width="12.7265625" style="52" bestFit="1" customWidth="1"/>
    <col min="14601" max="14601" width="2.26953125" style="52" customWidth="1"/>
    <col min="14602" max="14602" width="16.54296875" style="52" bestFit="1" customWidth="1"/>
    <col min="14603" max="14848" width="12.54296875" style="52"/>
    <col min="14849" max="14849" width="2.1796875" style="52" customWidth="1"/>
    <col min="14850" max="14850" width="32.26953125" style="52" bestFit="1" customWidth="1"/>
    <col min="14851" max="14851" width="2.26953125" style="52" customWidth="1"/>
    <col min="14852" max="14852" width="16.81640625" style="52" bestFit="1" customWidth="1"/>
    <col min="14853" max="14853" width="12.54296875" style="52"/>
    <col min="14854" max="14854" width="2.26953125" style="52" customWidth="1"/>
    <col min="14855" max="14855" width="19.7265625" style="52" customWidth="1"/>
    <col min="14856" max="14856" width="12.7265625" style="52" bestFit="1" customWidth="1"/>
    <col min="14857" max="14857" width="2.26953125" style="52" customWidth="1"/>
    <col min="14858" max="14858" width="16.54296875" style="52" bestFit="1" customWidth="1"/>
    <col min="14859" max="15104" width="12.54296875" style="52"/>
    <col min="15105" max="15105" width="2.1796875" style="52" customWidth="1"/>
    <col min="15106" max="15106" width="32.26953125" style="52" bestFit="1" customWidth="1"/>
    <col min="15107" max="15107" width="2.26953125" style="52" customWidth="1"/>
    <col min="15108" max="15108" width="16.81640625" style="52" bestFit="1" customWidth="1"/>
    <col min="15109" max="15109" width="12.54296875" style="52"/>
    <col min="15110" max="15110" width="2.26953125" style="52" customWidth="1"/>
    <col min="15111" max="15111" width="19.7265625" style="52" customWidth="1"/>
    <col min="15112" max="15112" width="12.7265625" style="52" bestFit="1" customWidth="1"/>
    <col min="15113" max="15113" width="2.26953125" style="52" customWidth="1"/>
    <col min="15114" max="15114" width="16.54296875" style="52" bestFit="1" customWidth="1"/>
    <col min="15115" max="15360" width="12.54296875" style="52"/>
    <col min="15361" max="15361" width="2.1796875" style="52" customWidth="1"/>
    <col min="15362" max="15362" width="32.26953125" style="52" bestFit="1" customWidth="1"/>
    <col min="15363" max="15363" width="2.26953125" style="52" customWidth="1"/>
    <col min="15364" max="15364" width="16.81640625" style="52" bestFit="1" customWidth="1"/>
    <col min="15365" max="15365" width="12.54296875" style="52"/>
    <col min="15366" max="15366" width="2.26953125" style="52" customWidth="1"/>
    <col min="15367" max="15367" width="19.7265625" style="52" customWidth="1"/>
    <col min="15368" max="15368" width="12.7265625" style="52" bestFit="1" customWidth="1"/>
    <col min="15369" max="15369" width="2.26953125" style="52" customWidth="1"/>
    <col min="15370" max="15370" width="16.54296875" style="52" bestFit="1" customWidth="1"/>
    <col min="15371" max="15616" width="12.54296875" style="52"/>
    <col min="15617" max="15617" width="2.1796875" style="52" customWidth="1"/>
    <col min="15618" max="15618" width="32.26953125" style="52" bestFit="1" customWidth="1"/>
    <col min="15619" max="15619" width="2.26953125" style="52" customWidth="1"/>
    <col min="15620" max="15620" width="16.81640625" style="52" bestFit="1" customWidth="1"/>
    <col min="15621" max="15621" width="12.54296875" style="52"/>
    <col min="15622" max="15622" width="2.26953125" style="52" customWidth="1"/>
    <col min="15623" max="15623" width="19.7265625" style="52" customWidth="1"/>
    <col min="15624" max="15624" width="12.7265625" style="52" bestFit="1" customWidth="1"/>
    <col min="15625" max="15625" width="2.26953125" style="52" customWidth="1"/>
    <col min="15626" max="15626" width="16.54296875" style="52" bestFit="1" customWidth="1"/>
    <col min="15627" max="15872" width="12.54296875" style="52"/>
    <col min="15873" max="15873" width="2.1796875" style="52" customWidth="1"/>
    <col min="15874" max="15874" width="32.26953125" style="52" bestFit="1" customWidth="1"/>
    <col min="15875" max="15875" width="2.26953125" style="52" customWidth="1"/>
    <col min="15876" max="15876" width="16.81640625" style="52" bestFit="1" customWidth="1"/>
    <col min="15877" max="15877" width="12.54296875" style="52"/>
    <col min="15878" max="15878" width="2.26953125" style="52" customWidth="1"/>
    <col min="15879" max="15879" width="19.7265625" style="52" customWidth="1"/>
    <col min="15880" max="15880" width="12.7265625" style="52" bestFit="1" customWidth="1"/>
    <col min="15881" max="15881" width="2.26953125" style="52" customWidth="1"/>
    <col min="15882" max="15882" width="16.54296875" style="52" bestFit="1" customWidth="1"/>
    <col min="15883" max="16128" width="12.54296875" style="52"/>
    <col min="16129" max="16129" width="2.1796875" style="52" customWidth="1"/>
    <col min="16130" max="16130" width="32.26953125" style="52" bestFit="1" customWidth="1"/>
    <col min="16131" max="16131" width="2.26953125" style="52" customWidth="1"/>
    <col min="16132" max="16132" width="16.81640625" style="52" bestFit="1" customWidth="1"/>
    <col min="16133" max="16133" width="12.54296875" style="52"/>
    <col min="16134" max="16134" width="2.26953125" style="52" customWidth="1"/>
    <col min="16135" max="16135" width="19.7265625" style="52" customWidth="1"/>
    <col min="16136" max="16136" width="12.7265625" style="52" bestFit="1" customWidth="1"/>
    <col min="16137" max="16137" width="2.26953125" style="52" customWidth="1"/>
    <col min="16138" max="16138" width="16.54296875" style="52" bestFit="1" customWidth="1"/>
    <col min="16139" max="16384" width="12.54296875" style="52"/>
  </cols>
  <sheetData>
    <row r="1" spans="2:54" s="48" customFormat="1" x14ac:dyDescent="0.35">
      <c r="B1" s="47" t="s">
        <v>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2:54" s="48" customFormat="1" x14ac:dyDescent="0.35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2:54" s="48" customForma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2:54" s="48" customFormat="1" ht="15.5" x14ac:dyDescent="0.35">
      <c r="B4" s="49" t="s">
        <v>83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2:54" ht="15.5" x14ac:dyDescent="0.35"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2:54" ht="15.5" x14ac:dyDescent="0.3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2:54" x14ac:dyDescent="0.3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2:54" x14ac:dyDescent="0.35">
      <c r="B8" s="53"/>
      <c r="C8" s="51"/>
      <c r="D8" s="54" t="s">
        <v>34</v>
      </c>
      <c r="E8" s="54" t="s">
        <v>34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2:54" x14ac:dyDescent="0.35">
      <c r="B9" s="51"/>
      <c r="C9" s="51"/>
      <c r="D9" s="54" t="s">
        <v>35</v>
      </c>
      <c r="E9" s="54" t="s">
        <v>35</v>
      </c>
      <c r="F9" s="51"/>
      <c r="G9" s="55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2:54" x14ac:dyDescent="0.35">
      <c r="B10" s="56" t="s">
        <v>36</v>
      </c>
      <c r="C10" s="51"/>
      <c r="D10" s="57" t="s">
        <v>37</v>
      </c>
      <c r="E10" s="57" t="s">
        <v>88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2:54" x14ac:dyDescent="0.35">
      <c r="B11" s="51" t="s">
        <v>38</v>
      </c>
      <c r="C11" s="51"/>
      <c r="D11" s="58">
        <f>'Billing Units'!E11</f>
        <v>1069896</v>
      </c>
      <c r="E11" s="58">
        <f>'Billing Units'!E23</f>
        <v>27612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2:54" x14ac:dyDescent="0.35">
      <c r="B12" s="51" t="s">
        <v>72</v>
      </c>
      <c r="C12" s="51"/>
      <c r="D12" s="58">
        <f>'Billing Units'!F11</f>
        <v>1037676</v>
      </c>
      <c r="E12" s="58">
        <f>'Billing Units'!F23</f>
        <v>0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2:54" x14ac:dyDescent="0.35">
      <c r="B13" s="51" t="s">
        <v>39</v>
      </c>
      <c r="C13" s="51"/>
      <c r="D13" s="58">
        <f>'Billing Units'!H11</f>
        <v>579303384.19882727</v>
      </c>
      <c r="E13" s="58">
        <f>'Billing Units'!G23</f>
        <v>262226045.43853968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2:54" x14ac:dyDescent="0.35">
      <c r="B14" s="51" t="s">
        <v>40</v>
      </c>
      <c r="C14" s="51"/>
      <c r="D14" s="58">
        <v>0</v>
      </c>
      <c r="E14" s="58">
        <v>0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2:54" x14ac:dyDescent="0.35">
      <c r="B15" s="51"/>
      <c r="C15" s="51"/>
      <c r="D15" s="60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2:54" x14ac:dyDescent="0.35">
      <c r="B16" s="51"/>
      <c r="C16" s="51"/>
      <c r="D16" s="61" t="s">
        <v>41</v>
      </c>
      <c r="E16" s="62"/>
      <c r="F16" s="62"/>
      <c r="G16" s="62"/>
      <c r="H16" s="62"/>
      <c r="I16" s="62"/>
      <c r="J16" s="62"/>
      <c r="K16" s="63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2:54" x14ac:dyDescent="0.35">
      <c r="B17" s="51"/>
      <c r="C17" s="51"/>
      <c r="D17" s="240" t="s">
        <v>42</v>
      </c>
      <c r="E17" s="241"/>
      <c r="G17" s="64" t="s">
        <v>43</v>
      </c>
      <c r="H17" s="65"/>
      <c r="J17" s="64" t="s">
        <v>43</v>
      </c>
      <c r="K17" s="65"/>
      <c r="L17" s="51"/>
      <c r="M17" s="51"/>
      <c r="N17" s="51"/>
      <c r="O17" s="66"/>
      <c r="P17" s="66"/>
      <c r="Q17" s="66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2:54" x14ac:dyDescent="0.35">
      <c r="B18" s="51"/>
      <c r="C18" s="51"/>
      <c r="D18" s="67" t="s">
        <v>44</v>
      </c>
      <c r="E18" s="68"/>
      <c r="F18" s="51"/>
      <c r="G18" s="67" t="s">
        <v>45</v>
      </c>
      <c r="H18" s="68"/>
      <c r="J18" s="67" t="s">
        <v>46</v>
      </c>
      <c r="K18" s="68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2:54" x14ac:dyDescent="0.35">
      <c r="B19" s="56" t="s">
        <v>47</v>
      </c>
      <c r="C19" s="51"/>
      <c r="D19" s="69" t="s">
        <v>48</v>
      </c>
      <c r="E19" s="70" t="s">
        <v>49</v>
      </c>
      <c r="F19" s="51"/>
      <c r="G19" s="69" t="s">
        <v>48</v>
      </c>
      <c r="H19" s="70" t="s">
        <v>50</v>
      </c>
      <c r="I19" s="51"/>
      <c r="J19" s="69" t="s">
        <v>48</v>
      </c>
      <c r="K19" s="70" t="s">
        <v>51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2:54" x14ac:dyDescent="0.35">
      <c r="B20" s="51" t="s">
        <v>52</v>
      </c>
      <c r="C20" s="51"/>
      <c r="D20" s="71">
        <v>0</v>
      </c>
      <c r="E20" s="72">
        <v>0</v>
      </c>
      <c r="F20" s="51"/>
      <c r="G20" s="71">
        <f>'[3]AEPTX ERCOT Matrix 2018'!$E$10</f>
        <v>6396087.8686562618</v>
      </c>
      <c r="H20" s="76">
        <f>ROUND(G20/(D13+E13),6)</f>
        <v>7.6010000000000001E-3</v>
      </c>
      <c r="I20" s="51"/>
      <c r="J20" s="71">
        <v>0</v>
      </c>
      <c r="K20" s="72">
        <f>IF(J20=0,J20,ROUND(J20/G$14,4))</f>
        <v>0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2:54" x14ac:dyDescent="0.35">
      <c r="B21" s="51" t="s">
        <v>53</v>
      </c>
      <c r="C21" s="51"/>
      <c r="D21" s="73"/>
      <c r="E21" s="74"/>
      <c r="F21" s="51"/>
      <c r="G21" s="75">
        <f>'[7]Retail Summary Proposed'!$H$57+'[7]Retail Summary Proposed'!$H$72+'[7]Retail Summary Proposed'!$P$57+'[7]Retail Summary Proposed'!$P$72-'AEPTX Lighting'!J35</f>
        <v>20382160.99875468</v>
      </c>
      <c r="H21" s="76">
        <f>IF(G21=0,G21,ROUND(G21/(D$13+E13),6))</f>
        <v>2.4219999999999998E-2</v>
      </c>
      <c r="I21" s="51"/>
      <c r="J21" s="71">
        <v>0</v>
      </c>
      <c r="K21" s="72">
        <v>0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2:54" x14ac:dyDescent="0.35">
      <c r="B22" s="51" t="s">
        <v>54</v>
      </c>
      <c r="C22" s="51"/>
      <c r="D22" s="77"/>
      <c r="E22" s="78"/>
      <c r="F22" s="51"/>
      <c r="G22" s="79"/>
      <c r="H22" s="78"/>
      <c r="I22" s="51"/>
      <c r="J22" s="73"/>
      <c r="K22" s="80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2:54" x14ac:dyDescent="0.35">
      <c r="B23" s="51" t="s">
        <v>55</v>
      </c>
      <c r="C23" s="51"/>
      <c r="D23" s="81">
        <f>'[7]Retail Summary Proposed'!$H$62+'[7]Retail Summary Proposed'!$P$62</f>
        <v>6100793.093945032</v>
      </c>
      <c r="E23" s="74">
        <f>IF(D23=0,D23,ROUND(D23/(D$12+E12),2))</f>
        <v>5.88</v>
      </c>
      <c r="F23" s="51"/>
      <c r="G23" s="82">
        <v>0</v>
      </c>
      <c r="H23" s="83">
        <v>0</v>
      </c>
      <c r="I23" s="51"/>
      <c r="J23" s="82">
        <v>0</v>
      </c>
      <c r="K23" s="83">
        <v>0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2:54" x14ac:dyDescent="0.35">
      <c r="B24" s="51" t="s">
        <v>56</v>
      </c>
      <c r="C24" s="51"/>
      <c r="D24" s="79"/>
      <c r="E24" s="84"/>
      <c r="F24" s="51"/>
      <c r="G24" s="73"/>
      <c r="H24" s="80"/>
      <c r="I24" s="85"/>
      <c r="J24" s="73"/>
      <c r="K24" s="86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2:54" x14ac:dyDescent="0.35">
      <c r="B25" s="51" t="s">
        <v>57</v>
      </c>
      <c r="C25" s="51"/>
      <c r="D25" s="81"/>
      <c r="E25" s="87">
        <f>IF(D25=0,D25,ROUND(D25/D$11,2))</f>
        <v>0</v>
      </c>
      <c r="F25" s="51"/>
      <c r="G25" s="82">
        <v>0</v>
      </c>
      <c r="H25" s="83">
        <v>0</v>
      </c>
      <c r="I25" s="51"/>
      <c r="J25" s="82"/>
      <c r="K25" s="83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2:54" x14ac:dyDescent="0.35">
      <c r="B26" s="51" t="s">
        <v>58</v>
      </c>
      <c r="C26" s="51"/>
      <c r="D26" s="88">
        <v>0</v>
      </c>
      <c r="E26" s="72">
        <v>0</v>
      </c>
      <c r="F26" s="51"/>
      <c r="G26" s="71">
        <v>0</v>
      </c>
      <c r="H26" s="72">
        <v>0</v>
      </c>
      <c r="I26" s="51"/>
      <c r="J26" s="71">
        <v>0</v>
      </c>
      <c r="K26" s="72">
        <v>0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2:54" x14ac:dyDescent="0.35">
      <c r="B27" s="51" t="s">
        <v>59</v>
      </c>
      <c r="C27" s="51"/>
      <c r="D27" s="79"/>
      <c r="E27" s="78"/>
      <c r="F27" s="51"/>
      <c r="G27" s="73"/>
      <c r="H27" s="80"/>
      <c r="I27" s="85"/>
      <c r="J27" s="73"/>
      <c r="K27" s="86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2:54" x14ac:dyDescent="0.35">
      <c r="B28" s="51" t="s">
        <v>60</v>
      </c>
      <c r="C28" s="51"/>
      <c r="D28" s="81">
        <f>'[7]Retail Summary Proposed'!$H$67+'[7]Retail Summary Proposed'!$P$67</f>
        <v>1693907.8762628662</v>
      </c>
      <c r="E28" s="89">
        <f>IF(D28=0,D28,ROUND(D28/(D$11+E11),2))</f>
        <v>1.54</v>
      </c>
      <c r="F28" s="51"/>
      <c r="G28" s="82">
        <v>0</v>
      </c>
      <c r="H28" s="83">
        <v>0</v>
      </c>
      <c r="I28" s="51"/>
      <c r="J28" s="82"/>
      <c r="K28" s="83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2:54" x14ac:dyDescent="0.35">
      <c r="B29" s="90" t="s">
        <v>61</v>
      </c>
      <c r="C29" s="51"/>
      <c r="D29" s="81">
        <f>IF(SUM(D20:D28)&lt;1,D20,SUM(D20:D28))</f>
        <v>7794700.9702078979</v>
      </c>
      <c r="E29" s="91">
        <f>SUM(E20:E28)</f>
        <v>7.42</v>
      </c>
      <c r="F29" s="92"/>
      <c r="G29" s="81">
        <f>IF(SUM(G20:G28)&lt;1,G20,SUM(G20:G28))</f>
        <v>26778248.867410943</v>
      </c>
      <c r="H29" s="93">
        <f>SUM(H20:H28)</f>
        <v>3.1821000000000002E-2</v>
      </c>
      <c r="I29" s="94"/>
      <c r="J29" s="71">
        <f>IF(SUM(J20:J28)&lt;1,J20,SUM(J20:J28))</f>
        <v>0</v>
      </c>
      <c r="K29" s="72">
        <f>IF(SUM(K20:K28)&lt;1,K20,SUM(K20:K28))</f>
        <v>0</v>
      </c>
      <c r="L29" s="51"/>
      <c r="M29" s="177"/>
      <c r="N29" s="177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2:54" ht="15" thickBot="1" x14ac:dyDescent="0.4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2:54" ht="16" thickTop="1" x14ac:dyDescent="0.35">
      <c r="B31" s="51"/>
      <c r="C31" s="51"/>
      <c r="D31" s="77" t="s">
        <v>47</v>
      </c>
      <c r="E31" s="51"/>
      <c r="F31" s="51"/>
      <c r="G31" s="95" t="s">
        <v>62</v>
      </c>
      <c r="H31" s="96"/>
      <c r="I31" s="96"/>
      <c r="J31" s="97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2:54" x14ac:dyDescent="0.35">
      <c r="B32" s="51"/>
      <c r="C32" s="51"/>
      <c r="D32" s="98" t="s">
        <v>63</v>
      </c>
      <c r="E32" s="51"/>
      <c r="F32" s="51"/>
      <c r="G32" s="99"/>
      <c r="H32" s="100" t="s">
        <v>64</v>
      </c>
      <c r="I32" s="85"/>
      <c r="J32" s="101" t="s">
        <v>65</v>
      </c>
      <c r="K32" s="54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2:54" x14ac:dyDescent="0.35">
      <c r="B33" s="56" t="s">
        <v>47</v>
      </c>
      <c r="C33" s="51"/>
      <c r="D33" s="69" t="s">
        <v>48</v>
      </c>
      <c r="E33" s="51"/>
      <c r="F33" s="51"/>
      <c r="G33" s="102" t="s">
        <v>8</v>
      </c>
      <c r="H33" s="103" t="s">
        <v>66</v>
      </c>
      <c r="I33" s="85"/>
      <c r="J33" s="104" t="s">
        <v>67</v>
      </c>
      <c r="K33" s="57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2:54" x14ac:dyDescent="0.35">
      <c r="B34" s="51" t="s">
        <v>52</v>
      </c>
      <c r="C34" s="51"/>
      <c r="D34" s="105">
        <f>G20</f>
        <v>6396087.8686562618</v>
      </c>
      <c r="E34" s="51"/>
      <c r="F34" s="51"/>
      <c r="G34" s="106"/>
      <c r="H34" s="85"/>
      <c r="I34" s="85"/>
      <c r="J34" s="107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2:54" x14ac:dyDescent="0.35">
      <c r="B35" s="51" t="s">
        <v>53</v>
      </c>
      <c r="C35" s="51"/>
      <c r="D35" s="108">
        <f>D21+G21+J21</f>
        <v>20382160.99875468</v>
      </c>
      <c r="E35" s="51"/>
      <c r="F35" s="51"/>
      <c r="G35" s="109" t="s">
        <v>73</v>
      </c>
      <c r="H35" s="110">
        <f>E28</f>
        <v>1.54</v>
      </c>
      <c r="I35" s="85"/>
      <c r="J35" s="111">
        <f>ROUND(+H35*D11,0)</f>
        <v>1647640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2:54" x14ac:dyDescent="0.35">
      <c r="B36" s="51" t="s">
        <v>54</v>
      </c>
      <c r="C36" s="51"/>
      <c r="D36" s="112"/>
      <c r="E36" s="51"/>
      <c r="F36" s="51"/>
      <c r="G36" s="109" t="s">
        <v>74</v>
      </c>
      <c r="H36" s="110">
        <f>E23</f>
        <v>5.88</v>
      </c>
      <c r="I36" s="85"/>
      <c r="J36" s="111">
        <f>ROUND(+H36*D12,0)</f>
        <v>6101535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2:54" x14ac:dyDescent="0.35">
      <c r="B37" s="51" t="s">
        <v>55</v>
      </c>
      <c r="C37" s="51"/>
      <c r="D37" s="81">
        <f>D23+G23+J23</f>
        <v>6100793.093945032</v>
      </c>
      <c r="E37" s="51"/>
      <c r="F37" s="51"/>
      <c r="G37" s="106" t="s">
        <v>122</v>
      </c>
      <c r="H37" s="113">
        <f>H20</f>
        <v>7.6010000000000001E-3</v>
      </c>
      <c r="I37" s="85"/>
      <c r="J37" s="111">
        <f>ROUND(+H37*D13,0)</f>
        <v>4403285</v>
      </c>
      <c r="K37" s="116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2:54" x14ac:dyDescent="0.35">
      <c r="B38" s="51" t="s">
        <v>56</v>
      </c>
      <c r="C38" s="51"/>
      <c r="D38" s="112"/>
      <c r="E38" s="51"/>
      <c r="F38" s="51"/>
      <c r="G38" s="106" t="s">
        <v>121</v>
      </c>
      <c r="H38" s="113">
        <f>H21</f>
        <v>2.4219999999999998E-2</v>
      </c>
      <c r="I38" s="85" t="s">
        <v>69</v>
      </c>
      <c r="J38" s="114">
        <f>ROUND(+H38*D13,0)</f>
        <v>14030728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2:54" ht="15" thickBot="1" x14ac:dyDescent="0.4">
      <c r="B39" s="51" t="s">
        <v>57</v>
      </c>
      <c r="C39" s="51"/>
      <c r="D39" s="81">
        <f>D25+G25+J25</f>
        <v>0</v>
      </c>
      <c r="E39" s="51"/>
      <c r="F39" s="51"/>
      <c r="G39" s="106" t="s">
        <v>136</v>
      </c>
      <c r="H39" s="85"/>
      <c r="I39" s="85"/>
      <c r="J39" s="115">
        <f>SUM(J35:J38)</f>
        <v>26183188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2:54" ht="15" thickTop="1" x14ac:dyDescent="0.35">
      <c r="B40" s="51" t="s">
        <v>58</v>
      </c>
      <c r="C40" s="51"/>
      <c r="D40" s="88">
        <v>0</v>
      </c>
      <c r="E40" s="51"/>
      <c r="F40" s="51"/>
      <c r="G40" s="106"/>
      <c r="H40" s="85"/>
      <c r="I40" s="85"/>
      <c r="J40" s="117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2:54" x14ac:dyDescent="0.35">
      <c r="B41" s="51" t="s">
        <v>59</v>
      </c>
      <c r="C41" s="51"/>
      <c r="D41" s="112"/>
      <c r="E41" s="51"/>
      <c r="F41" s="51"/>
      <c r="G41" s="109" t="s">
        <v>133</v>
      </c>
      <c r="H41" s="186">
        <f>H35</f>
        <v>1.54</v>
      </c>
      <c r="I41" s="85"/>
      <c r="J41" s="111">
        <f>ROUND(H41*E11,0)</f>
        <v>42522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2:54" x14ac:dyDescent="0.35">
      <c r="B42" s="51" t="s">
        <v>60</v>
      </c>
      <c r="C42" s="51"/>
      <c r="D42" s="81">
        <f>D28+G28+J28</f>
        <v>1693907.8762628662</v>
      </c>
      <c r="E42" s="51"/>
      <c r="F42" s="51"/>
      <c r="G42" s="106" t="s">
        <v>134</v>
      </c>
      <c r="H42" s="113">
        <f>H37</f>
        <v>7.6010000000000001E-3</v>
      </c>
      <c r="I42" s="85"/>
      <c r="J42" s="111">
        <f>ROUND(H42*E13,0)</f>
        <v>1993180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2:54" x14ac:dyDescent="0.35">
      <c r="B43" s="90" t="s">
        <v>61</v>
      </c>
      <c r="C43" s="51"/>
      <c r="D43" s="81">
        <f>SUM(D34:D42)</f>
        <v>34572949.837618843</v>
      </c>
      <c r="E43" s="51"/>
      <c r="F43" s="51"/>
      <c r="G43" s="106" t="s">
        <v>135</v>
      </c>
      <c r="H43" s="113">
        <f>H38</f>
        <v>2.4219999999999998E-2</v>
      </c>
      <c r="I43" s="85"/>
      <c r="J43" s="111">
        <f>ROUND(H43*E13,0)</f>
        <v>6351115</v>
      </c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2:54" ht="15" thickBot="1" x14ac:dyDescent="0.4">
      <c r="B44" s="51"/>
      <c r="C44" s="51"/>
      <c r="D44" s="51"/>
      <c r="E44" s="51"/>
      <c r="F44" s="51"/>
      <c r="G44" s="106" t="s">
        <v>137</v>
      </c>
      <c r="H44" s="113"/>
      <c r="I44" s="85"/>
      <c r="J44" s="115">
        <f>SUM(J41:J43)</f>
        <v>8386817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2:54" ht="15" thickTop="1" x14ac:dyDescent="0.35">
      <c r="B45" s="51"/>
      <c r="C45" s="51"/>
      <c r="D45" s="178"/>
      <c r="E45" s="51"/>
      <c r="F45" s="51"/>
      <c r="G45" s="106"/>
      <c r="H45" s="113"/>
      <c r="I45" s="85"/>
      <c r="J45" s="11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2:54" x14ac:dyDescent="0.35">
      <c r="B46" s="51"/>
      <c r="C46" s="51"/>
      <c r="D46" s="51"/>
      <c r="E46" s="51"/>
      <c r="F46" s="51"/>
      <c r="G46" s="106" t="s">
        <v>138</v>
      </c>
      <c r="H46" s="113"/>
      <c r="I46" s="85"/>
      <c r="J46" s="111">
        <f>J39+J44</f>
        <v>34570005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2:54" x14ac:dyDescent="0.35">
      <c r="B47" s="51"/>
      <c r="C47" s="51"/>
      <c r="D47" s="51"/>
      <c r="E47" s="51"/>
      <c r="F47" s="51"/>
      <c r="G47" s="118" t="s">
        <v>71</v>
      </c>
      <c r="H47" s="85"/>
      <c r="I47" s="85"/>
      <c r="J47" s="107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2:54" ht="15" thickBot="1" x14ac:dyDescent="0.4">
      <c r="B48" s="51"/>
      <c r="C48" s="51"/>
      <c r="D48" s="51"/>
      <c r="E48" s="51"/>
      <c r="F48" s="51"/>
      <c r="G48" s="119"/>
      <c r="H48" s="120"/>
      <c r="I48" s="120"/>
      <c r="J48" s="12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2:54" ht="15" thickTop="1" x14ac:dyDescent="0.3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2:54" x14ac:dyDescent="0.3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2:54" x14ac:dyDescent="0.3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2:54" x14ac:dyDescent="0.3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2:54" x14ac:dyDescent="0.3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2:54" x14ac:dyDescent="0.3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2:54" x14ac:dyDescent="0.3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2:54" x14ac:dyDescent="0.3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2:54" x14ac:dyDescent="0.3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2:54" x14ac:dyDescent="0.3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2:54" x14ac:dyDescent="0.3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2:54" x14ac:dyDescent="0.3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2:54" x14ac:dyDescent="0.3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2:54" x14ac:dyDescent="0.3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2:54" x14ac:dyDescent="0.3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3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2:54" x14ac:dyDescent="0.3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2:54" x14ac:dyDescent="0.3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2:54" x14ac:dyDescent="0.3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2:54" x14ac:dyDescent="0.3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2:54" x14ac:dyDescent="0.3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2:54" x14ac:dyDescent="0.3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2:54" x14ac:dyDescent="0.3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2:54" x14ac:dyDescent="0.3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</row>
    <row r="73" spans="2:54" x14ac:dyDescent="0.3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</row>
    <row r="74" spans="2:54" x14ac:dyDescent="0.3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</row>
    <row r="75" spans="2:54" x14ac:dyDescent="0.3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2:54" x14ac:dyDescent="0.3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</row>
    <row r="77" spans="2:54" x14ac:dyDescent="0.3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</row>
    <row r="78" spans="2:54" x14ac:dyDescent="0.3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</row>
    <row r="79" spans="2:54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</row>
    <row r="80" spans="2:54" x14ac:dyDescent="0.3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</row>
    <row r="81" spans="2:54" x14ac:dyDescent="0.3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</row>
    <row r="82" spans="2:54" x14ac:dyDescent="0.3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</row>
    <row r="83" spans="2:54" x14ac:dyDescent="0.3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</row>
    <row r="84" spans="2:54" x14ac:dyDescent="0.3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</row>
    <row r="85" spans="2:54" x14ac:dyDescent="0.3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</row>
    <row r="86" spans="2:54" x14ac:dyDescent="0.3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</row>
    <row r="87" spans="2:54" x14ac:dyDescent="0.3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</row>
    <row r="88" spans="2:54" x14ac:dyDescent="0.3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</row>
    <row r="89" spans="2:54" x14ac:dyDescent="0.3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</row>
    <row r="90" spans="2:54" x14ac:dyDescent="0.3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</row>
    <row r="91" spans="2:54" x14ac:dyDescent="0.3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</row>
    <row r="92" spans="2:54" x14ac:dyDescent="0.35">
      <c r="G92" s="51"/>
      <c r="H92" s="51"/>
      <c r="I92" s="51"/>
      <c r="J92" s="51"/>
    </row>
    <row r="93" spans="2:54" x14ac:dyDescent="0.35">
      <c r="G93" s="51"/>
      <c r="H93" s="51"/>
      <c r="I93" s="51"/>
      <c r="J93" s="51"/>
    </row>
    <row r="94" spans="2:54" x14ac:dyDescent="0.35">
      <c r="G94" s="51"/>
      <c r="H94" s="51"/>
      <c r="I94" s="51"/>
      <c r="J94" s="51"/>
    </row>
    <row r="95" spans="2:54" x14ac:dyDescent="0.35">
      <c r="G95" s="51"/>
      <c r="H95" s="51"/>
      <c r="I95" s="51"/>
      <c r="J95" s="51"/>
    </row>
    <row r="96" spans="2:54" x14ac:dyDescent="0.35">
      <c r="G96" s="51"/>
      <c r="H96" s="51"/>
      <c r="I96" s="51"/>
      <c r="J96" s="51"/>
    </row>
    <row r="97" spans="7:10" x14ac:dyDescent="0.35">
      <c r="G97" s="51"/>
      <c r="H97" s="51"/>
      <c r="I97" s="51"/>
      <c r="J97" s="51"/>
    </row>
    <row r="98" spans="7:10" x14ac:dyDescent="0.35">
      <c r="G98" s="51"/>
      <c r="H98" s="51"/>
      <c r="I98" s="51"/>
      <c r="J98" s="51"/>
    </row>
    <row r="99" spans="7:10" x14ac:dyDescent="0.35">
      <c r="G99" s="51"/>
      <c r="H99" s="51"/>
      <c r="I99" s="51"/>
      <c r="J99" s="51"/>
    </row>
  </sheetData>
  <mergeCells count="1">
    <mergeCell ref="D17:E17"/>
  </mergeCells>
  <printOptions horizontalCentered="1"/>
  <pageMargins left="0.7" right="0.7" top="0.75" bottom="0.75" header="0.3" footer="0.3"/>
  <pageSetup scale="60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98"/>
  <sheetViews>
    <sheetView topLeftCell="A19" workbookViewId="0">
      <selection activeCell="D51" sqref="D51"/>
    </sheetView>
  </sheetViews>
  <sheetFormatPr defaultColWidth="12.54296875" defaultRowHeight="14.5" x14ac:dyDescent="0.35"/>
  <cols>
    <col min="1" max="1" width="2.1796875" style="52" customWidth="1"/>
    <col min="2" max="2" width="32.26953125" style="52" bestFit="1" customWidth="1"/>
    <col min="3" max="3" width="2.26953125" style="52" customWidth="1"/>
    <col min="4" max="4" width="16.81640625" style="52" bestFit="1" customWidth="1"/>
    <col min="5" max="5" width="12.54296875" style="52"/>
    <col min="6" max="6" width="2.26953125" style="52" customWidth="1"/>
    <col min="7" max="7" width="32" style="52" customWidth="1"/>
    <col min="8" max="8" width="16" style="52" bestFit="1" customWidth="1"/>
    <col min="9" max="9" width="2.26953125" style="52" customWidth="1"/>
    <col min="10" max="10" width="16.54296875" style="52" bestFit="1" customWidth="1"/>
    <col min="11" max="256" width="12.54296875" style="52"/>
    <col min="257" max="257" width="2.1796875" style="52" customWidth="1"/>
    <col min="258" max="258" width="32.26953125" style="52" bestFit="1" customWidth="1"/>
    <col min="259" max="259" width="2.26953125" style="52" customWidth="1"/>
    <col min="260" max="260" width="16.81640625" style="52" bestFit="1" customWidth="1"/>
    <col min="261" max="261" width="12.54296875" style="52"/>
    <col min="262" max="262" width="2.26953125" style="52" customWidth="1"/>
    <col min="263" max="263" width="19.7265625" style="52" customWidth="1"/>
    <col min="264" max="264" width="12.7265625" style="52" bestFit="1" customWidth="1"/>
    <col min="265" max="265" width="2.26953125" style="52" customWidth="1"/>
    <col min="266" max="266" width="16.54296875" style="52" bestFit="1" customWidth="1"/>
    <col min="267" max="512" width="12.54296875" style="52"/>
    <col min="513" max="513" width="2.1796875" style="52" customWidth="1"/>
    <col min="514" max="514" width="32.26953125" style="52" bestFit="1" customWidth="1"/>
    <col min="515" max="515" width="2.26953125" style="52" customWidth="1"/>
    <col min="516" max="516" width="16.81640625" style="52" bestFit="1" customWidth="1"/>
    <col min="517" max="517" width="12.54296875" style="52"/>
    <col min="518" max="518" width="2.26953125" style="52" customWidth="1"/>
    <col min="519" max="519" width="19.7265625" style="52" customWidth="1"/>
    <col min="520" max="520" width="12.7265625" style="52" bestFit="1" customWidth="1"/>
    <col min="521" max="521" width="2.26953125" style="52" customWidth="1"/>
    <col min="522" max="522" width="16.54296875" style="52" bestFit="1" customWidth="1"/>
    <col min="523" max="768" width="12.54296875" style="52"/>
    <col min="769" max="769" width="2.1796875" style="52" customWidth="1"/>
    <col min="770" max="770" width="32.26953125" style="52" bestFit="1" customWidth="1"/>
    <col min="771" max="771" width="2.26953125" style="52" customWidth="1"/>
    <col min="772" max="772" width="16.81640625" style="52" bestFit="1" customWidth="1"/>
    <col min="773" max="773" width="12.54296875" style="52"/>
    <col min="774" max="774" width="2.26953125" style="52" customWidth="1"/>
    <col min="775" max="775" width="19.7265625" style="52" customWidth="1"/>
    <col min="776" max="776" width="12.7265625" style="52" bestFit="1" customWidth="1"/>
    <col min="777" max="777" width="2.26953125" style="52" customWidth="1"/>
    <col min="778" max="778" width="16.54296875" style="52" bestFit="1" customWidth="1"/>
    <col min="779" max="1024" width="12.54296875" style="52"/>
    <col min="1025" max="1025" width="2.1796875" style="52" customWidth="1"/>
    <col min="1026" max="1026" width="32.26953125" style="52" bestFit="1" customWidth="1"/>
    <col min="1027" max="1027" width="2.26953125" style="52" customWidth="1"/>
    <col min="1028" max="1028" width="16.81640625" style="52" bestFit="1" customWidth="1"/>
    <col min="1029" max="1029" width="12.54296875" style="52"/>
    <col min="1030" max="1030" width="2.26953125" style="52" customWidth="1"/>
    <col min="1031" max="1031" width="19.7265625" style="52" customWidth="1"/>
    <col min="1032" max="1032" width="12.7265625" style="52" bestFit="1" customWidth="1"/>
    <col min="1033" max="1033" width="2.26953125" style="52" customWidth="1"/>
    <col min="1034" max="1034" width="16.54296875" style="52" bestFit="1" customWidth="1"/>
    <col min="1035" max="1280" width="12.54296875" style="52"/>
    <col min="1281" max="1281" width="2.1796875" style="52" customWidth="1"/>
    <col min="1282" max="1282" width="32.26953125" style="52" bestFit="1" customWidth="1"/>
    <col min="1283" max="1283" width="2.26953125" style="52" customWidth="1"/>
    <col min="1284" max="1284" width="16.81640625" style="52" bestFit="1" customWidth="1"/>
    <col min="1285" max="1285" width="12.54296875" style="52"/>
    <col min="1286" max="1286" width="2.26953125" style="52" customWidth="1"/>
    <col min="1287" max="1287" width="19.7265625" style="52" customWidth="1"/>
    <col min="1288" max="1288" width="12.7265625" style="52" bestFit="1" customWidth="1"/>
    <col min="1289" max="1289" width="2.26953125" style="52" customWidth="1"/>
    <col min="1290" max="1290" width="16.54296875" style="52" bestFit="1" customWidth="1"/>
    <col min="1291" max="1536" width="12.54296875" style="52"/>
    <col min="1537" max="1537" width="2.1796875" style="52" customWidth="1"/>
    <col min="1538" max="1538" width="32.26953125" style="52" bestFit="1" customWidth="1"/>
    <col min="1539" max="1539" width="2.26953125" style="52" customWidth="1"/>
    <col min="1540" max="1540" width="16.81640625" style="52" bestFit="1" customWidth="1"/>
    <col min="1541" max="1541" width="12.54296875" style="52"/>
    <col min="1542" max="1542" width="2.26953125" style="52" customWidth="1"/>
    <col min="1543" max="1543" width="19.7265625" style="52" customWidth="1"/>
    <col min="1544" max="1544" width="12.7265625" style="52" bestFit="1" customWidth="1"/>
    <col min="1545" max="1545" width="2.26953125" style="52" customWidth="1"/>
    <col min="1546" max="1546" width="16.54296875" style="52" bestFit="1" customWidth="1"/>
    <col min="1547" max="1792" width="12.54296875" style="52"/>
    <col min="1793" max="1793" width="2.1796875" style="52" customWidth="1"/>
    <col min="1794" max="1794" width="32.26953125" style="52" bestFit="1" customWidth="1"/>
    <col min="1795" max="1795" width="2.26953125" style="52" customWidth="1"/>
    <col min="1796" max="1796" width="16.81640625" style="52" bestFit="1" customWidth="1"/>
    <col min="1797" max="1797" width="12.54296875" style="52"/>
    <col min="1798" max="1798" width="2.26953125" style="52" customWidth="1"/>
    <col min="1799" max="1799" width="19.7265625" style="52" customWidth="1"/>
    <col min="1800" max="1800" width="12.7265625" style="52" bestFit="1" customWidth="1"/>
    <col min="1801" max="1801" width="2.26953125" style="52" customWidth="1"/>
    <col min="1802" max="1802" width="16.54296875" style="52" bestFit="1" customWidth="1"/>
    <col min="1803" max="2048" width="12.54296875" style="52"/>
    <col min="2049" max="2049" width="2.1796875" style="52" customWidth="1"/>
    <col min="2050" max="2050" width="32.26953125" style="52" bestFit="1" customWidth="1"/>
    <col min="2051" max="2051" width="2.26953125" style="52" customWidth="1"/>
    <col min="2052" max="2052" width="16.81640625" style="52" bestFit="1" customWidth="1"/>
    <col min="2053" max="2053" width="12.54296875" style="52"/>
    <col min="2054" max="2054" width="2.26953125" style="52" customWidth="1"/>
    <col min="2055" max="2055" width="19.7265625" style="52" customWidth="1"/>
    <col min="2056" max="2056" width="12.7265625" style="52" bestFit="1" customWidth="1"/>
    <col min="2057" max="2057" width="2.26953125" style="52" customWidth="1"/>
    <col min="2058" max="2058" width="16.54296875" style="52" bestFit="1" customWidth="1"/>
    <col min="2059" max="2304" width="12.54296875" style="52"/>
    <col min="2305" max="2305" width="2.1796875" style="52" customWidth="1"/>
    <col min="2306" max="2306" width="32.26953125" style="52" bestFit="1" customWidth="1"/>
    <col min="2307" max="2307" width="2.26953125" style="52" customWidth="1"/>
    <col min="2308" max="2308" width="16.81640625" style="52" bestFit="1" customWidth="1"/>
    <col min="2309" max="2309" width="12.54296875" style="52"/>
    <col min="2310" max="2310" width="2.26953125" style="52" customWidth="1"/>
    <col min="2311" max="2311" width="19.7265625" style="52" customWidth="1"/>
    <col min="2312" max="2312" width="12.7265625" style="52" bestFit="1" customWidth="1"/>
    <col min="2313" max="2313" width="2.26953125" style="52" customWidth="1"/>
    <col min="2314" max="2314" width="16.54296875" style="52" bestFit="1" customWidth="1"/>
    <col min="2315" max="2560" width="12.54296875" style="52"/>
    <col min="2561" max="2561" width="2.1796875" style="52" customWidth="1"/>
    <col min="2562" max="2562" width="32.26953125" style="52" bestFit="1" customWidth="1"/>
    <col min="2563" max="2563" width="2.26953125" style="52" customWidth="1"/>
    <col min="2564" max="2564" width="16.81640625" style="52" bestFit="1" customWidth="1"/>
    <col min="2565" max="2565" width="12.54296875" style="52"/>
    <col min="2566" max="2566" width="2.26953125" style="52" customWidth="1"/>
    <col min="2567" max="2567" width="19.7265625" style="52" customWidth="1"/>
    <col min="2568" max="2568" width="12.7265625" style="52" bestFit="1" customWidth="1"/>
    <col min="2569" max="2569" width="2.26953125" style="52" customWidth="1"/>
    <col min="2570" max="2570" width="16.54296875" style="52" bestFit="1" customWidth="1"/>
    <col min="2571" max="2816" width="12.54296875" style="52"/>
    <col min="2817" max="2817" width="2.1796875" style="52" customWidth="1"/>
    <col min="2818" max="2818" width="32.26953125" style="52" bestFit="1" customWidth="1"/>
    <col min="2819" max="2819" width="2.26953125" style="52" customWidth="1"/>
    <col min="2820" max="2820" width="16.81640625" style="52" bestFit="1" customWidth="1"/>
    <col min="2821" max="2821" width="12.54296875" style="52"/>
    <col min="2822" max="2822" width="2.26953125" style="52" customWidth="1"/>
    <col min="2823" max="2823" width="19.7265625" style="52" customWidth="1"/>
    <col min="2824" max="2824" width="12.7265625" style="52" bestFit="1" customWidth="1"/>
    <col min="2825" max="2825" width="2.26953125" style="52" customWidth="1"/>
    <col min="2826" max="2826" width="16.54296875" style="52" bestFit="1" customWidth="1"/>
    <col min="2827" max="3072" width="12.54296875" style="52"/>
    <col min="3073" max="3073" width="2.1796875" style="52" customWidth="1"/>
    <col min="3074" max="3074" width="32.26953125" style="52" bestFit="1" customWidth="1"/>
    <col min="3075" max="3075" width="2.26953125" style="52" customWidth="1"/>
    <col min="3076" max="3076" width="16.81640625" style="52" bestFit="1" customWidth="1"/>
    <col min="3077" max="3077" width="12.54296875" style="52"/>
    <col min="3078" max="3078" width="2.26953125" style="52" customWidth="1"/>
    <col min="3079" max="3079" width="19.7265625" style="52" customWidth="1"/>
    <col min="3080" max="3080" width="12.7265625" style="52" bestFit="1" customWidth="1"/>
    <col min="3081" max="3081" width="2.26953125" style="52" customWidth="1"/>
    <col min="3082" max="3082" width="16.54296875" style="52" bestFit="1" customWidth="1"/>
    <col min="3083" max="3328" width="12.54296875" style="52"/>
    <col min="3329" max="3329" width="2.1796875" style="52" customWidth="1"/>
    <col min="3330" max="3330" width="32.26953125" style="52" bestFit="1" customWidth="1"/>
    <col min="3331" max="3331" width="2.26953125" style="52" customWidth="1"/>
    <col min="3332" max="3332" width="16.81640625" style="52" bestFit="1" customWidth="1"/>
    <col min="3333" max="3333" width="12.54296875" style="52"/>
    <col min="3334" max="3334" width="2.26953125" style="52" customWidth="1"/>
    <col min="3335" max="3335" width="19.7265625" style="52" customWidth="1"/>
    <col min="3336" max="3336" width="12.7265625" style="52" bestFit="1" customWidth="1"/>
    <col min="3337" max="3337" width="2.26953125" style="52" customWidth="1"/>
    <col min="3338" max="3338" width="16.54296875" style="52" bestFit="1" customWidth="1"/>
    <col min="3339" max="3584" width="12.54296875" style="52"/>
    <col min="3585" max="3585" width="2.1796875" style="52" customWidth="1"/>
    <col min="3586" max="3586" width="32.26953125" style="52" bestFit="1" customWidth="1"/>
    <col min="3587" max="3587" width="2.26953125" style="52" customWidth="1"/>
    <col min="3588" max="3588" width="16.81640625" style="52" bestFit="1" customWidth="1"/>
    <col min="3589" max="3589" width="12.54296875" style="52"/>
    <col min="3590" max="3590" width="2.26953125" style="52" customWidth="1"/>
    <col min="3591" max="3591" width="19.7265625" style="52" customWidth="1"/>
    <col min="3592" max="3592" width="12.7265625" style="52" bestFit="1" customWidth="1"/>
    <col min="3593" max="3593" width="2.26953125" style="52" customWidth="1"/>
    <col min="3594" max="3594" width="16.54296875" style="52" bestFit="1" customWidth="1"/>
    <col min="3595" max="3840" width="12.54296875" style="52"/>
    <col min="3841" max="3841" width="2.1796875" style="52" customWidth="1"/>
    <col min="3842" max="3842" width="32.26953125" style="52" bestFit="1" customWidth="1"/>
    <col min="3843" max="3843" width="2.26953125" style="52" customWidth="1"/>
    <col min="3844" max="3844" width="16.81640625" style="52" bestFit="1" customWidth="1"/>
    <col min="3845" max="3845" width="12.54296875" style="52"/>
    <col min="3846" max="3846" width="2.26953125" style="52" customWidth="1"/>
    <col min="3847" max="3847" width="19.7265625" style="52" customWidth="1"/>
    <col min="3848" max="3848" width="12.7265625" style="52" bestFit="1" customWidth="1"/>
    <col min="3849" max="3849" width="2.26953125" style="52" customWidth="1"/>
    <col min="3850" max="3850" width="16.54296875" style="52" bestFit="1" customWidth="1"/>
    <col min="3851" max="4096" width="12.54296875" style="52"/>
    <col min="4097" max="4097" width="2.1796875" style="52" customWidth="1"/>
    <col min="4098" max="4098" width="32.26953125" style="52" bestFit="1" customWidth="1"/>
    <col min="4099" max="4099" width="2.26953125" style="52" customWidth="1"/>
    <col min="4100" max="4100" width="16.81640625" style="52" bestFit="1" customWidth="1"/>
    <col min="4101" max="4101" width="12.54296875" style="52"/>
    <col min="4102" max="4102" width="2.26953125" style="52" customWidth="1"/>
    <col min="4103" max="4103" width="19.7265625" style="52" customWidth="1"/>
    <col min="4104" max="4104" width="12.7265625" style="52" bestFit="1" customWidth="1"/>
    <col min="4105" max="4105" width="2.26953125" style="52" customWidth="1"/>
    <col min="4106" max="4106" width="16.54296875" style="52" bestFit="1" customWidth="1"/>
    <col min="4107" max="4352" width="12.54296875" style="52"/>
    <col min="4353" max="4353" width="2.1796875" style="52" customWidth="1"/>
    <col min="4354" max="4354" width="32.26953125" style="52" bestFit="1" customWidth="1"/>
    <col min="4355" max="4355" width="2.26953125" style="52" customWidth="1"/>
    <col min="4356" max="4356" width="16.81640625" style="52" bestFit="1" customWidth="1"/>
    <col min="4357" max="4357" width="12.54296875" style="52"/>
    <col min="4358" max="4358" width="2.26953125" style="52" customWidth="1"/>
    <col min="4359" max="4359" width="19.7265625" style="52" customWidth="1"/>
    <col min="4360" max="4360" width="12.7265625" style="52" bestFit="1" customWidth="1"/>
    <col min="4361" max="4361" width="2.26953125" style="52" customWidth="1"/>
    <col min="4362" max="4362" width="16.54296875" style="52" bestFit="1" customWidth="1"/>
    <col min="4363" max="4608" width="12.54296875" style="52"/>
    <col min="4609" max="4609" width="2.1796875" style="52" customWidth="1"/>
    <col min="4610" max="4610" width="32.26953125" style="52" bestFit="1" customWidth="1"/>
    <col min="4611" max="4611" width="2.26953125" style="52" customWidth="1"/>
    <col min="4612" max="4612" width="16.81640625" style="52" bestFit="1" customWidth="1"/>
    <col min="4613" max="4613" width="12.54296875" style="52"/>
    <col min="4614" max="4614" width="2.26953125" style="52" customWidth="1"/>
    <col min="4615" max="4615" width="19.7265625" style="52" customWidth="1"/>
    <col min="4616" max="4616" width="12.7265625" style="52" bestFit="1" customWidth="1"/>
    <col min="4617" max="4617" width="2.26953125" style="52" customWidth="1"/>
    <col min="4618" max="4618" width="16.54296875" style="52" bestFit="1" customWidth="1"/>
    <col min="4619" max="4864" width="12.54296875" style="52"/>
    <col min="4865" max="4865" width="2.1796875" style="52" customWidth="1"/>
    <col min="4866" max="4866" width="32.26953125" style="52" bestFit="1" customWidth="1"/>
    <col min="4867" max="4867" width="2.26953125" style="52" customWidth="1"/>
    <col min="4868" max="4868" width="16.81640625" style="52" bestFit="1" customWidth="1"/>
    <col min="4869" max="4869" width="12.54296875" style="52"/>
    <col min="4870" max="4870" width="2.26953125" style="52" customWidth="1"/>
    <col min="4871" max="4871" width="19.7265625" style="52" customWidth="1"/>
    <col min="4872" max="4872" width="12.7265625" style="52" bestFit="1" customWidth="1"/>
    <col min="4873" max="4873" width="2.26953125" style="52" customWidth="1"/>
    <col min="4874" max="4874" width="16.54296875" style="52" bestFit="1" customWidth="1"/>
    <col min="4875" max="5120" width="12.54296875" style="52"/>
    <col min="5121" max="5121" width="2.1796875" style="52" customWidth="1"/>
    <col min="5122" max="5122" width="32.26953125" style="52" bestFit="1" customWidth="1"/>
    <col min="5123" max="5123" width="2.26953125" style="52" customWidth="1"/>
    <col min="5124" max="5124" width="16.81640625" style="52" bestFit="1" customWidth="1"/>
    <col min="5125" max="5125" width="12.54296875" style="52"/>
    <col min="5126" max="5126" width="2.26953125" style="52" customWidth="1"/>
    <col min="5127" max="5127" width="19.7265625" style="52" customWidth="1"/>
    <col min="5128" max="5128" width="12.7265625" style="52" bestFit="1" customWidth="1"/>
    <col min="5129" max="5129" width="2.26953125" style="52" customWidth="1"/>
    <col min="5130" max="5130" width="16.54296875" style="52" bestFit="1" customWidth="1"/>
    <col min="5131" max="5376" width="12.54296875" style="52"/>
    <col min="5377" max="5377" width="2.1796875" style="52" customWidth="1"/>
    <col min="5378" max="5378" width="32.26953125" style="52" bestFit="1" customWidth="1"/>
    <col min="5379" max="5379" width="2.26953125" style="52" customWidth="1"/>
    <col min="5380" max="5380" width="16.81640625" style="52" bestFit="1" customWidth="1"/>
    <col min="5381" max="5381" width="12.54296875" style="52"/>
    <col min="5382" max="5382" width="2.26953125" style="52" customWidth="1"/>
    <col min="5383" max="5383" width="19.7265625" style="52" customWidth="1"/>
    <col min="5384" max="5384" width="12.7265625" style="52" bestFit="1" customWidth="1"/>
    <col min="5385" max="5385" width="2.26953125" style="52" customWidth="1"/>
    <col min="5386" max="5386" width="16.54296875" style="52" bestFit="1" customWidth="1"/>
    <col min="5387" max="5632" width="12.54296875" style="52"/>
    <col min="5633" max="5633" width="2.1796875" style="52" customWidth="1"/>
    <col min="5634" max="5634" width="32.26953125" style="52" bestFit="1" customWidth="1"/>
    <col min="5635" max="5635" width="2.26953125" style="52" customWidth="1"/>
    <col min="5636" max="5636" width="16.81640625" style="52" bestFit="1" customWidth="1"/>
    <col min="5637" max="5637" width="12.54296875" style="52"/>
    <col min="5638" max="5638" width="2.26953125" style="52" customWidth="1"/>
    <col min="5639" max="5639" width="19.7265625" style="52" customWidth="1"/>
    <col min="5640" max="5640" width="12.7265625" style="52" bestFit="1" customWidth="1"/>
    <col min="5641" max="5641" width="2.26953125" style="52" customWidth="1"/>
    <col min="5642" max="5642" width="16.54296875" style="52" bestFit="1" customWidth="1"/>
    <col min="5643" max="5888" width="12.54296875" style="52"/>
    <col min="5889" max="5889" width="2.1796875" style="52" customWidth="1"/>
    <col min="5890" max="5890" width="32.26953125" style="52" bestFit="1" customWidth="1"/>
    <col min="5891" max="5891" width="2.26953125" style="52" customWidth="1"/>
    <col min="5892" max="5892" width="16.81640625" style="52" bestFit="1" customWidth="1"/>
    <col min="5893" max="5893" width="12.54296875" style="52"/>
    <col min="5894" max="5894" width="2.26953125" style="52" customWidth="1"/>
    <col min="5895" max="5895" width="19.7265625" style="52" customWidth="1"/>
    <col min="5896" max="5896" width="12.7265625" style="52" bestFit="1" customWidth="1"/>
    <col min="5897" max="5897" width="2.26953125" style="52" customWidth="1"/>
    <col min="5898" max="5898" width="16.54296875" style="52" bestFit="1" customWidth="1"/>
    <col min="5899" max="6144" width="12.54296875" style="52"/>
    <col min="6145" max="6145" width="2.1796875" style="52" customWidth="1"/>
    <col min="6146" max="6146" width="32.26953125" style="52" bestFit="1" customWidth="1"/>
    <col min="6147" max="6147" width="2.26953125" style="52" customWidth="1"/>
    <col min="6148" max="6148" width="16.81640625" style="52" bestFit="1" customWidth="1"/>
    <col min="6149" max="6149" width="12.54296875" style="52"/>
    <col min="6150" max="6150" width="2.26953125" style="52" customWidth="1"/>
    <col min="6151" max="6151" width="19.7265625" style="52" customWidth="1"/>
    <col min="6152" max="6152" width="12.7265625" style="52" bestFit="1" customWidth="1"/>
    <col min="6153" max="6153" width="2.26953125" style="52" customWidth="1"/>
    <col min="6154" max="6154" width="16.54296875" style="52" bestFit="1" customWidth="1"/>
    <col min="6155" max="6400" width="12.54296875" style="52"/>
    <col min="6401" max="6401" width="2.1796875" style="52" customWidth="1"/>
    <col min="6402" max="6402" width="32.26953125" style="52" bestFit="1" customWidth="1"/>
    <col min="6403" max="6403" width="2.26953125" style="52" customWidth="1"/>
    <col min="6404" max="6404" width="16.81640625" style="52" bestFit="1" customWidth="1"/>
    <col min="6405" max="6405" width="12.54296875" style="52"/>
    <col min="6406" max="6406" width="2.26953125" style="52" customWidth="1"/>
    <col min="6407" max="6407" width="19.7265625" style="52" customWidth="1"/>
    <col min="6408" max="6408" width="12.7265625" style="52" bestFit="1" customWidth="1"/>
    <col min="6409" max="6409" width="2.26953125" style="52" customWidth="1"/>
    <col min="6410" max="6410" width="16.54296875" style="52" bestFit="1" customWidth="1"/>
    <col min="6411" max="6656" width="12.54296875" style="52"/>
    <col min="6657" max="6657" width="2.1796875" style="52" customWidth="1"/>
    <col min="6658" max="6658" width="32.26953125" style="52" bestFit="1" customWidth="1"/>
    <col min="6659" max="6659" width="2.26953125" style="52" customWidth="1"/>
    <col min="6660" max="6660" width="16.81640625" style="52" bestFit="1" customWidth="1"/>
    <col min="6661" max="6661" width="12.54296875" style="52"/>
    <col min="6662" max="6662" width="2.26953125" style="52" customWidth="1"/>
    <col min="6663" max="6663" width="19.7265625" style="52" customWidth="1"/>
    <col min="6664" max="6664" width="12.7265625" style="52" bestFit="1" customWidth="1"/>
    <col min="6665" max="6665" width="2.26953125" style="52" customWidth="1"/>
    <col min="6666" max="6666" width="16.54296875" style="52" bestFit="1" customWidth="1"/>
    <col min="6667" max="6912" width="12.54296875" style="52"/>
    <col min="6913" max="6913" width="2.1796875" style="52" customWidth="1"/>
    <col min="6914" max="6914" width="32.26953125" style="52" bestFit="1" customWidth="1"/>
    <col min="6915" max="6915" width="2.26953125" style="52" customWidth="1"/>
    <col min="6916" max="6916" width="16.81640625" style="52" bestFit="1" customWidth="1"/>
    <col min="6917" max="6917" width="12.54296875" style="52"/>
    <col min="6918" max="6918" width="2.26953125" style="52" customWidth="1"/>
    <col min="6919" max="6919" width="19.7265625" style="52" customWidth="1"/>
    <col min="6920" max="6920" width="12.7265625" style="52" bestFit="1" customWidth="1"/>
    <col min="6921" max="6921" width="2.26953125" style="52" customWidth="1"/>
    <col min="6922" max="6922" width="16.54296875" style="52" bestFit="1" customWidth="1"/>
    <col min="6923" max="7168" width="12.54296875" style="52"/>
    <col min="7169" max="7169" width="2.1796875" style="52" customWidth="1"/>
    <col min="7170" max="7170" width="32.26953125" style="52" bestFit="1" customWidth="1"/>
    <col min="7171" max="7171" width="2.26953125" style="52" customWidth="1"/>
    <col min="7172" max="7172" width="16.81640625" style="52" bestFit="1" customWidth="1"/>
    <col min="7173" max="7173" width="12.54296875" style="52"/>
    <col min="7174" max="7174" width="2.26953125" style="52" customWidth="1"/>
    <col min="7175" max="7175" width="19.7265625" style="52" customWidth="1"/>
    <col min="7176" max="7176" width="12.7265625" style="52" bestFit="1" customWidth="1"/>
    <col min="7177" max="7177" width="2.26953125" style="52" customWidth="1"/>
    <col min="7178" max="7178" width="16.54296875" style="52" bestFit="1" customWidth="1"/>
    <col min="7179" max="7424" width="12.54296875" style="52"/>
    <col min="7425" max="7425" width="2.1796875" style="52" customWidth="1"/>
    <col min="7426" max="7426" width="32.26953125" style="52" bestFit="1" customWidth="1"/>
    <col min="7427" max="7427" width="2.26953125" style="52" customWidth="1"/>
    <col min="7428" max="7428" width="16.81640625" style="52" bestFit="1" customWidth="1"/>
    <col min="7429" max="7429" width="12.54296875" style="52"/>
    <col min="7430" max="7430" width="2.26953125" style="52" customWidth="1"/>
    <col min="7431" max="7431" width="19.7265625" style="52" customWidth="1"/>
    <col min="7432" max="7432" width="12.7265625" style="52" bestFit="1" customWidth="1"/>
    <col min="7433" max="7433" width="2.26953125" style="52" customWidth="1"/>
    <col min="7434" max="7434" width="16.54296875" style="52" bestFit="1" customWidth="1"/>
    <col min="7435" max="7680" width="12.54296875" style="52"/>
    <col min="7681" max="7681" width="2.1796875" style="52" customWidth="1"/>
    <col min="7682" max="7682" width="32.26953125" style="52" bestFit="1" customWidth="1"/>
    <col min="7683" max="7683" width="2.26953125" style="52" customWidth="1"/>
    <col min="7684" max="7684" width="16.81640625" style="52" bestFit="1" customWidth="1"/>
    <col min="7685" max="7685" width="12.54296875" style="52"/>
    <col min="7686" max="7686" width="2.26953125" style="52" customWidth="1"/>
    <col min="7687" max="7687" width="19.7265625" style="52" customWidth="1"/>
    <col min="7688" max="7688" width="12.7265625" style="52" bestFit="1" customWidth="1"/>
    <col min="7689" max="7689" width="2.26953125" style="52" customWidth="1"/>
    <col min="7690" max="7690" width="16.54296875" style="52" bestFit="1" customWidth="1"/>
    <col min="7691" max="7936" width="12.54296875" style="52"/>
    <col min="7937" max="7937" width="2.1796875" style="52" customWidth="1"/>
    <col min="7938" max="7938" width="32.26953125" style="52" bestFit="1" customWidth="1"/>
    <col min="7939" max="7939" width="2.26953125" style="52" customWidth="1"/>
    <col min="7940" max="7940" width="16.81640625" style="52" bestFit="1" customWidth="1"/>
    <col min="7941" max="7941" width="12.54296875" style="52"/>
    <col min="7942" max="7942" width="2.26953125" style="52" customWidth="1"/>
    <col min="7943" max="7943" width="19.7265625" style="52" customWidth="1"/>
    <col min="7944" max="7944" width="12.7265625" style="52" bestFit="1" customWidth="1"/>
    <col min="7945" max="7945" width="2.26953125" style="52" customWidth="1"/>
    <col min="7946" max="7946" width="16.54296875" style="52" bestFit="1" customWidth="1"/>
    <col min="7947" max="8192" width="12.54296875" style="52"/>
    <col min="8193" max="8193" width="2.1796875" style="52" customWidth="1"/>
    <col min="8194" max="8194" width="32.26953125" style="52" bestFit="1" customWidth="1"/>
    <col min="8195" max="8195" width="2.26953125" style="52" customWidth="1"/>
    <col min="8196" max="8196" width="16.81640625" style="52" bestFit="1" customWidth="1"/>
    <col min="8197" max="8197" width="12.54296875" style="52"/>
    <col min="8198" max="8198" width="2.26953125" style="52" customWidth="1"/>
    <col min="8199" max="8199" width="19.7265625" style="52" customWidth="1"/>
    <col min="8200" max="8200" width="12.7265625" style="52" bestFit="1" customWidth="1"/>
    <col min="8201" max="8201" width="2.26953125" style="52" customWidth="1"/>
    <col min="8202" max="8202" width="16.54296875" style="52" bestFit="1" customWidth="1"/>
    <col min="8203" max="8448" width="12.54296875" style="52"/>
    <col min="8449" max="8449" width="2.1796875" style="52" customWidth="1"/>
    <col min="8450" max="8450" width="32.26953125" style="52" bestFit="1" customWidth="1"/>
    <col min="8451" max="8451" width="2.26953125" style="52" customWidth="1"/>
    <col min="8452" max="8452" width="16.81640625" style="52" bestFit="1" customWidth="1"/>
    <col min="8453" max="8453" width="12.54296875" style="52"/>
    <col min="8454" max="8454" width="2.26953125" style="52" customWidth="1"/>
    <col min="8455" max="8455" width="19.7265625" style="52" customWidth="1"/>
    <col min="8456" max="8456" width="12.7265625" style="52" bestFit="1" customWidth="1"/>
    <col min="8457" max="8457" width="2.26953125" style="52" customWidth="1"/>
    <col min="8458" max="8458" width="16.54296875" style="52" bestFit="1" customWidth="1"/>
    <col min="8459" max="8704" width="12.54296875" style="52"/>
    <col min="8705" max="8705" width="2.1796875" style="52" customWidth="1"/>
    <col min="8706" max="8706" width="32.26953125" style="52" bestFit="1" customWidth="1"/>
    <col min="8707" max="8707" width="2.26953125" style="52" customWidth="1"/>
    <col min="8708" max="8708" width="16.81640625" style="52" bestFit="1" customWidth="1"/>
    <col min="8709" max="8709" width="12.54296875" style="52"/>
    <col min="8710" max="8710" width="2.26953125" style="52" customWidth="1"/>
    <col min="8711" max="8711" width="19.7265625" style="52" customWidth="1"/>
    <col min="8712" max="8712" width="12.7265625" style="52" bestFit="1" customWidth="1"/>
    <col min="8713" max="8713" width="2.26953125" style="52" customWidth="1"/>
    <col min="8714" max="8714" width="16.54296875" style="52" bestFit="1" customWidth="1"/>
    <col min="8715" max="8960" width="12.54296875" style="52"/>
    <col min="8961" max="8961" width="2.1796875" style="52" customWidth="1"/>
    <col min="8962" max="8962" width="32.26953125" style="52" bestFit="1" customWidth="1"/>
    <col min="8963" max="8963" width="2.26953125" style="52" customWidth="1"/>
    <col min="8964" max="8964" width="16.81640625" style="52" bestFit="1" customWidth="1"/>
    <col min="8965" max="8965" width="12.54296875" style="52"/>
    <col min="8966" max="8966" width="2.26953125" style="52" customWidth="1"/>
    <col min="8967" max="8967" width="19.7265625" style="52" customWidth="1"/>
    <col min="8968" max="8968" width="12.7265625" style="52" bestFit="1" customWidth="1"/>
    <col min="8969" max="8969" width="2.26953125" style="52" customWidth="1"/>
    <col min="8970" max="8970" width="16.54296875" style="52" bestFit="1" customWidth="1"/>
    <col min="8971" max="9216" width="12.54296875" style="52"/>
    <col min="9217" max="9217" width="2.1796875" style="52" customWidth="1"/>
    <col min="9218" max="9218" width="32.26953125" style="52" bestFit="1" customWidth="1"/>
    <col min="9219" max="9219" width="2.26953125" style="52" customWidth="1"/>
    <col min="9220" max="9220" width="16.81640625" style="52" bestFit="1" customWidth="1"/>
    <col min="9221" max="9221" width="12.54296875" style="52"/>
    <col min="9222" max="9222" width="2.26953125" style="52" customWidth="1"/>
    <col min="9223" max="9223" width="19.7265625" style="52" customWidth="1"/>
    <col min="9224" max="9224" width="12.7265625" style="52" bestFit="1" customWidth="1"/>
    <col min="9225" max="9225" width="2.26953125" style="52" customWidth="1"/>
    <col min="9226" max="9226" width="16.54296875" style="52" bestFit="1" customWidth="1"/>
    <col min="9227" max="9472" width="12.54296875" style="52"/>
    <col min="9473" max="9473" width="2.1796875" style="52" customWidth="1"/>
    <col min="9474" max="9474" width="32.26953125" style="52" bestFit="1" customWidth="1"/>
    <col min="9475" max="9475" width="2.26953125" style="52" customWidth="1"/>
    <col min="9476" max="9476" width="16.81640625" style="52" bestFit="1" customWidth="1"/>
    <col min="9477" max="9477" width="12.54296875" style="52"/>
    <col min="9478" max="9478" width="2.26953125" style="52" customWidth="1"/>
    <col min="9479" max="9479" width="19.7265625" style="52" customWidth="1"/>
    <col min="9480" max="9480" width="12.7265625" style="52" bestFit="1" customWidth="1"/>
    <col min="9481" max="9481" width="2.26953125" style="52" customWidth="1"/>
    <col min="9482" max="9482" width="16.54296875" style="52" bestFit="1" customWidth="1"/>
    <col min="9483" max="9728" width="12.54296875" style="52"/>
    <col min="9729" max="9729" width="2.1796875" style="52" customWidth="1"/>
    <col min="9730" max="9730" width="32.26953125" style="52" bestFit="1" customWidth="1"/>
    <col min="9731" max="9731" width="2.26953125" style="52" customWidth="1"/>
    <col min="9732" max="9732" width="16.81640625" style="52" bestFit="1" customWidth="1"/>
    <col min="9733" max="9733" width="12.54296875" style="52"/>
    <col min="9734" max="9734" width="2.26953125" style="52" customWidth="1"/>
    <col min="9735" max="9735" width="19.7265625" style="52" customWidth="1"/>
    <col min="9736" max="9736" width="12.7265625" style="52" bestFit="1" customWidth="1"/>
    <col min="9737" max="9737" width="2.26953125" style="52" customWidth="1"/>
    <col min="9738" max="9738" width="16.54296875" style="52" bestFit="1" customWidth="1"/>
    <col min="9739" max="9984" width="12.54296875" style="52"/>
    <col min="9985" max="9985" width="2.1796875" style="52" customWidth="1"/>
    <col min="9986" max="9986" width="32.26953125" style="52" bestFit="1" customWidth="1"/>
    <col min="9987" max="9987" width="2.26953125" style="52" customWidth="1"/>
    <col min="9988" max="9988" width="16.81640625" style="52" bestFit="1" customWidth="1"/>
    <col min="9989" max="9989" width="12.54296875" style="52"/>
    <col min="9990" max="9990" width="2.26953125" style="52" customWidth="1"/>
    <col min="9991" max="9991" width="19.7265625" style="52" customWidth="1"/>
    <col min="9992" max="9992" width="12.7265625" style="52" bestFit="1" customWidth="1"/>
    <col min="9993" max="9993" width="2.26953125" style="52" customWidth="1"/>
    <col min="9994" max="9994" width="16.54296875" style="52" bestFit="1" customWidth="1"/>
    <col min="9995" max="10240" width="12.54296875" style="52"/>
    <col min="10241" max="10241" width="2.1796875" style="52" customWidth="1"/>
    <col min="10242" max="10242" width="32.26953125" style="52" bestFit="1" customWidth="1"/>
    <col min="10243" max="10243" width="2.26953125" style="52" customWidth="1"/>
    <col min="10244" max="10244" width="16.81640625" style="52" bestFit="1" customWidth="1"/>
    <col min="10245" max="10245" width="12.54296875" style="52"/>
    <col min="10246" max="10246" width="2.26953125" style="52" customWidth="1"/>
    <col min="10247" max="10247" width="19.7265625" style="52" customWidth="1"/>
    <col min="10248" max="10248" width="12.7265625" style="52" bestFit="1" customWidth="1"/>
    <col min="10249" max="10249" width="2.26953125" style="52" customWidth="1"/>
    <col min="10250" max="10250" width="16.54296875" style="52" bestFit="1" customWidth="1"/>
    <col min="10251" max="10496" width="12.54296875" style="52"/>
    <col min="10497" max="10497" width="2.1796875" style="52" customWidth="1"/>
    <col min="10498" max="10498" width="32.26953125" style="52" bestFit="1" customWidth="1"/>
    <col min="10499" max="10499" width="2.26953125" style="52" customWidth="1"/>
    <col min="10500" max="10500" width="16.81640625" style="52" bestFit="1" customWidth="1"/>
    <col min="10501" max="10501" width="12.54296875" style="52"/>
    <col min="10502" max="10502" width="2.26953125" style="52" customWidth="1"/>
    <col min="10503" max="10503" width="19.7265625" style="52" customWidth="1"/>
    <col min="10504" max="10504" width="12.7265625" style="52" bestFit="1" customWidth="1"/>
    <col min="10505" max="10505" width="2.26953125" style="52" customWidth="1"/>
    <col min="10506" max="10506" width="16.54296875" style="52" bestFit="1" customWidth="1"/>
    <col min="10507" max="10752" width="12.54296875" style="52"/>
    <col min="10753" max="10753" width="2.1796875" style="52" customWidth="1"/>
    <col min="10754" max="10754" width="32.26953125" style="52" bestFit="1" customWidth="1"/>
    <col min="10755" max="10755" width="2.26953125" style="52" customWidth="1"/>
    <col min="10756" max="10756" width="16.81640625" style="52" bestFit="1" customWidth="1"/>
    <col min="10757" max="10757" width="12.54296875" style="52"/>
    <col min="10758" max="10758" width="2.26953125" style="52" customWidth="1"/>
    <col min="10759" max="10759" width="19.7265625" style="52" customWidth="1"/>
    <col min="10760" max="10760" width="12.7265625" style="52" bestFit="1" customWidth="1"/>
    <col min="10761" max="10761" width="2.26953125" style="52" customWidth="1"/>
    <col min="10762" max="10762" width="16.54296875" style="52" bestFit="1" customWidth="1"/>
    <col min="10763" max="11008" width="12.54296875" style="52"/>
    <col min="11009" max="11009" width="2.1796875" style="52" customWidth="1"/>
    <col min="11010" max="11010" width="32.26953125" style="52" bestFit="1" customWidth="1"/>
    <col min="11011" max="11011" width="2.26953125" style="52" customWidth="1"/>
    <col min="11012" max="11012" width="16.81640625" style="52" bestFit="1" customWidth="1"/>
    <col min="11013" max="11013" width="12.54296875" style="52"/>
    <col min="11014" max="11014" width="2.26953125" style="52" customWidth="1"/>
    <col min="11015" max="11015" width="19.7265625" style="52" customWidth="1"/>
    <col min="11016" max="11016" width="12.7265625" style="52" bestFit="1" customWidth="1"/>
    <col min="11017" max="11017" width="2.26953125" style="52" customWidth="1"/>
    <col min="11018" max="11018" width="16.54296875" style="52" bestFit="1" customWidth="1"/>
    <col min="11019" max="11264" width="12.54296875" style="52"/>
    <col min="11265" max="11265" width="2.1796875" style="52" customWidth="1"/>
    <col min="11266" max="11266" width="32.26953125" style="52" bestFit="1" customWidth="1"/>
    <col min="11267" max="11267" width="2.26953125" style="52" customWidth="1"/>
    <col min="11268" max="11268" width="16.81640625" style="52" bestFit="1" customWidth="1"/>
    <col min="11269" max="11269" width="12.54296875" style="52"/>
    <col min="11270" max="11270" width="2.26953125" style="52" customWidth="1"/>
    <col min="11271" max="11271" width="19.7265625" style="52" customWidth="1"/>
    <col min="11272" max="11272" width="12.7265625" style="52" bestFit="1" customWidth="1"/>
    <col min="11273" max="11273" width="2.26953125" style="52" customWidth="1"/>
    <col min="11274" max="11274" width="16.54296875" style="52" bestFit="1" customWidth="1"/>
    <col min="11275" max="11520" width="12.54296875" style="52"/>
    <col min="11521" max="11521" width="2.1796875" style="52" customWidth="1"/>
    <col min="11522" max="11522" width="32.26953125" style="52" bestFit="1" customWidth="1"/>
    <col min="11523" max="11523" width="2.26953125" style="52" customWidth="1"/>
    <col min="11524" max="11524" width="16.81640625" style="52" bestFit="1" customWidth="1"/>
    <col min="11525" max="11525" width="12.54296875" style="52"/>
    <col min="11526" max="11526" width="2.26953125" style="52" customWidth="1"/>
    <col min="11527" max="11527" width="19.7265625" style="52" customWidth="1"/>
    <col min="11528" max="11528" width="12.7265625" style="52" bestFit="1" customWidth="1"/>
    <col min="11529" max="11529" width="2.26953125" style="52" customWidth="1"/>
    <col min="11530" max="11530" width="16.54296875" style="52" bestFit="1" customWidth="1"/>
    <col min="11531" max="11776" width="12.54296875" style="52"/>
    <col min="11777" max="11777" width="2.1796875" style="52" customWidth="1"/>
    <col min="11778" max="11778" width="32.26953125" style="52" bestFit="1" customWidth="1"/>
    <col min="11779" max="11779" width="2.26953125" style="52" customWidth="1"/>
    <col min="11780" max="11780" width="16.81640625" style="52" bestFit="1" customWidth="1"/>
    <col min="11781" max="11781" width="12.54296875" style="52"/>
    <col min="11782" max="11782" width="2.26953125" style="52" customWidth="1"/>
    <col min="11783" max="11783" width="19.7265625" style="52" customWidth="1"/>
    <col min="11784" max="11784" width="12.7265625" style="52" bestFit="1" customWidth="1"/>
    <col min="11785" max="11785" width="2.26953125" style="52" customWidth="1"/>
    <col min="11786" max="11786" width="16.54296875" style="52" bestFit="1" customWidth="1"/>
    <col min="11787" max="12032" width="12.54296875" style="52"/>
    <col min="12033" max="12033" width="2.1796875" style="52" customWidth="1"/>
    <col min="12034" max="12034" width="32.26953125" style="52" bestFit="1" customWidth="1"/>
    <col min="12035" max="12035" width="2.26953125" style="52" customWidth="1"/>
    <col min="12036" max="12036" width="16.81640625" style="52" bestFit="1" customWidth="1"/>
    <col min="12037" max="12037" width="12.54296875" style="52"/>
    <col min="12038" max="12038" width="2.26953125" style="52" customWidth="1"/>
    <col min="12039" max="12039" width="19.7265625" style="52" customWidth="1"/>
    <col min="12040" max="12040" width="12.7265625" style="52" bestFit="1" customWidth="1"/>
    <col min="12041" max="12041" width="2.26953125" style="52" customWidth="1"/>
    <col min="12042" max="12042" width="16.54296875" style="52" bestFit="1" customWidth="1"/>
    <col min="12043" max="12288" width="12.54296875" style="52"/>
    <col min="12289" max="12289" width="2.1796875" style="52" customWidth="1"/>
    <col min="12290" max="12290" width="32.26953125" style="52" bestFit="1" customWidth="1"/>
    <col min="12291" max="12291" width="2.26953125" style="52" customWidth="1"/>
    <col min="12292" max="12292" width="16.81640625" style="52" bestFit="1" customWidth="1"/>
    <col min="12293" max="12293" width="12.54296875" style="52"/>
    <col min="12294" max="12294" width="2.26953125" style="52" customWidth="1"/>
    <col min="12295" max="12295" width="19.7265625" style="52" customWidth="1"/>
    <col min="12296" max="12296" width="12.7265625" style="52" bestFit="1" customWidth="1"/>
    <col min="12297" max="12297" width="2.26953125" style="52" customWidth="1"/>
    <col min="12298" max="12298" width="16.54296875" style="52" bestFit="1" customWidth="1"/>
    <col min="12299" max="12544" width="12.54296875" style="52"/>
    <col min="12545" max="12545" width="2.1796875" style="52" customWidth="1"/>
    <col min="12546" max="12546" width="32.26953125" style="52" bestFit="1" customWidth="1"/>
    <col min="12547" max="12547" width="2.26953125" style="52" customWidth="1"/>
    <col min="12548" max="12548" width="16.81640625" style="52" bestFit="1" customWidth="1"/>
    <col min="12549" max="12549" width="12.54296875" style="52"/>
    <col min="12550" max="12550" width="2.26953125" style="52" customWidth="1"/>
    <col min="12551" max="12551" width="19.7265625" style="52" customWidth="1"/>
    <col min="12552" max="12552" width="12.7265625" style="52" bestFit="1" customWidth="1"/>
    <col min="12553" max="12553" width="2.26953125" style="52" customWidth="1"/>
    <col min="12554" max="12554" width="16.54296875" style="52" bestFit="1" customWidth="1"/>
    <col min="12555" max="12800" width="12.54296875" style="52"/>
    <col min="12801" max="12801" width="2.1796875" style="52" customWidth="1"/>
    <col min="12802" max="12802" width="32.26953125" style="52" bestFit="1" customWidth="1"/>
    <col min="12803" max="12803" width="2.26953125" style="52" customWidth="1"/>
    <col min="12804" max="12804" width="16.81640625" style="52" bestFit="1" customWidth="1"/>
    <col min="12805" max="12805" width="12.54296875" style="52"/>
    <col min="12806" max="12806" width="2.26953125" style="52" customWidth="1"/>
    <col min="12807" max="12807" width="19.7265625" style="52" customWidth="1"/>
    <col min="12808" max="12808" width="12.7265625" style="52" bestFit="1" customWidth="1"/>
    <col min="12809" max="12809" width="2.26953125" style="52" customWidth="1"/>
    <col min="12810" max="12810" width="16.54296875" style="52" bestFit="1" customWidth="1"/>
    <col min="12811" max="13056" width="12.54296875" style="52"/>
    <col min="13057" max="13057" width="2.1796875" style="52" customWidth="1"/>
    <col min="13058" max="13058" width="32.26953125" style="52" bestFit="1" customWidth="1"/>
    <col min="13059" max="13059" width="2.26953125" style="52" customWidth="1"/>
    <col min="13060" max="13060" width="16.81640625" style="52" bestFit="1" customWidth="1"/>
    <col min="13061" max="13061" width="12.54296875" style="52"/>
    <col min="13062" max="13062" width="2.26953125" style="52" customWidth="1"/>
    <col min="13063" max="13063" width="19.7265625" style="52" customWidth="1"/>
    <col min="13064" max="13064" width="12.7265625" style="52" bestFit="1" customWidth="1"/>
    <col min="13065" max="13065" width="2.26953125" style="52" customWidth="1"/>
    <col min="13066" max="13066" width="16.54296875" style="52" bestFit="1" customWidth="1"/>
    <col min="13067" max="13312" width="12.54296875" style="52"/>
    <col min="13313" max="13313" width="2.1796875" style="52" customWidth="1"/>
    <col min="13314" max="13314" width="32.26953125" style="52" bestFit="1" customWidth="1"/>
    <col min="13315" max="13315" width="2.26953125" style="52" customWidth="1"/>
    <col min="13316" max="13316" width="16.81640625" style="52" bestFit="1" customWidth="1"/>
    <col min="13317" max="13317" width="12.54296875" style="52"/>
    <col min="13318" max="13318" width="2.26953125" style="52" customWidth="1"/>
    <col min="13319" max="13319" width="19.7265625" style="52" customWidth="1"/>
    <col min="13320" max="13320" width="12.7265625" style="52" bestFit="1" customWidth="1"/>
    <col min="13321" max="13321" width="2.26953125" style="52" customWidth="1"/>
    <col min="13322" max="13322" width="16.54296875" style="52" bestFit="1" customWidth="1"/>
    <col min="13323" max="13568" width="12.54296875" style="52"/>
    <col min="13569" max="13569" width="2.1796875" style="52" customWidth="1"/>
    <col min="13570" max="13570" width="32.26953125" style="52" bestFit="1" customWidth="1"/>
    <col min="13571" max="13571" width="2.26953125" style="52" customWidth="1"/>
    <col min="13572" max="13572" width="16.81640625" style="52" bestFit="1" customWidth="1"/>
    <col min="13573" max="13573" width="12.54296875" style="52"/>
    <col min="13574" max="13574" width="2.26953125" style="52" customWidth="1"/>
    <col min="13575" max="13575" width="19.7265625" style="52" customWidth="1"/>
    <col min="13576" max="13576" width="12.7265625" style="52" bestFit="1" customWidth="1"/>
    <col min="13577" max="13577" width="2.26953125" style="52" customWidth="1"/>
    <col min="13578" max="13578" width="16.54296875" style="52" bestFit="1" customWidth="1"/>
    <col min="13579" max="13824" width="12.54296875" style="52"/>
    <col min="13825" max="13825" width="2.1796875" style="52" customWidth="1"/>
    <col min="13826" max="13826" width="32.26953125" style="52" bestFit="1" customWidth="1"/>
    <col min="13827" max="13827" width="2.26953125" style="52" customWidth="1"/>
    <col min="13828" max="13828" width="16.81640625" style="52" bestFit="1" customWidth="1"/>
    <col min="13829" max="13829" width="12.54296875" style="52"/>
    <col min="13830" max="13830" width="2.26953125" style="52" customWidth="1"/>
    <col min="13831" max="13831" width="19.7265625" style="52" customWidth="1"/>
    <col min="13832" max="13832" width="12.7265625" style="52" bestFit="1" customWidth="1"/>
    <col min="13833" max="13833" width="2.26953125" style="52" customWidth="1"/>
    <col min="13834" max="13834" width="16.54296875" style="52" bestFit="1" customWidth="1"/>
    <col min="13835" max="14080" width="12.54296875" style="52"/>
    <col min="14081" max="14081" width="2.1796875" style="52" customWidth="1"/>
    <col min="14082" max="14082" width="32.26953125" style="52" bestFit="1" customWidth="1"/>
    <col min="14083" max="14083" width="2.26953125" style="52" customWidth="1"/>
    <col min="14084" max="14084" width="16.81640625" style="52" bestFit="1" customWidth="1"/>
    <col min="14085" max="14085" width="12.54296875" style="52"/>
    <col min="14086" max="14086" width="2.26953125" style="52" customWidth="1"/>
    <col min="14087" max="14087" width="19.7265625" style="52" customWidth="1"/>
    <col min="14088" max="14088" width="12.7265625" style="52" bestFit="1" customWidth="1"/>
    <col min="14089" max="14089" width="2.26953125" style="52" customWidth="1"/>
    <col min="14090" max="14090" width="16.54296875" style="52" bestFit="1" customWidth="1"/>
    <col min="14091" max="14336" width="12.54296875" style="52"/>
    <col min="14337" max="14337" width="2.1796875" style="52" customWidth="1"/>
    <col min="14338" max="14338" width="32.26953125" style="52" bestFit="1" customWidth="1"/>
    <col min="14339" max="14339" width="2.26953125" style="52" customWidth="1"/>
    <col min="14340" max="14340" width="16.81640625" style="52" bestFit="1" customWidth="1"/>
    <col min="14341" max="14341" width="12.54296875" style="52"/>
    <col min="14342" max="14342" width="2.26953125" style="52" customWidth="1"/>
    <col min="14343" max="14343" width="19.7265625" style="52" customWidth="1"/>
    <col min="14344" max="14344" width="12.7265625" style="52" bestFit="1" customWidth="1"/>
    <col min="14345" max="14345" width="2.26953125" style="52" customWidth="1"/>
    <col min="14346" max="14346" width="16.54296875" style="52" bestFit="1" customWidth="1"/>
    <col min="14347" max="14592" width="12.54296875" style="52"/>
    <col min="14593" max="14593" width="2.1796875" style="52" customWidth="1"/>
    <col min="14594" max="14594" width="32.26953125" style="52" bestFit="1" customWidth="1"/>
    <col min="14595" max="14595" width="2.26953125" style="52" customWidth="1"/>
    <col min="14596" max="14596" width="16.81640625" style="52" bestFit="1" customWidth="1"/>
    <col min="14597" max="14597" width="12.54296875" style="52"/>
    <col min="14598" max="14598" width="2.26953125" style="52" customWidth="1"/>
    <col min="14599" max="14599" width="19.7265625" style="52" customWidth="1"/>
    <col min="14600" max="14600" width="12.7265625" style="52" bestFit="1" customWidth="1"/>
    <col min="14601" max="14601" width="2.26953125" style="52" customWidth="1"/>
    <col min="14602" max="14602" width="16.54296875" style="52" bestFit="1" customWidth="1"/>
    <col min="14603" max="14848" width="12.54296875" style="52"/>
    <col min="14849" max="14849" width="2.1796875" style="52" customWidth="1"/>
    <col min="14850" max="14850" width="32.26953125" style="52" bestFit="1" customWidth="1"/>
    <col min="14851" max="14851" width="2.26953125" style="52" customWidth="1"/>
    <col min="14852" max="14852" width="16.81640625" style="52" bestFit="1" customWidth="1"/>
    <col min="14853" max="14853" width="12.54296875" style="52"/>
    <col min="14854" max="14854" width="2.26953125" style="52" customWidth="1"/>
    <col min="14855" max="14855" width="19.7265625" style="52" customWidth="1"/>
    <col min="14856" max="14856" width="12.7265625" style="52" bestFit="1" customWidth="1"/>
    <col min="14857" max="14857" width="2.26953125" style="52" customWidth="1"/>
    <col min="14858" max="14858" width="16.54296875" style="52" bestFit="1" customWidth="1"/>
    <col min="14859" max="15104" width="12.54296875" style="52"/>
    <col min="15105" max="15105" width="2.1796875" style="52" customWidth="1"/>
    <col min="15106" max="15106" width="32.26953125" style="52" bestFit="1" customWidth="1"/>
    <col min="15107" max="15107" width="2.26953125" style="52" customWidth="1"/>
    <col min="15108" max="15108" width="16.81640625" style="52" bestFit="1" customWidth="1"/>
    <col min="15109" max="15109" width="12.54296875" style="52"/>
    <col min="15110" max="15110" width="2.26953125" style="52" customWidth="1"/>
    <col min="15111" max="15111" width="19.7265625" style="52" customWidth="1"/>
    <col min="15112" max="15112" width="12.7265625" style="52" bestFit="1" customWidth="1"/>
    <col min="15113" max="15113" width="2.26953125" style="52" customWidth="1"/>
    <col min="15114" max="15114" width="16.54296875" style="52" bestFit="1" customWidth="1"/>
    <col min="15115" max="15360" width="12.54296875" style="52"/>
    <col min="15361" max="15361" width="2.1796875" style="52" customWidth="1"/>
    <col min="15362" max="15362" width="32.26953125" style="52" bestFit="1" customWidth="1"/>
    <col min="15363" max="15363" width="2.26953125" style="52" customWidth="1"/>
    <col min="15364" max="15364" width="16.81640625" style="52" bestFit="1" customWidth="1"/>
    <col min="15365" max="15365" width="12.54296875" style="52"/>
    <col min="15366" max="15366" width="2.26953125" style="52" customWidth="1"/>
    <col min="15367" max="15367" width="19.7265625" style="52" customWidth="1"/>
    <col min="15368" max="15368" width="12.7265625" style="52" bestFit="1" customWidth="1"/>
    <col min="15369" max="15369" width="2.26953125" style="52" customWidth="1"/>
    <col min="15370" max="15370" width="16.54296875" style="52" bestFit="1" customWidth="1"/>
    <col min="15371" max="15616" width="12.54296875" style="52"/>
    <col min="15617" max="15617" width="2.1796875" style="52" customWidth="1"/>
    <col min="15618" max="15618" width="32.26953125" style="52" bestFit="1" customWidth="1"/>
    <col min="15619" max="15619" width="2.26953125" style="52" customWidth="1"/>
    <col min="15620" max="15620" width="16.81640625" style="52" bestFit="1" customWidth="1"/>
    <col min="15621" max="15621" width="12.54296875" style="52"/>
    <col min="15622" max="15622" width="2.26953125" style="52" customWidth="1"/>
    <col min="15623" max="15623" width="19.7265625" style="52" customWidth="1"/>
    <col min="15624" max="15624" width="12.7265625" style="52" bestFit="1" customWidth="1"/>
    <col min="15625" max="15625" width="2.26953125" style="52" customWidth="1"/>
    <col min="15626" max="15626" width="16.54296875" style="52" bestFit="1" customWidth="1"/>
    <col min="15627" max="15872" width="12.54296875" style="52"/>
    <col min="15873" max="15873" width="2.1796875" style="52" customWidth="1"/>
    <col min="15874" max="15874" width="32.26953125" style="52" bestFit="1" customWidth="1"/>
    <col min="15875" max="15875" width="2.26953125" style="52" customWidth="1"/>
    <col min="15876" max="15876" width="16.81640625" style="52" bestFit="1" customWidth="1"/>
    <col min="15877" max="15877" width="12.54296875" style="52"/>
    <col min="15878" max="15878" width="2.26953125" style="52" customWidth="1"/>
    <col min="15879" max="15879" width="19.7265625" style="52" customWidth="1"/>
    <col min="15880" max="15880" width="12.7265625" style="52" bestFit="1" customWidth="1"/>
    <col min="15881" max="15881" width="2.26953125" style="52" customWidth="1"/>
    <col min="15882" max="15882" width="16.54296875" style="52" bestFit="1" customWidth="1"/>
    <col min="15883" max="16128" width="12.54296875" style="52"/>
    <col min="16129" max="16129" width="2.1796875" style="52" customWidth="1"/>
    <col min="16130" max="16130" width="32.26953125" style="52" bestFit="1" customWidth="1"/>
    <col min="16131" max="16131" width="2.26953125" style="52" customWidth="1"/>
    <col min="16132" max="16132" width="16.81640625" style="52" bestFit="1" customWidth="1"/>
    <col min="16133" max="16133" width="12.54296875" style="52"/>
    <col min="16134" max="16134" width="2.26953125" style="52" customWidth="1"/>
    <col min="16135" max="16135" width="19.7265625" style="52" customWidth="1"/>
    <col min="16136" max="16136" width="12.7265625" style="52" bestFit="1" customWidth="1"/>
    <col min="16137" max="16137" width="2.26953125" style="52" customWidth="1"/>
    <col min="16138" max="16138" width="16.54296875" style="52" bestFit="1" customWidth="1"/>
    <col min="16139" max="16384" width="12.54296875" style="52"/>
  </cols>
  <sheetData>
    <row r="1" spans="2:54" s="48" customFormat="1" x14ac:dyDescent="0.35">
      <c r="B1" s="47" t="s">
        <v>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2:54" s="48" customFormat="1" x14ac:dyDescent="0.35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2:54" s="48" customForma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2:54" s="48" customFormat="1" ht="15.5" x14ac:dyDescent="0.35">
      <c r="B4" s="49" t="s">
        <v>132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2:54" ht="15.5" x14ac:dyDescent="0.35"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2:54" ht="15.5" x14ac:dyDescent="0.3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2:54" x14ac:dyDescent="0.3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2:54" x14ac:dyDescent="0.35">
      <c r="B8" s="53"/>
      <c r="C8" s="51"/>
      <c r="D8" s="54" t="s">
        <v>34</v>
      </c>
      <c r="E8" s="54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2:54" x14ac:dyDescent="0.35">
      <c r="B9" s="51"/>
      <c r="C9" s="51"/>
      <c r="D9" s="54" t="s">
        <v>35</v>
      </c>
      <c r="E9" s="54"/>
      <c r="F9" s="51"/>
      <c r="G9" s="55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2:54" x14ac:dyDescent="0.35">
      <c r="B10" s="56" t="s">
        <v>36</v>
      </c>
      <c r="C10" s="51"/>
      <c r="D10" s="57" t="s">
        <v>37</v>
      </c>
      <c r="E10" s="57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2:54" x14ac:dyDescent="0.35">
      <c r="B11" s="51" t="s">
        <v>38</v>
      </c>
      <c r="C11" s="51"/>
      <c r="D11" s="58">
        <f>'Billing Units'!F15</f>
        <v>876840</v>
      </c>
      <c r="E11" s="59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2:54" x14ac:dyDescent="0.35">
      <c r="B12" s="51" t="s">
        <v>39</v>
      </c>
      <c r="C12" s="51"/>
      <c r="D12" s="58">
        <f>'Billing Units'!G15</f>
        <v>9246270458.8867664</v>
      </c>
      <c r="E12" s="59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2:54" x14ac:dyDescent="0.35">
      <c r="B13" s="51" t="s">
        <v>86</v>
      </c>
      <c r="C13" s="51"/>
      <c r="D13" s="58">
        <f>'Billing Units'!H15</f>
        <v>37134265.755396992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2:54" x14ac:dyDescent="0.35">
      <c r="B14" s="51" t="s">
        <v>87</v>
      </c>
      <c r="D14" s="58">
        <f>'Billing Units'!I15</f>
        <v>32363467.869177803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2:54" x14ac:dyDescent="0.35">
      <c r="B15" s="51" t="s">
        <v>123</v>
      </c>
      <c r="D15" s="185">
        <f>'Billing Units'!J14</f>
        <v>2191434.0324172671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2:54" x14ac:dyDescent="0.35">
      <c r="B16" s="51" t="s">
        <v>124</v>
      </c>
      <c r="D16" s="185">
        <f>'Billing Units'!J13</f>
        <v>29307091.499536801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2:54" x14ac:dyDescent="0.35">
      <c r="B17" s="51"/>
      <c r="C17" s="51"/>
      <c r="D17" s="60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2:54" x14ac:dyDescent="0.35">
      <c r="B18" s="51"/>
      <c r="C18" s="51"/>
      <c r="D18" s="61" t="s">
        <v>41</v>
      </c>
      <c r="E18" s="62"/>
      <c r="F18" s="62"/>
      <c r="G18" s="62"/>
      <c r="H18" s="62"/>
      <c r="I18" s="62"/>
      <c r="J18" s="62"/>
      <c r="K18" s="63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2:54" x14ac:dyDescent="0.35">
      <c r="B19" s="51"/>
      <c r="C19" s="51"/>
      <c r="D19" s="240" t="s">
        <v>42</v>
      </c>
      <c r="E19" s="241"/>
      <c r="G19" s="64" t="s">
        <v>43</v>
      </c>
      <c r="H19" s="65"/>
      <c r="J19" s="64" t="s">
        <v>43</v>
      </c>
      <c r="K19" s="65"/>
      <c r="L19" s="51"/>
      <c r="M19" s="51"/>
      <c r="N19" s="51"/>
      <c r="O19" s="66"/>
      <c r="P19" s="66"/>
      <c r="Q19" s="66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2:54" x14ac:dyDescent="0.35">
      <c r="B20" s="51"/>
      <c r="C20" s="51"/>
      <c r="D20" s="67" t="s">
        <v>44</v>
      </c>
      <c r="E20" s="68"/>
      <c r="F20" s="51"/>
      <c r="G20" s="67" t="s">
        <v>45</v>
      </c>
      <c r="H20" s="68"/>
      <c r="J20" s="67" t="s">
        <v>46</v>
      </c>
      <c r="K20" s="68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2:54" x14ac:dyDescent="0.35">
      <c r="B21" s="56" t="s">
        <v>47</v>
      </c>
      <c r="C21" s="51"/>
      <c r="D21" s="69" t="s">
        <v>48</v>
      </c>
      <c r="E21" s="70" t="s">
        <v>49</v>
      </c>
      <c r="F21" s="51"/>
      <c r="G21" s="69" t="s">
        <v>48</v>
      </c>
      <c r="H21" s="70" t="s">
        <v>50</v>
      </c>
      <c r="I21" s="51"/>
      <c r="J21" s="69" t="s">
        <v>48</v>
      </c>
      <c r="K21" s="70" t="s">
        <v>51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2:54" x14ac:dyDescent="0.35">
      <c r="B22" s="51" t="s">
        <v>125</v>
      </c>
      <c r="C22" s="51"/>
      <c r="D22" s="71">
        <v>0</v>
      </c>
      <c r="E22" s="72">
        <v>0</v>
      </c>
      <c r="F22" s="51"/>
      <c r="G22" s="71">
        <v>0</v>
      </c>
      <c r="H22" s="72">
        <v>0</v>
      </c>
      <c r="I22" s="51"/>
      <c r="J22" s="71">
        <v>0</v>
      </c>
      <c r="K22" s="72">
        <f>IF(J22=0,J22,ROUND(J22/G$14,4))</f>
        <v>0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2:54" x14ac:dyDescent="0.35">
      <c r="B23" s="182" t="s">
        <v>129</v>
      </c>
      <c r="C23" s="51"/>
      <c r="D23" s="73"/>
      <c r="E23" s="83"/>
      <c r="F23" s="51"/>
      <c r="G23" s="71"/>
      <c r="H23" s="180"/>
      <c r="I23" s="51"/>
      <c r="J23" s="71">
        <f>'[3]AEPTX ERCOT Matrix 2018'!$E$11</f>
        <v>10009840.670870321</v>
      </c>
      <c r="K23" s="125">
        <f>ROUND(J23/D15,3)</f>
        <v>4.5679999999999996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2:54" x14ac:dyDescent="0.35">
      <c r="B24" s="182" t="s">
        <v>130</v>
      </c>
      <c r="C24" s="51"/>
      <c r="D24" s="73"/>
      <c r="E24" s="83"/>
      <c r="F24" s="51"/>
      <c r="G24" s="71"/>
      <c r="H24" s="180"/>
      <c r="I24" s="51"/>
      <c r="J24" s="71">
        <f>'[3]AEPTX ERCOT Matrix 2018'!$E$12</f>
        <v>90904363.058380216</v>
      </c>
      <c r="K24" s="125">
        <f>ROUND(J24/D16,3)</f>
        <v>3.1019999999999999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2:54" x14ac:dyDescent="0.35">
      <c r="B25" s="51" t="s">
        <v>53</v>
      </c>
      <c r="C25" s="51"/>
      <c r="D25" s="73"/>
      <c r="E25" s="74"/>
      <c r="F25" s="51"/>
      <c r="G25" s="75"/>
      <c r="H25" s="76">
        <f>IF(G25=0,G25,ROUND(G25/D$13,6))</f>
        <v>0</v>
      </c>
      <c r="I25" s="51"/>
      <c r="J25" s="75">
        <f>'[7]Retail Summary Proposed'!$I$57+'[7]Retail Summary Proposed'!$I$72</f>
        <v>172447518.64182016</v>
      </c>
      <c r="K25" s="126">
        <f>IF(J25=0,J25,ROUND(J25/D$14,2))</f>
        <v>5.33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2:54" x14ac:dyDescent="0.35">
      <c r="B26" s="51" t="s">
        <v>54</v>
      </c>
      <c r="C26" s="51"/>
      <c r="D26" s="77"/>
      <c r="E26" s="78"/>
      <c r="F26" s="51"/>
      <c r="G26" s="79"/>
      <c r="H26" s="78"/>
      <c r="I26" s="51"/>
      <c r="J26" s="73"/>
      <c r="K26" s="80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2:54" x14ac:dyDescent="0.35">
      <c r="B27" s="51" t="s">
        <v>55</v>
      </c>
      <c r="C27" s="51"/>
      <c r="D27" s="81">
        <f>'[7]Retail Summary Proposed'!$I$62</f>
        <v>14365528.622946717</v>
      </c>
      <c r="E27" s="74">
        <f>IF(D27=0,D27,ROUND(D27/D$11,2))</f>
        <v>16.38</v>
      </c>
      <c r="F27" s="51"/>
      <c r="G27" s="82">
        <v>0</v>
      </c>
      <c r="H27" s="83">
        <v>0</v>
      </c>
      <c r="I27" s="51"/>
      <c r="J27" s="82">
        <v>0</v>
      </c>
      <c r="K27" s="83">
        <v>0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2:54" x14ac:dyDescent="0.35">
      <c r="B28" s="51" t="s">
        <v>56</v>
      </c>
      <c r="C28" s="51"/>
      <c r="D28" s="79"/>
      <c r="E28" s="84"/>
      <c r="F28" s="51"/>
      <c r="G28" s="73"/>
      <c r="H28" s="80"/>
      <c r="I28" s="85"/>
      <c r="J28" s="73"/>
      <c r="K28" s="86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2:54" x14ac:dyDescent="0.35">
      <c r="B29" s="51" t="s">
        <v>57</v>
      </c>
      <c r="C29" s="51"/>
      <c r="D29" s="81"/>
      <c r="E29" s="87">
        <f>IF(D29=0,D29,ROUND(D29/D$11,2))</f>
        <v>0</v>
      </c>
      <c r="F29" s="51"/>
      <c r="G29" s="82">
        <v>0</v>
      </c>
      <c r="H29" s="83">
        <v>0</v>
      </c>
      <c r="I29" s="51"/>
      <c r="J29" s="82"/>
      <c r="K29" s="83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2:54" x14ac:dyDescent="0.35">
      <c r="B30" s="51" t="s">
        <v>58</v>
      </c>
      <c r="C30" s="51"/>
      <c r="D30" s="88">
        <v>0</v>
      </c>
      <c r="E30" s="72">
        <v>0</v>
      </c>
      <c r="F30" s="51"/>
      <c r="G30" s="71">
        <v>0</v>
      </c>
      <c r="H30" s="72">
        <v>0</v>
      </c>
      <c r="I30" s="51"/>
      <c r="J30" s="71">
        <v>0</v>
      </c>
      <c r="K30" s="72">
        <v>0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2:54" x14ac:dyDescent="0.35">
      <c r="B31" s="51" t="s">
        <v>59</v>
      </c>
      <c r="C31" s="51"/>
      <c r="D31" s="79"/>
      <c r="E31" s="78"/>
      <c r="F31" s="51"/>
      <c r="G31" s="73"/>
      <c r="H31" s="80"/>
      <c r="I31" s="85"/>
      <c r="J31" s="73"/>
      <c r="K31" s="86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2:54" x14ac:dyDescent="0.35">
      <c r="B32" s="51" t="s">
        <v>60</v>
      </c>
      <c r="C32" s="51"/>
      <c r="D32" s="81">
        <f>'[7]Retail Summary Proposed'!$I$67</f>
        <v>1353924.8706182996</v>
      </c>
      <c r="E32" s="89">
        <f>IF(D32=0,D32,ROUND(D32/D$11,2))</f>
        <v>1.54</v>
      </c>
      <c r="F32" s="51"/>
      <c r="G32" s="82">
        <v>0</v>
      </c>
      <c r="H32" s="83">
        <v>0</v>
      </c>
      <c r="I32" s="51"/>
      <c r="J32" s="82"/>
      <c r="K32" s="83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2:54" x14ac:dyDescent="0.35">
      <c r="B33" s="90" t="s">
        <v>61</v>
      </c>
      <c r="C33" s="51"/>
      <c r="D33" s="81">
        <f>IF(SUM(D22:D32)&lt;1,D22,SUM(D22:D32))</f>
        <v>15719453.493565015</v>
      </c>
      <c r="E33" s="91">
        <f>SUM(E22:E32)</f>
        <v>17.919999999999998</v>
      </c>
      <c r="F33" s="92"/>
      <c r="G33" s="81">
        <f>IF(SUM(G22:G32)&lt;1,G22,SUM(G22:G32))</f>
        <v>0</v>
      </c>
      <c r="H33" s="93">
        <f>SUM(H22:H32)</f>
        <v>0</v>
      </c>
      <c r="I33" s="94"/>
      <c r="J33" s="71">
        <f>IF(SUM(J22:J32)&lt;1,J22,SUM(J22:J32))</f>
        <v>273361722.37107068</v>
      </c>
      <c r="K33" s="125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2:54" ht="15" thickBot="1" x14ac:dyDescent="0.4"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2:54" ht="16" thickTop="1" x14ac:dyDescent="0.35">
      <c r="B35" s="51"/>
      <c r="C35" s="51"/>
      <c r="D35" s="77" t="s">
        <v>47</v>
      </c>
      <c r="E35" s="51"/>
      <c r="F35" s="51"/>
      <c r="G35" s="95" t="s">
        <v>62</v>
      </c>
      <c r="H35" s="96"/>
      <c r="I35" s="96"/>
      <c r="J35" s="97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2:54" x14ac:dyDescent="0.35">
      <c r="B36" s="51"/>
      <c r="C36" s="51"/>
      <c r="D36" s="98" t="s">
        <v>63</v>
      </c>
      <c r="E36" s="51"/>
      <c r="F36" s="51"/>
      <c r="G36" s="99"/>
      <c r="H36" s="100" t="s">
        <v>64</v>
      </c>
      <c r="I36" s="85"/>
      <c r="J36" s="101" t="s">
        <v>65</v>
      </c>
      <c r="K36" s="54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2:54" x14ac:dyDescent="0.35">
      <c r="B37" s="56" t="s">
        <v>47</v>
      </c>
      <c r="C37" s="51"/>
      <c r="D37" s="69" t="s">
        <v>48</v>
      </c>
      <c r="E37" s="51"/>
      <c r="F37" s="51"/>
      <c r="G37" s="102" t="s">
        <v>8</v>
      </c>
      <c r="H37" s="103" t="s">
        <v>66</v>
      </c>
      <c r="I37" s="85"/>
      <c r="J37" s="104" t="s">
        <v>67</v>
      </c>
      <c r="K37" s="57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2:54" x14ac:dyDescent="0.35">
      <c r="B38" s="51" t="s">
        <v>52</v>
      </c>
      <c r="C38" s="51"/>
      <c r="D38" s="105">
        <f>J23+J24</f>
        <v>100914203.72925054</v>
      </c>
      <c r="E38" s="51"/>
      <c r="F38" s="51"/>
      <c r="G38" s="106"/>
      <c r="H38" s="85"/>
      <c r="I38" s="85"/>
      <c r="J38" s="107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2:54" x14ac:dyDescent="0.35">
      <c r="B39" s="51" t="s">
        <v>53</v>
      </c>
      <c r="C39" s="51"/>
      <c r="D39" s="108">
        <f>D25+G25+J25</f>
        <v>172447518.64182016</v>
      </c>
      <c r="E39" s="51"/>
      <c r="F39" s="51"/>
      <c r="G39" s="109" t="s">
        <v>68</v>
      </c>
      <c r="H39" s="110">
        <f>E33</f>
        <v>17.919999999999998</v>
      </c>
      <c r="I39" s="85"/>
      <c r="J39" s="111">
        <f>ROUND(+H39*D11,0)</f>
        <v>15712973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2:54" x14ac:dyDescent="0.35">
      <c r="B40" s="51"/>
      <c r="C40" s="51"/>
      <c r="D40" s="112"/>
      <c r="E40" s="51"/>
      <c r="F40" s="51"/>
      <c r="G40" s="109"/>
      <c r="H40" s="110"/>
      <c r="I40" s="85"/>
      <c r="J40" s="11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2:54" x14ac:dyDescent="0.35">
      <c r="B41" s="51"/>
      <c r="C41" s="51"/>
      <c r="D41" s="112"/>
      <c r="E41" s="51"/>
      <c r="F41" s="51"/>
      <c r="G41" s="106" t="s">
        <v>128</v>
      </c>
      <c r="H41" s="110">
        <f>K23</f>
        <v>4.5679999999999996</v>
      </c>
      <c r="I41" s="85" t="s">
        <v>69</v>
      </c>
      <c r="J41" s="111">
        <f>ROUND(+H41*D15,0)</f>
        <v>10010471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2:54" x14ac:dyDescent="0.35">
      <c r="B42" s="51" t="s">
        <v>54</v>
      </c>
      <c r="C42" s="51"/>
      <c r="D42" s="112"/>
      <c r="E42" s="51"/>
      <c r="F42" s="51"/>
      <c r="G42" s="106" t="s">
        <v>127</v>
      </c>
      <c r="H42" s="110">
        <f>K24</f>
        <v>3.1019999999999999</v>
      </c>
      <c r="I42" s="85" t="s">
        <v>69</v>
      </c>
      <c r="J42" s="111">
        <f>ROUND(+H42*D16,0)</f>
        <v>90910598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2:54" x14ac:dyDescent="0.35">
      <c r="B43" s="51" t="s">
        <v>55</v>
      </c>
      <c r="C43" s="51"/>
      <c r="D43" s="81">
        <f>D27+G27+J27</f>
        <v>14365528.622946717</v>
      </c>
      <c r="E43" s="51"/>
      <c r="F43" s="51"/>
      <c r="G43" s="106" t="s">
        <v>75</v>
      </c>
      <c r="H43" s="110">
        <f>K25</f>
        <v>5.33</v>
      </c>
      <c r="I43" s="85" t="s">
        <v>69</v>
      </c>
      <c r="J43" s="114">
        <f>ROUND(+H43*D14,0)</f>
        <v>172497284</v>
      </c>
      <c r="K43" s="116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2:54" ht="15" thickBot="1" x14ac:dyDescent="0.4">
      <c r="B44" s="51" t="s">
        <v>56</v>
      </c>
      <c r="C44" s="51"/>
      <c r="D44" s="112"/>
      <c r="E44" s="51"/>
      <c r="F44" s="51"/>
      <c r="G44" s="106" t="s">
        <v>70</v>
      </c>
      <c r="H44" s="85"/>
      <c r="I44" s="85"/>
      <c r="J44" s="115">
        <f>SUM(J39:J43)</f>
        <v>289131326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2:54" ht="15" thickTop="1" x14ac:dyDescent="0.35">
      <c r="B45" s="51" t="s">
        <v>57</v>
      </c>
      <c r="C45" s="51"/>
      <c r="D45" s="81">
        <f>D29+G29+J29</f>
        <v>0</v>
      </c>
      <c r="E45" s="51"/>
      <c r="F45" s="51"/>
      <c r="G45" s="106"/>
      <c r="H45" s="85"/>
      <c r="I45" s="85"/>
      <c r="J45" s="117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2:54" x14ac:dyDescent="0.35">
      <c r="B46" s="51" t="s">
        <v>58</v>
      </c>
      <c r="C46" s="51"/>
      <c r="D46" s="88">
        <v>0</v>
      </c>
      <c r="E46" s="51"/>
      <c r="F46" s="51"/>
      <c r="G46" s="118" t="s">
        <v>76</v>
      </c>
      <c r="H46" s="85"/>
      <c r="I46" s="85"/>
      <c r="J46" s="107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2:54" ht="15" thickBot="1" x14ac:dyDescent="0.4">
      <c r="B47" s="51" t="s">
        <v>59</v>
      </c>
      <c r="C47" s="51"/>
      <c r="D47" s="112"/>
      <c r="E47" s="51"/>
      <c r="F47" s="51"/>
      <c r="G47" s="119"/>
      <c r="H47" s="120"/>
      <c r="I47" s="120"/>
      <c r="J47" s="12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2:54" ht="15" thickTop="1" x14ac:dyDescent="0.35">
      <c r="B48" s="51" t="s">
        <v>60</v>
      </c>
      <c r="C48" s="51"/>
      <c r="D48" s="81">
        <f>D32+G32+J32</f>
        <v>1353924.8706182996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2:54" x14ac:dyDescent="0.35">
      <c r="B49" s="90" t="s">
        <v>61</v>
      </c>
      <c r="C49" s="51"/>
      <c r="D49" s="81">
        <f>SUM(D38:D48)</f>
        <v>289081175.86463571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2:54" x14ac:dyDescent="0.3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2:54" x14ac:dyDescent="0.35">
      <c r="B51" s="51"/>
      <c r="C51" s="51"/>
      <c r="D51" s="178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2:54" x14ac:dyDescent="0.3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2:54" x14ac:dyDescent="0.3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2:54" x14ac:dyDescent="0.3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2:54" x14ac:dyDescent="0.3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2:54" x14ac:dyDescent="0.3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2:54" x14ac:dyDescent="0.3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2:54" x14ac:dyDescent="0.3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2:54" x14ac:dyDescent="0.3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2:54" x14ac:dyDescent="0.3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2:54" x14ac:dyDescent="0.3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2:54" x14ac:dyDescent="0.3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2:54" x14ac:dyDescent="0.3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3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2:54" x14ac:dyDescent="0.3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2:54" x14ac:dyDescent="0.3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2:54" x14ac:dyDescent="0.3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2:54" x14ac:dyDescent="0.3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2:54" x14ac:dyDescent="0.3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2:54" x14ac:dyDescent="0.3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2:54" x14ac:dyDescent="0.3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2:54" x14ac:dyDescent="0.3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</row>
    <row r="73" spans="2:54" x14ac:dyDescent="0.3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</row>
    <row r="74" spans="2:54" x14ac:dyDescent="0.3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</row>
    <row r="75" spans="2:54" x14ac:dyDescent="0.3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2:54" x14ac:dyDescent="0.3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</row>
    <row r="77" spans="2:54" x14ac:dyDescent="0.3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</row>
    <row r="78" spans="2:54" x14ac:dyDescent="0.3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</row>
    <row r="79" spans="2:54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</row>
    <row r="80" spans="2:54" x14ac:dyDescent="0.3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</row>
    <row r="81" spans="2:54" x14ac:dyDescent="0.3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</row>
    <row r="82" spans="2:54" x14ac:dyDescent="0.3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</row>
    <row r="83" spans="2:54" x14ac:dyDescent="0.3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</row>
    <row r="84" spans="2:54" x14ac:dyDescent="0.3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</row>
    <row r="85" spans="2:54" x14ac:dyDescent="0.3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</row>
    <row r="86" spans="2:54" x14ac:dyDescent="0.3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</row>
    <row r="87" spans="2:54" x14ac:dyDescent="0.3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</row>
    <row r="88" spans="2:54" x14ac:dyDescent="0.3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</row>
    <row r="89" spans="2:54" x14ac:dyDescent="0.3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</row>
    <row r="90" spans="2:54" x14ac:dyDescent="0.3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</row>
    <row r="91" spans="2:54" x14ac:dyDescent="0.3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</row>
    <row r="92" spans="2:54" x14ac:dyDescent="0.35"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</row>
    <row r="93" spans="2:54" x14ac:dyDescent="0.35"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</row>
    <row r="94" spans="2:54" x14ac:dyDescent="0.35"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</row>
    <row r="95" spans="2:54" x14ac:dyDescent="0.35"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</row>
    <row r="96" spans="2:54" x14ac:dyDescent="0.35"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</row>
    <row r="97" spans="2:54" x14ac:dyDescent="0.35"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</row>
    <row r="98" spans="2:54" x14ac:dyDescent="0.35">
      <c r="G98" s="51"/>
      <c r="H98" s="51"/>
      <c r="I98" s="51"/>
      <c r="J98" s="51"/>
    </row>
  </sheetData>
  <mergeCells count="1">
    <mergeCell ref="D19:E19"/>
  </mergeCells>
  <printOptions horizontalCentered="1"/>
  <pageMargins left="0.7" right="0.7" top="0.75" bottom="0.75" header="0.3" footer="0.3"/>
  <pageSetup scale="61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97"/>
  <sheetViews>
    <sheetView topLeftCell="A16" workbookViewId="0">
      <selection activeCell="D47" sqref="D47"/>
    </sheetView>
  </sheetViews>
  <sheetFormatPr defaultColWidth="12.54296875" defaultRowHeight="14.5" x14ac:dyDescent="0.35"/>
  <cols>
    <col min="1" max="1" width="2.1796875" style="52" customWidth="1"/>
    <col min="2" max="2" width="32.26953125" style="52" bestFit="1" customWidth="1"/>
    <col min="3" max="3" width="2.26953125" style="52" customWidth="1"/>
    <col min="4" max="4" width="16.81640625" style="52" bestFit="1" customWidth="1"/>
    <col min="5" max="5" width="12.54296875" style="52"/>
    <col min="6" max="6" width="2.26953125" style="52" customWidth="1"/>
    <col min="7" max="7" width="32.7265625" style="52" customWidth="1"/>
    <col min="8" max="8" width="12.7265625" style="52" bestFit="1" customWidth="1"/>
    <col min="9" max="9" width="2.26953125" style="52" customWidth="1"/>
    <col min="10" max="10" width="16.54296875" style="52" bestFit="1" customWidth="1"/>
    <col min="11" max="256" width="12.54296875" style="52"/>
    <col min="257" max="257" width="2.1796875" style="52" customWidth="1"/>
    <col min="258" max="258" width="32.26953125" style="52" bestFit="1" customWidth="1"/>
    <col min="259" max="259" width="2.26953125" style="52" customWidth="1"/>
    <col min="260" max="260" width="16.81640625" style="52" bestFit="1" customWidth="1"/>
    <col min="261" max="261" width="12.54296875" style="52"/>
    <col min="262" max="262" width="2.26953125" style="52" customWidth="1"/>
    <col min="263" max="263" width="19.7265625" style="52" customWidth="1"/>
    <col min="264" max="264" width="12.7265625" style="52" bestFit="1" customWidth="1"/>
    <col min="265" max="265" width="2.26953125" style="52" customWidth="1"/>
    <col min="266" max="266" width="16.54296875" style="52" bestFit="1" customWidth="1"/>
    <col min="267" max="512" width="12.54296875" style="52"/>
    <col min="513" max="513" width="2.1796875" style="52" customWidth="1"/>
    <col min="514" max="514" width="32.26953125" style="52" bestFit="1" customWidth="1"/>
    <col min="515" max="515" width="2.26953125" style="52" customWidth="1"/>
    <col min="516" max="516" width="16.81640625" style="52" bestFit="1" customWidth="1"/>
    <col min="517" max="517" width="12.54296875" style="52"/>
    <col min="518" max="518" width="2.26953125" style="52" customWidth="1"/>
    <col min="519" max="519" width="19.7265625" style="52" customWidth="1"/>
    <col min="520" max="520" width="12.7265625" style="52" bestFit="1" customWidth="1"/>
    <col min="521" max="521" width="2.26953125" style="52" customWidth="1"/>
    <col min="522" max="522" width="16.54296875" style="52" bestFit="1" customWidth="1"/>
    <col min="523" max="768" width="12.54296875" style="52"/>
    <col min="769" max="769" width="2.1796875" style="52" customWidth="1"/>
    <col min="770" max="770" width="32.26953125" style="52" bestFit="1" customWidth="1"/>
    <col min="771" max="771" width="2.26953125" style="52" customWidth="1"/>
    <col min="772" max="772" width="16.81640625" style="52" bestFit="1" customWidth="1"/>
    <col min="773" max="773" width="12.54296875" style="52"/>
    <col min="774" max="774" width="2.26953125" style="52" customWidth="1"/>
    <col min="775" max="775" width="19.7265625" style="52" customWidth="1"/>
    <col min="776" max="776" width="12.7265625" style="52" bestFit="1" customWidth="1"/>
    <col min="777" max="777" width="2.26953125" style="52" customWidth="1"/>
    <col min="778" max="778" width="16.54296875" style="52" bestFit="1" customWidth="1"/>
    <col min="779" max="1024" width="12.54296875" style="52"/>
    <col min="1025" max="1025" width="2.1796875" style="52" customWidth="1"/>
    <col min="1026" max="1026" width="32.26953125" style="52" bestFit="1" customWidth="1"/>
    <col min="1027" max="1027" width="2.26953125" style="52" customWidth="1"/>
    <col min="1028" max="1028" width="16.81640625" style="52" bestFit="1" customWidth="1"/>
    <col min="1029" max="1029" width="12.54296875" style="52"/>
    <col min="1030" max="1030" width="2.26953125" style="52" customWidth="1"/>
    <col min="1031" max="1031" width="19.7265625" style="52" customWidth="1"/>
    <col min="1032" max="1032" width="12.7265625" style="52" bestFit="1" customWidth="1"/>
    <col min="1033" max="1033" width="2.26953125" style="52" customWidth="1"/>
    <col min="1034" max="1034" width="16.54296875" style="52" bestFit="1" customWidth="1"/>
    <col min="1035" max="1280" width="12.54296875" style="52"/>
    <col min="1281" max="1281" width="2.1796875" style="52" customWidth="1"/>
    <col min="1282" max="1282" width="32.26953125" style="52" bestFit="1" customWidth="1"/>
    <col min="1283" max="1283" width="2.26953125" style="52" customWidth="1"/>
    <col min="1284" max="1284" width="16.81640625" style="52" bestFit="1" customWidth="1"/>
    <col min="1285" max="1285" width="12.54296875" style="52"/>
    <col min="1286" max="1286" width="2.26953125" style="52" customWidth="1"/>
    <col min="1287" max="1287" width="19.7265625" style="52" customWidth="1"/>
    <col min="1288" max="1288" width="12.7265625" style="52" bestFit="1" customWidth="1"/>
    <col min="1289" max="1289" width="2.26953125" style="52" customWidth="1"/>
    <col min="1290" max="1290" width="16.54296875" style="52" bestFit="1" customWidth="1"/>
    <col min="1291" max="1536" width="12.54296875" style="52"/>
    <col min="1537" max="1537" width="2.1796875" style="52" customWidth="1"/>
    <col min="1538" max="1538" width="32.26953125" style="52" bestFit="1" customWidth="1"/>
    <col min="1539" max="1539" width="2.26953125" style="52" customWidth="1"/>
    <col min="1540" max="1540" width="16.81640625" style="52" bestFit="1" customWidth="1"/>
    <col min="1541" max="1541" width="12.54296875" style="52"/>
    <col min="1542" max="1542" width="2.26953125" style="52" customWidth="1"/>
    <col min="1543" max="1543" width="19.7265625" style="52" customWidth="1"/>
    <col min="1544" max="1544" width="12.7265625" style="52" bestFit="1" customWidth="1"/>
    <col min="1545" max="1545" width="2.26953125" style="52" customWidth="1"/>
    <col min="1546" max="1546" width="16.54296875" style="52" bestFit="1" customWidth="1"/>
    <col min="1547" max="1792" width="12.54296875" style="52"/>
    <col min="1793" max="1793" width="2.1796875" style="52" customWidth="1"/>
    <col min="1794" max="1794" width="32.26953125" style="52" bestFit="1" customWidth="1"/>
    <col min="1795" max="1795" width="2.26953125" style="52" customWidth="1"/>
    <col min="1796" max="1796" width="16.81640625" style="52" bestFit="1" customWidth="1"/>
    <col min="1797" max="1797" width="12.54296875" style="52"/>
    <col min="1798" max="1798" width="2.26953125" style="52" customWidth="1"/>
    <col min="1799" max="1799" width="19.7265625" style="52" customWidth="1"/>
    <col min="1800" max="1800" width="12.7265625" style="52" bestFit="1" customWidth="1"/>
    <col min="1801" max="1801" width="2.26953125" style="52" customWidth="1"/>
    <col min="1802" max="1802" width="16.54296875" style="52" bestFit="1" customWidth="1"/>
    <col min="1803" max="2048" width="12.54296875" style="52"/>
    <col min="2049" max="2049" width="2.1796875" style="52" customWidth="1"/>
    <col min="2050" max="2050" width="32.26953125" style="52" bestFit="1" customWidth="1"/>
    <col min="2051" max="2051" width="2.26953125" style="52" customWidth="1"/>
    <col min="2052" max="2052" width="16.81640625" style="52" bestFit="1" customWidth="1"/>
    <col min="2053" max="2053" width="12.54296875" style="52"/>
    <col min="2054" max="2054" width="2.26953125" style="52" customWidth="1"/>
    <col min="2055" max="2055" width="19.7265625" style="52" customWidth="1"/>
    <col min="2056" max="2056" width="12.7265625" style="52" bestFit="1" customWidth="1"/>
    <col min="2057" max="2057" width="2.26953125" style="52" customWidth="1"/>
    <col min="2058" max="2058" width="16.54296875" style="52" bestFit="1" customWidth="1"/>
    <col min="2059" max="2304" width="12.54296875" style="52"/>
    <col min="2305" max="2305" width="2.1796875" style="52" customWidth="1"/>
    <col min="2306" max="2306" width="32.26953125" style="52" bestFit="1" customWidth="1"/>
    <col min="2307" max="2307" width="2.26953125" style="52" customWidth="1"/>
    <col min="2308" max="2308" width="16.81640625" style="52" bestFit="1" customWidth="1"/>
    <col min="2309" max="2309" width="12.54296875" style="52"/>
    <col min="2310" max="2310" width="2.26953125" style="52" customWidth="1"/>
    <col min="2311" max="2311" width="19.7265625" style="52" customWidth="1"/>
    <col min="2312" max="2312" width="12.7265625" style="52" bestFit="1" customWidth="1"/>
    <col min="2313" max="2313" width="2.26953125" style="52" customWidth="1"/>
    <col min="2314" max="2314" width="16.54296875" style="52" bestFit="1" customWidth="1"/>
    <col min="2315" max="2560" width="12.54296875" style="52"/>
    <col min="2561" max="2561" width="2.1796875" style="52" customWidth="1"/>
    <col min="2562" max="2562" width="32.26953125" style="52" bestFit="1" customWidth="1"/>
    <col min="2563" max="2563" width="2.26953125" style="52" customWidth="1"/>
    <col min="2564" max="2564" width="16.81640625" style="52" bestFit="1" customWidth="1"/>
    <col min="2565" max="2565" width="12.54296875" style="52"/>
    <col min="2566" max="2566" width="2.26953125" style="52" customWidth="1"/>
    <col min="2567" max="2567" width="19.7265625" style="52" customWidth="1"/>
    <col min="2568" max="2568" width="12.7265625" style="52" bestFit="1" customWidth="1"/>
    <col min="2569" max="2569" width="2.26953125" style="52" customWidth="1"/>
    <col min="2570" max="2570" width="16.54296875" style="52" bestFit="1" customWidth="1"/>
    <col min="2571" max="2816" width="12.54296875" style="52"/>
    <col min="2817" max="2817" width="2.1796875" style="52" customWidth="1"/>
    <col min="2818" max="2818" width="32.26953125" style="52" bestFit="1" customWidth="1"/>
    <col min="2819" max="2819" width="2.26953125" style="52" customWidth="1"/>
    <col min="2820" max="2820" width="16.81640625" style="52" bestFit="1" customWidth="1"/>
    <col min="2821" max="2821" width="12.54296875" style="52"/>
    <col min="2822" max="2822" width="2.26953125" style="52" customWidth="1"/>
    <col min="2823" max="2823" width="19.7265625" style="52" customWidth="1"/>
    <col min="2824" max="2824" width="12.7265625" style="52" bestFit="1" customWidth="1"/>
    <col min="2825" max="2825" width="2.26953125" style="52" customWidth="1"/>
    <col min="2826" max="2826" width="16.54296875" style="52" bestFit="1" customWidth="1"/>
    <col min="2827" max="3072" width="12.54296875" style="52"/>
    <col min="3073" max="3073" width="2.1796875" style="52" customWidth="1"/>
    <col min="3074" max="3074" width="32.26953125" style="52" bestFit="1" customWidth="1"/>
    <col min="3075" max="3075" width="2.26953125" style="52" customWidth="1"/>
    <col min="3076" max="3076" width="16.81640625" style="52" bestFit="1" customWidth="1"/>
    <col min="3077" max="3077" width="12.54296875" style="52"/>
    <col min="3078" max="3078" width="2.26953125" style="52" customWidth="1"/>
    <col min="3079" max="3079" width="19.7265625" style="52" customWidth="1"/>
    <col min="3080" max="3080" width="12.7265625" style="52" bestFit="1" customWidth="1"/>
    <col min="3081" max="3081" width="2.26953125" style="52" customWidth="1"/>
    <col min="3082" max="3082" width="16.54296875" style="52" bestFit="1" customWidth="1"/>
    <col min="3083" max="3328" width="12.54296875" style="52"/>
    <col min="3329" max="3329" width="2.1796875" style="52" customWidth="1"/>
    <col min="3330" max="3330" width="32.26953125" style="52" bestFit="1" customWidth="1"/>
    <col min="3331" max="3331" width="2.26953125" style="52" customWidth="1"/>
    <col min="3332" max="3332" width="16.81640625" style="52" bestFit="1" customWidth="1"/>
    <col min="3333" max="3333" width="12.54296875" style="52"/>
    <col min="3334" max="3334" width="2.26953125" style="52" customWidth="1"/>
    <col min="3335" max="3335" width="19.7265625" style="52" customWidth="1"/>
    <col min="3336" max="3336" width="12.7265625" style="52" bestFit="1" customWidth="1"/>
    <col min="3337" max="3337" width="2.26953125" style="52" customWidth="1"/>
    <col min="3338" max="3338" width="16.54296875" style="52" bestFit="1" customWidth="1"/>
    <col min="3339" max="3584" width="12.54296875" style="52"/>
    <col min="3585" max="3585" width="2.1796875" style="52" customWidth="1"/>
    <col min="3586" max="3586" width="32.26953125" style="52" bestFit="1" customWidth="1"/>
    <col min="3587" max="3587" width="2.26953125" style="52" customWidth="1"/>
    <col min="3588" max="3588" width="16.81640625" style="52" bestFit="1" customWidth="1"/>
    <col min="3589" max="3589" width="12.54296875" style="52"/>
    <col min="3590" max="3590" width="2.26953125" style="52" customWidth="1"/>
    <col min="3591" max="3591" width="19.7265625" style="52" customWidth="1"/>
    <col min="3592" max="3592" width="12.7265625" style="52" bestFit="1" customWidth="1"/>
    <col min="3593" max="3593" width="2.26953125" style="52" customWidth="1"/>
    <col min="3594" max="3594" width="16.54296875" style="52" bestFit="1" customWidth="1"/>
    <col min="3595" max="3840" width="12.54296875" style="52"/>
    <col min="3841" max="3841" width="2.1796875" style="52" customWidth="1"/>
    <col min="3842" max="3842" width="32.26953125" style="52" bestFit="1" customWidth="1"/>
    <col min="3843" max="3843" width="2.26953125" style="52" customWidth="1"/>
    <col min="3844" max="3844" width="16.81640625" style="52" bestFit="1" customWidth="1"/>
    <col min="3845" max="3845" width="12.54296875" style="52"/>
    <col min="3846" max="3846" width="2.26953125" style="52" customWidth="1"/>
    <col min="3847" max="3847" width="19.7265625" style="52" customWidth="1"/>
    <col min="3848" max="3848" width="12.7265625" style="52" bestFit="1" customWidth="1"/>
    <col min="3849" max="3849" width="2.26953125" style="52" customWidth="1"/>
    <col min="3850" max="3850" width="16.54296875" style="52" bestFit="1" customWidth="1"/>
    <col min="3851" max="4096" width="12.54296875" style="52"/>
    <col min="4097" max="4097" width="2.1796875" style="52" customWidth="1"/>
    <col min="4098" max="4098" width="32.26953125" style="52" bestFit="1" customWidth="1"/>
    <col min="4099" max="4099" width="2.26953125" style="52" customWidth="1"/>
    <col min="4100" max="4100" width="16.81640625" style="52" bestFit="1" customWidth="1"/>
    <col min="4101" max="4101" width="12.54296875" style="52"/>
    <col min="4102" max="4102" width="2.26953125" style="52" customWidth="1"/>
    <col min="4103" max="4103" width="19.7265625" style="52" customWidth="1"/>
    <col min="4104" max="4104" width="12.7265625" style="52" bestFit="1" customWidth="1"/>
    <col min="4105" max="4105" width="2.26953125" style="52" customWidth="1"/>
    <col min="4106" max="4106" width="16.54296875" style="52" bestFit="1" customWidth="1"/>
    <col min="4107" max="4352" width="12.54296875" style="52"/>
    <col min="4353" max="4353" width="2.1796875" style="52" customWidth="1"/>
    <col min="4354" max="4354" width="32.26953125" style="52" bestFit="1" customWidth="1"/>
    <col min="4355" max="4355" width="2.26953125" style="52" customWidth="1"/>
    <col min="4356" max="4356" width="16.81640625" style="52" bestFit="1" customWidth="1"/>
    <col min="4357" max="4357" width="12.54296875" style="52"/>
    <col min="4358" max="4358" width="2.26953125" style="52" customWidth="1"/>
    <col min="4359" max="4359" width="19.7265625" style="52" customWidth="1"/>
    <col min="4360" max="4360" width="12.7265625" style="52" bestFit="1" customWidth="1"/>
    <col min="4361" max="4361" width="2.26953125" style="52" customWidth="1"/>
    <col min="4362" max="4362" width="16.54296875" style="52" bestFit="1" customWidth="1"/>
    <col min="4363" max="4608" width="12.54296875" style="52"/>
    <col min="4609" max="4609" width="2.1796875" style="52" customWidth="1"/>
    <col min="4610" max="4610" width="32.26953125" style="52" bestFit="1" customWidth="1"/>
    <col min="4611" max="4611" width="2.26953125" style="52" customWidth="1"/>
    <col min="4612" max="4612" width="16.81640625" style="52" bestFit="1" customWidth="1"/>
    <col min="4613" max="4613" width="12.54296875" style="52"/>
    <col min="4614" max="4614" width="2.26953125" style="52" customWidth="1"/>
    <col min="4615" max="4615" width="19.7265625" style="52" customWidth="1"/>
    <col min="4616" max="4616" width="12.7265625" style="52" bestFit="1" customWidth="1"/>
    <col min="4617" max="4617" width="2.26953125" style="52" customWidth="1"/>
    <col min="4618" max="4618" width="16.54296875" style="52" bestFit="1" customWidth="1"/>
    <col min="4619" max="4864" width="12.54296875" style="52"/>
    <col min="4865" max="4865" width="2.1796875" style="52" customWidth="1"/>
    <col min="4866" max="4866" width="32.26953125" style="52" bestFit="1" customWidth="1"/>
    <col min="4867" max="4867" width="2.26953125" style="52" customWidth="1"/>
    <col min="4868" max="4868" width="16.81640625" style="52" bestFit="1" customWidth="1"/>
    <col min="4869" max="4869" width="12.54296875" style="52"/>
    <col min="4870" max="4870" width="2.26953125" style="52" customWidth="1"/>
    <col min="4871" max="4871" width="19.7265625" style="52" customWidth="1"/>
    <col min="4872" max="4872" width="12.7265625" style="52" bestFit="1" customWidth="1"/>
    <col min="4873" max="4873" width="2.26953125" style="52" customWidth="1"/>
    <col min="4874" max="4874" width="16.54296875" style="52" bestFit="1" customWidth="1"/>
    <col min="4875" max="5120" width="12.54296875" style="52"/>
    <col min="5121" max="5121" width="2.1796875" style="52" customWidth="1"/>
    <col min="5122" max="5122" width="32.26953125" style="52" bestFit="1" customWidth="1"/>
    <col min="5123" max="5123" width="2.26953125" style="52" customWidth="1"/>
    <col min="5124" max="5124" width="16.81640625" style="52" bestFit="1" customWidth="1"/>
    <col min="5125" max="5125" width="12.54296875" style="52"/>
    <col min="5126" max="5126" width="2.26953125" style="52" customWidth="1"/>
    <col min="5127" max="5127" width="19.7265625" style="52" customWidth="1"/>
    <col min="5128" max="5128" width="12.7265625" style="52" bestFit="1" customWidth="1"/>
    <col min="5129" max="5129" width="2.26953125" style="52" customWidth="1"/>
    <col min="5130" max="5130" width="16.54296875" style="52" bestFit="1" customWidth="1"/>
    <col min="5131" max="5376" width="12.54296875" style="52"/>
    <col min="5377" max="5377" width="2.1796875" style="52" customWidth="1"/>
    <col min="5378" max="5378" width="32.26953125" style="52" bestFit="1" customWidth="1"/>
    <col min="5379" max="5379" width="2.26953125" style="52" customWidth="1"/>
    <col min="5380" max="5380" width="16.81640625" style="52" bestFit="1" customWidth="1"/>
    <col min="5381" max="5381" width="12.54296875" style="52"/>
    <col min="5382" max="5382" width="2.26953125" style="52" customWidth="1"/>
    <col min="5383" max="5383" width="19.7265625" style="52" customWidth="1"/>
    <col min="5384" max="5384" width="12.7265625" style="52" bestFit="1" customWidth="1"/>
    <col min="5385" max="5385" width="2.26953125" style="52" customWidth="1"/>
    <col min="5386" max="5386" width="16.54296875" style="52" bestFit="1" customWidth="1"/>
    <col min="5387" max="5632" width="12.54296875" style="52"/>
    <col min="5633" max="5633" width="2.1796875" style="52" customWidth="1"/>
    <col min="5634" max="5634" width="32.26953125" style="52" bestFit="1" customWidth="1"/>
    <col min="5635" max="5635" width="2.26953125" style="52" customWidth="1"/>
    <col min="5636" max="5636" width="16.81640625" style="52" bestFit="1" customWidth="1"/>
    <col min="5637" max="5637" width="12.54296875" style="52"/>
    <col min="5638" max="5638" width="2.26953125" style="52" customWidth="1"/>
    <col min="5639" max="5639" width="19.7265625" style="52" customWidth="1"/>
    <col min="5640" max="5640" width="12.7265625" style="52" bestFit="1" customWidth="1"/>
    <col min="5641" max="5641" width="2.26953125" style="52" customWidth="1"/>
    <col min="5642" max="5642" width="16.54296875" style="52" bestFit="1" customWidth="1"/>
    <col min="5643" max="5888" width="12.54296875" style="52"/>
    <col min="5889" max="5889" width="2.1796875" style="52" customWidth="1"/>
    <col min="5890" max="5890" width="32.26953125" style="52" bestFit="1" customWidth="1"/>
    <col min="5891" max="5891" width="2.26953125" style="52" customWidth="1"/>
    <col min="5892" max="5892" width="16.81640625" style="52" bestFit="1" customWidth="1"/>
    <col min="5893" max="5893" width="12.54296875" style="52"/>
    <col min="5894" max="5894" width="2.26953125" style="52" customWidth="1"/>
    <col min="5895" max="5895" width="19.7265625" style="52" customWidth="1"/>
    <col min="5896" max="5896" width="12.7265625" style="52" bestFit="1" customWidth="1"/>
    <col min="5897" max="5897" width="2.26953125" style="52" customWidth="1"/>
    <col min="5898" max="5898" width="16.54296875" style="52" bestFit="1" customWidth="1"/>
    <col min="5899" max="6144" width="12.54296875" style="52"/>
    <col min="6145" max="6145" width="2.1796875" style="52" customWidth="1"/>
    <col min="6146" max="6146" width="32.26953125" style="52" bestFit="1" customWidth="1"/>
    <col min="6147" max="6147" width="2.26953125" style="52" customWidth="1"/>
    <col min="6148" max="6148" width="16.81640625" style="52" bestFit="1" customWidth="1"/>
    <col min="6149" max="6149" width="12.54296875" style="52"/>
    <col min="6150" max="6150" width="2.26953125" style="52" customWidth="1"/>
    <col min="6151" max="6151" width="19.7265625" style="52" customWidth="1"/>
    <col min="6152" max="6152" width="12.7265625" style="52" bestFit="1" customWidth="1"/>
    <col min="6153" max="6153" width="2.26953125" style="52" customWidth="1"/>
    <col min="6154" max="6154" width="16.54296875" style="52" bestFit="1" customWidth="1"/>
    <col min="6155" max="6400" width="12.54296875" style="52"/>
    <col min="6401" max="6401" width="2.1796875" style="52" customWidth="1"/>
    <col min="6402" max="6402" width="32.26953125" style="52" bestFit="1" customWidth="1"/>
    <col min="6403" max="6403" width="2.26953125" style="52" customWidth="1"/>
    <col min="6404" max="6404" width="16.81640625" style="52" bestFit="1" customWidth="1"/>
    <col min="6405" max="6405" width="12.54296875" style="52"/>
    <col min="6406" max="6406" width="2.26953125" style="52" customWidth="1"/>
    <col min="6407" max="6407" width="19.7265625" style="52" customWidth="1"/>
    <col min="6408" max="6408" width="12.7265625" style="52" bestFit="1" customWidth="1"/>
    <col min="6409" max="6409" width="2.26953125" style="52" customWidth="1"/>
    <col min="6410" max="6410" width="16.54296875" style="52" bestFit="1" customWidth="1"/>
    <col min="6411" max="6656" width="12.54296875" style="52"/>
    <col min="6657" max="6657" width="2.1796875" style="52" customWidth="1"/>
    <col min="6658" max="6658" width="32.26953125" style="52" bestFit="1" customWidth="1"/>
    <col min="6659" max="6659" width="2.26953125" style="52" customWidth="1"/>
    <col min="6660" max="6660" width="16.81640625" style="52" bestFit="1" customWidth="1"/>
    <col min="6661" max="6661" width="12.54296875" style="52"/>
    <col min="6662" max="6662" width="2.26953125" style="52" customWidth="1"/>
    <col min="6663" max="6663" width="19.7265625" style="52" customWidth="1"/>
    <col min="6664" max="6664" width="12.7265625" style="52" bestFit="1" customWidth="1"/>
    <col min="6665" max="6665" width="2.26953125" style="52" customWidth="1"/>
    <col min="6666" max="6666" width="16.54296875" style="52" bestFit="1" customWidth="1"/>
    <col min="6667" max="6912" width="12.54296875" style="52"/>
    <col min="6913" max="6913" width="2.1796875" style="52" customWidth="1"/>
    <col min="6914" max="6914" width="32.26953125" style="52" bestFit="1" customWidth="1"/>
    <col min="6915" max="6915" width="2.26953125" style="52" customWidth="1"/>
    <col min="6916" max="6916" width="16.81640625" style="52" bestFit="1" customWidth="1"/>
    <col min="6917" max="6917" width="12.54296875" style="52"/>
    <col min="6918" max="6918" width="2.26953125" style="52" customWidth="1"/>
    <col min="6919" max="6919" width="19.7265625" style="52" customWidth="1"/>
    <col min="6920" max="6920" width="12.7265625" style="52" bestFit="1" customWidth="1"/>
    <col min="6921" max="6921" width="2.26953125" style="52" customWidth="1"/>
    <col min="6922" max="6922" width="16.54296875" style="52" bestFit="1" customWidth="1"/>
    <col min="6923" max="7168" width="12.54296875" style="52"/>
    <col min="7169" max="7169" width="2.1796875" style="52" customWidth="1"/>
    <col min="7170" max="7170" width="32.26953125" style="52" bestFit="1" customWidth="1"/>
    <col min="7171" max="7171" width="2.26953125" style="52" customWidth="1"/>
    <col min="7172" max="7172" width="16.81640625" style="52" bestFit="1" customWidth="1"/>
    <col min="7173" max="7173" width="12.54296875" style="52"/>
    <col min="7174" max="7174" width="2.26953125" style="52" customWidth="1"/>
    <col min="7175" max="7175" width="19.7265625" style="52" customWidth="1"/>
    <col min="7176" max="7176" width="12.7265625" style="52" bestFit="1" customWidth="1"/>
    <col min="7177" max="7177" width="2.26953125" style="52" customWidth="1"/>
    <col min="7178" max="7178" width="16.54296875" style="52" bestFit="1" customWidth="1"/>
    <col min="7179" max="7424" width="12.54296875" style="52"/>
    <col min="7425" max="7425" width="2.1796875" style="52" customWidth="1"/>
    <col min="7426" max="7426" width="32.26953125" style="52" bestFit="1" customWidth="1"/>
    <col min="7427" max="7427" width="2.26953125" style="52" customWidth="1"/>
    <col min="7428" max="7428" width="16.81640625" style="52" bestFit="1" customWidth="1"/>
    <col min="7429" max="7429" width="12.54296875" style="52"/>
    <col min="7430" max="7430" width="2.26953125" style="52" customWidth="1"/>
    <col min="7431" max="7431" width="19.7265625" style="52" customWidth="1"/>
    <col min="7432" max="7432" width="12.7265625" style="52" bestFit="1" customWidth="1"/>
    <col min="7433" max="7433" width="2.26953125" style="52" customWidth="1"/>
    <col min="7434" max="7434" width="16.54296875" style="52" bestFit="1" customWidth="1"/>
    <col min="7435" max="7680" width="12.54296875" style="52"/>
    <col min="7681" max="7681" width="2.1796875" style="52" customWidth="1"/>
    <col min="7682" max="7682" width="32.26953125" style="52" bestFit="1" customWidth="1"/>
    <col min="7683" max="7683" width="2.26953125" style="52" customWidth="1"/>
    <col min="7684" max="7684" width="16.81640625" style="52" bestFit="1" customWidth="1"/>
    <col min="7685" max="7685" width="12.54296875" style="52"/>
    <col min="7686" max="7686" width="2.26953125" style="52" customWidth="1"/>
    <col min="7687" max="7687" width="19.7265625" style="52" customWidth="1"/>
    <col min="7688" max="7688" width="12.7265625" style="52" bestFit="1" customWidth="1"/>
    <col min="7689" max="7689" width="2.26953125" style="52" customWidth="1"/>
    <col min="7690" max="7690" width="16.54296875" style="52" bestFit="1" customWidth="1"/>
    <col min="7691" max="7936" width="12.54296875" style="52"/>
    <col min="7937" max="7937" width="2.1796875" style="52" customWidth="1"/>
    <col min="7938" max="7938" width="32.26953125" style="52" bestFit="1" customWidth="1"/>
    <col min="7939" max="7939" width="2.26953125" style="52" customWidth="1"/>
    <col min="7940" max="7940" width="16.81640625" style="52" bestFit="1" customWidth="1"/>
    <col min="7941" max="7941" width="12.54296875" style="52"/>
    <col min="7942" max="7942" width="2.26953125" style="52" customWidth="1"/>
    <col min="7943" max="7943" width="19.7265625" style="52" customWidth="1"/>
    <col min="7944" max="7944" width="12.7265625" style="52" bestFit="1" customWidth="1"/>
    <col min="7945" max="7945" width="2.26953125" style="52" customWidth="1"/>
    <col min="7946" max="7946" width="16.54296875" style="52" bestFit="1" customWidth="1"/>
    <col min="7947" max="8192" width="12.54296875" style="52"/>
    <col min="8193" max="8193" width="2.1796875" style="52" customWidth="1"/>
    <col min="8194" max="8194" width="32.26953125" style="52" bestFit="1" customWidth="1"/>
    <col min="8195" max="8195" width="2.26953125" style="52" customWidth="1"/>
    <col min="8196" max="8196" width="16.81640625" style="52" bestFit="1" customWidth="1"/>
    <col min="8197" max="8197" width="12.54296875" style="52"/>
    <col min="8198" max="8198" width="2.26953125" style="52" customWidth="1"/>
    <col min="8199" max="8199" width="19.7265625" style="52" customWidth="1"/>
    <col min="8200" max="8200" width="12.7265625" style="52" bestFit="1" customWidth="1"/>
    <col min="8201" max="8201" width="2.26953125" style="52" customWidth="1"/>
    <col min="8202" max="8202" width="16.54296875" style="52" bestFit="1" customWidth="1"/>
    <col min="8203" max="8448" width="12.54296875" style="52"/>
    <col min="8449" max="8449" width="2.1796875" style="52" customWidth="1"/>
    <col min="8450" max="8450" width="32.26953125" style="52" bestFit="1" customWidth="1"/>
    <col min="8451" max="8451" width="2.26953125" style="52" customWidth="1"/>
    <col min="8452" max="8452" width="16.81640625" style="52" bestFit="1" customWidth="1"/>
    <col min="8453" max="8453" width="12.54296875" style="52"/>
    <col min="8454" max="8454" width="2.26953125" style="52" customWidth="1"/>
    <col min="8455" max="8455" width="19.7265625" style="52" customWidth="1"/>
    <col min="8456" max="8456" width="12.7265625" style="52" bestFit="1" customWidth="1"/>
    <col min="8457" max="8457" width="2.26953125" style="52" customWidth="1"/>
    <col min="8458" max="8458" width="16.54296875" style="52" bestFit="1" customWidth="1"/>
    <col min="8459" max="8704" width="12.54296875" style="52"/>
    <col min="8705" max="8705" width="2.1796875" style="52" customWidth="1"/>
    <col min="8706" max="8706" width="32.26953125" style="52" bestFit="1" customWidth="1"/>
    <col min="8707" max="8707" width="2.26953125" style="52" customWidth="1"/>
    <col min="8708" max="8708" width="16.81640625" style="52" bestFit="1" customWidth="1"/>
    <col min="8709" max="8709" width="12.54296875" style="52"/>
    <col min="8710" max="8710" width="2.26953125" style="52" customWidth="1"/>
    <col min="8711" max="8711" width="19.7265625" style="52" customWidth="1"/>
    <col min="8712" max="8712" width="12.7265625" style="52" bestFit="1" customWidth="1"/>
    <col min="8713" max="8713" width="2.26953125" style="52" customWidth="1"/>
    <col min="8714" max="8714" width="16.54296875" style="52" bestFit="1" customWidth="1"/>
    <col min="8715" max="8960" width="12.54296875" style="52"/>
    <col min="8961" max="8961" width="2.1796875" style="52" customWidth="1"/>
    <col min="8962" max="8962" width="32.26953125" style="52" bestFit="1" customWidth="1"/>
    <col min="8963" max="8963" width="2.26953125" style="52" customWidth="1"/>
    <col min="8964" max="8964" width="16.81640625" style="52" bestFit="1" customWidth="1"/>
    <col min="8965" max="8965" width="12.54296875" style="52"/>
    <col min="8966" max="8966" width="2.26953125" style="52" customWidth="1"/>
    <col min="8967" max="8967" width="19.7265625" style="52" customWidth="1"/>
    <col min="8968" max="8968" width="12.7265625" style="52" bestFit="1" customWidth="1"/>
    <col min="8969" max="8969" width="2.26953125" style="52" customWidth="1"/>
    <col min="8970" max="8970" width="16.54296875" style="52" bestFit="1" customWidth="1"/>
    <col min="8971" max="9216" width="12.54296875" style="52"/>
    <col min="9217" max="9217" width="2.1796875" style="52" customWidth="1"/>
    <col min="9218" max="9218" width="32.26953125" style="52" bestFit="1" customWidth="1"/>
    <col min="9219" max="9219" width="2.26953125" style="52" customWidth="1"/>
    <col min="9220" max="9220" width="16.81640625" style="52" bestFit="1" customWidth="1"/>
    <col min="9221" max="9221" width="12.54296875" style="52"/>
    <col min="9222" max="9222" width="2.26953125" style="52" customWidth="1"/>
    <col min="9223" max="9223" width="19.7265625" style="52" customWidth="1"/>
    <col min="9224" max="9224" width="12.7265625" style="52" bestFit="1" customWidth="1"/>
    <col min="9225" max="9225" width="2.26953125" style="52" customWidth="1"/>
    <col min="9226" max="9226" width="16.54296875" style="52" bestFit="1" customWidth="1"/>
    <col min="9227" max="9472" width="12.54296875" style="52"/>
    <col min="9473" max="9473" width="2.1796875" style="52" customWidth="1"/>
    <col min="9474" max="9474" width="32.26953125" style="52" bestFit="1" customWidth="1"/>
    <col min="9475" max="9475" width="2.26953125" style="52" customWidth="1"/>
    <col min="9476" max="9476" width="16.81640625" style="52" bestFit="1" customWidth="1"/>
    <col min="9477" max="9477" width="12.54296875" style="52"/>
    <col min="9478" max="9478" width="2.26953125" style="52" customWidth="1"/>
    <col min="9479" max="9479" width="19.7265625" style="52" customWidth="1"/>
    <col min="9480" max="9480" width="12.7265625" style="52" bestFit="1" customWidth="1"/>
    <col min="9481" max="9481" width="2.26953125" style="52" customWidth="1"/>
    <col min="9482" max="9482" width="16.54296875" style="52" bestFit="1" customWidth="1"/>
    <col min="9483" max="9728" width="12.54296875" style="52"/>
    <col min="9729" max="9729" width="2.1796875" style="52" customWidth="1"/>
    <col min="9730" max="9730" width="32.26953125" style="52" bestFit="1" customWidth="1"/>
    <col min="9731" max="9731" width="2.26953125" style="52" customWidth="1"/>
    <col min="9732" max="9732" width="16.81640625" style="52" bestFit="1" customWidth="1"/>
    <col min="9733" max="9733" width="12.54296875" style="52"/>
    <col min="9734" max="9734" width="2.26953125" style="52" customWidth="1"/>
    <col min="9735" max="9735" width="19.7265625" style="52" customWidth="1"/>
    <col min="9736" max="9736" width="12.7265625" style="52" bestFit="1" customWidth="1"/>
    <col min="9737" max="9737" width="2.26953125" style="52" customWidth="1"/>
    <col min="9738" max="9738" width="16.54296875" style="52" bestFit="1" customWidth="1"/>
    <col min="9739" max="9984" width="12.54296875" style="52"/>
    <col min="9985" max="9985" width="2.1796875" style="52" customWidth="1"/>
    <col min="9986" max="9986" width="32.26953125" style="52" bestFit="1" customWidth="1"/>
    <col min="9987" max="9987" width="2.26953125" style="52" customWidth="1"/>
    <col min="9988" max="9988" width="16.81640625" style="52" bestFit="1" customWidth="1"/>
    <col min="9989" max="9989" width="12.54296875" style="52"/>
    <col min="9990" max="9990" width="2.26953125" style="52" customWidth="1"/>
    <col min="9991" max="9991" width="19.7265625" style="52" customWidth="1"/>
    <col min="9992" max="9992" width="12.7265625" style="52" bestFit="1" customWidth="1"/>
    <col min="9993" max="9993" width="2.26953125" style="52" customWidth="1"/>
    <col min="9994" max="9994" width="16.54296875" style="52" bestFit="1" customWidth="1"/>
    <col min="9995" max="10240" width="12.54296875" style="52"/>
    <col min="10241" max="10241" width="2.1796875" style="52" customWidth="1"/>
    <col min="10242" max="10242" width="32.26953125" style="52" bestFit="1" customWidth="1"/>
    <col min="10243" max="10243" width="2.26953125" style="52" customWidth="1"/>
    <col min="10244" max="10244" width="16.81640625" style="52" bestFit="1" customWidth="1"/>
    <col min="10245" max="10245" width="12.54296875" style="52"/>
    <col min="10246" max="10246" width="2.26953125" style="52" customWidth="1"/>
    <col min="10247" max="10247" width="19.7265625" style="52" customWidth="1"/>
    <col min="10248" max="10248" width="12.7265625" style="52" bestFit="1" customWidth="1"/>
    <col min="10249" max="10249" width="2.26953125" style="52" customWidth="1"/>
    <col min="10250" max="10250" width="16.54296875" style="52" bestFit="1" customWidth="1"/>
    <col min="10251" max="10496" width="12.54296875" style="52"/>
    <col min="10497" max="10497" width="2.1796875" style="52" customWidth="1"/>
    <col min="10498" max="10498" width="32.26953125" style="52" bestFit="1" customWidth="1"/>
    <col min="10499" max="10499" width="2.26953125" style="52" customWidth="1"/>
    <col min="10500" max="10500" width="16.81640625" style="52" bestFit="1" customWidth="1"/>
    <col min="10501" max="10501" width="12.54296875" style="52"/>
    <col min="10502" max="10502" width="2.26953125" style="52" customWidth="1"/>
    <col min="10503" max="10503" width="19.7265625" style="52" customWidth="1"/>
    <col min="10504" max="10504" width="12.7265625" style="52" bestFit="1" customWidth="1"/>
    <col min="10505" max="10505" width="2.26953125" style="52" customWidth="1"/>
    <col min="10506" max="10506" width="16.54296875" style="52" bestFit="1" customWidth="1"/>
    <col min="10507" max="10752" width="12.54296875" style="52"/>
    <col min="10753" max="10753" width="2.1796875" style="52" customWidth="1"/>
    <col min="10754" max="10754" width="32.26953125" style="52" bestFit="1" customWidth="1"/>
    <col min="10755" max="10755" width="2.26953125" style="52" customWidth="1"/>
    <col min="10756" max="10756" width="16.81640625" style="52" bestFit="1" customWidth="1"/>
    <col min="10757" max="10757" width="12.54296875" style="52"/>
    <col min="10758" max="10758" width="2.26953125" style="52" customWidth="1"/>
    <col min="10759" max="10759" width="19.7265625" style="52" customWidth="1"/>
    <col min="10760" max="10760" width="12.7265625" style="52" bestFit="1" customWidth="1"/>
    <col min="10761" max="10761" width="2.26953125" style="52" customWidth="1"/>
    <col min="10762" max="10762" width="16.54296875" style="52" bestFit="1" customWidth="1"/>
    <col min="10763" max="11008" width="12.54296875" style="52"/>
    <col min="11009" max="11009" width="2.1796875" style="52" customWidth="1"/>
    <col min="11010" max="11010" width="32.26953125" style="52" bestFit="1" customWidth="1"/>
    <col min="11011" max="11011" width="2.26953125" style="52" customWidth="1"/>
    <col min="11012" max="11012" width="16.81640625" style="52" bestFit="1" customWidth="1"/>
    <col min="11013" max="11013" width="12.54296875" style="52"/>
    <col min="11014" max="11014" width="2.26953125" style="52" customWidth="1"/>
    <col min="11015" max="11015" width="19.7265625" style="52" customWidth="1"/>
    <col min="11016" max="11016" width="12.7265625" style="52" bestFit="1" customWidth="1"/>
    <col min="11017" max="11017" width="2.26953125" style="52" customWidth="1"/>
    <col min="11018" max="11018" width="16.54296875" style="52" bestFit="1" customWidth="1"/>
    <col min="11019" max="11264" width="12.54296875" style="52"/>
    <col min="11265" max="11265" width="2.1796875" style="52" customWidth="1"/>
    <col min="11266" max="11266" width="32.26953125" style="52" bestFit="1" customWidth="1"/>
    <col min="11267" max="11267" width="2.26953125" style="52" customWidth="1"/>
    <col min="11268" max="11268" width="16.81640625" style="52" bestFit="1" customWidth="1"/>
    <col min="11269" max="11269" width="12.54296875" style="52"/>
    <col min="11270" max="11270" width="2.26953125" style="52" customWidth="1"/>
    <col min="11271" max="11271" width="19.7265625" style="52" customWidth="1"/>
    <col min="11272" max="11272" width="12.7265625" style="52" bestFit="1" customWidth="1"/>
    <col min="11273" max="11273" width="2.26953125" style="52" customWidth="1"/>
    <col min="11274" max="11274" width="16.54296875" style="52" bestFit="1" customWidth="1"/>
    <col min="11275" max="11520" width="12.54296875" style="52"/>
    <col min="11521" max="11521" width="2.1796875" style="52" customWidth="1"/>
    <col min="11522" max="11522" width="32.26953125" style="52" bestFit="1" customWidth="1"/>
    <col min="11523" max="11523" width="2.26953125" style="52" customWidth="1"/>
    <col min="11524" max="11524" width="16.81640625" style="52" bestFit="1" customWidth="1"/>
    <col min="11525" max="11525" width="12.54296875" style="52"/>
    <col min="11526" max="11526" width="2.26953125" style="52" customWidth="1"/>
    <col min="11527" max="11527" width="19.7265625" style="52" customWidth="1"/>
    <col min="11528" max="11528" width="12.7265625" style="52" bestFit="1" customWidth="1"/>
    <col min="11529" max="11529" width="2.26953125" style="52" customWidth="1"/>
    <col min="11530" max="11530" width="16.54296875" style="52" bestFit="1" customWidth="1"/>
    <col min="11531" max="11776" width="12.54296875" style="52"/>
    <col min="11777" max="11777" width="2.1796875" style="52" customWidth="1"/>
    <col min="11778" max="11778" width="32.26953125" style="52" bestFit="1" customWidth="1"/>
    <col min="11779" max="11779" width="2.26953125" style="52" customWidth="1"/>
    <col min="11780" max="11780" width="16.81640625" style="52" bestFit="1" customWidth="1"/>
    <col min="11781" max="11781" width="12.54296875" style="52"/>
    <col min="11782" max="11782" width="2.26953125" style="52" customWidth="1"/>
    <col min="11783" max="11783" width="19.7265625" style="52" customWidth="1"/>
    <col min="11784" max="11784" width="12.7265625" style="52" bestFit="1" customWidth="1"/>
    <col min="11785" max="11785" width="2.26953125" style="52" customWidth="1"/>
    <col min="11786" max="11786" width="16.54296875" style="52" bestFit="1" customWidth="1"/>
    <col min="11787" max="12032" width="12.54296875" style="52"/>
    <col min="12033" max="12033" width="2.1796875" style="52" customWidth="1"/>
    <col min="12034" max="12034" width="32.26953125" style="52" bestFit="1" customWidth="1"/>
    <col min="12035" max="12035" width="2.26953125" style="52" customWidth="1"/>
    <col min="12036" max="12036" width="16.81640625" style="52" bestFit="1" customWidth="1"/>
    <col min="12037" max="12037" width="12.54296875" style="52"/>
    <col min="12038" max="12038" width="2.26953125" style="52" customWidth="1"/>
    <col min="12039" max="12039" width="19.7265625" style="52" customWidth="1"/>
    <col min="12040" max="12040" width="12.7265625" style="52" bestFit="1" customWidth="1"/>
    <col min="12041" max="12041" width="2.26953125" style="52" customWidth="1"/>
    <col min="12042" max="12042" width="16.54296875" style="52" bestFit="1" customWidth="1"/>
    <col min="12043" max="12288" width="12.54296875" style="52"/>
    <col min="12289" max="12289" width="2.1796875" style="52" customWidth="1"/>
    <col min="12290" max="12290" width="32.26953125" style="52" bestFit="1" customWidth="1"/>
    <col min="12291" max="12291" width="2.26953125" style="52" customWidth="1"/>
    <col min="12292" max="12292" width="16.81640625" style="52" bestFit="1" customWidth="1"/>
    <col min="12293" max="12293" width="12.54296875" style="52"/>
    <col min="12294" max="12294" width="2.26953125" style="52" customWidth="1"/>
    <col min="12295" max="12295" width="19.7265625" style="52" customWidth="1"/>
    <col min="12296" max="12296" width="12.7265625" style="52" bestFit="1" customWidth="1"/>
    <col min="12297" max="12297" width="2.26953125" style="52" customWidth="1"/>
    <col min="12298" max="12298" width="16.54296875" style="52" bestFit="1" customWidth="1"/>
    <col min="12299" max="12544" width="12.54296875" style="52"/>
    <col min="12545" max="12545" width="2.1796875" style="52" customWidth="1"/>
    <col min="12546" max="12546" width="32.26953125" style="52" bestFit="1" customWidth="1"/>
    <col min="12547" max="12547" width="2.26953125" style="52" customWidth="1"/>
    <col min="12548" max="12548" width="16.81640625" style="52" bestFit="1" customWidth="1"/>
    <col min="12549" max="12549" width="12.54296875" style="52"/>
    <col min="12550" max="12550" width="2.26953125" style="52" customWidth="1"/>
    <col min="12551" max="12551" width="19.7265625" style="52" customWidth="1"/>
    <col min="12552" max="12552" width="12.7265625" style="52" bestFit="1" customWidth="1"/>
    <col min="12553" max="12553" width="2.26953125" style="52" customWidth="1"/>
    <col min="12554" max="12554" width="16.54296875" style="52" bestFit="1" customWidth="1"/>
    <col min="12555" max="12800" width="12.54296875" style="52"/>
    <col min="12801" max="12801" width="2.1796875" style="52" customWidth="1"/>
    <col min="12802" max="12802" width="32.26953125" style="52" bestFit="1" customWidth="1"/>
    <col min="12803" max="12803" width="2.26953125" style="52" customWidth="1"/>
    <col min="12804" max="12804" width="16.81640625" style="52" bestFit="1" customWidth="1"/>
    <col min="12805" max="12805" width="12.54296875" style="52"/>
    <col min="12806" max="12806" width="2.26953125" style="52" customWidth="1"/>
    <col min="12807" max="12807" width="19.7265625" style="52" customWidth="1"/>
    <col min="12808" max="12808" width="12.7265625" style="52" bestFit="1" customWidth="1"/>
    <col min="12809" max="12809" width="2.26953125" style="52" customWidth="1"/>
    <col min="12810" max="12810" width="16.54296875" style="52" bestFit="1" customWidth="1"/>
    <col min="12811" max="13056" width="12.54296875" style="52"/>
    <col min="13057" max="13057" width="2.1796875" style="52" customWidth="1"/>
    <col min="13058" max="13058" width="32.26953125" style="52" bestFit="1" customWidth="1"/>
    <col min="13059" max="13059" width="2.26953125" style="52" customWidth="1"/>
    <col min="13060" max="13060" width="16.81640625" style="52" bestFit="1" customWidth="1"/>
    <col min="13061" max="13061" width="12.54296875" style="52"/>
    <col min="13062" max="13062" width="2.26953125" style="52" customWidth="1"/>
    <col min="13063" max="13063" width="19.7265625" style="52" customWidth="1"/>
    <col min="13064" max="13064" width="12.7265625" style="52" bestFit="1" customWidth="1"/>
    <col min="13065" max="13065" width="2.26953125" style="52" customWidth="1"/>
    <col min="13066" max="13066" width="16.54296875" style="52" bestFit="1" customWidth="1"/>
    <col min="13067" max="13312" width="12.54296875" style="52"/>
    <col min="13313" max="13313" width="2.1796875" style="52" customWidth="1"/>
    <col min="13314" max="13314" width="32.26953125" style="52" bestFit="1" customWidth="1"/>
    <col min="13315" max="13315" width="2.26953125" style="52" customWidth="1"/>
    <col min="13316" max="13316" width="16.81640625" style="52" bestFit="1" customWidth="1"/>
    <col min="13317" max="13317" width="12.54296875" style="52"/>
    <col min="13318" max="13318" width="2.26953125" style="52" customWidth="1"/>
    <col min="13319" max="13319" width="19.7265625" style="52" customWidth="1"/>
    <col min="13320" max="13320" width="12.7265625" style="52" bestFit="1" customWidth="1"/>
    <col min="13321" max="13321" width="2.26953125" style="52" customWidth="1"/>
    <col min="13322" max="13322" width="16.54296875" style="52" bestFit="1" customWidth="1"/>
    <col min="13323" max="13568" width="12.54296875" style="52"/>
    <col min="13569" max="13569" width="2.1796875" style="52" customWidth="1"/>
    <col min="13570" max="13570" width="32.26953125" style="52" bestFit="1" customWidth="1"/>
    <col min="13571" max="13571" width="2.26953125" style="52" customWidth="1"/>
    <col min="13572" max="13572" width="16.81640625" style="52" bestFit="1" customWidth="1"/>
    <col min="13573" max="13573" width="12.54296875" style="52"/>
    <col min="13574" max="13574" width="2.26953125" style="52" customWidth="1"/>
    <col min="13575" max="13575" width="19.7265625" style="52" customWidth="1"/>
    <col min="13576" max="13576" width="12.7265625" style="52" bestFit="1" customWidth="1"/>
    <col min="13577" max="13577" width="2.26953125" style="52" customWidth="1"/>
    <col min="13578" max="13578" width="16.54296875" style="52" bestFit="1" customWidth="1"/>
    <col min="13579" max="13824" width="12.54296875" style="52"/>
    <col min="13825" max="13825" width="2.1796875" style="52" customWidth="1"/>
    <col min="13826" max="13826" width="32.26953125" style="52" bestFit="1" customWidth="1"/>
    <col min="13827" max="13827" width="2.26953125" style="52" customWidth="1"/>
    <col min="13828" max="13828" width="16.81640625" style="52" bestFit="1" customWidth="1"/>
    <col min="13829" max="13829" width="12.54296875" style="52"/>
    <col min="13830" max="13830" width="2.26953125" style="52" customWidth="1"/>
    <col min="13831" max="13831" width="19.7265625" style="52" customWidth="1"/>
    <col min="13832" max="13832" width="12.7265625" style="52" bestFit="1" customWidth="1"/>
    <col min="13833" max="13833" width="2.26953125" style="52" customWidth="1"/>
    <col min="13834" max="13834" width="16.54296875" style="52" bestFit="1" customWidth="1"/>
    <col min="13835" max="14080" width="12.54296875" style="52"/>
    <col min="14081" max="14081" width="2.1796875" style="52" customWidth="1"/>
    <col min="14082" max="14082" width="32.26953125" style="52" bestFit="1" customWidth="1"/>
    <col min="14083" max="14083" width="2.26953125" style="52" customWidth="1"/>
    <col min="14084" max="14084" width="16.81640625" style="52" bestFit="1" customWidth="1"/>
    <col min="14085" max="14085" width="12.54296875" style="52"/>
    <col min="14086" max="14086" width="2.26953125" style="52" customWidth="1"/>
    <col min="14087" max="14087" width="19.7265625" style="52" customWidth="1"/>
    <col min="14088" max="14088" width="12.7265625" style="52" bestFit="1" customWidth="1"/>
    <col min="14089" max="14089" width="2.26953125" style="52" customWidth="1"/>
    <col min="14090" max="14090" width="16.54296875" style="52" bestFit="1" customWidth="1"/>
    <col min="14091" max="14336" width="12.54296875" style="52"/>
    <col min="14337" max="14337" width="2.1796875" style="52" customWidth="1"/>
    <col min="14338" max="14338" width="32.26953125" style="52" bestFit="1" customWidth="1"/>
    <col min="14339" max="14339" width="2.26953125" style="52" customWidth="1"/>
    <col min="14340" max="14340" width="16.81640625" style="52" bestFit="1" customWidth="1"/>
    <col min="14341" max="14341" width="12.54296875" style="52"/>
    <col min="14342" max="14342" width="2.26953125" style="52" customWidth="1"/>
    <col min="14343" max="14343" width="19.7265625" style="52" customWidth="1"/>
    <col min="14344" max="14344" width="12.7265625" style="52" bestFit="1" customWidth="1"/>
    <col min="14345" max="14345" width="2.26953125" style="52" customWidth="1"/>
    <col min="14346" max="14346" width="16.54296875" style="52" bestFit="1" customWidth="1"/>
    <col min="14347" max="14592" width="12.54296875" style="52"/>
    <col min="14593" max="14593" width="2.1796875" style="52" customWidth="1"/>
    <col min="14594" max="14594" width="32.26953125" style="52" bestFit="1" customWidth="1"/>
    <col min="14595" max="14595" width="2.26953125" style="52" customWidth="1"/>
    <col min="14596" max="14596" width="16.81640625" style="52" bestFit="1" customWidth="1"/>
    <col min="14597" max="14597" width="12.54296875" style="52"/>
    <col min="14598" max="14598" width="2.26953125" style="52" customWidth="1"/>
    <col min="14599" max="14599" width="19.7265625" style="52" customWidth="1"/>
    <col min="14600" max="14600" width="12.7265625" style="52" bestFit="1" customWidth="1"/>
    <col min="14601" max="14601" width="2.26953125" style="52" customWidth="1"/>
    <col min="14602" max="14602" width="16.54296875" style="52" bestFit="1" customWidth="1"/>
    <col min="14603" max="14848" width="12.54296875" style="52"/>
    <col min="14849" max="14849" width="2.1796875" style="52" customWidth="1"/>
    <col min="14850" max="14850" width="32.26953125" style="52" bestFit="1" customWidth="1"/>
    <col min="14851" max="14851" width="2.26953125" style="52" customWidth="1"/>
    <col min="14852" max="14852" width="16.81640625" style="52" bestFit="1" customWidth="1"/>
    <col min="14853" max="14853" width="12.54296875" style="52"/>
    <col min="14854" max="14854" width="2.26953125" style="52" customWidth="1"/>
    <col min="14855" max="14855" width="19.7265625" style="52" customWidth="1"/>
    <col min="14856" max="14856" width="12.7265625" style="52" bestFit="1" customWidth="1"/>
    <col min="14857" max="14857" width="2.26953125" style="52" customWidth="1"/>
    <col min="14858" max="14858" width="16.54296875" style="52" bestFit="1" customWidth="1"/>
    <col min="14859" max="15104" width="12.54296875" style="52"/>
    <col min="15105" max="15105" width="2.1796875" style="52" customWidth="1"/>
    <col min="15106" max="15106" width="32.26953125" style="52" bestFit="1" customWidth="1"/>
    <col min="15107" max="15107" width="2.26953125" style="52" customWidth="1"/>
    <col min="15108" max="15108" width="16.81640625" style="52" bestFit="1" customWidth="1"/>
    <col min="15109" max="15109" width="12.54296875" style="52"/>
    <col min="15110" max="15110" width="2.26953125" style="52" customWidth="1"/>
    <col min="15111" max="15111" width="19.7265625" style="52" customWidth="1"/>
    <col min="15112" max="15112" width="12.7265625" style="52" bestFit="1" customWidth="1"/>
    <col min="15113" max="15113" width="2.26953125" style="52" customWidth="1"/>
    <col min="15114" max="15114" width="16.54296875" style="52" bestFit="1" customWidth="1"/>
    <col min="15115" max="15360" width="12.54296875" style="52"/>
    <col min="15361" max="15361" width="2.1796875" style="52" customWidth="1"/>
    <col min="15362" max="15362" width="32.26953125" style="52" bestFit="1" customWidth="1"/>
    <col min="15363" max="15363" width="2.26953125" style="52" customWidth="1"/>
    <col min="15364" max="15364" width="16.81640625" style="52" bestFit="1" customWidth="1"/>
    <col min="15365" max="15365" width="12.54296875" style="52"/>
    <col min="15366" max="15366" width="2.26953125" style="52" customWidth="1"/>
    <col min="15367" max="15367" width="19.7265625" style="52" customWidth="1"/>
    <col min="15368" max="15368" width="12.7265625" style="52" bestFit="1" customWidth="1"/>
    <col min="15369" max="15369" width="2.26953125" style="52" customWidth="1"/>
    <col min="15370" max="15370" width="16.54296875" style="52" bestFit="1" customWidth="1"/>
    <col min="15371" max="15616" width="12.54296875" style="52"/>
    <col min="15617" max="15617" width="2.1796875" style="52" customWidth="1"/>
    <col min="15618" max="15618" width="32.26953125" style="52" bestFit="1" customWidth="1"/>
    <col min="15619" max="15619" width="2.26953125" style="52" customWidth="1"/>
    <col min="15620" max="15620" width="16.81640625" style="52" bestFit="1" customWidth="1"/>
    <col min="15621" max="15621" width="12.54296875" style="52"/>
    <col min="15622" max="15622" width="2.26953125" style="52" customWidth="1"/>
    <col min="15623" max="15623" width="19.7265625" style="52" customWidth="1"/>
    <col min="15624" max="15624" width="12.7265625" style="52" bestFit="1" customWidth="1"/>
    <col min="15625" max="15625" width="2.26953125" style="52" customWidth="1"/>
    <col min="15626" max="15626" width="16.54296875" style="52" bestFit="1" customWidth="1"/>
    <col min="15627" max="15872" width="12.54296875" style="52"/>
    <col min="15873" max="15873" width="2.1796875" style="52" customWidth="1"/>
    <col min="15874" max="15874" width="32.26953125" style="52" bestFit="1" customWidth="1"/>
    <col min="15875" max="15875" width="2.26953125" style="52" customWidth="1"/>
    <col min="15876" max="15876" width="16.81640625" style="52" bestFit="1" customWidth="1"/>
    <col min="15877" max="15877" width="12.54296875" style="52"/>
    <col min="15878" max="15878" width="2.26953125" style="52" customWidth="1"/>
    <col min="15879" max="15879" width="19.7265625" style="52" customWidth="1"/>
    <col min="15880" max="15880" width="12.7265625" style="52" bestFit="1" customWidth="1"/>
    <col min="15881" max="15881" width="2.26953125" style="52" customWidth="1"/>
    <col min="15882" max="15882" width="16.54296875" style="52" bestFit="1" customWidth="1"/>
    <col min="15883" max="16128" width="12.54296875" style="52"/>
    <col min="16129" max="16129" width="2.1796875" style="52" customWidth="1"/>
    <col min="16130" max="16130" width="32.26953125" style="52" bestFit="1" customWidth="1"/>
    <col min="16131" max="16131" width="2.26953125" style="52" customWidth="1"/>
    <col min="16132" max="16132" width="16.81640625" style="52" bestFit="1" customWidth="1"/>
    <col min="16133" max="16133" width="12.54296875" style="52"/>
    <col min="16134" max="16134" width="2.26953125" style="52" customWidth="1"/>
    <col min="16135" max="16135" width="19.7265625" style="52" customWidth="1"/>
    <col min="16136" max="16136" width="12.7265625" style="52" bestFit="1" customWidth="1"/>
    <col min="16137" max="16137" width="2.26953125" style="52" customWidth="1"/>
    <col min="16138" max="16138" width="16.54296875" style="52" bestFit="1" customWidth="1"/>
    <col min="16139" max="16384" width="12.54296875" style="52"/>
  </cols>
  <sheetData>
    <row r="1" spans="2:54" s="48" customFormat="1" x14ac:dyDescent="0.35">
      <c r="B1" s="47" t="s">
        <v>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2:54" s="48" customFormat="1" x14ac:dyDescent="0.35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2:54" s="48" customForma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2:54" s="48" customFormat="1" ht="15.5" x14ac:dyDescent="0.35">
      <c r="B4" s="49" t="s">
        <v>131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2:54" ht="15.5" x14ac:dyDescent="0.35"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2:54" ht="15.5" x14ac:dyDescent="0.3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2:54" x14ac:dyDescent="0.3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2:54" x14ac:dyDescent="0.35">
      <c r="B8" s="53"/>
      <c r="C8" s="51"/>
      <c r="D8" s="54" t="s">
        <v>34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2:54" x14ac:dyDescent="0.35">
      <c r="B9" s="51"/>
      <c r="C9" s="51"/>
      <c r="D9" s="54" t="s">
        <v>35</v>
      </c>
      <c r="E9" s="51"/>
      <c r="F9" s="51"/>
      <c r="G9" s="55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2:54" x14ac:dyDescent="0.35">
      <c r="B10" s="56" t="s">
        <v>36</v>
      </c>
      <c r="C10" s="51"/>
      <c r="D10" s="57" t="s">
        <v>37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2:54" x14ac:dyDescent="0.35">
      <c r="B11" s="51" t="s">
        <v>38</v>
      </c>
      <c r="C11" s="51"/>
      <c r="D11" s="58">
        <f>'Billing Units'!E19</f>
        <v>12540</v>
      </c>
      <c r="E11" s="59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2:54" x14ac:dyDescent="0.35">
      <c r="B12" s="51" t="s">
        <v>39</v>
      </c>
      <c r="C12" s="51"/>
      <c r="D12" s="58">
        <f>'Billing Units'!G19</f>
        <v>4389746687.5373592</v>
      </c>
      <c r="E12" s="59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2:54" x14ac:dyDescent="0.35">
      <c r="B13" s="51" t="s">
        <v>77</v>
      </c>
      <c r="C13" s="51"/>
      <c r="D13" s="58">
        <f>'Billing Units'!H19</f>
        <v>10461623.332794098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2:54" x14ac:dyDescent="0.35">
      <c r="B14" s="51" t="s">
        <v>123</v>
      </c>
      <c r="D14" s="185">
        <f>'Billing Units'!J18</f>
        <v>6724400.4367353208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2:54" x14ac:dyDescent="0.35">
      <c r="B15" s="51" t="s">
        <v>124</v>
      </c>
      <c r="C15" s="51"/>
      <c r="D15" s="185">
        <f>'Billing Units'!J17</f>
        <v>806479.37155442196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2:54" x14ac:dyDescent="0.35">
      <c r="B16" s="51"/>
      <c r="C16" s="51"/>
      <c r="D16" s="6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2:54" x14ac:dyDescent="0.35">
      <c r="B17" s="51"/>
      <c r="C17" s="51"/>
      <c r="D17" s="61" t="s">
        <v>41</v>
      </c>
      <c r="E17" s="62"/>
      <c r="F17" s="62"/>
      <c r="G17" s="62"/>
      <c r="H17" s="62"/>
      <c r="I17" s="62"/>
      <c r="J17" s="62"/>
      <c r="K17" s="63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2:54" x14ac:dyDescent="0.35">
      <c r="B18" s="51"/>
      <c r="C18" s="51"/>
      <c r="D18" s="240" t="s">
        <v>42</v>
      </c>
      <c r="E18" s="241"/>
      <c r="G18" s="64" t="s">
        <v>43</v>
      </c>
      <c r="H18" s="65"/>
      <c r="J18" s="64" t="s">
        <v>43</v>
      </c>
      <c r="K18" s="65"/>
      <c r="L18" s="51"/>
      <c r="M18" s="51"/>
      <c r="N18" s="51"/>
      <c r="O18" s="66"/>
      <c r="P18" s="66"/>
      <c r="Q18" s="66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2:54" x14ac:dyDescent="0.35">
      <c r="B19" s="51"/>
      <c r="C19" s="51"/>
      <c r="D19" s="67" t="s">
        <v>44</v>
      </c>
      <c r="E19" s="68"/>
      <c r="F19" s="51"/>
      <c r="G19" s="67" t="s">
        <v>45</v>
      </c>
      <c r="H19" s="68"/>
      <c r="J19" s="67" t="s">
        <v>46</v>
      </c>
      <c r="K19" s="68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2:54" x14ac:dyDescent="0.35">
      <c r="B20" s="56" t="s">
        <v>47</v>
      </c>
      <c r="C20" s="51"/>
      <c r="D20" s="69" t="s">
        <v>48</v>
      </c>
      <c r="E20" s="70" t="s">
        <v>49</v>
      </c>
      <c r="F20" s="51"/>
      <c r="G20" s="69" t="s">
        <v>48</v>
      </c>
      <c r="H20" s="70" t="s">
        <v>50</v>
      </c>
      <c r="I20" s="51"/>
      <c r="J20" s="69" t="s">
        <v>48</v>
      </c>
      <c r="K20" s="70" t="s">
        <v>51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2:54" x14ac:dyDescent="0.35">
      <c r="B21" s="51" t="s">
        <v>52</v>
      </c>
      <c r="C21" s="51"/>
      <c r="D21" s="71">
        <v>0</v>
      </c>
      <c r="E21" s="72">
        <v>0</v>
      </c>
      <c r="F21" s="51"/>
      <c r="G21" s="71">
        <v>0</v>
      </c>
      <c r="H21" s="72">
        <v>0</v>
      </c>
      <c r="I21" s="51"/>
      <c r="J21" s="71">
        <v>0</v>
      </c>
      <c r="K21" s="72">
        <f>IF(J21=0,J21,ROUND(J21/G$14,4))</f>
        <v>0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2:54" x14ac:dyDescent="0.35">
      <c r="B22" s="182" t="s">
        <v>129</v>
      </c>
      <c r="C22" s="51"/>
      <c r="D22" s="73"/>
      <c r="E22" s="83"/>
      <c r="F22" s="51"/>
      <c r="G22" s="183"/>
      <c r="H22" s="72"/>
      <c r="I22" s="51"/>
      <c r="J22" s="71">
        <f>'[3]AEPTX ERCOT Matrix 2018'!$E$13</f>
        <v>31711960.220803816</v>
      </c>
      <c r="K22" s="125">
        <f>J22/D14</f>
        <v>4.715953566292951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2:54" x14ac:dyDescent="0.35">
      <c r="B23" s="182" t="s">
        <v>130</v>
      </c>
      <c r="C23" s="51"/>
      <c r="D23" s="73"/>
      <c r="E23" s="83"/>
      <c r="F23" s="51"/>
      <c r="G23" s="184"/>
      <c r="H23" s="72"/>
      <c r="I23" s="51"/>
      <c r="J23" s="71">
        <f>'[3]AEPTX ERCOT Matrix 2018'!$E$14</f>
        <v>2523794.913358639</v>
      </c>
      <c r="K23" s="125">
        <f>J23/D15</f>
        <v>3.1293979764097797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2:54" x14ac:dyDescent="0.35">
      <c r="B24" s="51" t="s">
        <v>53</v>
      </c>
      <c r="C24" s="51"/>
      <c r="D24" s="73"/>
      <c r="E24" s="74"/>
      <c r="F24" s="51"/>
      <c r="G24" s="184"/>
      <c r="H24" s="76">
        <f>IF(G24=0,G24,ROUND(G24/D$13,6))</f>
        <v>0</v>
      </c>
      <c r="I24" s="51"/>
      <c r="J24" s="75">
        <f>'[7]Retail Summary Proposed'!$L$57+'[7]Retail Summary Proposed'!$L$72</f>
        <v>38671232.418644793</v>
      </c>
      <c r="K24" s="179">
        <f>IF(J24=0,J24,ROUND(J24/D$13,3))</f>
        <v>3.6960000000000002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2:54" x14ac:dyDescent="0.35">
      <c r="B25" s="51" t="s">
        <v>54</v>
      </c>
      <c r="C25" s="51"/>
      <c r="D25" s="77"/>
      <c r="E25" s="78"/>
      <c r="F25" s="51"/>
      <c r="G25" s="79"/>
      <c r="H25" s="78"/>
      <c r="I25" s="51"/>
      <c r="J25" s="73"/>
      <c r="K25" s="80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2:54" x14ac:dyDescent="0.35">
      <c r="B26" s="51" t="s">
        <v>55</v>
      </c>
      <c r="C26" s="51"/>
      <c r="D26" s="81">
        <f>'[7]Retail Summary Proposed'!$L$62</f>
        <v>2041695.2715644371</v>
      </c>
      <c r="E26" s="74">
        <f>IF(D26=0,D26,ROUND(D26/D$11,2))</f>
        <v>162.81</v>
      </c>
      <c r="F26" s="51"/>
      <c r="G26" s="82">
        <v>0</v>
      </c>
      <c r="H26" s="83">
        <v>0</v>
      </c>
      <c r="I26" s="51"/>
      <c r="J26" s="82">
        <v>0</v>
      </c>
      <c r="K26" s="83">
        <v>0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2:54" x14ac:dyDescent="0.35">
      <c r="B27" s="51" t="s">
        <v>56</v>
      </c>
      <c r="C27" s="51"/>
      <c r="D27" s="79"/>
      <c r="E27" s="84"/>
      <c r="F27" s="51"/>
      <c r="G27" s="73"/>
      <c r="H27" s="80"/>
      <c r="I27" s="85"/>
      <c r="J27" s="73"/>
      <c r="K27" s="86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2:54" x14ac:dyDescent="0.35">
      <c r="B28" s="51" t="s">
        <v>57</v>
      </c>
      <c r="C28" s="51"/>
      <c r="D28" s="81"/>
      <c r="E28" s="87">
        <f>IF(D28=0,D28,ROUND(D28/D$11,2))</f>
        <v>0</v>
      </c>
      <c r="F28" s="51"/>
      <c r="G28" s="82">
        <v>0</v>
      </c>
      <c r="H28" s="83">
        <v>0</v>
      </c>
      <c r="I28" s="51"/>
      <c r="J28" s="82"/>
      <c r="K28" s="83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2:54" x14ac:dyDescent="0.35">
      <c r="B29" s="51" t="s">
        <v>58</v>
      </c>
      <c r="C29" s="51"/>
      <c r="D29" s="88">
        <v>0</v>
      </c>
      <c r="E29" s="72">
        <v>0</v>
      </c>
      <c r="F29" s="51"/>
      <c r="G29" s="71">
        <v>0</v>
      </c>
      <c r="H29" s="72">
        <v>0</v>
      </c>
      <c r="I29" s="51"/>
      <c r="J29" s="71">
        <v>0</v>
      </c>
      <c r="K29" s="72">
        <v>0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2:54" x14ac:dyDescent="0.35">
      <c r="B30" s="51" t="s">
        <v>59</v>
      </c>
      <c r="C30" s="51"/>
      <c r="D30" s="79"/>
      <c r="E30" s="78"/>
      <c r="F30" s="51"/>
      <c r="G30" s="73"/>
      <c r="H30" s="80"/>
      <c r="I30" s="85"/>
      <c r="J30" s="73"/>
      <c r="K30" s="86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2:54" x14ac:dyDescent="0.35">
      <c r="B31" s="51" t="s">
        <v>60</v>
      </c>
      <c r="C31" s="51"/>
      <c r="D31" s="81">
        <f>'[7]Retail Summary Proposed'!$L$67</f>
        <v>20249.740118764199</v>
      </c>
      <c r="E31" s="89">
        <f>IF(D31=0,D31,ROUND(D31/D$11,2))</f>
        <v>1.61</v>
      </c>
      <c r="F31" s="51"/>
      <c r="G31" s="82">
        <v>0</v>
      </c>
      <c r="H31" s="83">
        <v>0</v>
      </c>
      <c r="I31" s="51"/>
      <c r="J31" s="82"/>
      <c r="K31" s="83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2:54" x14ac:dyDescent="0.35">
      <c r="B32" s="90" t="s">
        <v>61</v>
      </c>
      <c r="C32" s="51"/>
      <c r="D32" s="81">
        <f>IF(SUM(D21:D31)&lt;1,D21,SUM(D21:D31))</f>
        <v>2061945.0116832012</v>
      </c>
      <c r="E32" s="91">
        <f>SUM(E21:E31)</f>
        <v>164.42000000000002</v>
      </c>
      <c r="F32" s="92"/>
      <c r="G32" s="81">
        <f>IF(SUM(G21:G31)&lt;1,G21,SUM(G21:G31))</f>
        <v>0</v>
      </c>
      <c r="H32" s="93">
        <f>SUM(H21:H31)</f>
        <v>0</v>
      </c>
      <c r="I32" s="94"/>
      <c r="J32" s="71">
        <f>IF(SUM(J21:J31)&lt;1,J21,SUM(J21:J31))</f>
        <v>72906987.552807242</v>
      </c>
      <c r="K32" s="180">
        <f>IF(SUM(K21:K31)&lt;1,K21,SUM(K21:K31))</f>
        <v>11.541351542702731</v>
      </c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2:54" ht="15" thickBot="1" x14ac:dyDescent="0.4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2:54" ht="16" thickTop="1" x14ac:dyDescent="0.35">
      <c r="B34" s="51"/>
      <c r="C34" s="51"/>
      <c r="D34" s="77" t="s">
        <v>47</v>
      </c>
      <c r="E34" s="51"/>
      <c r="F34" s="51"/>
      <c r="G34" s="95" t="s">
        <v>62</v>
      </c>
      <c r="H34" s="96"/>
      <c r="I34" s="96"/>
      <c r="J34" s="97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2:54" x14ac:dyDescent="0.35">
      <c r="B35" s="51"/>
      <c r="C35" s="51"/>
      <c r="D35" s="98" t="s">
        <v>63</v>
      </c>
      <c r="E35" s="51"/>
      <c r="F35" s="51"/>
      <c r="G35" s="99"/>
      <c r="H35" s="100" t="s">
        <v>64</v>
      </c>
      <c r="I35" s="85"/>
      <c r="J35" s="101" t="s">
        <v>65</v>
      </c>
      <c r="K35" s="54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2:54" x14ac:dyDescent="0.35">
      <c r="B36" s="56" t="s">
        <v>47</v>
      </c>
      <c r="C36" s="51"/>
      <c r="D36" s="69" t="s">
        <v>48</v>
      </c>
      <c r="E36" s="51"/>
      <c r="F36" s="51"/>
      <c r="G36" s="102" t="s">
        <v>8</v>
      </c>
      <c r="H36" s="103" t="s">
        <v>66</v>
      </c>
      <c r="I36" s="85"/>
      <c r="J36" s="104" t="s">
        <v>67</v>
      </c>
      <c r="K36" s="57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2:54" x14ac:dyDescent="0.35">
      <c r="B37" s="51" t="s">
        <v>52</v>
      </c>
      <c r="C37" s="51"/>
      <c r="D37" s="105">
        <f>J22+J23</f>
        <v>34235755.134162456</v>
      </c>
      <c r="E37" s="51"/>
      <c r="F37" s="51"/>
      <c r="G37" s="106"/>
      <c r="H37" s="85"/>
      <c r="I37" s="85"/>
      <c r="J37" s="107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2:54" x14ac:dyDescent="0.35">
      <c r="B38" s="51" t="s">
        <v>53</v>
      </c>
      <c r="C38" s="51"/>
      <c r="D38" s="108">
        <f>D24+J24</f>
        <v>38671232.418644793</v>
      </c>
      <c r="E38" s="51"/>
      <c r="F38" s="51"/>
      <c r="G38" s="109" t="s">
        <v>68</v>
      </c>
      <c r="H38" s="110">
        <f>E32</f>
        <v>164.42000000000002</v>
      </c>
      <c r="I38" s="85"/>
      <c r="J38" s="111">
        <f>ROUND(+H38*D11,0)</f>
        <v>2061827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2:54" x14ac:dyDescent="0.35">
      <c r="B39" s="51" t="s">
        <v>54</v>
      </c>
      <c r="C39" s="51"/>
      <c r="D39" s="112"/>
      <c r="E39" s="51"/>
      <c r="F39" s="51"/>
      <c r="G39" s="109"/>
      <c r="H39" s="110"/>
      <c r="I39" s="85"/>
      <c r="J39" s="11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2:54" x14ac:dyDescent="0.35">
      <c r="B40" s="51" t="s">
        <v>55</v>
      </c>
      <c r="C40" s="51"/>
      <c r="D40" s="81">
        <f>D26+G26+J26</f>
        <v>2041695.2715644371</v>
      </c>
      <c r="E40" s="51"/>
      <c r="F40" s="51"/>
      <c r="G40" s="106" t="s">
        <v>128</v>
      </c>
      <c r="H40" s="110">
        <f>K22</f>
        <v>4.715953566292951</v>
      </c>
      <c r="I40" s="85" t="s">
        <v>69</v>
      </c>
      <c r="J40" s="111">
        <f>ROUND(H40*D14,0)</f>
        <v>31711960</v>
      </c>
      <c r="K40" s="116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2:54" x14ac:dyDescent="0.35">
      <c r="B41" s="51" t="s">
        <v>56</v>
      </c>
      <c r="C41" s="51"/>
      <c r="D41" s="112"/>
      <c r="E41" s="51"/>
      <c r="F41" s="51"/>
      <c r="G41" s="106" t="s">
        <v>127</v>
      </c>
      <c r="H41" s="110">
        <f>K23</f>
        <v>3.1293979764097797</v>
      </c>
      <c r="I41" s="85" t="s">
        <v>69</v>
      </c>
      <c r="J41" s="111">
        <f>ROUND(H41*D15,0)</f>
        <v>2523795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2:54" x14ac:dyDescent="0.35">
      <c r="B42" s="51" t="s">
        <v>57</v>
      </c>
      <c r="C42" s="51"/>
      <c r="D42" s="81">
        <f>D28+G28+J28</f>
        <v>0</v>
      </c>
      <c r="E42" s="51"/>
      <c r="F42" s="51"/>
      <c r="G42" s="106" t="s">
        <v>75</v>
      </c>
      <c r="H42" s="181">
        <f>K24</f>
        <v>3.6960000000000002</v>
      </c>
      <c r="I42" s="85" t="s">
        <v>69</v>
      </c>
      <c r="J42" s="114">
        <f>ROUND(+H42*D13,0)</f>
        <v>38666160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2:54" ht="15" thickBot="1" x14ac:dyDescent="0.4">
      <c r="B43" s="51" t="s">
        <v>58</v>
      </c>
      <c r="C43" s="51"/>
      <c r="D43" s="88">
        <v>0</v>
      </c>
      <c r="E43" s="51"/>
      <c r="F43" s="51"/>
      <c r="G43" s="106" t="s">
        <v>70</v>
      </c>
      <c r="H43" s="85"/>
      <c r="I43" s="85"/>
      <c r="J43" s="115">
        <f>SUM(J38:J42)</f>
        <v>74963742</v>
      </c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2:54" ht="15" thickTop="1" x14ac:dyDescent="0.35">
      <c r="B44" s="51" t="s">
        <v>59</v>
      </c>
      <c r="C44" s="51"/>
      <c r="D44" s="112"/>
      <c r="E44" s="51"/>
      <c r="F44" s="51"/>
      <c r="G44" s="106"/>
      <c r="H44" s="85"/>
      <c r="I44" s="85"/>
      <c r="J44" s="117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2:54" x14ac:dyDescent="0.35">
      <c r="B45" s="51" t="s">
        <v>60</v>
      </c>
      <c r="C45" s="51"/>
      <c r="D45" s="81">
        <f>D31+G31+J31</f>
        <v>20249.740118764199</v>
      </c>
      <c r="E45" s="51"/>
      <c r="F45" s="51"/>
      <c r="G45" s="118" t="s">
        <v>76</v>
      </c>
      <c r="H45" s="85"/>
      <c r="I45" s="85"/>
      <c r="J45" s="107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2:54" ht="15" thickBot="1" x14ac:dyDescent="0.4">
      <c r="B46" s="90" t="s">
        <v>61</v>
      </c>
      <c r="C46" s="51"/>
      <c r="D46" s="81">
        <f>SUM(D37:D45)</f>
        <v>74968932.564490438</v>
      </c>
      <c r="E46" s="51"/>
      <c r="F46" s="51"/>
      <c r="G46" s="119"/>
      <c r="H46" s="120"/>
      <c r="I46" s="120"/>
      <c r="J46" s="12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2:54" ht="15" thickTop="1" x14ac:dyDescent="0.35">
      <c r="B47" s="51"/>
      <c r="C47" s="51"/>
      <c r="D47" s="178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2:54" x14ac:dyDescent="0.35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2:54" x14ac:dyDescent="0.3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2:54" x14ac:dyDescent="0.3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2:54" x14ac:dyDescent="0.3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2:54" x14ac:dyDescent="0.3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2:54" x14ac:dyDescent="0.3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2:54" x14ac:dyDescent="0.3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2:54" x14ac:dyDescent="0.3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2:54" x14ac:dyDescent="0.3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2:54" x14ac:dyDescent="0.3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2:54" x14ac:dyDescent="0.3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2:54" x14ac:dyDescent="0.3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2:54" x14ac:dyDescent="0.3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2:54" x14ac:dyDescent="0.3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2:54" x14ac:dyDescent="0.3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2:54" x14ac:dyDescent="0.3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3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2:54" x14ac:dyDescent="0.3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2:54" x14ac:dyDescent="0.3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2:54" x14ac:dyDescent="0.3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2:54" x14ac:dyDescent="0.3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2:54" x14ac:dyDescent="0.3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2:54" x14ac:dyDescent="0.3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2:54" x14ac:dyDescent="0.3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2:54" x14ac:dyDescent="0.3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</row>
    <row r="73" spans="2:54" x14ac:dyDescent="0.3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</row>
    <row r="74" spans="2:54" x14ac:dyDescent="0.3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</row>
    <row r="75" spans="2:54" x14ac:dyDescent="0.3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2:54" x14ac:dyDescent="0.3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</row>
    <row r="77" spans="2:54" x14ac:dyDescent="0.3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</row>
    <row r="78" spans="2:54" x14ac:dyDescent="0.3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</row>
    <row r="79" spans="2:54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</row>
    <row r="80" spans="2:54" x14ac:dyDescent="0.3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</row>
    <row r="81" spans="2:54" x14ac:dyDescent="0.3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</row>
    <row r="82" spans="2:54" x14ac:dyDescent="0.3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</row>
    <row r="83" spans="2:54" x14ac:dyDescent="0.3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</row>
    <row r="84" spans="2:54" x14ac:dyDescent="0.3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</row>
    <row r="85" spans="2:54" x14ac:dyDescent="0.3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</row>
    <row r="86" spans="2:54" x14ac:dyDescent="0.3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</row>
    <row r="87" spans="2:54" x14ac:dyDescent="0.3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</row>
    <row r="88" spans="2:54" x14ac:dyDescent="0.3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</row>
    <row r="89" spans="2:54" x14ac:dyDescent="0.3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</row>
    <row r="90" spans="2:54" x14ac:dyDescent="0.3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</row>
    <row r="91" spans="2:54" x14ac:dyDescent="0.3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</row>
    <row r="92" spans="2:54" x14ac:dyDescent="0.35"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</row>
    <row r="93" spans="2:54" x14ac:dyDescent="0.35"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</row>
    <row r="94" spans="2:54" x14ac:dyDescent="0.35"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</row>
    <row r="95" spans="2:54" x14ac:dyDescent="0.35">
      <c r="G95" s="51"/>
      <c r="H95" s="51"/>
      <c r="I95" s="51"/>
      <c r="J95" s="51"/>
    </row>
    <row r="96" spans="2:54" x14ac:dyDescent="0.35">
      <c r="G96" s="51"/>
      <c r="H96" s="51"/>
      <c r="I96" s="51"/>
      <c r="J96" s="51"/>
    </row>
    <row r="97" spans="7:10" x14ac:dyDescent="0.35">
      <c r="G97" s="51"/>
      <c r="H97" s="51"/>
      <c r="I97" s="51"/>
      <c r="J97" s="51"/>
    </row>
  </sheetData>
  <mergeCells count="1">
    <mergeCell ref="D18:E18"/>
  </mergeCells>
  <printOptions horizontalCentered="1"/>
  <pageMargins left="0.7" right="0.7" top="0.75" bottom="0.75" header="0.3" footer="0.3"/>
  <pageSetup scale="62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92"/>
  <sheetViews>
    <sheetView topLeftCell="A16" workbookViewId="0">
      <selection activeCell="J47" sqref="J47"/>
    </sheetView>
  </sheetViews>
  <sheetFormatPr defaultColWidth="12.54296875" defaultRowHeight="14.5" x14ac:dyDescent="0.35"/>
  <cols>
    <col min="1" max="1" width="2.1796875" style="52" customWidth="1"/>
    <col min="2" max="2" width="32.26953125" style="52" bestFit="1" customWidth="1"/>
    <col min="3" max="3" width="2.26953125" style="52" customWidth="1"/>
    <col min="4" max="4" width="16.81640625" style="52" bestFit="1" customWidth="1"/>
    <col min="5" max="5" width="12.54296875" style="52"/>
    <col min="6" max="6" width="2.26953125" style="52" customWidth="1"/>
    <col min="7" max="7" width="27.453125" style="52" bestFit="1" customWidth="1"/>
    <col min="8" max="8" width="12.7265625" style="52" bestFit="1" customWidth="1"/>
    <col min="9" max="9" width="2.26953125" style="52" customWidth="1"/>
    <col min="10" max="10" width="16.54296875" style="52" bestFit="1" customWidth="1"/>
    <col min="11" max="256" width="12.54296875" style="52"/>
    <col min="257" max="257" width="2.1796875" style="52" customWidth="1"/>
    <col min="258" max="258" width="32.26953125" style="52" bestFit="1" customWidth="1"/>
    <col min="259" max="259" width="2.26953125" style="52" customWidth="1"/>
    <col min="260" max="260" width="16.81640625" style="52" bestFit="1" customWidth="1"/>
    <col min="261" max="261" width="12.54296875" style="52"/>
    <col min="262" max="262" width="2.26953125" style="52" customWidth="1"/>
    <col min="263" max="263" width="19.7265625" style="52" customWidth="1"/>
    <col min="264" max="264" width="12.7265625" style="52" bestFit="1" customWidth="1"/>
    <col min="265" max="265" width="2.26953125" style="52" customWidth="1"/>
    <col min="266" max="266" width="16.54296875" style="52" bestFit="1" customWidth="1"/>
    <col min="267" max="512" width="12.54296875" style="52"/>
    <col min="513" max="513" width="2.1796875" style="52" customWidth="1"/>
    <col min="514" max="514" width="32.26953125" style="52" bestFit="1" customWidth="1"/>
    <col min="515" max="515" width="2.26953125" style="52" customWidth="1"/>
    <col min="516" max="516" width="16.81640625" style="52" bestFit="1" customWidth="1"/>
    <col min="517" max="517" width="12.54296875" style="52"/>
    <col min="518" max="518" width="2.26953125" style="52" customWidth="1"/>
    <col min="519" max="519" width="19.7265625" style="52" customWidth="1"/>
    <col min="520" max="520" width="12.7265625" style="52" bestFit="1" customWidth="1"/>
    <col min="521" max="521" width="2.26953125" style="52" customWidth="1"/>
    <col min="522" max="522" width="16.54296875" style="52" bestFit="1" customWidth="1"/>
    <col min="523" max="768" width="12.54296875" style="52"/>
    <col min="769" max="769" width="2.1796875" style="52" customWidth="1"/>
    <col min="770" max="770" width="32.26953125" style="52" bestFit="1" customWidth="1"/>
    <col min="771" max="771" width="2.26953125" style="52" customWidth="1"/>
    <col min="772" max="772" width="16.81640625" style="52" bestFit="1" customWidth="1"/>
    <col min="773" max="773" width="12.54296875" style="52"/>
    <col min="774" max="774" width="2.26953125" style="52" customWidth="1"/>
    <col min="775" max="775" width="19.7265625" style="52" customWidth="1"/>
    <col min="776" max="776" width="12.7265625" style="52" bestFit="1" customWidth="1"/>
    <col min="777" max="777" width="2.26953125" style="52" customWidth="1"/>
    <col min="778" max="778" width="16.54296875" style="52" bestFit="1" customWidth="1"/>
    <col min="779" max="1024" width="12.54296875" style="52"/>
    <col min="1025" max="1025" width="2.1796875" style="52" customWidth="1"/>
    <col min="1026" max="1026" width="32.26953125" style="52" bestFit="1" customWidth="1"/>
    <col min="1027" max="1027" width="2.26953125" style="52" customWidth="1"/>
    <col min="1028" max="1028" width="16.81640625" style="52" bestFit="1" customWidth="1"/>
    <col min="1029" max="1029" width="12.54296875" style="52"/>
    <col min="1030" max="1030" width="2.26953125" style="52" customWidth="1"/>
    <col min="1031" max="1031" width="19.7265625" style="52" customWidth="1"/>
    <col min="1032" max="1032" width="12.7265625" style="52" bestFit="1" customWidth="1"/>
    <col min="1033" max="1033" width="2.26953125" style="52" customWidth="1"/>
    <col min="1034" max="1034" width="16.54296875" style="52" bestFit="1" customWidth="1"/>
    <col min="1035" max="1280" width="12.54296875" style="52"/>
    <col min="1281" max="1281" width="2.1796875" style="52" customWidth="1"/>
    <col min="1282" max="1282" width="32.26953125" style="52" bestFit="1" customWidth="1"/>
    <col min="1283" max="1283" width="2.26953125" style="52" customWidth="1"/>
    <col min="1284" max="1284" width="16.81640625" style="52" bestFit="1" customWidth="1"/>
    <col min="1285" max="1285" width="12.54296875" style="52"/>
    <col min="1286" max="1286" width="2.26953125" style="52" customWidth="1"/>
    <col min="1287" max="1287" width="19.7265625" style="52" customWidth="1"/>
    <col min="1288" max="1288" width="12.7265625" style="52" bestFit="1" customWidth="1"/>
    <col min="1289" max="1289" width="2.26953125" style="52" customWidth="1"/>
    <col min="1290" max="1290" width="16.54296875" style="52" bestFit="1" customWidth="1"/>
    <col min="1291" max="1536" width="12.54296875" style="52"/>
    <col min="1537" max="1537" width="2.1796875" style="52" customWidth="1"/>
    <col min="1538" max="1538" width="32.26953125" style="52" bestFit="1" customWidth="1"/>
    <col min="1539" max="1539" width="2.26953125" style="52" customWidth="1"/>
    <col min="1540" max="1540" width="16.81640625" style="52" bestFit="1" customWidth="1"/>
    <col min="1541" max="1541" width="12.54296875" style="52"/>
    <col min="1542" max="1542" width="2.26953125" style="52" customWidth="1"/>
    <col min="1543" max="1543" width="19.7265625" style="52" customWidth="1"/>
    <col min="1544" max="1544" width="12.7265625" style="52" bestFit="1" customWidth="1"/>
    <col min="1545" max="1545" width="2.26953125" style="52" customWidth="1"/>
    <col min="1546" max="1546" width="16.54296875" style="52" bestFit="1" customWidth="1"/>
    <col min="1547" max="1792" width="12.54296875" style="52"/>
    <col min="1793" max="1793" width="2.1796875" style="52" customWidth="1"/>
    <col min="1794" max="1794" width="32.26953125" style="52" bestFit="1" customWidth="1"/>
    <col min="1795" max="1795" width="2.26953125" style="52" customWidth="1"/>
    <col min="1796" max="1796" width="16.81640625" style="52" bestFit="1" customWidth="1"/>
    <col min="1797" max="1797" width="12.54296875" style="52"/>
    <col min="1798" max="1798" width="2.26953125" style="52" customWidth="1"/>
    <col min="1799" max="1799" width="19.7265625" style="52" customWidth="1"/>
    <col min="1800" max="1800" width="12.7265625" style="52" bestFit="1" customWidth="1"/>
    <col min="1801" max="1801" width="2.26953125" style="52" customWidth="1"/>
    <col min="1802" max="1802" width="16.54296875" style="52" bestFit="1" customWidth="1"/>
    <col min="1803" max="2048" width="12.54296875" style="52"/>
    <col min="2049" max="2049" width="2.1796875" style="52" customWidth="1"/>
    <col min="2050" max="2050" width="32.26953125" style="52" bestFit="1" customWidth="1"/>
    <col min="2051" max="2051" width="2.26953125" style="52" customWidth="1"/>
    <col min="2052" max="2052" width="16.81640625" style="52" bestFit="1" customWidth="1"/>
    <col min="2053" max="2053" width="12.54296875" style="52"/>
    <col min="2054" max="2054" width="2.26953125" style="52" customWidth="1"/>
    <col min="2055" max="2055" width="19.7265625" style="52" customWidth="1"/>
    <col min="2056" max="2056" width="12.7265625" style="52" bestFit="1" customWidth="1"/>
    <col min="2057" max="2057" width="2.26953125" style="52" customWidth="1"/>
    <col min="2058" max="2058" width="16.54296875" style="52" bestFit="1" customWidth="1"/>
    <col min="2059" max="2304" width="12.54296875" style="52"/>
    <col min="2305" max="2305" width="2.1796875" style="52" customWidth="1"/>
    <col min="2306" max="2306" width="32.26953125" style="52" bestFit="1" customWidth="1"/>
    <col min="2307" max="2307" width="2.26953125" style="52" customWidth="1"/>
    <col min="2308" max="2308" width="16.81640625" style="52" bestFit="1" customWidth="1"/>
    <col min="2309" max="2309" width="12.54296875" style="52"/>
    <col min="2310" max="2310" width="2.26953125" style="52" customWidth="1"/>
    <col min="2311" max="2311" width="19.7265625" style="52" customWidth="1"/>
    <col min="2312" max="2312" width="12.7265625" style="52" bestFit="1" customWidth="1"/>
    <col min="2313" max="2313" width="2.26953125" style="52" customWidth="1"/>
    <col min="2314" max="2314" width="16.54296875" style="52" bestFit="1" customWidth="1"/>
    <col min="2315" max="2560" width="12.54296875" style="52"/>
    <col min="2561" max="2561" width="2.1796875" style="52" customWidth="1"/>
    <col min="2562" max="2562" width="32.26953125" style="52" bestFit="1" customWidth="1"/>
    <col min="2563" max="2563" width="2.26953125" style="52" customWidth="1"/>
    <col min="2564" max="2564" width="16.81640625" style="52" bestFit="1" customWidth="1"/>
    <col min="2565" max="2565" width="12.54296875" style="52"/>
    <col min="2566" max="2566" width="2.26953125" style="52" customWidth="1"/>
    <col min="2567" max="2567" width="19.7265625" style="52" customWidth="1"/>
    <col min="2568" max="2568" width="12.7265625" style="52" bestFit="1" customWidth="1"/>
    <col min="2569" max="2569" width="2.26953125" style="52" customWidth="1"/>
    <col min="2570" max="2570" width="16.54296875" style="52" bestFit="1" customWidth="1"/>
    <col min="2571" max="2816" width="12.54296875" style="52"/>
    <col min="2817" max="2817" width="2.1796875" style="52" customWidth="1"/>
    <col min="2818" max="2818" width="32.26953125" style="52" bestFit="1" customWidth="1"/>
    <col min="2819" max="2819" width="2.26953125" style="52" customWidth="1"/>
    <col min="2820" max="2820" width="16.81640625" style="52" bestFit="1" customWidth="1"/>
    <col min="2821" max="2821" width="12.54296875" style="52"/>
    <col min="2822" max="2822" width="2.26953125" style="52" customWidth="1"/>
    <col min="2823" max="2823" width="19.7265625" style="52" customWidth="1"/>
    <col min="2824" max="2824" width="12.7265625" style="52" bestFit="1" customWidth="1"/>
    <col min="2825" max="2825" width="2.26953125" style="52" customWidth="1"/>
    <col min="2826" max="2826" width="16.54296875" style="52" bestFit="1" customWidth="1"/>
    <col min="2827" max="3072" width="12.54296875" style="52"/>
    <col min="3073" max="3073" width="2.1796875" style="52" customWidth="1"/>
    <col min="3074" max="3074" width="32.26953125" style="52" bestFit="1" customWidth="1"/>
    <col min="3075" max="3075" width="2.26953125" style="52" customWidth="1"/>
    <col min="3076" max="3076" width="16.81640625" style="52" bestFit="1" customWidth="1"/>
    <col min="3077" max="3077" width="12.54296875" style="52"/>
    <col min="3078" max="3078" width="2.26953125" style="52" customWidth="1"/>
    <col min="3079" max="3079" width="19.7265625" style="52" customWidth="1"/>
    <col min="3080" max="3080" width="12.7265625" style="52" bestFit="1" customWidth="1"/>
    <col min="3081" max="3081" width="2.26953125" style="52" customWidth="1"/>
    <col min="3082" max="3082" width="16.54296875" style="52" bestFit="1" customWidth="1"/>
    <col min="3083" max="3328" width="12.54296875" style="52"/>
    <col min="3329" max="3329" width="2.1796875" style="52" customWidth="1"/>
    <col min="3330" max="3330" width="32.26953125" style="52" bestFit="1" customWidth="1"/>
    <col min="3331" max="3331" width="2.26953125" style="52" customWidth="1"/>
    <col min="3332" max="3332" width="16.81640625" style="52" bestFit="1" customWidth="1"/>
    <col min="3333" max="3333" width="12.54296875" style="52"/>
    <col min="3334" max="3334" width="2.26953125" style="52" customWidth="1"/>
    <col min="3335" max="3335" width="19.7265625" style="52" customWidth="1"/>
    <col min="3336" max="3336" width="12.7265625" style="52" bestFit="1" customWidth="1"/>
    <col min="3337" max="3337" width="2.26953125" style="52" customWidth="1"/>
    <col min="3338" max="3338" width="16.54296875" style="52" bestFit="1" customWidth="1"/>
    <col min="3339" max="3584" width="12.54296875" style="52"/>
    <col min="3585" max="3585" width="2.1796875" style="52" customWidth="1"/>
    <col min="3586" max="3586" width="32.26953125" style="52" bestFit="1" customWidth="1"/>
    <col min="3587" max="3587" width="2.26953125" style="52" customWidth="1"/>
    <col min="3588" max="3588" width="16.81640625" style="52" bestFit="1" customWidth="1"/>
    <col min="3589" max="3589" width="12.54296875" style="52"/>
    <col min="3590" max="3590" width="2.26953125" style="52" customWidth="1"/>
    <col min="3591" max="3591" width="19.7265625" style="52" customWidth="1"/>
    <col min="3592" max="3592" width="12.7265625" style="52" bestFit="1" customWidth="1"/>
    <col min="3593" max="3593" width="2.26953125" style="52" customWidth="1"/>
    <col min="3594" max="3594" width="16.54296875" style="52" bestFit="1" customWidth="1"/>
    <col min="3595" max="3840" width="12.54296875" style="52"/>
    <col min="3841" max="3841" width="2.1796875" style="52" customWidth="1"/>
    <col min="3842" max="3842" width="32.26953125" style="52" bestFit="1" customWidth="1"/>
    <col min="3843" max="3843" width="2.26953125" style="52" customWidth="1"/>
    <col min="3844" max="3844" width="16.81640625" style="52" bestFit="1" customWidth="1"/>
    <col min="3845" max="3845" width="12.54296875" style="52"/>
    <col min="3846" max="3846" width="2.26953125" style="52" customWidth="1"/>
    <col min="3847" max="3847" width="19.7265625" style="52" customWidth="1"/>
    <col min="3848" max="3848" width="12.7265625" style="52" bestFit="1" customWidth="1"/>
    <col min="3849" max="3849" width="2.26953125" style="52" customWidth="1"/>
    <col min="3850" max="3850" width="16.54296875" style="52" bestFit="1" customWidth="1"/>
    <col min="3851" max="4096" width="12.54296875" style="52"/>
    <col min="4097" max="4097" width="2.1796875" style="52" customWidth="1"/>
    <col min="4098" max="4098" width="32.26953125" style="52" bestFit="1" customWidth="1"/>
    <col min="4099" max="4099" width="2.26953125" style="52" customWidth="1"/>
    <col min="4100" max="4100" width="16.81640625" style="52" bestFit="1" customWidth="1"/>
    <col min="4101" max="4101" width="12.54296875" style="52"/>
    <col min="4102" max="4102" width="2.26953125" style="52" customWidth="1"/>
    <col min="4103" max="4103" width="19.7265625" style="52" customWidth="1"/>
    <col min="4104" max="4104" width="12.7265625" style="52" bestFit="1" customWidth="1"/>
    <col min="4105" max="4105" width="2.26953125" style="52" customWidth="1"/>
    <col min="4106" max="4106" width="16.54296875" style="52" bestFit="1" customWidth="1"/>
    <col min="4107" max="4352" width="12.54296875" style="52"/>
    <col min="4353" max="4353" width="2.1796875" style="52" customWidth="1"/>
    <col min="4354" max="4354" width="32.26953125" style="52" bestFit="1" customWidth="1"/>
    <col min="4355" max="4355" width="2.26953125" style="52" customWidth="1"/>
    <col min="4356" max="4356" width="16.81640625" style="52" bestFit="1" customWidth="1"/>
    <col min="4357" max="4357" width="12.54296875" style="52"/>
    <col min="4358" max="4358" width="2.26953125" style="52" customWidth="1"/>
    <col min="4359" max="4359" width="19.7265625" style="52" customWidth="1"/>
    <col min="4360" max="4360" width="12.7265625" style="52" bestFit="1" customWidth="1"/>
    <col min="4361" max="4361" width="2.26953125" style="52" customWidth="1"/>
    <col min="4362" max="4362" width="16.54296875" style="52" bestFit="1" customWidth="1"/>
    <col min="4363" max="4608" width="12.54296875" style="52"/>
    <col min="4609" max="4609" width="2.1796875" style="52" customWidth="1"/>
    <col min="4610" max="4610" width="32.26953125" style="52" bestFit="1" customWidth="1"/>
    <col min="4611" max="4611" width="2.26953125" style="52" customWidth="1"/>
    <col min="4612" max="4612" width="16.81640625" style="52" bestFit="1" customWidth="1"/>
    <col min="4613" max="4613" width="12.54296875" style="52"/>
    <col min="4614" max="4614" width="2.26953125" style="52" customWidth="1"/>
    <col min="4615" max="4615" width="19.7265625" style="52" customWidth="1"/>
    <col min="4616" max="4616" width="12.7265625" style="52" bestFit="1" customWidth="1"/>
    <col min="4617" max="4617" width="2.26953125" style="52" customWidth="1"/>
    <col min="4618" max="4618" width="16.54296875" style="52" bestFit="1" customWidth="1"/>
    <col min="4619" max="4864" width="12.54296875" style="52"/>
    <col min="4865" max="4865" width="2.1796875" style="52" customWidth="1"/>
    <col min="4866" max="4866" width="32.26953125" style="52" bestFit="1" customWidth="1"/>
    <col min="4867" max="4867" width="2.26953125" style="52" customWidth="1"/>
    <col min="4868" max="4868" width="16.81640625" style="52" bestFit="1" customWidth="1"/>
    <col min="4869" max="4869" width="12.54296875" style="52"/>
    <col min="4870" max="4870" width="2.26953125" style="52" customWidth="1"/>
    <col min="4871" max="4871" width="19.7265625" style="52" customWidth="1"/>
    <col min="4872" max="4872" width="12.7265625" style="52" bestFit="1" customWidth="1"/>
    <col min="4873" max="4873" width="2.26953125" style="52" customWidth="1"/>
    <col min="4874" max="4874" width="16.54296875" style="52" bestFit="1" customWidth="1"/>
    <col min="4875" max="5120" width="12.54296875" style="52"/>
    <col min="5121" max="5121" width="2.1796875" style="52" customWidth="1"/>
    <col min="5122" max="5122" width="32.26953125" style="52" bestFit="1" customWidth="1"/>
    <col min="5123" max="5123" width="2.26953125" style="52" customWidth="1"/>
    <col min="5124" max="5124" width="16.81640625" style="52" bestFit="1" customWidth="1"/>
    <col min="5125" max="5125" width="12.54296875" style="52"/>
    <col min="5126" max="5126" width="2.26953125" style="52" customWidth="1"/>
    <col min="5127" max="5127" width="19.7265625" style="52" customWidth="1"/>
    <col min="5128" max="5128" width="12.7265625" style="52" bestFit="1" customWidth="1"/>
    <col min="5129" max="5129" width="2.26953125" style="52" customWidth="1"/>
    <col min="5130" max="5130" width="16.54296875" style="52" bestFit="1" customWidth="1"/>
    <col min="5131" max="5376" width="12.54296875" style="52"/>
    <col min="5377" max="5377" width="2.1796875" style="52" customWidth="1"/>
    <col min="5378" max="5378" width="32.26953125" style="52" bestFit="1" customWidth="1"/>
    <col min="5379" max="5379" width="2.26953125" style="52" customWidth="1"/>
    <col min="5380" max="5380" width="16.81640625" style="52" bestFit="1" customWidth="1"/>
    <col min="5381" max="5381" width="12.54296875" style="52"/>
    <col min="5382" max="5382" width="2.26953125" style="52" customWidth="1"/>
    <col min="5383" max="5383" width="19.7265625" style="52" customWidth="1"/>
    <col min="5384" max="5384" width="12.7265625" style="52" bestFit="1" customWidth="1"/>
    <col min="5385" max="5385" width="2.26953125" style="52" customWidth="1"/>
    <col min="5386" max="5386" width="16.54296875" style="52" bestFit="1" customWidth="1"/>
    <col min="5387" max="5632" width="12.54296875" style="52"/>
    <col min="5633" max="5633" width="2.1796875" style="52" customWidth="1"/>
    <col min="5634" max="5634" width="32.26953125" style="52" bestFit="1" customWidth="1"/>
    <col min="5635" max="5635" width="2.26953125" style="52" customWidth="1"/>
    <col min="5636" max="5636" width="16.81640625" style="52" bestFit="1" customWidth="1"/>
    <col min="5637" max="5637" width="12.54296875" style="52"/>
    <col min="5638" max="5638" width="2.26953125" style="52" customWidth="1"/>
    <col min="5639" max="5639" width="19.7265625" style="52" customWidth="1"/>
    <col min="5640" max="5640" width="12.7265625" style="52" bestFit="1" customWidth="1"/>
    <col min="5641" max="5641" width="2.26953125" style="52" customWidth="1"/>
    <col min="5642" max="5642" width="16.54296875" style="52" bestFit="1" customWidth="1"/>
    <col min="5643" max="5888" width="12.54296875" style="52"/>
    <col min="5889" max="5889" width="2.1796875" style="52" customWidth="1"/>
    <col min="5890" max="5890" width="32.26953125" style="52" bestFit="1" customWidth="1"/>
    <col min="5891" max="5891" width="2.26953125" style="52" customWidth="1"/>
    <col min="5892" max="5892" width="16.81640625" style="52" bestFit="1" customWidth="1"/>
    <col min="5893" max="5893" width="12.54296875" style="52"/>
    <col min="5894" max="5894" width="2.26953125" style="52" customWidth="1"/>
    <col min="5895" max="5895" width="19.7265625" style="52" customWidth="1"/>
    <col min="5896" max="5896" width="12.7265625" style="52" bestFit="1" customWidth="1"/>
    <col min="5897" max="5897" width="2.26953125" style="52" customWidth="1"/>
    <col min="5898" max="5898" width="16.54296875" style="52" bestFit="1" customWidth="1"/>
    <col min="5899" max="6144" width="12.54296875" style="52"/>
    <col min="6145" max="6145" width="2.1796875" style="52" customWidth="1"/>
    <col min="6146" max="6146" width="32.26953125" style="52" bestFit="1" customWidth="1"/>
    <col min="6147" max="6147" width="2.26953125" style="52" customWidth="1"/>
    <col min="6148" max="6148" width="16.81640625" style="52" bestFit="1" customWidth="1"/>
    <col min="6149" max="6149" width="12.54296875" style="52"/>
    <col min="6150" max="6150" width="2.26953125" style="52" customWidth="1"/>
    <col min="6151" max="6151" width="19.7265625" style="52" customWidth="1"/>
    <col min="6152" max="6152" width="12.7265625" style="52" bestFit="1" customWidth="1"/>
    <col min="6153" max="6153" width="2.26953125" style="52" customWidth="1"/>
    <col min="6154" max="6154" width="16.54296875" style="52" bestFit="1" customWidth="1"/>
    <col min="6155" max="6400" width="12.54296875" style="52"/>
    <col min="6401" max="6401" width="2.1796875" style="52" customWidth="1"/>
    <col min="6402" max="6402" width="32.26953125" style="52" bestFit="1" customWidth="1"/>
    <col min="6403" max="6403" width="2.26953125" style="52" customWidth="1"/>
    <col min="6404" max="6404" width="16.81640625" style="52" bestFit="1" customWidth="1"/>
    <col min="6405" max="6405" width="12.54296875" style="52"/>
    <col min="6406" max="6406" width="2.26953125" style="52" customWidth="1"/>
    <col min="6407" max="6407" width="19.7265625" style="52" customWidth="1"/>
    <col min="6408" max="6408" width="12.7265625" style="52" bestFit="1" customWidth="1"/>
    <col min="6409" max="6409" width="2.26953125" style="52" customWidth="1"/>
    <col min="6410" max="6410" width="16.54296875" style="52" bestFit="1" customWidth="1"/>
    <col min="6411" max="6656" width="12.54296875" style="52"/>
    <col min="6657" max="6657" width="2.1796875" style="52" customWidth="1"/>
    <col min="6658" max="6658" width="32.26953125" style="52" bestFit="1" customWidth="1"/>
    <col min="6659" max="6659" width="2.26953125" style="52" customWidth="1"/>
    <col min="6660" max="6660" width="16.81640625" style="52" bestFit="1" customWidth="1"/>
    <col min="6661" max="6661" width="12.54296875" style="52"/>
    <col min="6662" max="6662" width="2.26953125" style="52" customWidth="1"/>
    <col min="6663" max="6663" width="19.7265625" style="52" customWidth="1"/>
    <col min="6664" max="6664" width="12.7265625" style="52" bestFit="1" customWidth="1"/>
    <col min="6665" max="6665" width="2.26953125" style="52" customWidth="1"/>
    <col min="6666" max="6666" width="16.54296875" style="52" bestFit="1" customWidth="1"/>
    <col min="6667" max="6912" width="12.54296875" style="52"/>
    <col min="6913" max="6913" width="2.1796875" style="52" customWidth="1"/>
    <col min="6914" max="6914" width="32.26953125" style="52" bestFit="1" customWidth="1"/>
    <col min="6915" max="6915" width="2.26953125" style="52" customWidth="1"/>
    <col min="6916" max="6916" width="16.81640625" style="52" bestFit="1" customWidth="1"/>
    <col min="6917" max="6917" width="12.54296875" style="52"/>
    <col min="6918" max="6918" width="2.26953125" style="52" customWidth="1"/>
    <col min="6919" max="6919" width="19.7265625" style="52" customWidth="1"/>
    <col min="6920" max="6920" width="12.7265625" style="52" bestFit="1" customWidth="1"/>
    <col min="6921" max="6921" width="2.26953125" style="52" customWidth="1"/>
    <col min="6922" max="6922" width="16.54296875" style="52" bestFit="1" customWidth="1"/>
    <col min="6923" max="7168" width="12.54296875" style="52"/>
    <col min="7169" max="7169" width="2.1796875" style="52" customWidth="1"/>
    <col min="7170" max="7170" width="32.26953125" style="52" bestFit="1" customWidth="1"/>
    <col min="7171" max="7171" width="2.26953125" style="52" customWidth="1"/>
    <col min="7172" max="7172" width="16.81640625" style="52" bestFit="1" customWidth="1"/>
    <col min="7173" max="7173" width="12.54296875" style="52"/>
    <col min="7174" max="7174" width="2.26953125" style="52" customWidth="1"/>
    <col min="7175" max="7175" width="19.7265625" style="52" customWidth="1"/>
    <col min="7176" max="7176" width="12.7265625" style="52" bestFit="1" customWidth="1"/>
    <col min="7177" max="7177" width="2.26953125" style="52" customWidth="1"/>
    <col min="7178" max="7178" width="16.54296875" style="52" bestFit="1" customWidth="1"/>
    <col min="7179" max="7424" width="12.54296875" style="52"/>
    <col min="7425" max="7425" width="2.1796875" style="52" customWidth="1"/>
    <col min="7426" max="7426" width="32.26953125" style="52" bestFit="1" customWidth="1"/>
    <col min="7427" max="7427" width="2.26953125" style="52" customWidth="1"/>
    <col min="7428" max="7428" width="16.81640625" style="52" bestFit="1" customWidth="1"/>
    <col min="7429" max="7429" width="12.54296875" style="52"/>
    <col min="7430" max="7430" width="2.26953125" style="52" customWidth="1"/>
    <col min="7431" max="7431" width="19.7265625" style="52" customWidth="1"/>
    <col min="7432" max="7432" width="12.7265625" style="52" bestFit="1" customWidth="1"/>
    <col min="7433" max="7433" width="2.26953125" style="52" customWidth="1"/>
    <col min="7434" max="7434" width="16.54296875" style="52" bestFit="1" customWidth="1"/>
    <col min="7435" max="7680" width="12.54296875" style="52"/>
    <col min="7681" max="7681" width="2.1796875" style="52" customWidth="1"/>
    <col min="7682" max="7682" width="32.26953125" style="52" bestFit="1" customWidth="1"/>
    <col min="7683" max="7683" width="2.26953125" style="52" customWidth="1"/>
    <col min="7684" max="7684" width="16.81640625" style="52" bestFit="1" customWidth="1"/>
    <col min="7685" max="7685" width="12.54296875" style="52"/>
    <col min="7686" max="7686" width="2.26953125" style="52" customWidth="1"/>
    <col min="7687" max="7687" width="19.7265625" style="52" customWidth="1"/>
    <col min="7688" max="7688" width="12.7265625" style="52" bestFit="1" customWidth="1"/>
    <col min="7689" max="7689" width="2.26953125" style="52" customWidth="1"/>
    <col min="7690" max="7690" width="16.54296875" style="52" bestFit="1" customWidth="1"/>
    <col min="7691" max="7936" width="12.54296875" style="52"/>
    <col min="7937" max="7937" width="2.1796875" style="52" customWidth="1"/>
    <col min="7938" max="7938" width="32.26953125" style="52" bestFit="1" customWidth="1"/>
    <col min="7939" max="7939" width="2.26953125" style="52" customWidth="1"/>
    <col min="7940" max="7940" width="16.81640625" style="52" bestFit="1" customWidth="1"/>
    <col min="7941" max="7941" width="12.54296875" style="52"/>
    <col min="7942" max="7942" width="2.26953125" style="52" customWidth="1"/>
    <col min="7943" max="7943" width="19.7265625" style="52" customWidth="1"/>
    <col min="7944" max="7944" width="12.7265625" style="52" bestFit="1" customWidth="1"/>
    <col min="7945" max="7945" width="2.26953125" style="52" customWidth="1"/>
    <col min="7946" max="7946" width="16.54296875" style="52" bestFit="1" customWidth="1"/>
    <col min="7947" max="8192" width="12.54296875" style="52"/>
    <col min="8193" max="8193" width="2.1796875" style="52" customWidth="1"/>
    <col min="8194" max="8194" width="32.26953125" style="52" bestFit="1" customWidth="1"/>
    <col min="8195" max="8195" width="2.26953125" style="52" customWidth="1"/>
    <col min="8196" max="8196" width="16.81640625" style="52" bestFit="1" customWidth="1"/>
    <col min="8197" max="8197" width="12.54296875" style="52"/>
    <col min="8198" max="8198" width="2.26953125" style="52" customWidth="1"/>
    <col min="8199" max="8199" width="19.7265625" style="52" customWidth="1"/>
    <col min="8200" max="8200" width="12.7265625" style="52" bestFit="1" customWidth="1"/>
    <col min="8201" max="8201" width="2.26953125" style="52" customWidth="1"/>
    <col min="8202" max="8202" width="16.54296875" style="52" bestFit="1" customWidth="1"/>
    <col min="8203" max="8448" width="12.54296875" style="52"/>
    <col min="8449" max="8449" width="2.1796875" style="52" customWidth="1"/>
    <col min="8450" max="8450" width="32.26953125" style="52" bestFit="1" customWidth="1"/>
    <col min="8451" max="8451" width="2.26953125" style="52" customWidth="1"/>
    <col min="8452" max="8452" width="16.81640625" style="52" bestFit="1" customWidth="1"/>
    <col min="8453" max="8453" width="12.54296875" style="52"/>
    <col min="8454" max="8454" width="2.26953125" style="52" customWidth="1"/>
    <col min="8455" max="8455" width="19.7265625" style="52" customWidth="1"/>
    <col min="8456" max="8456" width="12.7265625" style="52" bestFit="1" customWidth="1"/>
    <col min="8457" max="8457" width="2.26953125" style="52" customWidth="1"/>
    <col min="8458" max="8458" width="16.54296875" style="52" bestFit="1" customWidth="1"/>
    <col min="8459" max="8704" width="12.54296875" style="52"/>
    <col min="8705" max="8705" width="2.1796875" style="52" customWidth="1"/>
    <col min="8706" max="8706" width="32.26953125" style="52" bestFit="1" customWidth="1"/>
    <col min="8707" max="8707" width="2.26953125" style="52" customWidth="1"/>
    <col min="8708" max="8708" width="16.81640625" style="52" bestFit="1" customWidth="1"/>
    <col min="8709" max="8709" width="12.54296875" style="52"/>
    <col min="8710" max="8710" width="2.26953125" style="52" customWidth="1"/>
    <col min="8711" max="8711" width="19.7265625" style="52" customWidth="1"/>
    <col min="8712" max="8712" width="12.7265625" style="52" bestFit="1" customWidth="1"/>
    <col min="8713" max="8713" width="2.26953125" style="52" customWidth="1"/>
    <col min="8714" max="8714" width="16.54296875" style="52" bestFit="1" customWidth="1"/>
    <col min="8715" max="8960" width="12.54296875" style="52"/>
    <col min="8961" max="8961" width="2.1796875" style="52" customWidth="1"/>
    <col min="8962" max="8962" width="32.26953125" style="52" bestFit="1" customWidth="1"/>
    <col min="8963" max="8963" width="2.26953125" style="52" customWidth="1"/>
    <col min="8964" max="8964" width="16.81640625" style="52" bestFit="1" customWidth="1"/>
    <col min="8965" max="8965" width="12.54296875" style="52"/>
    <col min="8966" max="8966" width="2.26953125" style="52" customWidth="1"/>
    <col min="8967" max="8967" width="19.7265625" style="52" customWidth="1"/>
    <col min="8968" max="8968" width="12.7265625" style="52" bestFit="1" customWidth="1"/>
    <col min="8969" max="8969" width="2.26953125" style="52" customWidth="1"/>
    <col min="8970" max="8970" width="16.54296875" style="52" bestFit="1" customWidth="1"/>
    <col min="8971" max="9216" width="12.54296875" style="52"/>
    <col min="9217" max="9217" width="2.1796875" style="52" customWidth="1"/>
    <col min="9218" max="9218" width="32.26953125" style="52" bestFit="1" customWidth="1"/>
    <col min="9219" max="9219" width="2.26953125" style="52" customWidth="1"/>
    <col min="9220" max="9220" width="16.81640625" style="52" bestFit="1" customWidth="1"/>
    <col min="9221" max="9221" width="12.54296875" style="52"/>
    <col min="9222" max="9222" width="2.26953125" style="52" customWidth="1"/>
    <col min="9223" max="9223" width="19.7265625" style="52" customWidth="1"/>
    <col min="9224" max="9224" width="12.7265625" style="52" bestFit="1" customWidth="1"/>
    <col min="9225" max="9225" width="2.26953125" style="52" customWidth="1"/>
    <col min="9226" max="9226" width="16.54296875" style="52" bestFit="1" customWidth="1"/>
    <col min="9227" max="9472" width="12.54296875" style="52"/>
    <col min="9473" max="9473" width="2.1796875" style="52" customWidth="1"/>
    <col min="9474" max="9474" width="32.26953125" style="52" bestFit="1" customWidth="1"/>
    <col min="9475" max="9475" width="2.26953125" style="52" customWidth="1"/>
    <col min="9476" max="9476" width="16.81640625" style="52" bestFit="1" customWidth="1"/>
    <col min="9477" max="9477" width="12.54296875" style="52"/>
    <col min="9478" max="9478" width="2.26953125" style="52" customWidth="1"/>
    <col min="9479" max="9479" width="19.7265625" style="52" customWidth="1"/>
    <col min="9480" max="9480" width="12.7265625" style="52" bestFit="1" customWidth="1"/>
    <col min="9481" max="9481" width="2.26953125" style="52" customWidth="1"/>
    <col min="9482" max="9482" width="16.54296875" style="52" bestFit="1" customWidth="1"/>
    <col min="9483" max="9728" width="12.54296875" style="52"/>
    <col min="9729" max="9729" width="2.1796875" style="52" customWidth="1"/>
    <col min="9730" max="9730" width="32.26953125" style="52" bestFit="1" customWidth="1"/>
    <col min="9731" max="9731" width="2.26953125" style="52" customWidth="1"/>
    <col min="9732" max="9732" width="16.81640625" style="52" bestFit="1" customWidth="1"/>
    <col min="9733" max="9733" width="12.54296875" style="52"/>
    <col min="9734" max="9734" width="2.26953125" style="52" customWidth="1"/>
    <col min="9735" max="9735" width="19.7265625" style="52" customWidth="1"/>
    <col min="9736" max="9736" width="12.7265625" style="52" bestFit="1" customWidth="1"/>
    <col min="9737" max="9737" width="2.26953125" style="52" customWidth="1"/>
    <col min="9738" max="9738" width="16.54296875" style="52" bestFit="1" customWidth="1"/>
    <col min="9739" max="9984" width="12.54296875" style="52"/>
    <col min="9985" max="9985" width="2.1796875" style="52" customWidth="1"/>
    <col min="9986" max="9986" width="32.26953125" style="52" bestFit="1" customWidth="1"/>
    <col min="9987" max="9987" width="2.26953125" style="52" customWidth="1"/>
    <col min="9988" max="9988" width="16.81640625" style="52" bestFit="1" customWidth="1"/>
    <col min="9989" max="9989" width="12.54296875" style="52"/>
    <col min="9990" max="9990" width="2.26953125" style="52" customWidth="1"/>
    <col min="9991" max="9991" width="19.7265625" style="52" customWidth="1"/>
    <col min="9992" max="9992" width="12.7265625" style="52" bestFit="1" customWidth="1"/>
    <col min="9993" max="9993" width="2.26953125" style="52" customWidth="1"/>
    <col min="9994" max="9994" width="16.54296875" style="52" bestFit="1" customWidth="1"/>
    <col min="9995" max="10240" width="12.54296875" style="52"/>
    <col min="10241" max="10241" width="2.1796875" style="52" customWidth="1"/>
    <col min="10242" max="10242" width="32.26953125" style="52" bestFit="1" customWidth="1"/>
    <col min="10243" max="10243" width="2.26953125" style="52" customWidth="1"/>
    <col min="10244" max="10244" width="16.81640625" style="52" bestFit="1" customWidth="1"/>
    <col min="10245" max="10245" width="12.54296875" style="52"/>
    <col min="10246" max="10246" width="2.26953125" style="52" customWidth="1"/>
    <col min="10247" max="10247" width="19.7265625" style="52" customWidth="1"/>
    <col min="10248" max="10248" width="12.7265625" style="52" bestFit="1" customWidth="1"/>
    <col min="10249" max="10249" width="2.26953125" style="52" customWidth="1"/>
    <col min="10250" max="10250" width="16.54296875" style="52" bestFit="1" customWidth="1"/>
    <col min="10251" max="10496" width="12.54296875" style="52"/>
    <col min="10497" max="10497" width="2.1796875" style="52" customWidth="1"/>
    <col min="10498" max="10498" width="32.26953125" style="52" bestFit="1" customWidth="1"/>
    <col min="10499" max="10499" width="2.26953125" style="52" customWidth="1"/>
    <col min="10500" max="10500" width="16.81640625" style="52" bestFit="1" customWidth="1"/>
    <col min="10501" max="10501" width="12.54296875" style="52"/>
    <col min="10502" max="10502" width="2.26953125" style="52" customWidth="1"/>
    <col min="10503" max="10503" width="19.7265625" style="52" customWidth="1"/>
    <col min="10504" max="10504" width="12.7265625" style="52" bestFit="1" customWidth="1"/>
    <col min="10505" max="10505" width="2.26953125" style="52" customWidth="1"/>
    <col min="10506" max="10506" width="16.54296875" style="52" bestFit="1" customWidth="1"/>
    <col min="10507" max="10752" width="12.54296875" style="52"/>
    <col min="10753" max="10753" width="2.1796875" style="52" customWidth="1"/>
    <col min="10754" max="10754" width="32.26953125" style="52" bestFit="1" customWidth="1"/>
    <col min="10755" max="10755" width="2.26953125" style="52" customWidth="1"/>
    <col min="10756" max="10756" width="16.81640625" style="52" bestFit="1" customWidth="1"/>
    <col min="10757" max="10757" width="12.54296875" style="52"/>
    <col min="10758" max="10758" width="2.26953125" style="52" customWidth="1"/>
    <col min="10759" max="10759" width="19.7265625" style="52" customWidth="1"/>
    <col min="10760" max="10760" width="12.7265625" style="52" bestFit="1" customWidth="1"/>
    <col min="10761" max="10761" width="2.26953125" style="52" customWidth="1"/>
    <col min="10762" max="10762" width="16.54296875" style="52" bestFit="1" customWidth="1"/>
    <col min="10763" max="11008" width="12.54296875" style="52"/>
    <col min="11009" max="11009" width="2.1796875" style="52" customWidth="1"/>
    <col min="11010" max="11010" width="32.26953125" style="52" bestFit="1" customWidth="1"/>
    <col min="11011" max="11011" width="2.26953125" style="52" customWidth="1"/>
    <col min="11012" max="11012" width="16.81640625" style="52" bestFit="1" customWidth="1"/>
    <col min="11013" max="11013" width="12.54296875" style="52"/>
    <col min="11014" max="11014" width="2.26953125" style="52" customWidth="1"/>
    <col min="11015" max="11015" width="19.7265625" style="52" customWidth="1"/>
    <col min="11016" max="11016" width="12.7265625" style="52" bestFit="1" customWidth="1"/>
    <col min="11017" max="11017" width="2.26953125" style="52" customWidth="1"/>
    <col min="11018" max="11018" width="16.54296875" style="52" bestFit="1" customWidth="1"/>
    <col min="11019" max="11264" width="12.54296875" style="52"/>
    <col min="11265" max="11265" width="2.1796875" style="52" customWidth="1"/>
    <col min="11266" max="11266" width="32.26953125" style="52" bestFit="1" customWidth="1"/>
    <col min="11267" max="11267" width="2.26953125" style="52" customWidth="1"/>
    <col min="11268" max="11268" width="16.81640625" style="52" bestFit="1" customWidth="1"/>
    <col min="11269" max="11269" width="12.54296875" style="52"/>
    <col min="11270" max="11270" width="2.26953125" style="52" customWidth="1"/>
    <col min="11271" max="11271" width="19.7265625" style="52" customWidth="1"/>
    <col min="11272" max="11272" width="12.7265625" style="52" bestFit="1" customWidth="1"/>
    <col min="11273" max="11273" width="2.26953125" style="52" customWidth="1"/>
    <col min="11274" max="11274" width="16.54296875" style="52" bestFit="1" customWidth="1"/>
    <col min="11275" max="11520" width="12.54296875" style="52"/>
    <col min="11521" max="11521" width="2.1796875" style="52" customWidth="1"/>
    <col min="11522" max="11522" width="32.26953125" style="52" bestFit="1" customWidth="1"/>
    <col min="11523" max="11523" width="2.26953125" style="52" customWidth="1"/>
    <col min="11524" max="11524" width="16.81640625" style="52" bestFit="1" customWidth="1"/>
    <col min="11525" max="11525" width="12.54296875" style="52"/>
    <col min="11526" max="11526" width="2.26953125" style="52" customWidth="1"/>
    <col min="11527" max="11527" width="19.7265625" style="52" customWidth="1"/>
    <col min="11528" max="11528" width="12.7265625" style="52" bestFit="1" customWidth="1"/>
    <col min="11529" max="11529" width="2.26953125" style="52" customWidth="1"/>
    <col min="11530" max="11530" width="16.54296875" style="52" bestFit="1" customWidth="1"/>
    <col min="11531" max="11776" width="12.54296875" style="52"/>
    <col min="11777" max="11777" width="2.1796875" style="52" customWidth="1"/>
    <col min="11778" max="11778" width="32.26953125" style="52" bestFit="1" customWidth="1"/>
    <col min="11779" max="11779" width="2.26953125" style="52" customWidth="1"/>
    <col min="11780" max="11780" width="16.81640625" style="52" bestFit="1" customWidth="1"/>
    <col min="11781" max="11781" width="12.54296875" style="52"/>
    <col min="11782" max="11782" width="2.26953125" style="52" customWidth="1"/>
    <col min="11783" max="11783" width="19.7265625" style="52" customWidth="1"/>
    <col min="11784" max="11784" width="12.7265625" style="52" bestFit="1" customWidth="1"/>
    <col min="11785" max="11785" width="2.26953125" style="52" customWidth="1"/>
    <col min="11786" max="11786" width="16.54296875" style="52" bestFit="1" customWidth="1"/>
    <col min="11787" max="12032" width="12.54296875" style="52"/>
    <col min="12033" max="12033" width="2.1796875" style="52" customWidth="1"/>
    <col min="12034" max="12034" width="32.26953125" style="52" bestFit="1" customWidth="1"/>
    <col min="12035" max="12035" width="2.26953125" style="52" customWidth="1"/>
    <col min="12036" max="12036" width="16.81640625" style="52" bestFit="1" customWidth="1"/>
    <col min="12037" max="12037" width="12.54296875" style="52"/>
    <col min="12038" max="12038" width="2.26953125" style="52" customWidth="1"/>
    <col min="12039" max="12039" width="19.7265625" style="52" customWidth="1"/>
    <col min="12040" max="12040" width="12.7265625" style="52" bestFit="1" customWidth="1"/>
    <col min="12041" max="12041" width="2.26953125" style="52" customWidth="1"/>
    <col min="12042" max="12042" width="16.54296875" style="52" bestFit="1" customWidth="1"/>
    <col min="12043" max="12288" width="12.54296875" style="52"/>
    <col min="12289" max="12289" width="2.1796875" style="52" customWidth="1"/>
    <col min="12290" max="12290" width="32.26953125" style="52" bestFit="1" customWidth="1"/>
    <col min="12291" max="12291" width="2.26953125" style="52" customWidth="1"/>
    <col min="12292" max="12292" width="16.81640625" style="52" bestFit="1" customWidth="1"/>
    <col min="12293" max="12293" width="12.54296875" style="52"/>
    <col min="12294" max="12294" width="2.26953125" style="52" customWidth="1"/>
    <col min="12295" max="12295" width="19.7265625" style="52" customWidth="1"/>
    <col min="12296" max="12296" width="12.7265625" style="52" bestFit="1" customWidth="1"/>
    <col min="12297" max="12297" width="2.26953125" style="52" customWidth="1"/>
    <col min="12298" max="12298" width="16.54296875" style="52" bestFit="1" customWidth="1"/>
    <col min="12299" max="12544" width="12.54296875" style="52"/>
    <col min="12545" max="12545" width="2.1796875" style="52" customWidth="1"/>
    <col min="12546" max="12546" width="32.26953125" style="52" bestFit="1" customWidth="1"/>
    <col min="12547" max="12547" width="2.26953125" style="52" customWidth="1"/>
    <col min="12548" max="12548" width="16.81640625" style="52" bestFit="1" customWidth="1"/>
    <col min="12549" max="12549" width="12.54296875" style="52"/>
    <col min="12550" max="12550" width="2.26953125" style="52" customWidth="1"/>
    <col min="12551" max="12551" width="19.7265625" style="52" customWidth="1"/>
    <col min="12552" max="12552" width="12.7265625" style="52" bestFit="1" customWidth="1"/>
    <col min="12553" max="12553" width="2.26953125" style="52" customWidth="1"/>
    <col min="12554" max="12554" width="16.54296875" style="52" bestFit="1" customWidth="1"/>
    <col min="12555" max="12800" width="12.54296875" style="52"/>
    <col min="12801" max="12801" width="2.1796875" style="52" customWidth="1"/>
    <col min="12802" max="12802" width="32.26953125" style="52" bestFit="1" customWidth="1"/>
    <col min="12803" max="12803" width="2.26953125" style="52" customWidth="1"/>
    <col min="12804" max="12804" width="16.81640625" style="52" bestFit="1" customWidth="1"/>
    <col min="12805" max="12805" width="12.54296875" style="52"/>
    <col min="12806" max="12806" width="2.26953125" style="52" customWidth="1"/>
    <col min="12807" max="12807" width="19.7265625" style="52" customWidth="1"/>
    <col min="12808" max="12808" width="12.7265625" style="52" bestFit="1" customWidth="1"/>
    <col min="12809" max="12809" width="2.26953125" style="52" customWidth="1"/>
    <col min="12810" max="12810" width="16.54296875" style="52" bestFit="1" customWidth="1"/>
    <col min="12811" max="13056" width="12.54296875" style="52"/>
    <col min="13057" max="13057" width="2.1796875" style="52" customWidth="1"/>
    <col min="13058" max="13058" width="32.26953125" style="52" bestFit="1" customWidth="1"/>
    <col min="13059" max="13059" width="2.26953125" style="52" customWidth="1"/>
    <col min="13060" max="13060" width="16.81640625" style="52" bestFit="1" customWidth="1"/>
    <col min="13061" max="13061" width="12.54296875" style="52"/>
    <col min="13062" max="13062" width="2.26953125" style="52" customWidth="1"/>
    <col min="13063" max="13063" width="19.7265625" style="52" customWidth="1"/>
    <col min="13064" max="13064" width="12.7265625" style="52" bestFit="1" customWidth="1"/>
    <col min="13065" max="13065" width="2.26953125" style="52" customWidth="1"/>
    <col min="13066" max="13066" width="16.54296875" style="52" bestFit="1" customWidth="1"/>
    <col min="13067" max="13312" width="12.54296875" style="52"/>
    <col min="13313" max="13313" width="2.1796875" style="52" customWidth="1"/>
    <col min="13314" max="13314" width="32.26953125" style="52" bestFit="1" customWidth="1"/>
    <col min="13315" max="13315" width="2.26953125" style="52" customWidth="1"/>
    <col min="13316" max="13316" width="16.81640625" style="52" bestFit="1" customWidth="1"/>
    <col min="13317" max="13317" width="12.54296875" style="52"/>
    <col min="13318" max="13318" width="2.26953125" style="52" customWidth="1"/>
    <col min="13319" max="13319" width="19.7265625" style="52" customWidth="1"/>
    <col min="13320" max="13320" width="12.7265625" style="52" bestFit="1" customWidth="1"/>
    <col min="13321" max="13321" width="2.26953125" style="52" customWidth="1"/>
    <col min="13322" max="13322" width="16.54296875" style="52" bestFit="1" customWidth="1"/>
    <col min="13323" max="13568" width="12.54296875" style="52"/>
    <col min="13569" max="13569" width="2.1796875" style="52" customWidth="1"/>
    <col min="13570" max="13570" width="32.26953125" style="52" bestFit="1" customWidth="1"/>
    <col min="13571" max="13571" width="2.26953125" style="52" customWidth="1"/>
    <col min="13572" max="13572" width="16.81640625" style="52" bestFit="1" customWidth="1"/>
    <col min="13573" max="13573" width="12.54296875" style="52"/>
    <col min="13574" max="13574" width="2.26953125" style="52" customWidth="1"/>
    <col min="13575" max="13575" width="19.7265625" style="52" customWidth="1"/>
    <col min="13576" max="13576" width="12.7265625" style="52" bestFit="1" customWidth="1"/>
    <col min="13577" max="13577" width="2.26953125" style="52" customWidth="1"/>
    <col min="13578" max="13578" width="16.54296875" style="52" bestFit="1" customWidth="1"/>
    <col min="13579" max="13824" width="12.54296875" style="52"/>
    <col min="13825" max="13825" width="2.1796875" style="52" customWidth="1"/>
    <col min="13826" max="13826" width="32.26953125" style="52" bestFit="1" customWidth="1"/>
    <col min="13827" max="13827" width="2.26953125" style="52" customWidth="1"/>
    <col min="13828" max="13828" width="16.81640625" style="52" bestFit="1" customWidth="1"/>
    <col min="13829" max="13829" width="12.54296875" style="52"/>
    <col min="13830" max="13830" width="2.26953125" style="52" customWidth="1"/>
    <col min="13831" max="13831" width="19.7265625" style="52" customWidth="1"/>
    <col min="13832" max="13832" width="12.7265625" style="52" bestFit="1" customWidth="1"/>
    <col min="13833" max="13833" width="2.26953125" style="52" customWidth="1"/>
    <col min="13834" max="13834" width="16.54296875" style="52" bestFit="1" customWidth="1"/>
    <col min="13835" max="14080" width="12.54296875" style="52"/>
    <col min="14081" max="14081" width="2.1796875" style="52" customWidth="1"/>
    <col min="14082" max="14082" width="32.26953125" style="52" bestFit="1" customWidth="1"/>
    <col min="14083" max="14083" width="2.26953125" style="52" customWidth="1"/>
    <col min="14084" max="14084" width="16.81640625" style="52" bestFit="1" customWidth="1"/>
    <col min="14085" max="14085" width="12.54296875" style="52"/>
    <col min="14086" max="14086" width="2.26953125" style="52" customWidth="1"/>
    <col min="14087" max="14087" width="19.7265625" style="52" customWidth="1"/>
    <col min="14088" max="14088" width="12.7265625" style="52" bestFit="1" customWidth="1"/>
    <col min="14089" max="14089" width="2.26953125" style="52" customWidth="1"/>
    <col min="14090" max="14090" width="16.54296875" style="52" bestFit="1" customWidth="1"/>
    <col min="14091" max="14336" width="12.54296875" style="52"/>
    <col min="14337" max="14337" width="2.1796875" style="52" customWidth="1"/>
    <col min="14338" max="14338" width="32.26953125" style="52" bestFit="1" customWidth="1"/>
    <col min="14339" max="14339" width="2.26953125" style="52" customWidth="1"/>
    <col min="14340" max="14340" width="16.81640625" style="52" bestFit="1" customWidth="1"/>
    <col min="14341" max="14341" width="12.54296875" style="52"/>
    <col min="14342" max="14342" width="2.26953125" style="52" customWidth="1"/>
    <col min="14343" max="14343" width="19.7265625" style="52" customWidth="1"/>
    <col min="14344" max="14344" width="12.7265625" style="52" bestFit="1" customWidth="1"/>
    <col min="14345" max="14345" width="2.26953125" style="52" customWidth="1"/>
    <col min="14346" max="14346" width="16.54296875" style="52" bestFit="1" customWidth="1"/>
    <col min="14347" max="14592" width="12.54296875" style="52"/>
    <col min="14593" max="14593" width="2.1796875" style="52" customWidth="1"/>
    <col min="14594" max="14594" width="32.26953125" style="52" bestFit="1" customWidth="1"/>
    <col min="14595" max="14595" width="2.26953125" style="52" customWidth="1"/>
    <col min="14596" max="14596" width="16.81640625" style="52" bestFit="1" customWidth="1"/>
    <col min="14597" max="14597" width="12.54296875" style="52"/>
    <col min="14598" max="14598" width="2.26953125" style="52" customWidth="1"/>
    <col min="14599" max="14599" width="19.7265625" style="52" customWidth="1"/>
    <col min="14600" max="14600" width="12.7265625" style="52" bestFit="1" customWidth="1"/>
    <col min="14601" max="14601" width="2.26953125" style="52" customWidth="1"/>
    <col min="14602" max="14602" width="16.54296875" style="52" bestFit="1" customWidth="1"/>
    <col min="14603" max="14848" width="12.54296875" style="52"/>
    <col min="14849" max="14849" width="2.1796875" style="52" customWidth="1"/>
    <col min="14850" max="14850" width="32.26953125" style="52" bestFit="1" customWidth="1"/>
    <col min="14851" max="14851" width="2.26953125" style="52" customWidth="1"/>
    <col min="14852" max="14852" width="16.81640625" style="52" bestFit="1" customWidth="1"/>
    <col min="14853" max="14853" width="12.54296875" style="52"/>
    <col min="14854" max="14854" width="2.26953125" style="52" customWidth="1"/>
    <col min="14855" max="14855" width="19.7265625" style="52" customWidth="1"/>
    <col min="14856" max="14856" width="12.7265625" style="52" bestFit="1" customWidth="1"/>
    <col min="14857" max="14857" width="2.26953125" style="52" customWidth="1"/>
    <col min="14858" max="14858" width="16.54296875" style="52" bestFit="1" customWidth="1"/>
    <col min="14859" max="15104" width="12.54296875" style="52"/>
    <col min="15105" max="15105" width="2.1796875" style="52" customWidth="1"/>
    <col min="15106" max="15106" width="32.26953125" style="52" bestFit="1" customWidth="1"/>
    <col min="15107" max="15107" width="2.26953125" style="52" customWidth="1"/>
    <col min="15108" max="15108" width="16.81640625" style="52" bestFit="1" customWidth="1"/>
    <col min="15109" max="15109" width="12.54296875" style="52"/>
    <col min="15110" max="15110" width="2.26953125" style="52" customWidth="1"/>
    <col min="15111" max="15111" width="19.7265625" style="52" customWidth="1"/>
    <col min="15112" max="15112" width="12.7265625" style="52" bestFit="1" customWidth="1"/>
    <col min="15113" max="15113" width="2.26953125" style="52" customWidth="1"/>
    <col min="15114" max="15114" width="16.54296875" style="52" bestFit="1" customWidth="1"/>
    <col min="15115" max="15360" width="12.54296875" style="52"/>
    <col min="15361" max="15361" width="2.1796875" style="52" customWidth="1"/>
    <col min="15362" max="15362" width="32.26953125" style="52" bestFit="1" customWidth="1"/>
    <col min="15363" max="15363" width="2.26953125" style="52" customWidth="1"/>
    <col min="15364" max="15364" width="16.81640625" style="52" bestFit="1" customWidth="1"/>
    <col min="15365" max="15365" width="12.54296875" style="52"/>
    <col min="15366" max="15366" width="2.26953125" style="52" customWidth="1"/>
    <col min="15367" max="15367" width="19.7265625" style="52" customWidth="1"/>
    <col min="15368" max="15368" width="12.7265625" style="52" bestFit="1" customWidth="1"/>
    <col min="15369" max="15369" width="2.26953125" style="52" customWidth="1"/>
    <col min="15370" max="15370" width="16.54296875" style="52" bestFit="1" customWidth="1"/>
    <col min="15371" max="15616" width="12.54296875" style="52"/>
    <col min="15617" max="15617" width="2.1796875" style="52" customWidth="1"/>
    <col min="15618" max="15618" width="32.26953125" style="52" bestFit="1" customWidth="1"/>
    <col min="15619" max="15619" width="2.26953125" style="52" customWidth="1"/>
    <col min="15620" max="15620" width="16.81640625" style="52" bestFit="1" customWidth="1"/>
    <col min="15621" max="15621" width="12.54296875" style="52"/>
    <col min="15622" max="15622" width="2.26953125" style="52" customWidth="1"/>
    <col min="15623" max="15623" width="19.7265625" style="52" customWidth="1"/>
    <col min="15624" max="15624" width="12.7265625" style="52" bestFit="1" customWidth="1"/>
    <col min="15625" max="15625" width="2.26953125" style="52" customWidth="1"/>
    <col min="15626" max="15626" width="16.54296875" style="52" bestFit="1" customWidth="1"/>
    <col min="15627" max="15872" width="12.54296875" style="52"/>
    <col min="15873" max="15873" width="2.1796875" style="52" customWidth="1"/>
    <col min="15874" max="15874" width="32.26953125" style="52" bestFit="1" customWidth="1"/>
    <col min="15875" max="15875" width="2.26953125" style="52" customWidth="1"/>
    <col min="15876" max="15876" width="16.81640625" style="52" bestFit="1" customWidth="1"/>
    <col min="15877" max="15877" width="12.54296875" style="52"/>
    <col min="15878" max="15878" width="2.26953125" style="52" customWidth="1"/>
    <col min="15879" max="15879" width="19.7265625" style="52" customWidth="1"/>
    <col min="15880" max="15880" width="12.7265625" style="52" bestFit="1" customWidth="1"/>
    <col min="15881" max="15881" width="2.26953125" style="52" customWidth="1"/>
    <col min="15882" max="15882" width="16.54296875" style="52" bestFit="1" customWidth="1"/>
    <col min="15883" max="16128" width="12.54296875" style="52"/>
    <col min="16129" max="16129" width="2.1796875" style="52" customWidth="1"/>
    <col min="16130" max="16130" width="32.26953125" style="52" bestFit="1" customWidth="1"/>
    <col min="16131" max="16131" width="2.26953125" style="52" customWidth="1"/>
    <col min="16132" max="16132" width="16.81640625" style="52" bestFit="1" customWidth="1"/>
    <col min="16133" max="16133" width="12.54296875" style="52"/>
    <col min="16134" max="16134" width="2.26953125" style="52" customWidth="1"/>
    <col min="16135" max="16135" width="19.7265625" style="52" customWidth="1"/>
    <col min="16136" max="16136" width="12.7265625" style="52" bestFit="1" customWidth="1"/>
    <col min="16137" max="16137" width="2.26953125" style="52" customWidth="1"/>
    <col min="16138" max="16138" width="16.54296875" style="52" bestFit="1" customWidth="1"/>
    <col min="16139" max="16384" width="12.54296875" style="52"/>
  </cols>
  <sheetData>
    <row r="1" spans="2:54" s="48" customFormat="1" x14ac:dyDescent="0.35">
      <c r="B1" s="47" t="s">
        <v>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2:54" s="48" customFormat="1" x14ac:dyDescent="0.35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2:54" s="48" customForma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2:54" s="48" customFormat="1" ht="15.5" x14ac:dyDescent="0.35">
      <c r="B4" s="49" t="s">
        <v>84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2:54" ht="15.5" x14ac:dyDescent="0.35"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2:54" ht="15.5" x14ac:dyDescent="0.3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2:54" x14ac:dyDescent="0.3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2:54" x14ac:dyDescent="0.35">
      <c r="B8" s="53"/>
      <c r="C8" s="51"/>
      <c r="D8" s="54" t="s">
        <v>34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2:54" x14ac:dyDescent="0.35">
      <c r="B9" s="51"/>
      <c r="C9" s="51"/>
      <c r="D9" s="54" t="s">
        <v>35</v>
      </c>
      <c r="E9" s="51"/>
      <c r="F9" s="51"/>
      <c r="G9" s="55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2:54" x14ac:dyDescent="0.35">
      <c r="B10" s="56" t="s">
        <v>36</v>
      </c>
      <c r="C10" s="51"/>
      <c r="D10" s="57" t="s">
        <v>37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2:54" x14ac:dyDescent="0.35">
      <c r="B11" s="51" t="s">
        <v>38</v>
      </c>
      <c r="C11" s="51"/>
      <c r="D11" s="58">
        <f>'Billing Units'!E21</f>
        <v>1020</v>
      </c>
      <c r="E11" s="59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2:54" x14ac:dyDescent="0.35">
      <c r="B12" s="51" t="s">
        <v>39</v>
      </c>
      <c r="C12" s="51"/>
      <c r="D12" s="58">
        <f>'Billing Units'!G21</f>
        <v>5744996908.4980383</v>
      </c>
      <c r="E12" s="59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2:54" x14ac:dyDescent="0.35">
      <c r="B13" s="51" t="s">
        <v>77</v>
      </c>
      <c r="C13" s="51"/>
      <c r="D13" s="58">
        <f>'Billing Units'!H21</f>
        <v>16829577.839506447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2:54" x14ac:dyDescent="0.35">
      <c r="B14" s="51" t="s">
        <v>123</v>
      </c>
      <c r="D14" s="58">
        <f>'Billing Units'!J21</f>
        <v>6571184.2405388178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2:54" x14ac:dyDescent="0.35">
      <c r="B15" s="51"/>
      <c r="C15" s="51"/>
      <c r="D15" s="60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2:54" x14ac:dyDescent="0.35">
      <c r="B16" s="51"/>
      <c r="C16" s="51"/>
      <c r="D16" s="61" t="s">
        <v>41</v>
      </c>
      <c r="E16" s="62"/>
      <c r="F16" s="62"/>
      <c r="G16" s="62"/>
      <c r="H16" s="62"/>
      <c r="I16" s="62"/>
      <c r="J16" s="62"/>
      <c r="K16" s="63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2:54" x14ac:dyDescent="0.35">
      <c r="B17" s="51"/>
      <c r="C17" s="51"/>
      <c r="D17" s="240" t="s">
        <v>42</v>
      </c>
      <c r="E17" s="241"/>
      <c r="G17" s="64" t="s">
        <v>43</v>
      </c>
      <c r="H17" s="65"/>
      <c r="J17" s="64" t="s">
        <v>43</v>
      </c>
      <c r="K17" s="65"/>
      <c r="L17" s="51"/>
      <c r="M17" s="51"/>
      <c r="N17" s="51"/>
      <c r="O17" s="66"/>
      <c r="P17" s="66"/>
      <c r="Q17" s="66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2:54" x14ac:dyDescent="0.35">
      <c r="B18" s="51"/>
      <c r="C18" s="51"/>
      <c r="D18" s="67" t="s">
        <v>44</v>
      </c>
      <c r="E18" s="68"/>
      <c r="F18" s="51"/>
      <c r="G18" s="67" t="s">
        <v>45</v>
      </c>
      <c r="H18" s="68"/>
      <c r="J18" s="67" t="s">
        <v>46</v>
      </c>
      <c r="K18" s="68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2:54" x14ac:dyDescent="0.35">
      <c r="B19" s="56" t="s">
        <v>47</v>
      </c>
      <c r="C19" s="51"/>
      <c r="D19" s="69" t="s">
        <v>48</v>
      </c>
      <c r="E19" s="70" t="s">
        <v>49</v>
      </c>
      <c r="F19" s="51"/>
      <c r="G19" s="69" t="s">
        <v>48</v>
      </c>
      <c r="H19" s="70" t="s">
        <v>50</v>
      </c>
      <c r="I19" s="51"/>
      <c r="J19" s="69" t="s">
        <v>48</v>
      </c>
      <c r="K19" s="70" t="s">
        <v>51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2:54" x14ac:dyDescent="0.35">
      <c r="B20" s="51" t="s">
        <v>52</v>
      </c>
      <c r="C20" s="51"/>
      <c r="D20" s="71">
        <v>0</v>
      </c>
      <c r="E20" s="72">
        <v>0</v>
      </c>
      <c r="F20" s="51"/>
      <c r="G20" s="71">
        <v>0</v>
      </c>
      <c r="H20" s="72">
        <v>0</v>
      </c>
      <c r="I20" s="51"/>
      <c r="J20" s="71">
        <f>'[3]AEPTX ERCOT Matrix 2018'!$E$15</f>
        <v>30604049.270935219</v>
      </c>
      <c r="K20" s="180">
        <f>IF(J20=0,J20,ROUND(J20/D$14,4))</f>
        <v>4.6573000000000002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2:54" x14ac:dyDescent="0.35">
      <c r="B21" s="51" t="s">
        <v>53</v>
      </c>
      <c r="C21" s="51"/>
      <c r="D21" s="73"/>
      <c r="E21" s="74"/>
      <c r="F21" s="51"/>
      <c r="G21" s="75">
        <v>0</v>
      </c>
      <c r="H21" s="76">
        <f>IF(G21=0,G21,ROUND(G21/D$13,6))</f>
        <v>0</v>
      </c>
      <c r="I21" s="51"/>
      <c r="J21" s="75">
        <f>'[7]Retail Summary Proposed'!$O$72+'[7]Retail Summary Proposed'!$O$57</f>
        <v>4196817.7520137504</v>
      </c>
      <c r="K21" s="124">
        <f>IF(J21=0,J21,ROUND(J21/D$13,4))</f>
        <v>0.24940000000000001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2:54" x14ac:dyDescent="0.35">
      <c r="B22" s="51" t="s">
        <v>54</v>
      </c>
      <c r="C22" s="51"/>
      <c r="D22" s="77"/>
      <c r="E22" s="78"/>
      <c r="F22" s="51"/>
      <c r="G22" s="79"/>
      <c r="H22" s="78"/>
      <c r="I22" s="51"/>
      <c r="J22" s="73"/>
      <c r="K22" s="80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2:54" x14ac:dyDescent="0.35">
      <c r="B23" s="51" t="s">
        <v>55</v>
      </c>
      <c r="C23" s="51"/>
      <c r="D23" s="81">
        <f>'[7]Retail Summary Proposed'!$O$62</f>
        <v>1019505.1780897417</v>
      </c>
      <c r="E23" s="74">
        <f>IF(D23=0,D23,ROUND(D23/D$11,2))</f>
        <v>999.51</v>
      </c>
      <c r="F23" s="51"/>
      <c r="G23" s="82">
        <v>0</v>
      </c>
      <c r="H23" s="83">
        <v>0</v>
      </c>
      <c r="I23" s="51"/>
      <c r="J23" s="82">
        <v>0</v>
      </c>
      <c r="K23" s="83">
        <v>0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2:54" x14ac:dyDescent="0.35">
      <c r="B24" s="51" t="s">
        <v>56</v>
      </c>
      <c r="C24" s="51"/>
      <c r="D24" s="79"/>
      <c r="E24" s="84"/>
      <c r="F24" s="51"/>
      <c r="G24" s="73"/>
      <c r="H24" s="80"/>
      <c r="I24" s="85"/>
      <c r="J24" s="73"/>
      <c r="K24" s="86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2:54" x14ac:dyDescent="0.35">
      <c r="B25" s="51" t="s">
        <v>57</v>
      </c>
      <c r="C25" s="51"/>
      <c r="D25" s="81"/>
      <c r="E25" s="87">
        <f>IF(D25=0,D25,ROUND(D25/D$11,2))</f>
        <v>0</v>
      </c>
      <c r="F25" s="51"/>
      <c r="G25" s="82">
        <v>0</v>
      </c>
      <c r="H25" s="83">
        <v>0</v>
      </c>
      <c r="I25" s="51"/>
      <c r="J25" s="82"/>
      <c r="K25" s="83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2:54" x14ac:dyDescent="0.35">
      <c r="B26" s="51" t="s">
        <v>58</v>
      </c>
      <c r="C26" s="51"/>
      <c r="D26" s="88">
        <v>0</v>
      </c>
      <c r="E26" s="72">
        <v>0</v>
      </c>
      <c r="F26" s="51"/>
      <c r="G26" s="71">
        <v>0</v>
      </c>
      <c r="H26" s="72">
        <v>0</v>
      </c>
      <c r="I26" s="51"/>
      <c r="J26" s="71">
        <v>0</v>
      </c>
      <c r="K26" s="72">
        <v>0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2:54" x14ac:dyDescent="0.35">
      <c r="B27" s="51" t="s">
        <v>59</v>
      </c>
      <c r="C27" s="51"/>
      <c r="D27" s="79"/>
      <c r="E27" s="78"/>
      <c r="F27" s="51"/>
      <c r="G27" s="73"/>
      <c r="H27" s="80"/>
      <c r="I27" s="85"/>
      <c r="J27" s="73"/>
      <c r="K27" s="86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2:54" x14ac:dyDescent="0.35">
      <c r="B28" s="51" t="s">
        <v>60</v>
      </c>
      <c r="C28" s="51"/>
      <c r="D28" s="81">
        <f>'[7]Retail Summary Proposed'!$O$67</f>
        <v>1775.3967892897176</v>
      </c>
      <c r="E28" s="89">
        <f>IF(D28=0,D28,ROUND(D28/D$11,2))</f>
        <v>1.74</v>
      </c>
      <c r="F28" s="51"/>
      <c r="G28" s="82">
        <v>0</v>
      </c>
      <c r="H28" s="83">
        <v>0</v>
      </c>
      <c r="I28" s="51"/>
      <c r="J28" s="82"/>
      <c r="K28" s="83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2:54" x14ac:dyDescent="0.35">
      <c r="B29" s="90" t="s">
        <v>61</v>
      </c>
      <c r="C29" s="51"/>
      <c r="D29" s="81">
        <f>IF(SUM(D20:D28)&lt;1,D20,SUM(D20:D28))</f>
        <v>1021280.5748790314</v>
      </c>
      <c r="E29" s="91">
        <f>SUM(E20:E28)</f>
        <v>1001.25</v>
      </c>
      <c r="F29" s="92"/>
      <c r="G29" s="81">
        <f>IF(SUM(G20:G28)&lt;1,G20,SUM(G20:G28))</f>
        <v>0</v>
      </c>
      <c r="H29" s="93">
        <f>SUM(H20:H28)</f>
        <v>0</v>
      </c>
      <c r="I29" s="94"/>
      <c r="J29" s="71">
        <f>IF(SUM(J20:J28)&lt;1,J20,SUM(J20:J28))</f>
        <v>34800867.022948965</v>
      </c>
      <c r="K29" s="72">
        <f>IF(SUM(K20:K28)&lt;1,K20,SUM(K20:K28))</f>
        <v>4.9066999999999998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2:54" ht="15" thickBot="1" x14ac:dyDescent="0.4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2:54" ht="16" thickTop="1" x14ac:dyDescent="0.35">
      <c r="B31" s="51"/>
      <c r="C31" s="51"/>
      <c r="D31" s="77" t="s">
        <v>47</v>
      </c>
      <c r="E31" s="51"/>
      <c r="F31" s="51"/>
      <c r="G31" s="95" t="s">
        <v>62</v>
      </c>
      <c r="H31" s="96"/>
      <c r="I31" s="96"/>
      <c r="J31" s="97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2:54" x14ac:dyDescent="0.35">
      <c r="B32" s="51"/>
      <c r="C32" s="51"/>
      <c r="D32" s="98" t="s">
        <v>63</v>
      </c>
      <c r="E32" s="51"/>
      <c r="F32" s="51"/>
      <c r="G32" s="99"/>
      <c r="H32" s="100" t="s">
        <v>64</v>
      </c>
      <c r="I32" s="85"/>
      <c r="J32" s="101" t="s">
        <v>65</v>
      </c>
      <c r="K32" s="54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2:54" x14ac:dyDescent="0.35">
      <c r="B33" s="56" t="s">
        <v>47</v>
      </c>
      <c r="C33" s="51"/>
      <c r="D33" s="69" t="s">
        <v>48</v>
      </c>
      <c r="E33" s="51"/>
      <c r="F33" s="51"/>
      <c r="G33" s="102" t="s">
        <v>8</v>
      </c>
      <c r="H33" s="103" t="s">
        <v>66</v>
      </c>
      <c r="I33" s="85"/>
      <c r="J33" s="104" t="s">
        <v>67</v>
      </c>
      <c r="K33" s="57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2:54" x14ac:dyDescent="0.35">
      <c r="B34" s="51" t="s">
        <v>52</v>
      </c>
      <c r="C34" s="51"/>
      <c r="D34" s="105">
        <f>J20</f>
        <v>30604049.270935219</v>
      </c>
      <c r="E34" s="51"/>
      <c r="F34" s="51"/>
      <c r="G34" s="106"/>
      <c r="H34" s="85"/>
      <c r="I34" s="85"/>
      <c r="J34" s="107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2:54" x14ac:dyDescent="0.35">
      <c r="B35" s="51" t="s">
        <v>53</v>
      </c>
      <c r="C35" s="51"/>
      <c r="D35" s="108">
        <f>D21+G21+J21</f>
        <v>4196817.7520137504</v>
      </c>
      <c r="E35" s="51"/>
      <c r="F35" s="51"/>
      <c r="G35" s="109" t="s">
        <v>68</v>
      </c>
      <c r="H35" s="110">
        <f>E29</f>
        <v>1001.25</v>
      </c>
      <c r="I35" s="85"/>
      <c r="J35" s="111">
        <f>ROUND(+H35*D11,0)</f>
        <v>1021275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2:54" x14ac:dyDescent="0.35">
      <c r="B36" s="51" t="s">
        <v>54</v>
      </c>
      <c r="C36" s="51"/>
      <c r="D36" s="112"/>
      <c r="E36" s="51"/>
      <c r="F36" s="51"/>
      <c r="G36" s="106" t="s">
        <v>126</v>
      </c>
      <c r="H36" s="110">
        <f>K20</f>
        <v>4.6573000000000002</v>
      </c>
      <c r="I36" s="85"/>
      <c r="J36" s="114">
        <f>ROUND(+H36*D14,0)</f>
        <v>30603976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2:54" x14ac:dyDescent="0.35">
      <c r="B37" s="51" t="s">
        <v>55</v>
      </c>
      <c r="C37" s="51"/>
      <c r="D37" s="81">
        <f>D23+G23+J23</f>
        <v>1019505.1780897417</v>
      </c>
      <c r="E37" s="51"/>
      <c r="F37" s="51"/>
      <c r="G37" s="106" t="s">
        <v>75</v>
      </c>
      <c r="H37" s="123">
        <f>K21</f>
        <v>0.24940000000000001</v>
      </c>
      <c r="I37" s="85" t="s">
        <v>69</v>
      </c>
      <c r="J37" s="114">
        <f>ROUND(+H37*D13,0)</f>
        <v>4197297</v>
      </c>
      <c r="K37" s="116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2:54" ht="15" thickBot="1" x14ac:dyDescent="0.4">
      <c r="B38" s="51" t="s">
        <v>56</v>
      </c>
      <c r="C38" s="51"/>
      <c r="D38" s="112"/>
      <c r="E38" s="51"/>
      <c r="F38" s="51"/>
      <c r="G38" s="106" t="s">
        <v>70</v>
      </c>
      <c r="H38" s="85"/>
      <c r="I38" s="85"/>
      <c r="J38" s="115">
        <f>SUM(J35:J37)</f>
        <v>35822548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2:54" ht="15" thickTop="1" x14ac:dyDescent="0.35">
      <c r="B39" s="51" t="s">
        <v>57</v>
      </c>
      <c r="C39" s="51"/>
      <c r="D39" s="81">
        <f>D25+G25+J25</f>
        <v>0</v>
      </c>
      <c r="E39" s="51"/>
      <c r="F39" s="51"/>
      <c r="G39" s="106"/>
      <c r="H39" s="85"/>
      <c r="I39" s="85"/>
      <c r="J39" s="117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2:54" x14ac:dyDescent="0.35">
      <c r="B40" s="51" t="s">
        <v>58</v>
      </c>
      <c r="C40" s="51"/>
      <c r="D40" s="88">
        <v>0</v>
      </c>
      <c r="E40" s="51"/>
      <c r="F40" s="51"/>
      <c r="G40" s="118" t="s">
        <v>76</v>
      </c>
      <c r="H40" s="85"/>
      <c r="I40" s="85"/>
      <c r="J40" s="107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2:54" ht="15" thickBot="1" x14ac:dyDescent="0.4">
      <c r="B41" s="51" t="s">
        <v>59</v>
      </c>
      <c r="C41" s="51"/>
      <c r="D41" s="112"/>
      <c r="E41" s="51"/>
      <c r="F41" s="51"/>
      <c r="G41" s="119"/>
      <c r="H41" s="120"/>
      <c r="I41" s="120"/>
      <c r="J41" s="12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2:54" ht="15" thickTop="1" x14ac:dyDescent="0.35">
      <c r="B42" s="51" t="s">
        <v>60</v>
      </c>
      <c r="C42" s="51"/>
      <c r="D42" s="81">
        <f>D28+G28+J28</f>
        <v>1775.3967892897176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2:54" x14ac:dyDescent="0.35">
      <c r="B43" s="90" t="s">
        <v>61</v>
      </c>
      <c r="C43" s="51"/>
      <c r="D43" s="81">
        <f>SUM(D34:D42)</f>
        <v>35822147.597828001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2:54" x14ac:dyDescent="0.35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2:54" x14ac:dyDescent="0.35">
      <c r="B45" s="51"/>
      <c r="C45" s="51"/>
      <c r="D45" s="178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2:54" x14ac:dyDescent="0.35">
      <c r="B46" s="51"/>
      <c r="C46" s="51"/>
      <c r="D46" s="178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2:54" x14ac:dyDescent="0.35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2:54" x14ac:dyDescent="0.35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2:54" x14ac:dyDescent="0.3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2:54" x14ac:dyDescent="0.3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2:54" x14ac:dyDescent="0.3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2:54" x14ac:dyDescent="0.3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2:54" x14ac:dyDescent="0.3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2:54" x14ac:dyDescent="0.3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2:54" x14ac:dyDescent="0.3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2:54" x14ac:dyDescent="0.3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2:54" x14ac:dyDescent="0.3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2:54" x14ac:dyDescent="0.3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2:54" x14ac:dyDescent="0.3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2:54" x14ac:dyDescent="0.3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2:54" x14ac:dyDescent="0.3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2:54" x14ac:dyDescent="0.3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2:54" x14ac:dyDescent="0.3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3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2:54" x14ac:dyDescent="0.3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2:54" x14ac:dyDescent="0.3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2:54" x14ac:dyDescent="0.3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2:54" x14ac:dyDescent="0.3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2:54" x14ac:dyDescent="0.3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2:54" x14ac:dyDescent="0.3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2:54" x14ac:dyDescent="0.3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2:54" x14ac:dyDescent="0.3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</row>
    <row r="73" spans="2:54" x14ac:dyDescent="0.3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</row>
    <row r="74" spans="2:54" x14ac:dyDescent="0.3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</row>
    <row r="75" spans="2:54" x14ac:dyDescent="0.3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2:54" x14ac:dyDescent="0.3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</row>
    <row r="77" spans="2:54" x14ac:dyDescent="0.3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</row>
    <row r="78" spans="2:54" x14ac:dyDescent="0.3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</row>
    <row r="79" spans="2:54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</row>
    <row r="80" spans="2:54" x14ac:dyDescent="0.3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</row>
    <row r="81" spans="2:54" x14ac:dyDescent="0.3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</row>
    <row r="82" spans="2:54" x14ac:dyDescent="0.3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</row>
    <row r="83" spans="2:54" x14ac:dyDescent="0.3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</row>
    <row r="84" spans="2:54" x14ac:dyDescent="0.3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</row>
    <row r="85" spans="2:54" x14ac:dyDescent="0.3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</row>
    <row r="86" spans="2:54" x14ac:dyDescent="0.3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</row>
    <row r="87" spans="2:54" x14ac:dyDescent="0.3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</row>
    <row r="88" spans="2:54" x14ac:dyDescent="0.3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</row>
    <row r="89" spans="2:54" x14ac:dyDescent="0.3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</row>
    <row r="90" spans="2:54" x14ac:dyDescent="0.3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</row>
    <row r="91" spans="2:54" x14ac:dyDescent="0.3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</row>
    <row r="92" spans="2:54" x14ac:dyDescent="0.35">
      <c r="G92" s="51"/>
      <c r="H92" s="51"/>
      <c r="I92" s="51"/>
      <c r="J92" s="51"/>
    </row>
  </sheetData>
  <mergeCells count="1">
    <mergeCell ref="D17:E17"/>
  </mergeCells>
  <printOptions horizontalCentered="1"/>
  <pageMargins left="0.7" right="0.7" top="0.75" bottom="0.75" header="0.3" footer="0.3"/>
  <pageSetup scale="65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92"/>
  <sheetViews>
    <sheetView topLeftCell="A13" workbookViewId="0">
      <selection activeCell="J38" sqref="J38"/>
    </sheetView>
  </sheetViews>
  <sheetFormatPr defaultColWidth="12.54296875" defaultRowHeight="14.5" x14ac:dyDescent="0.35"/>
  <cols>
    <col min="1" max="1" width="2.1796875" style="52" customWidth="1"/>
    <col min="2" max="2" width="32.26953125" style="52" bestFit="1" customWidth="1"/>
    <col min="3" max="3" width="2.26953125" style="52" customWidth="1"/>
    <col min="4" max="4" width="16.81640625" style="52" bestFit="1" customWidth="1"/>
    <col min="5" max="5" width="18.7265625" style="52" bestFit="1" customWidth="1"/>
    <col min="6" max="6" width="2.26953125" style="52" customWidth="1"/>
    <col min="7" max="7" width="27.7265625" style="52" customWidth="1"/>
    <col min="8" max="8" width="12.7265625" style="52" bestFit="1" customWidth="1"/>
    <col min="9" max="9" width="2.26953125" style="52" customWidth="1"/>
    <col min="10" max="10" width="18.453125" style="52" customWidth="1"/>
    <col min="11" max="256" width="12.54296875" style="52"/>
    <col min="257" max="257" width="2.1796875" style="52" customWidth="1"/>
    <col min="258" max="258" width="32.26953125" style="52" bestFit="1" customWidth="1"/>
    <col min="259" max="259" width="2.26953125" style="52" customWidth="1"/>
    <col min="260" max="260" width="16.81640625" style="52" bestFit="1" customWidth="1"/>
    <col min="261" max="261" width="12.54296875" style="52"/>
    <col min="262" max="262" width="2.26953125" style="52" customWidth="1"/>
    <col min="263" max="263" width="19.7265625" style="52" customWidth="1"/>
    <col min="264" max="264" width="12.7265625" style="52" bestFit="1" customWidth="1"/>
    <col min="265" max="265" width="2.26953125" style="52" customWidth="1"/>
    <col min="266" max="266" width="16.54296875" style="52" bestFit="1" customWidth="1"/>
    <col min="267" max="512" width="12.54296875" style="52"/>
    <col min="513" max="513" width="2.1796875" style="52" customWidth="1"/>
    <col min="514" max="514" width="32.26953125" style="52" bestFit="1" customWidth="1"/>
    <col min="515" max="515" width="2.26953125" style="52" customWidth="1"/>
    <col min="516" max="516" width="16.81640625" style="52" bestFit="1" customWidth="1"/>
    <col min="517" max="517" width="12.54296875" style="52"/>
    <col min="518" max="518" width="2.26953125" style="52" customWidth="1"/>
    <col min="519" max="519" width="19.7265625" style="52" customWidth="1"/>
    <col min="520" max="520" width="12.7265625" style="52" bestFit="1" customWidth="1"/>
    <col min="521" max="521" width="2.26953125" style="52" customWidth="1"/>
    <col min="522" max="522" width="16.54296875" style="52" bestFit="1" customWidth="1"/>
    <col min="523" max="768" width="12.54296875" style="52"/>
    <col min="769" max="769" width="2.1796875" style="52" customWidth="1"/>
    <col min="770" max="770" width="32.26953125" style="52" bestFit="1" customWidth="1"/>
    <col min="771" max="771" width="2.26953125" style="52" customWidth="1"/>
    <col min="772" max="772" width="16.81640625" style="52" bestFit="1" customWidth="1"/>
    <col min="773" max="773" width="12.54296875" style="52"/>
    <col min="774" max="774" width="2.26953125" style="52" customWidth="1"/>
    <col min="775" max="775" width="19.7265625" style="52" customWidth="1"/>
    <col min="776" max="776" width="12.7265625" style="52" bestFit="1" customWidth="1"/>
    <col min="777" max="777" width="2.26953125" style="52" customWidth="1"/>
    <col min="778" max="778" width="16.54296875" style="52" bestFit="1" customWidth="1"/>
    <col min="779" max="1024" width="12.54296875" style="52"/>
    <col min="1025" max="1025" width="2.1796875" style="52" customWidth="1"/>
    <col min="1026" max="1026" width="32.26953125" style="52" bestFit="1" customWidth="1"/>
    <col min="1027" max="1027" width="2.26953125" style="52" customWidth="1"/>
    <col min="1028" max="1028" width="16.81640625" style="52" bestFit="1" customWidth="1"/>
    <col min="1029" max="1029" width="12.54296875" style="52"/>
    <col min="1030" max="1030" width="2.26953125" style="52" customWidth="1"/>
    <col min="1031" max="1031" width="19.7265625" style="52" customWidth="1"/>
    <col min="1032" max="1032" width="12.7265625" style="52" bestFit="1" customWidth="1"/>
    <col min="1033" max="1033" width="2.26953125" style="52" customWidth="1"/>
    <col min="1034" max="1034" width="16.54296875" style="52" bestFit="1" customWidth="1"/>
    <col min="1035" max="1280" width="12.54296875" style="52"/>
    <col min="1281" max="1281" width="2.1796875" style="52" customWidth="1"/>
    <col min="1282" max="1282" width="32.26953125" style="52" bestFit="1" customWidth="1"/>
    <col min="1283" max="1283" width="2.26953125" style="52" customWidth="1"/>
    <col min="1284" max="1284" width="16.81640625" style="52" bestFit="1" customWidth="1"/>
    <col min="1285" max="1285" width="12.54296875" style="52"/>
    <col min="1286" max="1286" width="2.26953125" style="52" customWidth="1"/>
    <col min="1287" max="1287" width="19.7265625" style="52" customWidth="1"/>
    <col min="1288" max="1288" width="12.7265625" style="52" bestFit="1" customWidth="1"/>
    <col min="1289" max="1289" width="2.26953125" style="52" customWidth="1"/>
    <col min="1290" max="1290" width="16.54296875" style="52" bestFit="1" customWidth="1"/>
    <col min="1291" max="1536" width="12.54296875" style="52"/>
    <col min="1537" max="1537" width="2.1796875" style="52" customWidth="1"/>
    <col min="1538" max="1538" width="32.26953125" style="52" bestFit="1" customWidth="1"/>
    <col min="1539" max="1539" width="2.26953125" style="52" customWidth="1"/>
    <col min="1540" max="1540" width="16.81640625" style="52" bestFit="1" customWidth="1"/>
    <col min="1541" max="1541" width="12.54296875" style="52"/>
    <col min="1542" max="1542" width="2.26953125" style="52" customWidth="1"/>
    <col min="1543" max="1543" width="19.7265625" style="52" customWidth="1"/>
    <col min="1544" max="1544" width="12.7265625" style="52" bestFit="1" customWidth="1"/>
    <col min="1545" max="1545" width="2.26953125" style="52" customWidth="1"/>
    <col min="1546" max="1546" width="16.54296875" style="52" bestFit="1" customWidth="1"/>
    <col min="1547" max="1792" width="12.54296875" style="52"/>
    <col min="1793" max="1793" width="2.1796875" style="52" customWidth="1"/>
    <col min="1794" max="1794" width="32.26953125" style="52" bestFit="1" customWidth="1"/>
    <col min="1795" max="1795" width="2.26953125" style="52" customWidth="1"/>
    <col min="1796" max="1796" width="16.81640625" style="52" bestFit="1" customWidth="1"/>
    <col min="1797" max="1797" width="12.54296875" style="52"/>
    <col min="1798" max="1798" width="2.26953125" style="52" customWidth="1"/>
    <col min="1799" max="1799" width="19.7265625" style="52" customWidth="1"/>
    <col min="1800" max="1800" width="12.7265625" style="52" bestFit="1" customWidth="1"/>
    <col min="1801" max="1801" width="2.26953125" style="52" customWidth="1"/>
    <col min="1802" max="1802" width="16.54296875" style="52" bestFit="1" customWidth="1"/>
    <col min="1803" max="2048" width="12.54296875" style="52"/>
    <col min="2049" max="2049" width="2.1796875" style="52" customWidth="1"/>
    <col min="2050" max="2050" width="32.26953125" style="52" bestFit="1" customWidth="1"/>
    <col min="2051" max="2051" width="2.26953125" style="52" customWidth="1"/>
    <col min="2052" max="2052" width="16.81640625" style="52" bestFit="1" customWidth="1"/>
    <col min="2053" max="2053" width="12.54296875" style="52"/>
    <col min="2054" max="2054" width="2.26953125" style="52" customWidth="1"/>
    <col min="2055" max="2055" width="19.7265625" style="52" customWidth="1"/>
    <col min="2056" max="2056" width="12.7265625" style="52" bestFit="1" customWidth="1"/>
    <col min="2057" max="2057" width="2.26953125" style="52" customWidth="1"/>
    <col min="2058" max="2058" width="16.54296875" style="52" bestFit="1" customWidth="1"/>
    <col min="2059" max="2304" width="12.54296875" style="52"/>
    <col min="2305" max="2305" width="2.1796875" style="52" customWidth="1"/>
    <col min="2306" max="2306" width="32.26953125" style="52" bestFit="1" customWidth="1"/>
    <col min="2307" max="2307" width="2.26953125" style="52" customWidth="1"/>
    <col min="2308" max="2308" width="16.81640625" style="52" bestFit="1" customWidth="1"/>
    <col min="2309" max="2309" width="12.54296875" style="52"/>
    <col min="2310" max="2310" width="2.26953125" style="52" customWidth="1"/>
    <col min="2311" max="2311" width="19.7265625" style="52" customWidth="1"/>
    <col min="2312" max="2312" width="12.7265625" style="52" bestFit="1" customWidth="1"/>
    <col min="2313" max="2313" width="2.26953125" style="52" customWidth="1"/>
    <col min="2314" max="2314" width="16.54296875" style="52" bestFit="1" customWidth="1"/>
    <col min="2315" max="2560" width="12.54296875" style="52"/>
    <col min="2561" max="2561" width="2.1796875" style="52" customWidth="1"/>
    <col min="2562" max="2562" width="32.26953125" style="52" bestFit="1" customWidth="1"/>
    <col min="2563" max="2563" width="2.26953125" style="52" customWidth="1"/>
    <col min="2564" max="2564" width="16.81640625" style="52" bestFit="1" customWidth="1"/>
    <col min="2565" max="2565" width="12.54296875" style="52"/>
    <col min="2566" max="2566" width="2.26953125" style="52" customWidth="1"/>
    <col min="2567" max="2567" width="19.7265625" style="52" customWidth="1"/>
    <col min="2568" max="2568" width="12.7265625" style="52" bestFit="1" customWidth="1"/>
    <col min="2569" max="2569" width="2.26953125" style="52" customWidth="1"/>
    <col min="2570" max="2570" width="16.54296875" style="52" bestFit="1" customWidth="1"/>
    <col min="2571" max="2816" width="12.54296875" style="52"/>
    <col min="2817" max="2817" width="2.1796875" style="52" customWidth="1"/>
    <col min="2818" max="2818" width="32.26953125" style="52" bestFit="1" customWidth="1"/>
    <col min="2819" max="2819" width="2.26953125" style="52" customWidth="1"/>
    <col min="2820" max="2820" width="16.81640625" style="52" bestFit="1" customWidth="1"/>
    <col min="2821" max="2821" width="12.54296875" style="52"/>
    <col min="2822" max="2822" width="2.26953125" style="52" customWidth="1"/>
    <col min="2823" max="2823" width="19.7265625" style="52" customWidth="1"/>
    <col min="2824" max="2824" width="12.7265625" style="52" bestFit="1" customWidth="1"/>
    <col min="2825" max="2825" width="2.26953125" style="52" customWidth="1"/>
    <col min="2826" max="2826" width="16.54296875" style="52" bestFit="1" customWidth="1"/>
    <col min="2827" max="3072" width="12.54296875" style="52"/>
    <col min="3073" max="3073" width="2.1796875" style="52" customWidth="1"/>
    <col min="3074" max="3074" width="32.26953125" style="52" bestFit="1" customWidth="1"/>
    <col min="3075" max="3075" width="2.26953125" style="52" customWidth="1"/>
    <col min="3076" max="3076" width="16.81640625" style="52" bestFit="1" customWidth="1"/>
    <col min="3077" max="3077" width="12.54296875" style="52"/>
    <col min="3078" max="3078" width="2.26953125" style="52" customWidth="1"/>
    <col min="3079" max="3079" width="19.7265625" style="52" customWidth="1"/>
    <col min="3080" max="3080" width="12.7265625" style="52" bestFit="1" customWidth="1"/>
    <col min="3081" max="3081" width="2.26953125" style="52" customWidth="1"/>
    <col min="3082" max="3082" width="16.54296875" style="52" bestFit="1" customWidth="1"/>
    <col min="3083" max="3328" width="12.54296875" style="52"/>
    <col min="3329" max="3329" width="2.1796875" style="52" customWidth="1"/>
    <col min="3330" max="3330" width="32.26953125" style="52" bestFit="1" customWidth="1"/>
    <col min="3331" max="3331" width="2.26953125" style="52" customWidth="1"/>
    <col min="3332" max="3332" width="16.81640625" style="52" bestFit="1" customWidth="1"/>
    <col min="3333" max="3333" width="12.54296875" style="52"/>
    <col min="3334" max="3334" width="2.26953125" style="52" customWidth="1"/>
    <col min="3335" max="3335" width="19.7265625" style="52" customWidth="1"/>
    <col min="3336" max="3336" width="12.7265625" style="52" bestFit="1" customWidth="1"/>
    <col min="3337" max="3337" width="2.26953125" style="52" customWidth="1"/>
    <col min="3338" max="3338" width="16.54296875" style="52" bestFit="1" customWidth="1"/>
    <col min="3339" max="3584" width="12.54296875" style="52"/>
    <col min="3585" max="3585" width="2.1796875" style="52" customWidth="1"/>
    <col min="3586" max="3586" width="32.26953125" style="52" bestFit="1" customWidth="1"/>
    <col min="3587" max="3587" width="2.26953125" style="52" customWidth="1"/>
    <col min="3588" max="3588" width="16.81640625" style="52" bestFit="1" customWidth="1"/>
    <col min="3589" max="3589" width="12.54296875" style="52"/>
    <col min="3590" max="3590" width="2.26953125" style="52" customWidth="1"/>
    <col min="3591" max="3591" width="19.7265625" style="52" customWidth="1"/>
    <col min="3592" max="3592" width="12.7265625" style="52" bestFit="1" customWidth="1"/>
    <col min="3593" max="3593" width="2.26953125" style="52" customWidth="1"/>
    <col min="3594" max="3594" width="16.54296875" style="52" bestFit="1" customWidth="1"/>
    <col min="3595" max="3840" width="12.54296875" style="52"/>
    <col min="3841" max="3841" width="2.1796875" style="52" customWidth="1"/>
    <col min="3842" max="3842" width="32.26953125" style="52" bestFit="1" customWidth="1"/>
    <col min="3843" max="3843" width="2.26953125" style="52" customWidth="1"/>
    <col min="3844" max="3844" width="16.81640625" style="52" bestFit="1" customWidth="1"/>
    <col min="3845" max="3845" width="12.54296875" style="52"/>
    <col min="3846" max="3846" width="2.26953125" style="52" customWidth="1"/>
    <col min="3847" max="3847" width="19.7265625" style="52" customWidth="1"/>
    <col min="3848" max="3848" width="12.7265625" style="52" bestFit="1" customWidth="1"/>
    <col min="3849" max="3849" width="2.26953125" style="52" customWidth="1"/>
    <col min="3850" max="3850" width="16.54296875" style="52" bestFit="1" customWidth="1"/>
    <col min="3851" max="4096" width="12.54296875" style="52"/>
    <col min="4097" max="4097" width="2.1796875" style="52" customWidth="1"/>
    <col min="4098" max="4098" width="32.26953125" style="52" bestFit="1" customWidth="1"/>
    <col min="4099" max="4099" width="2.26953125" style="52" customWidth="1"/>
    <col min="4100" max="4100" width="16.81640625" style="52" bestFit="1" customWidth="1"/>
    <col min="4101" max="4101" width="12.54296875" style="52"/>
    <col min="4102" max="4102" width="2.26953125" style="52" customWidth="1"/>
    <col min="4103" max="4103" width="19.7265625" style="52" customWidth="1"/>
    <col min="4104" max="4104" width="12.7265625" style="52" bestFit="1" customWidth="1"/>
    <col min="4105" max="4105" width="2.26953125" style="52" customWidth="1"/>
    <col min="4106" max="4106" width="16.54296875" style="52" bestFit="1" customWidth="1"/>
    <col min="4107" max="4352" width="12.54296875" style="52"/>
    <col min="4353" max="4353" width="2.1796875" style="52" customWidth="1"/>
    <col min="4354" max="4354" width="32.26953125" style="52" bestFit="1" customWidth="1"/>
    <col min="4355" max="4355" width="2.26953125" style="52" customWidth="1"/>
    <col min="4356" max="4356" width="16.81640625" style="52" bestFit="1" customWidth="1"/>
    <col min="4357" max="4357" width="12.54296875" style="52"/>
    <col min="4358" max="4358" width="2.26953125" style="52" customWidth="1"/>
    <col min="4359" max="4359" width="19.7265625" style="52" customWidth="1"/>
    <col min="4360" max="4360" width="12.7265625" style="52" bestFit="1" customWidth="1"/>
    <col min="4361" max="4361" width="2.26953125" style="52" customWidth="1"/>
    <col min="4362" max="4362" width="16.54296875" style="52" bestFit="1" customWidth="1"/>
    <col min="4363" max="4608" width="12.54296875" style="52"/>
    <col min="4609" max="4609" width="2.1796875" style="52" customWidth="1"/>
    <col min="4610" max="4610" width="32.26953125" style="52" bestFit="1" customWidth="1"/>
    <col min="4611" max="4611" width="2.26953125" style="52" customWidth="1"/>
    <col min="4612" max="4612" width="16.81640625" style="52" bestFit="1" customWidth="1"/>
    <col min="4613" max="4613" width="12.54296875" style="52"/>
    <col min="4614" max="4614" width="2.26953125" style="52" customWidth="1"/>
    <col min="4615" max="4615" width="19.7265625" style="52" customWidth="1"/>
    <col min="4616" max="4616" width="12.7265625" style="52" bestFit="1" customWidth="1"/>
    <col min="4617" max="4617" width="2.26953125" style="52" customWidth="1"/>
    <col min="4618" max="4618" width="16.54296875" style="52" bestFit="1" customWidth="1"/>
    <col min="4619" max="4864" width="12.54296875" style="52"/>
    <col min="4865" max="4865" width="2.1796875" style="52" customWidth="1"/>
    <col min="4866" max="4866" width="32.26953125" style="52" bestFit="1" customWidth="1"/>
    <col min="4867" max="4867" width="2.26953125" style="52" customWidth="1"/>
    <col min="4868" max="4868" width="16.81640625" style="52" bestFit="1" customWidth="1"/>
    <col min="4869" max="4869" width="12.54296875" style="52"/>
    <col min="4870" max="4870" width="2.26953125" style="52" customWidth="1"/>
    <col min="4871" max="4871" width="19.7265625" style="52" customWidth="1"/>
    <col min="4872" max="4872" width="12.7265625" style="52" bestFit="1" customWidth="1"/>
    <col min="4873" max="4873" width="2.26953125" style="52" customWidth="1"/>
    <col min="4874" max="4874" width="16.54296875" style="52" bestFit="1" customWidth="1"/>
    <col min="4875" max="5120" width="12.54296875" style="52"/>
    <col min="5121" max="5121" width="2.1796875" style="52" customWidth="1"/>
    <col min="5122" max="5122" width="32.26953125" style="52" bestFit="1" customWidth="1"/>
    <col min="5123" max="5123" width="2.26953125" style="52" customWidth="1"/>
    <col min="5124" max="5124" width="16.81640625" style="52" bestFit="1" customWidth="1"/>
    <col min="5125" max="5125" width="12.54296875" style="52"/>
    <col min="5126" max="5126" width="2.26953125" style="52" customWidth="1"/>
    <col min="5127" max="5127" width="19.7265625" style="52" customWidth="1"/>
    <col min="5128" max="5128" width="12.7265625" style="52" bestFit="1" customWidth="1"/>
    <col min="5129" max="5129" width="2.26953125" style="52" customWidth="1"/>
    <col min="5130" max="5130" width="16.54296875" style="52" bestFit="1" customWidth="1"/>
    <col min="5131" max="5376" width="12.54296875" style="52"/>
    <col min="5377" max="5377" width="2.1796875" style="52" customWidth="1"/>
    <col min="5378" max="5378" width="32.26953125" style="52" bestFit="1" customWidth="1"/>
    <col min="5379" max="5379" width="2.26953125" style="52" customWidth="1"/>
    <col min="5380" max="5380" width="16.81640625" style="52" bestFit="1" customWidth="1"/>
    <col min="5381" max="5381" width="12.54296875" style="52"/>
    <col min="5382" max="5382" width="2.26953125" style="52" customWidth="1"/>
    <col min="5383" max="5383" width="19.7265625" style="52" customWidth="1"/>
    <col min="5384" max="5384" width="12.7265625" style="52" bestFit="1" customWidth="1"/>
    <col min="5385" max="5385" width="2.26953125" style="52" customWidth="1"/>
    <col min="5386" max="5386" width="16.54296875" style="52" bestFit="1" customWidth="1"/>
    <col min="5387" max="5632" width="12.54296875" style="52"/>
    <col min="5633" max="5633" width="2.1796875" style="52" customWidth="1"/>
    <col min="5634" max="5634" width="32.26953125" style="52" bestFit="1" customWidth="1"/>
    <col min="5635" max="5635" width="2.26953125" style="52" customWidth="1"/>
    <col min="5636" max="5636" width="16.81640625" style="52" bestFit="1" customWidth="1"/>
    <col min="5637" max="5637" width="12.54296875" style="52"/>
    <col min="5638" max="5638" width="2.26953125" style="52" customWidth="1"/>
    <col min="5639" max="5639" width="19.7265625" style="52" customWidth="1"/>
    <col min="5640" max="5640" width="12.7265625" style="52" bestFit="1" customWidth="1"/>
    <col min="5641" max="5641" width="2.26953125" style="52" customWidth="1"/>
    <col min="5642" max="5642" width="16.54296875" style="52" bestFit="1" customWidth="1"/>
    <col min="5643" max="5888" width="12.54296875" style="52"/>
    <col min="5889" max="5889" width="2.1796875" style="52" customWidth="1"/>
    <col min="5890" max="5890" width="32.26953125" style="52" bestFit="1" customWidth="1"/>
    <col min="5891" max="5891" width="2.26953125" style="52" customWidth="1"/>
    <col min="5892" max="5892" width="16.81640625" style="52" bestFit="1" customWidth="1"/>
    <col min="5893" max="5893" width="12.54296875" style="52"/>
    <col min="5894" max="5894" width="2.26953125" style="52" customWidth="1"/>
    <col min="5895" max="5895" width="19.7265625" style="52" customWidth="1"/>
    <col min="5896" max="5896" width="12.7265625" style="52" bestFit="1" customWidth="1"/>
    <col min="5897" max="5897" width="2.26953125" style="52" customWidth="1"/>
    <col min="5898" max="5898" width="16.54296875" style="52" bestFit="1" customWidth="1"/>
    <col min="5899" max="6144" width="12.54296875" style="52"/>
    <col min="6145" max="6145" width="2.1796875" style="52" customWidth="1"/>
    <col min="6146" max="6146" width="32.26953125" style="52" bestFit="1" customWidth="1"/>
    <col min="6147" max="6147" width="2.26953125" style="52" customWidth="1"/>
    <col min="6148" max="6148" width="16.81640625" style="52" bestFit="1" customWidth="1"/>
    <col min="6149" max="6149" width="12.54296875" style="52"/>
    <col min="6150" max="6150" width="2.26953125" style="52" customWidth="1"/>
    <col min="6151" max="6151" width="19.7265625" style="52" customWidth="1"/>
    <col min="6152" max="6152" width="12.7265625" style="52" bestFit="1" customWidth="1"/>
    <col min="6153" max="6153" width="2.26953125" style="52" customWidth="1"/>
    <col min="6154" max="6154" width="16.54296875" style="52" bestFit="1" customWidth="1"/>
    <col min="6155" max="6400" width="12.54296875" style="52"/>
    <col min="6401" max="6401" width="2.1796875" style="52" customWidth="1"/>
    <col min="6402" max="6402" width="32.26953125" style="52" bestFit="1" customWidth="1"/>
    <col min="6403" max="6403" width="2.26953125" style="52" customWidth="1"/>
    <col min="6404" max="6404" width="16.81640625" style="52" bestFit="1" customWidth="1"/>
    <col min="6405" max="6405" width="12.54296875" style="52"/>
    <col min="6406" max="6406" width="2.26953125" style="52" customWidth="1"/>
    <col min="6407" max="6407" width="19.7265625" style="52" customWidth="1"/>
    <col min="6408" max="6408" width="12.7265625" style="52" bestFit="1" customWidth="1"/>
    <col min="6409" max="6409" width="2.26953125" style="52" customWidth="1"/>
    <col min="6410" max="6410" width="16.54296875" style="52" bestFit="1" customWidth="1"/>
    <col min="6411" max="6656" width="12.54296875" style="52"/>
    <col min="6657" max="6657" width="2.1796875" style="52" customWidth="1"/>
    <col min="6658" max="6658" width="32.26953125" style="52" bestFit="1" customWidth="1"/>
    <col min="6659" max="6659" width="2.26953125" style="52" customWidth="1"/>
    <col min="6660" max="6660" width="16.81640625" style="52" bestFit="1" customWidth="1"/>
    <col min="6661" max="6661" width="12.54296875" style="52"/>
    <col min="6662" max="6662" width="2.26953125" style="52" customWidth="1"/>
    <col min="6663" max="6663" width="19.7265625" style="52" customWidth="1"/>
    <col min="6664" max="6664" width="12.7265625" style="52" bestFit="1" customWidth="1"/>
    <col min="6665" max="6665" width="2.26953125" style="52" customWidth="1"/>
    <col min="6666" max="6666" width="16.54296875" style="52" bestFit="1" customWidth="1"/>
    <col min="6667" max="6912" width="12.54296875" style="52"/>
    <col min="6913" max="6913" width="2.1796875" style="52" customWidth="1"/>
    <col min="6914" max="6914" width="32.26953125" style="52" bestFit="1" customWidth="1"/>
    <col min="6915" max="6915" width="2.26953125" style="52" customWidth="1"/>
    <col min="6916" max="6916" width="16.81640625" style="52" bestFit="1" customWidth="1"/>
    <col min="6917" max="6917" width="12.54296875" style="52"/>
    <col min="6918" max="6918" width="2.26953125" style="52" customWidth="1"/>
    <col min="6919" max="6919" width="19.7265625" style="52" customWidth="1"/>
    <col min="6920" max="6920" width="12.7265625" style="52" bestFit="1" customWidth="1"/>
    <col min="6921" max="6921" width="2.26953125" style="52" customWidth="1"/>
    <col min="6922" max="6922" width="16.54296875" style="52" bestFit="1" customWidth="1"/>
    <col min="6923" max="7168" width="12.54296875" style="52"/>
    <col min="7169" max="7169" width="2.1796875" style="52" customWidth="1"/>
    <col min="7170" max="7170" width="32.26953125" style="52" bestFit="1" customWidth="1"/>
    <col min="7171" max="7171" width="2.26953125" style="52" customWidth="1"/>
    <col min="7172" max="7172" width="16.81640625" style="52" bestFit="1" customWidth="1"/>
    <col min="7173" max="7173" width="12.54296875" style="52"/>
    <col min="7174" max="7174" width="2.26953125" style="52" customWidth="1"/>
    <col min="7175" max="7175" width="19.7265625" style="52" customWidth="1"/>
    <col min="7176" max="7176" width="12.7265625" style="52" bestFit="1" customWidth="1"/>
    <col min="7177" max="7177" width="2.26953125" style="52" customWidth="1"/>
    <col min="7178" max="7178" width="16.54296875" style="52" bestFit="1" customWidth="1"/>
    <col min="7179" max="7424" width="12.54296875" style="52"/>
    <col min="7425" max="7425" width="2.1796875" style="52" customWidth="1"/>
    <col min="7426" max="7426" width="32.26953125" style="52" bestFit="1" customWidth="1"/>
    <col min="7427" max="7427" width="2.26953125" style="52" customWidth="1"/>
    <col min="7428" max="7428" width="16.81640625" style="52" bestFit="1" customWidth="1"/>
    <col min="7429" max="7429" width="12.54296875" style="52"/>
    <col min="7430" max="7430" width="2.26953125" style="52" customWidth="1"/>
    <col min="7431" max="7431" width="19.7265625" style="52" customWidth="1"/>
    <col min="7432" max="7432" width="12.7265625" style="52" bestFit="1" customWidth="1"/>
    <col min="7433" max="7433" width="2.26953125" style="52" customWidth="1"/>
    <col min="7434" max="7434" width="16.54296875" style="52" bestFit="1" customWidth="1"/>
    <col min="7435" max="7680" width="12.54296875" style="52"/>
    <col min="7681" max="7681" width="2.1796875" style="52" customWidth="1"/>
    <col min="7682" max="7682" width="32.26953125" style="52" bestFit="1" customWidth="1"/>
    <col min="7683" max="7683" width="2.26953125" style="52" customWidth="1"/>
    <col min="7684" max="7684" width="16.81640625" style="52" bestFit="1" customWidth="1"/>
    <col min="7685" max="7685" width="12.54296875" style="52"/>
    <col min="7686" max="7686" width="2.26953125" style="52" customWidth="1"/>
    <col min="7687" max="7687" width="19.7265625" style="52" customWidth="1"/>
    <col min="7688" max="7688" width="12.7265625" style="52" bestFit="1" customWidth="1"/>
    <col min="7689" max="7689" width="2.26953125" style="52" customWidth="1"/>
    <col min="7690" max="7690" width="16.54296875" style="52" bestFit="1" customWidth="1"/>
    <col min="7691" max="7936" width="12.54296875" style="52"/>
    <col min="7937" max="7937" width="2.1796875" style="52" customWidth="1"/>
    <col min="7938" max="7938" width="32.26953125" style="52" bestFit="1" customWidth="1"/>
    <col min="7939" max="7939" width="2.26953125" style="52" customWidth="1"/>
    <col min="7940" max="7940" width="16.81640625" style="52" bestFit="1" customWidth="1"/>
    <col min="7941" max="7941" width="12.54296875" style="52"/>
    <col min="7942" max="7942" width="2.26953125" style="52" customWidth="1"/>
    <col min="7943" max="7943" width="19.7265625" style="52" customWidth="1"/>
    <col min="7944" max="7944" width="12.7265625" style="52" bestFit="1" customWidth="1"/>
    <col min="7945" max="7945" width="2.26953125" style="52" customWidth="1"/>
    <col min="7946" max="7946" width="16.54296875" style="52" bestFit="1" customWidth="1"/>
    <col min="7947" max="8192" width="12.54296875" style="52"/>
    <col min="8193" max="8193" width="2.1796875" style="52" customWidth="1"/>
    <col min="8194" max="8194" width="32.26953125" style="52" bestFit="1" customWidth="1"/>
    <col min="8195" max="8195" width="2.26953125" style="52" customWidth="1"/>
    <col min="8196" max="8196" width="16.81640625" style="52" bestFit="1" customWidth="1"/>
    <col min="8197" max="8197" width="12.54296875" style="52"/>
    <col min="8198" max="8198" width="2.26953125" style="52" customWidth="1"/>
    <col min="8199" max="8199" width="19.7265625" style="52" customWidth="1"/>
    <col min="8200" max="8200" width="12.7265625" style="52" bestFit="1" customWidth="1"/>
    <col min="8201" max="8201" width="2.26953125" style="52" customWidth="1"/>
    <col min="8202" max="8202" width="16.54296875" style="52" bestFit="1" customWidth="1"/>
    <col min="8203" max="8448" width="12.54296875" style="52"/>
    <col min="8449" max="8449" width="2.1796875" style="52" customWidth="1"/>
    <col min="8450" max="8450" width="32.26953125" style="52" bestFit="1" customWidth="1"/>
    <col min="8451" max="8451" width="2.26953125" style="52" customWidth="1"/>
    <col min="8452" max="8452" width="16.81640625" style="52" bestFit="1" customWidth="1"/>
    <col min="8453" max="8453" width="12.54296875" style="52"/>
    <col min="8454" max="8454" width="2.26953125" style="52" customWidth="1"/>
    <col min="8455" max="8455" width="19.7265625" style="52" customWidth="1"/>
    <col min="8456" max="8456" width="12.7265625" style="52" bestFit="1" customWidth="1"/>
    <col min="8457" max="8457" width="2.26953125" style="52" customWidth="1"/>
    <col min="8458" max="8458" width="16.54296875" style="52" bestFit="1" customWidth="1"/>
    <col min="8459" max="8704" width="12.54296875" style="52"/>
    <col min="8705" max="8705" width="2.1796875" style="52" customWidth="1"/>
    <col min="8706" max="8706" width="32.26953125" style="52" bestFit="1" customWidth="1"/>
    <col min="8707" max="8707" width="2.26953125" style="52" customWidth="1"/>
    <col min="8708" max="8708" width="16.81640625" style="52" bestFit="1" customWidth="1"/>
    <col min="8709" max="8709" width="12.54296875" style="52"/>
    <col min="8710" max="8710" width="2.26953125" style="52" customWidth="1"/>
    <col min="8711" max="8711" width="19.7265625" style="52" customWidth="1"/>
    <col min="8712" max="8712" width="12.7265625" style="52" bestFit="1" customWidth="1"/>
    <col min="8713" max="8713" width="2.26953125" style="52" customWidth="1"/>
    <col min="8714" max="8714" width="16.54296875" style="52" bestFit="1" customWidth="1"/>
    <col min="8715" max="8960" width="12.54296875" style="52"/>
    <col min="8961" max="8961" width="2.1796875" style="52" customWidth="1"/>
    <col min="8962" max="8962" width="32.26953125" style="52" bestFit="1" customWidth="1"/>
    <col min="8963" max="8963" width="2.26953125" style="52" customWidth="1"/>
    <col min="8964" max="8964" width="16.81640625" style="52" bestFit="1" customWidth="1"/>
    <col min="8965" max="8965" width="12.54296875" style="52"/>
    <col min="8966" max="8966" width="2.26953125" style="52" customWidth="1"/>
    <col min="8967" max="8967" width="19.7265625" style="52" customWidth="1"/>
    <col min="8968" max="8968" width="12.7265625" style="52" bestFit="1" customWidth="1"/>
    <col min="8969" max="8969" width="2.26953125" style="52" customWidth="1"/>
    <col min="8970" max="8970" width="16.54296875" style="52" bestFit="1" customWidth="1"/>
    <col min="8971" max="9216" width="12.54296875" style="52"/>
    <col min="9217" max="9217" width="2.1796875" style="52" customWidth="1"/>
    <col min="9218" max="9218" width="32.26953125" style="52" bestFit="1" customWidth="1"/>
    <col min="9219" max="9219" width="2.26953125" style="52" customWidth="1"/>
    <col min="9220" max="9220" width="16.81640625" style="52" bestFit="1" customWidth="1"/>
    <col min="9221" max="9221" width="12.54296875" style="52"/>
    <col min="9222" max="9222" width="2.26953125" style="52" customWidth="1"/>
    <col min="9223" max="9223" width="19.7265625" style="52" customWidth="1"/>
    <col min="9224" max="9224" width="12.7265625" style="52" bestFit="1" customWidth="1"/>
    <col min="9225" max="9225" width="2.26953125" style="52" customWidth="1"/>
    <col min="9226" max="9226" width="16.54296875" style="52" bestFit="1" customWidth="1"/>
    <col min="9227" max="9472" width="12.54296875" style="52"/>
    <col min="9473" max="9473" width="2.1796875" style="52" customWidth="1"/>
    <col min="9474" max="9474" width="32.26953125" style="52" bestFit="1" customWidth="1"/>
    <col min="9475" max="9475" width="2.26953125" style="52" customWidth="1"/>
    <col min="9476" max="9476" width="16.81640625" style="52" bestFit="1" customWidth="1"/>
    <col min="9477" max="9477" width="12.54296875" style="52"/>
    <col min="9478" max="9478" width="2.26953125" style="52" customWidth="1"/>
    <col min="9479" max="9479" width="19.7265625" style="52" customWidth="1"/>
    <col min="9480" max="9480" width="12.7265625" style="52" bestFit="1" customWidth="1"/>
    <col min="9481" max="9481" width="2.26953125" style="52" customWidth="1"/>
    <col min="9482" max="9482" width="16.54296875" style="52" bestFit="1" customWidth="1"/>
    <col min="9483" max="9728" width="12.54296875" style="52"/>
    <col min="9729" max="9729" width="2.1796875" style="52" customWidth="1"/>
    <col min="9730" max="9730" width="32.26953125" style="52" bestFit="1" customWidth="1"/>
    <col min="9731" max="9731" width="2.26953125" style="52" customWidth="1"/>
    <col min="9732" max="9732" width="16.81640625" style="52" bestFit="1" customWidth="1"/>
    <col min="9733" max="9733" width="12.54296875" style="52"/>
    <col min="9734" max="9734" width="2.26953125" style="52" customWidth="1"/>
    <col min="9735" max="9735" width="19.7265625" style="52" customWidth="1"/>
    <col min="9736" max="9736" width="12.7265625" style="52" bestFit="1" customWidth="1"/>
    <col min="9737" max="9737" width="2.26953125" style="52" customWidth="1"/>
    <col min="9738" max="9738" width="16.54296875" style="52" bestFit="1" customWidth="1"/>
    <col min="9739" max="9984" width="12.54296875" style="52"/>
    <col min="9985" max="9985" width="2.1796875" style="52" customWidth="1"/>
    <col min="9986" max="9986" width="32.26953125" style="52" bestFit="1" customWidth="1"/>
    <col min="9987" max="9987" width="2.26953125" style="52" customWidth="1"/>
    <col min="9988" max="9988" width="16.81640625" style="52" bestFit="1" customWidth="1"/>
    <col min="9989" max="9989" width="12.54296875" style="52"/>
    <col min="9990" max="9990" width="2.26953125" style="52" customWidth="1"/>
    <col min="9991" max="9991" width="19.7265625" style="52" customWidth="1"/>
    <col min="9992" max="9992" width="12.7265625" style="52" bestFit="1" customWidth="1"/>
    <col min="9993" max="9993" width="2.26953125" style="52" customWidth="1"/>
    <col min="9994" max="9994" width="16.54296875" style="52" bestFit="1" customWidth="1"/>
    <col min="9995" max="10240" width="12.54296875" style="52"/>
    <col min="10241" max="10241" width="2.1796875" style="52" customWidth="1"/>
    <col min="10242" max="10242" width="32.26953125" style="52" bestFit="1" customWidth="1"/>
    <col min="10243" max="10243" width="2.26953125" style="52" customWidth="1"/>
    <col min="10244" max="10244" width="16.81640625" style="52" bestFit="1" customWidth="1"/>
    <col min="10245" max="10245" width="12.54296875" style="52"/>
    <col min="10246" max="10246" width="2.26953125" style="52" customWidth="1"/>
    <col min="10247" max="10247" width="19.7265625" style="52" customWidth="1"/>
    <col min="10248" max="10248" width="12.7265625" style="52" bestFit="1" customWidth="1"/>
    <col min="10249" max="10249" width="2.26953125" style="52" customWidth="1"/>
    <col min="10250" max="10250" width="16.54296875" style="52" bestFit="1" customWidth="1"/>
    <col min="10251" max="10496" width="12.54296875" style="52"/>
    <col min="10497" max="10497" width="2.1796875" style="52" customWidth="1"/>
    <col min="10498" max="10498" width="32.26953125" style="52" bestFit="1" customWidth="1"/>
    <col min="10499" max="10499" width="2.26953125" style="52" customWidth="1"/>
    <col min="10500" max="10500" width="16.81640625" style="52" bestFit="1" customWidth="1"/>
    <col min="10501" max="10501" width="12.54296875" style="52"/>
    <col min="10502" max="10502" width="2.26953125" style="52" customWidth="1"/>
    <col min="10503" max="10503" width="19.7265625" style="52" customWidth="1"/>
    <col min="10504" max="10504" width="12.7265625" style="52" bestFit="1" customWidth="1"/>
    <col min="10505" max="10505" width="2.26953125" style="52" customWidth="1"/>
    <col min="10506" max="10506" width="16.54296875" style="52" bestFit="1" customWidth="1"/>
    <col min="10507" max="10752" width="12.54296875" style="52"/>
    <col min="10753" max="10753" width="2.1796875" style="52" customWidth="1"/>
    <col min="10754" max="10754" width="32.26953125" style="52" bestFit="1" customWidth="1"/>
    <col min="10755" max="10755" width="2.26953125" style="52" customWidth="1"/>
    <col min="10756" max="10756" width="16.81640625" style="52" bestFit="1" customWidth="1"/>
    <col min="10757" max="10757" width="12.54296875" style="52"/>
    <col min="10758" max="10758" width="2.26953125" style="52" customWidth="1"/>
    <col min="10759" max="10759" width="19.7265625" style="52" customWidth="1"/>
    <col min="10760" max="10760" width="12.7265625" style="52" bestFit="1" customWidth="1"/>
    <col min="10761" max="10761" width="2.26953125" style="52" customWidth="1"/>
    <col min="10762" max="10762" width="16.54296875" style="52" bestFit="1" customWidth="1"/>
    <col min="10763" max="11008" width="12.54296875" style="52"/>
    <col min="11009" max="11009" width="2.1796875" style="52" customWidth="1"/>
    <col min="11010" max="11010" width="32.26953125" style="52" bestFit="1" customWidth="1"/>
    <col min="11011" max="11011" width="2.26953125" style="52" customWidth="1"/>
    <col min="11012" max="11012" width="16.81640625" style="52" bestFit="1" customWidth="1"/>
    <col min="11013" max="11013" width="12.54296875" style="52"/>
    <col min="11014" max="11014" width="2.26953125" style="52" customWidth="1"/>
    <col min="11015" max="11015" width="19.7265625" style="52" customWidth="1"/>
    <col min="11016" max="11016" width="12.7265625" style="52" bestFit="1" customWidth="1"/>
    <col min="11017" max="11017" width="2.26953125" style="52" customWidth="1"/>
    <col min="11018" max="11018" width="16.54296875" style="52" bestFit="1" customWidth="1"/>
    <col min="11019" max="11264" width="12.54296875" style="52"/>
    <col min="11265" max="11265" width="2.1796875" style="52" customWidth="1"/>
    <col min="11266" max="11266" width="32.26953125" style="52" bestFit="1" customWidth="1"/>
    <col min="11267" max="11267" width="2.26953125" style="52" customWidth="1"/>
    <col min="11268" max="11268" width="16.81640625" style="52" bestFit="1" customWidth="1"/>
    <col min="11269" max="11269" width="12.54296875" style="52"/>
    <col min="11270" max="11270" width="2.26953125" style="52" customWidth="1"/>
    <col min="11271" max="11271" width="19.7265625" style="52" customWidth="1"/>
    <col min="11272" max="11272" width="12.7265625" style="52" bestFit="1" customWidth="1"/>
    <col min="11273" max="11273" width="2.26953125" style="52" customWidth="1"/>
    <col min="11274" max="11274" width="16.54296875" style="52" bestFit="1" customWidth="1"/>
    <col min="11275" max="11520" width="12.54296875" style="52"/>
    <col min="11521" max="11521" width="2.1796875" style="52" customWidth="1"/>
    <col min="11522" max="11522" width="32.26953125" style="52" bestFit="1" customWidth="1"/>
    <col min="11523" max="11523" width="2.26953125" style="52" customWidth="1"/>
    <col min="11524" max="11524" width="16.81640625" style="52" bestFit="1" customWidth="1"/>
    <col min="11525" max="11525" width="12.54296875" style="52"/>
    <col min="11526" max="11526" width="2.26953125" style="52" customWidth="1"/>
    <col min="11527" max="11527" width="19.7265625" style="52" customWidth="1"/>
    <col min="11528" max="11528" width="12.7265625" style="52" bestFit="1" customWidth="1"/>
    <col min="11529" max="11529" width="2.26953125" style="52" customWidth="1"/>
    <col min="11530" max="11530" width="16.54296875" style="52" bestFit="1" customWidth="1"/>
    <col min="11531" max="11776" width="12.54296875" style="52"/>
    <col min="11777" max="11777" width="2.1796875" style="52" customWidth="1"/>
    <col min="11778" max="11778" width="32.26953125" style="52" bestFit="1" customWidth="1"/>
    <col min="11779" max="11779" width="2.26953125" style="52" customWidth="1"/>
    <col min="11780" max="11780" width="16.81640625" style="52" bestFit="1" customWidth="1"/>
    <col min="11781" max="11781" width="12.54296875" style="52"/>
    <col min="11782" max="11782" width="2.26953125" style="52" customWidth="1"/>
    <col min="11783" max="11783" width="19.7265625" style="52" customWidth="1"/>
    <col min="11784" max="11784" width="12.7265625" style="52" bestFit="1" customWidth="1"/>
    <col min="11785" max="11785" width="2.26953125" style="52" customWidth="1"/>
    <col min="11786" max="11786" width="16.54296875" style="52" bestFit="1" customWidth="1"/>
    <col min="11787" max="12032" width="12.54296875" style="52"/>
    <col min="12033" max="12033" width="2.1796875" style="52" customWidth="1"/>
    <col min="12034" max="12034" width="32.26953125" style="52" bestFit="1" customWidth="1"/>
    <col min="12035" max="12035" width="2.26953125" style="52" customWidth="1"/>
    <col min="12036" max="12036" width="16.81640625" style="52" bestFit="1" customWidth="1"/>
    <col min="12037" max="12037" width="12.54296875" style="52"/>
    <col min="12038" max="12038" width="2.26953125" style="52" customWidth="1"/>
    <col min="12039" max="12039" width="19.7265625" style="52" customWidth="1"/>
    <col min="12040" max="12040" width="12.7265625" style="52" bestFit="1" customWidth="1"/>
    <col min="12041" max="12041" width="2.26953125" style="52" customWidth="1"/>
    <col min="12042" max="12042" width="16.54296875" style="52" bestFit="1" customWidth="1"/>
    <col min="12043" max="12288" width="12.54296875" style="52"/>
    <col min="12289" max="12289" width="2.1796875" style="52" customWidth="1"/>
    <col min="12290" max="12290" width="32.26953125" style="52" bestFit="1" customWidth="1"/>
    <col min="12291" max="12291" width="2.26953125" style="52" customWidth="1"/>
    <col min="12292" max="12292" width="16.81640625" style="52" bestFit="1" customWidth="1"/>
    <col min="12293" max="12293" width="12.54296875" style="52"/>
    <col min="12294" max="12294" width="2.26953125" style="52" customWidth="1"/>
    <col min="12295" max="12295" width="19.7265625" style="52" customWidth="1"/>
    <col min="12296" max="12296" width="12.7265625" style="52" bestFit="1" customWidth="1"/>
    <col min="12297" max="12297" width="2.26953125" style="52" customWidth="1"/>
    <col min="12298" max="12298" width="16.54296875" style="52" bestFit="1" customWidth="1"/>
    <col min="12299" max="12544" width="12.54296875" style="52"/>
    <col min="12545" max="12545" width="2.1796875" style="52" customWidth="1"/>
    <col min="12546" max="12546" width="32.26953125" style="52" bestFit="1" customWidth="1"/>
    <col min="12547" max="12547" width="2.26953125" style="52" customWidth="1"/>
    <col min="12548" max="12548" width="16.81640625" style="52" bestFit="1" customWidth="1"/>
    <col min="12549" max="12549" width="12.54296875" style="52"/>
    <col min="12550" max="12550" width="2.26953125" style="52" customWidth="1"/>
    <col min="12551" max="12551" width="19.7265625" style="52" customWidth="1"/>
    <col min="12552" max="12552" width="12.7265625" style="52" bestFit="1" customWidth="1"/>
    <col min="12553" max="12553" width="2.26953125" style="52" customWidth="1"/>
    <col min="12554" max="12554" width="16.54296875" style="52" bestFit="1" customWidth="1"/>
    <col min="12555" max="12800" width="12.54296875" style="52"/>
    <col min="12801" max="12801" width="2.1796875" style="52" customWidth="1"/>
    <col min="12802" max="12802" width="32.26953125" style="52" bestFit="1" customWidth="1"/>
    <col min="12803" max="12803" width="2.26953125" style="52" customWidth="1"/>
    <col min="12804" max="12804" width="16.81640625" style="52" bestFit="1" customWidth="1"/>
    <col min="12805" max="12805" width="12.54296875" style="52"/>
    <col min="12806" max="12806" width="2.26953125" style="52" customWidth="1"/>
    <col min="12807" max="12807" width="19.7265625" style="52" customWidth="1"/>
    <col min="12808" max="12808" width="12.7265625" style="52" bestFit="1" customWidth="1"/>
    <col min="12809" max="12809" width="2.26953125" style="52" customWidth="1"/>
    <col min="12810" max="12810" width="16.54296875" style="52" bestFit="1" customWidth="1"/>
    <col min="12811" max="13056" width="12.54296875" style="52"/>
    <col min="13057" max="13057" width="2.1796875" style="52" customWidth="1"/>
    <col min="13058" max="13058" width="32.26953125" style="52" bestFit="1" customWidth="1"/>
    <col min="13059" max="13059" width="2.26953125" style="52" customWidth="1"/>
    <col min="13060" max="13060" width="16.81640625" style="52" bestFit="1" customWidth="1"/>
    <col min="13061" max="13061" width="12.54296875" style="52"/>
    <col min="13062" max="13062" width="2.26953125" style="52" customWidth="1"/>
    <col min="13063" max="13063" width="19.7265625" style="52" customWidth="1"/>
    <col min="13064" max="13064" width="12.7265625" style="52" bestFit="1" customWidth="1"/>
    <col min="13065" max="13065" width="2.26953125" style="52" customWidth="1"/>
    <col min="13066" max="13066" width="16.54296875" style="52" bestFit="1" customWidth="1"/>
    <col min="13067" max="13312" width="12.54296875" style="52"/>
    <col min="13313" max="13313" width="2.1796875" style="52" customWidth="1"/>
    <col min="13314" max="13314" width="32.26953125" style="52" bestFit="1" customWidth="1"/>
    <col min="13315" max="13315" width="2.26953125" style="52" customWidth="1"/>
    <col min="13316" max="13316" width="16.81640625" style="52" bestFit="1" customWidth="1"/>
    <col min="13317" max="13317" width="12.54296875" style="52"/>
    <col min="13318" max="13318" width="2.26953125" style="52" customWidth="1"/>
    <col min="13319" max="13319" width="19.7265625" style="52" customWidth="1"/>
    <col min="13320" max="13320" width="12.7265625" style="52" bestFit="1" customWidth="1"/>
    <col min="13321" max="13321" width="2.26953125" style="52" customWidth="1"/>
    <col min="13322" max="13322" width="16.54296875" style="52" bestFit="1" customWidth="1"/>
    <col min="13323" max="13568" width="12.54296875" style="52"/>
    <col min="13569" max="13569" width="2.1796875" style="52" customWidth="1"/>
    <col min="13570" max="13570" width="32.26953125" style="52" bestFit="1" customWidth="1"/>
    <col min="13571" max="13571" width="2.26953125" style="52" customWidth="1"/>
    <col min="13572" max="13572" width="16.81640625" style="52" bestFit="1" customWidth="1"/>
    <col min="13573" max="13573" width="12.54296875" style="52"/>
    <col min="13574" max="13574" width="2.26953125" style="52" customWidth="1"/>
    <col min="13575" max="13575" width="19.7265625" style="52" customWidth="1"/>
    <col min="13576" max="13576" width="12.7265625" style="52" bestFit="1" customWidth="1"/>
    <col min="13577" max="13577" width="2.26953125" style="52" customWidth="1"/>
    <col min="13578" max="13578" width="16.54296875" style="52" bestFit="1" customWidth="1"/>
    <col min="13579" max="13824" width="12.54296875" style="52"/>
    <col min="13825" max="13825" width="2.1796875" style="52" customWidth="1"/>
    <col min="13826" max="13826" width="32.26953125" style="52" bestFit="1" customWidth="1"/>
    <col min="13827" max="13827" width="2.26953125" style="52" customWidth="1"/>
    <col min="13828" max="13828" width="16.81640625" style="52" bestFit="1" customWidth="1"/>
    <col min="13829" max="13829" width="12.54296875" style="52"/>
    <col min="13830" max="13830" width="2.26953125" style="52" customWidth="1"/>
    <col min="13831" max="13831" width="19.7265625" style="52" customWidth="1"/>
    <col min="13832" max="13832" width="12.7265625" style="52" bestFit="1" customWidth="1"/>
    <col min="13833" max="13833" width="2.26953125" style="52" customWidth="1"/>
    <col min="13834" max="13834" width="16.54296875" style="52" bestFit="1" customWidth="1"/>
    <col min="13835" max="14080" width="12.54296875" style="52"/>
    <col min="14081" max="14081" width="2.1796875" style="52" customWidth="1"/>
    <col min="14082" max="14082" width="32.26953125" style="52" bestFit="1" customWidth="1"/>
    <col min="14083" max="14083" width="2.26953125" style="52" customWidth="1"/>
    <col min="14084" max="14084" width="16.81640625" style="52" bestFit="1" customWidth="1"/>
    <col min="14085" max="14085" width="12.54296875" style="52"/>
    <col min="14086" max="14086" width="2.26953125" style="52" customWidth="1"/>
    <col min="14087" max="14087" width="19.7265625" style="52" customWidth="1"/>
    <col min="14088" max="14088" width="12.7265625" style="52" bestFit="1" customWidth="1"/>
    <col min="14089" max="14089" width="2.26953125" style="52" customWidth="1"/>
    <col min="14090" max="14090" width="16.54296875" style="52" bestFit="1" customWidth="1"/>
    <col min="14091" max="14336" width="12.54296875" style="52"/>
    <col min="14337" max="14337" width="2.1796875" style="52" customWidth="1"/>
    <col min="14338" max="14338" width="32.26953125" style="52" bestFit="1" customWidth="1"/>
    <col min="14339" max="14339" width="2.26953125" style="52" customWidth="1"/>
    <col min="14340" max="14340" width="16.81640625" style="52" bestFit="1" customWidth="1"/>
    <col min="14341" max="14341" width="12.54296875" style="52"/>
    <col min="14342" max="14342" width="2.26953125" style="52" customWidth="1"/>
    <col min="14343" max="14343" width="19.7265625" style="52" customWidth="1"/>
    <col min="14344" max="14344" width="12.7265625" style="52" bestFit="1" customWidth="1"/>
    <col min="14345" max="14345" width="2.26953125" style="52" customWidth="1"/>
    <col min="14346" max="14346" width="16.54296875" style="52" bestFit="1" customWidth="1"/>
    <col min="14347" max="14592" width="12.54296875" style="52"/>
    <col min="14593" max="14593" width="2.1796875" style="52" customWidth="1"/>
    <col min="14594" max="14594" width="32.26953125" style="52" bestFit="1" customWidth="1"/>
    <col min="14595" max="14595" width="2.26953125" style="52" customWidth="1"/>
    <col min="14596" max="14596" width="16.81640625" style="52" bestFit="1" customWidth="1"/>
    <col min="14597" max="14597" width="12.54296875" style="52"/>
    <col min="14598" max="14598" width="2.26953125" style="52" customWidth="1"/>
    <col min="14599" max="14599" width="19.7265625" style="52" customWidth="1"/>
    <col min="14600" max="14600" width="12.7265625" style="52" bestFit="1" customWidth="1"/>
    <col min="14601" max="14601" width="2.26953125" style="52" customWidth="1"/>
    <col min="14602" max="14602" width="16.54296875" style="52" bestFit="1" customWidth="1"/>
    <col min="14603" max="14848" width="12.54296875" style="52"/>
    <col min="14849" max="14849" width="2.1796875" style="52" customWidth="1"/>
    <col min="14850" max="14850" width="32.26953125" style="52" bestFit="1" customWidth="1"/>
    <col min="14851" max="14851" width="2.26953125" style="52" customWidth="1"/>
    <col min="14852" max="14852" width="16.81640625" style="52" bestFit="1" customWidth="1"/>
    <col min="14853" max="14853" width="12.54296875" style="52"/>
    <col min="14854" max="14854" width="2.26953125" style="52" customWidth="1"/>
    <col min="14855" max="14855" width="19.7265625" style="52" customWidth="1"/>
    <col min="14856" max="14856" width="12.7265625" style="52" bestFit="1" customWidth="1"/>
    <col min="14857" max="14857" width="2.26953125" style="52" customWidth="1"/>
    <col min="14858" max="14858" width="16.54296875" style="52" bestFit="1" customWidth="1"/>
    <col min="14859" max="15104" width="12.54296875" style="52"/>
    <col min="15105" max="15105" width="2.1796875" style="52" customWidth="1"/>
    <col min="15106" max="15106" width="32.26953125" style="52" bestFit="1" customWidth="1"/>
    <col min="15107" max="15107" width="2.26953125" style="52" customWidth="1"/>
    <col min="15108" max="15108" width="16.81640625" style="52" bestFit="1" customWidth="1"/>
    <col min="15109" max="15109" width="12.54296875" style="52"/>
    <col min="15110" max="15110" width="2.26953125" style="52" customWidth="1"/>
    <col min="15111" max="15111" width="19.7265625" style="52" customWidth="1"/>
    <col min="15112" max="15112" width="12.7265625" style="52" bestFit="1" customWidth="1"/>
    <col min="15113" max="15113" width="2.26953125" style="52" customWidth="1"/>
    <col min="15114" max="15114" width="16.54296875" style="52" bestFit="1" customWidth="1"/>
    <col min="15115" max="15360" width="12.54296875" style="52"/>
    <col min="15361" max="15361" width="2.1796875" style="52" customWidth="1"/>
    <col min="15362" max="15362" width="32.26953125" style="52" bestFit="1" customWidth="1"/>
    <col min="15363" max="15363" width="2.26953125" style="52" customWidth="1"/>
    <col min="15364" max="15364" width="16.81640625" style="52" bestFit="1" customWidth="1"/>
    <col min="15365" max="15365" width="12.54296875" style="52"/>
    <col min="15366" max="15366" width="2.26953125" style="52" customWidth="1"/>
    <col min="15367" max="15367" width="19.7265625" style="52" customWidth="1"/>
    <col min="15368" max="15368" width="12.7265625" style="52" bestFit="1" customWidth="1"/>
    <col min="15369" max="15369" width="2.26953125" style="52" customWidth="1"/>
    <col min="15370" max="15370" width="16.54296875" style="52" bestFit="1" customWidth="1"/>
    <col min="15371" max="15616" width="12.54296875" style="52"/>
    <col min="15617" max="15617" width="2.1796875" style="52" customWidth="1"/>
    <col min="15618" max="15618" width="32.26953125" style="52" bestFit="1" customWidth="1"/>
    <col min="15619" max="15619" width="2.26953125" style="52" customWidth="1"/>
    <col min="15620" max="15620" width="16.81640625" style="52" bestFit="1" customWidth="1"/>
    <col min="15621" max="15621" width="12.54296875" style="52"/>
    <col min="15622" max="15622" width="2.26953125" style="52" customWidth="1"/>
    <col min="15623" max="15623" width="19.7265625" style="52" customWidth="1"/>
    <col min="15624" max="15624" width="12.7265625" style="52" bestFit="1" customWidth="1"/>
    <col min="15625" max="15625" width="2.26953125" style="52" customWidth="1"/>
    <col min="15626" max="15626" width="16.54296875" style="52" bestFit="1" customWidth="1"/>
    <col min="15627" max="15872" width="12.54296875" style="52"/>
    <col min="15873" max="15873" width="2.1796875" style="52" customWidth="1"/>
    <col min="15874" max="15874" width="32.26953125" style="52" bestFit="1" customWidth="1"/>
    <col min="15875" max="15875" width="2.26953125" style="52" customWidth="1"/>
    <col min="15876" max="15876" width="16.81640625" style="52" bestFit="1" customWidth="1"/>
    <col min="15877" max="15877" width="12.54296875" style="52"/>
    <col min="15878" max="15878" width="2.26953125" style="52" customWidth="1"/>
    <col min="15879" max="15879" width="19.7265625" style="52" customWidth="1"/>
    <col min="15880" max="15880" width="12.7265625" style="52" bestFit="1" customWidth="1"/>
    <col min="15881" max="15881" width="2.26953125" style="52" customWidth="1"/>
    <col min="15882" max="15882" width="16.54296875" style="52" bestFit="1" customWidth="1"/>
    <col min="15883" max="16128" width="12.54296875" style="52"/>
    <col min="16129" max="16129" width="2.1796875" style="52" customWidth="1"/>
    <col min="16130" max="16130" width="32.26953125" style="52" bestFit="1" customWidth="1"/>
    <col min="16131" max="16131" width="2.26953125" style="52" customWidth="1"/>
    <col min="16132" max="16132" width="16.81640625" style="52" bestFit="1" customWidth="1"/>
    <col min="16133" max="16133" width="12.54296875" style="52"/>
    <col min="16134" max="16134" width="2.26953125" style="52" customWidth="1"/>
    <col min="16135" max="16135" width="19.7265625" style="52" customWidth="1"/>
    <col min="16136" max="16136" width="12.7265625" style="52" bestFit="1" customWidth="1"/>
    <col min="16137" max="16137" width="2.26953125" style="52" customWidth="1"/>
    <col min="16138" max="16138" width="16.54296875" style="52" bestFit="1" customWidth="1"/>
    <col min="16139" max="16384" width="12.54296875" style="52"/>
  </cols>
  <sheetData>
    <row r="1" spans="2:54" s="48" customFormat="1" x14ac:dyDescent="0.35">
      <c r="B1" s="47" t="s">
        <v>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2:54" s="48" customFormat="1" x14ac:dyDescent="0.35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2:54" s="48" customForma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2:54" s="48" customFormat="1" ht="15.5" x14ac:dyDescent="0.35">
      <c r="B4" s="49" t="s">
        <v>85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2:54" ht="15.5" x14ac:dyDescent="0.35"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2:54" ht="15.5" x14ac:dyDescent="0.3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2:54" x14ac:dyDescent="0.3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2:54" x14ac:dyDescent="0.35">
      <c r="B8" s="53"/>
      <c r="C8" s="51"/>
      <c r="D8" s="54" t="s">
        <v>34</v>
      </c>
      <c r="E8" s="54" t="s">
        <v>34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2:54" x14ac:dyDescent="0.35">
      <c r="B9" s="51"/>
      <c r="C9" s="51"/>
      <c r="D9" s="54" t="s">
        <v>35</v>
      </c>
      <c r="E9" s="54" t="s">
        <v>35</v>
      </c>
      <c r="F9" s="51"/>
      <c r="G9" s="55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2:54" x14ac:dyDescent="0.35">
      <c r="B10" s="56" t="s">
        <v>36</v>
      </c>
      <c r="C10" s="51"/>
      <c r="D10" s="57" t="s">
        <v>37</v>
      </c>
      <c r="E10" s="57" t="s">
        <v>89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2:54" x14ac:dyDescent="0.35">
      <c r="B11" s="51" t="s">
        <v>38</v>
      </c>
      <c r="C11" s="51"/>
      <c r="D11" s="58">
        <f>'Billing Units'!E23</f>
        <v>27612</v>
      </c>
      <c r="E11" s="58">
        <f>'Billing Units'!E11</f>
        <v>1069896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2:54" x14ac:dyDescent="0.35">
      <c r="B12" s="51" t="s">
        <v>39</v>
      </c>
      <c r="C12" s="51"/>
      <c r="D12" s="58">
        <f>'Billing Units'!G23</f>
        <v>262226045.43853968</v>
      </c>
      <c r="E12" s="58">
        <f>'Billing Units'!G11</f>
        <v>579303384.19882727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2:54" x14ac:dyDescent="0.35">
      <c r="B13" s="51" t="s">
        <v>40</v>
      </c>
      <c r="C13" s="51"/>
      <c r="D13" s="58">
        <v>0</v>
      </c>
      <c r="E13" s="58">
        <v>0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2:54" x14ac:dyDescent="0.35">
      <c r="B14" s="51"/>
      <c r="C14" s="51"/>
      <c r="D14" s="60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2:54" x14ac:dyDescent="0.35">
      <c r="B15" s="51"/>
      <c r="C15" s="51"/>
      <c r="D15" s="61" t="s">
        <v>41</v>
      </c>
      <c r="E15" s="62"/>
      <c r="F15" s="62"/>
      <c r="G15" s="62"/>
      <c r="H15" s="62"/>
      <c r="I15" s="62"/>
      <c r="J15" s="62"/>
      <c r="K15" s="6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2:54" x14ac:dyDescent="0.35">
      <c r="B16" s="51"/>
      <c r="C16" s="51"/>
      <c r="D16" s="240" t="s">
        <v>42</v>
      </c>
      <c r="E16" s="241"/>
      <c r="G16" s="64" t="s">
        <v>43</v>
      </c>
      <c r="H16" s="65"/>
      <c r="J16" s="64" t="s">
        <v>43</v>
      </c>
      <c r="K16" s="65"/>
      <c r="L16" s="51"/>
      <c r="M16" s="51"/>
      <c r="N16" s="51"/>
      <c r="O16" s="66"/>
      <c r="P16" s="66"/>
      <c r="Q16" s="66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2:54" x14ac:dyDescent="0.35">
      <c r="B17" s="51"/>
      <c r="C17" s="51"/>
      <c r="D17" s="67" t="s">
        <v>44</v>
      </c>
      <c r="E17" s="68"/>
      <c r="F17" s="51"/>
      <c r="G17" s="67" t="s">
        <v>45</v>
      </c>
      <c r="H17" s="68"/>
      <c r="J17" s="67" t="s">
        <v>46</v>
      </c>
      <c r="K17" s="68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2:54" x14ac:dyDescent="0.35">
      <c r="B18" s="56" t="s">
        <v>47</v>
      </c>
      <c r="C18" s="51"/>
      <c r="D18" s="69" t="s">
        <v>48</v>
      </c>
      <c r="E18" s="70" t="s">
        <v>49</v>
      </c>
      <c r="F18" s="51"/>
      <c r="G18" s="69" t="s">
        <v>48</v>
      </c>
      <c r="H18" s="70" t="s">
        <v>50</v>
      </c>
      <c r="I18" s="51"/>
      <c r="J18" s="69" t="s">
        <v>48</v>
      </c>
      <c r="K18" s="70" t="s">
        <v>51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2:54" x14ac:dyDescent="0.35">
      <c r="B19" s="51" t="s">
        <v>52</v>
      </c>
      <c r="C19" s="51"/>
      <c r="D19" s="71">
        <v>0</v>
      </c>
      <c r="E19" s="72">
        <v>0</v>
      </c>
      <c r="F19" s="51"/>
      <c r="G19" s="71"/>
      <c r="H19" s="76"/>
      <c r="I19" s="51"/>
      <c r="J19" s="71">
        <v>0</v>
      </c>
      <c r="K19" s="72">
        <f>IF(J19=0,J19,ROUND(J19/G$13,4))</f>
        <v>0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2:54" x14ac:dyDescent="0.35">
      <c r="B20" s="51" t="s">
        <v>53</v>
      </c>
      <c r="C20" s="51"/>
      <c r="D20" s="73"/>
      <c r="E20" s="74"/>
      <c r="F20" s="51"/>
      <c r="G20" s="75"/>
      <c r="H20" s="76"/>
      <c r="I20" s="51"/>
      <c r="J20" s="71">
        <v>0</v>
      </c>
      <c r="K20" s="72">
        <v>0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2:54" x14ac:dyDescent="0.35">
      <c r="B21" s="51" t="s">
        <v>54</v>
      </c>
      <c r="C21" s="51"/>
      <c r="D21" s="77"/>
      <c r="E21" s="78"/>
      <c r="F21" s="51"/>
      <c r="G21" s="79"/>
      <c r="H21" s="78"/>
      <c r="I21" s="51"/>
      <c r="J21" s="73"/>
      <c r="K21" s="80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2:54" x14ac:dyDescent="0.35">
      <c r="B22" s="51" t="s">
        <v>55</v>
      </c>
      <c r="C22" s="51"/>
      <c r="D22" s="81">
        <v>0</v>
      </c>
      <c r="E22" s="74">
        <f>IF(D22=0,D22,ROUND(D22/(D$11+E11),2))</f>
        <v>0</v>
      </c>
      <c r="F22" s="51"/>
      <c r="G22" s="82">
        <v>0</v>
      </c>
      <c r="H22" s="83">
        <v>0</v>
      </c>
      <c r="I22" s="51"/>
      <c r="J22" s="82">
        <v>0</v>
      </c>
      <c r="K22" s="83">
        <v>0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2:54" x14ac:dyDescent="0.35">
      <c r="B23" s="51" t="s">
        <v>56</v>
      </c>
      <c r="C23" s="51"/>
      <c r="D23" s="79"/>
      <c r="E23" s="84"/>
      <c r="F23" s="51"/>
      <c r="G23" s="73"/>
      <c r="H23" s="80"/>
      <c r="I23" s="85"/>
      <c r="J23" s="73"/>
      <c r="K23" s="86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2:54" x14ac:dyDescent="0.35">
      <c r="B24" s="51" t="s">
        <v>57</v>
      </c>
      <c r="C24" s="51"/>
      <c r="D24" s="81"/>
      <c r="E24" s="87">
        <f>IF(D24=0,D24,ROUND(D24/D$11,2))</f>
        <v>0</v>
      </c>
      <c r="F24" s="51"/>
      <c r="G24" s="82">
        <v>0</v>
      </c>
      <c r="H24" s="83">
        <v>0</v>
      </c>
      <c r="I24" s="51"/>
      <c r="J24" s="82"/>
      <c r="K24" s="83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2:54" x14ac:dyDescent="0.35">
      <c r="B25" s="51" t="s">
        <v>58</v>
      </c>
      <c r="C25" s="51"/>
      <c r="D25" s="88">
        <v>0</v>
      </c>
      <c r="E25" s="72">
        <v>0</v>
      </c>
      <c r="F25" s="51"/>
      <c r="G25" s="71">
        <v>0</v>
      </c>
      <c r="H25" s="72">
        <v>0</v>
      </c>
      <c r="I25" s="51"/>
      <c r="J25" s="71">
        <v>0</v>
      </c>
      <c r="K25" s="72">
        <v>0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2:54" x14ac:dyDescent="0.35">
      <c r="B26" s="51" t="s">
        <v>59</v>
      </c>
      <c r="C26" s="51"/>
      <c r="D26" s="79"/>
      <c r="E26" s="78"/>
      <c r="F26" s="51"/>
      <c r="G26" s="73"/>
      <c r="H26" s="80"/>
      <c r="I26" s="85"/>
      <c r="J26" s="73"/>
      <c r="K26" s="86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2:54" x14ac:dyDescent="0.35">
      <c r="B27" s="51" t="s">
        <v>60</v>
      </c>
      <c r="C27" s="51"/>
      <c r="D27" s="81"/>
      <c r="E27" s="89">
        <f>IF(D27=0,D27,ROUND(D27/(D$11+E11),2))</f>
        <v>0</v>
      </c>
      <c r="F27" s="51"/>
      <c r="G27" s="82">
        <v>0</v>
      </c>
      <c r="H27" s="83">
        <v>0</v>
      </c>
      <c r="I27" s="51"/>
      <c r="J27" s="82"/>
      <c r="K27" s="83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2:54" x14ac:dyDescent="0.35">
      <c r="B28" s="90" t="s">
        <v>61</v>
      </c>
      <c r="C28" s="51"/>
      <c r="D28" s="81">
        <f>IF(SUM(D19:D27)&lt;1,D19,SUM(D19:D27))</f>
        <v>0</v>
      </c>
      <c r="E28" s="91">
        <f>SUM(E19:E27)</f>
        <v>0</v>
      </c>
      <c r="F28" s="92"/>
      <c r="G28" s="81">
        <f>IF(SUM(G19:G27)&lt;1,G19,SUM(G19:G27))</f>
        <v>0</v>
      </c>
      <c r="H28" s="93">
        <f>SUM(H19:H27)</f>
        <v>0</v>
      </c>
      <c r="I28" s="94"/>
      <c r="J28" s="71">
        <f>IF(SUM(J19:J27)&lt;1,J19,SUM(J19:J27))</f>
        <v>0</v>
      </c>
      <c r="K28" s="72">
        <f>IF(SUM(K19:K27)&lt;1,K19,SUM(K19:K27))</f>
        <v>0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2:54" ht="15" thickBot="1" x14ac:dyDescent="0.4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2:54" ht="16" thickTop="1" x14ac:dyDescent="0.35">
      <c r="B30" s="51"/>
      <c r="C30" s="51"/>
      <c r="D30" s="77" t="s">
        <v>47</v>
      </c>
      <c r="E30" s="51"/>
      <c r="F30" s="51"/>
      <c r="G30" s="95" t="s">
        <v>62</v>
      </c>
      <c r="H30" s="96"/>
      <c r="I30" s="96"/>
      <c r="J30" s="97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2:54" x14ac:dyDescent="0.35">
      <c r="B31" s="51"/>
      <c r="C31" s="51"/>
      <c r="D31" s="98" t="s">
        <v>63</v>
      </c>
      <c r="E31" s="51"/>
      <c r="F31" s="51"/>
      <c r="G31" s="99"/>
      <c r="H31" s="100" t="s">
        <v>64</v>
      </c>
      <c r="I31" s="85"/>
      <c r="J31" s="101" t="s">
        <v>65</v>
      </c>
      <c r="K31" s="54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2:54" x14ac:dyDescent="0.35">
      <c r="B32" s="56" t="s">
        <v>47</v>
      </c>
      <c r="C32" s="51"/>
      <c r="D32" s="69" t="s">
        <v>48</v>
      </c>
      <c r="E32" s="51"/>
      <c r="F32" s="51"/>
      <c r="G32" s="102" t="s">
        <v>8</v>
      </c>
      <c r="H32" s="103" t="s">
        <v>66</v>
      </c>
      <c r="I32" s="85"/>
      <c r="J32" s="104" t="s">
        <v>67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2:54" x14ac:dyDescent="0.35">
      <c r="B33" s="51" t="s">
        <v>52</v>
      </c>
      <c r="C33" s="51"/>
      <c r="D33" s="105">
        <f>G19</f>
        <v>0</v>
      </c>
      <c r="E33" s="51"/>
      <c r="F33" s="51"/>
      <c r="G33" s="106"/>
      <c r="H33" s="85"/>
      <c r="I33" s="85"/>
      <c r="J33" s="107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2:54" x14ac:dyDescent="0.35">
      <c r="B34" s="51" t="s">
        <v>53</v>
      </c>
      <c r="C34" s="51"/>
      <c r="D34" s="108">
        <f>D20+G20+J20</f>
        <v>0</v>
      </c>
      <c r="E34" s="51"/>
      <c r="F34" s="51"/>
      <c r="G34" s="109" t="s">
        <v>68</v>
      </c>
      <c r="H34" s="110">
        <f>+E28</f>
        <v>0</v>
      </c>
      <c r="I34" s="85"/>
      <c r="J34" s="111" t="s">
        <v>139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2:54" x14ac:dyDescent="0.35">
      <c r="B35" s="51" t="s">
        <v>54</v>
      </c>
      <c r="C35" s="51"/>
      <c r="D35" s="112"/>
      <c r="E35" s="51"/>
      <c r="F35" s="51"/>
      <c r="G35" s="109" t="s">
        <v>79</v>
      </c>
      <c r="H35" s="110"/>
      <c r="I35" s="85"/>
      <c r="J35" s="111">
        <f>[8]AEPTX!$D$33+'[9]Non-Roadway'!$Y$46+[9]MSL!$Y$65</f>
        <v>17089102.437686823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2:54" x14ac:dyDescent="0.35">
      <c r="B36" s="51" t="s">
        <v>55</v>
      </c>
      <c r="C36" s="51"/>
      <c r="D36" s="81">
        <f>D22+G22+J22</f>
        <v>0</v>
      </c>
      <c r="E36" s="51"/>
      <c r="F36" s="51"/>
      <c r="G36" s="106" t="s">
        <v>120</v>
      </c>
      <c r="H36" s="110"/>
      <c r="I36" s="85"/>
      <c r="J36" s="111" t="s">
        <v>139</v>
      </c>
      <c r="K36" s="116"/>
      <c r="L36" s="116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2:54" x14ac:dyDescent="0.35">
      <c r="B37" s="51" t="s">
        <v>56</v>
      </c>
      <c r="C37" s="51"/>
      <c r="D37" s="112"/>
      <c r="E37" s="51"/>
      <c r="F37" s="51"/>
      <c r="G37" s="106" t="s">
        <v>121</v>
      </c>
      <c r="H37" s="113">
        <f>+H28</f>
        <v>0</v>
      </c>
      <c r="I37" s="85" t="s">
        <v>69</v>
      </c>
      <c r="J37" s="111" t="s">
        <v>139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2:54" ht="15" thickBot="1" x14ac:dyDescent="0.4">
      <c r="B38" s="51" t="s">
        <v>57</v>
      </c>
      <c r="C38" s="51"/>
      <c r="D38" s="81">
        <f>D24+G24+J24</f>
        <v>0</v>
      </c>
      <c r="E38" s="51"/>
      <c r="F38" s="51"/>
      <c r="G38" s="106" t="s">
        <v>70</v>
      </c>
      <c r="H38" s="85"/>
      <c r="I38" s="85"/>
      <c r="J38" s="115">
        <f>SUM(J34:J37)</f>
        <v>17089102.437686823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2:54" ht="15" thickTop="1" x14ac:dyDescent="0.35">
      <c r="B39" s="51" t="s">
        <v>58</v>
      </c>
      <c r="C39" s="51"/>
      <c r="D39" s="88">
        <v>0</v>
      </c>
      <c r="E39" s="51"/>
      <c r="F39" s="51"/>
      <c r="G39" s="106"/>
      <c r="H39" s="85"/>
      <c r="I39" s="85"/>
      <c r="J39" s="117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2:54" x14ac:dyDescent="0.35">
      <c r="B40" s="51" t="s">
        <v>59</v>
      </c>
      <c r="C40" s="51"/>
      <c r="D40" s="112"/>
      <c r="E40" s="51"/>
      <c r="F40" s="51"/>
      <c r="G40" s="118" t="s">
        <v>71</v>
      </c>
      <c r="H40" s="85"/>
      <c r="I40" s="85"/>
      <c r="J40" s="107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2:54" ht="15" thickBot="1" x14ac:dyDescent="0.4">
      <c r="B41" s="51" t="s">
        <v>60</v>
      </c>
      <c r="C41" s="51"/>
      <c r="D41" s="81">
        <f>D27+G27+J27</f>
        <v>0</v>
      </c>
      <c r="E41" s="51"/>
      <c r="F41" s="51"/>
      <c r="G41" s="119"/>
      <c r="H41" s="120"/>
      <c r="I41" s="120"/>
      <c r="J41" s="12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2:54" ht="15" thickTop="1" x14ac:dyDescent="0.35">
      <c r="B42" s="90" t="s">
        <v>61</v>
      </c>
      <c r="C42" s="51"/>
      <c r="D42" s="81">
        <f>SUM(D33:D41)</f>
        <v>0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2:54" x14ac:dyDescent="0.35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2:54" x14ac:dyDescent="0.35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2:54" x14ac:dyDescent="0.35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2:54" x14ac:dyDescent="0.35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2:54" x14ac:dyDescent="0.35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2:54" x14ac:dyDescent="0.35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2:54" x14ac:dyDescent="0.3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2:54" x14ac:dyDescent="0.3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2:54" x14ac:dyDescent="0.3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2:54" x14ac:dyDescent="0.3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2:54" x14ac:dyDescent="0.3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2:54" x14ac:dyDescent="0.3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2:54" x14ac:dyDescent="0.3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2:54" x14ac:dyDescent="0.3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2:54" x14ac:dyDescent="0.3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2:54" x14ac:dyDescent="0.3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2:54" x14ac:dyDescent="0.3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2:54" x14ac:dyDescent="0.3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2:54" x14ac:dyDescent="0.3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2:54" x14ac:dyDescent="0.3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2:54" x14ac:dyDescent="0.3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2:54" x14ac:dyDescent="0.3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2:54" x14ac:dyDescent="0.3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2:54" x14ac:dyDescent="0.3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2:54" x14ac:dyDescent="0.3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2:54" x14ac:dyDescent="0.3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2:54" x14ac:dyDescent="0.3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2:54" x14ac:dyDescent="0.3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2:54" x14ac:dyDescent="0.3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2:54" x14ac:dyDescent="0.3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</row>
    <row r="73" spans="2:54" x14ac:dyDescent="0.3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</row>
    <row r="74" spans="2:54" x14ac:dyDescent="0.3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</row>
    <row r="75" spans="2:54" x14ac:dyDescent="0.3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2:54" x14ac:dyDescent="0.3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</row>
    <row r="77" spans="2:54" x14ac:dyDescent="0.3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</row>
    <row r="78" spans="2:54" x14ac:dyDescent="0.3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</row>
    <row r="79" spans="2:54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</row>
    <row r="80" spans="2:54" x14ac:dyDescent="0.3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</row>
    <row r="81" spans="2:54" x14ac:dyDescent="0.3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</row>
    <row r="82" spans="2:54" x14ac:dyDescent="0.3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</row>
    <row r="83" spans="2:54" x14ac:dyDescent="0.3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</row>
    <row r="84" spans="2:54" x14ac:dyDescent="0.3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</row>
    <row r="85" spans="2:54" x14ac:dyDescent="0.3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</row>
    <row r="86" spans="2:54" x14ac:dyDescent="0.3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</row>
    <row r="87" spans="2:54" x14ac:dyDescent="0.3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</row>
    <row r="88" spans="2:54" x14ac:dyDescent="0.3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</row>
    <row r="89" spans="2:54" x14ac:dyDescent="0.3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</row>
    <row r="90" spans="2:54" x14ac:dyDescent="0.3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</row>
    <row r="91" spans="2:54" x14ac:dyDescent="0.35">
      <c r="G91" s="51"/>
      <c r="H91" s="51"/>
      <c r="I91" s="51"/>
      <c r="J91" s="51"/>
    </row>
    <row r="92" spans="2:54" x14ac:dyDescent="0.35">
      <c r="G92" s="51"/>
      <c r="H92" s="51"/>
      <c r="I92" s="51"/>
      <c r="J92" s="51"/>
    </row>
  </sheetData>
  <mergeCells count="1">
    <mergeCell ref="D16:E16"/>
  </mergeCells>
  <printOptions horizontalCentered="1"/>
  <pageMargins left="0.7" right="0.7" top="0.75" bottom="0.75" header="0.3" footer="0.3"/>
  <pageSetup scale="61" orientation="portrait" r:id="rId1"/>
  <headerFooter>
    <oddHeader>&amp;CPUBLIC UTILITY COMMISSION OF TEXAS
AEP TEXAS INC
SCHEDULE IV-J-7 PROOF OF REVENUE STATEMENT
TEST YEAR ENDING 31, 2018&amp;RSchedule IV-J-7
&amp;A
Page &amp;P of &amp;N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603EA280-8360-454F-B0CB-AC98F0465B4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Billing Units</vt:lpstr>
      <vt:lpstr>Rate Summary</vt:lpstr>
      <vt:lpstr>Revenue Summary</vt:lpstr>
      <vt:lpstr>AEPTX RS</vt:lpstr>
      <vt:lpstr>AEPTX Sec LT 10</vt:lpstr>
      <vt:lpstr>AEPTX Sec GT 10</vt:lpstr>
      <vt:lpstr>AEPTX Primary </vt:lpstr>
      <vt:lpstr>AEPTX Trans</vt:lpstr>
      <vt:lpstr>AEPTX Lighting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keywords>AEP Internal</cp:keywords>
  <cp:lastModifiedBy>s254353</cp:lastModifiedBy>
  <cp:lastPrinted>2019-04-27T01:35:27Z</cp:lastPrinted>
  <dcterms:created xsi:type="dcterms:W3CDTF">2019-03-15T21:59:18Z</dcterms:created>
  <dcterms:modified xsi:type="dcterms:W3CDTF">2019-04-27T01:35:38Z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be4c5cd7-403b-407f-96d2-3e76dbcc044e</vt:lpwstr>
  </property>
  <property fmtid="{D5CDD505-2E9C-101B-9397-08002B2CF9AE}" pid="3" name="bjDocumentSecurityLabel">
    <vt:lpwstr>AEP Internal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